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B7427586-A52F-43C9-B01B-1E34771034C4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53" i="1" l="1"/>
  <c r="CL253" i="1"/>
  <c r="CL4" i="1"/>
  <c r="CL5" i="1" s="1"/>
  <c r="CK4" i="1"/>
  <c r="AL125" i="1"/>
  <c r="CI125" i="1"/>
  <c r="CH125" i="1"/>
  <c r="CG125" i="1"/>
  <c r="CF125" i="1"/>
  <c r="CE125" i="1"/>
  <c r="CD125" i="1"/>
  <c r="Y125" i="1" s="1"/>
  <c r="CC125" i="1"/>
  <c r="CB125" i="1"/>
  <c r="CA125" i="1"/>
  <c r="BZ125" i="1"/>
  <c r="X125" i="1" s="1"/>
  <c r="Y126" i="1" s="1"/>
  <c r="BY125" i="1"/>
  <c r="BX125" i="1"/>
  <c r="BW125" i="1"/>
  <c r="BV125" i="1"/>
  <c r="BU125" i="1"/>
  <c r="BT125" i="1"/>
  <c r="BS125" i="1"/>
  <c r="BR125" i="1"/>
  <c r="V125" i="1" s="1"/>
  <c r="BQ125" i="1"/>
  <c r="BP125" i="1"/>
  <c r="BO125" i="1"/>
  <c r="BN125" i="1"/>
  <c r="U125" i="1" s="1"/>
  <c r="BM125" i="1"/>
  <c r="BL125" i="1"/>
  <c r="BK125" i="1"/>
  <c r="BJ125" i="1"/>
  <c r="T125" i="1" s="1"/>
  <c r="BI125" i="1"/>
  <c r="BH125" i="1"/>
  <c r="BG125" i="1"/>
  <c r="BF125" i="1"/>
  <c r="S125" i="1" s="1"/>
  <c r="BE125" i="1"/>
  <c r="BD125" i="1"/>
  <c r="BC125" i="1"/>
  <c r="BB125" i="1"/>
  <c r="BA125" i="1"/>
  <c r="AZ125" i="1"/>
  <c r="AY125" i="1"/>
  <c r="AX125" i="1"/>
  <c r="AW125" i="1"/>
  <c r="AV125" i="1"/>
  <c r="AU125" i="1"/>
  <c r="AT125" i="1"/>
  <c r="P125" i="1" s="1"/>
  <c r="AS125" i="1"/>
  <c r="AR125" i="1"/>
  <c r="AQ125" i="1"/>
  <c r="AP125" i="1"/>
  <c r="AP126" i="1" s="1"/>
  <c r="AO125" i="1"/>
  <c r="AN125" i="1"/>
  <c r="AM125" i="1"/>
  <c r="CJ4" i="1"/>
  <c r="CK5" i="1"/>
  <c r="Z4" i="1"/>
  <c r="Y4" i="1"/>
  <c r="X4" i="1"/>
  <c r="W4" i="1"/>
  <c r="V4" i="1"/>
  <c r="U4" i="1"/>
  <c r="T4" i="1"/>
  <c r="S4" i="1"/>
  <c r="R4" i="1"/>
  <c r="Q4" i="1"/>
  <c r="P4" i="1"/>
  <c r="O4" i="1"/>
  <c r="N4" i="1"/>
  <c r="CI5" i="1"/>
  <c r="CH5" i="1"/>
  <c r="CG5" i="1"/>
  <c r="CF5" i="1"/>
  <c r="CE5" i="1"/>
  <c r="CD5" i="1"/>
  <c r="CC5" i="1"/>
  <c r="CB5" i="1"/>
  <c r="CA5" i="1"/>
  <c r="BZ5" i="1"/>
  <c r="BY5" i="1"/>
  <c r="BX5" i="1"/>
  <c r="BW5" i="1"/>
  <c r="BV5" i="1"/>
  <c r="BU5" i="1"/>
  <c r="BT5" i="1"/>
  <c r="BS5" i="1"/>
  <c r="BR5" i="1"/>
  <c r="BQ5" i="1"/>
  <c r="BP5" i="1"/>
  <c r="BO5" i="1"/>
  <c r="BN5" i="1"/>
  <c r="BM5" i="1"/>
  <c r="BL5" i="1"/>
  <c r="BK5" i="1"/>
  <c r="BJ5" i="1"/>
  <c r="BI5" i="1"/>
  <c r="BH5" i="1"/>
  <c r="BG5" i="1"/>
  <c r="BF5" i="1"/>
  <c r="BE5" i="1"/>
  <c r="BD5" i="1"/>
  <c r="BC5" i="1"/>
  <c r="BB5" i="1"/>
  <c r="BA5" i="1"/>
  <c r="AZ5" i="1"/>
  <c r="AY5" i="1"/>
  <c r="AX5" i="1"/>
  <c r="AW5" i="1"/>
  <c r="AV5" i="1"/>
  <c r="AU5" i="1"/>
  <c r="AT5" i="1"/>
  <c r="AS5" i="1"/>
  <c r="AR5" i="1"/>
  <c r="AQ5" i="1"/>
  <c r="AP5" i="1"/>
  <c r="AO5" i="1"/>
  <c r="AN5" i="1"/>
  <c r="AM5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50" i="1"/>
  <c r="AB18" i="1"/>
  <c r="AC18" i="1"/>
  <c r="AD18" i="1"/>
  <c r="AE18" i="1"/>
  <c r="AB31" i="1"/>
  <c r="AC31" i="1"/>
  <c r="AD31" i="1"/>
  <c r="AE31" i="1"/>
  <c r="AE30" i="1"/>
  <c r="AD30" i="1"/>
  <c r="AC30" i="1"/>
  <c r="AB30" i="1"/>
  <c r="AJ223" i="1"/>
  <c r="AB9" i="2"/>
  <c r="AB17" i="2"/>
  <c r="AB25" i="2"/>
  <c r="AB33" i="2"/>
  <c r="AB44" i="2"/>
  <c r="AB52" i="2"/>
  <c r="AE6" i="2"/>
  <c r="AE18" i="2"/>
  <c r="AE30" i="2"/>
  <c r="AE45" i="2"/>
  <c r="AE57" i="2"/>
  <c r="AB18" i="2"/>
  <c r="AB34" i="2"/>
  <c r="AB53" i="2"/>
  <c r="AD64" i="2"/>
  <c r="AD72" i="2"/>
  <c r="AD80" i="2"/>
  <c r="AD88" i="2"/>
  <c r="AD96" i="2"/>
  <c r="AD108" i="2"/>
  <c r="AC109" i="2"/>
  <c r="AD31" i="2"/>
  <c r="AF62" i="2"/>
  <c r="AC22" i="2"/>
  <c r="AC49" i="2"/>
  <c r="AE66" i="2"/>
  <c r="AE78" i="2"/>
  <c r="AE90" i="2"/>
  <c r="AF14" i="2"/>
  <c r="AF49" i="2"/>
  <c r="AE31" i="2"/>
  <c r="AD75" i="2"/>
  <c r="AD91" i="2"/>
  <c r="AC16" i="2"/>
  <c r="AC76" i="2"/>
  <c r="AC104" i="2"/>
  <c r="AB66" i="2"/>
  <c r="AB82" i="2"/>
  <c r="AB98" i="2"/>
  <c r="AC43" i="2"/>
  <c r="AC82" i="2"/>
  <c r="AC110" i="2"/>
  <c r="AF68" i="2"/>
  <c r="AE85" i="2"/>
  <c r="AD40" i="2"/>
  <c r="AD56" i="2"/>
  <c r="AF65" i="2"/>
  <c r="AF73" i="2"/>
  <c r="AF81" i="2"/>
  <c r="AF89" i="2"/>
  <c r="AF97" i="2"/>
  <c r="AF109" i="2"/>
  <c r="AF6" i="2"/>
  <c r="AC26" i="2"/>
  <c r="AE68" i="2"/>
  <c r="AC80" i="2"/>
  <c r="AD69" i="2"/>
  <c r="AC62" i="2"/>
  <c r="AC86" i="2"/>
  <c r="AC66" i="2"/>
  <c r="AF69" i="2"/>
  <c r="AF31" i="2"/>
  <c r="AF32" i="2"/>
  <c r="AC105" i="2"/>
  <c r="AE88" i="2"/>
  <c r="AB72" i="2"/>
  <c r="AD51" i="2"/>
  <c r="AF9" i="2"/>
  <c r="AF17" i="2"/>
  <c r="AF25" i="2"/>
  <c r="AF33" i="2"/>
  <c r="AF44" i="2"/>
  <c r="AF52" i="2"/>
  <c r="AC7" i="2"/>
  <c r="AC19" i="2"/>
  <c r="AC31" i="2"/>
  <c r="AC46" i="2"/>
  <c r="AC58" i="2"/>
  <c r="AF20" i="2"/>
  <c r="AF36" i="2"/>
  <c r="AF55" i="2"/>
  <c r="AB65" i="2"/>
  <c r="AB73" i="2"/>
  <c r="AB81" i="2"/>
  <c r="AB89" i="2"/>
  <c r="AB97" i="2"/>
  <c r="AB109" i="2"/>
  <c r="AF34" i="2"/>
  <c r="AD63" i="2"/>
  <c r="AE25" i="2"/>
  <c r="AE52" i="2"/>
  <c r="AC67" i="2"/>
  <c r="AC79" i="2"/>
  <c r="AC91" i="2"/>
  <c r="AB16" i="2"/>
  <c r="AB51" i="2"/>
  <c r="AC47" i="2"/>
  <c r="AB76" i="2"/>
  <c r="AB92" i="2"/>
  <c r="AE19" i="2"/>
  <c r="AE79" i="2"/>
  <c r="AE107" i="2"/>
  <c r="AF84" i="2"/>
  <c r="AF104" i="2"/>
  <c r="AE46" i="2"/>
  <c r="AD21" i="2"/>
  <c r="AB36" i="2"/>
  <c r="AB64" i="2"/>
  <c r="AC53" i="2"/>
  <c r="AE80" i="2"/>
  <c r="AE92" i="2"/>
  <c r="AD54" i="2"/>
  <c r="AE50" i="2"/>
  <c r="AF78" i="2"/>
  <c r="AF94" i="2"/>
  <c r="AC32" i="2"/>
  <c r="AC108" i="2"/>
  <c r="AD85" i="2"/>
  <c r="AD105" i="2"/>
  <c r="AF108" i="2"/>
  <c r="AC90" i="2"/>
  <c r="AF93" i="2"/>
  <c r="AC41" i="2"/>
  <c r="AE74" i="2"/>
  <c r="AE86" i="2"/>
  <c r="AD65" i="2"/>
  <c r="AF86" i="2"/>
  <c r="AD93" i="2"/>
  <c r="AE17" i="2"/>
  <c r="AD71" i="2"/>
  <c r="AE71" i="2"/>
  <c r="AB78" i="2"/>
  <c r="AB71" i="2"/>
  <c r="AE64" i="2"/>
  <c r="AB108" i="2"/>
  <c r="AC60" i="2"/>
  <c r="AC106" i="2"/>
  <c r="AC17" i="2"/>
  <c r="AF63" i="2"/>
  <c r="AF87" i="2"/>
  <c r="AF107" i="2"/>
  <c r="AC89" i="2"/>
  <c r="AE63" i="2"/>
  <c r="AD10" i="2"/>
  <c r="AD18" i="2"/>
  <c r="AD26" i="2"/>
  <c r="AD34" i="2"/>
  <c r="AD45" i="2"/>
  <c r="AD53" i="2"/>
  <c r="AE8" i="2"/>
  <c r="AE20" i="2"/>
  <c r="AE32" i="2"/>
  <c r="AE47" i="2"/>
  <c r="AD5" i="2"/>
  <c r="AD19" i="2"/>
  <c r="AD35" i="2"/>
  <c r="AF70" i="2"/>
  <c r="AC63" i="2"/>
  <c r="AE110" i="2"/>
  <c r="AD87" i="2"/>
  <c r="AE95" i="2"/>
  <c r="AF15" i="2"/>
  <c r="AF58" i="2"/>
  <c r="AE28" i="2"/>
  <c r="AB79" i="2"/>
  <c r="AC18" i="2"/>
  <c r="AE15" i="2"/>
  <c r="AC96" i="2"/>
  <c r="AF96" i="2"/>
  <c r="AD32" i="2"/>
  <c r="AC77" i="2"/>
  <c r="AF110" i="2"/>
  <c r="AE27" i="2"/>
  <c r="AB11" i="2"/>
  <c r="AB19" i="2"/>
  <c r="AB27" i="2"/>
  <c r="AB35" i="2"/>
  <c r="AB46" i="2"/>
  <c r="AB54" i="2"/>
  <c r="AC9" i="2"/>
  <c r="AC21" i="2"/>
  <c r="AC33" i="2"/>
  <c r="AC48" i="2"/>
  <c r="AB6" i="2"/>
  <c r="AB22" i="2"/>
  <c r="AB41" i="2"/>
  <c r="AB57" i="2"/>
  <c r="AD66" i="2"/>
  <c r="AD74" i="2"/>
  <c r="AD82" i="2"/>
  <c r="AD90" i="2"/>
  <c r="AD98" i="2"/>
  <c r="AD110" i="2"/>
  <c r="AD7" i="2"/>
  <c r="AD42" i="2"/>
  <c r="AE5" i="2"/>
  <c r="AE29" i="2"/>
  <c r="AE56" i="2"/>
  <c r="AC69" i="2"/>
  <c r="AC81" i="2"/>
  <c r="AE94" i="2"/>
  <c r="AF22" i="2"/>
  <c r="AF57" i="2"/>
  <c r="AE59" i="2"/>
  <c r="AD79" i="2"/>
  <c r="AD95" i="2"/>
  <c r="AE35" i="2"/>
  <c r="AE83" i="2"/>
  <c r="AE7" i="2"/>
  <c r="AB70" i="2"/>
  <c r="AB86" i="2"/>
  <c r="AB106" i="2"/>
  <c r="AE65" i="2"/>
  <c r="AE89" i="2"/>
  <c r="AB96" i="2"/>
  <c r="AC51" i="2"/>
  <c r="AC84" i="2"/>
  <c r="AC20" i="2"/>
  <c r="AF72" i="2"/>
  <c r="AF77" i="2"/>
  <c r="AC107" i="2"/>
  <c r="AC68" i="2"/>
  <c r="AD77" i="2"/>
  <c r="AC75" i="2"/>
  <c r="AF41" i="2"/>
  <c r="AB63" i="2"/>
  <c r="AB95" i="2"/>
  <c r="AD59" i="2"/>
  <c r="AB43" i="2"/>
  <c r="AF11" i="2"/>
  <c r="AF19" i="2"/>
  <c r="AF27" i="2"/>
  <c r="AF35" i="2"/>
  <c r="AF46" i="2"/>
  <c r="AF54" i="2"/>
  <c r="AE10" i="2"/>
  <c r="AE22" i="2"/>
  <c r="AE34" i="2"/>
  <c r="AE49" i="2"/>
  <c r="AF8" i="2"/>
  <c r="AF24" i="2"/>
  <c r="AF43" i="2"/>
  <c r="AB59" i="2"/>
  <c r="AB67" i="2"/>
  <c r="AB75" i="2"/>
  <c r="AB83" i="2"/>
  <c r="AB91" i="2"/>
  <c r="AB99" i="2"/>
  <c r="AF10" i="2"/>
  <c r="AF45" i="2"/>
  <c r="AC6" i="2"/>
  <c r="AC30" i="2"/>
  <c r="AC57" i="2"/>
  <c r="AE70" i="2"/>
  <c r="AE82" i="2"/>
  <c r="AC95" i="2"/>
  <c r="AB24" i="2"/>
  <c r="AF60" i="2"/>
  <c r="AC64" i="2"/>
  <c r="AB80" i="2"/>
  <c r="AF88" i="2"/>
  <c r="AF61" i="2"/>
  <c r="AB55" i="2"/>
  <c r="AE62" i="2"/>
  <c r="AC92" i="2"/>
  <c r="AE44" i="2"/>
  <c r="AE105" i="2"/>
  <c r="AF23" i="2"/>
  <c r="AF16" i="2"/>
  <c r="AB107" i="2"/>
  <c r="AC45" i="2"/>
  <c r="AE76" i="2"/>
  <c r="AB8" i="2"/>
  <c r="AC72" i="2"/>
  <c r="AD24" i="2"/>
  <c r="AC29" i="2"/>
  <c r="AD33" i="2"/>
  <c r="AF71" i="2"/>
  <c r="AF95" i="2"/>
  <c r="AD11" i="2"/>
  <c r="AE75" i="2"/>
  <c r="AD12" i="2"/>
  <c r="AD20" i="2"/>
  <c r="AD28" i="2"/>
  <c r="AD36" i="2"/>
  <c r="AD47" i="2"/>
  <c r="AD55" i="2"/>
  <c r="AC11" i="2"/>
  <c r="AC23" i="2"/>
  <c r="AC35" i="2"/>
  <c r="AC50" i="2"/>
  <c r="AD9" i="2"/>
  <c r="AD25" i="2"/>
  <c r="AD44" i="2"/>
  <c r="AF59" i="2"/>
  <c r="AF67" i="2"/>
  <c r="AF75" i="2"/>
  <c r="AF83" i="2"/>
  <c r="AF91" i="2"/>
  <c r="AF99" i="2"/>
  <c r="AB12" i="2"/>
  <c r="AB47" i="2"/>
  <c r="AE9" i="2"/>
  <c r="AE33" i="2"/>
  <c r="AC59" i="2"/>
  <c r="AC71" i="2"/>
  <c r="AC83" i="2"/>
  <c r="AE98" i="2"/>
  <c r="AD27" i="2"/>
  <c r="AD61" i="2"/>
  <c r="AF66" i="2"/>
  <c r="AF82" i="2"/>
  <c r="AF98" i="2"/>
  <c r="AE54" i="2"/>
  <c r="AE87" i="2"/>
  <c r="AE23" i="2"/>
  <c r="AD73" i="2"/>
  <c r="AD89" i="2"/>
  <c r="AD109" i="2"/>
  <c r="AE69" i="2"/>
  <c r="AE93" i="2"/>
  <c r="AB69" i="2"/>
  <c r="AF18" i="2"/>
  <c r="AE13" i="2"/>
  <c r="AB84" i="2"/>
  <c r="AE42" i="2"/>
  <c r="AE97" i="2"/>
  <c r="AD6" i="2"/>
  <c r="AD41" i="2"/>
  <c r="AD49" i="2"/>
  <c r="AE41" i="2"/>
  <c r="AD13" i="2"/>
  <c r="AD29" i="2"/>
  <c r="AF105" i="2"/>
  <c r="AC14" i="2"/>
  <c r="AC8" i="2"/>
  <c r="AD58" i="2"/>
  <c r="AE77" i="2"/>
  <c r="AF50" i="2"/>
  <c r="AE16" i="2"/>
  <c r="AE43" i="2"/>
  <c r="AF51" i="2"/>
  <c r="AB87" i="2"/>
  <c r="AF26" i="2"/>
  <c r="AC5" i="2"/>
  <c r="AC113" i="2" s="1"/>
  <c r="AC44" i="2"/>
  <c r="AC56" i="2"/>
  <c r="AB28" i="2"/>
  <c r="AE48" i="2"/>
  <c r="AD46" i="2"/>
  <c r="AD81" i="2"/>
  <c r="AB5" i="2"/>
  <c r="AB13" i="2"/>
  <c r="AB21" i="2"/>
  <c r="AB29" i="2"/>
  <c r="AB40" i="2"/>
  <c r="AB48" i="2"/>
  <c r="AB56" i="2"/>
  <c r="AE12" i="2"/>
  <c r="AE24" i="2"/>
  <c r="AE36" i="2"/>
  <c r="AE51" i="2"/>
  <c r="AB10" i="2"/>
  <c r="AB26" i="2"/>
  <c r="AB45" i="2"/>
  <c r="AD60" i="2"/>
  <c r="AD68" i="2"/>
  <c r="AD76" i="2"/>
  <c r="AD84" i="2"/>
  <c r="AD92" i="2"/>
  <c r="AD104" i="2"/>
  <c r="AC93" i="2"/>
  <c r="AD15" i="2"/>
  <c r="AD50" i="2"/>
  <c r="AC10" i="2"/>
  <c r="AC34" i="2"/>
  <c r="AE60" i="2"/>
  <c r="AE72" i="2"/>
  <c r="AE84" i="2"/>
  <c r="AC99" i="2"/>
  <c r="AF30" i="2"/>
  <c r="AB62" i="2"/>
  <c r="AD67" i="2"/>
  <c r="AD83" i="2"/>
  <c r="AD99" i="2"/>
  <c r="AE61" i="2"/>
  <c r="AC88" i="2"/>
  <c r="AC36" i="2"/>
  <c r="AB74" i="2"/>
  <c r="AB90" i="2"/>
  <c r="AB110" i="2"/>
  <c r="AC70" i="2"/>
  <c r="AC94" i="2"/>
  <c r="AF40" i="2"/>
  <c r="AC13" i="2"/>
  <c r="AC40" i="2"/>
  <c r="AF47" i="2"/>
  <c r="AB85" i="2"/>
  <c r="AB93" i="2"/>
  <c r="AE96" i="2"/>
  <c r="AF53" i="2"/>
  <c r="AE40" i="2"/>
  <c r="AC73" i="2"/>
  <c r="AB32" i="2"/>
  <c r="AF64" i="2"/>
  <c r="AB68" i="2"/>
  <c r="AB104" i="2"/>
  <c r="AE91" i="2"/>
  <c r="AF76" i="2"/>
  <c r="AD22" i="2"/>
  <c r="AD30" i="2"/>
  <c r="AE26" i="2"/>
  <c r="AE53" i="2"/>
  <c r="AB20" i="2"/>
  <c r="AF106" i="2"/>
  <c r="AC55" i="2"/>
  <c r="AC74" i="2"/>
  <c r="AC98" i="2"/>
  <c r="AD23" i="2"/>
  <c r="AC87" i="2"/>
  <c r="AD107" i="2"/>
  <c r="AB94" i="2"/>
  <c r="AF42" i="2"/>
  <c r="AC24" i="2"/>
  <c r="AD16" i="2"/>
  <c r="AD17" i="2"/>
  <c r="AF79" i="2"/>
  <c r="AB60" i="2"/>
  <c r="AF74" i="2"/>
  <c r="AE81" i="2"/>
  <c r="AF5" i="2"/>
  <c r="AF113" i="2" s="1"/>
  <c r="AF13" i="2"/>
  <c r="AF21" i="2"/>
  <c r="AF29" i="2"/>
  <c r="AF48" i="2"/>
  <c r="AF56" i="2"/>
  <c r="AC25" i="2"/>
  <c r="AC52" i="2"/>
  <c r="AF12" i="2"/>
  <c r="AF28" i="2"/>
  <c r="AB61" i="2"/>
  <c r="AB77" i="2"/>
  <c r="AB105" i="2"/>
  <c r="AC61" i="2"/>
  <c r="AC85" i="2"/>
  <c r="AE106" i="2"/>
  <c r="AE67" i="2"/>
  <c r="AF92" i="2"/>
  <c r="AE73" i="2"/>
  <c r="AD14" i="2"/>
  <c r="AD57" i="2"/>
  <c r="AE14" i="2"/>
  <c r="AD48" i="2"/>
  <c r="AF85" i="2"/>
  <c r="AC97" i="2"/>
  <c r="AC12" i="2"/>
  <c r="AE58" i="2"/>
  <c r="AE11" i="2"/>
  <c r="AF7" i="2"/>
  <c r="AB88" i="2"/>
  <c r="AF80" i="2"/>
  <c r="AC78" i="2"/>
  <c r="AD8" i="2"/>
  <c r="AD97" i="2"/>
  <c r="AB7" i="2"/>
  <c r="AB15" i="2"/>
  <c r="AB23" i="2"/>
  <c r="AB31" i="2"/>
  <c r="AB42" i="2"/>
  <c r="AB50" i="2"/>
  <c r="AB58" i="2"/>
  <c r="AC15" i="2"/>
  <c r="AC27" i="2"/>
  <c r="AC42" i="2"/>
  <c r="AC54" i="2"/>
  <c r="AB14" i="2"/>
  <c r="AB30" i="2"/>
  <c r="AB49" i="2"/>
  <c r="AD62" i="2"/>
  <c r="AD70" i="2"/>
  <c r="AD78" i="2"/>
  <c r="AD86" i="2"/>
  <c r="AD94" i="2"/>
  <c r="AD106" i="2"/>
  <c r="AE104" i="2"/>
  <c r="AE55" i="2"/>
  <c r="AD43" i="2"/>
  <c r="AD52" i="2"/>
  <c r="AE108" i="2"/>
  <c r="AE21" i="2"/>
  <c r="AC65" i="2"/>
  <c r="AC28" i="2"/>
  <c r="AF90" i="2"/>
  <c r="AE99" i="2"/>
  <c r="AE109" i="2"/>
  <c r="BP126" i="1" l="1"/>
  <c r="BO126" i="1"/>
  <c r="AA125" i="1"/>
  <c r="AF112" i="2"/>
  <c r="AA44" i="1"/>
  <c r="AA22" i="1"/>
  <c r="AA17" i="1"/>
  <c r="AA186" i="1"/>
  <c r="AA185" i="1"/>
  <c r="AA184" i="1"/>
  <c r="AA178" i="1"/>
  <c r="AA177" i="1"/>
  <c r="AA174" i="1"/>
  <c r="AA173" i="1"/>
  <c r="AA169" i="1"/>
  <c r="AA167" i="1"/>
  <c r="AA165" i="1"/>
  <c r="AA164" i="1"/>
  <c r="AA163" i="1"/>
  <c r="AA161" i="1"/>
  <c r="AA160" i="1"/>
  <c r="AA159" i="1"/>
  <c r="AA158" i="1"/>
  <c r="AA157" i="1"/>
  <c r="AA156" i="1"/>
  <c r="AA154" i="1"/>
  <c r="AA151" i="1"/>
  <c r="AA150" i="1"/>
  <c r="AA149" i="1"/>
  <c r="AA147" i="1"/>
  <c r="AA146" i="1"/>
  <c r="AA145" i="1"/>
  <c r="AA141" i="1"/>
  <c r="AA140" i="1"/>
  <c r="AA139" i="1"/>
  <c r="AA138" i="1"/>
  <c r="AA136" i="1"/>
  <c r="AA133" i="1"/>
  <c r="AA132" i="1"/>
  <c r="AA131" i="1"/>
  <c r="AA88" i="1"/>
  <c r="AA87" i="1"/>
  <c r="AA86" i="1"/>
  <c r="AA76" i="1"/>
  <c r="AA60" i="1"/>
  <c r="AA56" i="1"/>
  <c r="AA55" i="1"/>
  <c r="AA54" i="1"/>
  <c r="AA48" i="1"/>
  <c r="AA45" i="1"/>
  <c r="AA41" i="1"/>
  <c r="AA34" i="1"/>
  <c r="AA33" i="1"/>
  <c r="AA32" i="1"/>
  <c r="AA31" i="1"/>
  <c r="AA30" i="1"/>
  <c r="AA29" i="1"/>
  <c r="AA24" i="1"/>
  <c r="AA18" i="1"/>
  <c r="AA35" i="1"/>
  <c r="AA267" i="1"/>
  <c r="AA197" i="1"/>
  <c r="AA175" i="1"/>
  <c r="AA168" i="1"/>
  <c r="AA162" i="1"/>
  <c r="AA19" i="1"/>
  <c r="AA266" i="1"/>
  <c r="AA245" i="1"/>
  <c r="AA194" i="1"/>
  <c r="AA193" i="1"/>
  <c r="AA187" i="1"/>
  <c r="AA148" i="1"/>
  <c r="AA152" i="1" s="1"/>
  <c r="AA142" i="1"/>
  <c r="AA134" i="1"/>
  <c r="AA42" i="1"/>
  <c r="AF111" i="2"/>
  <c r="CG126" i="1"/>
  <c r="CF126" i="1"/>
  <c r="CE126" i="1"/>
  <c r="BV126" i="1"/>
  <c r="BU126" i="1"/>
  <c r="BS126" i="1"/>
  <c r="BH126" i="1"/>
  <c r="BG126" i="1"/>
  <c r="AZ126" i="1"/>
  <c r="AY126" i="1"/>
  <c r="AX126" i="1"/>
  <c r="AW126" i="1"/>
  <c r="AU126" i="1"/>
  <c r="AR126" i="1"/>
  <c r="AQ126" i="1"/>
  <c r="CJ5" i="1"/>
  <c r="CL125" i="1"/>
  <c r="CL126" i="1" s="1"/>
  <c r="V126" i="1"/>
  <c r="U126" i="1"/>
  <c r="T126" i="1"/>
  <c r="BW126" i="1"/>
  <c r="CK125" i="1"/>
  <c r="CK126" i="1" s="1"/>
  <c r="BX126" i="1"/>
  <c r="W125" i="1"/>
  <c r="W126" i="1" s="1"/>
  <c r="CJ125" i="1"/>
  <c r="BM126" i="1"/>
  <c r="BB126" i="1"/>
  <c r="BN126" i="1"/>
  <c r="BZ126" i="1"/>
  <c r="N125" i="1"/>
  <c r="Z125" i="1"/>
  <c r="Z126" i="1" s="1"/>
  <c r="CA126" i="1"/>
  <c r="O125" i="1"/>
  <c r="O126" i="1" s="1"/>
  <c r="BE126" i="1"/>
  <c r="BQ126" i="1"/>
  <c r="CC126" i="1"/>
  <c r="Q125" i="1"/>
  <c r="Q126" i="1" s="1"/>
  <c r="BF126" i="1"/>
  <c r="BR126" i="1"/>
  <c r="CD126" i="1"/>
  <c r="R125" i="1"/>
  <c r="R126" i="1" s="1"/>
  <c r="AS126" i="1"/>
  <c r="BI126" i="1"/>
  <c r="BY126" i="1"/>
  <c r="AT126" i="1"/>
  <c r="BJ126" i="1"/>
  <c r="CH126" i="1"/>
  <c r="BK126" i="1"/>
  <c r="AV126" i="1"/>
  <c r="BD126" i="1"/>
  <c r="BL126" i="1"/>
  <c r="BT126" i="1"/>
  <c r="CB126" i="1"/>
  <c r="BC126" i="1"/>
  <c r="CI126" i="1"/>
  <c r="BA126" i="1"/>
  <c r="Z5" i="1"/>
  <c r="O5" i="1"/>
  <c r="Y5" i="1"/>
  <c r="X5" i="1"/>
  <c r="R5" i="1"/>
  <c r="V5" i="1"/>
  <c r="S5" i="1"/>
  <c r="Q5" i="1"/>
  <c r="W5" i="1"/>
  <c r="P5" i="1"/>
  <c r="T5" i="1"/>
  <c r="U5" i="1"/>
  <c r="B1" i="9"/>
  <c r="AE111" i="2"/>
  <c r="L1" i="9"/>
  <c r="AD111" i="2"/>
  <c r="AB111" i="2"/>
  <c r="AB113" i="2"/>
  <c r="AA83" i="1" s="1"/>
  <c r="AE113" i="2"/>
  <c r="AB112" i="2"/>
  <c r="AA82" i="1" s="1"/>
  <c r="AD112" i="2"/>
  <c r="AD113" i="2"/>
  <c r="AC111" i="2"/>
  <c r="AE112" i="2"/>
  <c r="AC112" i="2"/>
  <c r="A1" i="9"/>
  <c r="AA126" i="1" l="1"/>
  <c r="AA208" i="1"/>
  <c r="AA170" i="1"/>
  <c r="AA262" i="1"/>
  <c r="AA260" i="1"/>
  <c r="AA196" i="1"/>
  <c r="AA107" i="1"/>
  <c r="AA258" i="1"/>
  <c r="AA25" i="1"/>
  <c r="AA182" i="1"/>
  <c r="AA118" i="1" s="1"/>
  <c r="AA143" i="1"/>
  <c r="AA46" i="1"/>
  <c r="AA36" i="1"/>
  <c r="AA189" i="1"/>
  <c r="X126" i="1"/>
  <c r="S126" i="1"/>
  <c r="CJ126" i="1"/>
  <c r="P126" i="1"/>
  <c r="DB253" i="1"/>
  <c r="DA253" i="1"/>
  <c r="CZ253" i="1"/>
  <c r="CY253" i="1"/>
  <c r="CX253" i="1"/>
  <c r="CW253" i="1"/>
  <c r="CV253" i="1"/>
  <c r="CU253" i="1"/>
  <c r="CT253" i="1"/>
  <c r="CS253" i="1"/>
  <c r="CR253" i="1"/>
  <c r="CQ253" i="1"/>
  <c r="CP253" i="1"/>
  <c r="CO253" i="1"/>
  <c r="CN253" i="1"/>
  <c r="CM253" i="1"/>
  <c r="CK253" i="1"/>
  <c r="CK150" i="1"/>
  <c r="CM150" i="1" s="1"/>
  <c r="CN150" i="1" s="1"/>
  <c r="CO150" i="1" s="1"/>
  <c r="CP150" i="1" s="1"/>
  <c r="CQ150" i="1" s="1"/>
  <c r="CR150" i="1" s="1"/>
  <c r="CS150" i="1" s="1"/>
  <c r="CT150" i="1" s="1"/>
  <c r="CU150" i="1" s="1"/>
  <c r="CV150" i="1" s="1"/>
  <c r="CW150" i="1" s="1"/>
  <c r="CX150" i="1" s="1"/>
  <c r="CY150" i="1" s="1"/>
  <c r="CZ150" i="1" s="1"/>
  <c r="DA150" i="1" s="1"/>
  <c r="DB150" i="1" s="1"/>
  <c r="CH166" i="1"/>
  <c r="CJ253" i="1"/>
  <c r="Z253" i="1"/>
  <c r="AA171" i="1" l="1"/>
  <c r="AA179" i="1" s="1"/>
  <c r="AA199" i="1"/>
  <c r="AA198" i="1" s="1"/>
  <c r="AA180" i="1"/>
  <c r="AA200" i="1"/>
  <c r="AA195" i="1"/>
  <c r="AA26" i="1"/>
  <c r="AA37" i="1"/>
  <c r="CM5" i="1"/>
  <c r="AA4" i="1"/>
  <c r="AA5" i="1" s="1"/>
  <c r="CI253" i="1"/>
  <c r="CG150" i="1"/>
  <c r="CG253" i="1"/>
  <c r="CH253" i="1"/>
  <c r="AB22" i="1"/>
  <c r="AC22" i="1"/>
  <c r="AD22" i="1"/>
  <c r="AE22" i="1"/>
  <c r="AB23" i="1"/>
  <c r="AC23" i="1"/>
  <c r="AD23" i="1"/>
  <c r="AE23" i="1"/>
  <c r="AB33" i="1"/>
  <c r="AC33" i="1"/>
  <c r="AD33" i="1"/>
  <c r="AE33" i="1"/>
  <c r="AB34" i="1"/>
  <c r="AC34" i="1"/>
  <c r="AD34" i="1"/>
  <c r="AE34" i="1"/>
  <c r="AB56" i="1"/>
  <c r="AC56" i="1"/>
  <c r="AD56" i="1"/>
  <c r="AE56" i="1"/>
  <c r="AB173" i="1"/>
  <c r="AC173" i="1"/>
  <c r="AD173" i="1"/>
  <c r="AE173" i="1"/>
  <c r="AB187" i="1"/>
  <c r="AC187" i="1"/>
  <c r="AD187" i="1"/>
  <c r="AE187" i="1"/>
  <c r="CE150" i="1"/>
  <c r="CE253" i="1"/>
  <c r="CF253" i="1"/>
  <c r="AI211" i="1"/>
  <c r="AI216" i="1"/>
  <c r="AI220" i="1"/>
  <c r="AI223" i="1"/>
  <c r="AI253" i="1"/>
  <c r="Y253" i="1"/>
  <c r="AM150" i="1"/>
  <c r="AO150" i="1"/>
  <c r="AQ150" i="1"/>
  <c r="AS150" i="1"/>
  <c r="AU150" i="1"/>
  <c r="AW150" i="1"/>
  <c r="AY150" i="1"/>
  <c r="BA150" i="1"/>
  <c r="BC150" i="1"/>
  <c r="BE150" i="1"/>
  <c r="BG150" i="1"/>
  <c r="BI150" i="1"/>
  <c r="BK150" i="1"/>
  <c r="BM150" i="1"/>
  <c r="BO150" i="1"/>
  <c r="BQ150" i="1"/>
  <c r="BS150" i="1"/>
  <c r="BU150" i="1"/>
  <c r="BW150" i="1"/>
  <c r="BY150" i="1"/>
  <c r="CA150" i="1"/>
  <c r="CC150" i="1"/>
  <c r="CD253" i="1"/>
  <c r="CC253" i="1"/>
  <c r="AJ253" i="1"/>
  <c r="AK253" i="1"/>
  <c r="AL253" i="1"/>
  <c r="CB253" i="1"/>
  <c r="CA253" i="1"/>
  <c r="BZ253" i="1"/>
  <c r="BY253" i="1"/>
  <c r="BX253" i="1"/>
  <c r="BW253" i="1"/>
  <c r="BV253" i="1"/>
  <c r="BU253" i="1"/>
  <c r="BT253" i="1"/>
  <c r="BS253" i="1"/>
  <c r="BR253" i="1"/>
  <c r="BQ253" i="1"/>
  <c r="BP253" i="1"/>
  <c r="BO253" i="1"/>
  <c r="BN253" i="1"/>
  <c r="BM253" i="1"/>
  <c r="BL253" i="1"/>
  <c r="BK253" i="1"/>
  <c r="BJ253" i="1"/>
  <c r="BI253" i="1"/>
  <c r="BH253" i="1"/>
  <c r="BG253" i="1"/>
  <c r="BF253" i="1"/>
  <c r="BE253" i="1"/>
  <c r="BD253" i="1"/>
  <c r="BC253" i="1"/>
  <c r="BB253" i="1"/>
  <c r="BA253" i="1"/>
  <c r="AZ253" i="1"/>
  <c r="AY253" i="1"/>
  <c r="AX253" i="1"/>
  <c r="AW253" i="1"/>
  <c r="AV253" i="1"/>
  <c r="AU253" i="1"/>
  <c r="AT253" i="1"/>
  <c r="AS253" i="1"/>
  <c r="AR253" i="1"/>
  <c r="AQ253" i="1"/>
  <c r="AP253" i="1"/>
  <c r="AO253" i="1"/>
  <c r="AN253" i="1"/>
  <c r="AM253" i="1"/>
  <c r="X253" i="1"/>
  <c r="W253" i="1"/>
  <c r="V253" i="1"/>
  <c r="U253" i="1"/>
  <c r="T253" i="1"/>
  <c r="S253" i="1"/>
  <c r="R253" i="1"/>
  <c r="Q253" i="1"/>
  <c r="P253" i="1"/>
  <c r="O253" i="1"/>
  <c r="N253" i="1"/>
  <c r="M253" i="1"/>
  <c r="L253" i="1"/>
  <c r="K253" i="1"/>
  <c r="J253" i="1"/>
  <c r="I253" i="1"/>
  <c r="H253" i="1"/>
  <c r="G253" i="1"/>
  <c r="F253" i="1"/>
  <c r="E253" i="1"/>
  <c r="D253" i="1"/>
  <c r="C253" i="1"/>
  <c r="B253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121" i="1" l="1"/>
  <c r="AA127" i="1" s="1"/>
  <c r="AA246" i="1"/>
  <c r="AA247" i="1" s="1"/>
  <c r="AA38" i="1"/>
  <c r="AA43" i="1"/>
  <c r="CM4" i="1"/>
  <c r="CN5" i="1"/>
  <c r="Y1" i="1"/>
  <c r="Z1" i="1" s="1"/>
  <c r="AA64" i="1" l="1"/>
  <c r="AA47" i="1"/>
  <c r="CN4" i="1"/>
  <c r="CM125" i="1"/>
  <c r="CM126" i="1" s="1"/>
  <c r="CO5" i="1"/>
  <c r="AA1" i="1"/>
  <c r="AB1" i="1" s="1"/>
  <c r="AC1" i="1" s="1"/>
  <c r="AD1" i="1" s="1"/>
  <c r="AE1" i="1" s="1"/>
  <c r="CN125" i="1" l="1"/>
  <c r="CN126" i="1" s="1"/>
  <c r="AA49" i="1"/>
  <c r="AA50" i="1"/>
  <c r="CP5" i="1"/>
  <c r="CO4" i="1"/>
  <c r="A1" i="3"/>
  <c r="CP4" i="1" l="1"/>
  <c r="CQ5" i="1"/>
  <c r="AA51" i="1"/>
  <c r="AA259" i="1" s="1"/>
  <c r="AA57" i="1"/>
  <c r="AA248" i="1"/>
  <c r="CQ4" i="1"/>
  <c r="CQ125" i="1" s="1"/>
  <c r="CO125" i="1"/>
  <c r="CP125" i="1"/>
  <c r="AB4" i="1"/>
  <c r="AB5" i="1" s="1"/>
  <c r="A1" i="6"/>
  <c r="A1" i="4"/>
  <c r="BU6" i="3"/>
  <c r="BU12" i="3"/>
  <c r="BU18" i="3"/>
  <c r="BU24" i="3"/>
  <c r="BU30" i="3"/>
  <c r="BU36" i="3"/>
  <c r="BU42" i="3"/>
  <c r="BV7" i="3"/>
  <c r="BV13" i="3"/>
  <c r="BT7" i="3"/>
  <c r="BP18" i="3"/>
  <c r="BI37" i="3"/>
  <c r="BN17" i="3"/>
  <c r="BF37" i="3"/>
  <c r="BG19" i="3"/>
  <c r="BK39" i="3"/>
  <c r="BN32" i="3"/>
  <c r="BR19" i="3"/>
  <c r="BR25" i="3"/>
  <c r="BR31" i="3"/>
  <c r="BR37" i="3"/>
  <c r="BR45" i="3"/>
  <c r="BO9" i="3"/>
  <c r="BO15" i="3"/>
  <c r="BO21" i="3"/>
  <c r="BO27" i="3"/>
  <c r="BO33" i="3"/>
  <c r="BS45" i="3"/>
  <c r="BP10" i="3"/>
  <c r="BG34" i="3"/>
  <c r="BN15" i="3"/>
  <c r="BH40" i="3"/>
  <c r="BM18" i="3"/>
  <c r="BG39" i="3"/>
  <c r="BJ26" i="3"/>
  <c r="BT36" i="3"/>
  <c r="BP39" i="3"/>
  <c r="BI5" i="3"/>
  <c r="BG10" i="3"/>
  <c r="BE15" i="3"/>
  <c r="BM19" i="3"/>
  <c r="BK24" i="3"/>
  <c r="BK46" i="3"/>
  <c r="BJ23" i="3"/>
  <c r="BL42" i="3"/>
  <c r="BG23" i="3"/>
  <c r="BN6" i="3"/>
  <c r="BF22" i="3"/>
  <c r="BH41" i="3"/>
  <c r="BF8" i="3"/>
  <c r="BF16" i="3"/>
  <c r="CL29" i="1" s="1"/>
  <c r="BT25" i="3"/>
  <c r="BP28" i="3"/>
  <c r="BE37" i="3"/>
  <c r="BN13" i="3"/>
  <c r="BL30" i="3"/>
  <c r="BK7" i="3"/>
  <c r="BK23" i="3"/>
  <c r="BE40" i="3"/>
  <c r="BL13" i="3"/>
  <c r="AA40" i="2"/>
  <c r="Y94" i="2"/>
  <c r="Z48" i="2"/>
  <c r="AA14" i="2"/>
  <c r="Z108" i="2"/>
  <c r="AA78" i="2"/>
  <c r="AA47" i="2"/>
  <c r="BC37" i="3"/>
  <c r="BB32" i="3"/>
  <c r="BD39" i="3"/>
  <c r="BB37" i="3"/>
  <c r="Z20" i="2"/>
  <c r="Y19" i="2"/>
  <c r="Z5" i="2"/>
  <c r="AA50" i="2"/>
  <c r="Z70" i="2"/>
  <c r="Y61" i="2"/>
  <c r="BC13" i="3"/>
  <c r="BA36" i="3"/>
  <c r="BC42" i="3"/>
  <c r="AA88" i="2"/>
  <c r="AA20" i="2"/>
  <c r="Y47" i="2"/>
  <c r="Z94" i="2"/>
  <c r="AA13" i="2"/>
  <c r="AA32" i="2"/>
  <c r="AA82" i="2"/>
  <c r="AV10" i="3"/>
  <c r="BC36" i="3"/>
  <c r="Z83" i="2"/>
  <c r="BC33" i="3"/>
  <c r="BA10" i="3"/>
  <c r="BC5" i="3"/>
  <c r="Y52" i="2"/>
  <c r="Z8" i="2"/>
  <c r="BD5" i="3"/>
  <c r="Z93" i="2"/>
  <c r="Z17" i="2"/>
  <c r="AA15" i="2"/>
  <c r="FC12" i="4" a="1"/>
  <c r="EZ8" i="4" a="1"/>
  <c r="EX5" i="4" a="1"/>
  <c r="FD6" i="4" a="1"/>
  <c r="FE14" i="4" a="1"/>
  <c r="FF8" i="4" a="1"/>
  <c r="EX14" i="4" a="1"/>
  <c r="FB15" i="4" a="1"/>
  <c r="FB6" i="4" a="1"/>
  <c r="FC13" i="4" a="1"/>
  <c r="FF7" i="4" a="1"/>
  <c r="Y12" i="2"/>
  <c r="BC38" i="3"/>
  <c r="BA20" i="3"/>
  <c r="BC16" i="3"/>
  <c r="BC15" i="3"/>
  <c r="Y20" i="2"/>
  <c r="Z49" i="2"/>
  <c r="AA12" i="2"/>
  <c r="BQ7" i="3"/>
  <c r="BQ13" i="3"/>
  <c r="BQ19" i="3"/>
  <c r="BQ25" i="3"/>
  <c r="BQ31" i="3"/>
  <c r="BQ37" i="3"/>
  <c r="BQ45" i="3"/>
  <c r="BR8" i="3"/>
  <c r="BS35" i="3"/>
  <c r="BT15" i="3"/>
  <c r="BP24" i="3"/>
  <c r="BE39" i="3"/>
  <c r="BF19" i="3"/>
  <c r="BH38" i="3"/>
  <c r="BM20" i="3"/>
  <c r="BG41" i="3"/>
  <c r="BH39" i="3"/>
  <c r="BV19" i="3"/>
  <c r="BV25" i="3"/>
  <c r="BV31" i="3"/>
  <c r="BV37" i="3"/>
  <c r="BV45" i="3"/>
  <c r="BS9" i="3"/>
  <c r="BS15" i="3"/>
  <c r="BS21" i="3"/>
  <c r="BS27" i="3"/>
  <c r="BS33" i="3"/>
  <c r="BS46" i="3"/>
  <c r="BP16" i="3"/>
  <c r="BG36" i="3"/>
  <c r="BJ17" i="3"/>
  <c r="BJ41" i="3"/>
  <c r="BI20" i="3"/>
  <c r="BK41" i="3"/>
  <c r="BH31" i="3"/>
  <c r="BT40" i="3"/>
  <c r="BM5" i="3"/>
  <c r="BK10" i="3"/>
  <c r="BI15" i="3"/>
  <c r="BG20" i="3"/>
  <c r="BE25" i="3"/>
  <c r="BF5" i="3"/>
  <c r="BL24" i="3"/>
  <c r="BH46" i="3"/>
  <c r="BM24" i="3"/>
  <c r="BN14" i="3"/>
  <c r="BJ29" i="3"/>
  <c r="BL23" i="3"/>
  <c r="BN42" i="3"/>
  <c r="BJ14" i="3"/>
  <c r="BJ22" i="3"/>
  <c r="BT31" i="3"/>
  <c r="BP34" i="3"/>
  <c r="BK38" i="3"/>
  <c r="BJ15" i="3"/>
  <c r="BH32" i="3"/>
  <c r="BG9" i="3"/>
  <c r="BG25" i="3"/>
  <c r="BM40" i="3"/>
  <c r="BN16" i="3"/>
  <c r="Z66" i="2"/>
  <c r="Z76" i="2"/>
  <c r="Y104" i="2"/>
  <c r="Y64" i="2"/>
  <c r="AA51" i="2"/>
  <c r="Y99" i="2"/>
  <c r="Y35" i="2"/>
  <c r="BB45" i="3"/>
  <c r="BD21" i="3"/>
  <c r="BA16" i="3"/>
  <c r="BD29" i="3"/>
  <c r="Y43" i="2"/>
  <c r="W6" i="2"/>
  <c r="Y80" i="2"/>
  <c r="AA81" i="2"/>
  <c r="AA26" i="2"/>
  <c r="Z12" i="2"/>
  <c r="BB16" i="3"/>
  <c r="BD8" i="3"/>
  <c r="BA28" i="3"/>
  <c r="Z6" i="2"/>
  <c r="AA42" i="2"/>
  <c r="Z92" i="2"/>
  <c r="Y5" i="2"/>
  <c r="AA99" i="2"/>
  <c r="AA89" i="2"/>
  <c r="X6" i="2"/>
  <c r="BD9" i="3"/>
  <c r="BB7" i="3"/>
  <c r="Y67" i="2"/>
  <c r="BC34" i="3"/>
  <c r="BC6" i="3"/>
  <c r="BD31" i="3"/>
  <c r="Z52" i="2"/>
  <c r="BA25" i="3"/>
  <c r="BB28" i="3"/>
  <c r="Z43" i="2"/>
  <c r="Y29" i="2"/>
  <c r="Y97" i="2"/>
  <c r="FA8" i="4" a="1"/>
  <c r="EZ11" i="4" a="1"/>
  <c r="FA15" i="4" a="1"/>
  <c r="FE8" i="4" a="1"/>
  <c r="FB12" i="4" a="1"/>
  <c r="BU7" i="3"/>
  <c r="BU13" i="3"/>
  <c r="BU19" i="3"/>
  <c r="BU25" i="3"/>
  <c r="BU31" i="3"/>
  <c r="BU37" i="3"/>
  <c r="BU45" i="3"/>
  <c r="BV8" i="3"/>
  <c r="BS36" i="3"/>
  <c r="BT23" i="3"/>
  <c r="BP30" i="3"/>
  <c r="BM41" i="3"/>
  <c r="BF21" i="3"/>
  <c r="CL31" i="1" s="1"/>
  <c r="BN39" i="3"/>
  <c r="BI22" i="3"/>
  <c r="BM42" i="3"/>
  <c r="BR14" i="3"/>
  <c r="BR20" i="3"/>
  <c r="BR26" i="3"/>
  <c r="BR32" i="3"/>
  <c r="BR38" i="3"/>
  <c r="BR46" i="3"/>
  <c r="BO10" i="3"/>
  <c r="BO16" i="3"/>
  <c r="BO22" i="3"/>
  <c r="BO28" i="3"/>
  <c r="BO34" i="3"/>
  <c r="BP5" i="3"/>
  <c r="BP22" i="3"/>
  <c r="BM37" i="3"/>
  <c r="BN19" i="3"/>
  <c r="BN45" i="3"/>
  <c r="BM22" i="3"/>
  <c r="BH5" i="3"/>
  <c r="BL37" i="3"/>
  <c r="BT46" i="3"/>
  <c r="BP11" i="3"/>
  <c r="BG6" i="3"/>
  <c r="BE11" i="3"/>
  <c r="BM15" i="3"/>
  <c r="BK20" i="3"/>
  <c r="BI25" i="3"/>
  <c r="BL6" i="3"/>
  <c r="BN25" i="3"/>
  <c r="BE6" i="3"/>
  <c r="BM26" i="3"/>
  <c r="BH21" i="3"/>
  <c r="BF6" i="3"/>
  <c r="CL17" i="1" s="1"/>
  <c r="BH25" i="3"/>
  <c r="BL45" i="3"/>
  <c r="BN20" i="3"/>
  <c r="BN28" i="3"/>
  <c r="BT37" i="3"/>
  <c r="BP40" i="3"/>
  <c r="BG40" i="3"/>
  <c r="BF17" i="3"/>
  <c r="CL30" i="1" s="1"/>
  <c r="BN33" i="3"/>
  <c r="BM10" i="3"/>
  <c r="BI26" i="3"/>
  <c r="BI42" i="3"/>
  <c r="BH23" i="3"/>
  <c r="AA109" i="2"/>
  <c r="Y22" i="2"/>
  <c r="Y51" i="2"/>
  <c r="AA80" i="2"/>
  <c r="AA7" i="2"/>
  <c r="Z50" i="2"/>
  <c r="Z72" i="2"/>
  <c r="BA17" i="3"/>
  <c r="BC41" i="3"/>
  <c r="BA29" i="3"/>
  <c r="BB38" i="3"/>
  <c r="Y17" i="2"/>
  <c r="Y108" i="2"/>
  <c r="Y33" i="2"/>
  <c r="AA35" i="2"/>
  <c r="AA76" i="2"/>
  <c r="Z21" i="2"/>
  <c r="BC17" i="3"/>
  <c r="BB19" i="3"/>
  <c r="BA5" i="3"/>
  <c r="AA28" i="2"/>
  <c r="Z59" i="2"/>
  <c r="AA85" i="2"/>
  <c r="Y31" i="2"/>
  <c r="AA65" i="2"/>
  <c r="AA92" i="2"/>
  <c r="AA33" i="2"/>
  <c r="BD46" i="3"/>
  <c r="BA24" i="3"/>
  <c r="Z88" i="2"/>
  <c r="BD25" i="3"/>
  <c r="BA23" i="3"/>
  <c r="BD17" i="3"/>
  <c r="AA49" i="2"/>
  <c r="BB23" i="3"/>
  <c r="Y18" i="2"/>
  <c r="Z82" i="2"/>
  <c r="Z42" i="2"/>
  <c r="AA45" i="2"/>
  <c r="EY11" i="4" a="1"/>
  <c r="FF15" i="4" a="1"/>
  <c r="EY13" i="4" a="1"/>
  <c r="FB13" i="4" a="1"/>
  <c r="EY12" i="4" a="1"/>
  <c r="EX6" i="4" a="1"/>
  <c r="FE11" i="4" a="1"/>
  <c r="FD5" i="4" a="1"/>
  <c r="Z22" i="2"/>
  <c r="BD37" i="3"/>
  <c r="Y58" i="2"/>
  <c r="Z77" i="2"/>
  <c r="Z95" i="2"/>
  <c r="Z29" i="2"/>
  <c r="BA6" i="3"/>
  <c r="BC39" i="3"/>
  <c r="BD35" i="3"/>
  <c r="Z73" i="2"/>
  <c r="Y109" i="2"/>
  <c r="Z85" i="2"/>
  <c r="BQ8" i="3"/>
  <c r="BQ14" i="3"/>
  <c r="BQ20" i="3"/>
  <c r="BQ26" i="3"/>
  <c r="BQ32" i="3"/>
  <c r="BQ38" i="3"/>
  <c r="BQ46" i="3"/>
  <c r="BR9" i="3"/>
  <c r="BS37" i="3"/>
  <c r="BT29" i="3"/>
  <c r="BP38" i="3"/>
  <c r="BK42" i="3"/>
  <c r="BL22" i="3"/>
  <c r="BN41" i="3"/>
  <c r="BI24" i="3"/>
  <c r="BF10" i="3"/>
  <c r="CL22" i="1" s="1"/>
  <c r="BV14" i="3"/>
  <c r="BV20" i="3"/>
  <c r="BV26" i="3"/>
  <c r="BV32" i="3"/>
  <c r="BV38" i="3"/>
  <c r="BV46" i="3"/>
  <c r="BS10" i="3"/>
  <c r="BS16" i="3"/>
  <c r="BS22" i="3"/>
  <c r="BS28" i="3"/>
  <c r="BS34" i="3"/>
  <c r="BT11" i="3"/>
  <c r="BP32" i="3"/>
  <c r="BI39" i="3"/>
  <c r="BJ21" i="3"/>
  <c r="BL46" i="3"/>
  <c r="BE24" i="3"/>
  <c r="BL11" i="3"/>
  <c r="BI46" i="3"/>
  <c r="BP9" i="3"/>
  <c r="BP19" i="3"/>
  <c r="BK6" i="3"/>
  <c r="BI11" i="3"/>
  <c r="BG16" i="3"/>
  <c r="BE21" i="3"/>
  <c r="BE27" i="3"/>
  <c r="BH8" i="3"/>
  <c r="BN27" i="3"/>
  <c r="BE8" i="3"/>
  <c r="BI28" i="3"/>
  <c r="BL27" i="3"/>
  <c r="BL7" i="3"/>
  <c r="BN26" i="3"/>
  <c r="BJ46" i="3"/>
  <c r="BH27" i="3"/>
  <c r="BH35" i="3"/>
  <c r="BT45" i="3"/>
  <c r="BM25" i="3"/>
  <c r="BI41" i="3"/>
  <c r="BL18" i="3"/>
  <c r="BF35" i="3"/>
  <c r="CL55" i="1" s="1"/>
  <c r="BG11" i="3"/>
  <c r="BE28" i="3"/>
  <c r="BJ8" i="3"/>
  <c r="BF28" i="3"/>
  <c r="CL41" i="1" s="1"/>
  <c r="Y85" i="2"/>
  <c r="Z67" i="2"/>
  <c r="Y36" i="2"/>
  <c r="Z36" i="2"/>
  <c r="BU8" i="3"/>
  <c r="BU14" i="3"/>
  <c r="BU20" i="3"/>
  <c r="BU26" i="3"/>
  <c r="BU32" i="3"/>
  <c r="BU38" i="3"/>
  <c r="BU46" i="3"/>
  <c r="BV9" i="3"/>
  <c r="BO38" i="3"/>
  <c r="BT35" i="3"/>
  <c r="BP46" i="3"/>
  <c r="BG46" i="3"/>
  <c r="BH24" i="3"/>
  <c r="BJ45" i="3"/>
  <c r="BE26" i="3"/>
  <c r="BL19" i="3"/>
  <c r="BR15" i="3"/>
  <c r="BR21" i="3"/>
  <c r="BR27" i="3"/>
  <c r="BR33" i="3"/>
  <c r="BR39" i="3"/>
  <c r="BO5" i="3"/>
  <c r="BO11" i="3"/>
  <c r="BO17" i="3"/>
  <c r="BO23" i="3"/>
  <c r="BO29" i="3"/>
  <c r="BO35" i="3"/>
  <c r="BT17" i="3"/>
  <c r="BP36" i="3"/>
  <c r="BE41" i="3"/>
  <c r="BF23" i="3"/>
  <c r="CL44" i="1" s="1"/>
  <c r="BG5" i="3"/>
  <c r="BG66" i="3" s="1"/>
  <c r="BK25" i="3"/>
  <c r="BF18" i="3"/>
  <c r="CL34" i="1" s="1"/>
  <c r="BH59" i="3"/>
  <c r="BP17" i="3"/>
  <c r="BP27" i="3"/>
  <c r="BE7" i="3"/>
  <c r="BM11" i="3"/>
  <c r="BK16" i="3"/>
  <c r="BI21" i="3"/>
  <c r="BK28" i="3"/>
  <c r="BH10" i="3"/>
  <c r="BN29" i="3"/>
  <c r="BE10" i="3"/>
  <c r="BE30" i="3"/>
  <c r="BF34" i="3"/>
  <c r="CL54" i="1" s="1"/>
  <c r="BH9" i="3"/>
  <c r="BJ28" i="3"/>
  <c r="BH62" i="3"/>
  <c r="BL33" i="3"/>
  <c r="BL41" i="3"/>
  <c r="BT8" i="3"/>
  <c r="BI27" i="3"/>
  <c r="BG42" i="3"/>
  <c r="BJ19" i="3"/>
  <c r="BH36" i="3"/>
  <c r="BM12" i="3"/>
  <c r="BM28" i="3"/>
  <c r="BH13" i="3"/>
  <c r="BJ34" i="3"/>
  <c r="Y73" i="2"/>
  <c r="Y76" i="2"/>
  <c r="Y75" i="2"/>
  <c r="Z104" i="2"/>
  <c r="Z30" i="2"/>
  <c r="AA94" i="2"/>
  <c r="BB24" i="3"/>
  <c r="BD26" i="3"/>
  <c r="BC32" i="3"/>
  <c r="BB41" i="3"/>
  <c r="BQ9" i="3"/>
  <c r="BQ15" i="3"/>
  <c r="BQ21" i="3"/>
  <c r="BQ27" i="3"/>
  <c r="BQ33" i="3"/>
  <c r="BQ39" i="3"/>
  <c r="BR10" i="3"/>
  <c r="BO39" i="3"/>
  <c r="BT41" i="3"/>
  <c r="BK26" i="3"/>
  <c r="BN5" i="3"/>
  <c r="BJ25" i="3"/>
  <c r="BG7" i="3"/>
  <c r="BG27" i="3"/>
  <c r="BJ24" i="3"/>
  <c r="BV15" i="3"/>
  <c r="BV21" i="3"/>
  <c r="BV27" i="3"/>
  <c r="BV33" i="3"/>
  <c r="BV39" i="3"/>
  <c r="BS5" i="3"/>
  <c r="BS11" i="3"/>
  <c r="BS17" i="3"/>
  <c r="BS23" i="3"/>
  <c r="BS29" i="3"/>
  <c r="BO36" i="3"/>
  <c r="BT21" i="3"/>
  <c r="BP42" i="3"/>
  <c r="BE45" i="3"/>
  <c r="BF27" i="3"/>
  <c r="BM6" i="3"/>
  <c r="BK27" i="3"/>
  <c r="BF26" i="3"/>
  <c r="CL56" i="1" s="1"/>
  <c r="BP92" i="3"/>
  <c r="BP25" i="3"/>
  <c r="BP35" i="3"/>
  <c r="BI7" i="3"/>
  <c r="BG12" i="3"/>
  <c r="BE17" i="3"/>
  <c r="BM21" i="3"/>
  <c r="BK30" i="3"/>
  <c r="BN11" i="3"/>
  <c r="BJ31" i="3"/>
  <c r="BK11" i="3"/>
  <c r="BE32" i="3"/>
  <c r="BF42" i="3"/>
  <c r="CL60" i="1" s="1"/>
  <c r="BN10" i="3"/>
  <c r="BF30" i="3"/>
  <c r="BJ6" i="3"/>
  <c r="BF40" i="3"/>
  <c r="BH11" i="3"/>
  <c r="BT18" i="3"/>
  <c r="BE29" i="3"/>
  <c r="BM45" i="3"/>
  <c r="BL20" i="3"/>
  <c r="BJ37" i="3"/>
  <c r="BI14" i="3"/>
  <c r="BI30" i="3"/>
  <c r="BJ16" i="3"/>
  <c r="BN40" i="3"/>
  <c r="AA54" i="2"/>
  <c r="AA18" i="2"/>
  <c r="V6" i="2"/>
  <c r="Y21" i="2"/>
  <c r="Z54" i="2"/>
  <c r="Z62" i="2"/>
  <c r="BC20" i="3"/>
  <c r="BA26" i="3"/>
  <c r="BC8" i="3"/>
  <c r="BC10" i="3"/>
  <c r="BD36" i="3"/>
  <c r="AA106" i="2"/>
  <c r="AA10" i="2"/>
  <c r="Y65" i="2"/>
  <c r="Z81" i="2"/>
  <c r="Y106" i="2"/>
  <c r="Y25" i="2"/>
  <c r="BA39" i="3"/>
  <c r="BD30" i="3"/>
  <c r="BB18" i="3"/>
  <c r="AA73" i="2"/>
  <c r="AA74" i="2"/>
  <c r="Z106" i="2"/>
  <c r="Z74" i="2"/>
  <c r="AA70" i="2"/>
  <c r="Y82" i="2"/>
  <c r="BD41" i="3"/>
  <c r="BB26" i="3"/>
  <c r="Y56" i="2"/>
  <c r="Z32" i="2"/>
  <c r="BB42" i="3"/>
  <c r="BC30" i="3"/>
  <c r="BB10" i="3"/>
  <c r="Z34" i="2"/>
  <c r="BB39" i="3"/>
  <c r="Y89" i="2"/>
  <c r="Z51" i="2"/>
  <c r="Y110" i="2"/>
  <c r="BB11" i="3"/>
  <c r="FA6" i="4" a="1"/>
  <c r="FE12" i="4" a="1"/>
  <c r="FC5" i="4" a="1"/>
  <c r="EY5" i="4" a="1"/>
  <c r="FD11" i="4" a="1"/>
  <c r="FB5" i="4" a="1"/>
  <c r="EX8" i="4" a="1"/>
  <c r="EZ6" i="4" a="1"/>
  <c r="EZ15" i="4" a="1"/>
  <c r="FD13" i="4" a="1"/>
  <c r="FC11" i="4" a="1"/>
  <c r="FD9" i="4" a="1"/>
  <c r="BQ28" i="3"/>
  <c r="BQ34" i="3"/>
  <c r="BQ40" i="3"/>
  <c r="BR5" i="3"/>
  <c r="BR11" i="3"/>
  <c r="BS41" i="3"/>
  <c r="BT6" i="3"/>
  <c r="BM29" i="3"/>
  <c r="BF9" i="3"/>
  <c r="BH28" i="3"/>
  <c r="BI10" i="3"/>
  <c r="BG31" i="3"/>
  <c r="BN38" i="3"/>
  <c r="BV16" i="3"/>
  <c r="BV22" i="3"/>
  <c r="BU9" i="3"/>
  <c r="BU15" i="3"/>
  <c r="BU21" i="3"/>
  <c r="BU27" i="3"/>
  <c r="BU33" i="3"/>
  <c r="BU39" i="3"/>
  <c r="BV10" i="3"/>
  <c r="BS40" i="3"/>
  <c r="BG28" i="3"/>
  <c r="BJ7" i="3"/>
  <c r="BL26" i="3"/>
  <c r="BM8" i="3"/>
  <c r="BK29" i="3"/>
  <c r="BJ32" i="3"/>
  <c r="BR16" i="3"/>
  <c r="BR22" i="3"/>
  <c r="BR28" i="3"/>
  <c r="BR34" i="3"/>
  <c r="BR40" i="3"/>
  <c r="BO6" i="3"/>
  <c r="BO12" i="3"/>
  <c r="BO18" i="3"/>
  <c r="BO24" i="3"/>
  <c r="BO30" i="3"/>
  <c r="BO37" i="3"/>
  <c r="BT27" i="3"/>
  <c r="BH6" i="3"/>
  <c r="BF29" i="3"/>
  <c r="CL48" i="1" s="1"/>
  <c r="BI8" i="3"/>
  <c r="BG29" i="3"/>
  <c r="BN30" i="3"/>
  <c r="BT12" i="3"/>
  <c r="BP33" i="3"/>
  <c r="BP45" i="3"/>
  <c r="BM7" i="3"/>
  <c r="BK12" i="3"/>
  <c r="BI17" i="3"/>
  <c r="BG22" i="3"/>
  <c r="BE35" i="3"/>
  <c r="BJ13" i="3"/>
  <c r="BL32" i="3"/>
  <c r="BG13" i="3"/>
  <c r="BK33" i="3"/>
  <c r="BN8" i="3"/>
  <c r="BJ12" i="3"/>
  <c r="BL31" i="3"/>
  <c r="BN12" i="3"/>
  <c r="BM46" i="3"/>
  <c r="BJ30" i="3"/>
  <c r="BT30" i="3"/>
  <c r="BG30" i="3"/>
  <c r="BJ5" i="3"/>
  <c r="BH22" i="3"/>
  <c r="BF39" i="3"/>
  <c r="BK15" i="3"/>
  <c r="BK31" i="3"/>
  <c r="BN22" i="3"/>
  <c r="BK45" i="3"/>
  <c r="Y60" i="2"/>
  <c r="AA110" i="2"/>
  <c r="Z89" i="2"/>
  <c r="Y26" i="2"/>
  <c r="AA90" i="2"/>
  <c r="Z9" i="2"/>
  <c r="BB20" i="3"/>
  <c r="BB9" i="3"/>
  <c r="BB22" i="3"/>
  <c r="BA19" i="3"/>
  <c r="Y6" i="2"/>
  <c r="Z110" i="2"/>
  <c r="Y49" i="2"/>
  <c r="Z53" i="2"/>
  <c r="AA6" i="2"/>
  <c r="Y50" i="2"/>
  <c r="AA41" i="2"/>
  <c r="BD11" i="3"/>
  <c r="BA37" i="3"/>
  <c r="BD19" i="3"/>
  <c r="AA16" i="2"/>
  <c r="AA5" i="2"/>
  <c r="Z10" i="2"/>
  <c r="AA71" i="2"/>
  <c r="Z98" i="2"/>
  <c r="Z99" i="2"/>
  <c r="BA12" i="3"/>
  <c r="BC21" i="3"/>
  <c r="AA27" i="2"/>
  <c r="AA23" i="2"/>
  <c r="BA13" i="3"/>
  <c r="Y59" i="2"/>
  <c r="AA67" i="2"/>
  <c r="AA83" i="2"/>
  <c r="BA46" i="3"/>
  <c r="Z60" i="2"/>
  <c r="AA107" i="2"/>
  <c r="BD20" i="3"/>
  <c r="BB34" i="3"/>
  <c r="FC9" i="4" a="1"/>
  <c r="EZ14" i="4" a="1"/>
  <c r="FD12" i="4" a="1"/>
  <c r="FB9" i="4" a="1"/>
  <c r="BQ10" i="3"/>
  <c r="BQ16" i="3"/>
  <c r="BQ22" i="3"/>
  <c r="BU10" i="3"/>
  <c r="BU16" i="3"/>
  <c r="BU22" i="3"/>
  <c r="BU28" i="3"/>
  <c r="BU34" i="3"/>
  <c r="BQ5" i="3"/>
  <c r="BQ62" i="3" s="1"/>
  <c r="BQ11" i="3"/>
  <c r="BQ17" i="3"/>
  <c r="BQ23" i="3"/>
  <c r="BQ29" i="3"/>
  <c r="BQ35" i="3"/>
  <c r="BQ41" i="3"/>
  <c r="BR6" i="3"/>
  <c r="BR12" i="3"/>
  <c r="BO45" i="3"/>
  <c r="BT26" i="3"/>
  <c r="BK32" i="3"/>
  <c r="BH12" i="3"/>
  <c r="BN31" i="3"/>
  <c r="BK13" i="3"/>
  <c r="BE34" i="3"/>
  <c r="BJ10" i="3"/>
  <c r="BV17" i="3"/>
  <c r="BV23" i="3"/>
  <c r="BV29" i="3"/>
  <c r="BV35" i="3"/>
  <c r="BV41" i="3"/>
  <c r="BS7" i="3"/>
  <c r="BS13" i="3"/>
  <c r="BS19" i="3"/>
  <c r="BS25" i="3"/>
  <c r="BS31" i="3"/>
  <c r="BO40" i="3"/>
  <c r="BT10" i="3"/>
  <c r="BI29" i="3"/>
  <c r="BF11" i="3"/>
  <c r="CL24" i="1" s="1"/>
  <c r="BL34" i="3"/>
  <c r="BE14" i="3"/>
  <c r="BM34" i="3"/>
  <c r="BL5" i="3"/>
  <c r="BT24" i="3"/>
  <c r="BP37" i="3"/>
  <c r="BP7" i="3"/>
  <c r="BE9" i="3"/>
  <c r="BM13" i="3"/>
  <c r="BK18" i="3"/>
  <c r="BI23" i="3"/>
  <c r="BM39" i="3"/>
  <c r="BH18" i="3"/>
  <c r="BN37" i="3"/>
  <c r="BI18" i="3"/>
  <c r="BM38" i="3"/>
  <c r="BL29" i="3"/>
  <c r="BH17" i="3"/>
  <c r="BJ36" i="3"/>
  <c r="BF32" i="3"/>
  <c r="BF24" i="3"/>
  <c r="BT9" i="3"/>
  <c r="BP14" i="3"/>
  <c r="BI33" i="3"/>
  <c r="BN9" i="3"/>
  <c r="BH26" i="3"/>
  <c r="BF45" i="3"/>
  <c r="CL72" i="1" s="1"/>
  <c r="BK19" i="3"/>
  <c r="BK35" i="3"/>
  <c r="BJ40" i="3"/>
  <c r="BU5" i="3"/>
  <c r="BU11" i="3"/>
  <c r="BQ6" i="3"/>
  <c r="BQ12" i="3"/>
  <c r="BQ18" i="3"/>
  <c r="BQ24" i="3"/>
  <c r="BQ30" i="3"/>
  <c r="BQ36" i="3"/>
  <c r="BQ42" i="3"/>
  <c r="BR7" i="3"/>
  <c r="BR13" i="3"/>
  <c r="BT5" i="3"/>
  <c r="BP12" i="3"/>
  <c r="BI35" i="3"/>
  <c r="BH16" i="3"/>
  <c r="BJ35" i="3"/>
  <c r="BG17" i="3"/>
  <c r="BE38" i="3"/>
  <c r="BN24" i="3"/>
  <c r="BV18" i="3"/>
  <c r="BV24" i="3"/>
  <c r="BV30" i="3"/>
  <c r="BV36" i="3"/>
  <c r="BV42" i="3"/>
  <c r="BS8" i="3"/>
  <c r="BS14" i="3"/>
  <c r="BS20" i="3"/>
  <c r="BS26" i="3"/>
  <c r="BS32" i="3"/>
  <c r="BO42" i="3"/>
  <c r="BT38" i="3"/>
  <c r="BE33" i="3"/>
  <c r="BU17" i="3"/>
  <c r="BT14" i="3"/>
  <c r="BF46" i="3"/>
  <c r="CL73" i="1" s="1"/>
  <c r="BV40" i="3"/>
  <c r="BS24" i="3"/>
  <c r="BG26" i="3"/>
  <c r="BI12" i="3"/>
  <c r="BT20" i="3"/>
  <c r="BK8" i="3"/>
  <c r="BE23" i="3"/>
  <c r="BN35" i="3"/>
  <c r="BL21" i="3"/>
  <c r="BL25" i="3"/>
  <c r="BP8" i="3"/>
  <c r="BF25" i="3"/>
  <c r="CL45" i="1" s="1"/>
  <c r="BI34" i="3"/>
  <c r="Y14" i="2"/>
  <c r="AA77" i="2"/>
  <c r="AA105" i="2"/>
  <c r="BA31" i="3"/>
  <c r="BC12" i="3"/>
  <c r="AA66" i="2"/>
  <c r="Y62" i="2"/>
  <c r="AA58" i="2"/>
  <c r="BA32" i="3"/>
  <c r="BC45" i="3"/>
  <c r="Z35" i="2"/>
  <c r="Y45" i="2"/>
  <c r="AA52" i="2"/>
  <c r="BB27" i="3"/>
  <c r="Z65" i="2"/>
  <c r="BA21" i="3"/>
  <c r="AA69" i="2"/>
  <c r="BD15" i="3"/>
  <c r="BC35" i="3"/>
  <c r="BB29" i="3"/>
  <c r="EY14" i="4" a="1"/>
  <c r="EX13" i="4" a="1"/>
  <c r="FE6" i="4" a="1"/>
  <c r="EY8" i="4" a="1"/>
  <c r="FE15" i="4" a="1"/>
  <c r="BB17" i="3"/>
  <c r="AA86" i="2"/>
  <c r="BC7" i="3"/>
  <c r="Y8" i="2"/>
  <c r="AA34" i="2"/>
  <c r="BD7" i="3"/>
  <c r="BC22" i="3"/>
  <c r="BC26" i="3"/>
  <c r="Y105" i="2"/>
  <c r="EZ12" i="4" a="1"/>
  <c r="FF14" i="4" a="1"/>
  <c r="FE9" i="4" a="1"/>
  <c r="FA14" i="4" a="1"/>
  <c r="BU29" i="3"/>
  <c r="BR17" i="3"/>
  <c r="BO26" i="3"/>
  <c r="BT32" i="3"/>
  <c r="BJ42" i="3"/>
  <c r="BL28" i="3"/>
  <c r="Y46" i="2"/>
  <c r="BD13" i="3"/>
  <c r="Y91" i="2"/>
  <c r="AA56" i="2"/>
  <c r="BB12" i="3"/>
  <c r="BD38" i="3"/>
  <c r="Y69" i="2"/>
  <c r="Y54" i="2"/>
  <c r="AA57" i="2"/>
  <c r="FF11" i="4" a="1"/>
  <c r="FE13" i="4" a="1"/>
  <c r="BU23" i="3"/>
  <c r="BT34" i="3"/>
  <c r="BF20" i="3"/>
  <c r="CL18" i="1" s="1"/>
  <c r="BR41" i="3"/>
  <c r="BO25" i="3"/>
  <c r="BM27" i="3"/>
  <c r="BE16" i="3"/>
  <c r="BT28" i="3"/>
  <c r="BI9" i="3"/>
  <c r="BM23" i="3"/>
  <c r="BJ39" i="3"/>
  <c r="BF36" i="3"/>
  <c r="BJ38" i="3"/>
  <c r="BP20" i="3"/>
  <c r="BJ27" i="3"/>
  <c r="BG37" i="3"/>
  <c r="AA55" i="2"/>
  <c r="Y28" i="2"/>
  <c r="Y24" i="2"/>
  <c r="BB15" i="3"/>
  <c r="AA9" i="2"/>
  <c r="Y71" i="2"/>
  <c r="BB46" i="3"/>
  <c r="AA46" i="2"/>
  <c r="Z58" i="2"/>
  <c r="Z28" i="2"/>
  <c r="BB40" i="3"/>
  <c r="EY9" i="4" a="1"/>
  <c r="BM31" i="3"/>
  <c r="BR42" i="3"/>
  <c r="BI31" i="3"/>
  <c r="BK17" i="3"/>
  <c r="BM9" i="3"/>
  <c r="BG24" i="3"/>
  <c r="BF41" i="3"/>
  <c r="BE46" i="3"/>
  <c r="BP26" i="3"/>
  <c r="BI38" i="3"/>
  <c r="Y13" i="2"/>
  <c r="AA93" i="2"/>
  <c r="BD18" i="3"/>
  <c r="AA48" i="2"/>
  <c r="Z86" i="2"/>
  <c r="BB5" i="3"/>
  <c r="Y92" i="2"/>
  <c r="Y57" i="2"/>
  <c r="AA21" i="2"/>
  <c r="Z16" i="2"/>
  <c r="BD14" i="3"/>
  <c r="FF16" i="4" a="1"/>
  <c r="EX9" i="4" a="1"/>
  <c r="FE7" i="4" a="1"/>
  <c r="BU35" i="3"/>
  <c r="BS6" i="3"/>
  <c r="BP41" i="3"/>
  <c r="BM14" i="3"/>
  <c r="BE31" i="3"/>
  <c r="BL40" i="3"/>
  <c r="BH29" i="3"/>
  <c r="Y83" i="2"/>
  <c r="AA62" i="2"/>
  <c r="Z14" i="2"/>
  <c r="Z15" i="2"/>
  <c r="BB14" i="3"/>
  <c r="Y16" i="2"/>
  <c r="Z45" i="2"/>
  <c r="BM33" i="3"/>
  <c r="BR18" i="3"/>
  <c r="BS30" i="3"/>
  <c r="BN7" i="3"/>
  <c r="BM30" i="3"/>
  <c r="BE13" i="3"/>
  <c r="BK36" i="3"/>
  <c r="BF14" i="3"/>
  <c r="CL32" i="1" s="1"/>
  <c r="BG79" i="3"/>
  <c r="AA68" i="2"/>
  <c r="Y32" i="2"/>
  <c r="BD22" i="3"/>
  <c r="AA11" i="2"/>
  <c r="C5" i="2"/>
  <c r="Z105" i="2"/>
  <c r="BC9" i="3"/>
  <c r="Z84" i="2"/>
  <c r="BA34" i="3"/>
  <c r="Z26" i="2"/>
  <c r="BB36" i="3"/>
  <c r="Z63" i="2"/>
  <c r="Y53" i="2"/>
  <c r="EX11" i="4" a="1"/>
  <c r="FA12" i="4" a="1"/>
  <c r="FF12" i="4" a="1"/>
  <c r="FA13" i="4" a="1"/>
  <c r="FB16" i="4" a="1"/>
  <c r="BU40" i="3"/>
  <c r="BL10" i="3"/>
  <c r="BR23" i="3"/>
  <c r="BO7" i="3"/>
  <c r="BO31" i="3"/>
  <c r="BJ9" i="3"/>
  <c r="BI32" i="3"/>
  <c r="BP21" i="3"/>
  <c r="BI13" i="3"/>
  <c r="BG38" i="3"/>
  <c r="BI16" i="3"/>
  <c r="BL15" i="3"/>
  <c r="BL17" i="3"/>
  <c r="BG32" i="3"/>
  <c r="BH42" i="3"/>
  <c r="BL35" i="3"/>
  <c r="AA61" i="2"/>
  <c r="Y68" i="2"/>
  <c r="Z13" i="2"/>
  <c r="BC25" i="3"/>
  <c r="Z47" i="2"/>
  <c r="AA36" i="2"/>
  <c r="Y98" i="2"/>
  <c r="Z68" i="2"/>
  <c r="BA40" i="3"/>
  <c r="AA108" i="2"/>
  <c r="Y11" i="2"/>
  <c r="AA22" i="2"/>
  <c r="Y74" i="2"/>
  <c r="BB8" i="3"/>
  <c r="Z87" i="2"/>
  <c r="BD12" i="3"/>
  <c r="Y27" i="2"/>
  <c r="BA38" i="3"/>
  <c r="AA95" i="2"/>
  <c r="Y87" i="2"/>
  <c r="EY7" i="4" a="1"/>
  <c r="FD8" i="4" a="1"/>
  <c r="FF6" i="4" a="1"/>
  <c r="FC15" i="4" a="1"/>
  <c r="EY6" i="4" a="1"/>
  <c r="Y72" i="2"/>
  <c r="Y42" i="2"/>
  <c r="Y15" i="2"/>
  <c r="BD45" i="3"/>
  <c r="AA84" i="2"/>
  <c r="BA8" i="3"/>
  <c r="BB6" i="3"/>
  <c r="BD24" i="3"/>
  <c r="AA59" i="2"/>
  <c r="FB8" i="4" a="1"/>
  <c r="FD16" i="4" a="1"/>
  <c r="BR36" i="3"/>
  <c r="BK9" i="3"/>
  <c r="BG8" i="3"/>
  <c r="BH15" i="3"/>
  <c r="BN23" i="3"/>
  <c r="AA72" i="2"/>
  <c r="BD23" i="3"/>
  <c r="BD6" i="3"/>
  <c r="AA96" i="2"/>
  <c r="BA18" i="3"/>
  <c r="BD34" i="3"/>
  <c r="FC8" i="4" a="1"/>
  <c r="FB11" i="4" a="1"/>
  <c r="BU41" i="3"/>
  <c r="BL14" i="3"/>
  <c r="BR24" i="3"/>
  <c r="BO8" i="3"/>
  <c r="BO32" i="3"/>
  <c r="BL12" i="3"/>
  <c r="BE36" i="3"/>
  <c r="BP15" i="3"/>
  <c r="BG14" i="3"/>
  <c r="BK40" i="3"/>
  <c r="BE20" i="3"/>
  <c r="BN18" i="3"/>
  <c r="BN36" i="3"/>
  <c r="BK34" i="3"/>
  <c r="BK5" i="3"/>
  <c r="BH45" i="3"/>
  <c r="Z55" i="2"/>
  <c r="Y10" i="2"/>
  <c r="Z64" i="2"/>
  <c r="BA9" i="3"/>
  <c r="Z25" i="2"/>
  <c r="AA8" i="2"/>
  <c r="Z79" i="2"/>
  <c r="Y78" i="2"/>
  <c r="BA42" i="3"/>
  <c r="Z57" i="2"/>
  <c r="Z46" i="2"/>
  <c r="Y77" i="2"/>
  <c r="BB13" i="3"/>
  <c r="BA33" i="3"/>
  <c r="Y86" i="2"/>
  <c r="Y70" i="2"/>
  <c r="Z33" i="2"/>
  <c r="BD27" i="3"/>
  <c r="Z7" i="2"/>
  <c r="BC46" i="3"/>
  <c r="FA7" i="4" a="1"/>
  <c r="FB7" i="4" a="1"/>
  <c r="EZ7" i="4" a="1"/>
  <c r="FC6" i="4" a="1"/>
  <c r="FE16" i="4" a="1"/>
  <c r="Y84" i="2"/>
  <c r="BC23" i="3"/>
  <c r="Y66" i="2"/>
  <c r="Y95" i="2"/>
  <c r="BC40" i="3"/>
  <c r="BC24" i="3"/>
  <c r="EX15" i="4" a="1"/>
  <c r="BJ33" i="3"/>
  <c r="BO13" i="3"/>
  <c r="BF31" i="3"/>
  <c r="BP13" i="3"/>
  <c r="BF15" i="3"/>
  <c r="CL33" i="1" s="1"/>
  <c r="BG45" i="3"/>
  <c r="BF7" i="3"/>
  <c r="BM16" i="3"/>
  <c r="AA19" i="2"/>
  <c r="BD32" i="3"/>
  <c r="Z107" i="2"/>
  <c r="AA79" i="2"/>
  <c r="AA63" i="2"/>
  <c r="BC28" i="3"/>
  <c r="Y96" i="2"/>
  <c r="Y81" i="2"/>
  <c r="BC31" i="3"/>
  <c r="BD16" i="3"/>
  <c r="Z97" i="2"/>
  <c r="AA75" i="2"/>
  <c r="Y41" i="2"/>
  <c r="FF13" i="4" a="1"/>
  <c r="FC16" i="4" a="1"/>
  <c r="EZ5" i="4" a="1"/>
  <c r="BE12" i="3"/>
  <c r="BO14" i="3"/>
  <c r="BF33" i="3"/>
  <c r="BP29" i="3"/>
  <c r="BG18" i="3"/>
  <c r="BL16" i="3"/>
  <c r="BM36" i="3"/>
  <c r="BN34" i="3"/>
  <c r="BP6" i="3"/>
  <c r="BL8" i="3"/>
  <c r="BE18" i="3"/>
  <c r="Y88" i="2"/>
  <c r="AA44" i="2"/>
  <c r="BC27" i="3"/>
  <c r="Z11" i="2"/>
  <c r="BD10" i="3"/>
  <c r="Y55" i="2"/>
  <c r="Y90" i="2"/>
  <c r="BA14" i="3"/>
  <c r="Y93" i="2"/>
  <c r="Y63" i="2"/>
  <c r="FF9" i="4" a="1"/>
  <c r="BV12" i="3"/>
  <c r="BS18" i="3"/>
  <c r="BL36" i="3"/>
  <c r="BP23" i="3"/>
  <c r="BH20" i="3"/>
  <c r="BF38" i="3"/>
  <c r="BJ11" i="3"/>
  <c r="AA17" i="2"/>
  <c r="BA45" i="3"/>
  <c r="BC11" i="3"/>
  <c r="AA91" i="2"/>
  <c r="BC19" i="3"/>
  <c r="BA27" i="3"/>
  <c r="AA64" i="2"/>
  <c r="BB33" i="3"/>
  <c r="Z27" i="2"/>
  <c r="Z69" i="2"/>
  <c r="FE5" i="4" a="1"/>
  <c r="FA16" i="4" a="1"/>
  <c r="EX12" i="4" a="1"/>
  <c r="BM32" i="3"/>
  <c r="BT39" i="3"/>
  <c r="BV5" i="3"/>
  <c r="BH30" i="3"/>
  <c r="BV28" i="3"/>
  <c r="BS12" i="3"/>
  <c r="BS38" i="3"/>
  <c r="BH14" i="3"/>
  <c r="BK37" i="3"/>
  <c r="BP31" i="3"/>
  <c r="BK14" i="3"/>
  <c r="BI45" i="3"/>
  <c r="BK21" i="3"/>
  <c r="BJ20" i="3"/>
  <c r="BL9" i="3"/>
  <c r="BM35" i="3"/>
  <c r="BI6" i="3"/>
  <c r="BH7" i="3"/>
  <c r="AA24" i="2"/>
  <c r="C4" i="2"/>
  <c r="BD42" i="3"/>
  <c r="BB25" i="3"/>
  <c r="AA87" i="2"/>
  <c r="AA30" i="2"/>
  <c r="Z61" i="2"/>
  <c r="BA15" i="3"/>
  <c r="BA41" i="3"/>
  <c r="Z23" i="2"/>
  <c r="Z90" i="2"/>
  <c r="BD28" i="3"/>
  <c r="Z24" i="2"/>
  <c r="Z41" i="2"/>
  <c r="EX16" i="4" a="1"/>
  <c r="FA11" i="4" a="1"/>
  <c r="EY16" i="4" a="1"/>
  <c r="BV6" i="3"/>
  <c r="BR29" i="3"/>
  <c r="BS39" i="3"/>
  <c r="BH37" i="3"/>
  <c r="BM17" i="3"/>
  <c r="BG35" i="3"/>
  <c r="BH33" i="3"/>
  <c r="BK84" i="3"/>
  <c r="Y23" i="2"/>
  <c r="BB30" i="3"/>
  <c r="BC29" i="3"/>
  <c r="AA98" i="2"/>
  <c r="Y48" i="2"/>
  <c r="AA43" i="2"/>
  <c r="FC7" i="4" a="1"/>
  <c r="EX7" i="4" a="1"/>
  <c r="BV11" i="3"/>
  <c r="BR30" i="3"/>
  <c r="BO41" i="3"/>
  <c r="BN46" i="3"/>
  <c r="BG59" i="3"/>
  <c r="BD33" i="3"/>
  <c r="Y9" i="2"/>
  <c r="Z80" i="2"/>
  <c r="BB21" i="3"/>
  <c r="Z31" i="2"/>
  <c r="BA11" i="3"/>
  <c r="Z71" i="2"/>
  <c r="AA25" i="2"/>
  <c r="Z78" i="2"/>
  <c r="FD14" i="4" a="1"/>
  <c r="FA5" i="4" a="1"/>
  <c r="FA9" i="4" a="1"/>
  <c r="EZ13" i="4" a="1"/>
  <c r="BG15" i="3"/>
  <c r="BV34" i="3"/>
  <c r="BT33" i="3"/>
  <c r="BF12" i="3"/>
  <c r="CL23" i="1" s="1"/>
  <c r="BE19" i="3"/>
  <c r="BI40" i="3"/>
  <c r="BT13" i="3"/>
  <c r="BG21" i="3"/>
  <c r="Z109" i="2"/>
  <c r="Z40" i="2"/>
  <c r="Z91" i="2"/>
  <c r="Z75" i="2"/>
  <c r="Y34" i="2"/>
  <c r="AA31" i="2"/>
  <c r="BB31" i="3"/>
  <c r="Y107" i="2"/>
  <c r="Y40" i="2"/>
  <c r="FD15" i="4" a="1"/>
  <c r="EY15" i="4" a="1"/>
  <c r="BS42" i="3"/>
  <c r="BR35" i="3"/>
  <c r="BO19" i="3"/>
  <c r="BL38" i="3"/>
  <c r="BJ18" i="3"/>
  <c r="BE5" i="3"/>
  <c r="BI19" i="3"/>
  <c r="BN21" i="3"/>
  <c r="BE42" i="3"/>
  <c r="BL39" i="3"/>
  <c r="BT19" i="3"/>
  <c r="BF13" i="3"/>
  <c r="BE22" i="3"/>
  <c r="AA53" i="2"/>
  <c r="BC18" i="3"/>
  <c r="BA22" i="3"/>
  <c r="Z96" i="2"/>
  <c r="BC14" i="3"/>
  <c r="Z18" i="2"/>
  <c r="Y30" i="2"/>
  <c r="Y7" i="2"/>
  <c r="Z56" i="2"/>
  <c r="BA30" i="3"/>
  <c r="FC14" i="4" a="1"/>
  <c r="FB14" i="4" a="1"/>
  <c r="EZ9" i="4" a="1"/>
  <c r="BI36" i="3"/>
  <c r="BT16" i="3"/>
  <c r="BH34" i="3"/>
  <c r="BH19" i="3"/>
  <c r="BG33" i="3"/>
  <c r="AB39" i="3"/>
  <c r="AY29" i="3"/>
  <c r="Y44" i="2"/>
  <c r="Z44" i="2"/>
  <c r="BA35" i="3"/>
  <c r="AA104" i="2"/>
  <c r="BA7" i="3"/>
  <c r="BB35" i="3"/>
  <c r="Y79" i="2"/>
  <c r="FD7" i="4" a="1"/>
  <c r="BO20" i="3"/>
  <c r="BK22" i="3"/>
  <c r="BT42" i="3"/>
  <c r="AA29" i="2"/>
  <c r="Z19" i="2"/>
  <c r="AA60" i="2"/>
  <c r="AA97" i="2"/>
  <c r="BD40" i="3"/>
  <c r="EZ16" i="4" a="1"/>
  <c r="BO46" i="3"/>
  <c r="BT22" i="3"/>
  <c r="FF5" i="4" a="1"/>
  <c r="BP60" i="3"/>
  <c r="BU66" i="3"/>
  <c r="CR5" i="1" l="1"/>
  <c r="CR4" i="1" s="1"/>
  <c r="BP57" i="3"/>
  <c r="BQ56" i="3"/>
  <c r="AA61" i="1"/>
  <c r="AA63" i="1"/>
  <c r="AA207" i="1"/>
  <c r="AA209" i="1" s="1"/>
  <c r="CL245" i="1"/>
  <c r="CL19" i="1"/>
  <c r="CL8" i="1" s="1"/>
  <c r="CL208" i="1"/>
  <c r="CL267" i="1"/>
  <c r="CL266" i="1"/>
  <c r="CL35" i="1"/>
  <c r="CL36" i="1" s="1"/>
  <c r="CL74" i="1"/>
  <c r="CK60" i="1"/>
  <c r="CK34" i="1"/>
  <c r="CK23" i="1"/>
  <c r="CK18" i="1"/>
  <c r="CK73" i="1"/>
  <c r="CK29" i="1"/>
  <c r="CK44" i="1"/>
  <c r="CK32" i="1"/>
  <c r="CK54" i="1"/>
  <c r="CK55" i="1"/>
  <c r="CK48" i="1"/>
  <c r="CK30" i="1"/>
  <c r="CK72" i="1"/>
  <c r="CK22" i="1"/>
  <c r="CK56" i="1"/>
  <c r="CK41" i="1"/>
  <c r="CK31" i="1"/>
  <c r="CK17" i="1"/>
  <c r="CK19" i="1" s="1"/>
  <c r="CK24" i="1"/>
  <c r="CK45" i="1"/>
  <c r="CK33" i="1"/>
  <c r="AB125" i="1"/>
  <c r="AB126" i="1" s="1"/>
  <c r="CP126" i="1"/>
  <c r="CO126" i="1"/>
  <c r="CQ126" i="1"/>
  <c r="CR125" i="1"/>
  <c r="Z56" i="1"/>
  <c r="CH54" i="1"/>
  <c r="CH24" i="1"/>
  <c r="X140" i="1"/>
  <c r="X168" i="1" s="1"/>
  <c r="Z136" i="1"/>
  <c r="CH136" i="1" s="1"/>
  <c r="CI136" i="1" s="1"/>
  <c r="Z32" i="1"/>
  <c r="Z169" i="1"/>
  <c r="CH169" i="1" s="1"/>
  <c r="CH48" i="1"/>
  <c r="CJ54" i="1"/>
  <c r="CJ18" i="1"/>
  <c r="X76" i="1"/>
  <c r="Y132" i="1"/>
  <c r="X56" i="1"/>
  <c r="Y30" i="1"/>
  <c r="X146" i="1"/>
  <c r="X131" i="1"/>
  <c r="Y131" i="1"/>
  <c r="Y18" i="1"/>
  <c r="Z185" i="1"/>
  <c r="Z87" i="1"/>
  <c r="Y164" i="1"/>
  <c r="Y146" i="1"/>
  <c r="X167" i="1"/>
  <c r="Y133" i="1"/>
  <c r="Y186" i="1"/>
  <c r="CI55" i="1"/>
  <c r="Y174" i="1"/>
  <c r="Z173" i="1"/>
  <c r="X34" i="1"/>
  <c r="CH41" i="1"/>
  <c r="CH208" i="1" s="1"/>
  <c r="CJ32" i="1"/>
  <c r="CI56" i="1"/>
  <c r="CJ33" i="1"/>
  <c r="CH44" i="1"/>
  <c r="CG45" i="1"/>
  <c r="X160" i="1"/>
  <c r="Y141" i="1"/>
  <c r="X87" i="1"/>
  <c r="Z45" i="1"/>
  <c r="Z178" i="1"/>
  <c r="CH178" i="1" s="1"/>
  <c r="CI178" i="1" s="1"/>
  <c r="X185" i="1"/>
  <c r="Y55" i="1"/>
  <c r="Z177" i="1"/>
  <c r="CH177" i="1" s="1"/>
  <c r="CI177" i="1" s="1"/>
  <c r="Y165" i="1"/>
  <c r="X165" i="1"/>
  <c r="X41" i="1"/>
  <c r="X208" i="1" s="1"/>
  <c r="Z151" i="1"/>
  <c r="CH151" i="1" s="1"/>
  <c r="CI151" i="1" s="1"/>
  <c r="CH22" i="1"/>
  <c r="CG34" i="1"/>
  <c r="CJ30" i="1"/>
  <c r="Y41" i="1"/>
  <c r="Y208" i="1" s="1"/>
  <c r="Y154" i="1"/>
  <c r="Z133" i="1"/>
  <c r="CH133" i="1" s="1"/>
  <c r="CJ23" i="1"/>
  <c r="CG54" i="1"/>
  <c r="CG44" i="1"/>
  <c r="CI17" i="1"/>
  <c r="CG22" i="1"/>
  <c r="CG31" i="1"/>
  <c r="CH55" i="1"/>
  <c r="CH17" i="1"/>
  <c r="CH60" i="1"/>
  <c r="CG24" i="1"/>
  <c r="CJ45" i="1"/>
  <c r="CI54" i="1"/>
  <c r="CJ29" i="1"/>
  <c r="CN29" i="1" s="1"/>
  <c r="CR29" i="1" s="1"/>
  <c r="CV29" i="1" s="1"/>
  <c r="CZ29" i="1" s="1"/>
  <c r="X149" i="1"/>
  <c r="X145" i="1" s="1"/>
  <c r="Y140" i="1"/>
  <c r="Y168" i="1" s="1"/>
  <c r="Z44" i="1"/>
  <c r="Y54" i="1"/>
  <c r="X151" i="1"/>
  <c r="Y178" i="1"/>
  <c r="X18" i="1"/>
  <c r="X186" i="1"/>
  <c r="Z41" i="1"/>
  <c r="Z208" i="1" s="1"/>
  <c r="X141" i="1"/>
  <c r="X139" i="1"/>
  <c r="CI44" i="1"/>
  <c r="CH23" i="1"/>
  <c r="CI31" i="1"/>
  <c r="CH56" i="1"/>
  <c r="CJ73" i="1"/>
  <c r="CI73" i="1" s="1"/>
  <c r="CH73" i="1" s="1"/>
  <c r="CG73" i="1" s="1"/>
  <c r="CF73" i="1" s="1"/>
  <c r="CE73" i="1" s="1"/>
  <c r="CD73" i="1" s="1"/>
  <c r="CC73" i="1" s="1"/>
  <c r="CB73" i="1" s="1"/>
  <c r="CA73" i="1" s="1"/>
  <c r="BZ73" i="1" s="1"/>
  <c r="BY73" i="1" s="1"/>
  <c r="BX73" i="1" s="1"/>
  <c r="BW73" i="1" s="1"/>
  <c r="BV73" i="1" s="1"/>
  <c r="BU73" i="1" s="1"/>
  <c r="BT73" i="1" s="1"/>
  <c r="BS73" i="1" s="1"/>
  <c r="BR73" i="1" s="1"/>
  <c r="BQ73" i="1" s="1"/>
  <c r="BP73" i="1" s="1"/>
  <c r="BO73" i="1" s="1"/>
  <c r="BN73" i="1" s="1"/>
  <c r="BM73" i="1" s="1"/>
  <c r="BL73" i="1" s="1"/>
  <c r="BK73" i="1" s="1"/>
  <c r="BJ73" i="1" s="1"/>
  <c r="BI73" i="1" s="1"/>
  <c r="BH73" i="1" s="1"/>
  <c r="BG73" i="1" s="1"/>
  <c r="BF73" i="1" s="1"/>
  <c r="BE73" i="1" s="1"/>
  <c r="BD73" i="1" s="1"/>
  <c r="BC73" i="1" s="1"/>
  <c r="BB73" i="1" s="1"/>
  <c r="BA73" i="1" s="1"/>
  <c r="AZ73" i="1" s="1"/>
  <c r="AY73" i="1" s="1"/>
  <c r="AX73" i="1" s="1"/>
  <c r="AW73" i="1" s="1"/>
  <c r="AV73" i="1" s="1"/>
  <c r="AU73" i="1" s="1"/>
  <c r="AT73" i="1" s="1"/>
  <c r="AS73" i="1" s="1"/>
  <c r="AR73" i="1" s="1"/>
  <c r="AQ73" i="1" s="1"/>
  <c r="AP73" i="1" s="1"/>
  <c r="AO73" i="1" s="1"/>
  <c r="AN73" i="1" s="1"/>
  <c r="AM73" i="1" s="1"/>
  <c r="AL73" i="1" s="1"/>
  <c r="AK73" i="1" s="1"/>
  <c r="AJ73" i="1" s="1"/>
  <c r="AI73" i="1" s="1"/>
  <c r="CG32" i="1"/>
  <c r="CJ41" i="1"/>
  <c r="CG23" i="1"/>
  <c r="Z55" i="1"/>
  <c r="Z165" i="1"/>
  <c r="CH165" i="1" s="1"/>
  <c r="X48" i="1"/>
  <c r="Z54" i="1"/>
  <c r="X159" i="1"/>
  <c r="Y136" i="1"/>
  <c r="X169" i="1"/>
  <c r="Z33" i="1"/>
  <c r="X136" i="1"/>
  <c r="Z147" i="1"/>
  <c r="CH147" i="1" s="1"/>
  <c r="CI147" i="1" s="1"/>
  <c r="Z154" i="1"/>
  <c r="Z24" i="1"/>
  <c r="X22" i="1"/>
  <c r="Y86" i="1"/>
  <c r="Y184" i="1"/>
  <c r="Z184" i="1"/>
  <c r="X138" i="1"/>
  <c r="Y60" i="1"/>
  <c r="Y34" i="1"/>
  <c r="Y173" i="1"/>
  <c r="Z132" i="1"/>
  <c r="CH132" i="1" s="1"/>
  <c r="CI132" i="1" s="1"/>
  <c r="Y44" i="1"/>
  <c r="Y169" i="1"/>
  <c r="Z88" i="1"/>
  <c r="Z157" i="1"/>
  <c r="Z141" i="1"/>
  <c r="CH141" i="1" s="1"/>
  <c r="CI141" i="1" s="1"/>
  <c r="Y157" i="1"/>
  <c r="Y17" i="1"/>
  <c r="CG55" i="1"/>
  <c r="CJ72" i="1"/>
  <c r="CI72" i="1" s="1"/>
  <c r="CH72" i="1" s="1"/>
  <c r="CG72" i="1" s="1"/>
  <c r="CF72" i="1" s="1"/>
  <c r="CE72" i="1" s="1"/>
  <c r="CD72" i="1" s="1"/>
  <c r="CC72" i="1" s="1"/>
  <c r="CB72" i="1" s="1"/>
  <c r="CA72" i="1" s="1"/>
  <c r="BZ72" i="1" s="1"/>
  <c r="BY72" i="1" s="1"/>
  <c r="BX72" i="1" s="1"/>
  <c r="BW72" i="1" s="1"/>
  <c r="BV72" i="1" s="1"/>
  <c r="BU72" i="1" s="1"/>
  <c r="BT72" i="1" s="1"/>
  <c r="BS72" i="1" s="1"/>
  <c r="BR72" i="1" s="1"/>
  <c r="BQ72" i="1" s="1"/>
  <c r="BP72" i="1" s="1"/>
  <c r="BO72" i="1" s="1"/>
  <c r="BN72" i="1" s="1"/>
  <c r="BM72" i="1" s="1"/>
  <c r="BL72" i="1" s="1"/>
  <c r="BK72" i="1" s="1"/>
  <c r="BJ72" i="1" s="1"/>
  <c r="BI72" i="1" s="1"/>
  <c r="BH72" i="1" s="1"/>
  <c r="BG72" i="1" s="1"/>
  <c r="BF72" i="1" s="1"/>
  <c r="BE72" i="1" s="1"/>
  <c r="BD72" i="1" s="1"/>
  <c r="BC72" i="1" s="1"/>
  <c r="BB72" i="1" s="1"/>
  <c r="BA72" i="1" s="1"/>
  <c r="AZ72" i="1" s="1"/>
  <c r="AY72" i="1" s="1"/>
  <c r="AX72" i="1" s="1"/>
  <c r="AW72" i="1" s="1"/>
  <c r="AV72" i="1" s="1"/>
  <c r="AU72" i="1" s="1"/>
  <c r="AT72" i="1" s="1"/>
  <c r="AS72" i="1" s="1"/>
  <c r="AR72" i="1" s="1"/>
  <c r="AQ72" i="1" s="1"/>
  <c r="AP72" i="1" s="1"/>
  <c r="AO72" i="1" s="1"/>
  <c r="AN72" i="1" s="1"/>
  <c r="AM72" i="1" s="1"/>
  <c r="AL72" i="1" s="1"/>
  <c r="AK72" i="1" s="1"/>
  <c r="AJ72" i="1" s="1"/>
  <c r="AI72" i="1" s="1"/>
  <c r="CH34" i="1"/>
  <c r="CH31" i="1"/>
  <c r="CJ55" i="1"/>
  <c r="CG41" i="1"/>
  <c r="CI60" i="1"/>
  <c r="CI48" i="1"/>
  <c r="CG60" i="1"/>
  <c r="CH32" i="1"/>
  <c r="CJ17" i="1"/>
  <c r="CI32" i="1"/>
  <c r="CJ24" i="1"/>
  <c r="CJ22" i="1"/>
  <c r="CG17" i="1"/>
  <c r="CG245" i="1" s="1"/>
  <c r="CI30" i="1"/>
  <c r="CH29" i="1"/>
  <c r="CP29" i="1" s="1"/>
  <c r="CT29" i="1" s="1"/>
  <c r="CX29" i="1" s="1"/>
  <c r="DB29" i="1" s="1"/>
  <c r="CI41" i="1"/>
  <c r="CI208" i="1" s="1"/>
  <c r="CG33" i="1"/>
  <c r="X174" i="1"/>
  <c r="Y150" i="1"/>
  <c r="Y32" i="1"/>
  <c r="Z131" i="1"/>
  <c r="X45" i="1"/>
  <c r="Y149" i="1"/>
  <c r="Y145" i="1" s="1"/>
  <c r="Y56" i="1"/>
  <c r="Y24" i="1"/>
  <c r="X154" i="1"/>
  <c r="Y31" i="1"/>
  <c r="X32" i="1"/>
  <c r="X163" i="1"/>
  <c r="X86" i="1"/>
  <c r="Y161" i="1"/>
  <c r="Y185" i="1"/>
  <c r="Z158" i="1"/>
  <c r="Z146" i="1"/>
  <c r="CH146" i="1" s="1"/>
  <c r="Y160" i="1"/>
  <c r="Z22" i="1"/>
  <c r="Z17" i="1"/>
  <c r="Y159" i="1"/>
  <c r="Z60" i="1"/>
  <c r="Z163" i="1"/>
  <c r="CH163" i="1" s="1"/>
  <c r="Z149" i="1"/>
  <c r="Y22" i="1"/>
  <c r="Y177" i="1"/>
  <c r="X55" i="1"/>
  <c r="X161" i="1"/>
  <c r="Z160" i="1"/>
  <c r="CH160" i="1" s="1"/>
  <c r="Z48" i="1"/>
  <c r="Y29" i="1"/>
  <c r="X177" i="1"/>
  <c r="Z139" i="1"/>
  <c r="CH139" i="1" s="1"/>
  <c r="CI139" i="1" s="1"/>
  <c r="X88" i="1"/>
  <c r="X31" i="1"/>
  <c r="X132" i="1"/>
  <c r="Y76" i="1"/>
  <c r="Z86" i="1"/>
  <c r="X30" i="1"/>
  <c r="X133" i="1"/>
  <c r="Y87" i="1"/>
  <c r="Z140" i="1"/>
  <c r="CH140" i="1" s="1"/>
  <c r="CI140" i="1" s="1"/>
  <c r="Y45" i="1"/>
  <c r="Y138" i="1"/>
  <c r="X17" i="1"/>
  <c r="X245" i="1" s="1"/>
  <c r="CI33" i="1"/>
  <c r="CJ48" i="1"/>
  <c r="CH33" i="1"/>
  <c r="CI23" i="1"/>
  <c r="CJ44" i="1"/>
  <c r="CI24" i="1"/>
  <c r="CI22" i="1"/>
  <c r="CG48" i="1"/>
  <c r="CG29" i="1"/>
  <c r="CH45" i="1"/>
  <c r="CI45" i="1"/>
  <c r="CI29" i="1"/>
  <c r="CM29" i="1" s="1"/>
  <c r="CQ29" i="1" s="1"/>
  <c r="CU29" i="1" s="1"/>
  <c r="CY29" i="1" s="1"/>
  <c r="CJ31" i="1"/>
  <c r="CJ34" i="1"/>
  <c r="CH30" i="1"/>
  <c r="CE48" i="1"/>
  <c r="CG56" i="1"/>
  <c r="CJ56" i="1"/>
  <c r="CG18" i="1"/>
  <c r="CG30" i="1"/>
  <c r="CI34" i="1"/>
  <c r="CJ60" i="1"/>
  <c r="CH18" i="1"/>
  <c r="CI18" i="1"/>
  <c r="Y156" i="1"/>
  <c r="X60" i="1"/>
  <c r="Z138" i="1"/>
  <c r="CH138" i="1" s="1"/>
  <c r="CI138" i="1" s="1"/>
  <c r="Y147" i="1"/>
  <c r="Y33" i="1"/>
  <c r="X54" i="1"/>
  <c r="Z186" i="1"/>
  <c r="X24" i="1"/>
  <c r="Y163" i="1"/>
  <c r="Z174" i="1"/>
  <c r="CH174" i="1" s="1"/>
  <c r="X156" i="1"/>
  <c r="Y167" i="1"/>
  <c r="Y48" i="1"/>
  <c r="Z18" i="1"/>
  <c r="Z164" i="1"/>
  <c r="CH164" i="1" s="1"/>
  <c r="Y88" i="1"/>
  <c r="X44" i="1"/>
  <c r="X150" i="1"/>
  <c r="Z150" i="1"/>
  <c r="CH150" i="1" s="1"/>
  <c r="CI150" i="1" s="1"/>
  <c r="Z161" i="1"/>
  <c r="CH161" i="1" s="1"/>
  <c r="X147" i="1"/>
  <c r="Z29" i="1"/>
  <c r="Z159" i="1"/>
  <c r="CH159" i="1" s="1"/>
  <c r="Z156" i="1"/>
  <c r="CH156" i="1" s="1"/>
  <c r="X173" i="1"/>
  <c r="X164" i="1"/>
  <c r="Y139" i="1"/>
  <c r="Z30" i="1"/>
  <c r="Z31" i="1"/>
  <c r="Z76" i="1"/>
  <c r="Z34" i="1"/>
  <c r="X158" i="1"/>
  <c r="Y151" i="1"/>
  <c r="Y158" i="1"/>
  <c r="X178" i="1"/>
  <c r="X33" i="1"/>
  <c r="X29" i="1"/>
  <c r="Z167" i="1"/>
  <c r="CH167" i="1" s="1"/>
  <c r="X157" i="1"/>
  <c r="X184" i="1"/>
  <c r="JP9" i="4" s="1"/>
  <c r="JP16" i="4" s="1"/>
  <c r="JO16" i="4" s="1"/>
  <c r="JO9" i="4" s="1"/>
  <c r="JN9" i="4" s="1"/>
  <c r="JN16" i="4" s="1"/>
  <c r="BP50" i="3"/>
  <c r="BP61" i="3"/>
  <c r="BJ90" i="3"/>
  <c r="BA56" i="3"/>
  <c r="BA95" i="3"/>
  <c r="BQ65" i="3"/>
  <c r="BH75" i="3"/>
  <c r="BL88" i="3"/>
  <c r="BC50" i="3"/>
  <c r="BM82" i="3"/>
  <c r="BP72" i="3"/>
  <c r="BG69" i="3"/>
  <c r="BG75" i="3"/>
  <c r="BM80" i="3"/>
  <c r="BM79" i="3"/>
  <c r="Z113" i="2"/>
  <c r="BB62" i="3"/>
  <c r="BB68" i="3"/>
  <c r="BB64" i="3"/>
  <c r="BG73" i="3"/>
  <c r="BE96" i="3"/>
  <c r="BP96" i="3"/>
  <c r="BD76" i="3"/>
  <c r="BP62" i="3"/>
  <c r="BI64" i="3"/>
  <c r="BB76" i="3"/>
  <c r="BA54" i="3"/>
  <c r="BA86" i="3"/>
  <c r="BD85" i="3"/>
  <c r="BH95" i="3"/>
  <c r="BH50" i="3"/>
  <c r="BL83" i="3"/>
  <c r="BL78" i="3"/>
  <c r="BL48" i="3"/>
  <c r="BE63" i="3"/>
  <c r="BE68" i="3"/>
  <c r="BI68" i="3"/>
  <c r="BE85" i="3"/>
  <c r="BP77" i="3"/>
  <c r="BJ56" i="3"/>
  <c r="BA72" i="3"/>
  <c r="BA91" i="3"/>
  <c r="BQ59" i="3"/>
  <c r="BH47" i="3"/>
  <c r="BL86" i="3"/>
  <c r="BC82" i="3"/>
  <c r="BM60" i="3"/>
  <c r="BP76" i="3"/>
  <c r="BG76" i="3"/>
  <c r="BG80" i="3"/>
  <c r="BM95" i="3"/>
  <c r="BM62" i="3"/>
  <c r="Z111" i="2"/>
  <c r="BB58" i="3"/>
  <c r="BB66" i="3"/>
  <c r="BB83" i="3"/>
  <c r="BG95" i="3"/>
  <c r="BM81" i="3"/>
  <c r="BP97" i="3"/>
  <c r="BD89" i="3"/>
  <c r="BP58" i="3"/>
  <c r="BI72" i="3"/>
  <c r="BB81" i="3"/>
  <c r="BA76" i="3"/>
  <c r="BA61" i="3"/>
  <c r="BD73" i="3"/>
  <c r="BH83" i="3"/>
  <c r="BH94" i="3"/>
  <c r="BL58" i="3"/>
  <c r="BL60" i="3"/>
  <c r="BL91" i="3"/>
  <c r="BE83" i="3"/>
  <c r="BE87" i="3"/>
  <c r="BI62" i="3"/>
  <c r="BI85" i="3"/>
  <c r="BF78" i="3"/>
  <c r="CL156" i="1" s="1"/>
  <c r="BQ70" i="3"/>
  <c r="BQ67" i="3"/>
  <c r="BQ96" i="3"/>
  <c r="BR92" i="3"/>
  <c r="BV56" i="3"/>
  <c r="BT50" i="3"/>
  <c r="BN92" i="3"/>
  <c r="BO76" i="3"/>
  <c r="BO67" i="3"/>
  <c r="BS71" i="3"/>
  <c r="BS65" i="3"/>
  <c r="BS86" i="3"/>
  <c r="BU49" i="3"/>
  <c r="BU86" i="3"/>
  <c r="BU97" i="3"/>
  <c r="BR78" i="3"/>
  <c r="BR66" i="3"/>
  <c r="BR83" i="3"/>
  <c r="BV93" i="3"/>
  <c r="BV82" i="3"/>
  <c r="BV87" i="3"/>
  <c r="BT96" i="3"/>
  <c r="BT83" i="3"/>
  <c r="BN57" i="3"/>
  <c r="BN93" i="3"/>
  <c r="BN71" i="3"/>
  <c r="BN83" i="3"/>
  <c r="BP82" i="3"/>
  <c r="AA113" i="2"/>
  <c r="BO86" i="3"/>
  <c r="BS76" i="3"/>
  <c r="BG82" i="3"/>
  <c r="BL95" i="3"/>
  <c r="BE59" i="3"/>
  <c r="BI77" i="3"/>
  <c r="BM58" i="3"/>
  <c r="BF72" i="3"/>
  <c r="CL149" i="1" s="1"/>
  <c r="BJ68" i="3"/>
  <c r="BJ91" i="3"/>
  <c r="BJ65" i="3"/>
  <c r="BK81" i="3"/>
  <c r="BK85" i="3"/>
  <c r="BK56" i="3"/>
  <c r="BK89" i="3"/>
  <c r="GQ5" i="4" a="1"/>
  <c r="GS7" i="4" a="1"/>
  <c r="GH6" i="4" a="1"/>
  <c r="FZ6" i="4" a="1"/>
  <c r="FR15" i="4" a="1"/>
  <c r="HD6" i="4" a="1"/>
  <c r="HC8" i="4" a="1"/>
  <c r="GP9" i="4" a="1"/>
  <c r="HG13" i="4" a="1"/>
  <c r="FH6" i="4" a="1"/>
  <c r="GC8" i="4" a="1"/>
  <c r="GN8" i="4" a="1"/>
  <c r="GW12" i="4" a="1"/>
  <c r="FT5" i="4" a="1"/>
  <c r="HD7" i="4" a="1"/>
  <c r="GW7" i="4" a="1"/>
  <c r="FI12" i="4" a="1"/>
  <c r="FN5" i="4" a="1"/>
  <c r="GF7" i="4" a="1"/>
  <c r="FX8" i="4" a="1"/>
  <c r="GZ12" i="4" a="1"/>
  <c r="BV48" i="3"/>
  <c r="BP87" i="3"/>
  <c r="BJ59" i="3"/>
  <c r="BA90" i="3"/>
  <c r="BA89" i="3"/>
  <c r="BQ49" i="3"/>
  <c r="BH78" i="3"/>
  <c r="BL90" i="3"/>
  <c r="BC65" i="3"/>
  <c r="BM56" i="3"/>
  <c r="BP78" i="3"/>
  <c r="BG71" i="3"/>
  <c r="BG92" i="3"/>
  <c r="BM74" i="3"/>
  <c r="BM90" i="3"/>
  <c r="BB84" i="3"/>
  <c r="BB70" i="3"/>
  <c r="BB48" i="3"/>
  <c r="BG74" i="3"/>
  <c r="BG57" i="3"/>
  <c r="BM97" i="3"/>
  <c r="BP47" i="3"/>
  <c r="BD55" i="3"/>
  <c r="BP49" i="3"/>
  <c r="BI80" i="3"/>
  <c r="BB91" i="3"/>
  <c r="BA80" i="3"/>
  <c r="BA57" i="3"/>
  <c r="BQ47" i="3"/>
  <c r="BH73" i="3"/>
  <c r="BH88" i="3"/>
  <c r="BL55" i="3"/>
  <c r="BL62" i="3"/>
  <c r="BL75" i="3"/>
  <c r="BE86" i="3"/>
  <c r="BE57" i="3"/>
  <c r="BI70" i="3"/>
  <c r="BI76" i="3"/>
  <c r="BF49" i="3"/>
  <c r="CL82" i="1" s="1"/>
  <c r="BQ86" i="3"/>
  <c r="BQ64" i="3"/>
  <c r="BQ95" i="3"/>
  <c r="BR93" i="3"/>
  <c r="BV77" i="3"/>
  <c r="BT94" i="3"/>
  <c r="BN65" i="3"/>
  <c r="BO80" i="3"/>
  <c r="BO70" i="3"/>
  <c r="BS80" i="3"/>
  <c r="BS95" i="3"/>
  <c r="BS82" i="3"/>
  <c r="BU56" i="3"/>
  <c r="BU83" i="3"/>
  <c r="BU65" i="3"/>
  <c r="BR76" i="3"/>
  <c r="BR84" i="3"/>
  <c r="BR87" i="3"/>
  <c r="BV68" i="3"/>
  <c r="BV86" i="3"/>
  <c r="BV66" i="3"/>
  <c r="BT64" i="3"/>
  <c r="BT85" i="3"/>
  <c r="BN86" i="3"/>
  <c r="BN75" i="3"/>
  <c r="BN96" i="3"/>
  <c r="BN85" i="3"/>
  <c r="BP85" i="3"/>
  <c r="Y112" i="2"/>
  <c r="BO64" i="3"/>
  <c r="BS79" i="3"/>
  <c r="BG68" i="3"/>
  <c r="BL85" i="3"/>
  <c r="BE67" i="3"/>
  <c r="BI60" i="3"/>
  <c r="BM83" i="3"/>
  <c r="BF70" i="3"/>
  <c r="CL147" i="1" s="1"/>
  <c r="BJ70" i="3"/>
  <c r="BJ54" i="3"/>
  <c r="BJ67" i="3"/>
  <c r="BK69" i="3"/>
  <c r="BK80" i="3"/>
  <c r="BK95" i="3"/>
  <c r="BK93" i="3"/>
  <c r="HG5" i="4" a="1"/>
  <c r="FO8" i="4" a="1"/>
  <c r="FQ7" i="4" a="1"/>
  <c r="HE8" i="4" a="1"/>
  <c r="FT7" i="4" a="1"/>
  <c r="GE7" i="4" a="1"/>
  <c r="HC5" i="4" a="1"/>
  <c r="HB9" i="4" a="1"/>
  <c r="GC14" i="4" a="1"/>
  <c r="GF6" i="4" a="1"/>
  <c r="GM8" i="4" a="1"/>
  <c r="FJ9" i="4" a="1"/>
  <c r="FS13" i="4" a="1"/>
  <c r="GF5" i="4" a="1"/>
  <c r="FU8" i="4" a="1"/>
  <c r="GF8" i="4" a="1"/>
  <c r="GG12" i="4" a="1"/>
  <c r="FZ5" i="4" a="1"/>
  <c r="FG8" i="4" a="1"/>
  <c r="GV8" i="4" a="1"/>
  <c r="FV13" i="4" a="1"/>
  <c r="GD5" i="4" a="1"/>
  <c r="GA8" i="4" a="1"/>
  <c r="HG8" i="4" a="1"/>
  <c r="FN13" i="4" a="1"/>
  <c r="FO11" i="4" a="1"/>
  <c r="FJ12" i="4" a="1"/>
  <c r="HF12" i="4" a="1"/>
  <c r="GZ13" i="4" a="1"/>
  <c r="GQ11" i="4" a="1"/>
  <c r="GK12" i="4" a="1"/>
  <c r="GE13" i="4" a="1"/>
  <c r="FY14" i="4" a="1"/>
  <c r="FN8" i="4" a="1"/>
  <c r="FU13" i="4" a="1"/>
  <c r="FS15" i="4" a="1"/>
  <c r="GZ15" i="4" a="1"/>
  <c r="FV16" i="4" a="1"/>
  <c r="GT16" i="4" a="1"/>
  <c r="FN14" i="4" a="1"/>
  <c r="GJ11" i="4" a="1"/>
  <c r="GL14" i="4" a="1"/>
  <c r="GC13" i="4" a="1"/>
  <c r="HH11" i="4" a="1"/>
  <c r="BP48" i="3"/>
  <c r="BJ86" i="3"/>
  <c r="BA59" i="3"/>
  <c r="BP80" i="3"/>
  <c r="BJ88" i="3"/>
  <c r="BA96" i="3"/>
  <c r="BA71" i="3"/>
  <c r="BQ61" i="3"/>
  <c r="BH63" i="3"/>
  <c r="BK68" i="3"/>
  <c r="BU63" i="3"/>
  <c r="BM73" i="3"/>
  <c r="BP89" i="3"/>
  <c r="BG96" i="3"/>
  <c r="BE82" i="3"/>
  <c r="BM84" i="3"/>
  <c r="BM57" i="3"/>
  <c r="BB50" i="3"/>
  <c r="BB71" i="3"/>
  <c r="BB94" i="3"/>
  <c r="BG64" i="3"/>
  <c r="BH55" i="3"/>
  <c r="BM88" i="3"/>
  <c r="BD82" i="3"/>
  <c r="BD93" i="3"/>
  <c r="BP59" i="3"/>
  <c r="BI92" i="3"/>
  <c r="BB77" i="3"/>
  <c r="BA66" i="3"/>
  <c r="BC56" i="3"/>
  <c r="BQ50" i="3"/>
  <c r="BH60" i="3"/>
  <c r="BH92" i="3"/>
  <c r="BL47" i="3"/>
  <c r="BL96" i="3"/>
  <c r="BL59" i="3"/>
  <c r="BE84" i="3"/>
  <c r="BE61" i="3"/>
  <c r="BI90" i="3"/>
  <c r="BF89" i="3"/>
  <c r="CL167" i="1" s="1"/>
  <c r="CL197" i="1" s="1"/>
  <c r="BF66" i="3"/>
  <c r="CL165" i="1" s="1"/>
  <c r="BQ79" i="3"/>
  <c r="BQ71" i="3"/>
  <c r="BU72" i="3"/>
  <c r="BR50" i="3"/>
  <c r="BV47" i="3"/>
  <c r="BT92" i="3"/>
  <c r="BO97" i="3"/>
  <c r="BO84" i="3"/>
  <c r="BO74" i="3"/>
  <c r="BS83" i="3"/>
  <c r="BS55" i="3"/>
  <c r="BS69" i="3"/>
  <c r="BU59" i="3"/>
  <c r="BU77" i="3"/>
  <c r="BU81" i="3"/>
  <c r="BR64" i="3"/>
  <c r="BR80" i="3"/>
  <c r="BR67" i="3"/>
  <c r="BV90" i="3"/>
  <c r="BV92" i="3"/>
  <c r="BT68" i="3"/>
  <c r="BT57" i="3"/>
  <c r="BT87" i="3"/>
  <c r="BN77" i="3"/>
  <c r="BN61" i="3"/>
  <c r="BN56" i="3"/>
  <c r="BN91" i="3"/>
  <c r="BF67" i="3"/>
  <c r="BO47" i="3"/>
  <c r="BO78" i="3"/>
  <c r="BS87" i="3"/>
  <c r="BG62" i="3"/>
  <c r="BL50" i="3"/>
  <c r="BE73" i="3"/>
  <c r="BI91" i="3"/>
  <c r="BM89" i="3"/>
  <c r="BF50" i="3"/>
  <c r="CL83" i="1" s="1"/>
  <c r="BJ76" i="3"/>
  <c r="BJ55" i="3"/>
  <c r="BJ71" i="3"/>
  <c r="BK77" i="3"/>
  <c r="BK60" i="3"/>
  <c r="BK54" i="3"/>
  <c r="GT14" i="4" a="1"/>
  <c r="GN6" i="4" a="1"/>
  <c r="GK8" i="4" a="1"/>
  <c r="GB8" i="4" a="1"/>
  <c r="GX11" i="4" a="1"/>
  <c r="FY9" i="4" a="1"/>
  <c r="GW5" i="4" a="1"/>
  <c r="GG6" i="4" a="1"/>
  <c r="GB11" i="4" a="1"/>
  <c r="FW15" i="4" a="1"/>
  <c r="FW7" i="4" a="1"/>
  <c r="GX5" i="4" a="1"/>
  <c r="GZ9" i="4" a="1"/>
  <c r="FU14" i="4" a="1"/>
  <c r="FP6" i="4" a="1"/>
  <c r="GS8" i="4" a="1"/>
  <c r="FZ9" i="4" a="1"/>
  <c r="GD13" i="4" a="1"/>
  <c r="FM6" i="4" a="1"/>
  <c r="GI8" i="4" a="1"/>
  <c r="GR9" i="4" a="1"/>
  <c r="FP14" i="4" a="1"/>
  <c r="FU6" i="4" a="1"/>
  <c r="HA8" i="4" a="1"/>
  <c r="GV9" i="4" a="1"/>
  <c r="FM14" i="4" a="1"/>
  <c r="FW11" i="4" a="1"/>
  <c r="FR12" i="4" a="1"/>
  <c r="FL13" i="4" a="1"/>
  <c r="FN7" i="4" a="1"/>
  <c r="GY11" i="4" a="1"/>
  <c r="GS12" i="4" a="1"/>
  <c r="GM13" i="4" a="1"/>
  <c r="GG14" i="4" a="1"/>
  <c r="FQ9" i="4" a="1"/>
  <c r="HA13" i="4" a="1"/>
  <c r="BP83" i="3"/>
  <c r="BA81" i="3"/>
  <c r="BA69" i="3"/>
  <c r="BA84" i="3"/>
  <c r="BQ58" i="3"/>
  <c r="BH72" i="3"/>
  <c r="BK50" i="3"/>
  <c r="BR71" i="3"/>
  <c r="BM77" i="3"/>
  <c r="BG70" i="3"/>
  <c r="BG89" i="3"/>
  <c r="BE74" i="3"/>
  <c r="BM49" i="3"/>
  <c r="BM76" i="3"/>
  <c r="BB79" i="3"/>
  <c r="BB56" i="3"/>
  <c r="BB90" i="3"/>
  <c r="BG72" i="3"/>
  <c r="BH54" i="3"/>
  <c r="BM92" i="3"/>
  <c r="BD88" i="3"/>
  <c r="BU47" i="3"/>
  <c r="BI49" i="3"/>
  <c r="BI86" i="3"/>
  <c r="BB80" i="3"/>
  <c r="BA77" i="3"/>
  <c r="BC85" i="3"/>
  <c r="BQ54" i="3"/>
  <c r="BH79" i="3"/>
  <c r="BH90" i="3"/>
  <c r="BL71" i="3"/>
  <c r="BL74" i="3"/>
  <c r="BL56" i="3"/>
  <c r="BE78" i="3"/>
  <c r="BE48" i="3"/>
  <c r="BI94" i="3"/>
  <c r="BF71" i="3"/>
  <c r="BF80" i="3"/>
  <c r="CL173" i="1" s="1"/>
  <c r="BQ76" i="3"/>
  <c r="BQ80" i="3"/>
  <c r="BU74" i="3"/>
  <c r="BR58" i="3"/>
  <c r="BV65" i="3"/>
  <c r="BT75" i="3"/>
  <c r="BO49" i="3"/>
  <c r="BO88" i="3"/>
  <c r="BO77" i="3"/>
  <c r="BS84" i="3"/>
  <c r="BS78" i="3"/>
  <c r="BS64" i="3"/>
  <c r="BU60" i="3"/>
  <c r="BU85" i="3"/>
  <c r="BU88" i="3"/>
  <c r="BR74" i="3"/>
  <c r="BR77" i="3"/>
  <c r="BV62" i="3"/>
  <c r="BV88" i="3"/>
  <c r="BV94" i="3"/>
  <c r="BT63" i="3"/>
  <c r="BT47" i="3"/>
  <c r="BT54" i="3"/>
  <c r="BN79" i="3"/>
  <c r="BN55" i="3"/>
  <c r="BN66" i="3"/>
  <c r="BN97" i="3"/>
  <c r="BF77" i="3"/>
  <c r="CL154" i="1" s="1"/>
  <c r="BO48" i="3"/>
  <c r="BO91" i="3"/>
  <c r="BS89" i="3"/>
  <c r="BG47" i="3"/>
  <c r="BE49" i="3"/>
  <c r="BE77" i="3"/>
  <c r="BI61" i="3"/>
  <c r="BM55" i="3"/>
  <c r="BJ49" i="3"/>
  <c r="BJ78" i="3"/>
  <c r="BJ62" i="3"/>
  <c r="BJ73" i="3"/>
  <c r="BG86" i="3"/>
  <c r="BA67" i="3"/>
  <c r="BA70" i="3"/>
  <c r="BA63" i="3"/>
  <c r="BP56" i="3"/>
  <c r="BH96" i="3"/>
  <c r="BC49" i="3"/>
  <c r="BR56" i="3"/>
  <c r="BN49" i="3"/>
  <c r="BG55" i="3"/>
  <c r="BG83" i="3"/>
  <c r="BE62" i="3"/>
  <c r="BM48" i="3"/>
  <c r="BF84" i="3"/>
  <c r="CL160" i="1" s="1"/>
  <c r="BB55" i="3"/>
  <c r="BB69" i="3"/>
  <c r="BB87" i="3"/>
  <c r="BG94" i="3"/>
  <c r="BH64" i="3"/>
  <c r="BF86" i="3"/>
  <c r="BD70" i="3"/>
  <c r="BU48" i="3"/>
  <c r="BI69" i="3"/>
  <c r="BI74" i="3"/>
  <c r="BB82" i="3"/>
  <c r="BA78" i="3"/>
  <c r="BC57" i="3"/>
  <c r="BQ55" i="3"/>
  <c r="BH71" i="3"/>
  <c r="BH80" i="3"/>
  <c r="BL64" i="3"/>
  <c r="BL80" i="3"/>
  <c r="BL87" i="3"/>
  <c r="BE72" i="3"/>
  <c r="BE70" i="3"/>
  <c r="BI47" i="3"/>
  <c r="BF65" i="3"/>
  <c r="CL164" i="1" s="1"/>
  <c r="BF82" i="3"/>
  <c r="CL159" i="1" s="1"/>
  <c r="CL194" i="1" s="1"/>
  <c r="BQ72" i="3"/>
  <c r="BQ81" i="3"/>
  <c r="BU75" i="3"/>
  <c r="BR63" i="3"/>
  <c r="BV81" i="3"/>
  <c r="BT80" i="3"/>
  <c r="BO55" i="3"/>
  <c r="BO89" i="3"/>
  <c r="BO79" i="3"/>
  <c r="BS85" i="3"/>
  <c r="BS47" i="3"/>
  <c r="BS61" i="3"/>
  <c r="BU62" i="3"/>
  <c r="BU89" i="3"/>
  <c r="BU64" i="3"/>
  <c r="BR72" i="3"/>
  <c r="BR69" i="3"/>
  <c r="BV50" i="3"/>
  <c r="BV84" i="3"/>
  <c r="BV96" i="3"/>
  <c r="BT58" i="3"/>
  <c r="BT56" i="3"/>
  <c r="BT60" i="3"/>
  <c r="BN89" i="3"/>
  <c r="BN90" i="3"/>
  <c r="BN68" i="3"/>
  <c r="BP54" i="3"/>
  <c r="BF73" i="3"/>
  <c r="BO69" i="3"/>
  <c r="BO93" i="3"/>
  <c r="BS49" i="3"/>
  <c r="BG84" i="3"/>
  <c r="BE47" i="3"/>
  <c r="BE81" i="3"/>
  <c r="BI50" i="3"/>
  <c r="BF68" i="3"/>
  <c r="CL148" i="1" s="1"/>
  <c r="BJ74" i="3"/>
  <c r="BJ80" i="3"/>
  <c r="BJ64" i="3"/>
  <c r="BJ75" i="3"/>
  <c r="BK88" i="3"/>
  <c r="BK62" i="3"/>
  <c r="BK65" i="3"/>
  <c r="GE15" i="4" a="1"/>
  <c r="GH7" i="4" a="1"/>
  <c r="GM5" i="4" a="1"/>
  <c r="FR9" i="4" a="1"/>
  <c r="GJ12" i="4" a="1"/>
  <c r="FO5" i="4" a="1"/>
  <c r="GQ6" i="4" a="1"/>
  <c r="FL9" i="4" a="1"/>
  <c r="GD7" i="4" a="1"/>
  <c r="GX8" i="4" a="1"/>
  <c r="GO5" i="4" a="1"/>
  <c r="GB6" i="4" a="1"/>
  <c r="FV11" i="4" a="1"/>
  <c r="FO15" i="4" a="1"/>
  <c r="BG63" i="3"/>
  <c r="BA48" i="3"/>
  <c r="BA50" i="3"/>
  <c r="BA55" i="3"/>
  <c r="BP73" i="3"/>
  <c r="BH70" i="3"/>
  <c r="BC71" i="3"/>
  <c r="BR61" i="3"/>
  <c r="BN84" i="3"/>
  <c r="BG78" i="3"/>
  <c r="BG65" i="3"/>
  <c r="BE56" i="3"/>
  <c r="BM59" i="3"/>
  <c r="BF83" i="3"/>
  <c r="CL174" i="1" s="1"/>
  <c r="BB65" i="3"/>
  <c r="BB74" i="3"/>
  <c r="BB78" i="3"/>
  <c r="BG77" i="3"/>
  <c r="BH68" i="3"/>
  <c r="BF88" i="3"/>
  <c r="CL141" i="1" s="1"/>
  <c r="BD49" i="3"/>
  <c r="BU54" i="3"/>
  <c r="BI73" i="3"/>
  <c r="BI97" i="3"/>
  <c r="BB57" i="3"/>
  <c r="BA74" i="3"/>
  <c r="BC60" i="3"/>
  <c r="BQ57" i="3"/>
  <c r="BH58" i="3"/>
  <c r="BH82" i="3"/>
  <c r="BL93" i="3"/>
  <c r="BL82" i="3"/>
  <c r="BL79" i="3"/>
  <c r="BE80" i="3"/>
  <c r="BE88" i="3"/>
  <c r="BI57" i="3"/>
  <c r="BF47" i="3"/>
  <c r="BF93" i="3"/>
  <c r="BQ63" i="3"/>
  <c r="BQ82" i="3"/>
  <c r="BU76" i="3"/>
  <c r="BR54" i="3"/>
  <c r="BV60" i="3"/>
  <c r="BT84" i="3"/>
  <c r="BO59" i="3"/>
  <c r="BO94" i="3"/>
  <c r="BO82" i="3"/>
  <c r="BS73" i="3"/>
  <c r="BS77" i="3"/>
  <c r="BS57" i="3"/>
  <c r="BU71" i="3"/>
  <c r="BU90" i="3"/>
  <c r="BU70" i="3"/>
  <c r="BR59" i="3"/>
  <c r="BR96" i="3"/>
  <c r="BV79" i="3"/>
  <c r="BV80" i="3"/>
  <c r="BV63" i="3"/>
  <c r="BT59" i="3"/>
  <c r="BT55" i="3"/>
  <c r="BT62" i="3"/>
  <c r="BN67" i="3"/>
  <c r="BN48" i="3"/>
  <c r="BN70" i="3"/>
  <c r="BP69" i="3"/>
  <c r="BF69" i="3"/>
  <c r="BO54" i="3"/>
  <c r="BO96" i="3"/>
  <c r="BS54" i="3"/>
  <c r="BG90" i="3"/>
  <c r="BE79" i="3"/>
  <c r="BI63" i="3"/>
  <c r="BM69" i="3"/>
  <c r="BF74" i="3"/>
  <c r="CL151" i="1" s="1"/>
  <c r="BJ82" i="3"/>
  <c r="BJ96" i="3"/>
  <c r="BJ92" i="3"/>
  <c r="BJ77" i="3"/>
  <c r="BK83" i="3"/>
  <c r="BK76" i="3"/>
  <c r="BK97" i="3"/>
  <c r="FM5" i="4" a="1"/>
  <c r="HF7" i="4" a="1"/>
  <c r="FI6" i="4" a="1"/>
  <c r="GH9" i="4" a="1"/>
  <c r="HE12" i="4" a="1"/>
  <c r="GA5" i="4" a="1"/>
  <c r="HG6" i="4" a="1"/>
  <c r="GJ9" i="4" a="1"/>
  <c r="FX9" i="4" a="1"/>
  <c r="GS9" i="4" a="1"/>
  <c r="FK6" i="4" a="1"/>
  <c r="FV7" i="4" a="1"/>
  <c r="GS5" i="4" a="1"/>
  <c r="FI7" i="4" a="1"/>
  <c r="GP7" i="4" a="1"/>
  <c r="FR6" i="4" a="1"/>
  <c r="FP11" i="4" a="1"/>
  <c r="GV14" i="4" a="1"/>
  <c r="FZ7" i="4" a="1"/>
  <c r="FT6" i="4" a="1"/>
  <c r="GF11" i="4" a="1"/>
  <c r="GE6" i="4" a="1"/>
  <c r="GM7" i="4" a="1"/>
  <c r="GW6" i="4" a="1"/>
  <c r="GD11" i="4" a="1"/>
  <c r="GV5" i="4" a="1"/>
  <c r="GK11" i="4" a="1"/>
  <c r="GE12" i="4" a="1"/>
  <c r="FY13" i="4" a="1"/>
  <c r="FM8" i="4" a="1"/>
  <c r="FH12" i="4" a="1"/>
  <c r="HD12" i="4" a="1"/>
  <c r="GX13" i="4" a="1"/>
  <c r="GR14" i="4" a="1"/>
  <c r="FQ11" i="4" a="1"/>
  <c r="FZ14" i="4" a="1"/>
  <c r="GL15" i="4" a="1"/>
  <c r="FH16" i="4" a="1"/>
  <c r="GF16" i="4" a="1"/>
  <c r="HD16" i="4" a="1"/>
  <c r="BK64" i="3"/>
  <c r="BL81" i="3"/>
  <c r="BA49" i="3"/>
  <c r="BA82" i="3"/>
  <c r="BA92" i="3"/>
  <c r="BP88" i="3"/>
  <c r="BH86" i="3"/>
  <c r="BC47" i="3"/>
  <c r="BM91" i="3"/>
  <c r="BP70" i="3"/>
  <c r="BG88" i="3"/>
  <c r="BG85" i="3"/>
  <c r="BM93" i="3"/>
  <c r="BM61" i="3"/>
  <c r="BF63" i="3"/>
  <c r="CL139" i="1" s="1"/>
  <c r="BB92" i="3"/>
  <c r="BB85" i="3"/>
  <c r="BB89" i="3"/>
  <c r="BG93" i="3"/>
  <c r="BH76" i="3"/>
  <c r="BF90" i="3"/>
  <c r="CL140" i="1" s="1"/>
  <c r="BD62" i="3"/>
  <c r="BU55" i="3"/>
  <c r="BI83" i="3"/>
  <c r="BI84" i="3"/>
  <c r="BB75" i="3"/>
  <c r="BA79" i="3"/>
  <c r="BD92" i="3"/>
  <c r="BQ60" i="3"/>
  <c r="BH69" i="3"/>
  <c r="BH84" i="3"/>
  <c r="BL66" i="3"/>
  <c r="BL92" i="3"/>
  <c r="BL69" i="3"/>
  <c r="BE93" i="3"/>
  <c r="BE92" i="3"/>
  <c r="BI54" i="3"/>
  <c r="BF92" i="3"/>
  <c r="CL169" i="1" s="1"/>
  <c r="BF85" i="3"/>
  <c r="CL161" i="1" s="1"/>
  <c r="BQ74" i="3"/>
  <c r="BQ83" i="3"/>
  <c r="BU87" i="3"/>
  <c r="BR57" i="3"/>
  <c r="BV83" i="3"/>
  <c r="BT91" i="3"/>
  <c r="BO63" i="3"/>
  <c r="BO50" i="3"/>
  <c r="BO87" i="3"/>
  <c r="BS88" i="3"/>
  <c r="BS97" i="3"/>
  <c r="BS56" i="3"/>
  <c r="BU67" i="3"/>
  <c r="BU91" i="3"/>
  <c r="BR81" i="3"/>
  <c r="BR60" i="3"/>
  <c r="BR90" i="3"/>
  <c r="BV54" i="3"/>
  <c r="BV76" i="3"/>
  <c r="BV55" i="3"/>
  <c r="BT67" i="3"/>
  <c r="BT78" i="3"/>
  <c r="BT89" i="3"/>
  <c r="BN95" i="3"/>
  <c r="BN58" i="3"/>
  <c r="BN72" i="3"/>
  <c r="BP95" i="3"/>
  <c r="BF55" i="3"/>
  <c r="BT49" i="3"/>
  <c r="BK78" i="3"/>
  <c r="BL84" i="3"/>
  <c r="BA68" i="3"/>
  <c r="BA58" i="3"/>
  <c r="BA60" i="3"/>
  <c r="BP64" i="3"/>
  <c r="BH66" i="3"/>
  <c r="BC72" i="3"/>
  <c r="BM64" i="3"/>
  <c r="BP71" i="3"/>
  <c r="BG50" i="3"/>
  <c r="BG91" i="3"/>
  <c r="BM70" i="3"/>
  <c r="BM71" i="3"/>
  <c r="BF60" i="3"/>
  <c r="CL136" i="1" s="1"/>
  <c r="BB95" i="3"/>
  <c r="BB63" i="3"/>
  <c r="BB67" i="3"/>
  <c r="BG97" i="3"/>
  <c r="BE55" i="3"/>
  <c r="BP86" i="3"/>
  <c r="BD94" i="3"/>
  <c r="BU61" i="3"/>
  <c r="BI89" i="3"/>
  <c r="BI96" i="3"/>
  <c r="BB54" i="3"/>
  <c r="BA47" i="3"/>
  <c r="BD50" i="3"/>
  <c r="BQ73" i="3"/>
  <c r="BH67" i="3"/>
  <c r="BH48" i="3"/>
  <c r="BL68" i="3"/>
  <c r="BL94" i="3"/>
  <c r="BL61" i="3"/>
  <c r="BE60" i="3"/>
  <c r="BE97" i="3"/>
  <c r="BI81" i="3"/>
  <c r="BF94" i="3"/>
  <c r="BQ93" i="3"/>
  <c r="BQ97" i="3"/>
  <c r="BQ69" i="3"/>
  <c r="BR62" i="3"/>
  <c r="BV64" i="3"/>
  <c r="BV85" i="3"/>
  <c r="BT90" i="3"/>
  <c r="BO66" i="3"/>
  <c r="BO57" i="3"/>
  <c r="BO90" i="3"/>
  <c r="BS68" i="3"/>
  <c r="BS96" i="3"/>
  <c r="BS50" i="3"/>
  <c r="BU69" i="3"/>
  <c r="BU92" i="3"/>
  <c r="BR88" i="3"/>
  <c r="BR75" i="3"/>
  <c r="BR94" i="3"/>
  <c r="BV57" i="3"/>
  <c r="BV58" i="3"/>
  <c r="BV70" i="3"/>
  <c r="BT72" i="3"/>
  <c r="BT79" i="3"/>
  <c r="BT48" i="3"/>
  <c r="BN59" i="3"/>
  <c r="BN60" i="3"/>
  <c r="BN63" i="3"/>
  <c r="BP90" i="3"/>
  <c r="BF48" i="3"/>
  <c r="BO56" i="3"/>
  <c r="BS66" i="3"/>
  <c r="BS58" i="3"/>
  <c r="BH93" i="3"/>
  <c r="BE89" i="3"/>
  <c r="BI71" i="3"/>
  <c r="BM47" i="3"/>
  <c r="BF64" i="3"/>
  <c r="CL163" i="1" s="1"/>
  <c r="BJ47" i="3"/>
  <c r="BJ89" i="3"/>
  <c r="BJ50" i="3"/>
  <c r="BJ81" i="3"/>
  <c r="BK59" i="3"/>
  <c r="BK90" i="3"/>
  <c r="BK96" i="3"/>
  <c r="GC5" i="4" a="1"/>
  <c r="FN6" i="4" a="1"/>
  <c r="HH6" i="4" a="1"/>
  <c r="HH9" i="4" a="1"/>
  <c r="GQ13" i="4" a="1"/>
  <c r="FV5" i="4" a="1"/>
  <c r="HA7" i="4" a="1"/>
  <c r="GR7" i="4" a="1"/>
  <c r="FQ12" i="4" a="1"/>
  <c r="FU5" i="4" a="1"/>
  <c r="HB6" i="4" a="1"/>
  <c r="GB9" i="4" a="1"/>
  <c r="FH8" i="4" a="1"/>
  <c r="GO9" i="4" a="1"/>
  <c r="HE5" i="4" a="1"/>
  <c r="HG7" i="4" a="1"/>
  <c r="HD5" i="4" a="1"/>
  <c r="GZ7" i="4" a="1"/>
  <c r="GZ5" i="4" a="1"/>
  <c r="GL7" i="4" a="1"/>
  <c r="GY7" i="4" a="1"/>
  <c r="GD9" i="4" a="1"/>
  <c r="HH5" i="4" a="1"/>
  <c r="FT9" i="4" a="1"/>
  <c r="BU58" i="3"/>
  <c r="BK70" i="3"/>
  <c r="BF87" i="3"/>
  <c r="CL166" i="1" s="1"/>
  <c r="BA73" i="3"/>
  <c r="BA62" i="3"/>
  <c r="BA75" i="3"/>
  <c r="BP81" i="3"/>
  <c r="BL63" i="3"/>
  <c r="BC94" i="3"/>
  <c r="BM50" i="3"/>
  <c r="BP66" i="3"/>
  <c r="BG87" i="3"/>
  <c r="BG49" i="3"/>
  <c r="BM78" i="3"/>
  <c r="BM86" i="3"/>
  <c r="BK74" i="3"/>
  <c r="BB49" i="3"/>
  <c r="BB73" i="3"/>
  <c r="BB72" i="3"/>
  <c r="BG56" i="3"/>
  <c r="BE75" i="3"/>
  <c r="BP91" i="3"/>
  <c r="BD78" i="3"/>
  <c r="BU68" i="3"/>
  <c r="BI93" i="3"/>
  <c r="BI48" i="3"/>
  <c r="BB86" i="3"/>
  <c r="BA83" i="3"/>
  <c r="BD86" i="3"/>
  <c r="BQ88" i="3"/>
  <c r="BH49" i="3"/>
  <c r="BH56" i="3"/>
  <c r="BH61" i="3"/>
  <c r="BP67" i="3"/>
  <c r="BF79" i="3"/>
  <c r="CL157" i="1" s="1"/>
  <c r="BA87" i="3"/>
  <c r="BA93" i="3"/>
  <c r="BQ77" i="3"/>
  <c r="BH87" i="3"/>
  <c r="BL72" i="3"/>
  <c r="BC58" i="3"/>
  <c r="BM66" i="3"/>
  <c r="BP94" i="3"/>
  <c r="BG61" i="3"/>
  <c r="BG81" i="3"/>
  <c r="BM72" i="3"/>
  <c r="BM67" i="3"/>
  <c r="BK72" i="3"/>
  <c r="BB97" i="3"/>
  <c r="BB47" i="3"/>
  <c r="BB60" i="3"/>
  <c r="BG60" i="3"/>
  <c r="BE90" i="3"/>
  <c r="BP93" i="3"/>
  <c r="BD83" i="3"/>
  <c r="BU79" i="3"/>
  <c r="BI95" i="3"/>
  <c r="BI78" i="3"/>
  <c r="BA64" i="3"/>
  <c r="BA97" i="3"/>
  <c r="BD61" i="3"/>
  <c r="BH65" i="3"/>
  <c r="BH85" i="3"/>
  <c r="BL77" i="3"/>
  <c r="BL76" i="3"/>
  <c r="BL89" i="3"/>
  <c r="BE94" i="3"/>
  <c r="BE76" i="3"/>
  <c r="BI82" i="3"/>
  <c r="BI59" i="3"/>
  <c r="BF61" i="3"/>
  <c r="BQ68" i="3"/>
  <c r="BQ92" i="3"/>
  <c r="BQ78" i="3"/>
  <c r="BR89" i="3"/>
  <c r="BV59" i="3"/>
  <c r="BT69" i="3"/>
  <c r="BN88" i="3"/>
  <c r="BO71" i="3"/>
  <c r="BO62" i="3"/>
  <c r="BO95" i="3"/>
  <c r="BS75" i="3"/>
  <c r="BS92" i="3"/>
  <c r="BF91" i="3"/>
  <c r="CL168" i="1" s="1"/>
  <c r="BU80" i="3"/>
  <c r="BU94" i="3"/>
  <c r="BR48" i="3"/>
  <c r="BR95" i="3"/>
  <c r="BR73" i="3"/>
  <c r="BV72" i="3"/>
  <c r="BV74" i="3"/>
  <c r="BV97" i="3"/>
  <c r="BT77" i="3"/>
  <c r="BT82" i="3"/>
  <c r="BT97" i="3"/>
  <c r="BN50" i="3"/>
  <c r="BN74" i="3"/>
  <c r="BN73" i="3"/>
  <c r="BP74" i="3"/>
  <c r="AA112" i="2"/>
  <c r="BO60" i="3"/>
  <c r="BS70" i="3"/>
  <c r="BP63" i="3"/>
  <c r="BH89" i="3"/>
  <c r="BE91" i="3"/>
  <c r="BI75" i="3"/>
  <c r="BM85" i="3"/>
  <c r="BF57" i="3"/>
  <c r="CL132" i="1" s="1"/>
  <c r="BJ60" i="3"/>
  <c r="BJ97" i="3"/>
  <c r="BJ61" i="3"/>
  <c r="BJ85" i="3"/>
  <c r="BK58" i="3"/>
  <c r="BK92" i="3"/>
  <c r="BK71" i="3"/>
  <c r="FP5" i="4" a="1"/>
  <c r="BP84" i="3"/>
  <c r="BD54" i="3"/>
  <c r="BL67" i="3"/>
  <c r="BF59" i="3"/>
  <c r="BR65" i="3"/>
  <c r="BO75" i="3"/>
  <c r="BS91" i="3"/>
  <c r="BR49" i="3"/>
  <c r="BV78" i="3"/>
  <c r="BT66" i="3"/>
  <c r="BP79" i="3"/>
  <c r="BS81" i="3"/>
  <c r="BE69" i="3"/>
  <c r="BF56" i="3"/>
  <c r="CL131" i="1" s="1"/>
  <c r="BJ69" i="3"/>
  <c r="BK57" i="3"/>
  <c r="FX6" i="4" a="1"/>
  <c r="HH7" i="4" a="1"/>
  <c r="GH8" i="4" a="1"/>
  <c r="FY6" i="4" a="1"/>
  <c r="HD14" i="4" a="1"/>
  <c r="GY8" i="4" a="1"/>
  <c r="GY13" i="4" a="1"/>
  <c r="GK7" i="4" a="1"/>
  <c r="GU6" i="4" a="1"/>
  <c r="FG7" i="4" a="1"/>
  <c r="FU9" i="4" a="1"/>
  <c r="FW5" i="4" a="1"/>
  <c r="HF5" i="4" a="1"/>
  <c r="FS9" i="4" a="1"/>
  <c r="FK11" i="4" a="1"/>
  <c r="FZ12" i="4" a="1"/>
  <c r="GJ13" i="4" a="1"/>
  <c r="GL11" i="4" a="1"/>
  <c r="HA12" i="4" a="1"/>
  <c r="FI14" i="4" a="1"/>
  <c r="FY7" i="4" a="1"/>
  <c r="FO14" i="4" a="1"/>
  <c r="GP15" i="4" a="1"/>
  <c r="FP16" i="4" a="1"/>
  <c r="GR16" i="4" a="1"/>
  <c r="GY14" i="4" a="1"/>
  <c r="GI12" i="4" a="1"/>
  <c r="FI15" i="4" a="1"/>
  <c r="HF6" i="4" a="1"/>
  <c r="GV13" i="4" a="1"/>
  <c r="GB15" i="4" a="1"/>
  <c r="HC15" i="4" a="1"/>
  <c r="FY16" i="4" a="1"/>
  <c r="GW16" i="4" a="1"/>
  <c r="GN13" i="4" a="1"/>
  <c r="BC63" i="3"/>
  <c r="BC86" i="3"/>
  <c r="BD47" i="3"/>
  <c r="BD91" i="3"/>
  <c r="BD68" i="3"/>
  <c r="FV15" i="4" a="1"/>
  <c r="GT12" i="4" a="1"/>
  <c r="GD8" i="4" a="1"/>
  <c r="HE15" i="4" a="1"/>
  <c r="GY16" i="4" a="1"/>
  <c r="FS14" i="4" a="1"/>
  <c r="BC64" i="3"/>
  <c r="BC79" i="3"/>
  <c r="BD57" i="3"/>
  <c r="BQ84" i="3"/>
  <c r="Y111" i="2"/>
  <c r="GN9" i="4" a="1"/>
  <c r="BC81" i="3"/>
  <c r="GW15" i="4" a="1"/>
  <c r="GC11" i="4" a="1"/>
  <c r="BS60" i="3"/>
  <c r="BE58" i="3"/>
  <c r="BK87" i="3"/>
  <c r="FG9" i="4" a="1"/>
  <c r="FK13" i="4" a="1"/>
  <c r="HF11" i="4" a="1"/>
  <c r="GJ5" i="4" a="1"/>
  <c r="HC13" i="4" a="1"/>
  <c r="HE11" i="4" a="1"/>
  <c r="GY15" i="4" a="1"/>
  <c r="BD65" i="3"/>
  <c r="BG67" i="3"/>
  <c r="BP68" i="3"/>
  <c r="BL65" i="3"/>
  <c r="BF54" i="3"/>
  <c r="BR91" i="3"/>
  <c r="BO81" i="3"/>
  <c r="BS72" i="3"/>
  <c r="BR55" i="3"/>
  <c r="BV89" i="3"/>
  <c r="BN82" i="3"/>
  <c r="BF81" i="3"/>
  <c r="CL158" i="1" s="1"/>
  <c r="CL193" i="1" s="1"/>
  <c r="BS94" i="3"/>
  <c r="BI65" i="3"/>
  <c r="BJ84" i="3"/>
  <c r="BJ79" i="3"/>
  <c r="BK94" i="3"/>
  <c r="FJ7" i="4" a="1"/>
  <c r="GZ8" i="4" a="1"/>
  <c r="HA9" i="4" a="1"/>
  <c r="GA7" i="4" a="1"/>
  <c r="GO7" i="4" a="1"/>
  <c r="FQ6" i="4" a="1"/>
  <c r="GS14" i="4" a="1"/>
  <c r="GG8" i="4" a="1"/>
  <c r="FH9" i="4" a="1"/>
  <c r="HC7" i="4" a="1"/>
  <c r="HD9" i="4" a="1"/>
  <c r="FJ5" i="4" a="1"/>
  <c r="GN5" i="4" a="1"/>
  <c r="GP11" i="4" a="1"/>
  <c r="FS11" i="4" a="1"/>
  <c r="GH12" i="4" a="1"/>
  <c r="GO13" i="4" a="1"/>
  <c r="GT11" i="4" a="1"/>
  <c r="FG13" i="4" a="1"/>
  <c r="FL14" i="4" a="1"/>
  <c r="GT8" i="4" a="1"/>
  <c r="GE14" i="4" a="1"/>
  <c r="GR15" i="4" a="1"/>
  <c r="FR16" i="4" a="1"/>
  <c r="GV16" i="4" a="1"/>
  <c r="FM15" i="4" a="1"/>
  <c r="HD13" i="4" a="1"/>
  <c r="GG15" i="4" a="1"/>
  <c r="GA16" i="4" a="1"/>
  <c r="BD48" i="3"/>
  <c r="BD81" i="3"/>
  <c r="BC48" i="3"/>
  <c r="BR82" i="3"/>
  <c r="BK82" i="3"/>
  <c r="BK47" i="3"/>
  <c r="HB13" i="4" a="1"/>
  <c r="GS6" i="4" a="1"/>
  <c r="GU12" i="4" a="1"/>
  <c r="HE6" i="4" a="1"/>
  <c r="FM12" i="4" a="1"/>
  <c r="GB14" i="4" a="1"/>
  <c r="BD60" i="3"/>
  <c r="BD63" i="3"/>
  <c r="BA65" i="3"/>
  <c r="GK16" i="4" a="1"/>
  <c r="BD71" i="3"/>
  <c r="BD77" i="3"/>
  <c r="BM96" i="3"/>
  <c r="BU84" i="3"/>
  <c r="BV91" i="3"/>
  <c r="BJ57" i="3"/>
  <c r="GE8" i="4" a="1"/>
  <c r="FJ6" i="4" a="1"/>
  <c r="FJ8" i="4" a="1"/>
  <c r="HE9" i="4" a="1"/>
  <c r="GB13" i="4" a="1"/>
  <c r="HB14" i="4" a="1"/>
  <c r="FP13" i="4" a="1"/>
  <c r="BD80" i="3"/>
  <c r="BG54" i="3"/>
  <c r="BI88" i="3"/>
  <c r="BE66" i="3"/>
  <c r="BQ91" i="3"/>
  <c r="BV71" i="3"/>
  <c r="BO58" i="3"/>
  <c r="BF95" i="3"/>
  <c r="CL178" i="1" s="1"/>
  <c r="BR47" i="3"/>
  <c r="BV69" i="3"/>
  <c r="BN80" i="3"/>
  <c r="BF75" i="3"/>
  <c r="BP55" i="3"/>
  <c r="BI56" i="3"/>
  <c r="BJ58" i="3"/>
  <c r="BJ83" i="3"/>
  <c r="BK91" i="3"/>
  <c r="GR5" i="4" a="1"/>
  <c r="GX9" i="4" a="1"/>
  <c r="FH5" i="4" a="1"/>
  <c r="GX6" i="4" a="1"/>
  <c r="FG5" i="4" a="1"/>
  <c r="HF8" i="4" a="1"/>
  <c r="GP8" i="4" a="1"/>
  <c r="GP5" i="4" a="1"/>
  <c r="GM11" i="4" a="1"/>
  <c r="FV6" i="4" a="1"/>
  <c r="FN11" i="4" a="1"/>
  <c r="FR5" i="4" a="1"/>
  <c r="HB7" i="4" a="1"/>
  <c r="FL12" i="4" a="1"/>
  <c r="GA11" i="4" a="1"/>
  <c r="GM12" i="4" a="1"/>
  <c r="GR13" i="4" a="1"/>
  <c r="HB11" i="4" a="1"/>
  <c r="FJ13" i="4" a="1"/>
  <c r="FQ14" i="4" a="1"/>
  <c r="GL9" i="4" a="1"/>
  <c r="GP14" i="4" a="1"/>
  <c r="GT15" i="4" a="1"/>
  <c r="FT16" i="4" a="1"/>
  <c r="GX16" i="4" a="1"/>
  <c r="GP6" i="4" a="1"/>
  <c r="FM13" i="4" a="1"/>
  <c r="FT15" i="4" a="1"/>
  <c r="HH8" i="4" a="1"/>
  <c r="FG14" i="4" a="1"/>
  <c r="GI15" i="4" a="1"/>
  <c r="HG15" i="4" a="1"/>
  <c r="GC16" i="4" a="1"/>
  <c r="HA16" i="4" a="1"/>
  <c r="BC55" i="3"/>
  <c r="BC84" i="3"/>
  <c r="BC69" i="3"/>
  <c r="BD84" i="3"/>
  <c r="BD58" i="3"/>
  <c r="BD95" i="3"/>
  <c r="Y113" i="2"/>
  <c r="BO72" i="3"/>
  <c r="FZ11" i="4" a="1"/>
  <c r="HB5" i="4" a="1"/>
  <c r="GR8" i="4" a="1"/>
  <c r="FX5" i="4" a="1"/>
  <c r="GB7" i="4" a="1"/>
  <c r="FK7" i="4" a="1"/>
  <c r="GL13" i="4" a="1"/>
  <c r="FR13" i="4" a="1"/>
  <c r="FZ16" i="4" a="1"/>
  <c r="GS13" i="4" a="1"/>
  <c r="FI16" i="4" a="1"/>
  <c r="HE16" i="4" a="1"/>
  <c r="BC78" i="3"/>
  <c r="BC91" i="3"/>
  <c r="BC92" i="3"/>
  <c r="BL57" i="3"/>
  <c r="BT86" i="3"/>
  <c r="FL5" i="4" a="1"/>
  <c r="GZ11" i="4" a="1"/>
  <c r="BM68" i="3"/>
  <c r="BB61" i="3"/>
  <c r="BE95" i="3"/>
  <c r="BQ89" i="3"/>
  <c r="BV75" i="3"/>
  <c r="BO65" i="3"/>
  <c r="BF97" i="3"/>
  <c r="BR85" i="3"/>
  <c r="BV73" i="3"/>
  <c r="BN54" i="3"/>
  <c r="AA111" i="2"/>
  <c r="BP65" i="3"/>
  <c r="BI79" i="3"/>
  <c r="BJ66" i="3"/>
  <c r="BK73" i="3"/>
  <c r="BK49" i="3"/>
  <c r="GL6" i="4" a="1"/>
  <c r="FR11" i="4" a="1"/>
  <c r="GH5" i="4" a="1"/>
  <c r="FT8" i="4" a="1"/>
  <c r="GG5" i="4" a="1"/>
  <c r="GM6" i="4" a="1"/>
  <c r="FI5" i="4" a="1"/>
  <c r="FL6" i="4" a="1"/>
  <c r="HH12" i="4" a="1"/>
  <c r="GT6" i="4" a="1"/>
  <c r="GZ6" i="4" a="1"/>
  <c r="GY5" i="4" a="1"/>
  <c r="GM9" i="4" a="1"/>
  <c r="GR12" i="4" a="1"/>
  <c r="GE11" i="4" a="1"/>
  <c r="GP12" i="4" a="1"/>
  <c r="GW13" i="4" a="1"/>
  <c r="HG11" i="4" a="1"/>
  <c r="FO13" i="4" a="1"/>
  <c r="FT14" i="4" a="1"/>
  <c r="HC9" i="4" a="1"/>
  <c r="GU14" i="4" a="1"/>
  <c r="GV15" i="4" a="1"/>
  <c r="FX16" i="4" a="1"/>
  <c r="GZ16" i="4" a="1"/>
  <c r="GJ7" i="4" a="1"/>
  <c r="FX13" i="4" a="1"/>
  <c r="FX15" i="4" a="1"/>
  <c r="GU9" i="4" a="1"/>
  <c r="FR14" i="4" a="1"/>
  <c r="GK15" i="4" a="1"/>
  <c r="FG16" i="4" a="1"/>
  <c r="GE16" i="4" a="1"/>
  <c r="HC16" i="4" a="1"/>
  <c r="BC54" i="3"/>
  <c r="BC83" i="3"/>
  <c r="BC74" i="3"/>
  <c r="BD72" i="3"/>
  <c r="BD67" i="3"/>
  <c r="BD90" i="3"/>
  <c r="BB93" i="3"/>
  <c r="BM94" i="3"/>
  <c r="BA94" i="3"/>
  <c r="BE50" i="3"/>
  <c r="BV49" i="3"/>
  <c r="BU57" i="3"/>
  <c r="BT71" i="3"/>
  <c r="BN64" i="3"/>
  <c r="BG48" i="3"/>
  <c r="BI87" i="3"/>
  <c r="BJ72" i="3"/>
  <c r="GY6" i="4" a="1"/>
  <c r="FY5" i="4" a="1"/>
  <c r="FM7" i="4" a="1"/>
  <c r="FL7" i="4" a="1"/>
  <c r="GN11" i="4" a="1"/>
  <c r="GG11" i="4" a="1"/>
  <c r="HF14" i="4" a="1"/>
  <c r="GX15" i="4" a="1"/>
  <c r="HB16" i="4" a="1"/>
  <c r="FV8" i="4" a="1"/>
  <c r="GA15" i="4" a="1"/>
  <c r="FI11" i="4" a="1"/>
  <c r="FW14" i="4" a="1"/>
  <c r="GM15" i="4" a="1"/>
  <c r="GG16" i="4" a="1"/>
  <c r="BC96" i="3"/>
  <c r="BC87" i="3"/>
  <c r="GQ15" i="4" a="1"/>
  <c r="GL8" i="4" a="1"/>
  <c r="BD87" i="3"/>
  <c r="BI67" i="3"/>
  <c r="GJ15" i="4" a="1"/>
  <c r="FH15" i="4" a="1"/>
  <c r="BC62" i="3"/>
  <c r="BB96" i="3"/>
  <c r="BA88" i="3"/>
  <c r="BE71" i="3"/>
  <c r="BQ94" i="3"/>
  <c r="BT74" i="3"/>
  <c r="BO92" i="3"/>
  <c r="BU82" i="3"/>
  <c r="BR97" i="3"/>
  <c r="BT76" i="3"/>
  <c r="BN62" i="3"/>
  <c r="BO85" i="3"/>
  <c r="BH97" i="3"/>
  <c r="BM75" i="3"/>
  <c r="BJ95" i="3"/>
  <c r="BK55" i="3"/>
  <c r="BK63" i="3"/>
  <c r="FU7" i="4" a="1"/>
  <c r="FW6" i="4" a="1"/>
  <c r="GC6" i="4" a="1"/>
  <c r="FM9" i="4" a="1"/>
  <c r="GL5" i="4" a="1"/>
  <c r="FP8" i="4" a="1"/>
  <c r="GI5" i="4" a="1"/>
  <c r="FW9" i="4" a="1"/>
  <c r="FX14" i="4" a="1"/>
  <c r="FW8" i="4" a="1"/>
  <c r="HC11" i="4" a="1"/>
  <c r="FR7" i="4" a="1"/>
  <c r="FK8" i="4" a="1"/>
  <c r="GK14" i="4" a="1"/>
  <c r="GS11" i="4" a="1"/>
  <c r="GX12" i="4" a="1"/>
  <c r="GI7" i="4" a="1"/>
  <c r="FP12" i="4" a="1"/>
  <c r="FW13" i="4" a="1"/>
  <c r="GJ14" i="4" a="1"/>
  <c r="GR11" i="4" a="1"/>
  <c r="FL15" i="4" a="1"/>
  <c r="HB15" i="4" a="1"/>
  <c r="GB16" i="4" a="1"/>
  <c r="HF16" i="4" a="1"/>
  <c r="HB8" i="4" a="1"/>
  <c r="HH13" i="4" a="1"/>
  <c r="GD15" i="4" a="1"/>
  <c r="FY11" i="4" a="1"/>
  <c r="GH14" i="4" a="1"/>
  <c r="GO15" i="4" a="1"/>
  <c r="FK16" i="4" a="1"/>
  <c r="GI16" i="4" a="1"/>
  <c r="HG16" i="4" a="1"/>
  <c r="BC90" i="3"/>
  <c r="BC88" i="3"/>
  <c r="BC93" i="3"/>
  <c r="BD74" i="3"/>
  <c r="BD96" i="3"/>
  <c r="Z112" i="2"/>
  <c r="FZ15" i="4" a="1"/>
  <c r="GW8" i="4" a="1"/>
  <c r="FY12" i="4" a="1"/>
  <c r="FL8" i="4" a="1"/>
  <c r="GJ8" i="4" a="1"/>
  <c r="FG15" i="4" a="1"/>
  <c r="GV11" i="4" a="1"/>
  <c r="HC12" i="4" a="1"/>
  <c r="GT7" i="4" a="1"/>
  <c r="FU12" i="4" a="1"/>
  <c r="BA85" i="3"/>
  <c r="BB59" i="3"/>
  <c r="BQ48" i="3"/>
  <c r="BE64" i="3"/>
  <c r="BQ90" i="3"/>
  <c r="BT61" i="3"/>
  <c r="BS48" i="3"/>
  <c r="BU73" i="3"/>
  <c r="BR79" i="3"/>
  <c r="BT88" i="3"/>
  <c r="BN94" i="3"/>
  <c r="BO73" i="3"/>
  <c r="BH91" i="3"/>
  <c r="BM54" i="3"/>
  <c r="BJ93" i="3"/>
  <c r="BK75" i="3"/>
  <c r="BK79" i="3"/>
  <c r="FY8" i="4" a="1"/>
  <c r="GI9" i="4" a="1"/>
  <c r="GX7" i="4" a="1"/>
  <c r="FL11" i="4" a="1"/>
  <c r="HA6" i="4" a="1"/>
  <c r="GK9" i="4" a="1"/>
  <c r="GT5" i="4" a="1"/>
  <c r="HA5" i="4" a="1"/>
  <c r="FZ13" i="4" a="1"/>
  <c r="GO14" i="4" a="1"/>
  <c r="FK12" i="4" a="1"/>
  <c r="FP15" i="4" a="1"/>
  <c r="HD15" i="4" a="1"/>
  <c r="GD16" i="4" a="1"/>
  <c r="HH16" i="4" a="1"/>
  <c r="FV9" i="4" a="1"/>
  <c r="FK14" i="4" a="1"/>
  <c r="FM11" i="4" a="1"/>
  <c r="GW11" i="4" a="1"/>
  <c r="GM14" i="4" a="1"/>
  <c r="FM16" i="4" a="1"/>
  <c r="BC70" i="3"/>
  <c r="BC59" i="3"/>
  <c r="BU78" i="3"/>
  <c r="BN87" i="3"/>
  <c r="BS67" i="3"/>
  <c r="GD6" i="4" a="1"/>
  <c r="GO6" i="4" a="1"/>
  <c r="FU16" i="4" a="1"/>
  <c r="BQ85" i="3"/>
  <c r="BB88" i="3"/>
  <c r="BH57" i="3"/>
  <c r="BI58" i="3"/>
  <c r="BQ66" i="3"/>
  <c r="BT93" i="3"/>
  <c r="BS63" i="3"/>
  <c r="BU96" i="3"/>
  <c r="BR68" i="3"/>
  <c r="BT70" i="3"/>
  <c r="BN47" i="3"/>
  <c r="BO61" i="3"/>
  <c r="BL54" i="3"/>
  <c r="BM87" i="3"/>
  <c r="BJ87" i="3"/>
  <c r="BK67" i="3"/>
  <c r="BK61" i="3"/>
  <c r="GU8" i="4" a="1"/>
  <c r="FT12" i="4" a="1"/>
  <c r="FS6" i="4" a="1"/>
  <c r="GJ6" i="4" a="1"/>
  <c r="GU7" i="4" a="1"/>
  <c r="FJ11" i="4" a="1"/>
  <c r="GV6" i="4" a="1"/>
  <c r="HC6" i="4" a="1"/>
  <c r="FI9" i="4" a="1"/>
  <c r="GU5" i="4" a="1"/>
  <c r="GT13" i="4" a="1"/>
  <c r="GA6" i="4" a="1"/>
  <c r="GC9" i="4" a="1"/>
  <c r="FR8" i="4" a="1"/>
  <c r="HA11" i="4" a="1"/>
  <c r="FI13" i="4" a="1"/>
  <c r="FK9" i="4" a="1"/>
  <c r="FX12" i="4" a="1"/>
  <c r="GH13" i="4" a="1"/>
  <c r="GW14" i="4" a="1"/>
  <c r="FV12" i="4" a="1"/>
  <c r="GC15" i="4" a="1"/>
  <c r="HF15" i="4" a="1"/>
  <c r="GH16" i="4" a="1"/>
  <c r="HE7" i="4" a="1"/>
  <c r="GQ9" i="4" a="1"/>
  <c r="FV14" i="4" a="1"/>
  <c r="GD12" i="4" a="1"/>
  <c r="GA12" i="4" a="1"/>
  <c r="GX14" i="4" a="1"/>
  <c r="GS15" i="4" a="1"/>
  <c r="FO16" i="4" a="1"/>
  <c r="GM16" i="4" a="1"/>
  <c r="GG9" i="4" a="1"/>
  <c r="BC67" i="3"/>
  <c r="BC77" i="3"/>
  <c r="BC68" i="3"/>
  <c r="BD59" i="3"/>
  <c r="BD79" i="3"/>
  <c r="BN78" i="3"/>
  <c r="BN81" i="3"/>
  <c r="BS62" i="3"/>
  <c r="BE54" i="3"/>
  <c r="BF58" i="3"/>
  <c r="CL133" i="1" s="1"/>
  <c r="BJ94" i="3"/>
  <c r="BK66" i="3"/>
  <c r="FS5" i="4" a="1"/>
  <c r="GQ7" i="4" a="1"/>
  <c r="GO12" i="4" a="1"/>
  <c r="FJ15" i="4" a="1"/>
  <c r="FT11" i="4" a="1"/>
  <c r="FG12" i="4" a="1"/>
  <c r="GF12" i="4" a="1"/>
  <c r="HG12" i="4" a="1"/>
  <c r="GQ16" i="4" a="1"/>
  <c r="BC97" i="3"/>
  <c r="BU50" i="3"/>
  <c r="BF62" i="3"/>
  <c r="CL138" i="1" s="1"/>
  <c r="GV7" i="4" a="1"/>
  <c r="GF9" i="4" a="1"/>
  <c r="FL16" i="4" a="1"/>
  <c r="GN16" i="4" a="1"/>
  <c r="BH81" i="3"/>
  <c r="BG58" i="3"/>
  <c r="BH74" i="3"/>
  <c r="BI55" i="3"/>
  <c r="BQ75" i="3"/>
  <c r="BT73" i="3"/>
  <c r="BS90" i="3"/>
  <c r="BU93" i="3"/>
  <c r="BV95" i="3"/>
  <c r="BT81" i="3"/>
  <c r="BN69" i="3"/>
  <c r="BO83" i="3"/>
  <c r="BL73" i="3"/>
  <c r="BM63" i="3"/>
  <c r="BJ48" i="3"/>
  <c r="BK48" i="3"/>
  <c r="FK15" i="4" a="1"/>
  <c r="FG6" i="4" a="1"/>
  <c r="GA13" i="4" a="1"/>
  <c r="GC7" i="4" a="1"/>
  <c r="GU11" i="4" a="1"/>
  <c r="GI6" i="4" a="1"/>
  <c r="GK5" i="4" a="1"/>
  <c r="FO7" i="4" a="1"/>
  <c r="HD8" i="4" a="1"/>
  <c r="FQ5" i="4" a="1"/>
  <c r="GR6" i="4" a="1"/>
  <c r="GN14" i="4" a="1"/>
  <c r="FP7" i="4" a="1"/>
  <c r="FH11" i="4" a="1"/>
  <c r="FN9" i="4" a="1"/>
  <c r="HD11" i="4" a="1"/>
  <c r="FQ13" i="4" a="1"/>
  <c r="FP9" i="4" a="1"/>
  <c r="GC12" i="4" a="1"/>
  <c r="GP13" i="4" a="1"/>
  <c r="GZ14" i="4" a="1"/>
  <c r="GQ12" i="4" a="1"/>
  <c r="GF15" i="4" a="1"/>
  <c r="HH15" i="4" a="1"/>
  <c r="GJ16" i="4" a="1"/>
  <c r="GO11" i="4" a="1"/>
  <c r="HG9" i="4" a="1"/>
  <c r="GA14" i="4" a="1"/>
  <c r="HE13" i="4" a="1"/>
  <c r="GL12" i="4" a="1"/>
  <c r="HC14" i="4" a="1"/>
  <c r="GU15" i="4" a="1"/>
  <c r="FQ16" i="4" a="1"/>
  <c r="GO16" i="4" a="1"/>
  <c r="GY9" i="4" a="1"/>
  <c r="BC95" i="3"/>
  <c r="BC61" i="3"/>
  <c r="BC76" i="3"/>
  <c r="BD97" i="3"/>
  <c r="BD66" i="3"/>
  <c r="BL97" i="3"/>
  <c r="BH77" i="3"/>
  <c r="BL49" i="3"/>
  <c r="BI66" i="3"/>
  <c r="BQ87" i="3"/>
  <c r="BS59" i="3"/>
  <c r="BU95" i="3"/>
  <c r="BV67" i="3"/>
  <c r="BT65" i="3"/>
  <c r="FH14" i="4" a="1"/>
  <c r="FS8" i="4" a="1"/>
  <c r="FX7" i="4" a="1"/>
  <c r="GH11" i="4" a="1"/>
  <c r="FI8" i="4" a="1"/>
  <c r="GT9" i="4" a="1"/>
  <c r="GE5" i="4" a="1"/>
  <c r="FO9" i="4" a="1"/>
  <c r="GN7" i="4" a="1"/>
  <c r="GW9" i="4" a="1"/>
  <c r="FT13" i="4" a="1"/>
  <c r="GA9" i="4" a="1"/>
  <c r="GU13" i="4" a="1"/>
  <c r="HE14" i="4" a="1"/>
  <c r="HB12" i="4" a="1"/>
  <c r="GH15" i="4" a="1"/>
  <c r="FJ16" i="4" a="1"/>
  <c r="GL16" i="4" a="1"/>
  <c r="FS12" i="4" a="1"/>
  <c r="FU11" i="4" a="1"/>
  <c r="GQ14" i="4" a="1"/>
  <c r="GI14" i="4" a="1"/>
  <c r="FN15" i="4" a="1"/>
  <c r="FS16" i="4" a="1"/>
  <c r="BD56" i="3"/>
  <c r="BN76" i="3"/>
  <c r="HF9" i="4" a="1"/>
  <c r="FZ8" i="4" a="1"/>
  <c r="FO12" i="4" a="1"/>
  <c r="GN12" i="4" a="1"/>
  <c r="GF13" i="4" a="1"/>
  <c r="GS16" i="4" a="1"/>
  <c r="BC66" i="3"/>
  <c r="BM65" i="3"/>
  <c r="BD75" i="3"/>
  <c r="BL70" i="3"/>
  <c r="BF76" i="3"/>
  <c r="BR70" i="3"/>
  <c r="BO68" i="3"/>
  <c r="BS93" i="3"/>
  <c r="BR86" i="3"/>
  <c r="BV61" i="3"/>
  <c r="BT95" i="3"/>
  <c r="BP75" i="3"/>
  <c r="BS74" i="3"/>
  <c r="BE65" i="3"/>
  <c r="BF96" i="3"/>
  <c r="CL177" i="1" s="1"/>
  <c r="BJ63" i="3"/>
  <c r="BK86" i="3"/>
  <c r="GB5" i="4" a="1"/>
  <c r="GE9" i="4" a="1"/>
  <c r="HA14" i="4" a="1"/>
  <c r="GQ8" i="4" a="1"/>
  <c r="GI13" i="4" a="1"/>
  <c r="FQ8" i="4" a="1"/>
  <c r="GB12" i="4" a="1"/>
  <c r="FH7" i="4" a="1"/>
  <c r="FX11" i="4" a="1"/>
  <c r="GK6" i="4" a="1"/>
  <c r="GG7" i="4" a="1"/>
  <c r="FK5" i="4" a="1"/>
  <c r="GO8" i="4" a="1"/>
  <c r="FS7" i="4" a="1"/>
  <c r="FG11" i="4" a="1"/>
  <c r="FW12" i="4" a="1"/>
  <c r="GG13" i="4" a="1"/>
  <c r="GI11" i="4" a="1"/>
  <c r="GV12" i="4" a="1"/>
  <c r="HF13" i="4" a="1"/>
  <c r="FO6" i="4" a="1"/>
  <c r="FJ14" i="4" a="1"/>
  <c r="GN15" i="4" a="1"/>
  <c r="FN16" i="4" a="1"/>
  <c r="GP16" i="4" a="1"/>
  <c r="GD14" i="4" a="1"/>
  <c r="FN12" i="4" a="1"/>
  <c r="HG14" i="4" a="1"/>
  <c r="FY15" i="4" a="1"/>
  <c r="GK13" i="4" a="1"/>
  <c r="FU15" i="4" a="1"/>
  <c r="HA15" i="4" a="1"/>
  <c r="FW16" i="4" a="1"/>
  <c r="GU16" i="4" a="1"/>
  <c r="GY12" i="4" a="1"/>
  <c r="BC73" i="3"/>
  <c r="BC89" i="3"/>
  <c r="BC80" i="3"/>
  <c r="BD64" i="3"/>
  <c r="BD69" i="3"/>
  <c r="GF14" i="4" a="1"/>
  <c r="HH14" i="4" a="1"/>
  <c r="FH13" i="4" a="1"/>
  <c r="FQ15" i="4" a="1"/>
  <c r="BC75" i="3"/>
  <c r="CS5" i="1" l="1"/>
  <c r="CH154" i="1"/>
  <c r="CI154" i="1" s="1"/>
  <c r="AA216" i="1"/>
  <c r="CL107" i="1"/>
  <c r="CL108" i="1" s="1"/>
  <c r="CL25" i="1"/>
  <c r="CL10" i="1" s="1"/>
  <c r="CK74" i="1"/>
  <c r="CK35" i="1"/>
  <c r="CO29" i="1"/>
  <c r="CS29" i="1" s="1"/>
  <c r="CL21" i="1"/>
  <c r="CK8" i="1"/>
  <c r="CL175" i="1"/>
  <c r="CL134" i="1"/>
  <c r="CL142" i="1"/>
  <c r="CL162" i="1"/>
  <c r="CL152" i="1"/>
  <c r="CL170" i="1"/>
  <c r="CL199" i="1" s="1"/>
  <c r="CL198" i="1" s="1"/>
  <c r="Z168" i="1"/>
  <c r="CH168" i="1" s="1"/>
  <c r="CK25" i="1"/>
  <c r="CJ163" i="1"/>
  <c r="KB16" i="4" s="1"/>
  <c r="KC16" i="4" s="1"/>
  <c r="CJ131" i="1"/>
  <c r="JW9" i="4" s="1"/>
  <c r="JS9" i="4" s="1"/>
  <c r="CJ165" i="1"/>
  <c r="KE9" i="4" s="1"/>
  <c r="JZ16" i="4" s="1"/>
  <c r="JR16" i="4" s="1"/>
  <c r="JR21" i="4" s="1"/>
  <c r="CL86" i="1" s="1"/>
  <c r="JY9" i="4" s="1"/>
  <c r="KA16" i="4" s="1"/>
  <c r="JS16" i="4" s="1"/>
  <c r="JQ9" i="4" s="1"/>
  <c r="JU16" i="4" s="1"/>
  <c r="KH16" i="4" s="1"/>
  <c r="JX16" i="4" s="1"/>
  <c r="CJ177" i="1"/>
  <c r="CK177" i="1" s="1"/>
  <c r="CM177" i="1" s="1"/>
  <c r="CN177" i="1" s="1"/>
  <c r="CO177" i="1" s="1"/>
  <c r="CP177" i="1" s="1"/>
  <c r="CQ177" i="1" s="1"/>
  <c r="CR177" i="1" s="1"/>
  <c r="CS177" i="1" s="1"/>
  <c r="CT177" i="1" s="1"/>
  <c r="CU177" i="1" s="1"/>
  <c r="CV177" i="1" s="1"/>
  <c r="CW177" i="1" s="1"/>
  <c r="KA14" i="4" s="1"/>
  <c r="CJ166" i="1"/>
  <c r="JY16" i="4" s="1"/>
  <c r="JY21" i="4" s="1"/>
  <c r="KF16" i="4" s="1"/>
  <c r="KH14" i="4" s="1"/>
  <c r="CK83" i="1"/>
  <c r="CJ140" i="1"/>
  <c r="CK140" i="1" s="1"/>
  <c r="CM140" i="1" s="1"/>
  <c r="CN140" i="1" s="1"/>
  <c r="CO140" i="1" s="1"/>
  <c r="CP140" i="1" s="1"/>
  <c r="CQ140" i="1" s="1"/>
  <c r="CR140" i="1" s="1"/>
  <c r="CS140" i="1" s="1"/>
  <c r="CT140" i="1" s="1"/>
  <c r="CU140" i="1" s="1"/>
  <c r="CV140" i="1" s="1"/>
  <c r="CW140" i="1" s="1"/>
  <c r="CX140" i="1" s="1"/>
  <c r="CY140" i="1" s="1"/>
  <c r="CZ140" i="1" s="1"/>
  <c r="DA140" i="1" s="1"/>
  <c r="DB140" i="1" s="1"/>
  <c r="CJ149" i="1"/>
  <c r="CK149" i="1" s="1"/>
  <c r="CM149" i="1" s="1"/>
  <c r="CN149" i="1" s="1"/>
  <c r="CO149" i="1" s="1"/>
  <c r="CP149" i="1" s="1"/>
  <c r="CQ149" i="1" s="1"/>
  <c r="CR149" i="1" s="1"/>
  <c r="CS149" i="1" s="1"/>
  <c r="CT149" i="1" s="1"/>
  <c r="CU149" i="1" s="1"/>
  <c r="CV149" i="1" s="1"/>
  <c r="CW149" i="1" s="1"/>
  <c r="CX149" i="1" s="1"/>
  <c r="CY149" i="1" s="1"/>
  <c r="CZ149" i="1" s="1"/>
  <c r="DA149" i="1" s="1"/>
  <c r="DB149" i="1" s="1"/>
  <c r="JV16" i="4" s="1"/>
  <c r="KA9" i="4" s="1"/>
  <c r="KG16" i="4" s="1"/>
  <c r="JQ16" i="4" s="1"/>
  <c r="JQ21" i="4" s="1"/>
  <c r="CK86" i="1" s="1"/>
  <c r="CJ178" i="1"/>
  <c r="CK178" i="1" s="1"/>
  <c r="CM178" i="1" s="1"/>
  <c r="CN178" i="1" s="1"/>
  <c r="CO178" i="1" s="1"/>
  <c r="CP178" i="1" s="1"/>
  <c r="CQ178" i="1" s="1"/>
  <c r="CR178" i="1" s="1"/>
  <c r="CS178" i="1" s="1"/>
  <c r="CT178" i="1" s="1"/>
  <c r="CU178" i="1" s="1"/>
  <c r="CV178" i="1" s="1"/>
  <c r="CW178" i="1" s="1"/>
  <c r="CX178" i="1" s="1"/>
  <c r="CY178" i="1" s="1"/>
  <c r="CZ178" i="1" s="1"/>
  <c r="DA178" i="1" s="1"/>
  <c r="DB178" i="1" s="1"/>
  <c r="CJ133" i="1"/>
  <c r="CJ160" i="1"/>
  <c r="KD15" i="4" s="1"/>
  <c r="KB14" i="4" s="1"/>
  <c r="CJ173" i="1"/>
  <c r="KF14" i="4" s="1"/>
  <c r="KG9" i="4" s="1"/>
  <c r="JR8" i="4" s="1"/>
  <c r="CJ154" i="1"/>
  <c r="CJ216" i="1" s="1"/>
  <c r="CJ139" i="1"/>
  <c r="CK139" i="1" s="1"/>
  <c r="CJ136" i="1"/>
  <c r="CK136" i="1" s="1"/>
  <c r="CM136" i="1" s="1"/>
  <c r="CN136" i="1" s="1"/>
  <c r="CO136" i="1" s="1"/>
  <c r="CP136" i="1" s="1"/>
  <c r="CQ136" i="1" s="1"/>
  <c r="CR136" i="1" s="1"/>
  <c r="CS136" i="1" s="1"/>
  <c r="CT136" i="1" s="1"/>
  <c r="CU136" i="1" s="1"/>
  <c r="CV136" i="1" s="1"/>
  <c r="CW136" i="1" s="1"/>
  <c r="CX136" i="1" s="1"/>
  <c r="CY136" i="1" s="1"/>
  <c r="CZ136" i="1" s="1"/>
  <c r="DA136" i="1" s="1"/>
  <c r="DB136" i="1" s="1"/>
  <c r="JX14" i="4" s="1"/>
  <c r="CJ158" i="1"/>
  <c r="CJ193" i="1" s="1"/>
  <c r="CK193" i="1" s="1"/>
  <c r="CM193" i="1" s="1"/>
  <c r="CN193" i="1" s="1"/>
  <c r="JW16" i="4" s="1"/>
  <c r="CJ164" i="1"/>
  <c r="CJ132" i="1"/>
  <c r="CK132" i="1" s="1"/>
  <c r="CM132" i="1" s="1"/>
  <c r="CN132" i="1" s="1"/>
  <c r="CO132" i="1" s="1"/>
  <c r="CP132" i="1" s="1"/>
  <c r="CQ132" i="1" s="1"/>
  <c r="CR132" i="1" s="1"/>
  <c r="CS132" i="1" s="1"/>
  <c r="CT132" i="1" s="1"/>
  <c r="CU132" i="1" s="1"/>
  <c r="CV132" i="1" s="1"/>
  <c r="CW132" i="1" s="1"/>
  <c r="CX132" i="1" s="1"/>
  <c r="CY132" i="1" s="1"/>
  <c r="CZ132" i="1" s="1"/>
  <c r="DA132" i="1" s="1"/>
  <c r="DB132" i="1" s="1"/>
  <c r="KE16" i="4" s="1"/>
  <c r="CJ148" i="1"/>
  <c r="CK42" i="1" s="1"/>
  <c r="CJ168" i="1"/>
  <c r="JU9" i="4" s="1"/>
  <c r="Z82" i="1"/>
  <c r="CJ174" i="1"/>
  <c r="CJ156" i="1"/>
  <c r="CH82" i="1"/>
  <c r="JX9" i="4" s="1"/>
  <c r="KH9" i="4" s="1"/>
  <c r="CJ83" i="1"/>
  <c r="CJ169" i="1"/>
  <c r="CJ138" i="1"/>
  <c r="CK138" i="1" s="1"/>
  <c r="CM138" i="1" s="1"/>
  <c r="CG82" i="1"/>
  <c r="JS8" i="4" s="1"/>
  <c r="JW7" i="4" s="1"/>
  <c r="KC9" i="4" s="1"/>
  <c r="JV9" i="4" s="1"/>
  <c r="JZ9" i="4" s="1"/>
  <c r="CJ82" i="1"/>
  <c r="CG83" i="1"/>
  <c r="JR9" i="4" s="1"/>
  <c r="JT9" i="4" s="1"/>
  <c r="CJ147" i="1"/>
  <c r="CK147" i="1" s="1"/>
  <c r="CM147" i="1" s="1"/>
  <c r="CN147" i="1" s="1"/>
  <c r="CO147" i="1" s="1"/>
  <c r="CP147" i="1" s="1"/>
  <c r="CI82" i="1"/>
  <c r="CK82" i="1"/>
  <c r="CJ141" i="1"/>
  <c r="CK141" i="1" s="1"/>
  <c r="CM141" i="1" s="1"/>
  <c r="CN141" i="1" s="1"/>
  <c r="CO141" i="1" s="1"/>
  <c r="CP141" i="1" s="1"/>
  <c r="CQ141" i="1" s="1"/>
  <c r="CR141" i="1" s="1"/>
  <c r="CS141" i="1" s="1"/>
  <c r="CT141" i="1" s="1"/>
  <c r="CU141" i="1" s="1"/>
  <c r="CV141" i="1" s="1"/>
  <c r="CW141" i="1" s="1"/>
  <c r="CX141" i="1" s="1"/>
  <c r="CY141" i="1" s="1"/>
  <c r="CZ141" i="1" s="1"/>
  <c r="DA141" i="1" s="1"/>
  <c r="DB141" i="1" s="1"/>
  <c r="KD9" i="4" s="1"/>
  <c r="CJ159" i="1"/>
  <c r="CH83" i="1"/>
  <c r="KF9" i="4" s="1"/>
  <c r="X82" i="1"/>
  <c r="KB9" i="4" s="1"/>
  <c r="Z83" i="1"/>
  <c r="CJ167" i="1"/>
  <c r="CJ197" i="1" s="1"/>
  <c r="CK197" i="1" s="1"/>
  <c r="CJ161" i="1"/>
  <c r="Y83" i="1"/>
  <c r="CI83" i="1"/>
  <c r="X193" i="1"/>
  <c r="X197" i="1"/>
  <c r="CR126" i="1"/>
  <c r="Y175" i="1"/>
  <c r="Z223" i="1" s="1"/>
  <c r="X267" i="1"/>
  <c r="CK107" i="1"/>
  <c r="CK108" i="1" s="1"/>
  <c r="Y162" i="1"/>
  <c r="Y196" i="1" s="1"/>
  <c r="X162" i="1"/>
  <c r="CH173" i="1"/>
  <c r="CH175" i="1" s="1"/>
  <c r="CI223" i="1" s="1"/>
  <c r="Z175" i="1"/>
  <c r="AA223" i="1" s="1"/>
  <c r="CH157" i="1"/>
  <c r="Z162" i="1"/>
  <c r="AA210" i="1" s="1"/>
  <c r="Y187" i="1"/>
  <c r="Y148" i="1"/>
  <c r="X194" i="1"/>
  <c r="X266" i="1"/>
  <c r="X19" i="1"/>
  <c r="Y35" i="1"/>
  <c r="CJ151" i="1"/>
  <c r="CJ157" i="1"/>
  <c r="Y193" i="1"/>
  <c r="X187" i="1"/>
  <c r="Y266" i="1"/>
  <c r="Y19" i="1"/>
  <c r="Y8" i="1" s="1"/>
  <c r="Y245" i="1"/>
  <c r="Y267" i="1"/>
  <c r="Y197" i="1"/>
  <c r="CH131" i="1"/>
  <c r="Z134" i="1"/>
  <c r="AA221" i="1" s="1"/>
  <c r="CH158" i="1"/>
  <c r="Z193" i="1"/>
  <c r="Z245" i="1"/>
  <c r="Z266" i="1"/>
  <c r="Z194" i="1"/>
  <c r="Z267" i="1"/>
  <c r="Z197" i="1"/>
  <c r="CH149" i="1"/>
  <c r="CI149" i="1" s="1"/>
  <c r="Z145" i="1"/>
  <c r="CG208" i="1"/>
  <c r="CG267" i="1"/>
  <c r="Y170" i="1"/>
  <c r="CH267" i="1"/>
  <c r="CG266" i="1"/>
  <c r="X148" i="1"/>
  <c r="KD7" i="4"/>
  <c r="CI245" i="1"/>
  <c r="CI19" i="1"/>
  <c r="CJ107" i="1"/>
  <c r="Y216" i="1"/>
  <c r="Y194" i="1"/>
  <c r="JU7" i="4"/>
  <c r="JS21" i="4"/>
  <c r="CG19" i="1"/>
  <c r="Z187" i="1"/>
  <c r="Z19" i="1"/>
  <c r="X170" i="1"/>
  <c r="JW15" i="4"/>
  <c r="JZ14" i="4"/>
  <c r="Y134" i="1"/>
  <c r="X142" i="1"/>
  <c r="X175" i="1"/>
  <c r="X134" i="1"/>
  <c r="X189" i="1" s="1"/>
  <c r="Y142" i="1"/>
  <c r="Z35" i="1"/>
  <c r="X35" i="1"/>
  <c r="JY15" i="4"/>
  <c r="JR7" i="4"/>
  <c r="KG8" i="4"/>
  <c r="JS7" i="4"/>
  <c r="KB15" i="4"/>
  <c r="KH15" i="4"/>
  <c r="JV15" i="4"/>
  <c r="JV14" i="4"/>
  <c r="CI146" i="1"/>
  <c r="CJ146" i="1" s="1"/>
  <c r="CH266" i="1"/>
  <c r="CJ35" i="1"/>
  <c r="CI142" i="1"/>
  <c r="CG35" i="1"/>
  <c r="CH19" i="1"/>
  <c r="CH35" i="1"/>
  <c r="CI266" i="1"/>
  <c r="CJ267" i="1"/>
  <c r="CH245" i="1"/>
  <c r="CJ245" i="1"/>
  <c r="CI267" i="1"/>
  <c r="CH194" i="1"/>
  <c r="CI194" i="1" s="1"/>
  <c r="CH197" i="1"/>
  <c r="CI197" i="1" s="1"/>
  <c r="CJ266" i="1"/>
  <c r="CJ19" i="1"/>
  <c r="Y82" i="1"/>
  <c r="X83" i="1"/>
  <c r="Z216" i="1"/>
  <c r="CI35" i="1"/>
  <c r="CI74" i="1"/>
  <c r="CJ208" i="1"/>
  <c r="Z142" i="1"/>
  <c r="CH74" i="1"/>
  <c r="CG74" i="1"/>
  <c r="CI216" i="1"/>
  <c r="CJ74" i="1"/>
  <c r="CH170" i="1"/>
  <c r="CH199" i="1" s="1"/>
  <c r="CH142" i="1"/>
  <c r="Z170" i="1"/>
  <c r="AA211" i="1" s="1"/>
  <c r="JP15" i="4"/>
  <c r="JP14" i="4"/>
  <c r="JP8" i="4"/>
  <c r="JP7" i="4"/>
  <c r="CW29" i="1"/>
  <c r="DA29" i="1" s="1"/>
  <c r="JP21" i="4"/>
  <c r="CJ86" i="1" s="1"/>
  <c r="JO21" i="4"/>
  <c r="CI86" i="1" s="1"/>
  <c r="JO7" i="4"/>
  <c r="JO15" i="4"/>
  <c r="JO14" i="4"/>
  <c r="JO8" i="4"/>
  <c r="JN21" i="4"/>
  <c r="CH86" i="1" s="1"/>
  <c r="JN15" i="4"/>
  <c r="JN14" i="4"/>
  <c r="JN7" i="4"/>
  <c r="JN8" i="4"/>
  <c r="CB22" i="1"/>
  <c r="CS4" i="1" l="1"/>
  <c r="CS125" i="1" s="1"/>
  <c r="CT5" i="1"/>
  <c r="AA212" i="1"/>
  <c r="AA213" i="1" s="1"/>
  <c r="CK37" i="1"/>
  <c r="CK26" i="1"/>
  <c r="CK36" i="1"/>
  <c r="CJ194" i="1"/>
  <c r="CK194" i="1" s="1"/>
  <c r="X196" i="1"/>
  <c r="Z8" i="1"/>
  <c r="AA202" i="1"/>
  <c r="AA20" i="1"/>
  <c r="AA220" i="1"/>
  <c r="AA219" i="1" s="1"/>
  <c r="AA263" i="1"/>
  <c r="JW21" i="4"/>
  <c r="JS15" i="4" s="1"/>
  <c r="KD16" i="4" s="1"/>
  <c r="JT16" i="4" s="1"/>
  <c r="JT21" i="4" s="1"/>
  <c r="KC15" i="4" s="1"/>
  <c r="JY14" i="4" s="1"/>
  <c r="KA21" i="4"/>
  <c r="KF21" i="4"/>
  <c r="CJ145" i="1"/>
  <c r="CK145" i="1" s="1"/>
  <c r="CL9" i="1"/>
  <c r="KG7" i="4"/>
  <c r="KB7" i="4"/>
  <c r="KB19" i="4" s="1"/>
  <c r="KF8" i="4"/>
  <c r="KE21" i="4"/>
  <c r="JX15" i="4"/>
  <c r="JZ8" i="4"/>
  <c r="JX21" i="4"/>
  <c r="KF7" i="4"/>
  <c r="KF19" i="4" s="1"/>
  <c r="JQ8" i="4"/>
  <c r="KC14" i="4"/>
  <c r="JY7" i="4"/>
  <c r="JY19" i="4" s="1"/>
  <c r="KB21" i="4"/>
  <c r="CL37" i="1"/>
  <c r="CL26" i="1"/>
  <c r="CL262" i="1"/>
  <c r="CL260" i="1"/>
  <c r="CL101" i="1"/>
  <c r="CL182" i="1"/>
  <c r="CL118" i="1" s="1"/>
  <c r="CL143" i="1"/>
  <c r="CL196" i="1"/>
  <c r="CL171" i="1"/>
  <c r="CL179" i="1" s="1"/>
  <c r="CL180" i="1" s="1"/>
  <c r="JR14" i="4"/>
  <c r="JR19" i="4" s="1"/>
  <c r="CL87" i="1" s="1"/>
  <c r="JZ15" i="4"/>
  <c r="JV7" i="4"/>
  <c r="JV19" i="4" s="1"/>
  <c r="JU8" i="4"/>
  <c r="JW14" i="4"/>
  <c r="JW19" i="4" s="1"/>
  <c r="KE14" i="4"/>
  <c r="KH21" i="4"/>
  <c r="JW8" i="4"/>
  <c r="JW20" i="4" s="1"/>
  <c r="KE8" i="4"/>
  <c r="JV8" i="4"/>
  <c r="JV20" i="4" s="1"/>
  <c r="CJ170" i="1"/>
  <c r="CJ199" i="1" s="1"/>
  <c r="CJ198" i="1" s="1"/>
  <c r="CK198" i="1" s="1"/>
  <c r="KA15" i="4"/>
  <c r="KG21" i="4"/>
  <c r="KH7" i="4"/>
  <c r="KH19" i="4" s="1"/>
  <c r="JZ7" i="4"/>
  <c r="JZ19" i="4" s="1"/>
  <c r="JS14" i="4"/>
  <c r="JS19" i="4" s="1"/>
  <c r="KC8" i="4"/>
  <c r="KC20" i="4" s="1"/>
  <c r="JU14" i="4"/>
  <c r="JU19" i="4" s="1"/>
  <c r="KF15" i="4"/>
  <c r="KF20" i="4" s="1"/>
  <c r="JU15" i="4"/>
  <c r="JU20" i="4" s="1"/>
  <c r="KH8" i="4"/>
  <c r="KH20" i="4" s="1"/>
  <c r="JY8" i="4"/>
  <c r="JY20" i="4" s="1"/>
  <c r="KB8" i="4"/>
  <c r="KB20" i="4" s="1"/>
  <c r="CK10" i="1"/>
  <c r="CK9" i="1" s="1"/>
  <c r="CL28" i="1"/>
  <c r="CL111" i="1"/>
  <c r="CL258" i="1"/>
  <c r="CL239" i="1"/>
  <c r="CH8" i="1"/>
  <c r="CL202" i="1"/>
  <c r="CL20" i="1"/>
  <c r="KA7" i="4"/>
  <c r="KA19" i="4" s="1"/>
  <c r="JV21" i="4"/>
  <c r="KG14" i="4"/>
  <c r="KC21" i="4"/>
  <c r="KE15" i="4"/>
  <c r="KG15" i="4"/>
  <c r="KG20" i="4" s="1"/>
  <c r="JQ7" i="4"/>
  <c r="KD14" i="4"/>
  <c r="KD19" i="4" s="1"/>
  <c r="KD21" i="4"/>
  <c r="JX7" i="4"/>
  <c r="JX19" i="4" s="1"/>
  <c r="KE7" i="4"/>
  <c r="JQ15" i="4"/>
  <c r="JQ20" i="4" s="1"/>
  <c r="CK88" i="1" s="1"/>
  <c r="JX8" i="4"/>
  <c r="KD8" i="4"/>
  <c r="KD20" i="4" s="1"/>
  <c r="JT14" i="4"/>
  <c r="KA8" i="4"/>
  <c r="JT15" i="4"/>
  <c r="JU21" i="4"/>
  <c r="KC7" i="4"/>
  <c r="JR15" i="4"/>
  <c r="JR20" i="4" s="1"/>
  <c r="CL88" i="1" s="1"/>
  <c r="JT7" i="4"/>
  <c r="JZ21" i="4"/>
  <c r="JQ14" i="4"/>
  <c r="JQ19" i="4" s="1"/>
  <c r="CK87" i="1" s="1"/>
  <c r="JT8" i="4"/>
  <c r="JT20" i="4" s="1"/>
  <c r="CJ175" i="1"/>
  <c r="CK154" i="1"/>
  <c r="CJ134" i="1"/>
  <c r="CJ101" i="1" s="1"/>
  <c r="CJ103" i="1" s="1"/>
  <c r="CJ142" i="1"/>
  <c r="CK131" i="1"/>
  <c r="CM131" i="1" s="1"/>
  <c r="CN131" i="1" s="1"/>
  <c r="CO131" i="1" s="1"/>
  <c r="CP131" i="1" s="1"/>
  <c r="CQ131" i="1" s="1"/>
  <c r="CR131" i="1" s="1"/>
  <c r="CS131" i="1" s="1"/>
  <c r="CT131" i="1" s="1"/>
  <c r="CU131" i="1" s="1"/>
  <c r="CV131" i="1" s="1"/>
  <c r="CW131" i="1" s="1"/>
  <c r="CX131" i="1" s="1"/>
  <c r="CJ162" i="1"/>
  <c r="CJ196" i="1" s="1"/>
  <c r="X171" i="1"/>
  <c r="CH162" i="1"/>
  <c r="CH193" i="1"/>
  <c r="CI193" i="1" s="1"/>
  <c r="Y210" i="1"/>
  <c r="Z196" i="1"/>
  <c r="Z195" i="1" s="1"/>
  <c r="Z210" i="1"/>
  <c r="Y152" i="1"/>
  <c r="Y42" i="1"/>
  <c r="X8" i="1"/>
  <c r="X107" i="1"/>
  <c r="X25" i="1"/>
  <c r="CJ152" i="1"/>
  <c r="CK151" i="1"/>
  <c r="CM151" i="1" s="1"/>
  <c r="CN151" i="1" s="1"/>
  <c r="CO151" i="1" s="1"/>
  <c r="CP151" i="1" s="1"/>
  <c r="CQ151" i="1" s="1"/>
  <c r="CR151" i="1" s="1"/>
  <c r="CS151" i="1" s="1"/>
  <c r="CT151" i="1" s="1"/>
  <c r="CU151" i="1" s="1"/>
  <c r="CV151" i="1" s="1"/>
  <c r="CW151" i="1" s="1"/>
  <c r="CX151" i="1" s="1"/>
  <c r="CY151" i="1" s="1"/>
  <c r="CZ151" i="1" s="1"/>
  <c r="DA151" i="1" s="1"/>
  <c r="DB151" i="1" s="1"/>
  <c r="CK111" i="1"/>
  <c r="CG8" i="1"/>
  <c r="CK20" i="1"/>
  <c r="CK21" i="1"/>
  <c r="CJ8" i="1"/>
  <c r="CI25" i="1"/>
  <c r="CI10" i="1" s="1"/>
  <c r="CI8" i="1"/>
  <c r="CM8" i="1" s="1"/>
  <c r="JS20" i="4"/>
  <c r="Y107" i="1"/>
  <c r="Y202" i="1"/>
  <c r="Y36" i="1"/>
  <c r="Y25" i="1"/>
  <c r="Y20" i="1"/>
  <c r="Z36" i="1"/>
  <c r="X36" i="1"/>
  <c r="CI131" i="1"/>
  <c r="CH134" i="1"/>
  <c r="CH143" i="1" s="1"/>
  <c r="Z189" i="1"/>
  <c r="Z262" i="1"/>
  <c r="Z148" i="1"/>
  <c r="CH145" i="1"/>
  <c r="AB147" i="1"/>
  <c r="CQ147" i="1"/>
  <c r="CR147" i="1" s="1"/>
  <c r="CS147" i="1" s="1"/>
  <c r="CT147" i="1" s="1"/>
  <c r="CG36" i="1"/>
  <c r="CG25" i="1"/>
  <c r="X143" i="1"/>
  <c r="CI36" i="1"/>
  <c r="Y195" i="1"/>
  <c r="Y199" i="1"/>
  <c r="Y171" i="1"/>
  <c r="X152" i="1"/>
  <c r="X42" i="1"/>
  <c r="CH198" i="1"/>
  <c r="CI198" i="1" s="1"/>
  <c r="X262" i="1"/>
  <c r="Y223" i="1"/>
  <c r="Z202" i="1"/>
  <c r="Z20" i="1"/>
  <c r="Z25" i="1"/>
  <c r="Z107" i="1"/>
  <c r="Y189" i="1"/>
  <c r="Y262" i="1"/>
  <c r="X46" i="1"/>
  <c r="X182" i="1"/>
  <c r="X118" i="1" s="1"/>
  <c r="CI220" i="1"/>
  <c r="X199" i="1"/>
  <c r="Y211" i="1"/>
  <c r="Y263" i="1"/>
  <c r="Y220" i="1"/>
  <c r="Y182" i="1"/>
  <c r="Y118" i="1" s="1"/>
  <c r="CK142" i="1"/>
  <c r="Y46" i="1"/>
  <c r="Y143" i="1"/>
  <c r="Z182" i="1"/>
  <c r="Z118" i="1" s="1"/>
  <c r="Z220" i="1"/>
  <c r="CI21" i="1"/>
  <c r="CJ25" i="1"/>
  <c r="CJ108" i="1"/>
  <c r="CJ111" i="1" s="1"/>
  <c r="CH36" i="1"/>
  <c r="CJ239" i="1"/>
  <c r="CJ21" i="1"/>
  <c r="CJ36" i="1"/>
  <c r="CH25" i="1"/>
  <c r="CH21" i="1"/>
  <c r="Z143" i="1"/>
  <c r="Z46" i="1"/>
  <c r="Z263" i="1"/>
  <c r="CH182" i="1"/>
  <c r="CI263" i="1"/>
  <c r="Z199" i="1"/>
  <c r="Z171" i="1"/>
  <c r="Z211" i="1"/>
  <c r="CN138" i="1"/>
  <c r="CM194" i="1"/>
  <c r="CM197" i="1"/>
  <c r="CX177" i="1"/>
  <c r="JP20" i="4"/>
  <c r="CJ88" i="1" s="1"/>
  <c r="JP19" i="4"/>
  <c r="CJ87" i="1" s="1"/>
  <c r="JO19" i="4"/>
  <c r="CI87" i="1" s="1"/>
  <c r="JO20" i="4"/>
  <c r="CI88" i="1" s="1"/>
  <c r="JN20" i="4"/>
  <c r="CH88" i="1" s="1"/>
  <c r="JN19" i="4"/>
  <c r="CH87" i="1" s="1"/>
  <c r="JZ20" i="4" l="1"/>
  <c r="KG19" i="4"/>
  <c r="CT4" i="1"/>
  <c r="CT125" i="1" s="1"/>
  <c r="CU5" i="1"/>
  <c r="AC4" i="1"/>
  <c r="AC5" i="1" s="1"/>
  <c r="CK38" i="1"/>
  <c r="CK43" i="1"/>
  <c r="CK47" i="1" s="1"/>
  <c r="CL103" i="1"/>
  <c r="CK12" i="1"/>
  <c r="CS126" i="1"/>
  <c r="X195" i="1"/>
  <c r="Z10" i="1"/>
  <c r="AA27" i="1"/>
  <c r="JX20" i="4"/>
  <c r="KC19" i="4"/>
  <c r="CL220" i="1"/>
  <c r="CL263" i="1"/>
  <c r="CL40" i="1"/>
  <c r="CL12" i="1"/>
  <c r="CL11" i="1" s="1"/>
  <c r="CN8" i="1"/>
  <c r="KA20" i="4"/>
  <c r="KE19" i="4"/>
  <c r="CJ262" i="1"/>
  <c r="CK223" i="1"/>
  <c r="CL216" i="1"/>
  <c r="CK216" i="1"/>
  <c r="CJ143" i="1"/>
  <c r="CJ263" i="1"/>
  <c r="CH196" i="1"/>
  <c r="CH171" i="1"/>
  <c r="CL246" i="1"/>
  <c r="CL247" i="1" s="1"/>
  <c r="CL38" i="1"/>
  <c r="CL43" i="1"/>
  <c r="CL47" i="1" s="1"/>
  <c r="CL264" i="1"/>
  <c r="CL195" i="1"/>
  <c r="CL200" i="1"/>
  <c r="KE20" i="4"/>
  <c r="JT19" i="4"/>
  <c r="CK11" i="1"/>
  <c r="CL112" i="1"/>
  <c r="CL104" i="1"/>
  <c r="CL116" i="1"/>
  <c r="CL119" i="1" s="1"/>
  <c r="CL113" i="1"/>
  <c r="CL117" i="1"/>
  <c r="CL120" i="1" s="1"/>
  <c r="CL105" i="1"/>
  <c r="CH10" i="1"/>
  <c r="CH9" i="1" s="1"/>
  <c r="CL27" i="1"/>
  <c r="CJ220" i="1"/>
  <c r="CJ171" i="1"/>
  <c r="CJ179" i="1" s="1"/>
  <c r="CJ258" i="1"/>
  <c r="CI37" i="1"/>
  <c r="CI38" i="1" s="1"/>
  <c r="Y212" i="1"/>
  <c r="CI26" i="1"/>
  <c r="CJ260" i="1"/>
  <c r="Z212" i="1"/>
  <c r="Y260" i="1"/>
  <c r="Y258" i="1"/>
  <c r="X10" i="1"/>
  <c r="X9" i="1" s="1"/>
  <c r="X26" i="1"/>
  <c r="X37" i="1"/>
  <c r="CK49" i="1"/>
  <c r="CK50" i="1"/>
  <c r="Y179" i="1"/>
  <c r="Y180" i="1" s="1"/>
  <c r="CG10" i="1"/>
  <c r="CG9" i="1" s="1"/>
  <c r="CK27" i="1"/>
  <c r="CK113" i="1"/>
  <c r="CK117" i="1"/>
  <c r="CK116" i="1"/>
  <c r="CK112" i="1"/>
  <c r="CK28" i="1"/>
  <c r="CJ10" i="1"/>
  <c r="CJ9" i="1" s="1"/>
  <c r="CI9" i="1"/>
  <c r="Y27" i="1"/>
  <c r="Y37" i="1"/>
  <c r="Y26" i="1"/>
  <c r="Y10" i="1"/>
  <c r="Z152" i="1"/>
  <c r="AA217" i="1" s="1"/>
  <c r="AA215" i="1" s="1"/>
  <c r="Z42" i="1"/>
  <c r="CH148" i="1"/>
  <c r="CI145" i="1"/>
  <c r="CI148" i="1" s="1"/>
  <c r="Z9" i="1"/>
  <c r="X260" i="1"/>
  <c r="X179" i="1"/>
  <c r="X180" i="1" s="1"/>
  <c r="CH101" i="1"/>
  <c r="CH104" i="1" s="1"/>
  <c r="CH262" i="1"/>
  <c r="CU147" i="1"/>
  <c r="CV147" i="1" s="1"/>
  <c r="CW147" i="1" s="1"/>
  <c r="CX147" i="1" s="1"/>
  <c r="AC147" i="1"/>
  <c r="X258" i="1"/>
  <c r="Y217" i="1"/>
  <c r="Y215" i="1" s="1"/>
  <c r="Z27" i="1"/>
  <c r="Z37" i="1"/>
  <c r="Z26" i="1"/>
  <c r="CJ105" i="1"/>
  <c r="CJ104" i="1"/>
  <c r="CG37" i="1"/>
  <c r="CG26" i="1"/>
  <c r="CK199" i="1"/>
  <c r="Y198" i="1"/>
  <c r="Y200" i="1"/>
  <c r="CI199" i="1"/>
  <c r="CI166" i="1"/>
  <c r="CM154" i="1"/>
  <c r="CJ195" i="1"/>
  <c r="CK195" i="1" s="1"/>
  <c r="CJ200" i="1"/>
  <c r="CI28" i="1"/>
  <c r="CH26" i="1"/>
  <c r="X198" i="1"/>
  <c r="X200" i="1"/>
  <c r="CM139" i="1"/>
  <c r="CJ28" i="1"/>
  <c r="CJ37" i="1"/>
  <c r="CJ26" i="1"/>
  <c r="CK220" i="1"/>
  <c r="CK263" i="1"/>
  <c r="CH37" i="1"/>
  <c r="CL39" i="1" s="1"/>
  <c r="CH28" i="1"/>
  <c r="CI46" i="1"/>
  <c r="CH118" i="1"/>
  <c r="Z200" i="1"/>
  <c r="AA203" i="1" s="1"/>
  <c r="AA204" i="1" s="1"/>
  <c r="Z198" i="1"/>
  <c r="CJ117" i="1"/>
  <c r="CJ113" i="1"/>
  <c r="CH117" i="1"/>
  <c r="CI116" i="1"/>
  <c r="CH116" i="1"/>
  <c r="CI117" i="1"/>
  <c r="CJ116" i="1"/>
  <c r="CJ112" i="1"/>
  <c r="CN194" i="1"/>
  <c r="CO138" i="1"/>
  <c r="CN197" i="1"/>
  <c r="CY131" i="1"/>
  <c r="CY177" i="1"/>
  <c r="CJ180" i="1" l="1"/>
  <c r="CT126" i="1"/>
  <c r="AC125" i="1"/>
  <c r="AC126" i="1" s="1"/>
  <c r="CU4" i="1"/>
  <c r="CV5" i="1"/>
  <c r="CL265" i="1"/>
  <c r="AA224" i="1"/>
  <c r="AA225" i="1" s="1"/>
  <c r="AA227" i="1"/>
  <c r="AA39" i="1"/>
  <c r="AA264" i="1"/>
  <c r="AA265" i="1" s="1"/>
  <c r="CO8" i="1"/>
  <c r="CH200" i="1"/>
  <c r="CL203" i="1" s="1"/>
  <c r="CH195" i="1"/>
  <c r="CI195" i="1" s="1"/>
  <c r="CL49" i="1"/>
  <c r="CL50" i="1"/>
  <c r="CI43" i="1"/>
  <c r="CL240" i="1"/>
  <c r="CL121" i="1"/>
  <c r="CI246" i="1"/>
  <c r="CI247" i="1" s="1"/>
  <c r="CI12" i="1"/>
  <c r="CI11" i="1" s="1"/>
  <c r="CK121" i="1"/>
  <c r="CK127" i="1" s="1"/>
  <c r="CM36" i="1"/>
  <c r="X12" i="1"/>
  <c r="X11" i="1" s="1"/>
  <c r="X246" i="1"/>
  <c r="X247" i="1" s="1"/>
  <c r="X121" i="1"/>
  <c r="X127" i="1" s="1"/>
  <c r="X43" i="1"/>
  <c r="X64" i="1" s="1"/>
  <c r="X38" i="1"/>
  <c r="Z258" i="1"/>
  <c r="Z260" i="1"/>
  <c r="Z217" i="1"/>
  <c r="Z215" i="1" s="1"/>
  <c r="Z179" i="1"/>
  <c r="Z180" i="1" s="1"/>
  <c r="CJ42" i="1"/>
  <c r="CN42" i="1" s="1"/>
  <c r="CO42" i="1" s="1"/>
  <c r="CP42" i="1" s="1"/>
  <c r="CQ42" i="1" s="1"/>
  <c r="CR42" i="1" s="1"/>
  <c r="CS42" i="1" s="1"/>
  <c r="CT42" i="1" s="1"/>
  <c r="CU42" i="1" s="1"/>
  <c r="CV42" i="1" s="1"/>
  <c r="CW42" i="1" s="1"/>
  <c r="CX42" i="1" s="1"/>
  <c r="CY42" i="1" s="1"/>
  <c r="CZ42" i="1" s="1"/>
  <c r="DA42" i="1" s="1"/>
  <c r="DB42" i="1" s="1"/>
  <c r="CI152" i="1"/>
  <c r="CJ217" i="1" s="1"/>
  <c r="CJ215" i="1" s="1"/>
  <c r="CK51" i="1"/>
  <c r="CK57" i="1"/>
  <c r="Y121" i="1"/>
  <c r="Y127" i="1" s="1"/>
  <c r="Y264" i="1"/>
  <c r="Y265" i="1" s="1"/>
  <c r="Y43" i="1"/>
  <c r="Y38" i="1"/>
  <c r="Y246" i="1"/>
  <c r="Y247" i="1" s="1"/>
  <c r="Z39" i="1"/>
  <c r="CI42" i="1"/>
  <c r="CH152" i="1"/>
  <c r="CG12" i="1"/>
  <c r="CG11" i="1" s="1"/>
  <c r="CK39" i="1"/>
  <c r="CK40" i="1"/>
  <c r="CJ12" i="1"/>
  <c r="CJ11" i="1" s="1"/>
  <c r="Y12" i="1"/>
  <c r="Y11" i="1" s="1"/>
  <c r="Y39" i="1"/>
  <c r="Z12" i="1"/>
  <c r="Z11" i="1" s="1"/>
  <c r="Z264" i="1"/>
  <c r="Z265" i="1" s="1"/>
  <c r="Z43" i="1"/>
  <c r="Z121" i="1"/>
  <c r="Z127" i="1" s="1"/>
  <c r="Z38" i="1"/>
  <c r="Z246" i="1"/>
  <c r="Z247" i="1" s="1"/>
  <c r="Y203" i="1"/>
  <c r="Y204" i="1" s="1"/>
  <c r="Y9" i="1"/>
  <c r="CI264" i="1"/>
  <c r="CI265" i="1" s="1"/>
  <c r="CH12" i="1"/>
  <c r="CH11" i="1" s="1"/>
  <c r="CH103" i="1"/>
  <c r="CH105" i="1"/>
  <c r="Z203" i="1"/>
  <c r="Z204" i="1" s="1"/>
  <c r="CY147" i="1"/>
  <c r="CZ147" i="1" s="1"/>
  <c r="DA147" i="1" s="1"/>
  <c r="DB147" i="1" s="1"/>
  <c r="AE147" i="1" s="1"/>
  <c r="AD147" i="1"/>
  <c r="CG38" i="1"/>
  <c r="CG43" i="1"/>
  <c r="CG47" i="1" s="1"/>
  <c r="CG246" i="1"/>
  <c r="CG247" i="1" s="1"/>
  <c r="CM216" i="1"/>
  <c r="CN154" i="1"/>
  <c r="CK196" i="1"/>
  <c r="CK200" i="1" s="1"/>
  <c r="CM198" i="1"/>
  <c r="CJ40" i="1"/>
  <c r="CJ264" i="1"/>
  <c r="CJ265" i="1" s="1"/>
  <c r="CJ246" i="1"/>
  <c r="CJ247" i="1" s="1"/>
  <c r="CH38" i="1"/>
  <c r="CH43" i="1"/>
  <c r="CH47" i="1" s="1"/>
  <c r="CH40" i="1"/>
  <c r="CH264" i="1"/>
  <c r="CI40" i="1"/>
  <c r="CH246" i="1"/>
  <c r="CH247" i="1" s="1"/>
  <c r="CJ240" i="1"/>
  <c r="CJ121" i="1"/>
  <c r="CJ127" i="1" s="1"/>
  <c r="CJ38" i="1"/>
  <c r="CJ43" i="1"/>
  <c r="CJ47" i="1" s="1"/>
  <c r="CN139" i="1"/>
  <c r="CM142" i="1"/>
  <c r="CM263" i="1" s="1"/>
  <c r="CH119" i="1"/>
  <c r="CH120" i="1"/>
  <c r="CK208" i="1"/>
  <c r="CK146" i="1"/>
  <c r="CP138" i="1"/>
  <c r="CO193" i="1"/>
  <c r="CO194" i="1"/>
  <c r="CO197" i="1"/>
  <c r="CZ177" i="1"/>
  <c r="CZ131" i="1"/>
  <c r="CM54" i="1"/>
  <c r="CN54" i="1" s="1"/>
  <c r="CO54" i="1" s="1"/>
  <c r="CP54" i="1" s="1"/>
  <c r="CQ54" i="1" s="1"/>
  <c r="CR54" i="1" s="1"/>
  <c r="CS54" i="1" s="1"/>
  <c r="CT54" i="1" s="1"/>
  <c r="CU54" i="1" s="1"/>
  <c r="CM55" i="1"/>
  <c r="CU125" i="1" l="1"/>
  <c r="CU126" i="1" s="1"/>
  <c r="CW5" i="1"/>
  <c r="CW4" i="1" s="1"/>
  <c r="CV4" i="1"/>
  <c r="CP8" i="1"/>
  <c r="CI160" i="1"/>
  <c r="CI196" i="1"/>
  <c r="CL53" i="1"/>
  <c r="CL51" i="1"/>
  <c r="CL259" i="1" s="1"/>
  <c r="CL248" i="1"/>
  <c r="CL57" i="1"/>
  <c r="CL64" i="1"/>
  <c r="CI47" i="1"/>
  <c r="CL123" i="1"/>
  <c r="CL122" i="1"/>
  <c r="CL127" i="1"/>
  <c r="CK148" i="1"/>
  <c r="CL146" i="1"/>
  <c r="CL145" i="1" s="1"/>
  <c r="CN36" i="1"/>
  <c r="X47" i="1"/>
  <c r="CK61" i="1"/>
  <c r="CK75" i="1"/>
  <c r="Y64" i="1"/>
  <c r="Y47" i="1"/>
  <c r="CI217" i="1"/>
  <c r="CI215" i="1" s="1"/>
  <c r="CH260" i="1"/>
  <c r="CH179" i="1"/>
  <c r="CH180" i="1" s="1"/>
  <c r="Z47" i="1"/>
  <c r="Z64" i="1"/>
  <c r="CM26" i="1"/>
  <c r="CG50" i="1"/>
  <c r="CK52" i="1" s="1"/>
  <c r="CG49" i="1"/>
  <c r="CN216" i="1"/>
  <c r="CO154" i="1"/>
  <c r="CN198" i="1"/>
  <c r="CM199" i="1"/>
  <c r="CH50" i="1"/>
  <c r="CL52" i="1" s="1"/>
  <c r="CH49" i="1"/>
  <c r="CJ50" i="1"/>
  <c r="CJ49" i="1"/>
  <c r="CM195" i="1"/>
  <c r="CO139" i="1"/>
  <c r="CN142" i="1"/>
  <c r="CN263" i="1" s="1"/>
  <c r="CM220" i="1"/>
  <c r="CP197" i="1"/>
  <c r="CP194" i="1"/>
  <c r="CP193" i="1"/>
  <c r="CQ138" i="1"/>
  <c r="DA131" i="1"/>
  <c r="DA177" i="1"/>
  <c r="CE74" i="1"/>
  <c r="AB54" i="1"/>
  <c r="AC54" i="1"/>
  <c r="CV54" i="1"/>
  <c r="CW54" i="1" s="1"/>
  <c r="CX54" i="1" s="1"/>
  <c r="CY54" i="1" s="1"/>
  <c r="AB44" i="1"/>
  <c r="CN55" i="1"/>
  <c r="CO55" i="1" s="1"/>
  <c r="CP55" i="1" s="1"/>
  <c r="CQ55" i="1" s="1"/>
  <c r="CW125" i="1" l="1"/>
  <c r="CW126" i="1" s="1"/>
  <c r="CV125" i="1"/>
  <c r="CV126" i="1" s="1"/>
  <c r="CX5" i="1"/>
  <c r="CO36" i="1"/>
  <c r="X49" i="1"/>
  <c r="X50" i="1"/>
  <c r="CL42" i="1"/>
  <c r="CK152" i="1"/>
  <c r="CI50" i="1"/>
  <c r="CI49" i="1"/>
  <c r="CM49" i="1" s="1"/>
  <c r="CP36" i="1"/>
  <c r="CQ36" i="1"/>
  <c r="CR36" i="1" s="1"/>
  <c r="CS36" i="1" s="1"/>
  <c r="CT36" i="1" s="1"/>
  <c r="CL207" i="1"/>
  <c r="CL209" i="1" s="1"/>
  <c r="CL75" i="1"/>
  <c r="CL61" i="1"/>
  <c r="CM145" i="1"/>
  <c r="CN145" i="1" s="1"/>
  <c r="CO145" i="1" s="1"/>
  <c r="CP145" i="1" s="1"/>
  <c r="CK53" i="1"/>
  <c r="CL241" i="1"/>
  <c r="CK217" i="1"/>
  <c r="CK215" i="1" s="1"/>
  <c r="CL217" i="1"/>
  <c r="CL215" i="1" s="1"/>
  <c r="Z50" i="1"/>
  <c r="Z49" i="1"/>
  <c r="CN49" i="1"/>
  <c r="Y49" i="1"/>
  <c r="Y50" i="1"/>
  <c r="Y52" i="1" s="1"/>
  <c r="CN26" i="1"/>
  <c r="CJ53" i="1"/>
  <c r="CJ51" i="1"/>
  <c r="CJ259" i="1" s="1"/>
  <c r="CJ248" i="1"/>
  <c r="CJ57" i="1"/>
  <c r="CN199" i="1"/>
  <c r="CO198" i="1"/>
  <c r="CG248" i="1"/>
  <c r="CH53" i="1"/>
  <c r="CG51" i="1"/>
  <c r="CG259" i="1" s="1"/>
  <c r="CG57" i="1"/>
  <c r="CJ241" i="1"/>
  <c r="CP154" i="1"/>
  <c r="CO216" i="1"/>
  <c r="CI53" i="1"/>
  <c r="CH57" i="1"/>
  <c r="CH51" i="1"/>
  <c r="CH259" i="1" s="1"/>
  <c r="CH248" i="1"/>
  <c r="CM196" i="1"/>
  <c r="CM200" i="1" s="1"/>
  <c r="CN195" i="1"/>
  <c r="CP139" i="1"/>
  <c r="CO142" i="1"/>
  <c r="CO263" i="1" s="1"/>
  <c r="CN220" i="1"/>
  <c r="X248" i="1"/>
  <c r="X51" i="1"/>
  <c r="X259" i="1" s="1"/>
  <c r="X57" i="1"/>
  <c r="CB74" i="1"/>
  <c r="BL74" i="1"/>
  <c r="CR138" i="1"/>
  <c r="CQ193" i="1"/>
  <c r="CQ197" i="1"/>
  <c r="CC74" i="1"/>
  <c r="CQ194" i="1"/>
  <c r="DB131" i="1"/>
  <c r="DB177" i="1"/>
  <c r="AL74" i="1"/>
  <c r="CF74" i="1"/>
  <c r="CD74" i="1"/>
  <c r="BY74" i="1"/>
  <c r="BZ74" i="1"/>
  <c r="CA74" i="1"/>
  <c r="AD54" i="1"/>
  <c r="AB55" i="1"/>
  <c r="CZ54" i="1"/>
  <c r="DA54" i="1" s="1"/>
  <c r="DB54" i="1" s="1"/>
  <c r="AE54" i="1" s="1"/>
  <c r="AC44" i="1"/>
  <c r="CR55" i="1"/>
  <c r="CS55" i="1" s="1"/>
  <c r="CT55" i="1" s="1"/>
  <c r="CU55" i="1" s="1"/>
  <c r="AT8" i="3"/>
  <c r="AZ17" i="3"/>
  <c r="AB6" i="6" a="1"/>
  <c r="Y5" i="6" a="1"/>
  <c r="AF19" i="3"/>
  <c r="AX20" i="3"/>
  <c r="AU28" i="3"/>
  <c r="AX26" i="3"/>
  <c r="AX41" i="3"/>
  <c r="AZ22" i="3"/>
  <c r="AF45" i="3"/>
  <c r="AV11" i="3"/>
  <c r="AX31" i="3"/>
  <c r="M6" i="6" a="1"/>
  <c r="AW40" i="3"/>
  <c r="AT17" i="3"/>
  <c r="AZ21" i="3"/>
  <c r="AX34" i="3"/>
  <c r="AX32" i="3"/>
  <c r="AF24" i="3"/>
  <c r="AF37" i="3"/>
  <c r="AY5" i="6" a="1"/>
  <c r="AM6" i="6" a="1"/>
  <c r="AZ15" i="3"/>
  <c r="AW12" i="3"/>
  <c r="AW5" i="6" a="1"/>
  <c r="AT10" i="3"/>
  <c r="AF10" i="3"/>
  <c r="L6" i="6" a="1"/>
  <c r="R6" i="6" a="1"/>
  <c r="T5" i="6" a="1"/>
  <c r="AU42" i="3"/>
  <c r="AZ41" i="3"/>
  <c r="AU27" i="3"/>
  <c r="AU10" i="3"/>
  <c r="AX6" i="3"/>
  <c r="AT24" i="3"/>
  <c r="AU15" i="3"/>
  <c r="AJ5" i="6" a="1"/>
  <c r="AV40" i="3"/>
  <c r="AV26" i="3"/>
  <c r="AW28" i="3"/>
  <c r="AU16" i="3"/>
  <c r="AU19" i="3"/>
  <c r="AS8" i="3"/>
  <c r="AW23" i="3"/>
  <c r="AY25" i="3"/>
  <c r="AU5" i="3"/>
  <c r="C5" i="3"/>
  <c r="AQ6" i="6" a="1"/>
  <c r="AZ11" i="3"/>
  <c r="AZ24" i="3"/>
  <c r="AT35" i="3"/>
  <c r="AX9" i="3"/>
  <c r="J6" i="6" a="1"/>
  <c r="AU12" i="3"/>
  <c r="AX42" i="3"/>
  <c r="AZ46" i="3"/>
  <c r="AY15" i="3"/>
  <c r="AX46" i="3"/>
  <c r="AU7" i="3"/>
  <c r="AY42" i="3"/>
  <c r="AY37" i="3"/>
  <c r="ET12" i="4" a="1"/>
  <c r="ER11" i="4" a="1"/>
  <c r="EM5" i="4" a="1"/>
  <c r="EN7" i="4" a="1"/>
  <c r="EV13" i="4" a="1"/>
  <c r="ET15" i="4" a="1"/>
  <c r="EL13" i="4" a="1"/>
  <c r="EO6" i="4" a="1"/>
  <c r="EQ8" i="4" a="1"/>
  <c r="EW9" i="4" a="1"/>
  <c r="ES13" i="4" a="1"/>
  <c r="AI5" i="6" a="1"/>
  <c r="AT27" i="3"/>
  <c r="AY13" i="3"/>
  <c r="AY35" i="3"/>
  <c r="AZ23" i="3"/>
  <c r="AF31" i="3"/>
  <c r="EO16" i="4" a="1"/>
  <c r="F5" i="6" a="1"/>
  <c r="AF26" i="3"/>
  <c r="AF25" i="3"/>
  <c r="AT31" i="3"/>
  <c r="AE6" i="6" a="1"/>
  <c r="AW6" i="3"/>
  <c r="AV38" i="3"/>
  <c r="AV25" i="3"/>
  <c r="AW45" i="3"/>
  <c r="E5" i="6" a="1"/>
  <c r="AX38" i="3"/>
  <c r="AZ31" i="3"/>
  <c r="AX30" i="3"/>
  <c r="AV29" i="3"/>
  <c r="F45" i="3"/>
  <c r="AW46" i="3"/>
  <c r="AW13" i="3"/>
  <c r="AU23" i="3"/>
  <c r="AU6" i="6" a="1"/>
  <c r="AS29" i="3"/>
  <c r="AV8" i="3"/>
  <c r="O5" i="6" a="1"/>
  <c r="AU41" i="3"/>
  <c r="AT28" i="3"/>
  <c r="AT38" i="3"/>
  <c r="AZ39" i="3"/>
  <c r="AS24" i="3"/>
  <c r="I6" i="6" a="1"/>
  <c r="AF29" i="3"/>
  <c r="AS18" i="3"/>
  <c r="AF6" i="6" a="1"/>
  <c r="AU46" i="3"/>
  <c r="AX24" i="3"/>
  <c r="AY6" i="3"/>
  <c r="AW17" i="3"/>
  <c r="Z5" i="6" a="1"/>
  <c r="AF5" i="3"/>
  <c r="AY12" i="3"/>
  <c r="AY21" i="3"/>
  <c r="AZ12" i="3"/>
  <c r="AF27" i="3"/>
  <c r="AT30" i="3"/>
  <c r="AX39" i="3"/>
  <c r="AF46" i="3"/>
  <c r="AZ9" i="3"/>
  <c r="AO6" i="6" a="1"/>
  <c r="AT32" i="3"/>
  <c r="AA6" i="6" a="1"/>
  <c r="L5" i="6" a="1"/>
  <c r="AR5" i="3"/>
  <c r="AZ32" i="3"/>
  <c r="AZ27" i="3"/>
  <c r="AZ26" i="3"/>
  <c r="AF23" i="3"/>
  <c r="AU30" i="3"/>
  <c r="AM5" i="6" a="1"/>
  <c r="X5" i="6" a="1"/>
  <c r="AF17" i="3"/>
  <c r="EQ12" i="4" a="1"/>
  <c r="ER16" i="4" a="1"/>
  <c r="EP12" i="4" a="1"/>
  <c r="EM11" i="4" a="1"/>
  <c r="ES16" i="4" a="1"/>
  <c r="EM14" i="4" a="1"/>
  <c r="ET8" i="4" a="1"/>
  <c r="EM13" i="4" a="1"/>
  <c r="EV9" i="4" a="1"/>
  <c r="EL14" i="4" a="1"/>
  <c r="EV16" i="4" a="1"/>
  <c r="W5" i="6" a="1"/>
  <c r="AW38" i="3"/>
  <c r="AF28" i="3"/>
  <c r="AH5" i="6" a="1"/>
  <c r="AY16" i="3"/>
  <c r="AX11" i="3"/>
  <c r="AT6" i="3"/>
  <c r="S6" i="6" a="1"/>
  <c r="AT16" i="3"/>
  <c r="AS42" i="3"/>
  <c r="EP5" i="4" a="1"/>
  <c r="ER13" i="4" a="1"/>
  <c r="EN14" i="4" a="1"/>
  <c r="EW12" i="4" a="1"/>
  <c r="EQ5" i="4" a="1"/>
  <c r="EU16" i="4" a="1"/>
  <c r="EU15" i="4" a="1"/>
  <c r="EO13" i="4" a="1"/>
  <c r="EL7" i="4" a="1"/>
  <c r="EV5" i="4" a="1"/>
  <c r="ES11" i="4" a="1"/>
  <c r="ET13" i="4" a="1"/>
  <c r="AW9" i="3"/>
  <c r="AW25" i="3"/>
  <c r="AS27" i="3"/>
  <c r="EM15" i="4" a="1"/>
  <c r="ET16" i="4" a="1"/>
  <c r="ET5" i="4" a="1"/>
  <c r="EP14" i="4" a="1"/>
  <c r="EO12" i="4" a="1"/>
  <c r="AV45" i="3"/>
  <c r="D6" i="6" a="1"/>
  <c r="AF39" i="3"/>
  <c r="EM7" i="4" a="1"/>
  <c r="AS46" i="3"/>
  <c r="AU5" i="6" a="1"/>
  <c r="AA5" i="6" a="1"/>
  <c r="AS12" i="3"/>
  <c r="AW16" i="3"/>
  <c r="AS7" i="3"/>
  <c r="AF32" i="3"/>
  <c r="AF41" i="3"/>
  <c r="AU36" i="3"/>
  <c r="Q5" i="6" a="1"/>
  <c r="AP6" i="6" a="1"/>
  <c r="AX6" i="6" a="1"/>
  <c r="AY27" i="3"/>
  <c r="AZ10" i="3"/>
  <c r="AV33" i="3"/>
  <c r="AZ20" i="3"/>
  <c r="AU13" i="3"/>
  <c r="AU29" i="3"/>
  <c r="AT23" i="3"/>
  <c r="E6" i="6" a="1"/>
  <c r="AY18" i="3"/>
  <c r="AY19" i="3"/>
  <c r="AY11" i="3"/>
  <c r="AY28" i="3"/>
  <c r="AF36" i="3"/>
  <c r="AF33" i="3"/>
  <c r="AV15" i="3"/>
  <c r="AT34" i="3"/>
  <c r="X6" i="6" a="1"/>
  <c r="AW11" i="3"/>
  <c r="P5" i="6" a="1"/>
  <c r="AY46" i="3"/>
  <c r="AY45" i="3"/>
  <c r="AT22" i="3"/>
  <c r="AV6" i="3"/>
  <c r="H6" i="6" a="1"/>
  <c r="AW5" i="3"/>
  <c r="AU38" i="3"/>
  <c r="AY14" i="3"/>
  <c r="H5" i="6" a="1"/>
  <c r="AO5" i="6" a="1"/>
  <c r="S5" i="6" a="1"/>
  <c r="AY22" i="3"/>
  <c r="AF20" i="3"/>
  <c r="AX19" i="3"/>
  <c r="AZ30" i="3"/>
  <c r="AY10" i="3"/>
  <c r="AP5" i="3"/>
  <c r="AV28" i="3"/>
  <c r="AF12" i="3"/>
  <c r="AW14" i="3"/>
  <c r="AW33" i="3"/>
  <c r="AY34" i="3"/>
  <c r="AT9" i="3"/>
  <c r="AU35" i="3"/>
  <c r="AV22" i="3"/>
  <c r="AP5" i="6" a="1"/>
  <c r="AP6" i="3"/>
  <c r="AT18" i="3"/>
  <c r="AF14" i="3"/>
  <c r="W6" i="6" a="1"/>
  <c r="G6" i="6" a="1"/>
  <c r="AZ38" i="3"/>
  <c r="AV32" i="3"/>
  <c r="AY41" i="3"/>
  <c r="Y6" i="6" a="1"/>
  <c r="AS5" i="3"/>
  <c r="EQ16" i="4" a="1"/>
  <c r="EQ9" i="4" a="1"/>
  <c r="EU12" i="4" a="1"/>
  <c r="EO14" i="4" a="1"/>
  <c r="C5" i="4" a="1"/>
  <c r="EW14" i="4" a="1"/>
  <c r="ES15" i="4" a="1"/>
  <c r="ES7" i="4" a="1"/>
  <c r="EO11" i="4" a="1"/>
  <c r="EQ14" i="4" a="1"/>
  <c r="EL5" i="4" a="1"/>
  <c r="EM16" i="4" a="1"/>
  <c r="EU7" i="4" a="1"/>
  <c r="EL12" i="4" a="1"/>
  <c r="AX27" i="3"/>
  <c r="ET14" i="4" a="1"/>
  <c r="AV21" i="3"/>
  <c r="R5" i="6" a="1"/>
  <c r="AT13" i="3"/>
  <c r="AW6" i="6" a="1"/>
  <c r="AS15" i="3"/>
  <c r="P6" i="6" a="1"/>
  <c r="AT37" i="3"/>
  <c r="AX7" i="3"/>
  <c r="AT25" i="3"/>
  <c r="AF21" i="3"/>
  <c r="AX17" i="3"/>
  <c r="AY33" i="3"/>
  <c r="AW35" i="3"/>
  <c r="AZ35" i="3"/>
  <c r="AV14" i="3"/>
  <c r="AS36" i="3"/>
  <c r="U6" i="6" a="1"/>
  <c r="AS19" i="3"/>
  <c r="AW7" i="3"/>
  <c r="AV41" i="3"/>
  <c r="AF9" i="3"/>
  <c r="AY36" i="3"/>
  <c r="AT45" i="3"/>
  <c r="AW36" i="3"/>
  <c r="AS32" i="3"/>
  <c r="AU6" i="3"/>
  <c r="AV36" i="3"/>
  <c r="AV16" i="3"/>
  <c r="AT11" i="3"/>
  <c r="AW8" i="3"/>
  <c r="AX8" i="3"/>
  <c r="AH6" i="6" a="1"/>
  <c r="AU8" i="3"/>
  <c r="AZ29" i="3"/>
  <c r="AF13" i="3"/>
  <c r="EU9" i="4" a="1"/>
  <c r="EP9" i="4" a="1"/>
  <c r="EL11" i="4" a="1"/>
  <c r="ES6" i="4" a="1"/>
  <c r="EV6" i="4" a="1"/>
  <c r="ES14" i="4" a="1"/>
  <c r="EP7" i="4" a="1"/>
  <c r="AV23" i="3"/>
  <c r="AZ19" i="3"/>
  <c r="EM9" i="4" a="1"/>
  <c r="AS39" i="3"/>
  <c r="K6" i="6" a="1"/>
  <c r="AT20" i="3"/>
  <c r="Q6" i="6" a="1"/>
  <c r="AY6" i="6" a="1"/>
  <c r="AX33" i="3"/>
  <c r="N5" i="6" a="1"/>
  <c r="AZ28" i="3"/>
  <c r="AY32" i="3"/>
  <c r="AX28" i="3"/>
  <c r="AW27" i="3"/>
  <c r="AY20" i="3"/>
  <c r="AG5" i="6" a="1"/>
  <c r="AT5" i="3"/>
  <c r="AR7" i="3"/>
  <c r="AW41" i="3"/>
  <c r="AB5" i="3"/>
  <c r="AX10" i="3"/>
  <c r="AF22" i="3"/>
  <c r="AV24" i="3"/>
  <c r="AU24" i="3"/>
  <c r="AT46" i="3"/>
  <c r="AW22" i="3"/>
  <c r="AU11" i="3"/>
  <c r="AF8" i="3"/>
  <c r="AT41" i="3"/>
  <c r="AT15" i="3"/>
  <c r="AX15" i="3"/>
  <c r="AV37" i="3"/>
  <c r="V6" i="6" a="1"/>
  <c r="AU33" i="3"/>
  <c r="AS14" i="3"/>
  <c r="AU32" i="3"/>
  <c r="AS6" i="6" a="1"/>
  <c r="U5" i="6" a="1"/>
  <c r="AQ5" i="6" a="1"/>
  <c r="AU31" i="3"/>
  <c r="AW26" i="3"/>
  <c r="AZ40" i="3"/>
  <c r="EQ11" i="4" a="1"/>
  <c r="EP8" i="4" a="1"/>
  <c r="EQ13" i="4" a="1"/>
  <c r="EU8" i="4" a="1"/>
  <c r="EL16" i="4" a="1"/>
  <c r="EN8" i="4" a="1"/>
  <c r="EO5" i="4" a="1"/>
  <c r="EW13" i="4" a="1"/>
  <c r="EN15" i="4" a="1"/>
  <c r="ET7" i="4" a="1"/>
  <c r="EL15" i="4" a="1"/>
  <c r="AR6" i="3"/>
  <c r="AS20" i="3"/>
  <c r="AX40" i="3"/>
  <c r="AY31" i="3"/>
  <c r="AU21" i="3"/>
  <c r="AN6" i="6" a="1"/>
  <c r="AZ45" i="3"/>
  <c r="AF7" i="3"/>
  <c r="AV17" i="3"/>
  <c r="AS30" i="3"/>
  <c r="AW19" i="3"/>
  <c r="AV31" i="3"/>
  <c r="AW32" i="3"/>
  <c r="AC5" i="6" a="1"/>
  <c r="AS10" i="3"/>
  <c r="EP13" i="4" a="1"/>
  <c r="EQ15" i="4" a="1"/>
  <c r="ER8" i="4" a="1"/>
  <c r="EL9" i="4" a="1"/>
  <c r="AL5" i="6" a="1"/>
  <c r="AZ8" i="3"/>
  <c r="AV46" i="3"/>
  <c r="AV7" i="3"/>
  <c r="AV34" i="3"/>
  <c r="G5" i="6" a="1"/>
  <c r="J5" i="6" a="1"/>
  <c r="AF38" i="3"/>
  <c r="AS23" i="3"/>
  <c r="AX18" i="3"/>
  <c r="D5" i="6" a="1"/>
  <c r="ET6" i="4" a="1"/>
  <c r="EQ6" i="4" a="1"/>
  <c r="ES9" i="4" a="1"/>
  <c r="AV18" i="3"/>
  <c r="AF42" i="3"/>
  <c r="AS28" i="3"/>
  <c r="F46" i="3"/>
  <c r="AZ25" i="3"/>
  <c r="AX13" i="3"/>
  <c r="ES5" i="4" a="1"/>
  <c r="ER7" i="4" a="1"/>
  <c r="EV11" i="4" a="1"/>
  <c r="AS25" i="3"/>
  <c r="AF16" i="3"/>
  <c r="ET11" i="4" a="1"/>
  <c r="EP16" i="4" a="1"/>
  <c r="AT42" i="3"/>
  <c r="AX12" i="3"/>
  <c r="AZ6" i="3"/>
  <c r="AU18" i="3"/>
  <c r="AF35" i="3"/>
  <c r="AZ18" i="3"/>
  <c r="AU9" i="3"/>
  <c r="AZ36" i="3"/>
  <c r="AY26" i="3"/>
  <c r="AG6" i="6" a="1"/>
  <c r="AX16" i="3"/>
  <c r="AT21" i="3"/>
  <c r="V5" i="6" a="1"/>
  <c r="AU39" i="3"/>
  <c r="AS37" i="3"/>
  <c r="AW34" i="3"/>
  <c r="AV5" i="3"/>
  <c r="AK6" i="6" a="1"/>
  <c r="AJ6" i="6" a="1"/>
  <c r="AS26" i="3"/>
  <c r="AF6" i="3"/>
  <c r="AY38" i="3"/>
  <c r="AV6" i="6" a="1"/>
  <c r="AT36" i="3"/>
  <c r="EW15" i="4" a="1"/>
  <c r="ER5" i="4" a="1"/>
  <c r="EM12" i="4" a="1"/>
  <c r="EN11" i="4" a="1"/>
  <c r="EV8" i="4" a="1"/>
  <c r="EV12" i="4" a="1"/>
  <c r="ER9" i="4" a="1"/>
  <c r="AU17" i="3"/>
  <c r="AR6" i="6" a="1"/>
  <c r="AW31" i="3"/>
  <c r="AV35" i="3"/>
  <c r="AF15" i="3"/>
  <c r="AS31" i="3"/>
  <c r="ER14" i="4" a="1"/>
  <c r="EN6" i="4" a="1"/>
  <c r="EO8" i="4" a="1"/>
  <c r="EW6" i="4" a="1"/>
  <c r="AU20" i="3"/>
  <c r="AS11" i="3"/>
  <c r="AU45" i="3"/>
  <c r="AW15" i="3"/>
  <c r="EL6" i="4" a="1"/>
  <c r="EM6" i="4" a="1"/>
  <c r="AS34" i="3"/>
  <c r="AZ33" i="3"/>
  <c r="ET9" i="4" a="1"/>
  <c r="AV5" i="6" a="1"/>
  <c r="AS35" i="3"/>
  <c r="AX29" i="3"/>
  <c r="AK5" i="6" a="1"/>
  <c r="AX36" i="3"/>
  <c r="AX22" i="3"/>
  <c r="AZ14" i="3"/>
  <c r="AS17" i="3"/>
  <c r="AT40" i="3"/>
  <c r="AV39" i="3"/>
  <c r="AT14" i="3"/>
  <c r="AX25" i="3"/>
  <c r="AY5" i="3"/>
  <c r="AV30" i="3"/>
  <c r="C6" i="6" a="1"/>
  <c r="N6" i="6" a="1"/>
  <c r="AF18" i="3"/>
  <c r="AS40" i="3"/>
  <c r="AS38" i="3"/>
  <c r="AW42" i="3"/>
  <c r="F6" i="6" a="1"/>
  <c r="AE5" i="6" a="1"/>
  <c r="AY9" i="3"/>
  <c r="AV9" i="3"/>
  <c r="AS33" i="3"/>
  <c r="AU14" i="3"/>
  <c r="AD5" i="6" a="1"/>
  <c r="AW18" i="3"/>
  <c r="AT12" i="3"/>
  <c r="T6" i="6" a="1"/>
  <c r="AX14" i="3"/>
  <c r="AV19" i="3"/>
  <c r="AL6" i="6" a="1"/>
  <c r="AX37" i="3"/>
  <c r="AW24" i="3"/>
  <c r="AS21" i="3"/>
  <c r="M5" i="6" a="1"/>
  <c r="AZ13" i="3"/>
  <c r="AR5" i="6" a="1"/>
  <c r="EW16" i="4" a="1"/>
  <c r="C6" i="4" a="1"/>
  <c r="EU11" i="4" a="1"/>
  <c r="EL8" i="4" a="1"/>
  <c r="EN13" i="4" a="1"/>
  <c r="EP6" i="4" a="1"/>
  <c r="EU13" i="4" a="1"/>
  <c r="ER15" i="4" a="1"/>
  <c r="EW7" i="4" a="1"/>
  <c r="EV14" i="4" a="1"/>
  <c r="EW11" i="4" a="1"/>
  <c r="AZ42" i="3"/>
  <c r="AX23" i="3"/>
  <c r="AW20" i="3"/>
  <c r="AS9" i="3"/>
  <c r="AN5" i="6" a="1"/>
  <c r="AS16" i="3"/>
  <c r="AC6" i="6" a="1"/>
  <c r="EQ7" i="4" a="1"/>
  <c r="EO15" i="4" a="1"/>
  <c r="AW29" i="3"/>
  <c r="AS5" i="6" a="1"/>
  <c r="EP11" i="4" a="1"/>
  <c r="ER6" i="4" a="1"/>
  <c r="AX45" i="3"/>
  <c r="EV15" i="4" a="1"/>
  <c r="EW5" i="4" a="1"/>
  <c r="AU34" i="3"/>
  <c r="AY30" i="3"/>
  <c r="AT39" i="3"/>
  <c r="AW37" i="3"/>
  <c r="AW39" i="3"/>
  <c r="AF11" i="3"/>
  <c r="AY7" i="3"/>
  <c r="AZ16" i="3"/>
  <c r="AF30" i="3"/>
  <c r="AW30" i="3"/>
  <c r="AF40" i="3"/>
  <c r="AU22" i="3"/>
  <c r="AX5" i="3"/>
  <c r="AX21" i="3"/>
  <c r="AX35" i="3"/>
  <c r="AY17" i="3"/>
  <c r="AT29" i="3"/>
  <c r="AZ7" i="3"/>
  <c r="AT5" i="6" a="1"/>
  <c r="K5" i="6" a="1"/>
  <c r="AZ37" i="3"/>
  <c r="AY23" i="3"/>
  <c r="AS41" i="3"/>
  <c r="AS6" i="3"/>
  <c r="AW10" i="3"/>
  <c r="AF34" i="3"/>
  <c r="AS22" i="3"/>
  <c r="AS13" i="3"/>
  <c r="AU40" i="3"/>
  <c r="AU26" i="3"/>
  <c r="AD6" i="6" a="1"/>
  <c r="AT6" i="6" a="1"/>
  <c r="AB5" i="6" a="1"/>
  <c r="AV27" i="3"/>
  <c r="AV13" i="3"/>
  <c r="AV12" i="3"/>
  <c r="AP7" i="3"/>
  <c r="AZ34" i="3"/>
  <c r="AF5" i="6" a="1"/>
  <c r="EP15" i="4" a="1"/>
  <c r="EU14" i="4" a="1"/>
  <c r="EO9" i="4" a="1"/>
  <c r="EO7" i="4" a="1"/>
  <c r="EN16" i="4" a="1"/>
  <c r="EV7" i="4" a="1"/>
  <c r="EU6" i="4" a="1"/>
  <c r="EM8" i="4" a="1"/>
  <c r="EU5" i="4" a="1"/>
  <c r="EN9" i="4" a="1"/>
  <c r="EN12" i="4" a="1"/>
  <c r="O6" i="6" a="1"/>
  <c r="AI6" i="6" a="1"/>
  <c r="AV42" i="3"/>
  <c r="I5" i="6" a="1"/>
  <c r="AT7" i="3"/>
  <c r="AS45" i="3"/>
  <c r="AW21" i="3"/>
  <c r="Z6" i="6" a="1"/>
  <c r="C5" i="6" a="1"/>
  <c r="AZ5" i="3"/>
  <c r="AT19" i="3"/>
  <c r="AY39" i="3"/>
  <c r="EN5" i="4" a="1"/>
  <c r="AY8" i="3"/>
  <c r="ER12" i="4" a="1"/>
  <c r="AU25" i="3"/>
  <c r="AY24" i="3"/>
  <c r="AY40" i="3"/>
  <c r="EW8" i="4" a="1"/>
  <c r="AT26" i="3"/>
  <c r="AX5" i="6" a="1"/>
  <c r="AT33" i="3"/>
  <c r="ES12" i="4" a="1"/>
  <c r="AV20" i="3"/>
  <c r="AU37" i="3"/>
  <c r="ES8" i="4" a="1"/>
  <c r="CX4" i="1" l="1"/>
  <c r="CY5" i="1"/>
  <c r="Z57" i="1"/>
  <c r="AA52" i="1"/>
  <c r="CI57" i="1"/>
  <c r="CI248" i="1"/>
  <c r="CI51" i="1"/>
  <c r="CI259" i="1" s="1"/>
  <c r="AB145" i="1"/>
  <c r="CQ145" i="1"/>
  <c r="CR145" i="1" s="1"/>
  <c r="CS145" i="1" s="1"/>
  <c r="CT145" i="1" s="1"/>
  <c r="CJ75" i="1"/>
  <c r="CL63" i="1"/>
  <c r="CO49" i="1"/>
  <c r="Y51" i="1"/>
  <c r="Y259" i="1" s="1"/>
  <c r="Z248" i="1"/>
  <c r="Z51" i="1"/>
  <c r="Z259" i="1" s="1"/>
  <c r="Y57" i="1"/>
  <c r="Y207" i="1" s="1"/>
  <c r="Y209" i="1" s="1"/>
  <c r="Y213" i="1" s="1"/>
  <c r="Y227" i="1" s="1"/>
  <c r="Z52" i="1"/>
  <c r="CJ61" i="1"/>
  <c r="Y248" i="1"/>
  <c r="CJ207" i="1"/>
  <c r="CJ209" i="1" s="1"/>
  <c r="CP49" i="1"/>
  <c r="CO26" i="1"/>
  <c r="CP198" i="1"/>
  <c r="CO199" i="1"/>
  <c r="CJ63" i="1"/>
  <c r="CG207" i="1"/>
  <c r="CG209" i="1" s="1"/>
  <c r="CG61" i="1"/>
  <c r="CG75" i="1"/>
  <c r="CP216" i="1"/>
  <c r="CQ154" i="1"/>
  <c r="CH207" i="1"/>
  <c r="CH209" i="1" s="1"/>
  <c r="CH75" i="1"/>
  <c r="CH61" i="1"/>
  <c r="CN196" i="1"/>
  <c r="CN200" i="1" s="1"/>
  <c r="CO195" i="1"/>
  <c r="CQ139" i="1"/>
  <c r="CP142" i="1"/>
  <c r="CP263" i="1" s="1"/>
  <c r="CO220" i="1"/>
  <c r="BY31" i="1"/>
  <c r="CA18" i="1"/>
  <c r="CE31" i="1"/>
  <c r="CA31" i="1"/>
  <c r="CF31" i="1"/>
  <c r="CD31" i="1"/>
  <c r="BZ31" i="1"/>
  <c r="BL31" i="1"/>
  <c r="CC31" i="1"/>
  <c r="CB31" i="1"/>
  <c r="CF18" i="1"/>
  <c r="CD18" i="1"/>
  <c r="BY18" i="1"/>
  <c r="CE18" i="1"/>
  <c r="BZ18" i="1"/>
  <c r="CC18" i="1"/>
  <c r="CB18" i="1"/>
  <c r="BL18" i="1"/>
  <c r="X207" i="1"/>
  <c r="X209" i="1" s="1"/>
  <c r="X61" i="1"/>
  <c r="X63" i="1"/>
  <c r="Z207" i="1"/>
  <c r="Z209" i="1" s="1"/>
  <c r="Z213" i="1" s="1"/>
  <c r="Z227" i="1" s="1"/>
  <c r="Z221" i="1"/>
  <c r="Z219" i="1" s="1"/>
  <c r="Z63" i="1"/>
  <c r="Z61" i="1"/>
  <c r="CD34" i="1"/>
  <c r="CC54" i="1"/>
  <c r="CA17" i="1"/>
  <c r="CA245" i="1" s="1"/>
  <c r="CD48" i="1"/>
  <c r="AH7" i="6" s="1"/>
  <c r="CD44" i="1"/>
  <c r="CF45" i="1"/>
  <c r="BY54" i="1"/>
  <c r="BL54" i="1"/>
  <c r="CD55" i="1"/>
  <c r="AV7" i="6" s="1"/>
  <c r="CB29" i="1"/>
  <c r="R7" i="6" s="1"/>
  <c r="X7" i="6" s="1"/>
  <c r="CD54" i="1"/>
  <c r="CD24" i="1"/>
  <c r="V7" i="6" s="1"/>
  <c r="BY24" i="1"/>
  <c r="CB17" i="1"/>
  <c r="CB245" i="1" s="1"/>
  <c r="BY60" i="1"/>
  <c r="BL17" i="1"/>
  <c r="AW7" i="6" s="1"/>
  <c r="BY30" i="1"/>
  <c r="CA22" i="1"/>
  <c r="CB32" i="1"/>
  <c r="BZ45" i="1"/>
  <c r="O7" i="6" s="1"/>
  <c r="BL56" i="1"/>
  <c r="AQ7" i="6" s="1"/>
  <c r="CF17" i="1"/>
  <c r="JJ9" i="4" s="1"/>
  <c r="BY55" i="1"/>
  <c r="AM7" i="6" s="1"/>
  <c r="JM16" i="4" s="1"/>
  <c r="CF56" i="1"/>
  <c r="CA33" i="1"/>
  <c r="BL32" i="1"/>
  <c r="BL55" i="1"/>
  <c r="CF44" i="1"/>
  <c r="BL45" i="1"/>
  <c r="BZ54" i="1"/>
  <c r="CC34" i="1"/>
  <c r="CC30" i="1"/>
  <c r="JM9" i="4" s="1"/>
  <c r="CA30" i="1"/>
  <c r="JL16" i="4" s="1"/>
  <c r="BZ33" i="1"/>
  <c r="CB30" i="1"/>
  <c r="CC22" i="1"/>
  <c r="JK16" i="4" s="1"/>
  <c r="CA60" i="1"/>
  <c r="BZ23" i="1"/>
  <c r="CE24" i="1"/>
  <c r="CC23" i="1"/>
  <c r="C7" i="6" s="1"/>
  <c r="T7" i="6" s="1"/>
  <c r="BY33" i="1"/>
  <c r="CC55" i="1"/>
  <c r="CC17" i="1"/>
  <c r="CC245" i="1" s="1"/>
  <c r="CB44" i="1"/>
  <c r="JL9" i="4" s="1"/>
  <c r="CF48" i="1"/>
  <c r="AL7" i="6" s="1"/>
  <c r="BZ41" i="1"/>
  <c r="BZ208" i="1" s="1"/>
  <c r="BZ44" i="1"/>
  <c r="J7" i="6" s="1"/>
  <c r="BY56" i="1"/>
  <c r="Z7" i="6" s="1"/>
  <c r="BL29" i="1"/>
  <c r="CF22" i="1"/>
  <c r="CF32" i="1"/>
  <c r="BZ22" i="1"/>
  <c r="CA24" i="1"/>
  <c r="CD23" i="1"/>
  <c r="BL30" i="1"/>
  <c r="BY23" i="1"/>
  <c r="CE41" i="1"/>
  <c r="CE208" i="1" s="1"/>
  <c r="AD7" i="6" s="1"/>
  <c r="CF34" i="1"/>
  <c r="CE29" i="1"/>
  <c r="CA56" i="1"/>
  <c r="CD45" i="1"/>
  <c r="CB33" i="1"/>
  <c r="CD56" i="1"/>
  <c r="AP7" i="6" s="1"/>
  <c r="Y7" i="6" s="1"/>
  <c r="CA34" i="1"/>
  <c r="AA7" i="6" s="1"/>
  <c r="AJ7" i="6" s="1"/>
  <c r="BY17" i="1"/>
  <c r="BY32" i="1"/>
  <c r="CB48" i="1"/>
  <c r="CE34" i="1"/>
  <c r="I7" i="6" s="1"/>
  <c r="AK7" i="6" s="1"/>
  <c r="CE23" i="1"/>
  <c r="K7" i="6" s="1"/>
  <c r="F7" i="6" s="1"/>
  <c r="CB54" i="1"/>
  <c r="CF33" i="1"/>
  <c r="AC7" i="6" s="1"/>
  <c r="AE7" i="6" s="1"/>
  <c r="M7" i="6" s="1"/>
  <c r="Q7" i="6" s="1"/>
  <c r="CA55" i="1"/>
  <c r="BZ55" i="1"/>
  <c r="CA45" i="1"/>
  <c r="CF55" i="1"/>
  <c r="AU7" i="6" s="1"/>
  <c r="BL24" i="1"/>
  <c r="CE33" i="1"/>
  <c r="CB41" i="1"/>
  <c r="CB208" i="1" s="1"/>
  <c r="CC56" i="1"/>
  <c r="CC60" i="1"/>
  <c r="AX7" i="6" s="1"/>
  <c r="BZ32" i="1"/>
  <c r="AT7" i="6" s="1"/>
  <c r="S7" i="6" s="1"/>
  <c r="BY22" i="1"/>
  <c r="CE44" i="1"/>
  <c r="CA54" i="1"/>
  <c r="CB56" i="1"/>
  <c r="CA44" i="1"/>
  <c r="CF60" i="1"/>
  <c r="CF30" i="1"/>
  <c r="CA29" i="1"/>
  <c r="AN7" i="6" s="1"/>
  <c r="CE55" i="1"/>
  <c r="CC24" i="1"/>
  <c r="CE60" i="1"/>
  <c r="CF24" i="1"/>
  <c r="G7" i="6" s="1"/>
  <c r="BL41" i="1"/>
  <c r="AF7" i="6" s="1"/>
  <c r="CC29" i="1"/>
  <c r="CD29" i="1"/>
  <c r="JJ16" i="4" s="1"/>
  <c r="BY34" i="1"/>
  <c r="CB55" i="1"/>
  <c r="CE17" i="1"/>
  <c r="AB7" i="6" s="1"/>
  <c r="BL23" i="1"/>
  <c r="CD60" i="1"/>
  <c r="BY29" i="1"/>
  <c r="BZ24" i="1"/>
  <c r="CD30" i="1"/>
  <c r="L7" i="6" s="1"/>
  <c r="BL48" i="1"/>
  <c r="BZ17" i="1"/>
  <c r="BZ245" i="1" s="1"/>
  <c r="CA41" i="1"/>
  <c r="BZ48" i="1"/>
  <c r="BY41" i="1"/>
  <c r="BY208" i="1" s="1"/>
  <c r="AI7" i="6" s="1"/>
  <c r="CC48" i="1"/>
  <c r="D7" i="6" s="1"/>
  <c r="BZ30" i="1"/>
  <c r="AG7" i="6" s="1"/>
  <c r="BZ29" i="1"/>
  <c r="BL60" i="1"/>
  <c r="W7" i="6" s="1"/>
  <c r="CB60" i="1"/>
  <c r="CE56" i="1"/>
  <c r="CF29" i="1"/>
  <c r="CC32" i="1"/>
  <c r="CD32" i="1"/>
  <c r="CE22" i="1"/>
  <c r="BY44" i="1"/>
  <c r="CC44" i="1"/>
  <c r="BZ60" i="1"/>
  <c r="AS7" i="6" s="1"/>
  <c r="BZ56" i="1"/>
  <c r="CE45" i="1"/>
  <c r="CD22" i="1"/>
  <c r="BL44" i="1"/>
  <c r="CB23" i="1"/>
  <c r="CC41" i="1"/>
  <c r="CC208" i="1" s="1"/>
  <c r="BY48" i="1"/>
  <c r="H7" i="6" s="1"/>
  <c r="CA32" i="1"/>
  <c r="BZ34" i="1"/>
  <c r="CD17" i="1"/>
  <c r="CD245" i="1" s="1"/>
  <c r="AR7" i="6" s="1"/>
  <c r="CF23" i="1"/>
  <c r="BL22" i="1"/>
  <c r="BL33" i="1"/>
  <c r="JK9" i="4" s="1"/>
  <c r="AO7" i="6" s="1"/>
  <c r="CA48" i="1"/>
  <c r="BL34" i="1"/>
  <c r="CA23" i="1"/>
  <c r="CE54" i="1"/>
  <c r="CD33" i="1"/>
  <c r="P7" i="6" s="1"/>
  <c r="E7" i="6" s="1"/>
  <c r="U7" i="6" s="1"/>
  <c r="CC33" i="1"/>
  <c r="AY7" i="6" s="1"/>
  <c r="CD41" i="1"/>
  <c r="CB24" i="1"/>
  <c r="CC45" i="1"/>
  <c r="CB45" i="1"/>
  <c r="CE32" i="1"/>
  <c r="CE30" i="1"/>
  <c r="CF41" i="1"/>
  <c r="CF208" i="1" s="1"/>
  <c r="CB34" i="1"/>
  <c r="BY45" i="1"/>
  <c r="CF54" i="1"/>
  <c r="N7" i="6" s="1"/>
  <c r="CS138" i="1"/>
  <c r="CR194" i="1"/>
  <c r="CR197" i="1"/>
  <c r="CR193" i="1"/>
  <c r="CJ64" i="1"/>
  <c r="AC55" i="1"/>
  <c r="CV55" i="1"/>
  <c r="CW55" i="1" s="1"/>
  <c r="CX55" i="1" s="1"/>
  <c r="CY55" i="1" s="1"/>
  <c r="AD44" i="1"/>
  <c r="AF56" i="3"/>
  <c r="AV65" i="3"/>
  <c r="AX76" i="3"/>
  <c r="AV70" i="3"/>
  <c r="AY47" i="3"/>
  <c r="C62" i="3"/>
  <c r="AZ65" i="3"/>
  <c r="AU66" i="3"/>
  <c r="AY93" i="3"/>
  <c r="AT82" i="3"/>
  <c r="AX93" i="3"/>
  <c r="AW72" i="3"/>
  <c r="AF94" i="3"/>
  <c r="C86" i="3"/>
  <c r="AS84" i="3"/>
  <c r="AX92" i="3"/>
  <c r="AS74" i="3"/>
  <c r="AS66" i="3"/>
  <c r="AY88" i="3"/>
  <c r="AV47" i="3"/>
  <c r="AU92" i="3"/>
  <c r="AY89" i="3"/>
  <c r="AT76" i="3"/>
  <c r="C66" i="3"/>
  <c r="AZ64" i="3"/>
  <c r="AT67" i="3"/>
  <c r="AF91" i="3"/>
  <c r="AV74" i="3"/>
  <c r="AX71" i="3"/>
  <c r="AV59" i="3"/>
  <c r="AW60" i="3"/>
  <c r="C85" i="3"/>
  <c r="AZ70" i="3"/>
  <c r="AU60" i="3"/>
  <c r="AY78" i="3"/>
  <c r="AT89" i="3"/>
  <c r="AV88" i="3"/>
  <c r="AW78" i="3"/>
  <c r="AU56" i="3"/>
  <c r="AF80" i="3"/>
  <c r="AW70" i="3"/>
  <c r="AW58" i="3"/>
  <c r="AY62" i="3"/>
  <c r="AS58" i="3"/>
  <c r="AU80" i="3"/>
  <c r="C93" i="3"/>
  <c r="AX49" i="3"/>
  <c r="AV77" i="3"/>
  <c r="AX84" i="3"/>
  <c r="AY76" i="3"/>
  <c r="AX74" i="3"/>
  <c r="AT96" i="3"/>
  <c r="AV82" i="3"/>
  <c r="C55" i="3"/>
  <c r="AV87" i="3"/>
  <c r="AX81" i="3"/>
  <c r="AZ54" i="3"/>
  <c r="AT87" i="3"/>
  <c r="AX63" i="3"/>
  <c r="AY68" i="3"/>
  <c r="AS86" i="3"/>
  <c r="AS67" i="3"/>
  <c r="AW75" i="3"/>
  <c r="AW76" i="3"/>
  <c r="AU95" i="3"/>
  <c r="AY94" i="3"/>
  <c r="AT59" i="3"/>
  <c r="AS83" i="3"/>
  <c r="AU72" i="3"/>
  <c r="AT65" i="3"/>
  <c r="AY73" i="3"/>
  <c r="AW61" i="3"/>
  <c r="AF68" i="3"/>
  <c r="C68" i="3"/>
  <c r="AS78" i="3"/>
  <c r="AY50" i="3"/>
  <c r="AW87" i="3"/>
  <c r="AT86" i="3"/>
  <c r="AY61" i="3"/>
  <c r="AW49" i="3"/>
  <c r="AX73" i="3"/>
  <c r="AW94" i="3"/>
  <c r="AX55" i="3"/>
  <c r="AV75" i="3"/>
  <c r="AZ92" i="3"/>
  <c r="AU82" i="3"/>
  <c r="AT77" i="3"/>
  <c r="C60" i="3"/>
  <c r="AX54" i="3"/>
  <c r="AS85" i="3"/>
  <c r="AY66" i="3"/>
  <c r="AF72" i="3"/>
  <c r="AV83" i="3"/>
  <c r="AX48" i="3"/>
  <c r="AV57" i="3"/>
  <c r="AW97" i="3"/>
  <c r="C91" i="3"/>
  <c r="AZ94" i="3"/>
  <c r="AU54" i="3"/>
  <c r="AY72" i="3"/>
  <c r="AT70" i="3"/>
  <c r="AW86" i="3"/>
  <c r="AZ69" i="3"/>
  <c r="AT80" i="3"/>
  <c r="AY82" i="3"/>
  <c r="AW59" i="3"/>
  <c r="AX68" i="3"/>
  <c r="AW48" i="3"/>
  <c r="AX50" i="3"/>
  <c r="AV64" i="3"/>
  <c r="AZ73" i="3"/>
  <c r="AU73" i="3"/>
  <c r="AT69" i="3"/>
  <c r="AV81" i="3"/>
  <c r="AZ88" i="3"/>
  <c r="AS76" i="3"/>
  <c r="AF93" i="3"/>
  <c r="AX69" i="3"/>
  <c r="AW69" i="3"/>
  <c r="C56" i="3"/>
  <c r="AV55" i="3"/>
  <c r="AU47" i="3"/>
  <c r="AF69" i="3"/>
  <c r="AT84" i="3"/>
  <c r="C94" i="3"/>
  <c r="AF58" i="3"/>
  <c r="AV85" i="3"/>
  <c r="AT49" i="3"/>
  <c r="AF85" i="3"/>
  <c r="AW54" i="3"/>
  <c r="AX58" i="3"/>
  <c r="AV89" i="3"/>
  <c r="AY48" i="3"/>
  <c r="C90" i="3"/>
  <c r="AZ71" i="3"/>
  <c r="AU58" i="3"/>
  <c r="AY56" i="3"/>
  <c r="AT92" i="3"/>
  <c r="AW77" i="3"/>
  <c r="AZ82" i="3"/>
  <c r="AU91" i="3"/>
  <c r="C77" i="3"/>
  <c r="AZ93" i="3"/>
  <c r="AX67" i="3"/>
  <c r="AW74" i="3"/>
  <c r="C67" i="3"/>
  <c r="AV97" i="3"/>
  <c r="AZ49" i="3"/>
  <c r="AY85" i="3"/>
  <c r="AF77" i="3"/>
  <c r="AT66" i="3"/>
  <c r="AX85" i="3"/>
  <c r="AX96" i="3"/>
  <c r="AZ89" i="3"/>
  <c r="C72" i="3"/>
  <c r="AT63" i="3"/>
  <c r="AY87" i="3"/>
  <c r="C70" i="3"/>
  <c r="AZ61" i="3"/>
  <c r="AF57" i="3"/>
  <c r="C89" i="3"/>
  <c r="AZ78" i="3"/>
  <c r="AS77" i="3"/>
  <c r="AU89" i="3"/>
  <c r="AW47" i="3"/>
  <c r="AU88" i="3"/>
  <c r="AF78" i="3"/>
  <c r="C54" i="3"/>
  <c r="AZ47" i="3"/>
  <c r="AF88" i="3"/>
  <c r="AX56" i="3"/>
  <c r="AS90" i="3"/>
  <c r="AZ63" i="3"/>
  <c r="AU70" i="3"/>
  <c r="AF81" i="3"/>
  <c r="AT73" i="3"/>
  <c r="AY49" i="3"/>
  <c r="AS92" i="3"/>
  <c r="AZ79" i="3"/>
  <c r="AT47" i="3"/>
  <c r="C97" i="3"/>
  <c r="AW93" i="3"/>
  <c r="AX88" i="3"/>
  <c r="AW92" i="3"/>
  <c r="AX79" i="3"/>
  <c r="AV91" i="3"/>
  <c r="AZ62" i="3"/>
  <c r="AU84" i="3"/>
  <c r="AT78" i="3"/>
  <c r="AS75" i="3"/>
  <c r="AV58" i="3"/>
  <c r="AU48" i="3"/>
  <c r="C61" i="3"/>
  <c r="C74" i="3"/>
  <c r="AZ90" i="3"/>
  <c r="AW55" i="3"/>
  <c r="AX82" i="3"/>
  <c r="AS89" i="3"/>
  <c r="AW65" i="3"/>
  <c r="AU57" i="3"/>
  <c r="AF55" i="3"/>
  <c r="AT83" i="3"/>
  <c r="AF76" i="3"/>
  <c r="AX70" i="3"/>
  <c r="AZ55" i="3"/>
  <c r="AT79" i="3"/>
  <c r="C83" i="3"/>
  <c r="AV68" i="3"/>
  <c r="AU55" i="3"/>
  <c r="AV49" i="3"/>
  <c r="AY95" i="3"/>
  <c r="AV90" i="3"/>
  <c r="AV96" i="3"/>
  <c r="AU75" i="3"/>
  <c r="AT61" i="3"/>
  <c r="AY54" i="3"/>
  <c r="AW95" i="3"/>
  <c r="AU76" i="3"/>
  <c r="AX77" i="3"/>
  <c r="AV73" i="3"/>
  <c r="AW91" i="3"/>
  <c r="AS79" i="3"/>
  <c r="AW85" i="3"/>
  <c r="AS87" i="3"/>
  <c r="AU96" i="3"/>
  <c r="AX66" i="3"/>
  <c r="AW89" i="3"/>
  <c r="AF49" i="3"/>
  <c r="AX75" i="3"/>
  <c r="AT72" i="3"/>
  <c r="AU85" i="3"/>
  <c r="AV71" i="3"/>
  <c r="AV93" i="3"/>
  <c r="AS54" i="3"/>
  <c r="AZ72" i="3"/>
  <c r="AF73" i="3"/>
  <c r="C75" i="3"/>
  <c r="AV72" i="3"/>
  <c r="AZ58" i="3"/>
  <c r="AU68" i="3"/>
  <c r="AF97" i="3"/>
  <c r="AT64" i="3"/>
  <c r="C79" i="3"/>
  <c r="AW90" i="3"/>
  <c r="AV69" i="3"/>
  <c r="AY69" i="3"/>
  <c r="C50" i="3"/>
  <c r="AZ96" i="3"/>
  <c r="AV48" i="3"/>
  <c r="AW68" i="3"/>
  <c r="AF67" i="3"/>
  <c r="AT90" i="3"/>
  <c r="AU78" i="3"/>
  <c r="C73" i="3"/>
  <c r="AZ77" i="3"/>
  <c r="AF63" i="3"/>
  <c r="C80" i="3"/>
  <c r="AZ60" i="3"/>
  <c r="AF89" i="3"/>
  <c r="AF62" i="3"/>
  <c r="AT54" i="3"/>
  <c r="AV95" i="3"/>
  <c r="AF86" i="3"/>
  <c r="AS73" i="3"/>
  <c r="AX62" i="3"/>
  <c r="AF66" i="3"/>
  <c r="AS55" i="3"/>
  <c r="AY84" i="3"/>
  <c r="C84" i="3"/>
  <c r="AV66" i="3"/>
  <c r="AV92" i="3"/>
  <c r="AZ68" i="3"/>
  <c r="AU81" i="3"/>
  <c r="AF92" i="3"/>
  <c r="AT57" i="3"/>
  <c r="AS48" i="3"/>
  <c r="AX57" i="3"/>
  <c r="AZ75" i="3"/>
  <c r="AF59" i="3"/>
  <c r="C88" i="3"/>
  <c r="AZ66" i="3"/>
  <c r="AW88" i="3"/>
  <c r="AF83" i="3"/>
  <c r="AS50" i="3"/>
  <c r="AW67" i="3"/>
  <c r="AU69" i="3"/>
  <c r="AF64" i="3"/>
  <c r="AT62" i="3"/>
  <c r="AZ74" i="3"/>
  <c r="AS70" i="3"/>
  <c r="AF61" i="3"/>
  <c r="AF95" i="3"/>
  <c r="AS65" i="3"/>
  <c r="AZ67" i="3"/>
  <c r="AX60" i="3"/>
  <c r="AS63" i="3"/>
  <c r="AV67" i="3"/>
  <c r="AZ76" i="3"/>
  <c r="AU71" i="3"/>
  <c r="AF74" i="3"/>
  <c r="AT91" i="3"/>
  <c r="AS56" i="3"/>
  <c r="C57" i="3"/>
  <c r="AZ50" i="3"/>
  <c r="AT75" i="3"/>
  <c r="AY59" i="3"/>
  <c r="AY92" i="3"/>
  <c r="AF71" i="3"/>
  <c r="AF96" i="3"/>
  <c r="AS62" i="3"/>
  <c r="AX94" i="3"/>
  <c r="C59" i="3"/>
  <c r="AW83" i="3"/>
  <c r="AV63" i="3"/>
  <c r="AZ81" i="3"/>
  <c r="AU61" i="3"/>
  <c r="AF82" i="3"/>
  <c r="AT93" i="3"/>
  <c r="AF79" i="3"/>
  <c r="AY70" i="3"/>
  <c r="AZ86" i="3"/>
  <c r="AY79" i="3"/>
  <c r="AV78" i="3"/>
  <c r="AY97" i="3"/>
  <c r="AY65" i="3"/>
  <c r="AY55" i="3"/>
  <c r="AZ84" i="3"/>
  <c r="AY71" i="3"/>
  <c r="AX89" i="3"/>
  <c r="AU77" i="3"/>
  <c r="AV84" i="3"/>
  <c r="AW82" i="3"/>
  <c r="AZ85" i="3"/>
  <c r="AY81" i="3"/>
  <c r="C69" i="3"/>
  <c r="AS94" i="3"/>
  <c r="AX95" i="3"/>
  <c r="C71" i="3"/>
  <c r="AW73" i="3"/>
  <c r="AW81" i="3"/>
  <c r="AX97" i="3"/>
  <c r="AU93" i="3"/>
  <c r="AY96" i="3"/>
  <c r="AT94" i="3"/>
  <c r="AS96" i="3"/>
  <c r="AW50" i="3"/>
  <c r="AU94" i="3"/>
  <c r="AF84" i="3"/>
  <c r="C95" i="3"/>
  <c r="AZ57" i="3"/>
  <c r="AF65" i="3"/>
  <c r="AX72" i="3"/>
  <c r="AV94" i="3"/>
  <c r="AZ91" i="3"/>
  <c r="AU90" i="3"/>
  <c r="AF75" i="3"/>
  <c r="AT50" i="3"/>
  <c r="AU97" i="3"/>
  <c r="AT58" i="3"/>
  <c r="AS72" i="3"/>
  <c r="AX80" i="3"/>
  <c r="AU59" i="3"/>
  <c r="AW96" i="3"/>
  <c r="AW63" i="3"/>
  <c r="AT71" i="3"/>
  <c r="AF54" i="3"/>
  <c r="AW64" i="3"/>
  <c r="AZ97" i="3"/>
  <c r="AS93" i="3"/>
  <c r="AF60" i="3"/>
  <c r="C76" i="3"/>
  <c r="AS60" i="3"/>
  <c r="AX64" i="3"/>
  <c r="AS88" i="3"/>
  <c r="AS71" i="3"/>
  <c r="AY90" i="3"/>
  <c r="AV56" i="3"/>
  <c r="AU74" i="3"/>
  <c r="AY80" i="3"/>
  <c r="AT81" i="3"/>
  <c r="AW79" i="3"/>
  <c r="AW84" i="3"/>
  <c r="AU67" i="3"/>
  <c r="AV62" i="3"/>
  <c r="AS95" i="3"/>
  <c r="AZ56" i="3"/>
  <c r="AX86" i="3"/>
  <c r="AS81" i="3"/>
  <c r="AV79" i="3"/>
  <c r="AZ48" i="3"/>
  <c r="AU64" i="3"/>
  <c r="AF70" i="3"/>
  <c r="AT85" i="3"/>
  <c r="AX87" i="3"/>
  <c r="C87" i="3"/>
  <c r="AY60" i="3"/>
  <c r="AY77" i="3"/>
  <c r="AS61" i="3"/>
  <c r="AX78" i="3"/>
  <c r="C63" i="3"/>
  <c r="AY86" i="3"/>
  <c r="AZ95" i="3"/>
  <c r="AX59" i="3"/>
  <c r="AU49" i="3"/>
  <c r="AY91" i="3"/>
  <c r="AT95" i="3"/>
  <c r="C58" i="3"/>
  <c r="AW80" i="3"/>
  <c r="AU83" i="3"/>
  <c r="AV86" i="3"/>
  <c r="C92" i="3"/>
  <c r="AX61" i="3"/>
  <c r="AV80" i="3"/>
  <c r="AV50" i="3"/>
  <c r="AY74" i="3"/>
  <c r="C65" i="3"/>
  <c r="C78" i="3"/>
  <c r="AS82" i="3"/>
  <c r="AW56" i="3"/>
  <c r="AU86" i="3"/>
  <c r="AZ80" i="3"/>
  <c r="AF87" i="3"/>
  <c r="C64" i="3"/>
  <c r="AS97" i="3"/>
  <c r="AX47" i="3"/>
  <c r="AS69" i="3"/>
  <c r="AW66" i="3"/>
  <c r="AY58" i="3"/>
  <c r="AW71" i="3"/>
  <c r="AU50" i="3"/>
  <c r="AY63" i="3"/>
  <c r="AT60" i="3"/>
  <c r="AZ87" i="3"/>
  <c r="C81" i="3"/>
  <c r="AU79" i="3"/>
  <c r="AF90" i="3"/>
  <c r="AS80" i="3"/>
  <c r="AY57" i="3"/>
  <c r="C96" i="3"/>
  <c r="AV76" i="3"/>
  <c r="AV61" i="3"/>
  <c r="AZ59" i="3"/>
  <c r="AU62" i="3"/>
  <c r="AF47" i="3"/>
  <c r="AT56" i="3"/>
  <c r="AX83" i="3"/>
  <c r="AT88" i="3"/>
  <c r="AS59" i="3"/>
  <c r="AS64" i="3"/>
  <c r="AY67" i="3"/>
  <c r="AU65" i="3"/>
  <c r="AT55" i="3"/>
  <c r="AU87" i="3"/>
  <c r="AV60" i="3"/>
  <c r="AX65" i="3"/>
  <c r="AX90" i="3"/>
  <c r="AZ83" i="3"/>
  <c r="AY64" i="3"/>
  <c r="AT48" i="3"/>
  <c r="AV54" i="3"/>
  <c r="AS91" i="3"/>
  <c r="C82" i="3"/>
  <c r="AY83" i="3"/>
  <c r="AX91" i="3"/>
  <c r="AT74" i="3"/>
  <c r="AW57" i="3"/>
  <c r="AT97" i="3"/>
  <c r="AS68" i="3"/>
  <c r="AT68" i="3"/>
  <c r="AW62" i="3"/>
  <c r="AU63" i="3"/>
  <c r="AY75" i="3"/>
  <c r="AS57" i="3"/>
  <c r="AD4" i="1" l="1"/>
  <c r="AD5" i="1" s="1"/>
  <c r="CX125" i="1"/>
  <c r="CZ5" i="1"/>
  <c r="CZ4" i="1" s="1"/>
  <c r="CY4" i="1"/>
  <c r="DA5" i="1"/>
  <c r="DA4" i="1" s="1"/>
  <c r="CQ49" i="1"/>
  <c r="CR49" i="1" s="1"/>
  <c r="CS49" i="1" s="1"/>
  <c r="CI75" i="1"/>
  <c r="CI133" i="1"/>
  <c r="CI134" i="1" s="1"/>
  <c r="CI61" i="1"/>
  <c r="CI207" i="1"/>
  <c r="CI209" i="1" s="1"/>
  <c r="CU145" i="1"/>
  <c r="CV145" i="1" s="1"/>
  <c r="CW145" i="1" s="1"/>
  <c r="CX145" i="1" s="1"/>
  <c r="AC145" i="1"/>
  <c r="Y61" i="1"/>
  <c r="Y63" i="1"/>
  <c r="Y221" i="1"/>
  <c r="Y219" i="1" s="1"/>
  <c r="Y224" i="1" s="1"/>
  <c r="Y225" i="1" s="1"/>
  <c r="CT49" i="1"/>
  <c r="CP26" i="1"/>
  <c r="CQ26" i="1" s="1"/>
  <c r="CR26" i="1" s="1"/>
  <c r="CS26" i="1" s="1"/>
  <c r="CT26" i="1" s="1"/>
  <c r="CJ78" i="1"/>
  <c r="CJ94" i="1" s="1"/>
  <c r="CQ198" i="1"/>
  <c r="CP199" i="1"/>
  <c r="CQ216" i="1"/>
  <c r="CR154" i="1"/>
  <c r="CO196" i="1"/>
  <c r="CO200" i="1" s="1"/>
  <c r="CP195" i="1"/>
  <c r="CR139" i="1"/>
  <c r="CQ142" i="1"/>
  <c r="CQ263" i="1" s="1"/>
  <c r="CP220" i="1"/>
  <c r="BZ139" i="1"/>
  <c r="CA139" i="1" s="1"/>
  <c r="BL82" i="1"/>
  <c r="CF83" i="1"/>
  <c r="CB160" i="1"/>
  <c r="CC160" i="1" s="1"/>
  <c r="CD167" i="1"/>
  <c r="CD197" i="1" s="1"/>
  <c r="CE197" i="1" s="1"/>
  <c r="CB178" i="1"/>
  <c r="CC178" i="1" s="1"/>
  <c r="BL138" i="1"/>
  <c r="BM138" i="1" s="1"/>
  <c r="CD147" i="1"/>
  <c r="CD138" i="1"/>
  <c r="CE138" i="1" s="1"/>
  <c r="CF141" i="1"/>
  <c r="CG141" i="1" s="1"/>
  <c r="CB141" i="1"/>
  <c r="CC141" i="1" s="1"/>
  <c r="CB166" i="1"/>
  <c r="CC166" i="1" s="1"/>
  <c r="CB158" i="1"/>
  <c r="CB193" i="1" s="1"/>
  <c r="CC193" i="1" s="1"/>
  <c r="BZ167" i="1"/>
  <c r="BZ197" i="1" s="1"/>
  <c r="CA197" i="1" s="1"/>
  <c r="BZ178" i="1"/>
  <c r="CA178" i="1" s="1"/>
  <c r="BZ168" i="1"/>
  <c r="CA168" i="1" s="1"/>
  <c r="BZ174" i="1"/>
  <c r="BZ164" i="1"/>
  <c r="CA164" i="1" s="1"/>
  <c r="BZ146" i="1"/>
  <c r="BL159" i="1"/>
  <c r="BL194" i="1" s="1"/>
  <c r="BM194" i="1" s="1"/>
  <c r="BL167" i="1"/>
  <c r="BL197" i="1" s="1"/>
  <c r="BM197" i="1" s="1"/>
  <c r="BL136" i="1"/>
  <c r="BM136" i="1" s="1"/>
  <c r="CA82" i="1"/>
  <c r="CF82" i="1"/>
  <c r="CF160" i="1"/>
  <c r="CG160" i="1" s="1"/>
  <c r="CF147" i="1"/>
  <c r="CB83" i="1"/>
  <c r="CF158" i="1"/>
  <c r="CF193" i="1" s="1"/>
  <c r="CG193" i="1" s="1"/>
  <c r="CG158" i="1" s="1"/>
  <c r="CF136" i="1"/>
  <c r="CG136" i="1" s="1"/>
  <c r="CB163" i="1"/>
  <c r="CC163" i="1" s="1"/>
  <c r="CF178" i="1"/>
  <c r="CG178" i="1" s="1"/>
  <c r="CB139" i="1"/>
  <c r="CC139" i="1" s="1"/>
  <c r="CB177" i="1"/>
  <c r="CC177" i="1" s="1"/>
  <c r="CD83" i="1"/>
  <c r="CB173" i="1"/>
  <c r="CD159" i="1"/>
  <c r="CD194" i="1" s="1"/>
  <c r="CE194" i="1" s="1"/>
  <c r="CD136" i="1"/>
  <c r="CE136" i="1" s="1"/>
  <c r="BL139" i="1"/>
  <c r="CD145" i="1"/>
  <c r="CD165" i="1"/>
  <c r="CE165" i="1" s="1"/>
  <c r="CD173" i="1"/>
  <c r="CD156" i="1"/>
  <c r="CE156" i="1" s="1"/>
  <c r="CF154" i="1"/>
  <c r="CF140" i="1"/>
  <c r="CG140" i="1" s="1"/>
  <c r="CB156" i="1"/>
  <c r="CC156" i="1" s="1"/>
  <c r="BL168" i="1"/>
  <c r="BM168" i="1" s="1"/>
  <c r="BL177" i="1"/>
  <c r="BM177" i="1" s="1"/>
  <c r="BL178" i="1"/>
  <c r="CB140" i="1"/>
  <c r="CC140" i="1" s="1"/>
  <c r="CE83" i="1"/>
  <c r="BZ173" i="1"/>
  <c r="BZ177" i="1"/>
  <c r="CA177" i="1" s="1"/>
  <c r="BZ133" i="1"/>
  <c r="BZ141" i="1"/>
  <c r="CA141" i="1" s="1"/>
  <c r="CF159" i="1"/>
  <c r="CF194" i="1" s="1"/>
  <c r="CG194" i="1" s="1"/>
  <c r="CG159" i="1" s="1"/>
  <c r="CF146" i="1"/>
  <c r="CF163" i="1"/>
  <c r="CB133" i="1"/>
  <c r="CB159" i="1"/>
  <c r="CB194" i="1" s="1"/>
  <c r="CC194" i="1" s="1"/>
  <c r="CD174" i="1"/>
  <c r="CD166" i="1"/>
  <c r="CE166" i="1" s="1"/>
  <c r="CB82" i="1"/>
  <c r="BZ169" i="1"/>
  <c r="CA169" i="1" s="1"/>
  <c r="BZ147" i="1"/>
  <c r="BZ131" i="1"/>
  <c r="BZ161" i="1"/>
  <c r="CA161" i="1" s="1"/>
  <c r="BZ83" i="1"/>
  <c r="BZ138" i="1"/>
  <c r="CA138" i="1" s="1"/>
  <c r="BZ140" i="1"/>
  <c r="CA140" i="1" s="1"/>
  <c r="BZ156" i="1"/>
  <c r="CA156" i="1" s="1"/>
  <c r="BZ145" i="1"/>
  <c r="BL147" i="1"/>
  <c r="BL163" i="1"/>
  <c r="BM163" i="1" s="1"/>
  <c r="CF138" i="1"/>
  <c r="CF167" i="1"/>
  <c r="CF197" i="1" s="1"/>
  <c r="CG197" i="1" s="1"/>
  <c r="CG167" i="1" s="1"/>
  <c r="CD168" i="1"/>
  <c r="CE168" i="1" s="1"/>
  <c r="CF168" i="1"/>
  <c r="CG168" i="1" s="1"/>
  <c r="CB145" i="1"/>
  <c r="CB168" i="1"/>
  <c r="CC168" i="1" s="1"/>
  <c r="BY83" i="1"/>
  <c r="CD177" i="1"/>
  <c r="CE177" i="1" s="1"/>
  <c r="CD149" i="1"/>
  <c r="CE149" i="1" s="1"/>
  <c r="BL174" i="1"/>
  <c r="CB167" i="1"/>
  <c r="CB197" i="1" s="1"/>
  <c r="CC197" i="1" s="1"/>
  <c r="CB132" i="1"/>
  <c r="CC132" i="1" s="1"/>
  <c r="BL164" i="1"/>
  <c r="BM164" i="1" s="1"/>
  <c r="CD141" i="1"/>
  <c r="CE141" i="1" s="1"/>
  <c r="CD161" i="1"/>
  <c r="CE161" i="1" s="1"/>
  <c r="CD133" i="1"/>
  <c r="CD160" i="1"/>
  <c r="CE160" i="1" s="1"/>
  <c r="CD169" i="1"/>
  <c r="CE169" i="1" s="1"/>
  <c r="CD154" i="1"/>
  <c r="CE154" i="1" s="1"/>
  <c r="CF131" i="1"/>
  <c r="CF132" i="1"/>
  <c r="CG132" i="1" s="1"/>
  <c r="CF165" i="1"/>
  <c r="CG165" i="1" s="1"/>
  <c r="CF177" i="1"/>
  <c r="CG177" i="1" s="1"/>
  <c r="CB174" i="1"/>
  <c r="CB154" i="1"/>
  <c r="AI83" i="1"/>
  <c r="BL161" i="1"/>
  <c r="BM161" i="1" s="1"/>
  <c r="BL149" i="1"/>
  <c r="BM149" i="1" s="1"/>
  <c r="BL140" i="1"/>
  <c r="BM140" i="1" s="1"/>
  <c r="CB138" i="1"/>
  <c r="CC138" i="1" s="1"/>
  <c r="BL160" i="1"/>
  <c r="BM160" i="1" s="1"/>
  <c r="BZ149" i="1"/>
  <c r="CA149" i="1" s="1"/>
  <c r="BZ82" i="1"/>
  <c r="BL166" i="1"/>
  <c r="BM166" i="1" s="1"/>
  <c r="CB146" i="1"/>
  <c r="CF161" i="1"/>
  <c r="CG161" i="1" s="1"/>
  <c r="CB161" i="1"/>
  <c r="CC161" i="1" s="1"/>
  <c r="CD82" i="1"/>
  <c r="CC83" i="1"/>
  <c r="CD132" i="1"/>
  <c r="CE132" i="1" s="1"/>
  <c r="BL133" i="1"/>
  <c r="CD139" i="1"/>
  <c r="CE139" i="1" s="1"/>
  <c r="CF173" i="1"/>
  <c r="CF166" i="1"/>
  <c r="CG166" i="1" s="1"/>
  <c r="CE82" i="1"/>
  <c r="BZ159" i="1"/>
  <c r="BZ194" i="1" s="1"/>
  <c r="CA194" i="1" s="1"/>
  <c r="BZ136" i="1"/>
  <c r="CA136" i="1" s="1"/>
  <c r="BZ158" i="1"/>
  <c r="BZ193" i="1" s="1"/>
  <c r="CA193" i="1" s="1"/>
  <c r="BZ132" i="1"/>
  <c r="CA132" i="1" s="1"/>
  <c r="BZ163" i="1"/>
  <c r="BZ165" i="1"/>
  <c r="CA165" i="1" s="1"/>
  <c r="BZ160" i="1"/>
  <c r="CA160" i="1" s="1"/>
  <c r="BZ154" i="1"/>
  <c r="CA154" i="1" s="1"/>
  <c r="BZ166" i="1"/>
  <c r="CA166" i="1" s="1"/>
  <c r="BL169" i="1"/>
  <c r="BM169" i="1" s="1"/>
  <c r="BL158" i="1"/>
  <c r="BL193" i="1" s="1"/>
  <c r="BM193" i="1" s="1"/>
  <c r="BL145" i="1"/>
  <c r="BL146" i="1"/>
  <c r="CA83" i="1"/>
  <c r="CF169" i="1"/>
  <c r="CG169" i="1" s="1"/>
  <c r="CF164" i="1"/>
  <c r="CG164" i="1" s="1"/>
  <c r="CF174" i="1"/>
  <c r="CB131" i="1"/>
  <c r="CC131" i="1" s="1"/>
  <c r="CF145" i="1"/>
  <c r="CF133" i="1"/>
  <c r="CG133" i="1" s="1"/>
  <c r="CF139" i="1"/>
  <c r="CG139" i="1" s="1"/>
  <c r="CD140" i="1"/>
  <c r="CE140" i="1" s="1"/>
  <c r="CB169" i="1"/>
  <c r="CC169" i="1" s="1"/>
  <c r="CB149" i="1"/>
  <c r="CC149" i="1" s="1"/>
  <c r="CB165" i="1"/>
  <c r="CC165" i="1" s="1"/>
  <c r="CD131" i="1"/>
  <c r="BL154" i="1"/>
  <c r="CB147" i="1"/>
  <c r="BL141" i="1"/>
  <c r="BM141" i="1" s="1"/>
  <c r="CD146" i="1"/>
  <c r="CD158" i="1"/>
  <c r="CD193" i="1" s="1"/>
  <c r="CE193" i="1" s="1"/>
  <c r="CD164" i="1"/>
  <c r="CE164" i="1" s="1"/>
  <c r="CD163" i="1"/>
  <c r="CE163" i="1" s="1"/>
  <c r="CD178" i="1"/>
  <c r="CE178" i="1" s="1"/>
  <c r="CF149" i="1"/>
  <c r="CG149" i="1" s="1"/>
  <c r="CF156" i="1"/>
  <c r="CG156" i="1" s="1"/>
  <c r="CC82" i="1"/>
  <c r="CB164" i="1"/>
  <c r="CC164" i="1" s="1"/>
  <c r="CB136" i="1"/>
  <c r="CC136" i="1" s="1"/>
  <c r="BL173" i="1"/>
  <c r="BL131" i="1"/>
  <c r="BM131" i="1" s="1"/>
  <c r="BL165" i="1"/>
  <c r="BM165" i="1" s="1"/>
  <c r="BL156" i="1"/>
  <c r="BM156" i="1" s="1"/>
  <c r="BL132" i="1"/>
  <c r="BM132" i="1" s="1"/>
  <c r="BL267" i="1"/>
  <c r="CH107" i="1"/>
  <c r="CH108" i="1" s="1"/>
  <c r="CB151" i="1"/>
  <c r="CC151" i="1" s="1"/>
  <c r="CF151" i="1"/>
  <c r="CG151" i="1" s="1"/>
  <c r="CD151" i="1"/>
  <c r="CE151" i="1" s="1"/>
  <c r="BL151" i="1"/>
  <c r="BM151" i="1" s="1"/>
  <c r="BZ151" i="1"/>
  <c r="CA151" i="1" s="1"/>
  <c r="BL157" i="1"/>
  <c r="CD157" i="1"/>
  <c r="CB157" i="1"/>
  <c r="CF157" i="1"/>
  <c r="BZ157" i="1"/>
  <c r="CA266" i="1"/>
  <c r="JJ21" i="4"/>
  <c r="CD86" i="1" s="1"/>
  <c r="CA19" i="1"/>
  <c r="JK14" i="4"/>
  <c r="BL19" i="1"/>
  <c r="BY19" i="1"/>
  <c r="BL208" i="1"/>
  <c r="CF19" i="1"/>
  <c r="CF266" i="1"/>
  <c r="JL21" i="4"/>
  <c r="CF86" i="1" s="1"/>
  <c r="CF107" i="1"/>
  <c r="CF108" i="1" s="1"/>
  <c r="CB35" i="1"/>
  <c r="CE245" i="1"/>
  <c r="CC267" i="1"/>
  <c r="CA35" i="1"/>
  <c r="CE266" i="1"/>
  <c r="CC266" i="1"/>
  <c r="JM7" i="4"/>
  <c r="CA267" i="1"/>
  <c r="JJ8" i="4"/>
  <c r="Z224" i="1"/>
  <c r="Z225" i="1" s="1"/>
  <c r="CF35" i="1"/>
  <c r="BZ266" i="1"/>
  <c r="BZ19" i="1"/>
  <c r="BZ8" i="1" s="1"/>
  <c r="CA208" i="1"/>
  <c r="CD267" i="1"/>
  <c r="CB107" i="1"/>
  <c r="CB108" i="1" s="1"/>
  <c r="JK21" i="4"/>
  <c r="CE86" i="1" s="1"/>
  <c r="JK15" i="4"/>
  <c r="CD266" i="1"/>
  <c r="JL14" i="4"/>
  <c r="CC35" i="1"/>
  <c r="BY35" i="1"/>
  <c r="CI107" i="1"/>
  <c r="CI108" i="1" s="1"/>
  <c r="CI111" i="1" s="1"/>
  <c r="CF245" i="1"/>
  <c r="BY267" i="1"/>
  <c r="JL8" i="4"/>
  <c r="CE35" i="1"/>
  <c r="BL266" i="1"/>
  <c r="CE107" i="1"/>
  <c r="CE108" i="1" s="1"/>
  <c r="CD19" i="1"/>
  <c r="CC19" i="1"/>
  <c r="CC8" i="1" s="1"/>
  <c r="CD208" i="1"/>
  <c r="CE19" i="1"/>
  <c r="CE8" i="1" s="1"/>
  <c r="CG107" i="1"/>
  <c r="CG108" i="1" s="1"/>
  <c r="CD107" i="1"/>
  <c r="CD108" i="1" s="1"/>
  <c r="CB19" i="1"/>
  <c r="CB266" i="1"/>
  <c r="CC107" i="1"/>
  <c r="CC108" i="1" s="1"/>
  <c r="JJ15" i="4"/>
  <c r="CB267" i="1"/>
  <c r="BY266" i="1"/>
  <c r="CD35" i="1"/>
  <c r="JM8" i="4"/>
  <c r="JL7" i="4"/>
  <c r="CF267" i="1"/>
  <c r="JJ7" i="4"/>
  <c r="JK8" i="4"/>
  <c r="JM21" i="4"/>
  <c r="CG86" i="1" s="1"/>
  <c r="BZ267" i="1"/>
  <c r="CE267" i="1"/>
  <c r="JK7" i="4"/>
  <c r="BL35" i="1"/>
  <c r="JL15" i="4"/>
  <c r="BZ35" i="1"/>
  <c r="JM14" i="4"/>
  <c r="JM15" i="4"/>
  <c r="JJ14" i="4"/>
  <c r="CS194" i="1"/>
  <c r="CS197" i="1"/>
  <c r="CS193" i="1"/>
  <c r="CT138" i="1"/>
  <c r="AD55" i="1"/>
  <c r="CZ55" i="1"/>
  <c r="DA55" i="1" s="1"/>
  <c r="DB55" i="1" s="1"/>
  <c r="AE44" i="1"/>
  <c r="U17" i="1"/>
  <c r="V17" i="1"/>
  <c r="W17" i="1"/>
  <c r="AD125" i="1" l="1"/>
  <c r="AD126" i="1" s="1"/>
  <c r="CX126" i="1"/>
  <c r="CZ125" i="1"/>
  <c r="CZ126" i="1" s="1"/>
  <c r="CY125" i="1"/>
  <c r="CY126" i="1" s="1"/>
  <c r="DA125" i="1"/>
  <c r="DA126" i="1" s="1"/>
  <c r="DB5" i="1"/>
  <c r="DB4" i="1" s="1"/>
  <c r="AE4" i="1" s="1"/>
  <c r="AE5" i="1" s="1"/>
  <c r="CF8" i="1"/>
  <c r="AA67" i="1"/>
  <c r="CK78" i="1"/>
  <c r="CL78" i="1"/>
  <c r="CI221" i="1"/>
  <c r="CI219" i="1" s="1"/>
  <c r="CJ221" i="1"/>
  <c r="CJ219" i="1" s="1"/>
  <c r="CI101" i="1"/>
  <c r="CI143" i="1"/>
  <c r="AD145" i="1"/>
  <c r="CY145" i="1"/>
  <c r="CZ145" i="1" s="1"/>
  <c r="DA145" i="1" s="1"/>
  <c r="DB145" i="1" s="1"/>
  <c r="AE145" i="1" s="1"/>
  <c r="CJ96" i="1"/>
  <c r="CJ95" i="1"/>
  <c r="CU49" i="1"/>
  <c r="CV49" i="1" s="1"/>
  <c r="CW49" i="1" s="1"/>
  <c r="CU36" i="1"/>
  <c r="CR216" i="1"/>
  <c r="CS154" i="1"/>
  <c r="CA25" i="1"/>
  <c r="CA37" i="1" s="1"/>
  <c r="CA8" i="1"/>
  <c r="BL25" i="1"/>
  <c r="BL8" i="1"/>
  <c r="BY25" i="1"/>
  <c r="BY8" i="1"/>
  <c r="CD25" i="1"/>
  <c r="CD8" i="1"/>
  <c r="CB25" i="1"/>
  <c r="CB8" i="1"/>
  <c r="CR198" i="1"/>
  <c r="CQ199" i="1"/>
  <c r="CP196" i="1"/>
  <c r="CP200" i="1" s="1"/>
  <c r="CQ195" i="1"/>
  <c r="CS139" i="1"/>
  <c r="CR142" i="1"/>
  <c r="CR263" i="1" s="1"/>
  <c r="CQ220" i="1"/>
  <c r="BZ175" i="1"/>
  <c r="BL175" i="1"/>
  <c r="CB216" i="1"/>
  <c r="CA131" i="1"/>
  <c r="BZ134" i="1"/>
  <c r="BZ101" i="1" s="1"/>
  <c r="BL134" i="1"/>
  <c r="BL101" i="1" s="1"/>
  <c r="CB175" i="1"/>
  <c r="CC223" i="1" s="1"/>
  <c r="CG138" i="1"/>
  <c r="CG142" i="1" s="1"/>
  <c r="CF142" i="1"/>
  <c r="CD148" i="1"/>
  <c r="CE42" i="1" s="1"/>
  <c r="CC154" i="1"/>
  <c r="CD216" i="1" s="1"/>
  <c r="CE131" i="1"/>
  <c r="CD134" i="1"/>
  <c r="CD101" i="1" s="1"/>
  <c r="CD103" i="1" s="1"/>
  <c r="BM154" i="1"/>
  <c r="BM216" i="1" s="1"/>
  <c r="CD175" i="1"/>
  <c r="CF216" i="1"/>
  <c r="CE142" i="1"/>
  <c r="BM139" i="1"/>
  <c r="BM142" i="1" s="1"/>
  <c r="BL142" i="1"/>
  <c r="CG154" i="1"/>
  <c r="CG163" i="1"/>
  <c r="CG170" i="1" s="1"/>
  <c r="CF170" i="1"/>
  <c r="CF199" i="1" s="1"/>
  <c r="CF198" i="1" s="1"/>
  <c r="CG131" i="1"/>
  <c r="CG134" i="1" s="1"/>
  <c r="CF134" i="1"/>
  <c r="CF101" i="1" s="1"/>
  <c r="CF103" i="1" s="1"/>
  <c r="CA163" i="1"/>
  <c r="BZ170" i="1"/>
  <c r="BZ199" i="1" s="1"/>
  <c r="BZ198" i="1" s="1"/>
  <c r="BZ148" i="1"/>
  <c r="BZ152" i="1" s="1"/>
  <c r="CA142" i="1"/>
  <c r="CB148" i="1"/>
  <c r="CF175" i="1"/>
  <c r="BL148" i="1"/>
  <c r="CF148" i="1"/>
  <c r="CF152" i="1" s="1"/>
  <c r="CC142" i="1"/>
  <c r="CB142" i="1"/>
  <c r="CE216" i="1"/>
  <c r="BZ142" i="1"/>
  <c r="CB170" i="1"/>
  <c r="CB199" i="1" s="1"/>
  <c r="CB198" i="1" s="1"/>
  <c r="BL170" i="1"/>
  <c r="BL199" i="1" s="1"/>
  <c r="BL198" i="1" s="1"/>
  <c r="CD170" i="1"/>
  <c r="CD199" i="1" s="1"/>
  <c r="CD198" i="1" s="1"/>
  <c r="CB134" i="1"/>
  <c r="CD142" i="1"/>
  <c r="CH111" i="1"/>
  <c r="CH112" i="1"/>
  <c r="CH113" i="1"/>
  <c r="BM157" i="1"/>
  <c r="BL162" i="1"/>
  <c r="CE157" i="1"/>
  <c r="CD162" i="1"/>
  <c r="CC157" i="1"/>
  <c r="CB162" i="1"/>
  <c r="CG157" i="1"/>
  <c r="CG162" i="1" s="1"/>
  <c r="CG196" i="1" s="1"/>
  <c r="CG195" i="1" s="1"/>
  <c r="CF162" i="1"/>
  <c r="CA157" i="1"/>
  <c r="BZ162" i="1"/>
  <c r="CD111" i="1"/>
  <c r="CA36" i="1"/>
  <c r="CA21" i="1"/>
  <c r="JK19" i="4"/>
  <c r="CE87" i="1" s="1"/>
  <c r="BL36" i="1"/>
  <c r="CC20" i="1"/>
  <c r="CC36" i="1"/>
  <c r="CI239" i="1"/>
  <c r="CF25" i="1"/>
  <c r="AA68" i="1" s="1"/>
  <c r="CG21" i="1"/>
  <c r="CJ20" i="1"/>
  <c r="BY36" i="1"/>
  <c r="JL20" i="4"/>
  <c r="CF88" i="1" s="1"/>
  <c r="CF113" i="1" s="1"/>
  <c r="BZ25" i="1"/>
  <c r="CF36" i="1"/>
  <c r="Y67" i="1"/>
  <c r="JJ19" i="4"/>
  <c r="CD87" i="1" s="1"/>
  <c r="CD116" i="1" s="1"/>
  <c r="JM20" i="4"/>
  <c r="CG88" i="1" s="1"/>
  <c r="CD36" i="1"/>
  <c r="JM19" i="4"/>
  <c r="CG87" i="1" s="1"/>
  <c r="CE167" i="1"/>
  <c r="CE170" i="1" s="1"/>
  <c r="CE199" i="1" s="1"/>
  <c r="CE198" i="1" s="1"/>
  <c r="CF111" i="1"/>
  <c r="JJ20" i="4"/>
  <c r="CD88" i="1" s="1"/>
  <c r="CD117" i="1" s="1"/>
  <c r="JL19" i="4"/>
  <c r="CF87" i="1" s="1"/>
  <c r="JK20" i="4"/>
  <c r="CE88" i="1" s="1"/>
  <c r="CE117" i="1" s="1"/>
  <c r="CD202" i="1"/>
  <c r="CD20" i="1"/>
  <c r="BZ21" i="1"/>
  <c r="CD239" i="1"/>
  <c r="BZ36" i="1"/>
  <c r="CE158" i="1"/>
  <c r="CE202" i="1"/>
  <c r="CG202" i="1"/>
  <c r="CF20" i="1"/>
  <c r="CH239" i="1"/>
  <c r="CJ202" i="1"/>
  <c r="CE36" i="1"/>
  <c r="CC25" i="1"/>
  <c r="CF239" i="1"/>
  <c r="CB21" i="1"/>
  <c r="CH258" i="1"/>
  <c r="Z67" i="1"/>
  <c r="CE20" i="1"/>
  <c r="CG111" i="1"/>
  <c r="CE111" i="1"/>
  <c r="CG239" i="1"/>
  <c r="CF21" i="1"/>
  <c r="CF202" i="1"/>
  <c r="CE239" i="1"/>
  <c r="CC21" i="1"/>
  <c r="CC239" i="1"/>
  <c r="CE159" i="1"/>
  <c r="CB36" i="1"/>
  <c r="CD21" i="1"/>
  <c r="CH20" i="1"/>
  <c r="CI202" i="1"/>
  <c r="CI112" i="1"/>
  <c r="CE25" i="1"/>
  <c r="CI20" i="1"/>
  <c r="CI113" i="1"/>
  <c r="CG20" i="1"/>
  <c r="CE21" i="1"/>
  <c r="CH202" i="1"/>
  <c r="CA216" i="1"/>
  <c r="CU26" i="1"/>
  <c r="CT193" i="1"/>
  <c r="CT197" i="1"/>
  <c r="CU138" i="1"/>
  <c r="CT194" i="1"/>
  <c r="AE55" i="1"/>
  <c r="V245" i="1"/>
  <c r="W245" i="1"/>
  <c r="U245" i="1"/>
  <c r="DB125" i="1" l="1"/>
  <c r="CK96" i="1"/>
  <c r="CK95" i="1"/>
  <c r="CK94" i="1"/>
  <c r="CL96" i="1"/>
  <c r="CL95" i="1"/>
  <c r="CL94" i="1"/>
  <c r="CI104" i="1"/>
  <c r="CI105" i="1"/>
  <c r="CI103" i="1"/>
  <c r="CC216" i="1"/>
  <c r="CX49" i="1"/>
  <c r="CY49" i="1" s="1"/>
  <c r="CZ49" i="1" s="1"/>
  <c r="DA49" i="1" s="1"/>
  <c r="CV36" i="1"/>
  <c r="CW36" i="1" s="1"/>
  <c r="CS216" i="1"/>
  <c r="CT154" i="1"/>
  <c r="BL10" i="1"/>
  <c r="BL9" i="1" s="1"/>
  <c r="BL26" i="1"/>
  <c r="BL37" i="1"/>
  <c r="BY10" i="1"/>
  <c r="BY9" i="1" s="1"/>
  <c r="BY26" i="1"/>
  <c r="BY37" i="1"/>
  <c r="CD26" i="1"/>
  <c r="CD37" i="1"/>
  <c r="CB26" i="1"/>
  <c r="CB37" i="1"/>
  <c r="CB38" i="1" s="1"/>
  <c r="CB10" i="1"/>
  <c r="CB28" i="1"/>
  <c r="CA10" i="1"/>
  <c r="CA26" i="1"/>
  <c r="CD10" i="1"/>
  <c r="CH27" i="1"/>
  <c r="CF37" i="1"/>
  <c r="AA69" i="1" s="1"/>
  <c r="CF10" i="1"/>
  <c r="CD27" i="1"/>
  <c r="BZ10" i="1"/>
  <c r="CA246" i="1"/>
  <c r="CA247" i="1" s="1"/>
  <c r="CA12" i="1"/>
  <c r="CC28" i="1"/>
  <c r="CC10" i="1"/>
  <c r="CE28" i="1"/>
  <c r="CE10" i="1"/>
  <c r="CS198" i="1"/>
  <c r="CR199" i="1"/>
  <c r="CG263" i="1"/>
  <c r="CQ196" i="1"/>
  <c r="CQ200" i="1" s="1"/>
  <c r="CR195" i="1"/>
  <c r="CH216" i="1"/>
  <c r="CG216" i="1"/>
  <c r="CA223" i="1"/>
  <c r="BZ262" i="1"/>
  <c r="CT139" i="1"/>
  <c r="CS142" i="1"/>
  <c r="CS263" i="1" s="1"/>
  <c r="CD220" i="1"/>
  <c r="CF263" i="1"/>
  <c r="BM223" i="1"/>
  <c r="BL262" i="1"/>
  <c r="CF220" i="1"/>
  <c r="CF143" i="1"/>
  <c r="CR220" i="1"/>
  <c r="BL143" i="1"/>
  <c r="BL182" i="1"/>
  <c r="BL118" i="1" s="1"/>
  <c r="CA42" i="1"/>
  <c r="CA148" i="1"/>
  <c r="CB152" i="1"/>
  <c r="CC42" i="1"/>
  <c r="CC148" i="1"/>
  <c r="BZ182" i="1"/>
  <c r="BZ143" i="1"/>
  <c r="CF104" i="1"/>
  <c r="CD152" i="1"/>
  <c r="CE148" i="1"/>
  <c r="CE223" i="1"/>
  <c r="CD262" i="1"/>
  <c r="CA263" i="1"/>
  <c r="CA220" i="1"/>
  <c r="BM220" i="1"/>
  <c r="BM263" i="1"/>
  <c r="CH221" i="1"/>
  <c r="CG101" i="1"/>
  <c r="CG104" i="1" s="1"/>
  <c r="CG221" i="1"/>
  <c r="CG223" i="1"/>
  <c r="CF182" i="1"/>
  <c r="CF262" i="1"/>
  <c r="BM148" i="1"/>
  <c r="BM152" i="1" s="1"/>
  <c r="BL152" i="1"/>
  <c r="BL260" i="1" s="1"/>
  <c r="CG42" i="1"/>
  <c r="CG148" i="1"/>
  <c r="CH263" i="1"/>
  <c r="CH265" i="1" s="1"/>
  <c r="CH220" i="1"/>
  <c r="CG143" i="1"/>
  <c r="CG220" i="1"/>
  <c r="CB263" i="1"/>
  <c r="CB143" i="1"/>
  <c r="CB182" i="1"/>
  <c r="CB220" i="1"/>
  <c r="CB101" i="1"/>
  <c r="CB262" i="1"/>
  <c r="CC263" i="1"/>
  <c r="CC220" i="1"/>
  <c r="CE220" i="1"/>
  <c r="CD263" i="1"/>
  <c r="CD143" i="1"/>
  <c r="CD182" i="1"/>
  <c r="CE263" i="1"/>
  <c r="BL196" i="1"/>
  <c r="BL171" i="1"/>
  <c r="CD196" i="1"/>
  <c r="CD171" i="1"/>
  <c r="CB196" i="1"/>
  <c r="CB171" i="1"/>
  <c r="CF196" i="1"/>
  <c r="CF171" i="1"/>
  <c r="CF179" i="1" s="1"/>
  <c r="BZ196" i="1"/>
  <c r="BZ171" i="1"/>
  <c r="BZ179" i="1" s="1"/>
  <c r="CE112" i="1"/>
  <c r="CE116" i="1"/>
  <c r="BZ28" i="1"/>
  <c r="BZ37" i="1"/>
  <c r="BZ12" i="1" s="1"/>
  <c r="BZ26" i="1"/>
  <c r="CA28" i="1"/>
  <c r="CG199" i="1"/>
  <c r="CH211" i="1"/>
  <c r="CG211" i="1"/>
  <c r="CJ27" i="1"/>
  <c r="CF26" i="1"/>
  <c r="CG28" i="1"/>
  <c r="CF27" i="1"/>
  <c r="BZ260" i="1"/>
  <c r="CF260" i="1"/>
  <c r="CF258" i="1"/>
  <c r="CF117" i="1"/>
  <c r="CF105" i="1"/>
  <c r="CG117" i="1"/>
  <c r="CG113" i="1"/>
  <c r="CG116" i="1"/>
  <c r="CG112" i="1"/>
  <c r="CF116" i="1"/>
  <c r="CF112" i="1"/>
  <c r="CG27" i="1"/>
  <c r="CC26" i="1"/>
  <c r="Y68" i="1"/>
  <c r="CC37" i="1"/>
  <c r="CD28" i="1"/>
  <c r="CC27" i="1"/>
  <c r="CD105" i="1"/>
  <c r="CD112" i="1"/>
  <c r="CE162" i="1"/>
  <c r="CD104" i="1"/>
  <c r="CE211" i="1"/>
  <c r="CG210" i="1"/>
  <c r="CD113" i="1"/>
  <c r="CF211" i="1"/>
  <c r="CA43" i="1"/>
  <c r="CA47" i="1" s="1"/>
  <c r="CA50" i="1" s="1"/>
  <c r="CA57" i="1" s="1"/>
  <c r="CA207" i="1" s="1"/>
  <c r="CA209" i="1" s="1"/>
  <c r="CA38" i="1"/>
  <c r="CE113" i="1"/>
  <c r="CG171" i="1"/>
  <c r="CH210" i="1"/>
  <c r="CF28" i="1"/>
  <c r="CE27" i="1"/>
  <c r="CI27" i="1"/>
  <c r="Z68" i="1"/>
  <c r="CE37" i="1"/>
  <c r="CE26" i="1"/>
  <c r="CV26" i="1"/>
  <c r="CU193" i="1"/>
  <c r="CV138" i="1"/>
  <c r="CU194" i="1"/>
  <c r="CU197" i="1"/>
  <c r="AB164" i="1"/>
  <c r="A1" i="1"/>
  <c r="AE125" i="1" l="1"/>
  <c r="AE126" i="1" s="1"/>
  <c r="DB126" i="1"/>
  <c r="DB49" i="1"/>
  <c r="CX36" i="1"/>
  <c r="CY36" i="1" s="1"/>
  <c r="CZ36" i="1" s="1"/>
  <c r="CT216" i="1"/>
  <c r="CU154" i="1"/>
  <c r="BL12" i="1"/>
  <c r="BL11" i="1" s="1"/>
  <c r="BL43" i="1"/>
  <c r="BL47" i="1" s="1"/>
  <c r="BL38" i="1"/>
  <c r="BY12" i="1"/>
  <c r="BY11" i="1" s="1"/>
  <c r="BY43" i="1"/>
  <c r="BY47" i="1" s="1"/>
  <c r="BY49" i="1" s="1"/>
  <c r="BY38" i="1"/>
  <c r="CH39" i="1"/>
  <c r="CD12" i="1"/>
  <c r="CD38" i="1"/>
  <c r="CD246" i="1"/>
  <c r="CD247" i="1" s="1"/>
  <c r="CD43" i="1"/>
  <c r="CD47" i="1" s="1"/>
  <c r="CB12" i="1"/>
  <c r="CB11" i="1" s="1"/>
  <c r="CB246" i="1"/>
  <c r="CB247" i="1" s="1"/>
  <c r="CB43" i="1"/>
  <c r="CB47" i="1" s="1"/>
  <c r="CB40" i="1"/>
  <c r="CB264" i="1"/>
  <c r="CB265" i="1" s="1"/>
  <c r="CB9" i="1"/>
  <c r="CF12" i="1"/>
  <c r="CF11" i="1" s="1"/>
  <c r="CG40" i="1"/>
  <c r="CI121" i="1"/>
  <c r="CI127" i="1" s="1"/>
  <c r="CI240" i="1"/>
  <c r="CG264" i="1"/>
  <c r="CF38" i="1"/>
  <c r="CF246" i="1"/>
  <c r="CF247" i="1" s="1"/>
  <c r="CJ39" i="1"/>
  <c r="CF43" i="1"/>
  <c r="CF39" i="1"/>
  <c r="CG265" i="1"/>
  <c r="CA9" i="1"/>
  <c r="CA11" i="1"/>
  <c r="CD9" i="1"/>
  <c r="CF9" i="1"/>
  <c r="BZ9" i="1"/>
  <c r="BZ11" i="1"/>
  <c r="CC9" i="1"/>
  <c r="CE9" i="1"/>
  <c r="CT198" i="1"/>
  <c r="CS199" i="1"/>
  <c r="CC43" i="1"/>
  <c r="CC12" i="1"/>
  <c r="CC11" i="1" s="1"/>
  <c r="CG240" i="1"/>
  <c r="CE12" i="1"/>
  <c r="CE11" i="1" s="1"/>
  <c r="CF180" i="1"/>
  <c r="CR196" i="1"/>
  <c r="CR200" i="1" s="1"/>
  <c r="CS195" i="1"/>
  <c r="CA152" i="1"/>
  <c r="CB42" i="1"/>
  <c r="CB179" i="1"/>
  <c r="CB180" i="1" s="1"/>
  <c r="CD179" i="1"/>
  <c r="CD180" i="1" s="1"/>
  <c r="CU139" i="1"/>
  <c r="CT142" i="1"/>
  <c r="CT263" i="1" s="1"/>
  <c r="CB260" i="1"/>
  <c r="CB258" i="1"/>
  <c r="CE152" i="1"/>
  <c r="CF42" i="1"/>
  <c r="CS220" i="1"/>
  <c r="CG219" i="1"/>
  <c r="BZ180" i="1"/>
  <c r="CD42" i="1"/>
  <c r="CC152" i="1"/>
  <c r="BZ118" i="1"/>
  <c r="CA46" i="1"/>
  <c r="CD258" i="1"/>
  <c r="CD260" i="1"/>
  <c r="CH219" i="1"/>
  <c r="CG103" i="1"/>
  <c r="CG105" i="1"/>
  <c r="CF118" i="1"/>
  <c r="CG46" i="1"/>
  <c r="CH42" i="1"/>
  <c r="CG152" i="1"/>
  <c r="CB118" i="1"/>
  <c r="CC46" i="1"/>
  <c r="CD118" i="1"/>
  <c r="CE46" i="1"/>
  <c r="CF195" i="1"/>
  <c r="CF200" i="1"/>
  <c r="CJ203" i="1" s="1"/>
  <c r="BL200" i="1"/>
  <c r="BL195" i="1"/>
  <c r="CD200" i="1"/>
  <c r="CD195" i="1"/>
  <c r="CB200" i="1"/>
  <c r="CB195" i="1"/>
  <c r="BZ195" i="1"/>
  <c r="BZ200" i="1"/>
  <c r="CG212" i="1"/>
  <c r="CG213" i="1" s="1"/>
  <c r="BZ38" i="1"/>
  <c r="BZ43" i="1"/>
  <c r="CA264" i="1"/>
  <c r="CA265" i="1" s="1"/>
  <c r="CA40" i="1"/>
  <c r="BZ246" i="1"/>
  <c r="BZ247" i="1" s="1"/>
  <c r="CD39" i="1"/>
  <c r="BZ40" i="1"/>
  <c r="BZ264" i="1"/>
  <c r="CB121" i="1"/>
  <c r="CB127" i="1" s="1"/>
  <c r="CH212" i="1"/>
  <c r="CH213" i="1" s="1"/>
  <c r="CD121" i="1"/>
  <c r="CD127" i="1" s="1"/>
  <c r="CC264" i="1"/>
  <c r="CC265" i="1" s="1"/>
  <c r="CE210" i="1"/>
  <c r="CE212" i="1" s="1"/>
  <c r="CE171" i="1"/>
  <c r="CG198" i="1"/>
  <c r="CG200" i="1"/>
  <c r="CC246" i="1"/>
  <c r="CC247" i="1" s="1"/>
  <c r="CG39" i="1"/>
  <c r="Y69" i="1"/>
  <c r="CC38" i="1"/>
  <c r="CC240" i="1"/>
  <c r="CD264" i="1"/>
  <c r="CD265" i="1" s="1"/>
  <c r="CC121" i="1"/>
  <c r="CC127" i="1" s="1"/>
  <c r="CD240" i="1"/>
  <c r="CC40" i="1"/>
  <c r="CD40" i="1"/>
  <c r="CC39" i="1"/>
  <c r="CE196" i="1"/>
  <c r="CF210" i="1"/>
  <c r="CF212" i="1" s="1"/>
  <c r="CA49" i="1"/>
  <c r="CA75" i="1"/>
  <c r="CA133" i="1"/>
  <c r="CA134" i="1" s="1"/>
  <c r="CA101" i="1" s="1"/>
  <c r="CA61" i="1"/>
  <c r="CA248" i="1"/>
  <c r="CA51" i="1"/>
  <c r="CA259" i="1" s="1"/>
  <c r="CF121" i="1"/>
  <c r="CF127" i="1" s="1"/>
  <c r="CE40" i="1"/>
  <c r="CE121" i="1"/>
  <c r="CE127" i="1" s="1"/>
  <c r="CE240" i="1"/>
  <c r="CE264" i="1"/>
  <c r="CE265" i="1" s="1"/>
  <c r="CF264" i="1"/>
  <c r="CF265" i="1" s="1"/>
  <c r="CE246" i="1"/>
  <c r="CE247" i="1" s="1"/>
  <c r="Z69" i="1"/>
  <c r="CE39" i="1"/>
  <c r="CH121" i="1"/>
  <c r="CH127" i="1" s="1"/>
  <c r="CE38" i="1"/>
  <c r="CG121" i="1"/>
  <c r="CG127" i="1" s="1"/>
  <c r="CE43" i="1"/>
  <c r="CH240" i="1"/>
  <c r="CF40" i="1"/>
  <c r="CI39" i="1"/>
  <c r="CF240" i="1"/>
  <c r="CW26" i="1"/>
  <c r="CX26" i="1" s="1"/>
  <c r="CW138" i="1"/>
  <c r="CV193" i="1"/>
  <c r="CV197" i="1"/>
  <c r="CV194" i="1"/>
  <c r="AC164" i="1"/>
  <c r="CD11" i="1" l="1"/>
  <c r="BY50" i="1"/>
  <c r="DA36" i="1"/>
  <c r="DB36" i="1" s="1"/>
  <c r="CV154" i="1"/>
  <c r="CU216" i="1"/>
  <c r="BL50" i="1"/>
  <c r="BL57" i="1" s="1"/>
  <c r="BL49" i="1"/>
  <c r="CB49" i="1"/>
  <c r="CB50" i="1"/>
  <c r="CB57" i="1" s="1"/>
  <c r="CD50" i="1"/>
  <c r="CD49" i="1"/>
  <c r="CI64" i="1"/>
  <c r="CF47" i="1"/>
  <c r="CC47" i="1"/>
  <c r="CD64" i="1"/>
  <c r="CU198" i="1"/>
  <c r="CT199" i="1"/>
  <c r="CD120" i="1"/>
  <c r="CD123" i="1" s="1"/>
  <c r="CD119" i="1"/>
  <c r="CD122" i="1" s="1"/>
  <c r="CS196" i="1"/>
  <c r="CS200" i="1" s="1"/>
  <c r="CT195" i="1"/>
  <c r="CA217" i="1"/>
  <c r="CA215" i="1" s="1"/>
  <c r="CB217" i="1"/>
  <c r="CB215" i="1" s="1"/>
  <c r="CE217" i="1"/>
  <c r="CE215" i="1" s="1"/>
  <c r="CF217" i="1"/>
  <c r="CF215" i="1" s="1"/>
  <c r="CH217" i="1"/>
  <c r="CH215" i="1" s="1"/>
  <c r="CH227" i="1" s="1"/>
  <c r="CG217" i="1"/>
  <c r="CG215" i="1" s="1"/>
  <c r="CV139" i="1"/>
  <c r="CU142" i="1"/>
  <c r="CU263" i="1" s="1"/>
  <c r="CT220" i="1"/>
  <c r="CD217" i="1"/>
  <c r="CD215" i="1" s="1"/>
  <c r="CC217" i="1"/>
  <c r="CC215" i="1" s="1"/>
  <c r="CF203" i="1"/>
  <c r="CF119" i="1"/>
  <c r="CF122" i="1" s="1"/>
  <c r="CF120" i="1"/>
  <c r="CF123" i="1" s="1"/>
  <c r="CM20" i="1"/>
  <c r="CD203" i="1"/>
  <c r="CH203" i="1"/>
  <c r="BZ47" i="1"/>
  <c r="CB64" i="1"/>
  <c r="CE195" i="1"/>
  <c r="CE200" i="1"/>
  <c r="CA221" i="1"/>
  <c r="CA219" i="1" s="1"/>
  <c r="CA143" i="1"/>
  <c r="CH122" i="1"/>
  <c r="CH123" i="1"/>
  <c r="CF64" i="1"/>
  <c r="CH64" i="1"/>
  <c r="CG64" i="1"/>
  <c r="CE47" i="1"/>
  <c r="CM73" i="1"/>
  <c r="CN73" i="1" s="1"/>
  <c r="CO73" i="1" s="1"/>
  <c r="CP73" i="1" s="1"/>
  <c r="CQ73" i="1" s="1"/>
  <c r="CR73" i="1" s="1"/>
  <c r="CS73" i="1" s="1"/>
  <c r="CT73" i="1" s="1"/>
  <c r="CU73" i="1" s="1"/>
  <c r="CV73" i="1" s="1"/>
  <c r="CW73" i="1" s="1"/>
  <c r="CX73" i="1" s="1"/>
  <c r="CY73" i="1" s="1"/>
  <c r="CZ73" i="1" s="1"/>
  <c r="DA73" i="1" s="1"/>
  <c r="DB73" i="1" s="1"/>
  <c r="CY26" i="1"/>
  <c r="CZ26" i="1" s="1"/>
  <c r="CX138" i="1"/>
  <c r="CW194" i="1"/>
  <c r="CW193" i="1"/>
  <c r="CW197" i="1"/>
  <c r="AE164" i="1"/>
  <c r="AD164" i="1"/>
  <c r="BY51" i="1" l="1"/>
  <c r="BY259" i="1" s="1"/>
  <c r="BY57" i="1"/>
  <c r="CB248" i="1"/>
  <c r="CB51" i="1"/>
  <c r="CB259" i="1" s="1"/>
  <c r="CB53" i="1"/>
  <c r="BL51" i="1"/>
  <c r="BL259" i="1" s="1"/>
  <c r="CW154" i="1"/>
  <c r="CX154" i="1" s="1"/>
  <c r="CV216" i="1"/>
  <c r="CD51" i="1"/>
  <c r="CD259" i="1" s="1"/>
  <c r="CD57" i="1"/>
  <c r="CH52" i="1"/>
  <c r="CD248" i="1"/>
  <c r="CC50" i="1"/>
  <c r="CC49" i="1"/>
  <c r="CF50" i="1"/>
  <c r="CF49" i="1"/>
  <c r="CV198" i="1"/>
  <c r="CU199" i="1"/>
  <c r="CM17" i="1"/>
  <c r="CM9" i="1"/>
  <c r="CG227" i="1"/>
  <c r="CG224" i="1"/>
  <c r="CG174" i="1" s="1"/>
  <c r="CG175" i="1" s="1"/>
  <c r="CG225" i="1" s="1"/>
  <c r="CT196" i="1"/>
  <c r="CT200" i="1" s="1"/>
  <c r="CU195" i="1"/>
  <c r="CW139" i="1"/>
  <c r="CV142" i="1"/>
  <c r="CV263" i="1" s="1"/>
  <c r="CU220" i="1"/>
  <c r="CN20" i="1"/>
  <c r="BZ50" i="1"/>
  <c r="BZ49" i="1"/>
  <c r="CB75" i="1"/>
  <c r="CB61" i="1"/>
  <c r="CB207" i="1"/>
  <c r="CB209" i="1" s="1"/>
  <c r="CB221" i="1"/>
  <c r="CB219" i="1" s="1"/>
  <c r="CE50" i="1"/>
  <c r="CE49" i="1"/>
  <c r="BL207" i="1"/>
  <c r="BL209" i="1" s="1"/>
  <c r="BL75" i="1"/>
  <c r="BL61" i="1"/>
  <c r="DA26" i="1"/>
  <c r="DB26" i="1" s="1"/>
  <c r="CX197" i="1"/>
  <c r="CX194" i="1"/>
  <c r="CX193" i="1"/>
  <c r="CY138" i="1"/>
  <c r="AB140" i="1"/>
  <c r="AB150" i="1"/>
  <c r="AB149" i="1"/>
  <c r="AB141" i="1"/>
  <c r="AB136" i="1"/>
  <c r="AB165" i="1"/>
  <c r="AB157" i="1"/>
  <c r="AB132" i="1"/>
  <c r="CF57" i="1" l="1"/>
  <c r="AA70" i="1"/>
  <c r="CG53" i="1"/>
  <c r="CI241" i="1"/>
  <c r="CQ8" i="1"/>
  <c r="BY207" i="1"/>
  <c r="BY209" i="1" s="1"/>
  <c r="BY61" i="1"/>
  <c r="BY75" i="1"/>
  <c r="CW216" i="1"/>
  <c r="CF51" i="1"/>
  <c r="CF259" i="1" s="1"/>
  <c r="CJ52" i="1"/>
  <c r="CD75" i="1"/>
  <c r="CD207" i="1"/>
  <c r="CD209" i="1" s="1"/>
  <c r="CD61" i="1"/>
  <c r="Y70" i="1"/>
  <c r="CC53" i="1"/>
  <c r="CD53" i="1"/>
  <c r="CC51" i="1"/>
  <c r="CC259" i="1" s="1"/>
  <c r="CC57" i="1"/>
  <c r="CC248" i="1"/>
  <c r="CG52" i="1"/>
  <c r="CC52" i="1"/>
  <c r="CD241" i="1"/>
  <c r="CV199" i="1"/>
  <c r="CW198" i="1"/>
  <c r="CF248" i="1"/>
  <c r="CF52" i="1"/>
  <c r="CN17" i="1"/>
  <c r="CO17" i="1"/>
  <c r="CN9" i="1"/>
  <c r="CU196" i="1"/>
  <c r="CU200" i="1" s="1"/>
  <c r="CV195" i="1"/>
  <c r="CX139" i="1"/>
  <c r="CW142" i="1"/>
  <c r="CW263" i="1" s="1"/>
  <c r="CV220" i="1"/>
  <c r="CO20" i="1"/>
  <c r="BZ51" i="1"/>
  <c r="BZ259" i="1" s="1"/>
  <c r="BZ53" i="1"/>
  <c r="CC241" i="1"/>
  <c r="BZ57" i="1"/>
  <c r="BZ248" i="1"/>
  <c r="CD52" i="1"/>
  <c r="CA53" i="1"/>
  <c r="CG262" i="1"/>
  <c r="CH223" i="1"/>
  <c r="CH224" i="1" s="1"/>
  <c r="CH225" i="1" s="1"/>
  <c r="CG258" i="1"/>
  <c r="CG260" i="1"/>
  <c r="CG179" i="1"/>
  <c r="CG180" i="1" s="1"/>
  <c r="CG182" i="1"/>
  <c r="CF207" i="1"/>
  <c r="CF209" i="1" s="1"/>
  <c r="CF213" i="1" s="1"/>
  <c r="CF227" i="1" s="1"/>
  <c r="CF61" i="1"/>
  <c r="CF75" i="1"/>
  <c r="CI78" i="1" s="1"/>
  <c r="CG241" i="1"/>
  <c r="CI52" i="1"/>
  <c r="CH241" i="1"/>
  <c r="CE53" i="1"/>
  <c r="CE51" i="1"/>
  <c r="CE259" i="1" s="1"/>
  <c r="CE52" i="1"/>
  <c r="CF53" i="1"/>
  <c r="CE57" i="1"/>
  <c r="CF241" i="1"/>
  <c r="CE241" i="1"/>
  <c r="Z70" i="1"/>
  <c r="CE248" i="1"/>
  <c r="CY194" i="1"/>
  <c r="CZ138" i="1"/>
  <c r="CY193" i="1"/>
  <c r="CY154" i="1"/>
  <c r="CY216" i="1" s="1"/>
  <c r="CX216" i="1"/>
  <c r="CY197" i="1"/>
  <c r="AC150" i="1"/>
  <c r="AC140" i="1"/>
  <c r="AB178" i="1"/>
  <c r="AC136" i="1"/>
  <c r="AC165" i="1"/>
  <c r="AB161" i="1"/>
  <c r="AB168" i="1"/>
  <c r="AC157" i="1"/>
  <c r="AC141" i="1"/>
  <c r="AB169" i="1"/>
  <c r="AC132" i="1"/>
  <c r="AC149" i="1"/>
  <c r="CI63" i="1" l="1"/>
  <c r="CR8" i="1"/>
  <c r="CS8" i="1" s="1"/>
  <c r="CT8" i="1" s="1"/>
  <c r="CX198" i="1"/>
  <c r="CW199" i="1"/>
  <c r="CC133" i="1"/>
  <c r="CC134" i="1" s="1"/>
  <c r="CC207" i="1"/>
  <c r="CC209" i="1" s="1"/>
  <c r="CC61" i="1"/>
  <c r="CC75" i="1"/>
  <c r="CD78" i="1" s="1"/>
  <c r="CD63" i="1"/>
  <c r="CP17" i="1"/>
  <c r="CO9" i="1"/>
  <c r="CV196" i="1"/>
  <c r="CV200" i="1" s="1"/>
  <c r="CW195" i="1"/>
  <c r="CY139" i="1"/>
  <c r="CX142" i="1"/>
  <c r="CX263" i="1" s="1"/>
  <c r="CW220" i="1"/>
  <c r="CP20" i="1"/>
  <c r="CQ20" i="1" s="1"/>
  <c r="CR20" i="1" s="1"/>
  <c r="CS20" i="1" s="1"/>
  <c r="CB63" i="1"/>
  <c r="BZ75" i="1"/>
  <c r="BZ61" i="1"/>
  <c r="BZ207" i="1"/>
  <c r="BZ209" i="1" s="1"/>
  <c r="CH46" i="1"/>
  <c r="CG118" i="1"/>
  <c r="CI96" i="1"/>
  <c r="CI94" i="1"/>
  <c r="CI95" i="1"/>
  <c r="CL99" i="1" s="1"/>
  <c r="CE61" i="1"/>
  <c r="CE133" i="1"/>
  <c r="CE134" i="1" s="1"/>
  <c r="CE63" i="1" s="1"/>
  <c r="CE207" i="1"/>
  <c r="CE209" i="1" s="1"/>
  <c r="CE213" i="1" s="1"/>
  <c r="CE227" i="1" s="1"/>
  <c r="CE75" i="1"/>
  <c r="CF63" i="1"/>
  <c r="CG63" i="1"/>
  <c r="CH63" i="1"/>
  <c r="DA138" i="1"/>
  <c r="CZ154" i="1"/>
  <c r="CZ216" i="1" s="1"/>
  <c r="CZ197" i="1"/>
  <c r="CZ194" i="1"/>
  <c r="CZ193" i="1"/>
  <c r="AE150" i="1"/>
  <c r="AD150" i="1"/>
  <c r="AE140" i="1"/>
  <c r="AD140" i="1"/>
  <c r="AC178" i="1"/>
  <c r="AE165" i="1"/>
  <c r="AD165" i="1"/>
  <c r="AE157" i="1"/>
  <c r="AD157" i="1"/>
  <c r="AD132" i="1"/>
  <c r="AE132" i="1"/>
  <c r="AC168" i="1"/>
  <c r="AE141" i="1"/>
  <c r="AD141" i="1"/>
  <c r="AE149" i="1"/>
  <c r="AD149" i="1"/>
  <c r="AC169" i="1"/>
  <c r="AC161" i="1"/>
  <c r="AE136" i="1"/>
  <c r="AD136" i="1"/>
  <c r="CD95" i="1" l="1"/>
  <c r="CD94" i="1"/>
  <c r="CD96" i="1"/>
  <c r="CY198" i="1"/>
  <c r="CX199" i="1"/>
  <c r="CD221" i="1"/>
  <c r="CD219" i="1" s="1"/>
  <c r="CC221" i="1"/>
  <c r="CC219" i="1" s="1"/>
  <c r="CC143" i="1"/>
  <c r="CC64" i="1" s="1"/>
  <c r="CC101" i="1"/>
  <c r="CC63" i="1"/>
  <c r="CQ17" i="1"/>
  <c r="CP9" i="1"/>
  <c r="CW196" i="1"/>
  <c r="CW200" i="1" s="1"/>
  <c r="CX195" i="1"/>
  <c r="CZ139" i="1"/>
  <c r="CY142" i="1"/>
  <c r="CX220" i="1"/>
  <c r="CC78" i="1"/>
  <c r="CB78" i="1"/>
  <c r="CG120" i="1"/>
  <c r="CG123" i="1" s="1"/>
  <c r="CG119" i="1"/>
  <c r="CG122" i="1" s="1"/>
  <c r="CF78" i="1"/>
  <c r="CH78" i="1"/>
  <c r="CL79" i="1" s="1"/>
  <c r="CG78" i="1"/>
  <c r="CK79" i="1" s="1"/>
  <c r="CE78" i="1"/>
  <c r="CE101" i="1"/>
  <c r="CF221" i="1"/>
  <c r="CF219" i="1" s="1"/>
  <c r="CE143" i="1"/>
  <c r="CE64" i="1" s="1"/>
  <c r="CE221" i="1"/>
  <c r="CE219" i="1" s="1"/>
  <c r="CE224" i="1" s="1"/>
  <c r="CE174" i="1" s="1"/>
  <c r="CE175" i="1" s="1"/>
  <c r="CE179" i="1" s="1"/>
  <c r="CT20" i="1"/>
  <c r="DA193" i="1"/>
  <c r="DA194" i="1"/>
  <c r="DA154" i="1"/>
  <c r="DB154" i="1" s="1"/>
  <c r="DB216" i="1" s="1"/>
  <c r="DA197" i="1"/>
  <c r="DB138" i="1"/>
  <c r="AE178" i="1"/>
  <c r="AD178" i="1"/>
  <c r="AE168" i="1"/>
  <c r="AD168" i="1"/>
  <c r="AE169" i="1"/>
  <c r="AD169" i="1"/>
  <c r="AE161" i="1"/>
  <c r="AD161" i="1"/>
  <c r="BY245" i="1"/>
  <c r="CR17" i="1" l="1"/>
  <c r="CZ198" i="1"/>
  <c r="CY199" i="1"/>
  <c r="CS17" i="1"/>
  <c r="CT17" i="1"/>
  <c r="CQ9" i="1"/>
  <c r="DA139" i="1"/>
  <c r="CZ142" i="1"/>
  <c r="CY263" i="1"/>
  <c r="CX196" i="1"/>
  <c r="CX200" i="1" s="1"/>
  <c r="CY195" i="1"/>
  <c r="CY220" i="1"/>
  <c r="CE103" i="1"/>
  <c r="CE104" i="1"/>
  <c r="CE105" i="1"/>
  <c r="CE258" i="1"/>
  <c r="CE94" i="1"/>
  <c r="CE95" i="1"/>
  <c r="CI79" i="1"/>
  <c r="CE96" i="1"/>
  <c r="CE262" i="1"/>
  <c r="CG79" i="1"/>
  <c r="CG94" i="1"/>
  <c r="CG96" i="1"/>
  <c r="CG95" i="1"/>
  <c r="CE182" i="1"/>
  <c r="CE118" i="1" s="1"/>
  <c r="CE120" i="1" s="1"/>
  <c r="CE123" i="1" s="1"/>
  <c r="CF223" i="1"/>
  <c r="CF224" i="1" s="1"/>
  <c r="CF225" i="1" s="1"/>
  <c r="CE260" i="1"/>
  <c r="CH79" i="1"/>
  <c r="CH95" i="1"/>
  <c r="CK99" i="1" s="1"/>
  <c r="CH94" i="1"/>
  <c r="CH96" i="1"/>
  <c r="CE225" i="1"/>
  <c r="CF79" i="1"/>
  <c r="CJ79" i="1"/>
  <c r="CF96" i="1"/>
  <c r="CF94" i="1"/>
  <c r="CF95" i="1"/>
  <c r="CU20" i="1"/>
  <c r="CV20" i="1" s="1"/>
  <c r="DA216" i="1"/>
  <c r="DB194" i="1"/>
  <c r="DB193" i="1"/>
  <c r="DB197" i="1"/>
  <c r="CE180" i="1"/>
  <c r="AB29" i="1"/>
  <c r="CU8" i="1" l="1"/>
  <c r="CU17" i="1" s="1"/>
  <c r="DA198" i="1"/>
  <c r="CZ199" i="1"/>
  <c r="CR9" i="1"/>
  <c r="CS9" i="1" s="1"/>
  <c r="DA142" i="1"/>
  <c r="DB139" i="1"/>
  <c r="DB142" i="1" s="1"/>
  <c r="CZ263" i="1"/>
  <c r="CZ220" i="1"/>
  <c r="CY196" i="1"/>
  <c r="CY200" i="1" s="1"/>
  <c r="CZ195" i="1"/>
  <c r="CJ99" i="1"/>
  <c r="CH99" i="1"/>
  <c r="CF46" i="1"/>
  <c r="CI99" i="1"/>
  <c r="CG99" i="1"/>
  <c r="CW20" i="1"/>
  <c r="CE119" i="1"/>
  <c r="CE122" i="1" s="1"/>
  <c r="AC29" i="1"/>
  <c r="BY246" i="1"/>
  <c r="BY247" i="1" s="1"/>
  <c r="CV8" i="1" l="1"/>
  <c r="CW8" i="1" s="1"/>
  <c r="CW17" i="1" s="1"/>
  <c r="DA199" i="1"/>
  <c r="DB198" i="1"/>
  <c r="DB199" i="1" s="1"/>
  <c r="CT9" i="1"/>
  <c r="CU9" i="1" s="1"/>
  <c r="CV9" i="1" s="1"/>
  <c r="DA220" i="1"/>
  <c r="DA263" i="1"/>
  <c r="DB263" i="1"/>
  <c r="DB220" i="1"/>
  <c r="CZ196" i="1"/>
  <c r="CZ200" i="1" s="1"/>
  <c r="DA195" i="1"/>
  <c r="CX20" i="1"/>
  <c r="CY20" i="1" s="1"/>
  <c r="CZ20" i="1" s="1"/>
  <c r="AD29" i="1"/>
  <c r="BY248" i="1"/>
  <c r="CX8" i="1" l="1"/>
  <c r="CX17" i="1" s="1"/>
  <c r="CV17" i="1"/>
  <c r="CW9" i="1"/>
  <c r="DA196" i="1"/>
  <c r="DA200" i="1" s="1"/>
  <c r="DB195" i="1"/>
  <c r="DB196" i="1" s="1"/>
  <c r="DB200" i="1" s="1"/>
  <c r="DA20" i="1"/>
  <c r="DB20" i="1" s="1"/>
  <c r="AE29" i="1"/>
  <c r="CY8" i="1" l="1"/>
  <c r="CY17" i="1" s="1"/>
  <c r="CX9" i="1"/>
  <c r="CY9" i="1" s="1"/>
  <c r="CZ9" i="1" s="1"/>
  <c r="DA9" i="1" s="1"/>
  <c r="BI74" i="1"/>
  <c r="AT74" i="1"/>
  <c r="BT74" i="1"/>
  <c r="AV74" i="1"/>
  <c r="AX74" i="1"/>
  <c r="AR74" i="1"/>
  <c r="CZ8" i="1" l="1"/>
  <c r="CZ17" i="1" s="1"/>
  <c r="DB9" i="1"/>
  <c r="AO74" i="1"/>
  <c r="BK74" i="1"/>
  <c r="AN74" i="1"/>
  <c r="AW74" i="1"/>
  <c r="BB74" i="1"/>
  <c r="BM74" i="1"/>
  <c r="BQ74" i="1"/>
  <c r="AJ74" i="1"/>
  <c r="BS74" i="1"/>
  <c r="BR74" i="1"/>
  <c r="BO74" i="1"/>
  <c r="AM74" i="1"/>
  <c r="AI74" i="1"/>
  <c r="AP74" i="1"/>
  <c r="AZ74" i="1"/>
  <c r="AS74" i="1"/>
  <c r="BN74" i="1"/>
  <c r="BU74" i="1"/>
  <c r="BA74" i="1"/>
  <c r="BC74" i="1"/>
  <c r="AU74" i="1"/>
  <c r="BW74" i="1"/>
  <c r="BP74" i="1"/>
  <c r="BJ74" i="1"/>
  <c r="BH74" i="1"/>
  <c r="BX74" i="1"/>
  <c r="BG74" i="1"/>
  <c r="AQ74" i="1"/>
  <c r="AY74" i="1"/>
  <c r="AK74" i="1"/>
  <c r="BE74" i="1"/>
  <c r="BD74" i="1"/>
  <c r="BV74" i="1"/>
  <c r="BF74" i="1"/>
  <c r="DA8" i="1" l="1"/>
  <c r="DB8" i="1" s="1"/>
  <c r="DB17" i="1" s="1"/>
  <c r="BL245" i="1"/>
  <c r="DA17" i="1" l="1"/>
  <c r="AB154" i="1"/>
  <c r="CN86" i="1" l="1"/>
  <c r="AB216" i="1"/>
  <c r="CO86" i="1" l="1"/>
  <c r="CM72" i="1"/>
  <c r="Q28" i="2"/>
  <c r="W16" i="2"/>
  <c r="T34" i="2"/>
  <c r="C21" i="2"/>
  <c r="W25" i="2"/>
  <c r="D6" i="2"/>
  <c r="H12" i="2"/>
  <c r="G36" i="2"/>
  <c r="J27" i="2"/>
  <c r="L13" i="2"/>
  <c r="G20" i="2"/>
  <c r="H24" i="2"/>
  <c r="O26" i="2"/>
  <c r="H99" i="2"/>
  <c r="O27" i="2"/>
  <c r="N29" i="2"/>
  <c r="N25" i="2"/>
  <c r="Q11" i="2"/>
  <c r="T33" i="2"/>
  <c r="I12" i="2"/>
  <c r="V14" i="2"/>
  <c r="R31" i="2"/>
  <c r="S34" i="2"/>
  <c r="S23" i="2"/>
  <c r="E35" i="2"/>
  <c r="K25" i="2"/>
  <c r="P17" i="2"/>
  <c r="O20" i="2"/>
  <c r="K8" i="2"/>
  <c r="K31" i="2"/>
  <c r="X5" i="2"/>
  <c r="I5" i="2"/>
  <c r="D21" i="2"/>
  <c r="I10" i="2"/>
  <c r="K30" i="2"/>
  <c r="P16" i="2"/>
  <c r="L24" i="2"/>
  <c r="L28" i="2"/>
  <c r="O29" i="2"/>
  <c r="Q26" i="2"/>
  <c r="T28" i="2"/>
  <c r="Q15" i="2"/>
  <c r="W28" i="2"/>
  <c r="P29" i="2"/>
  <c r="I33" i="2"/>
  <c r="S5" i="2"/>
  <c r="X17" i="2"/>
  <c r="C29" i="2"/>
  <c r="N23" i="2"/>
  <c r="T23" i="2"/>
  <c r="AR62" i="3"/>
  <c r="J29" i="2"/>
  <c r="N12" i="2"/>
  <c r="E16" i="2"/>
  <c r="V30" i="2"/>
  <c r="S14" i="2"/>
  <c r="S29" i="2"/>
  <c r="AR63" i="3"/>
  <c r="AR67" i="3"/>
  <c r="E13" i="2"/>
  <c r="R30" i="2"/>
  <c r="F30" i="2"/>
  <c r="P10" i="2"/>
  <c r="AR59" i="3"/>
  <c r="F18" i="2"/>
  <c r="E40" i="3"/>
  <c r="F10" i="3"/>
  <c r="E11" i="3"/>
  <c r="S45" i="3"/>
  <c r="AQ46" i="3"/>
  <c r="G26" i="3"/>
  <c r="E10" i="3"/>
  <c r="F14" i="3"/>
  <c r="E17" i="3"/>
  <c r="AR30" i="3"/>
  <c r="AD45" i="3"/>
  <c r="AK46" i="3"/>
  <c r="D42" i="3"/>
  <c r="H46" i="3"/>
  <c r="AN46" i="3"/>
  <c r="G28" i="3"/>
  <c r="G16" i="3"/>
  <c r="G19" i="3"/>
  <c r="G29" i="3"/>
  <c r="Y45" i="3"/>
  <c r="E19" i="3"/>
  <c r="L45" i="3"/>
  <c r="G25" i="3"/>
  <c r="BB8" i="4" a="1"/>
  <c r="AX8" i="4" a="1"/>
  <c r="CK15" i="4" a="1"/>
  <c r="AJ12" i="4" a="1"/>
  <c r="AM11" i="4" a="1"/>
  <c r="AT14" i="4" a="1"/>
  <c r="AX11" i="4" a="1"/>
  <c r="AH13" i="4" a="1"/>
  <c r="DL14" i="4" a="1"/>
  <c r="BU7" i="4" a="1"/>
  <c r="W11" i="4" a="1"/>
  <c r="D6" i="4" a="1"/>
  <c r="AM7" i="4" a="1"/>
  <c r="DC9" i="4" a="1"/>
  <c r="T16" i="4" a="1"/>
  <c r="BN11" i="4" a="1"/>
  <c r="BY13" i="4" a="1"/>
  <c r="H17" i="2"/>
  <c r="O13" i="2"/>
  <c r="K34" i="2"/>
  <c r="L29" i="2"/>
  <c r="E32" i="2"/>
  <c r="O9" i="2"/>
  <c r="G34" i="2"/>
  <c r="F21" i="2"/>
  <c r="J13" i="2"/>
  <c r="Q35" i="2"/>
  <c r="H20" i="2"/>
  <c r="L7" i="2"/>
  <c r="H30" i="2"/>
  <c r="X66" i="2"/>
  <c r="I18" i="2"/>
  <c r="X9" i="2"/>
  <c r="O33" i="2"/>
  <c r="K21" i="2"/>
  <c r="Q17" i="2"/>
  <c r="M33" i="2"/>
  <c r="C19" i="2"/>
  <c r="C27" i="2"/>
  <c r="O18" i="2"/>
  <c r="X16" i="2"/>
  <c r="X34" i="2"/>
  <c r="F5" i="2"/>
  <c r="K35" i="2"/>
  <c r="G26" i="2"/>
  <c r="H16" i="2"/>
  <c r="D23" i="2"/>
  <c r="D36" i="2"/>
  <c r="O5" i="2"/>
  <c r="P19" i="2"/>
  <c r="M35" i="2"/>
  <c r="P11" i="2"/>
  <c r="K20" i="2"/>
  <c r="E25" i="2"/>
  <c r="S31" i="2"/>
  <c r="T16" i="2"/>
  <c r="N30" i="2"/>
  <c r="Q13" i="2"/>
  <c r="D27" i="2"/>
  <c r="I36" i="2"/>
  <c r="J35" i="2"/>
  <c r="P31" i="2"/>
  <c r="S21" i="2"/>
  <c r="Q25" i="2"/>
  <c r="S18" i="2"/>
  <c r="E36" i="2"/>
  <c r="AR70" i="3"/>
  <c r="AF50" i="3"/>
  <c r="AR97" i="3"/>
  <c r="J8" i="2"/>
  <c r="W74" i="2"/>
  <c r="N13" i="2"/>
  <c r="I6" i="2"/>
  <c r="AR74" i="3"/>
  <c r="AR58" i="3"/>
  <c r="AR79" i="3"/>
  <c r="X35" i="2"/>
  <c r="N32" i="2"/>
  <c r="I13" i="2"/>
  <c r="U32" i="2"/>
  <c r="AR82" i="3"/>
  <c r="G13" i="2"/>
  <c r="G17" i="3"/>
  <c r="AR22" i="3"/>
  <c r="F36" i="3"/>
  <c r="D36" i="3"/>
  <c r="V32" i="2"/>
  <c r="Q22" i="2"/>
  <c r="S32" i="2"/>
  <c r="G7" i="2"/>
  <c r="U17" i="2"/>
  <c r="G15" i="2"/>
  <c r="R35" i="2"/>
  <c r="K28" i="2"/>
  <c r="S33" i="2"/>
  <c r="R25" i="2"/>
  <c r="R12" i="2"/>
  <c r="L35" i="2"/>
  <c r="X13" i="2"/>
  <c r="M19" i="2"/>
  <c r="C24" i="2"/>
  <c r="L16" i="2"/>
  <c r="D26" i="2"/>
  <c r="W23" i="2"/>
  <c r="H19" i="2"/>
  <c r="S36" i="2"/>
  <c r="R32" i="2"/>
  <c r="E30" i="2"/>
  <c r="G22" i="2"/>
  <c r="N28" i="2"/>
  <c r="M25" i="2"/>
  <c r="W8" i="2"/>
  <c r="R28" i="2"/>
  <c r="W18" i="2"/>
  <c r="G5" i="2"/>
  <c r="H31" i="2"/>
  <c r="M27" i="2"/>
  <c r="S30" i="2"/>
  <c r="I29" i="2"/>
  <c r="N26" i="2"/>
  <c r="F7" i="2"/>
  <c r="X25" i="2"/>
  <c r="W26" i="2"/>
  <c r="X18" i="2"/>
  <c r="F12" i="2"/>
  <c r="P24" i="2"/>
  <c r="W27" i="2"/>
  <c r="Q23" i="2"/>
  <c r="X31" i="2"/>
  <c r="E11" i="2"/>
  <c r="K43" i="2"/>
  <c r="C36" i="2"/>
  <c r="E6" i="2"/>
  <c r="L14" i="2"/>
  <c r="L25" i="2"/>
  <c r="M23" i="2"/>
  <c r="AR64" i="3"/>
  <c r="AR76" i="3"/>
  <c r="AR92" i="3"/>
  <c r="G21" i="2"/>
  <c r="N34" i="2"/>
  <c r="T25" i="2"/>
  <c r="W22" i="2"/>
  <c r="AR85" i="3"/>
  <c r="D30" i="2"/>
  <c r="AR73" i="3"/>
  <c r="G12" i="2"/>
  <c r="C33" i="2"/>
  <c r="V27" i="2"/>
  <c r="S11" i="2"/>
  <c r="AR66" i="3"/>
  <c r="AR61" i="3"/>
  <c r="AQ6" i="3"/>
  <c r="E5" i="3"/>
  <c r="F18" i="3"/>
  <c r="AR13" i="3"/>
  <c r="AR21" i="3"/>
  <c r="X45" i="3"/>
  <c r="D17" i="3"/>
  <c r="E6" i="3"/>
  <c r="E22" i="3"/>
  <c r="D23" i="3"/>
  <c r="U45" i="3"/>
  <c r="G9" i="3"/>
  <c r="O46" i="3"/>
  <c r="E38" i="3"/>
  <c r="V21" i="2"/>
  <c r="X33" i="2"/>
  <c r="W36" i="2"/>
  <c r="N5" i="2"/>
  <c r="I27" i="2"/>
  <c r="J18" i="2"/>
  <c r="S27" i="2"/>
  <c r="X14" i="2"/>
  <c r="H29" i="2"/>
  <c r="V7" i="2"/>
  <c r="P27" i="2"/>
  <c r="P9" i="2"/>
  <c r="W9" i="2"/>
  <c r="S35" i="2"/>
  <c r="K5" i="2"/>
  <c r="J24" i="2"/>
  <c r="X41" i="2"/>
  <c r="D9" i="2"/>
  <c r="O16" i="2"/>
  <c r="U6" i="2"/>
  <c r="T36" i="2"/>
  <c r="V12" i="2"/>
  <c r="V26" i="2"/>
  <c r="D47" i="2"/>
  <c r="X23" i="2"/>
  <c r="R54" i="2"/>
  <c r="C17" i="2"/>
  <c r="J10" i="2"/>
  <c r="K29" i="2"/>
  <c r="E14" i="2"/>
  <c r="S26" i="2"/>
  <c r="D17" i="2"/>
  <c r="F34" i="2"/>
  <c r="O30" i="2"/>
  <c r="K36" i="2"/>
  <c r="M8" i="2"/>
  <c r="X10" i="2"/>
  <c r="N16" i="2"/>
  <c r="L9" i="2"/>
  <c r="T7" i="2"/>
  <c r="E29" i="2"/>
  <c r="J12" i="2"/>
  <c r="O28" i="2"/>
  <c r="L15" i="2"/>
  <c r="O36" i="2"/>
  <c r="S28" i="2"/>
  <c r="K24" i="2"/>
  <c r="J36" i="2"/>
  <c r="M12" i="2"/>
  <c r="M20" i="2"/>
  <c r="W33" i="2"/>
  <c r="L22" i="2"/>
  <c r="C35" i="2"/>
  <c r="J28" i="2"/>
  <c r="C25" i="2"/>
  <c r="X92" i="2"/>
  <c r="O10" i="2"/>
  <c r="AR89" i="3"/>
  <c r="T31" i="2"/>
  <c r="H28" i="2"/>
  <c r="L11" i="2"/>
  <c r="O24" i="2"/>
  <c r="AR90" i="3"/>
  <c r="AR50" i="3"/>
  <c r="AR68" i="3"/>
  <c r="U24" i="2"/>
  <c r="K22" i="2"/>
  <c r="X32" i="2"/>
  <c r="Q34" i="2"/>
  <c r="AR84" i="3"/>
  <c r="AS47" i="3"/>
  <c r="AR47" i="3"/>
  <c r="C15" i="2"/>
  <c r="E9" i="2"/>
  <c r="T17" i="2"/>
  <c r="V25" i="2"/>
  <c r="AR96" i="3"/>
  <c r="AF48" i="3"/>
  <c r="F32" i="3"/>
  <c r="F8" i="3"/>
  <c r="AE46" i="3"/>
  <c r="AR24" i="3"/>
  <c r="F29" i="3"/>
  <c r="E14" i="3"/>
  <c r="AE45" i="3"/>
  <c r="D21" i="3"/>
  <c r="AB45" i="3"/>
  <c r="AR25" i="3"/>
  <c r="F31" i="3"/>
  <c r="Q45" i="3"/>
  <c r="AL45" i="3"/>
  <c r="AD7" i="3"/>
  <c r="E24" i="3"/>
  <c r="M45" i="3"/>
  <c r="AR8" i="3"/>
  <c r="E7" i="3"/>
  <c r="E15" i="3"/>
  <c r="AB46" i="3"/>
  <c r="K45" i="3"/>
  <c r="F41" i="3"/>
  <c r="R16" i="4" a="1"/>
  <c r="X13" i="4" a="1"/>
  <c r="DL9" i="4" a="1"/>
  <c r="V29" i="2"/>
  <c r="F24" i="2"/>
  <c r="I23" i="2"/>
  <c r="L34" i="2"/>
  <c r="Q19" i="2"/>
  <c r="Q5" i="2"/>
  <c r="L8" i="2"/>
  <c r="U36" i="2"/>
  <c r="U14" i="2"/>
  <c r="U23" i="2"/>
  <c r="I28" i="2"/>
  <c r="N18" i="2"/>
  <c r="G29" i="2"/>
  <c r="J33" i="2"/>
  <c r="P34" i="2"/>
  <c r="Q21" i="2"/>
  <c r="J21" i="2"/>
  <c r="U18" i="2"/>
  <c r="Q33" i="2"/>
  <c r="F17" i="2"/>
  <c r="S13" i="2"/>
  <c r="Q12" i="2"/>
  <c r="I15" i="2"/>
  <c r="H13" i="2"/>
  <c r="Q55" i="2"/>
  <c r="D12" i="2"/>
  <c r="H54" i="2"/>
  <c r="U7" i="2"/>
  <c r="Q9" i="2"/>
  <c r="Q24" i="2"/>
  <c r="W11" i="2"/>
  <c r="E31" i="2"/>
  <c r="N10" i="2"/>
  <c r="W29" i="2"/>
  <c r="P33" i="2"/>
  <c r="T13" i="2"/>
  <c r="U20" i="2"/>
  <c r="H7" i="2"/>
  <c r="H18" i="2"/>
  <c r="P30" i="2"/>
  <c r="L36" i="2"/>
  <c r="S7" i="2"/>
  <c r="G8" i="2"/>
  <c r="M15" i="2"/>
  <c r="E15" i="2"/>
  <c r="D13" i="2"/>
  <c r="W14" i="2"/>
  <c r="Q32" i="2"/>
  <c r="T10" i="2"/>
  <c r="C7" i="2"/>
  <c r="AR57" i="3"/>
  <c r="AR93" i="3"/>
  <c r="P18" i="2"/>
  <c r="V17" i="2"/>
  <c r="H14" i="2"/>
  <c r="J16" i="2"/>
  <c r="K19" i="2"/>
  <c r="AR48" i="3"/>
  <c r="AR83" i="3"/>
  <c r="P12" i="2"/>
  <c r="X7" i="2"/>
  <c r="E33" i="2"/>
  <c r="M22" i="2"/>
  <c r="G6" i="2"/>
  <c r="M16" i="2"/>
  <c r="U21" i="2"/>
  <c r="U15" i="2"/>
  <c r="F89" i="2"/>
  <c r="G19" i="2"/>
  <c r="N24" i="2"/>
  <c r="O35" i="2"/>
  <c r="C20" i="2"/>
  <c r="D34" i="2"/>
  <c r="W13" i="2"/>
  <c r="T22" i="2"/>
  <c r="R5" i="2"/>
  <c r="P15" i="2"/>
  <c r="U35" i="2"/>
  <c r="H22" i="2"/>
  <c r="F28" i="2"/>
  <c r="H49" i="2"/>
  <c r="F31" i="2"/>
  <c r="P20" i="2"/>
  <c r="P14" i="2"/>
  <c r="W32" i="2"/>
  <c r="W20" i="2"/>
  <c r="D15" i="2"/>
  <c r="X22" i="2"/>
  <c r="N17" i="2"/>
  <c r="S22" i="2"/>
  <c r="D35" i="2"/>
  <c r="E26" i="2"/>
  <c r="G30" i="2"/>
  <c r="M26" i="2"/>
  <c r="T18" i="2"/>
  <c r="S6" i="2"/>
  <c r="I30" i="2"/>
  <c r="L26" i="2"/>
  <c r="U8" i="2"/>
  <c r="Q29" i="2"/>
  <c r="V13" i="2"/>
  <c r="F36" i="2"/>
  <c r="U16" i="2"/>
  <c r="D18" i="2"/>
  <c r="W7" i="2"/>
  <c r="I7" i="2"/>
  <c r="M17" i="2"/>
  <c r="Q7" i="2"/>
  <c r="E34" i="2"/>
  <c r="L5" i="2"/>
  <c r="AR71" i="3"/>
  <c r="X24" i="2"/>
  <c r="O21" i="2"/>
  <c r="E18" i="2"/>
  <c r="R16" i="2"/>
  <c r="F8" i="2"/>
  <c r="D5" i="2"/>
  <c r="AR87" i="3"/>
  <c r="E27" i="2"/>
  <c r="S10" i="2"/>
  <c r="F14" i="2"/>
  <c r="N22" i="2"/>
  <c r="M6" i="2"/>
  <c r="C12" i="2"/>
  <c r="G18" i="2"/>
  <c r="AM46" i="3"/>
  <c r="D33" i="3"/>
  <c r="G27" i="3"/>
  <c r="AR41" i="3"/>
  <c r="D16" i="3"/>
  <c r="E39" i="3"/>
  <c r="I46" i="3"/>
  <c r="D12" i="3"/>
  <c r="AR11" i="3"/>
  <c r="D39" i="3"/>
  <c r="V46" i="3"/>
  <c r="AG46" i="3"/>
  <c r="D9" i="3"/>
  <c r="M46" i="3"/>
  <c r="F34" i="3"/>
  <c r="F37" i="3"/>
  <c r="AO6" i="3"/>
  <c r="F16" i="3"/>
  <c r="E46" i="3"/>
  <c r="Y46" i="3"/>
  <c r="G8" i="3"/>
  <c r="D46" i="3"/>
  <c r="R45" i="3"/>
  <c r="BO14" i="4" a="1"/>
  <c r="EJ14" i="4" a="1"/>
  <c r="CY15" i="4" a="1"/>
  <c r="Y5" i="4" a="1"/>
  <c r="EJ5" i="4" a="1"/>
  <c r="BJ12" i="4" a="1"/>
  <c r="DK7" i="4" a="1"/>
  <c r="E14" i="4" a="1"/>
  <c r="DU7" i="4" a="1"/>
  <c r="DG8" i="4" a="1"/>
  <c r="DR16" i="4" a="1"/>
  <c r="F23" i="2"/>
  <c r="H9" i="2"/>
  <c r="F10" i="2"/>
  <c r="U27" i="2"/>
  <c r="H8" i="2"/>
  <c r="U29" i="2"/>
  <c r="O32" i="2"/>
  <c r="Q78" i="2"/>
  <c r="L23" i="2"/>
  <c r="X11" i="2"/>
  <c r="C6" i="2"/>
  <c r="S12" i="2"/>
  <c r="L20" i="2"/>
  <c r="U30" i="2"/>
  <c r="E19" i="2"/>
  <c r="K13" i="2"/>
  <c r="L33" i="2"/>
  <c r="P22" i="2"/>
  <c r="D29" i="2"/>
  <c r="Q14" i="2"/>
  <c r="S17" i="2"/>
  <c r="W35" i="2"/>
  <c r="V23" i="2"/>
  <c r="P36" i="2"/>
  <c r="C28" i="2"/>
  <c r="L19" i="2"/>
  <c r="K7" i="2"/>
  <c r="H36" i="2"/>
  <c r="R34" i="2"/>
  <c r="S19" i="2"/>
  <c r="G10" i="2"/>
  <c r="Q27" i="2"/>
  <c r="I35" i="2"/>
  <c r="I17" i="2"/>
  <c r="G35" i="2"/>
  <c r="F20" i="2"/>
  <c r="R14" i="2"/>
  <c r="L31" i="2"/>
  <c r="M13" i="2"/>
  <c r="Q31" i="2"/>
  <c r="E24" i="2"/>
  <c r="O34" i="2"/>
  <c r="F29" i="2"/>
  <c r="X30" i="2"/>
  <c r="V31" i="2"/>
  <c r="E12" i="2"/>
  <c r="P5" i="2"/>
  <c r="O23" i="2"/>
  <c r="R27" i="2"/>
  <c r="V11" i="2"/>
  <c r="AR60" i="3"/>
  <c r="C10" i="2"/>
  <c r="J11" i="2"/>
  <c r="U33" i="2"/>
  <c r="R19" i="2"/>
  <c r="F32" i="2"/>
  <c r="M31" i="2"/>
  <c r="AR75" i="3"/>
  <c r="F22" i="2"/>
  <c r="K14" i="2"/>
  <c r="K27" i="2"/>
  <c r="D14" i="2"/>
  <c r="K15" i="2"/>
  <c r="U31" i="2"/>
  <c r="V15" i="2"/>
  <c r="AG45" i="3"/>
  <c r="F39" i="3"/>
  <c r="S46" i="3"/>
  <c r="F20" i="3"/>
  <c r="E41" i="3"/>
  <c r="AD15" i="3"/>
  <c r="M14" i="2"/>
  <c r="Q69" i="2"/>
  <c r="T26" i="2"/>
  <c r="K26" i="2"/>
  <c r="G23" i="2"/>
  <c r="Q6" i="2"/>
  <c r="I14" i="2"/>
  <c r="F75" i="2"/>
  <c r="L17" i="2"/>
  <c r="P7" i="2"/>
  <c r="O17" i="2"/>
  <c r="K32" i="2"/>
  <c r="D8" i="2"/>
  <c r="O15" i="2"/>
  <c r="R29" i="2"/>
  <c r="V28" i="2"/>
  <c r="D20" i="2"/>
  <c r="V24" i="2"/>
  <c r="K10" i="2"/>
  <c r="O12" i="2"/>
  <c r="I20" i="2"/>
  <c r="D24" i="2"/>
  <c r="D7" i="2"/>
  <c r="W31" i="2"/>
  <c r="R21" i="2"/>
  <c r="R23" i="2"/>
  <c r="G32" i="2"/>
  <c r="J19" i="2"/>
  <c r="C59" i="2"/>
  <c r="N19" i="2"/>
  <c r="N31" i="2"/>
  <c r="K16" i="2"/>
  <c r="V36" i="2"/>
  <c r="V18" i="2"/>
  <c r="G27" i="2"/>
  <c r="E10" i="2"/>
  <c r="L18" i="2"/>
  <c r="T19" i="2"/>
  <c r="M32" i="2"/>
  <c r="K59" i="2"/>
  <c r="P35" i="2"/>
  <c r="X21" i="2"/>
  <c r="S8" i="2"/>
  <c r="H15" i="2"/>
  <c r="J20" i="2"/>
  <c r="I25" i="2"/>
  <c r="U5" i="2"/>
  <c r="J32" i="2"/>
  <c r="R17" i="2"/>
  <c r="Q59" i="2"/>
  <c r="AR69" i="3"/>
  <c r="T8" i="2"/>
  <c r="F26" i="2"/>
  <c r="W70" i="2"/>
  <c r="E5" i="2"/>
  <c r="R11" i="2"/>
  <c r="M30" i="2"/>
  <c r="AR54" i="3"/>
  <c r="V19" i="2"/>
  <c r="F13" i="2"/>
  <c r="U19" i="2"/>
  <c r="Q18" i="2"/>
  <c r="K11" i="2"/>
  <c r="O7" i="2"/>
  <c r="W46" i="2"/>
  <c r="O6" i="2"/>
  <c r="Q46" i="2"/>
  <c r="R10" i="2"/>
  <c r="V35" i="2"/>
  <c r="N36" i="2"/>
  <c r="W17" i="2"/>
  <c r="K87" i="2"/>
  <c r="O19" i="2"/>
  <c r="W5" i="2"/>
  <c r="J26" i="2"/>
  <c r="N27" i="2"/>
  <c r="T15" i="2"/>
  <c r="O25" i="2"/>
  <c r="J22" i="2"/>
  <c r="S16" i="2"/>
  <c r="R13" i="2"/>
  <c r="N33" i="2"/>
  <c r="W30" i="2"/>
  <c r="C34" i="2"/>
  <c r="T29" i="2"/>
  <c r="H23" i="2"/>
  <c r="G14" i="2"/>
  <c r="M28" i="2"/>
  <c r="R20" i="2"/>
  <c r="V5" i="2"/>
  <c r="R8" i="2"/>
  <c r="R9" i="2"/>
  <c r="J31" i="2"/>
  <c r="P13" i="2"/>
  <c r="T9" i="2"/>
  <c r="F9" i="2"/>
  <c r="E8" i="2"/>
  <c r="G28" i="2"/>
  <c r="E28" i="2"/>
  <c r="H26" i="2"/>
  <c r="M36" i="2"/>
  <c r="D31" i="2"/>
  <c r="V9" i="2"/>
  <c r="G9" i="2"/>
  <c r="M7" i="2"/>
  <c r="T20" i="2"/>
  <c r="M11" i="2"/>
  <c r="T21" i="2"/>
  <c r="E17" i="2"/>
  <c r="AS49" i="3"/>
  <c r="E7" i="2"/>
  <c r="K18" i="2"/>
  <c r="X36" i="2"/>
  <c r="Q57" i="2"/>
  <c r="R22" i="2"/>
  <c r="S24" i="2"/>
  <c r="AR80" i="3"/>
  <c r="V8" i="2"/>
  <c r="W19" i="2"/>
  <c r="H33" i="2"/>
  <c r="Q54" i="2"/>
  <c r="D25" i="2"/>
  <c r="X12" i="2"/>
  <c r="N15" i="2"/>
  <c r="AR34" i="3"/>
  <c r="X46" i="3"/>
  <c r="D13" i="3"/>
  <c r="AD10" i="3"/>
  <c r="F25" i="3"/>
  <c r="AC46" i="3"/>
  <c r="F33" i="3"/>
  <c r="F12" i="3"/>
  <c r="N45" i="3"/>
  <c r="G14" i="3"/>
  <c r="AR15" i="3"/>
  <c r="E37" i="3"/>
  <c r="G21" i="3"/>
  <c r="D27" i="3"/>
  <c r="AC45" i="3"/>
  <c r="G23" i="3"/>
  <c r="Z46" i="3"/>
  <c r="E30" i="3"/>
  <c r="G30" i="3"/>
  <c r="AR10" i="3"/>
  <c r="D7" i="3"/>
  <c r="E8" i="3"/>
  <c r="AR35" i="3"/>
  <c r="DV16" i="4" a="1"/>
  <c r="AB12" i="4" a="1"/>
  <c r="CY6" i="4" a="1"/>
  <c r="BM8" i="4" a="1"/>
  <c r="CM12" i="4" a="1"/>
  <c r="EI16" i="4" a="1"/>
  <c r="AI16" i="4" a="1"/>
  <c r="DE11" i="4" a="1"/>
  <c r="BV5" i="4" a="1"/>
  <c r="BD15" i="4" a="1"/>
  <c r="BD6" i="4" a="1"/>
  <c r="CN11" i="4" a="1"/>
  <c r="EC7" i="4" a="1"/>
  <c r="CS14" i="4" a="1"/>
  <c r="DH12" i="4" a="1"/>
  <c r="DR5" i="4" a="1"/>
  <c r="K15" i="4" a="1"/>
  <c r="AR11" i="4" a="1"/>
  <c r="J5" i="4" a="1"/>
  <c r="W5" i="4" a="1"/>
  <c r="AE16" i="4" a="1"/>
  <c r="DC12" i="4" a="1"/>
  <c r="P14" i="4" a="1"/>
  <c r="CD8" i="4" a="1"/>
  <c r="AI13" i="4" a="1"/>
  <c r="Y8" i="4" a="1"/>
  <c r="BO12" i="4" a="1"/>
  <c r="DL13" i="4" a="1"/>
  <c r="DD9" i="4" a="1"/>
  <c r="O6" i="4" a="1"/>
  <c r="EA13" i="4" a="1"/>
  <c r="DQ11" i="4" a="1"/>
  <c r="DK13" i="4" a="1"/>
  <c r="Q5" i="4" a="1"/>
  <c r="EA15" i="4" a="1"/>
  <c r="CA9" i="4" a="1"/>
  <c r="BK15" i="4" a="1"/>
  <c r="CA12" i="4" a="1"/>
  <c r="DZ6" i="4" a="1"/>
  <c r="X28" i="2"/>
  <c r="C8" i="2"/>
  <c r="V34" i="2"/>
  <c r="O8" i="2"/>
  <c r="D16" i="2"/>
  <c r="Q58" i="2"/>
  <c r="U12" i="2"/>
  <c r="G16" i="2"/>
  <c r="M18" i="2"/>
  <c r="S25" i="2"/>
  <c r="W21" i="2"/>
  <c r="L12" i="2"/>
  <c r="I16" i="2"/>
  <c r="Q30" i="2"/>
  <c r="I8" i="2"/>
  <c r="X8" i="2"/>
  <c r="I9" i="2"/>
  <c r="G33" i="2"/>
  <c r="G31" i="2"/>
  <c r="K23" i="2"/>
  <c r="F35" i="2"/>
  <c r="J15" i="2"/>
  <c r="T30" i="2"/>
  <c r="J25" i="2"/>
  <c r="L32" i="2"/>
  <c r="S9" i="2"/>
  <c r="H6" i="2"/>
  <c r="S20" i="2"/>
  <c r="Q8" i="2"/>
  <c r="P28" i="2"/>
  <c r="P8" i="2"/>
  <c r="P6" i="2"/>
  <c r="T24" i="2"/>
  <c r="X20" i="2"/>
  <c r="O11" i="2"/>
  <c r="X27" i="2"/>
  <c r="K9" i="2"/>
  <c r="N7" i="2"/>
  <c r="V22" i="2"/>
  <c r="T14" i="2"/>
  <c r="I22" i="2"/>
  <c r="N6" i="2"/>
  <c r="W15" i="2"/>
  <c r="C18" i="2"/>
  <c r="H10" i="2"/>
  <c r="U26" i="2"/>
  <c r="T6" i="2"/>
  <c r="J17" i="2"/>
  <c r="N21" i="2"/>
  <c r="Q36" i="2"/>
  <c r="AR49" i="3"/>
  <c r="J5" i="2"/>
  <c r="U28" i="2"/>
  <c r="D11" i="2"/>
  <c r="J23" i="2"/>
  <c r="C23" i="2"/>
  <c r="R7" i="2"/>
  <c r="AR91" i="3"/>
  <c r="N8" i="2"/>
  <c r="P21" i="2"/>
  <c r="N20" i="2"/>
  <c r="H5" i="2"/>
  <c r="U9" i="2"/>
  <c r="J34" i="2"/>
  <c r="E45" i="2"/>
  <c r="AA46" i="3"/>
  <c r="W45" i="3"/>
  <c r="G11" i="3"/>
  <c r="T35" i="2"/>
  <c r="X19" i="2"/>
  <c r="T5" i="2"/>
  <c r="D19" i="2"/>
  <c r="G17" i="2"/>
  <c r="N11" i="2"/>
  <c r="N9" i="2"/>
  <c r="D32" i="2"/>
  <c r="Q16" i="2"/>
  <c r="Q56" i="2"/>
  <c r="K33" i="2"/>
  <c r="R33" i="2"/>
  <c r="F6" i="2"/>
  <c r="I31" i="2"/>
  <c r="T12" i="2"/>
  <c r="U25" i="2"/>
  <c r="U11" i="2"/>
  <c r="U34" i="2"/>
  <c r="P23" i="2"/>
  <c r="K17" i="2"/>
  <c r="I19" i="2"/>
  <c r="W12" i="2"/>
  <c r="D28" i="2"/>
  <c r="N35" i="2"/>
  <c r="N14" i="2"/>
  <c r="C22" i="2"/>
  <c r="O22" i="2"/>
  <c r="J7" i="2"/>
  <c r="S15" i="2"/>
  <c r="V10" i="2"/>
  <c r="D10" i="2"/>
  <c r="X63" i="2"/>
  <c r="U13" i="2"/>
  <c r="I24" i="2"/>
  <c r="G24" i="2"/>
  <c r="G25" i="2"/>
  <c r="H27" i="2"/>
  <c r="L21" i="2"/>
  <c r="D33" i="2"/>
  <c r="F19" i="2"/>
  <c r="H11" i="2"/>
  <c r="P32" i="2"/>
  <c r="Q20" i="2"/>
  <c r="G11" i="2"/>
  <c r="L6" i="2"/>
  <c r="E23" i="2"/>
  <c r="C14" i="2"/>
  <c r="P25" i="2"/>
  <c r="R36" i="2"/>
  <c r="T11" i="2"/>
  <c r="AR55" i="3"/>
  <c r="M24" i="2"/>
  <c r="V20" i="2"/>
  <c r="R26" i="2"/>
  <c r="C26" i="2"/>
  <c r="C65" i="2"/>
  <c r="E20" i="2"/>
  <c r="AR95" i="3"/>
  <c r="X26" i="2"/>
  <c r="M9" i="2"/>
  <c r="X29" i="2"/>
  <c r="I21" i="2"/>
  <c r="C30" i="2"/>
  <c r="AR86" i="3"/>
  <c r="I26" i="2"/>
  <c r="AJ46" i="3"/>
  <c r="H45" i="3"/>
  <c r="E25" i="3"/>
  <c r="AR36" i="3"/>
  <c r="E26" i="3"/>
  <c r="E20" i="3"/>
  <c r="L46" i="3"/>
  <c r="W46" i="3"/>
  <c r="D15" i="3"/>
  <c r="AR32" i="3"/>
  <c r="E42" i="3"/>
  <c r="AR38" i="3"/>
  <c r="AD46" i="3"/>
  <c r="P45" i="3"/>
  <c r="D22" i="3"/>
  <c r="D6" i="3"/>
  <c r="AO46" i="3"/>
  <c r="E29" i="3"/>
  <c r="AR28" i="3"/>
  <c r="F7" i="3"/>
  <c r="D35" i="3"/>
  <c r="F26" i="3"/>
  <c r="F35" i="3"/>
  <c r="AZ15" i="4" a="1"/>
  <c r="AL12" i="4" a="1"/>
  <c r="DZ14" i="4" a="1"/>
  <c r="BF13" i="4" a="1"/>
  <c r="AI9" i="4" a="1"/>
  <c r="J9" i="4" a="1"/>
  <c r="CM16" i="4" a="1"/>
  <c r="AS6" i="4" a="1"/>
  <c r="DK5" i="4" a="1"/>
  <c r="BO8" i="4" a="1"/>
  <c r="L9" i="4" a="1"/>
  <c r="DV7" i="4" a="1"/>
  <c r="DF5" i="4" a="1"/>
  <c r="CN16" i="4" a="1"/>
  <c r="T7" i="4" a="1"/>
  <c r="EK5" i="4" a="1"/>
  <c r="BA5" i="4" a="1"/>
  <c r="DM15" i="4" a="1"/>
  <c r="R14" i="4" a="1"/>
  <c r="CN8" i="4" a="1"/>
  <c r="DO12" i="4" a="1"/>
  <c r="CO9" i="4" a="1"/>
  <c r="CV6" i="4" a="1"/>
  <c r="AQ15" i="4" a="1"/>
  <c r="CA8" i="4" a="1"/>
  <c r="AY7" i="4" a="1"/>
  <c r="DX6" i="4" a="1"/>
  <c r="DP16" i="4" a="1"/>
  <c r="C7" i="4" a="1"/>
  <c r="BD5" i="4" a="1"/>
  <c r="BK12" i="4" a="1"/>
  <c r="DR11" i="4" a="1"/>
  <c r="EE11" i="4" a="1"/>
  <c r="C31" i="2"/>
  <c r="I32" i="2"/>
  <c r="P26" i="2"/>
  <c r="L30" i="2"/>
  <c r="I11" i="2"/>
  <c r="L27" i="2"/>
  <c r="F22" i="3"/>
  <c r="AA45" i="3"/>
  <c r="D29" i="3"/>
  <c r="E23" i="3"/>
  <c r="E35" i="3"/>
  <c r="D8" i="3"/>
  <c r="E31" i="3"/>
  <c r="AO45" i="3"/>
  <c r="F21" i="3"/>
  <c r="D31" i="3"/>
  <c r="F38" i="3"/>
  <c r="E16" i="4" a="1"/>
  <c r="DM5" i="4" a="1"/>
  <c r="BL13" i="4" a="1"/>
  <c r="CF7" i="4" a="1"/>
  <c r="D14" i="4" a="1"/>
  <c r="DT12" i="4" a="1"/>
  <c r="DF15" i="4" a="1"/>
  <c r="BL9" i="4" a="1"/>
  <c r="CQ6" i="4" a="1"/>
  <c r="DH15" i="4" a="1"/>
  <c r="DI14" i="4" a="1"/>
  <c r="CW14" i="4" a="1"/>
  <c r="M7" i="4" a="1"/>
  <c r="X7" i="4" a="1"/>
  <c r="CV9" i="4" a="1"/>
  <c r="V14" i="4" a="1"/>
  <c r="CO13" i="4" a="1"/>
  <c r="CU6" i="4" a="1"/>
  <c r="M14" i="4" a="1"/>
  <c r="C8" i="4" a="1"/>
  <c r="AD7" i="4" a="1"/>
  <c r="DW6" i="4" a="1"/>
  <c r="AB9" i="4" a="1"/>
  <c r="AH5" i="4" a="1"/>
  <c r="DF11" i="4" a="1"/>
  <c r="DP12" i="4" a="1"/>
  <c r="AR12" i="4" a="1"/>
  <c r="EF5" i="4" a="1"/>
  <c r="CC16" i="4" a="1"/>
  <c r="DE16" i="4" a="1"/>
  <c r="AE12" i="4" a="1"/>
  <c r="CH14" i="4" a="1"/>
  <c r="BC8" i="4" a="1"/>
  <c r="CK11" i="4" a="1"/>
  <c r="BM13" i="4" a="1"/>
  <c r="BL16" i="4" a="1"/>
  <c r="AA11" i="4" a="1"/>
  <c r="BG7" i="4" a="1"/>
  <c r="M6" i="4" a="1"/>
  <c r="U14" i="4" a="1"/>
  <c r="CG7" i="4" a="1"/>
  <c r="BV9" i="4" a="1"/>
  <c r="CK5" i="4" a="1"/>
  <c r="BO16" i="4" a="1"/>
  <c r="BS13" i="4" a="1"/>
  <c r="AK15" i="4" a="1"/>
  <c r="J14" i="4" a="1"/>
  <c r="DT11" i="4" a="1"/>
  <c r="AQ5" i="4" a="1"/>
  <c r="AP7" i="4" a="1"/>
  <c r="DX5" i="4" a="1"/>
  <c r="AS8" i="4" a="1"/>
  <c r="AR16" i="4" a="1"/>
  <c r="G7" i="4" a="1"/>
  <c r="Y11" i="4" a="1"/>
  <c r="CV5" i="4" a="1"/>
  <c r="EH8" i="4" a="1"/>
  <c r="BM5" i="4" a="1"/>
  <c r="CF8" i="4" a="1"/>
  <c r="AW12" i="4" a="1"/>
  <c r="BJ14" i="4" a="1"/>
  <c r="AP13" i="4" a="1"/>
  <c r="N11" i="4" a="1"/>
  <c r="AE13" i="4" a="1"/>
  <c r="DS8" i="4" a="1"/>
  <c r="S12" i="4" a="1"/>
  <c r="AY16" i="4" a="1"/>
  <c r="CM9" i="4" a="1"/>
  <c r="DW13" i="4" a="1"/>
  <c r="DI5" i="4" a="1"/>
  <c r="AA7" i="4" a="1"/>
  <c r="AT13" i="4" a="1"/>
  <c r="EF6" i="4" a="1"/>
  <c r="BG6" i="4" a="1"/>
  <c r="P12" i="4" a="1"/>
  <c r="F27" i="2"/>
  <c r="J9" i="2"/>
  <c r="R15" i="2"/>
  <c r="H32" i="2"/>
  <c r="W34" i="2"/>
  <c r="AR77" i="3"/>
  <c r="D19" i="3"/>
  <c r="D26" i="3"/>
  <c r="AN45" i="3"/>
  <c r="AH46" i="3"/>
  <c r="F6" i="3"/>
  <c r="F11" i="3"/>
  <c r="AD12" i="3"/>
  <c r="AR31" i="3"/>
  <c r="E45" i="3"/>
  <c r="AR23" i="3"/>
  <c r="AR16" i="3"/>
  <c r="AZ14" i="4" a="1"/>
  <c r="BN7" i="4" a="1"/>
  <c r="F12" i="4" a="1"/>
  <c r="CT11" i="4" a="1"/>
  <c r="BU12" i="4" a="1"/>
  <c r="AG12" i="4" a="1"/>
  <c r="DB14" i="4" a="1"/>
  <c r="DP14" i="4" a="1"/>
  <c r="BC12" i="4" a="1"/>
  <c r="CT14" i="4" a="1"/>
  <c r="CG12" i="4" a="1"/>
  <c r="CA15" i="4" a="1"/>
  <c r="BM15" i="4" a="1"/>
  <c r="DF7" i="4" a="1"/>
  <c r="BS7" i="4" a="1"/>
  <c r="DL6" i="4" a="1"/>
  <c r="CZ15" i="4" a="1"/>
  <c r="DE15" i="4" a="1"/>
  <c r="BI6" i="4" a="1"/>
  <c r="CW7" i="4" a="1"/>
  <c r="DX13" i="4" a="1"/>
  <c r="X8" i="4" a="1"/>
  <c r="CN7" i="4" a="1"/>
  <c r="BI7" i="4" a="1"/>
  <c r="DG5" i="4" a="1"/>
  <c r="CF12" i="4" a="1"/>
  <c r="ED6" i="4" a="1"/>
  <c r="CH8" i="4" a="1"/>
  <c r="DV15" i="4" a="1"/>
  <c r="W12" i="4" a="1"/>
  <c r="DO6" i="4" a="1"/>
  <c r="BQ8" i="4" a="1"/>
  <c r="I13" i="4" a="1"/>
  <c r="DA14" i="4" a="1"/>
  <c r="K12" i="2"/>
  <c r="F11" i="2"/>
  <c r="Q10" i="2"/>
  <c r="AR56" i="3"/>
  <c r="C11" i="2"/>
  <c r="AR81" i="3"/>
  <c r="AI46" i="3"/>
  <c r="T46" i="3"/>
  <c r="F42" i="3"/>
  <c r="D10" i="3"/>
  <c r="E33" i="3"/>
  <c r="AR45" i="3"/>
  <c r="N46" i="3"/>
  <c r="F5" i="3"/>
  <c r="AH45" i="3"/>
  <c r="F40" i="3"/>
  <c r="AD11" i="3"/>
  <c r="BV7" i="4" a="1"/>
  <c r="CI15" i="4" a="1"/>
  <c r="AG7" i="4" a="1"/>
  <c r="BR12" i="4" a="1"/>
  <c r="BI13" i="4" a="1"/>
  <c r="BT7" i="4" a="1"/>
  <c r="CG16" i="4" a="1"/>
  <c r="DY11" i="4" a="1"/>
  <c r="DP9" i="4" a="1"/>
  <c r="BK13" i="4" a="1"/>
  <c r="AP9" i="4" a="1"/>
  <c r="CQ13" i="4" a="1"/>
  <c r="CY16" i="4" a="1"/>
  <c r="CX6" i="4" a="1"/>
  <c r="DU8" i="4" a="1"/>
  <c r="I11" i="4" a="1"/>
  <c r="P16" i="4" a="1"/>
  <c r="AV16" i="4" a="1"/>
  <c r="BY5" i="4" a="1"/>
  <c r="AK7" i="4" a="1"/>
  <c r="BI16" i="4" a="1"/>
  <c r="DL11" i="4" a="1"/>
  <c r="AF8" i="4" a="1"/>
  <c r="BO5" i="4" a="1"/>
  <c r="EJ7" i="4" a="1"/>
  <c r="L10" i="2"/>
  <c r="J6" i="2"/>
  <c r="M29" i="2"/>
  <c r="AR88" i="3"/>
  <c r="I34" i="2"/>
  <c r="O14" i="2"/>
  <c r="AR12" i="3"/>
  <c r="D34" i="3"/>
  <c r="AR42" i="3"/>
  <c r="AR17" i="3"/>
  <c r="R18" i="2"/>
  <c r="R24" i="2"/>
  <c r="U10" i="2"/>
  <c r="AR72" i="3"/>
  <c r="C13" i="2"/>
  <c r="AR78" i="3"/>
  <c r="D24" i="3"/>
  <c r="E18" i="3"/>
  <c r="G46" i="3"/>
  <c r="D11" i="3"/>
  <c r="D32" i="3"/>
  <c r="F24" i="3"/>
  <c r="G24" i="3"/>
  <c r="E12" i="3"/>
  <c r="AD16" i="3"/>
  <c r="D14" i="3"/>
  <c r="EH5" i="4" a="1"/>
  <c r="CX7" i="4" a="1"/>
  <c r="BU6" i="4" a="1"/>
  <c r="BC9" i="4" a="1"/>
  <c r="DG12" i="4" a="1"/>
  <c r="EG12" i="4" a="1"/>
  <c r="CZ12" i="4" a="1"/>
  <c r="C15" i="4" a="1"/>
  <c r="AB13" i="4" a="1"/>
  <c r="BW15" i="4" a="1"/>
  <c r="CB13" i="4" a="1"/>
  <c r="EK15" i="4" a="1"/>
  <c r="DN9" i="4" a="1"/>
  <c r="AK13" i="4" a="1"/>
  <c r="BL12" i="4" a="1"/>
  <c r="CJ5" i="4" a="1"/>
  <c r="DC7" i="4" a="1"/>
  <c r="AO5" i="4" a="1"/>
  <c r="DG11" i="4" a="1"/>
  <c r="X5" i="4" a="1"/>
  <c r="DQ9" i="4" a="1"/>
  <c r="AK6" i="4" a="1"/>
  <c r="BL8" i="4" a="1"/>
  <c r="EK8" i="4" a="1"/>
  <c r="AP16" i="4" a="1"/>
  <c r="G12" i="4" a="1"/>
  <c r="DQ14" i="4" a="1"/>
  <c r="AU13" i="4" a="1"/>
  <c r="CF6" i="4" a="1"/>
  <c r="CE6" i="4" a="1"/>
  <c r="CT12" i="4" a="1"/>
  <c r="D7" i="4" a="1"/>
  <c r="CP8" i="4" a="1"/>
  <c r="AW14" i="4" a="1"/>
  <c r="DL5" i="4" a="1"/>
  <c r="BP5" i="4" a="1"/>
  <c r="AZ6" i="4" a="1"/>
  <c r="D9" i="4" a="1"/>
  <c r="DS5" i="4" a="1"/>
  <c r="EI12" i="4" a="1"/>
  <c r="BH16" i="4" a="1"/>
  <c r="BS14" i="4" a="1"/>
  <c r="N12" i="4" a="1"/>
  <c r="BV11" i="4" a="1"/>
  <c r="BD11" i="4" a="1"/>
  <c r="G11" i="4" a="1"/>
  <c r="CS5" i="4" a="1"/>
  <c r="AL6" i="4" a="1"/>
  <c r="DN6" i="4" a="1"/>
  <c r="EB16" i="4" a="1"/>
  <c r="CQ11" i="4" a="1"/>
  <c r="V8" i="4" a="1"/>
  <c r="F13" i="4" a="1"/>
  <c r="EE6" i="4" a="1"/>
  <c r="AE15" i="4" a="1"/>
  <c r="AB6" i="4" a="1"/>
  <c r="CC14" i="4" a="1"/>
  <c r="C16" i="4" a="1"/>
  <c r="R5" i="4" a="1"/>
  <c r="AU15" i="4" a="1"/>
  <c r="AV5" i="4" a="1"/>
  <c r="CE11" i="4" a="1"/>
  <c r="AL7" i="4" a="1"/>
  <c r="DR14" i="4" a="1"/>
  <c r="BR7" i="4" a="1"/>
  <c r="AF11" i="4" a="1"/>
  <c r="DC8" i="4" a="1"/>
  <c r="K6" i="4" a="1"/>
  <c r="CO7" i="4" a="1"/>
  <c r="BT14" i="4" a="1"/>
  <c r="AH7" i="4" a="1"/>
  <c r="AV14" i="4" a="1"/>
  <c r="CV7" i="4" a="1"/>
  <c r="BZ14" i="4" a="1"/>
  <c r="CZ5" i="4" a="1"/>
  <c r="DL12" i="4" a="1"/>
  <c r="AY13" i="4" a="1"/>
  <c r="X16" i="4" a="1"/>
  <c r="CE8" i="4" a="1"/>
  <c r="CH5" i="4" a="1"/>
  <c r="BY16" i="4" a="1"/>
  <c r="CH12" i="4" a="1"/>
  <c r="BN15" i="4" a="1"/>
  <c r="CL5" i="4" a="1"/>
  <c r="CP6" i="4" a="1"/>
  <c r="AT9" i="4" a="1"/>
  <c r="AF12" i="4" a="1"/>
  <c r="AY8" i="4" a="1"/>
  <c r="EC16" i="4" a="1"/>
  <c r="CL13" i="4" a="1"/>
  <c r="EI11" i="4" a="1"/>
  <c r="BR9" i="4" a="1"/>
  <c r="BA11" i="4" a="1"/>
  <c r="X12" i="4" a="1"/>
  <c r="BL15" i="4" a="1"/>
  <c r="CZ13" i="4" a="1"/>
  <c r="CZ7" i="4" a="1"/>
  <c r="DY12" i="4" a="1"/>
  <c r="CU7" i="4" a="1"/>
  <c r="H7" i="4" a="1"/>
  <c r="Y15" i="4" a="1"/>
  <c r="BU16" i="4" a="1"/>
  <c r="DC6" i="4" a="1"/>
  <c r="DB5" i="4" a="1"/>
  <c r="EI13" i="4" a="1"/>
  <c r="CV8" i="4" a="1"/>
  <c r="CB11" i="4" a="1"/>
  <c r="AS7" i="4" a="1"/>
  <c r="BE14" i="4" a="1"/>
  <c r="AA5" i="4" a="1"/>
  <c r="BU15" i="4" a="1"/>
  <c r="R6" i="2"/>
  <c r="D22" i="2"/>
  <c r="P69" i="2"/>
  <c r="M34" i="2"/>
  <c r="M21" i="2"/>
  <c r="AR37" i="3"/>
  <c r="E28" i="3"/>
  <c r="E32" i="3"/>
  <c r="R46" i="3"/>
  <c r="AR27" i="3"/>
  <c r="Z45" i="3"/>
  <c r="P46" i="3"/>
  <c r="AR39" i="3"/>
  <c r="G12" i="3"/>
  <c r="AR29" i="3"/>
  <c r="D41" i="3"/>
  <c r="AD9" i="4" a="1"/>
  <c r="DO14" i="4" a="1"/>
  <c r="Y16" i="4" a="1"/>
  <c r="BV14" i="4" a="1"/>
  <c r="Z15" i="4" a="1"/>
  <c r="DV5" i="4" a="1"/>
  <c r="BE11" i="4" a="1"/>
  <c r="BZ8" i="4" a="1"/>
  <c r="C9" i="4" a="1"/>
  <c r="CF9" i="4" a="1"/>
  <c r="V15" i="4" a="1"/>
  <c r="DG15" i="4" a="1"/>
  <c r="EG16" i="4" a="1"/>
  <c r="U16" i="4" a="1"/>
  <c r="BX16" i="4" a="1"/>
  <c r="CS8" i="4" a="1"/>
  <c r="D13" i="4" a="1"/>
  <c r="BT9" i="4" a="1"/>
  <c r="CC8" i="4" a="1"/>
  <c r="DI16" i="4" a="1"/>
  <c r="CU8" i="4" a="1"/>
  <c r="DD13" i="4" a="1"/>
  <c r="BH14" i="4" a="1"/>
  <c r="CM6" i="4" a="1"/>
  <c r="X6" i="4" a="1"/>
  <c r="BY15" i="4" a="1"/>
  <c r="AZ8" i="4" a="1"/>
  <c r="DS6" i="4" a="1"/>
  <c r="BB16" i="4" a="1"/>
  <c r="EG6" i="4" a="1"/>
  <c r="BG12" i="4" a="1"/>
  <c r="T12" i="4" a="1"/>
  <c r="BA7" i="4" a="1"/>
  <c r="AY11" i="4" a="1"/>
  <c r="DJ6" i="4" a="1"/>
  <c r="CJ13" i="4" a="1"/>
  <c r="L6" i="4" a="1"/>
  <c r="U12" i="4" a="1"/>
  <c r="BE5" i="4" a="1"/>
  <c r="BY14" i="4" a="1"/>
  <c r="DH6" i="4" a="1"/>
  <c r="AA6" i="4" a="1"/>
  <c r="AN13" i="4" a="1"/>
  <c r="BW12" i="4" a="1"/>
  <c r="E9" i="4" a="1"/>
  <c r="EB6" i="4" a="1"/>
  <c r="Y12" i="4" a="1"/>
  <c r="DN15" i="4" a="1"/>
  <c r="AX15" i="4" a="1"/>
  <c r="D12" i="4" a="1"/>
  <c r="AO7" i="4" a="1"/>
  <c r="DG7" i="4" a="1"/>
  <c r="CL6" i="4" a="1"/>
  <c r="BN9" i="4" a="1"/>
  <c r="BJ7" i="4" a="1"/>
  <c r="DX12" i="4" a="1"/>
  <c r="AZ5" i="4" a="1"/>
  <c r="BT5" i="4" a="1"/>
  <c r="AX9" i="4" a="1"/>
  <c r="AX14" i="4" a="1"/>
  <c r="AE11" i="4" a="1"/>
  <c r="AC9" i="4" a="1"/>
  <c r="H14" i="4" a="1"/>
  <c r="W15" i="4" a="1"/>
  <c r="CI11" i="4" a="1"/>
  <c r="BX13" i="4" a="1"/>
  <c r="CM11" i="4" a="1"/>
  <c r="CP7" i="4" a="1"/>
  <c r="DR7" i="4" a="1"/>
  <c r="CY9" i="4" a="1"/>
  <c r="DJ8" i="4" a="1"/>
  <c r="EA14" i="4" a="1"/>
  <c r="E13" i="4" a="1"/>
  <c r="W24" i="2"/>
  <c r="X15" i="2"/>
  <c r="F33" i="2"/>
  <c r="T32" i="2"/>
  <c r="H35" i="2"/>
  <c r="G7" i="3"/>
  <c r="AD17" i="3"/>
  <c r="AR33" i="3"/>
  <c r="V45" i="3"/>
  <c r="K46" i="3"/>
  <c r="AQ45" i="3"/>
  <c r="E13" i="3"/>
  <c r="F9" i="3"/>
  <c r="F23" i="3"/>
  <c r="G20" i="3"/>
  <c r="I45" i="3"/>
  <c r="N9" i="4" a="1"/>
  <c r="DA11" i="4" a="1"/>
  <c r="Z8" i="4" a="1"/>
  <c r="CZ16" i="4" a="1"/>
  <c r="CB7" i="4" a="1"/>
  <c r="DM6" i="4" a="1"/>
  <c r="AK8" i="4" a="1"/>
  <c r="AI7" i="4" a="1"/>
  <c r="BV13" i="4" a="1"/>
  <c r="CQ14" i="4" a="1"/>
  <c r="EH16" i="4" a="1"/>
  <c r="CT8" i="4" a="1"/>
  <c r="AB11" i="4" a="1"/>
  <c r="DH8" i="4" a="1"/>
  <c r="P7" i="4" a="1"/>
  <c r="DY16" i="4" a="1"/>
  <c r="K14" i="4" a="1"/>
  <c r="CJ9" i="4" a="1"/>
  <c r="DQ8" i="4" a="1"/>
  <c r="CB9" i="4" a="1"/>
  <c r="W13" i="4" a="1"/>
  <c r="CP14" i="4" a="1"/>
  <c r="CF14" i="4" a="1"/>
  <c r="DB16" i="4" a="1"/>
  <c r="BE6" i="4" a="1"/>
  <c r="AH15" i="4" a="1"/>
  <c r="CL9" i="4" a="1"/>
  <c r="DJ14" i="4" a="1"/>
  <c r="DR12" i="4" a="1"/>
  <c r="BK11" i="4" a="1"/>
  <c r="DP15" i="4" a="1"/>
  <c r="DF16" i="4" a="1"/>
  <c r="BA6" i="4" a="1"/>
  <c r="BM14" i="4" a="1"/>
  <c r="V16" i="4" a="1"/>
  <c r="EI9" i="4" a="1"/>
  <c r="Z5" i="4" a="1"/>
  <c r="AT8" i="4" a="1"/>
  <c r="EH13" i="4" a="1"/>
  <c r="DX8" i="4" a="1"/>
  <c r="BT16" i="4" a="1"/>
  <c r="F15" i="4" a="1"/>
  <c r="AZ12" i="4" a="1"/>
  <c r="EA7" i="4" a="1"/>
  <c r="EG7" i="4" a="1"/>
  <c r="AS15" i="4" a="1"/>
  <c r="AO9" i="4" a="1"/>
  <c r="L16" i="4" a="1"/>
  <c r="BM9" i="4" a="1"/>
  <c r="BC16" i="4" a="1"/>
  <c r="BD12" i="4" a="1"/>
  <c r="P6" i="4" a="1"/>
  <c r="AV11" i="4" a="1"/>
  <c r="BC13" i="4" a="1"/>
  <c r="U6" i="4" a="1"/>
  <c r="R8" i="4" a="1"/>
  <c r="DC13" i="4" a="1"/>
  <c r="DX11" i="4" a="1"/>
  <c r="CF13" i="4" a="1"/>
  <c r="K12" i="4" a="1"/>
  <c r="DP6" i="4" a="1"/>
  <c r="DZ13" i="4" a="1"/>
  <c r="ED11" i="4" a="1"/>
  <c r="AF13" i="4" a="1"/>
  <c r="EE15" i="4" a="1"/>
  <c r="DJ9" i="4" a="1"/>
  <c r="X14" i="4" a="1"/>
  <c r="DO15" i="4" a="1"/>
  <c r="DJ7" i="4" a="1"/>
  <c r="CC6" i="4" a="1"/>
  <c r="DA13" i="4" a="1"/>
  <c r="O9" i="4" a="1"/>
  <c r="DB6" i="4" a="1"/>
  <c r="DK9" i="4" a="1"/>
  <c r="BD14" i="4" a="1"/>
  <c r="AP5" i="4" a="1"/>
  <c r="M12" i="4" a="1"/>
  <c r="V33" i="2"/>
  <c r="M5" i="2"/>
  <c r="H21" i="2"/>
  <c r="J14" i="2"/>
  <c r="F15" i="2"/>
  <c r="E9" i="3"/>
  <c r="F19" i="3"/>
  <c r="AD18" i="3"/>
  <c r="AR40" i="3"/>
  <c r="C46" i="3"/>
  <c r="G18" i="3"/>
  <c r="G10" i="3"/>
  <c r="AJ45" i="3"/>
  <c r="AR26" i="3"/>
  <c r="Q46" i="3"/>
  <c r="J45" i="3"/>
  <c r="F11" i="4" a="1"/>
  <c r="BY8" i="4" a="1"/>
  <c r="BK8" i="4" a="1"/>
  <c r="DH14" i="4" a="1"/>
  <c r="AN7" i="4" a="1"/>
  <c r="D8" i="4" a="1"/>
  <c r="BH5" i="4" a="1"/>
  <c r="I14" i="4" a="1"/>
  <c r="CX14" i="4" a="1"/>
  <c r="EI14" i="4" a="1"/>
  <c r="S15" i="4" a="1"/>
  <c r="EG5" i="4" a="1"/>
  <c r="EA5" i="4" a="1"/>
  <c r="R6" i="4" a="1"/>
  <c r="AC14" i="4" a="1"/>
  <c r="BH12" i="4" a="1"/>
  <c r="R11" i="4" a="1"/>
  <c r="CH7" i="4" a="1"/>
  <c r="O7" i="4" a="1"/>
  <c r="AC12" i="4" a="1"/>
  <c r="BZ9" i="4" a="1"/>
  <c r="BQ9" i="4" a="1"/>
  <c r="BE7" i="4" a="1"/>
  <c r="BC5" i="4" a="1"/>
  <c r="AK5" i="4" a="1"/>
  <c r="DG16" i="4" a="1"/>
  <c r="DU5" i="4" a="1"/>
  <c r="AY6" i="4" a="1"/>
  <c r="DP5" i="4" a="1"/>
  <c r="CS12" i="4" a="1"/>
  <c r="L5" i="4" a="1"/>
  <c r="BO13" i="4" a="1"/>
  <c r="AU7" i="4" a="1"/>
  <c r="DW15" i="4" a="1"/>
  <c r="I5" i="4" a="1"/>
  <c r="CH6" i="4" a="1"/>
  <c r="BJ16" i="4" a="1"/>
  <c r="CT15" i="4" a="1"/>
  <c r="CJ8" i="4" a="1"/>
  <c r="BM16" i="4" a="1"/>
  <c r="DI7" i="4" a="1"/>
  <c r="DT16" i="4" a="1"/>
  <c r="DE8" i="4" a="1"/>
  <c r="DK14" i="4" a="1"/>
  <c r="AJ13" i="4" a="1"/>
  <c r="CB14" i="4" a="1"/>
  <c r="W6" i="4" a="1"/>
  <c r="AN9" i="4" a="1"/>
  <c r="BP12" i="4" a="1"/>
  <c r="BJ8" i="4" a="1"/>
  <c r="E6" i="4" a="1"/>
  <c r="DM11" i="4" a="1"/>
  <c r="AG16" i="4" a="1"/>
  <c r="L7" i="4" a="1"/>
  <c r="BA15" i="4" a="1"/>
  <c r="CD16" i="4" a="1"/>
  <c r="CL11" i="4" a="1"/>
  <c r="AI15" i="4" a="1"/>
  <c r="V16" i="2"/>
  <c r="W10" i="2"/>
  <c r="C32" i="2"/>
  <c r="O31" i="2"/>
  <c r="H25" i="2"/>
  <c r="AR19" i="3"/>
  <c r="G5" i="3"/>
  <c r="G78" i="3" s="1"/>
  <c r="AI45" i="3"/>
  <c r="E21" i="3"/>
  <c r="AD8" i="3"/>
  <c r="G6" i="3"/>
  <c r="E36" i="3"/>
  <c r="D38" i="3"/>
  <c r="F30" i="3"/>
  <c r="AD6" i="3"/>
  <c r="G22" i="3"/>
  <c r="CI14" i="4" a="1"/>
  <c r="BY7" i="4" a="1"/>
  <c r="AK11" i="4" a="1"/>
  <c r="AV9" i="4" a="1"/>
  <c r="AI14" i="4" a="1"/>
  <c r="S11" i="4" a="1"/>
  <c r="AD8" i="4" a="1"/>
  <c r="DS12" i="4" a="1"/>
  <c r="CD5" i="4" a="1"/>
  <c r="EG14" i="4" a="1"/>
  <c r="DM12" i="4" a="1"/>
  <c r="AH8" i="4" a="1"/>
  <c r="AQ12" i="4" a="1"/>
  <c r="DG13" i="4" a="1"/>
  <c r="DQ13" i="4" a="1"/>
  <c r="DZ16" i="4" a="1"/>
  <c r="BP11" i="4" a="1"/>
  <c r="CN14" i="4" a="1"/>
  <c r="BE8" i="4" a="1"/>
  <c r="J7" i="4" a="1"/>
  <c r="AX6" i="4" a="1"/>
  <c r="BR13" i="4" a="1"/>
  <c r="EC11" i="4" a="1"/>
  <c r="AU11" i="4" a="1"/>
  <c r="EI6" i="4" a="1"/>
  <c r="U9" i="4" a="1"/>
  <c r="EA8" i="4" a="1"/>
  <c r="DI13" i="4" a="1"/>
  <c r="CN15" i="4" a="1"/>
  <c r="AM6" i="4" a="1"/>
  <c r="W8" i="4" a="1"/>
  <c r="AP11" i="4" a="1"/>
  <c r="DU11" i="4" a="1"/>
  <c r="BV16" i="4" a="1"/>
  <c r="DT9" i="4" a="1"/>
  <c r="AL15" i="4" a="1"/>
  <c r="BB14" i="4" a="1"/>
  <c r="Z7" i="4" a="1"/>
  <c r="I16" i="4" a="1"/>
  <c r="Z16" i="4" a="1"/>
  <c r="AW7" i="4" a="1"/>
  <c r="DX7" i="4" a="1"/>
  <c r="AO14" i="4" a="1"/>
  <c r="BV8" i="4" a="1"/>
  <c r="G14" i="4" a="1"/>
  <c r="AL8" i="4" a="1"/>
  <c r="AJ16" i="4" a="1"/>
  <c r="AR5" i="4" a="1"/>
  <c r="BI14" i="4" a="1"/>
  <c r="N14" i="4" a="1"/>
  <c r="DF6" i="4" a="1"/>
  <c r="DD12" i="4" a="1"/>
  <c r="CH13" i="4" a="1"/>
  <c r="AS13" i="4" a="1"/>
  <c r="CA6" i="4" a="1"/>
  <c r="BT15" i="4" a="1"/>
  <c r="DR6" i="4" a="1"/>
  <c r="CN9" i="4" a="1"/>
  <c r="U22" i="2"/>
  <c r="F25" i="2"/>
  <c r="K6" i="2"/>
  <c r="AR94" i="3"/>
  <c r="E22" i="2"/>
  <c r="J46" i="3"/>
  <c r="C45" i="3"/>
  <c r="AP45" i="3"/>
  <c r="T45" i="3"/>
  <c r="F13" i="3"/>
  <c r="AP46" i="3"/>
  <c r="AD5" i="3"/>
  <c r="AR14" i="3"/>
  <c r="D20" i="3"/>
  <c r="D18" i="3"/>
  <c r="D28" i="3"/>
  <c r="ED16" i="4" a="1"/>
  <c r="BF11" i="4" a="1"/>
  <c r="CC11" i="4" a="1"/>
  <c r="CF16" i="4" a="1"/>
  <c r="BW11" i="4" a="1"/>
  <c r="BX8" i="4" a="1"/>
  <c r="AN8" i="4" a="1"/>
  <c r="BP7" i="4" a="1"/>
  <c r="AF16" i="4" a="1"/>
  <c r="CM8" i="4" a="1"/>
  <c r="AC16" i="4" a="1"/>
  <c r="BN16" i="4" a="1"/>
  <c r="Q14" i="4" a="1"/>
  <c r="AD11" i="4" a="1"/>
  <c r="BT13" i="4" a="1"/>
  <c r="V12" i="4" a="1"/>
  <c r="AE7" i="4" a="1"/>
  <c r="DY8" i="4" a="1"/>
  <c r="CK14" i="4" a="1"/>
  <c r="CX15" i="4" a="1"/>
  <c r="CI13" i="4" a="1"/>
  <c r="CU9" i="4" a="1"/>
  <c r="DZ12" i="4" a="1"/>
  <c r="DF13" i="4" a="1"/>
  <c r="BS12" i="4" a="1"/>
  <c r="CS15" i="4" a="1"/>
  <c r="CQ8" i="4" a="1"/>
  <c r="BS16" i="4" a="1"/>
  <c r="AY12" i="4" a="1"/>
  <c r="P8" i="4" a="1"/>
  <c r="BJ9" i="4" a="1"/>
  <c r="BZ11" i="4" a="1"/>
  <c r="CJ11" i="4" a="1"/>
  <c r="EJ13" i="4" a="1"/>
  <c r="AK12" i="4" a="1"/>
  <c r="AU16" i="4" a="1"/>
  <c r="DO9" i="4" a="1"/>
  <c r="CK6" i="4" a="1"/>
  <c r="AR8" i="4" a="1"/>
  <c r="DM13" i="4" a="1"/>
  <c r="DP8" i="4" a="1"/>
  <c r="DW5" i="4" a="1"/>
  <c r="AB15" i="4" a="1"/>
  <c r="U11" i="4" a="1"/>
  <c r="AS9" i="4" a="1"/>
  <c r="S62" i="2"/>
  <c r="H34" i="2"/>
  <c r="F16" i="2"/>
  <c r="C16" i="2"/>
  <c r="J30" i="2"/>
  <c r="F17" i="3"/>
  <c r="AR9" i="3"/>
  <c r="D40" i="3"/>
  <c r="D30" i="3"/>
  <c r="AD14" i="3"/>
  <c r="AR46" i="3"/>
  <c r="G13" i="3"/>
  <c r="E16" i="3"/>
  <c r="E34" i="3"/>
  <c r="E27" i="3"/>
  <c r="D5" i="3"/>
  <c r="DO5" i="4" a="1"/>
  <c r="BF9" i="4" a="1"/>
  <c r="BJ11" i="4" a="1"/>
  <c r="AO12" i="4" a="1"/>
  <c r="CR13" i="4" a="1"/>
  <c r="AC11" i="4" a="1"/>
  <c r="BS6" i="4" a="1"/>
  <c r="AJ14" i="4" a="1"/>
  <c r="Q12" i="4" a="1"/>
  <c r="DQ16" i="4" a="1"/>
  <c r="AK14" i="4" a="1"/>
  <c r="BZ5" i="4" a="1"/>
  <c r="BA9" i="4" a="1"/>
  <c r="AE6" i="4" a="1"/>
  <c r="AG15" i="4" a="1"/>
  <c r="AQ13" i="4" a="1"/>
  <c r="DA7" i="4" a="1"/>
  <c r="BR5" i="4" a="1"/>
  <c r="AG9" i="4" a="1"/>
  <c r="X15" i="4" a="1"/>
  <c r="AD5" i="4" a="1"/>
  <c r="BF12" i="4" a="1"/>
  <c r="ED9" i="4" a="1"/>
  <c r="CP13" i="4" a="1"/>
  <c r="T8" i="4" a="1"/>
  <c r="EE12" i="4" a="1"/>
  <c r="Y6" i="4" a="1"/>
  <c r="D15" i="4" a="1"/>
  <c r="BV15" i="4" a="1"/>
  <c r="BS15" i="4" a="1"/>
  <c r="N13" i="4" a="1"/>
  <c r="K16" i="4" a="1"/>
  <c r="BJ5" i="4" a="1"/>
  <c r="DQ15" i="4" a="1"/>
  <c r="DB8" i="4" a="1"/>
  <c r="CL16" i="4" a="1"/>
  <c r="CB5" i="4" a="1"/>
  <c r="AV15" i="4" a="1"/>
  <c r="DK16" i="4" a="1"/>
  <c r="CT5" i="4" a="1"/>
  <c r="AA9" i="4" a="1"/>
  <c r="Q13" i="4" a="1"/>
  <c r="EF14" i="4" a="1"/>
  <c r="DT6" i="4" a="1"/>
  <c r="EA16" i="4" a="1"/>
  <c r="CZ9" i="4" a="1"/>
  <c r="BF14" i="4" a="1"/>
  <c r="BQ15" i="4" a="1"/>
  <c r="AG11" i="4" a="1"/>
  <c r="CJ12" i="4" a="1"/>
  <c r="EC8" i="4" a="1"/>
  <c r="DC14" i="4" a="1"/>
  <c r="CE7" i="4" a="1"/>
  <c r="DQ7" i="4" a="1"/>
  <c r="CB15" i="4" a="1"/>
  <c r="O8" i="4" a="1"/>
  <c r="AJ7" i="4" a="1"/>
  <c r="AY5" i="4" a="1"/>
  <c r="C9" i="2"/>
  <c r="T27" i="2"/>
  <c r="M10" i="2"/>
  <c r="AR65" i="3"/>
  <c r="E21" i="2"/>
  <c r="D37" i="3"/>
  <c r="G31" i="3"/>
  <c r="AD13" i="3"/>
  <c r="G45" i="3"/>
  <c r="O45" i="3"/>
  <c r="G15" i="3"/>
  <c r="F27" i="3"/>
  <c r="AR20" i="3"/>
  <c r="F15" i="3"/>
  <c r="U46" i="3"/>
  <c r="AK45" i="3"/>
  <c r="DT7" i="4" a="1"/>
  <c r="CI7" i="4" a="1"/>
  <c r="J8" i="4" a="1"/>
  <c r="BX9" i="4" a="1"/>
  <c r="BE15" i="4" a="1"/>
  <c r="CR8" i="4" a="1"/>
  <c r="BZ15" i="4" a="1"/>
  <c r="AI11" i="4" a="1"/>
  <c r="BG5" i="4" a="1"/>
  <c r="BB13" i="4" a="1"/>
  <c r="BG8" i="4" a="1"/>
  <c r="EE14" i="4" a="1"/>
  <c r="BE12" i="4" a="1"/>
  <c r="BU8" i="4" a="1"/>
  <c r="M5" i="4" a="1"/>
  <c r="AO11" i="4" a="1"/>
  <c r="AC15" i="4" a="1"/>
  <c r="CV12" i="4" a="1"/>
  <c r="P9" i="4" a="1"/>
  <c r="BI5" i="4" a="1"/>
  <c r="AL5" i="4" a="1"/>
  <c r="EF13" i="4" a="1"/>
  <c r="DP11" i="4" a="1"/>
  <c r="EB8" i="4" a="1"/>
  <c r="V5" i="4" a="1"/>
  <c r="AI8" i="4" a="1"/>
  <c r="CM7" i="4" a="1"/>
  <c r="F8" i="4" a="1"/>
  <c r="CR9" i="4" a="1"/>
  <c r="EJ16" i="4" a="1"/>
  <c r="BX5" i="4" a="1"/>
  <c r="DQ5" i="4" a="1"/>
  <c r="DC15" i="4" a="1"/>
  <c r="BH7" i="4" a="1"/>
  <c r="DG14" i="4" a="1"/>
  <c r="DY14" i="4" a="1"/>
  <c r="V6" i="4" a="1"/>
  <c r="AT6" i="4" a="1"/>
  <c r="AB5" i="4" a="1"/>
  <c r="AJ9" i="4" a="1"/>
  <c r="DJ16" i="4" a="1"/>
  <c r="AA16" i="4" a="1"/>
  <c r="AA13" i="4" a="1"/>
  <c r="BX12" i="4" a="1"/>
  <c r="AL13" i="4" a="1"/>
  <c r="CB12" i="4" a="1"/>
  <c r="BU14" i="4" a="1"/>
  <c r="CM15" i="4" a="1"/>
  <c r="EB5" i="4" a="1"/>
  <c r="AR9" i="4" a="1"/>
  <c r="EA9" i="4" a="1"/>
  <c r="AL46" i="3"/>
  <c r="BF7" i="4" a="1"/>
  <c r="DE12" i="4" a="1"/>
  <c r="BP8" i="4" a="1"/>
  <c r="U5" i="4" a="1"/>
  <c r="AD16" i="4" a="1"/>
  <c r="T6" i="4" a="1"/>
  <c r="AH12" i="4" a="1"/>
  <c r="BB15" i="4" a="1"/>
  <c r="CV14" i="4" a="1"/>
  <c r="BO15" i="4" a="1"/>
  <c r="N7" i="4" a="1"/>
  <c r="EK16" i="4" a="1"/>
  <c r="BP9" i="4" a="1"/>
  <c r="I8" i="4" a="1"/>
  <c r="BP14" i="4" a="1"/>
  <c r="BW13" i="4" a="1"/>
  <c r="CO5" i="4" a="1"/>
  <c r="BQ16" i="4" a="1"/>
  <c r="AJ8" i="4" a="1"/>
  <c r="DF9" i="4" a="1"/>
  <c r="EB15" i="4" a="1"/>
  <c r="DK6" i="4" a="1"/>
  <c r="AY14" i="4" a="1"/>
  <c r="M9" i="4" a="1"/>
  <c r="CD7" i="4" a="1"/>
  <c r="BD9" i="4" a="1"/>
  <c r="AW15" i="4" a="1"/>
  <c r="BV6" i="4" a="1"/>
  <c r="AR15" i="4" a="1"/>
  <c r="T5" i="4" a="1"/>
  <c r="AI6" i="4" a="1"/>
  <c r="AD15" i="4" a="1"/>
  <c r="DY6" i="4" a="1"/>
  <c r="DI9" i="4" a="1"/>
  <c r="EI8" i="4" a="1"/>
  <c r="AB7" i="4" a="1"/>
  <c r="CT16" i="4" a="1"/>
  <c r="AL9" i="4" a="1"/>
  <c r="CP16" i="4" a="1"/>
  <c r="CK7" i="4" a="1"/>
  <c r="CE9" i="4" a="1"/>
  <c r="AU14" i="4" a="1"/>
  <c r="CJ16" i="4" a="1"/>
  <c r="J11" i="4" a="1"/>
  <c r="O15" i="4" a="1"/>
  <c r="DD14" i="4" a="1"/>
  <c r="BG14" i="4" a="1"/>
  <c r="EB13" i="4" a="1"/>
  <c r="E7" i="4" a="1"/>
  <c r="Z14" i="4" a="1"/>
  <c r="AN14" i="4" a="1"/>
  <c r="EB14" i="4" a="1"/>
  <c r="K11" i="4" a="1"/>
  <c r="W16" i="4" a="1"/>
  <c r="EK11" i="4" a="1"/>
  <c r="DH11" i="4" a="1"/>
  <c r="EB9" i="4" a="1"/>
  <c r="BK16" i="4" a="1"/>
  <c r="CG15" i="4" a="1"/>
  <c r="U13" i="4" a="1"/>
  <c r="DS11" i="4" a="1"/>
  <c r="DW16" i="4" a="1"/>
  <c r="DS14" i="4" a="1"/>
  <c r="AC13" i="4" a="1"/>
  <c r="BF16" i="4" a="1"/>
  <c r="BO7" i="4" a="1"/>
  <c r="EH15" i="4" a="1"/>
  <c r="AY15" i="4" a="1"/>
  <c r="DV11" i="4" a="1"/>
  <c r="AM14" i="4" a="1"/>
  <c r="AT11" i="4" a="1"/>
  <c r="CC15" i="4" a="1"/>
  <c r="CX13" i="4" a="1"/>
  <c r="DB15" i="4" a="1"/>
  <c r="AN16" i="4" a="1"/>
  <c r="AM9" i="4" a="1"/>
  <c r="EC6" i="4" a="1"/>
  <c r="K13" i="4" a="1"/>
  <c r="S13" i="4" a="1"/>
  <c r="CK12" i="4" a="1"/>
  <c r="BU5" i="4" a="1"/>
  <c r="CP5" i="4" a="1"/>
  <c r="DD7" i="4" a="1"/>
  <c r="BR16" i="4" a="1"/>
  <c r="H9" i="4" a="1"/>
  <c r="AO16" i="4" a="1"/>
  <c r="DV9" i="4" a="1"/>
  <c r="CA14" i="4" a="1"/>
  <c r="CC9" i="4" a="1"/>
  <c r="AF6" i="4" a="1"/>
  <c r="BT11" i="4" a="1"/>
  <c r="DN13" i="4" a="1"/>
  <c r="BK7" i="4" a="1"/>
  <c r="N8" i="4" a="1"/>
  <c r="BV12" i="4" a="1"/>
  <c r="AQ9" i="4" a="1"/>
  <c r="DX15" i="4" a="1"/>
  <c r="M13" i="4" a="1"/>
  <c r="AW8" i="4" a="1"/>
  <c r="AN5" i="4" a="1"/>
  <c r="CU13" i="4" a="1"/>
  <c r="DE5" i="4" a="1"/>
  <c r="D45" i="3"/>
  <c r="BQ7" i="4" a="1"/>
  <c r="AM5" i="4" a="1"/>
  <c r="DA8" i="4" a="1"/>
  <c r="CS7" i="4" a="1"/>
  <c r="CL12" i="4" a="1"/>
  <c r="O11" i="4" a="1"/>
  <c r="AU5" i="4" a="1"/>
  <c r="BJ15" i="4" a="1"/>
  <c r="DV6" i="4" a="1"/>
  <c r="BP15" i="4" a="1"/>
  <c r="CP15" i="4" a="1"/>
  <c r="DL16" i="4" a="1"/>
  <c r="DH13" i="4" a="1"/>
  <c r="I12" i="4" a="1"/>
  <c r="V9" i="4" a="1"/>
  <c r="BY11" i="4" a="1"/>
  <c r="DT13" i="4" a="1"/>
  <c r="AS11" i="4" a="1"/>
  <c r="AA8" i="4" a="1"/>
  <c r="F6" i="4" a="1"/>
  <c r="CO16" i="4" a="1"/>
  <c r="Q8" i="4" a="1"/>
  <c r="X11" i="4" a="1"/>
  <c r="CX16" i="4" a="1"/>
  <c r="S7" i="4" a="1"/>
  <c r="CA5" i="4" a="1"/>
  <c r="CJ6" i="4" a="1"/>
  <c r="CV11" i="4" a="1"/>
  <c r="BZ16" i="4" a="1"/>
  <c r="T13" i="4" a="1"/>
  <c r="CC7" i="4" a="1"/>
  <c r="BC7" i="4" a="1"/>
  <c r="M8" i="4" a="1"/>
  <c r="CR7" i="4" a="1"/>
  <c r="AV6" i="4" a="1"/>
  <c r="DQ12" i="4" a="1"/>
  <c r="EA12" i="4" a="1"/>
  <c r="AN6" i="4" a="1"/>
  <c r="BX11" i="4" a="1"/>
  <c r="BI8" i="4" a="1"/>
  <c r="DA5" i="4" a="1"/>
  <c r="BN14" i="4" a="1"/>
  <c r="DW12" i="4" a="1"/>
  <c r="AX5" i="4" a="1"/>
  <c r="DK8" i="4" a="1"/>
  <c r="CH11" i="4" a="1"/>
  <c r="CG11" i="4" a="1"/>
  <c r="M15" i="4" a="1"/>
  <c r="AF14" i="4" a="1"/>
  <c r="S8" i="4" a="1"/>
  <c r="BS5" i="4" a="1"/>
  <c r="CU15" i="4" a="1"/>
  <c r="G16" i="4" a="1"/>
  <c r="CY7" i="4" a="1"/>
  <c r="DZ5" i="4" a="1"/>
  <c r="AP8" i="4" a="1"/>
  <c r="DG6" i="4" a="1"/>
  <c r="AL11" i="4" a="1"/>
  <c r="AW6" i="4" a="1"/>
  <c r="DE9" i="4" a="1"/>
  <c r="BT8" i="4" a="1"/>
  <c r="AH6" i="4" a="1"/>
  <c r="DH5" i="4" a="1"/>
  <c r="R9" i="4" a="1"/>
  <c r="BB7" i="4" a="1"/>
  <c r="BA8" i="4" a="1"/>
  <c r="DJ15" i="4" a="1"/>
  <c r="EH14" i="4" a="1"/>
  <c r="EH12" i="4" a="1"/>
  <c r="BH11" i="4" a="1"/>
  <c r="BO6" i="4" a="1"/>
  <c r="AD9" i="3"/>
  <c r="K7" i="4" a="1"/>
  <c r="AF9" i="4" a="1"/>
  <c r="BG11" i="4" a="1"/>
  <c r="X9" i="4" a="1"/>
  <c r="BW16" i="4" a="1"/>
  <c r="AJ5" i="4" a="1"/>
  <c r="DB7" i="4" a="1"/>
  <c r="CE13" i="4" a="1"/>
  <c r="BB11" i="4" a="1"/>
  <c r="M16" i="4" a="1"/>
  <c r="G6" i="4" a="1"/>
  <c r="CN12" i="4" a="1"/>
  <c r="T15" i="4" a="1"/>
  <c r="AZ13" i="4" a="1"/>
  <c r="BM6" i="4" a="1"/>
  <c r="BK9" i="4" a="1"/>
  <c r="CT9" i="4" a="1"/>
  <c r="H5" i="4" a="1"/>
  <c r="BR15" i="4" a="1"/>
  <c r="H12" i="4" a="1"/>
  <c r="K8" i="4" a="1"/>
  <c r="CL15" i="4" a="1"/>
  <c r="BB12" i="4" a="1"/>
  <c r="AW13" i="4" a="1"/>
  <c r="W9" i="4" a="1"/>
  <c r="CX5" i="4" a="1"/>
  <c r="AA14" i="4" a="1"/>
  <c r="DU9" i="4" a="1"/>
  <c r="DR9" i="4" a="1"/>
  <c r="BX14" i="4" a="1"/>
  <c r="DZ8" i="4" a="1"/>
  <c r="CZ11" i="4" a="1"/>
  <c r="EG8" i="4" a="1"/>
  <c r="CN6" i="4" a="1"/>
  <c r="AR18" i="3"/>
  <c r="CO6" i="4" a="1"/>
  <c r="F16" i="4" a="1"/>
  <c r="BB6" i="4" a="1"/>
  <c r="H6" i="4" a="1"/>
  <c r="K9" i="4" a="1"/>
  <c r="CH15" i="4" a="1"/>
  <c r="EC9" i="4" a="1"/>
  <c r="AS5" i="4" a="1"/>
  <c r="BG15" i="4" a="1"/>
  <c r="CQ15" i="4" a="1"/>
  <c r="BC14" i="4" a="1"/>
  <c r="AB16" i="4" a="1"/>
  <c r="CF15" i="4" a="1"/>
  <c r="CS6" i="4" a="1"/>
  <c r="ED5" i="4" a="1"/>
  <c r="DY5" i="4" a="1"/>
  <c r="CO14" i="4" a="1"/>
  <c r="DU16" i="4" a="1"/>
  <c r="DZ7" i="4" a="1"/>
  <c r="DM8" i="4" a="1"/>
  <c r="Z9" i="4" a="1"/>
  <c r="CU14" i="4" a="1"/>
  <c r="U15" i="4" a="1"/>
  <c r="DD5" i="4" a="1"/>
  <c r="EC13" i="4" a="1"/>
  <c r="BL14" i="4" a="1"/>
  <c r="DC5" i="4" a="1"/>
  <c r="CD13" i="4" a="1"/>
  <c r="EF9" i="4" a="1"/>
  <c r="AQ8" i="4" a="1"/>
  <c r="EH6" i="4" a="1"/>
  <c r="Z6" i="4" a="1"/>
  <c r="AS16" i="4" a="1"/>
  <c r="BJ13" i="4" a="1"/>
  <c r="BU9" i="4" a="1"/>
  <c r="DU13" i="4" a="1"/>
  <c r="S14" i="4" a="1"/>
  <c r="AM12" i="4" a="1"/>
  <c r="BH13" i="4" a="1"/>
  <c r="EF16" i="4" a="1"/>
  <c r="DM9" i="4" a="1"/>
  <c r="CY5" i="4" a="1"/>
  <c r="DI11" i="4" a="1"/>
  <c r="DU15" i="4" a="1"/>
  <c r="BA13" i="4" a="1"/>
  <c r="BE16" i="4" a="1"/>
  <c r="Z12" i="4" a="1"/>
  <c r="AO6" i="4" a="1"/>
  <c r="DE13" i="4" a="1"/>
  <c r="CI9" i="4" a="1"/>
  <c r="AJ11" i="4" a="1"/>
  <c r="CE12" i="4" a="1"/>
  <c r="EJ11" i="4" a="1"/>
  <c r="CU11" i="4" a="1"/>
  <c r="DA16" i="4" a="1"/>
  <c r="DU12" i="4" a="1"/>
  <c r="AP12" i="4" a="1"/>
  <c r="EG15" i="4" a="1"/>
  <c r="BP13" i="4" a="1"/>
  <c r="C12" i="4" a="1"/>
  <c r="Q16" i="4" a="1"/>
  <c r="EI15" i="4" a="1"/>
  <c r="CN5" i="4" a="1"/>
  <c r="BU11" i="4" a="1"/>
  <c r="AF5" i="4" a="1"/>
  <c r="ED13" i="4" a="1"/>
  <c r="AB8" i="4" a="1"/>
  <c r="CK16" i="4" a="1"/>
  <c r="Q11" i="4" a="1"/>
  <c r="Q9" i="4" a="1"/>
  <c r="DV14" i="4" a="1"/>
  <c r="I9" i="4" a="1"/>
  <c r="AU6" i="4" a="1"/>
  <c r="AL16" i="4" a="1"/>
  <c r="CA13" i="4" a="1"/>
  <c r="DK11" i="4" a="1"/>
  <c r="AI12" i="4" a="1"/>
  <c r="CH9" i="4" a="1"/>
  <c r="D25" i="3"/>
  <c r="AZ7" i="4" a="1"/>
  <c r="AY9" i="4" a="1"/>
  <c r="AD12" i="4" a="1"/>
  <c r="EE16" i="4" a="1"/>
  <c r="CW9" i="4" a="1"/>
  <c r="I7" i="4" a="1"/>
  <c r="BI15" i="4" a="1"/>
  <c r="BZ13" i="4" a="1"/>
  <c r="EH7" i="4" a="1"/>
  <c r="BR11" i="4" a="1"/>
  <c r="DO8" i="4" a="1"/>
  <c r="DC11" i="4" a="1"/>
  <c r="AH9" i="4" a="1"/>
  <c r="EC14" i="4" a="1"/>
  <c r="DA12" i="4" a="1"/>
  <c r="BR14" i="4" a="1"/>
  <c r="CQ12" i="4" a="1"/>
  <c r="AE9" i="4" a="1"/>
  <c r="ED7" i="4" a="1"/>
  <c r="BL7" i="4" a="1"/>
  <c r="DX14" i="4" a="1"/>
  <c r="CW11" i="4" a="1"/>
  <c r="N6" i="4" a="1"/>
  <c r="DT14" i="4" a="1"/>
  <c r="DL7" i="4" a="1"/>
  <c r="DD8" i="4" a="1"/>
  <c r="EC5" i="4" a="1"/>
  <c r="DX16" i="4" a="1"/>
  <c r="AT16" i="4" a="1"/>
  <c r="F14" i="4" a="1"/>
  <c r="DN7" i="4" a="1"/>
  <c r="EG9" i="4" a="1"/>
  <c r="EK7" i="4" a="1"/>
  <c r="DR15" i="4" a="1"/>
  <c r="BR8" i="4" a="1"/>
  <c r="DK15" i="4" a="1"/>
  <c r="CS11" i="4" a="1"/>
  <c r="CX9" i="4" a="1"/>
  <c r="CC12" i="4" a="1"/>
  <c r="BW8" i="4" a="1"/>
  <c r="CY11" i="4" a="1"/>
  <c r="DS7" i="4" a="1"/>
  <c r="BQ12" i="4" a="1"/>
  <c r="DB11" i="4" a="1"/>
  <c r="CX11" i="4" a="1"/>
  <c r="L12" i="4" a="1"/>
  <c r="Y13" i="4" a="1"/>
  <c r="EK13" i="4" a="1"/>
  <c r="AV7" i="4" a="1"/>
  <c r="BF6" i="4" a="1"/>
  <c r="AG6" i="4" a="1"/>
  <c r="EJ8" i="4" a="1"/>
  <c r="BL6" i="4" a="1"/>
  <c r="DT15" i="4" a="1"/>
  <c r="DV13" i="4" a="1"/>
  <c r="BK5" i="4" a="1"/>
  <c r="EK9" i="4" a="1"/>
  <c r="EB12" i="4" a="1"/>
  <c r="AG8" i="4" a="1"/>
  <c r="BN5" i="4" a="1"/>
  <c r="BX15" i="4" a="1"/>
  <c r="G15" i="4" a="1"/>
  <c r="DA15" i="4" a="1"/>
  <c r="DW8" i="4" a="1"/>
  <c r="AJ6" i="4" a="1"/>
  <c r="AM45" i="3"/>
  <c r="DE14" i="4" a="1"/>
  <c r="CM13" i="4" a="1"/>
  <c r="CT7" i="4" a="1"/>
  <c r="AC6" i="4" a="1"/>
  <c r="AT15" i="4" a="1"/>
  <c r="AW5" i="4" a="1"/>
  <c r="DO16" i="4" a="1"/>
  <c r="CI8" i="4" a="1"/>
  <c r="BW6" i="4" a="1"/>
  <c r="DM16" i="4" a="1"/>
  <c r="EA6" i="4" a="1"/>
  <c r="C13" i="4" a="1"/>
  <c r="AQ16" i="4" a="1"/>
  <c r="CO15" i="4" a="1"/>
  <c r="AP14" i="4" a="1"/>
  <c r="BE9" i="4" a="1"/>
  <c r="J13" i="4" a="1"/>
  <c r="DA9" i="4" a="1"/>
  <c r="C11" i="4" a="1"/>
  <c r="BY9" i="4" a="1"/>
  <c r="N15" i="4" a="1"/>
  <c r="DH9" i="4" a="1"/>
  <c r="AD13" i="4" a="1"/>
  <c r="CL7" i="4" a="1"/>
  <c r="DE6" i="4" a="1"/>
  <c r="CB16" i="4" a="1"/>
  <c r="BL5" i="4" a="1"/>
  <c r="CW8" i="4" a="1"/>
  <c r="BG9" i="4" a="1"/>
  <c r="BW5" i="4" a="1"/>
  <c r="BY12" i="4" a="1"/>
  <c r="BF8" i="4" a="1"/>
  <c r="AC7" i="4" a="1"/>
  <c r="F28" i="3"/>
  <c r="R13" i="4" a="1"/>
  <c r="DN12" i="4" a="1"/>
  <c r="AX16" i="4" a="1"/>
  <c r="BI9" i="4" a="1"/>
  <c r="AR13" i="4" a="1"/>
  <c r="CZ8" i="4" a="1"/>
  <c r="AN15" i="4" a="1"/>
  <c r="CP9" i="4" a="1"/>
  <c r="BR6" i="4" a="1"/>
  <c r="T9" i="4" a="1"/>
  <c r="DG9" i="4" a="1"/>
  <c r="CT13" i="4" a="1"/>
  <c r="AQ7" i="4" a="1"/>
  <c r="EC12" i="4" a="1"/>
  <c r="BB5" i="4" a="1"/>
  <c r="DN14" i="4" a="1"/>
  <c r="BZ7" i="4" a="1"/>
  <c r="BB9" i="4" a="1"/>
  <c r="CJ14" i="4" a="1"/>
  <c r="AS14" i="4" a="1"/>
  <c r="DR8" i="4" a="1"/>
  <c r="AD6" i="4" a="1"/>
  <c r="DT5" i="4" a="1"/>
  <c r="P11" i="4" a="1"/>
  <c r="CR12" i="4" a="1"/>
  <c r="DV8" i="4" a="1"/>
  <c r="Y9" i="4" a="1"/>
  <c r="AR7" i="4" a="1"/>
  <c r="CH16" i="4" a="1"/>
  <c r="BG16" i="4" a="1"/>
  <c r="CE14" i="4" a="1"/>
  <c r="DJ11" i="4" a="1"/>
  <c r="CK8" i="4" a="1"/>
  <c r="BM12" i="4" a="1"/>
  <c r="AU8" i="4" a="1"/>
  <c r="ED15" i="4" a="1"/>
  <c r="AX7" i="4" a="1"/>
  <c r="AE14" i="4" a="1"/>
  <c r="AQ14" i="4" a="1"/>
  <c r="CU12" i="4" a="1"/>
  <c r="DY9" i="4" a="1"/>
  <c r="DU14" i="4" a="1"/>
  <c r="CF5" i="4" a="1"/>
  <c r="AE5" i="4" a="1"/>
  <c r="L15" i="4" a="1"/>
  <c r="BQ6" i="4" a="1"/>
  <c r="BD8" i="4" a="1"/>
  <c r="BY6" i="4" a="1"/>
  <c r="AF15" i="4" a="1"/>
  <c r="J6" i="4" a="1"/>
  <c r="K5" i="4" a="1"/>
  <c r="DJ12" i="4" a="1"/>
  <c r="AE8" i="4" a="1"/>
  <c r="N5" i="4" a="1"/>
  <c r="DN16" i="4" a="1"/>
  <c r="N16" i="4" a="1"/>
  <c r="AW16" i="4" a="1"/>
  <c r="DY15" i="4" a="1"/>
  <c r="BC11" i="4" a="1"/>
  <c r="DD15" i="4" a="1"/>
  <c r="CR14" i="4" a="1"/>
  <c r="BQ5" i="4" a="1"/>
  <c r="O13" i="4" a="1"/>
  <c r="DR13" i="4" a="1"/>
  <c r="DI6" i="4" a="1"/>
  <c r="CM5" i="4" a="1"/>
  <c r="G5" i="4" a="1"/>
  <c r="BM7" i="4" a="1"/>
  <c r="DY13" i="4" a="1"/>
  <c r="CO12" i="4" a="1"/>
  <c r="AQ6" i="4" a="1"/>
  <c r="T11" i="4" a="1"/>
  <c r="AD14" i="4" a="1"/>
  <c r="DA6" i="4" a="1"/>
  <c r="CO11" i="4" a="1"/>
  <c r="CS9" i="4" a="1"/>
  <c r="CI5" i="4" a="1"/>
  <c r="EJ6" i="4" a="1"/>
  <c r="DI15" i="4" a="1"/>
  <c r="V7" i="4" a="1"/>
  <c r="BN13" i="4" a="1"/>
  <c r="CW6" i="4" a="1"/>
  <c r="AF7" i="4" a="1"/>
  <c r="ED14" i="4" a="1"/>
  <c r="AP15" i="4" a="1"/>
  <c r="AI5" i="4" a="1"/>
  <c r="DP7" i="4" a="1"/>
  <c r="BJ6" i="4" a="1"/>
  <c r="BP16" i="4" a="1"/>
  <c r="BW7" i="4" a="1"/>
  <c r="F7" i="4" a="1"/>
  <c r="CI12" i="4" a="1"/>
  <c r="AZ9" i="4" a="1"/>
  <c r="J12" i="4" a="1"/>
  <c r="BS11" i="4" a="1"/>
  <c r="DD6" i="4" a="1"/>
  <c r="L13" i="4" a="1"/>
  <c r="AV12" i="4" a="1"/>
  <c r="V11" i="4" a="1"/>
  <c r="CU5" i="4" a="1"/>
  <c r="CT6" i="4" a="1"/>
  <c r="H15" i="4" a="1"/>
  <c r="BT6" i="4" a="1"/>
  <c r="EE13" i="4" a="1"/>
  <c r="EK14" i="4" a="1"/>
  <c r="CV15" i="4" a="1"/>
  <c r="M11" i="4" a="1"/>
  <c r="CC5" i="4" a="1"/>
  <c r="CX12" i="4" a="1"/>
  <c r="S5" i="4" a="1"/>
  <c r="AW9" i="4" a="1"/>
  <c r="CA16" i="4" a="1"/>
  <c r="CB8" i="4" a="1"/>
  <c r="V13" i="4" a="1"/>
  <c r="DJ5" i="4" a="1"/>
  <c r="BN12" i="4" a="1"/>
  <c r="AZ16" i="4" a="1"/>
  <c r="BG13" i="4" a="1"/>
  <c r="CW16" i="4" a="1"/>
  <c r="Z13" i="4" a="1"/>
  <c r="BM11" i="4" a="1"/>
  <c r="AA15" i="4" a="1"/>
  <c r="DB9" i="4" a="1"/>
  <c r="DW11" i="4" a="1"/>
  <c r="EG11" i="4" a="1"/>
  <c r="DW9" i="4" a="1"/>
  <c r="DS15" i="4" a="1"/>
  <c r="AH11" i="4" a="1"/>
  <c r="BP6" i="4" a="1"/>
  <c r="EI7" i="4" a="1"/>
  <c r="R15" i="4" a="1"/>
  <c r="CW15" i="4" a="1"/>
  <c r="I6" i="4" a="1"/>
  <c r="DK12" i="4" a="1"/>
  <c r="CP11" i="4" a="1"/>
  <c r="EE7" i="4" a="1"/>
  <c r="BF15" i="4" a="1"/>
  <c r="CY12" i="4" a="1"/>
  <c r="T14" i="4" a="1"/>
  <c r="EC15" i="4" a="1"/>
  <c r="BK6" i="4" a="1"/>
  <c r="CE5" i="4" a="1"/>
  <c r="CP12" i="4" a="1"/>
  <c r="EF15" i="4" a="1"/>
  <c r="BC15" i="4" a="1"/>
  <c r="AG14" i="4" a="1"/>
  <c r="AX13" i="4" a="1"/>
  <c r="CA11" i="4" a="1"/>
  <c r="CF11" i="4" a="1"/>
  <c r="CR16" i="4" a="1"/>
  <c r="CQ5" i="4" a="1"/>
  <c r="AC5" i="4" a="1"/>
  <c r="DX9" i="4" a="1"/>
  <c r="DZ9" i="4" a="1"/>
  <c r="CD11" i="4" a="1"/>
  <c r="CG6" i="4" a="1"/>
  <c r="G9" i="4" a="1"/>
  <c r="BL11" i="4" a="1"/>
  <c r="CQ7" i="4" a="1"/>
  <c r="AK16" i="4" a="1"/>
  <c r="BN8" i="4" a="1"/>
  <c r="EF11" i="4" a="1"/>
  <c r="BD16" i="4" a="1"/>
  <c r="BA14" i="4" a="1"/>
  <c r="DD11" i="4" a="1"/>
  <c r="G8" i="4" a="1"/>
  <c r="BF5" i="4" a="1"/>
  <c r="BZ12" i="4" a="1"/>
  <c r="CX8" i="4" a="1"/>
  <c r="AO13" i="4" a="1"/>
  <c r="E15" i="4" a="1"/>
  <c r="BT12" i="4" a="1"/>
  <c r="DV12" i="4" a="1"/>
  <c r="DH7" i="4" a="1"/>
  <c r="P13" i="4" a="1"/>
  <c r="CR11" i="4" a="1"/>
  <c r="F5" i="4" a="1"/>
  <c r="Q15" i="4" a="1"/>
  <c r="AP6" i="4" a="1"/>
  <c r="CW12" i="4" a="1"/>
  <c r="O5" i="4" a="1"/>
  <c r="DH16" i="4" a="1"/>
  <c r="H11" i="4" a="1"/>
  <c r="AO8" i="4" a="1"/>
  <c r="EF12" i="4" a="1"/>
  <c r="BQ14" i="4" a="1"/>
  <c r="S16" i="4" a="1"/>
  <c r="EK6" i="4" a="1"/>
  <c r="CG13" i="4" a="1"/>
  <c r="BC6" i="4" a="1"/>
  <c r="AQ11" i="4" a="1"/>
  <c r="CZ6" i="4" a="1"/>
  <c r="EG13" i="4" a="1"/>
  <c r="CQ16" i="4" a="1"/>
  <c r="AM15" i="4" a="1"/>
  <c r="ED12" i="4" a="1"/>
  <c r="BK14" i="4" a="1"/>
  <c r="CI6" i="4" a="1"/>
  <c r="BA16" i="4" a="1"/>
  <c r="DQ6" i="4" a="1"/>
  <c r="DM14" i="4" a="1"/>
  <c r="BH15" i="4" a="1"/>
  <c r="DS9" i="4" a="1"/>
  <c r="AU9" i="4" a="1"/>
  <c r="AR14" i="4" a="1"/>
  <c r="O16" i="4" a="1"/>
  <c r="AG5" i="4" a="1"/>
  <c r="CL8" i="4" a="1"/>
  <c r="DE7" i="4" a="1"/>
  <c r="BI11" i="4" a="1"/>
  <c r="AL14" i="4" a="1"/>
  <c r="D5" i="4" a="1"/>
  <c r="AK9" i="4" a="1"/>
  <c r="AA12" i="4" a="1"/>
  <c r="CR5" i="4" a="1"/>
  <c r="EJ12" i="4" a="1"/>
  <c r="DF12" i="4" a="1"/>
  <c r="CD6" i="4" a="1"/>
  <c r="D11" i="4" a="1"/>
  <c r="CD15" i="4" a="1"/>
  <c r="CY8" i="4" a="1"/>
  <c r="CR6" i="4" a="1"/>
  <c r="I15" i="4" a="1"/>
  <c r="CV13" i="4" a="1"/>
  <c r="EK12" i="4" a="1"/>
  <c r="E12" i="4" a="1"/>
  <c r="BN6" i="4" a="1"/>
  <c r="DC16" i="4" a="1"/>
  <c r="CY14" i="4" a="1"/>
  <c r="DO11" i="4" a="1"/>
  <c r="AN12" i="4" a="1"/>
  <c r="AB14" i="4" a="1"/>
  <c r="CY13" i="4" a="1"/>
  <c r="DU6" i="4" a="1"/>
  <c r="DS16" i="4" a="1"/>
  <c r="W7" i="4" a="1"/>
  <c r="BH9" i="4" a="1"/>
  <c r="S9" i="4" a="1"/>
  <c r="U7" i="4" a="1"/>
  <c r="C14" i="4" a="1"/>
  <c r="AG13" i="4" a="1"/>
  <c r="CG9" i="4" a="1"/>
  <c r="EF8" i="4" a="1"/>
  <c r="AW11" i="4" a="1"/>
  <c r="CJ7" i="4" a="1"/>
  <c r="DO13" i="4" a="1"/>
  <c r="AM8" i="4" a="1"/>
  <c r="CS16" i="4" a="1"/>
  <c r="BX7" i="4" a="1"/>
  <c r="R12" i="4" a="1"/>
  <c r="EE9" i="4" a="1"/>
  <c r="CR15" i="4" a="1"/>
  <c r="DN5" i="4" a="1"/>
  <c r="H8" i="4" a="1"/>
  <c r="CV16" i="4" a="1"/>
  <c r="E5" i="4" a="1"/>
  <c r="AH16" i="4" a="1"/>
  <c r="BD13" i="4" a="1"/>
  <c r="AM16" i="4" a="1"/>
  <c r="EJ15" i="4" a="1"/>
  <c r="DI12" i="4" a="1"/>
  <c r="CE16" i="4" a="1"/>
  <c r="BW14" i="4" a="1"/>
  <c r="AT12" i="4" a="1"/>
  <c r="CZ14" i="4" a="1"/>
  <c r="AO15" i="4" a="1"/>
  <c r="BS9" i="4" a="1"/>
  <c r="BO11" i="4" a="1"/>
  <c r="DL8" i="4" a="1"/>
  <c r="E11" i="4" a="1"/>
  <c r="Z11" i="4" a="1"/>
  <c r="AT7" i="4" a="1"/>
  <c r="W14" i="4" a="1"/>
  <c r="DF8" i="4" a="1"/>
  <c r="DP13" i="4" a="1"/>
  <c r="CQ9" i="4" a="1"/>
  <c r="O14" i="4" a="1"/>
  <c r="DJ13" i="4" a="1"/>
  <c r="Q7" i="4" a="1"/>
  <c r="P15" i="4" a="1"/>
  <c r="CO8" i="4" a="1"/>
  <c r="EE5" i="4" a="1"/>
  <c r="Q6" i="4" a="1"/>
  <c r="EJ9" i="4" a="1"/>
  <c r="BD7" i="4" a="1"/>
  <c r="S6" i="4" a="1"/>
  <c r="DO7" i="4" a="1"/>
  <c r="AS12" i="4" a="1"/>
  <c r="DL15" i="4" a="1"/>
  <c r="J16" i="4" a="1"/>
  <c r="DI8" i="4" a="1"/>
  <c r="CG8" i="4" a="1"/>
  <c r="AN11" i="4" a="1"/>
  <c r="AV8" i="4" a="1"/>
  <c r="BQ11" i="4" a="1"/>
  <c r="CI16" i="4" a="1"/>
  <c r="F9" i="4" a="1"/>
  <c r="DB12" i="4" a="1"/>
  <c r="L11" i="4" a="1"/>
  <c r="EF7" i="4" a="1"/>
  <c r="DS13" i="4" a="1"/>
  <c r="U8" i="4" a="1"/>
  <c r="AT5" i="4" a="1"/>
  <c r="DB13" i="4" a="1"/>
  <c r="E8" i="4" a="1"/>
  <c r="BZ6" i="4" a="1"/>
  <c r="CN13" i="4" a="1"/>
  <c r="D16" i="4" a="1"/>
  <c r="CW13" i="4" a="1"/>
  <c r="CG5" i="4" a="1"/>
  <c r="P5" i="4" a="1"/>
  <c r="EE8" i="4" a="1"/>
  <c r="EB11" i="4" a="1"/>
  <c r="O12" i="4" a="1"/>
  <c r="CS13" i="4" a="1"/>
  <c r="J15" i="4" a="1"/>
  <c r="BH8" i="4" a="1"/>
  <c r="R7" i="4" a="1"/>
  <c r="H16" i="4" a="1"/>
  <c r="L14" i="4" a="1"/>
  <c r="CU16" i="4" a="1"/>
  <c r="AX12" i="4" a="1"/>
  <c r="G13" i="4" a="1"/>
  <c r="CA7" i="4" a="1"/>
  <c r="DY7" i="4" a="1"/>
  <c r="ED8" i="4" a="1"/>
  <c r="AM13" i="4" a="1"/>
  <c r="AR6" i="4" a="1"/>
  <c r="BQ13" i="4" a="1"/>
  <c r="DZ15" i="4" a="1"/>
  <c r="BA12" i="4" a="1"/>
  <c r="CL14" i="4" a="1"/>
  <c r="BI12" i="4" a="1"/>
  <c r="BW9" i="4" a="1"/>
  <c r="H13" i="4" a="1"/>
  <c r="AJ15" i="4" a="1"/>
  <c r="DN11" i="4" a="1"/>
  <c r="DD16" i="4" a="1"/>
  <c r="DM7" i="4" a="1"/>
  <c r="DT8" i="4" a="1"/>
  <c r="DZ11" i="4" a="1"/>
  <c r="DW14" i="4" a="1"/>
  <c r="DF14" i="4" a="1"/>
  <c r="CK13" i="4" a="1"/>
  <c r="Y7" i="4" a="1"/>
  <c r="CM14" i="4" a="1"/>
  <c r="AU12" i="4" a="1"/>
  <c r="DW7" i="4" a="1"/>
  <c r="CD14" i="4" a="1"/>
  <c r="CW5" i="4" a="1"/>
  <c r="BE13" i="4" a="1"/>
  <c r="Y14" i="4" a="1"/>
  <c r="AZ11" i="4" a="1"/>
  <c r="L8" i="4" a="1"/>
  <c r="CE15" i="4" a="1"/>
  <c r="CJ15" i="4" a="1"/>
  <c r="AV13" i="4" a="1"/>
  <c r="AH14" i="4" a="1"/>
  <c r="BH6" i="4" a="1"/>
  <c r="BU13" i="4" a="1"/>
  <c r="CC13" i="4" a="1"/>
  <c r="CG14" i="4" a="1"/>
  <c r="CD9" i="4" a="1"/>
  <c r="EI5" i="4" a="1"/>
  <c r="BO9" i="4" a="1"/>
  <c r="CD12" i="4" a="1"/>
  <c r="BX6" i="4" a="1"/>
  <c r="DN8" i="4" a="1"/>
  <c r="EH9" i="4" a="1"/>
  <c r="EA11" i="4" a="1"/>
  <c r="CK9" i="4" a="1"/>
  <c r="CB6" i="4" a="1"/>
  <c r="EH11" i="4" a="1"/>
  <c r="BS8" i="4" a="1"/>
  <c r="EB7" i="4" a="1"/>
  <c r="AC8" i="4" a="1"/>
  <c r="D73" i="3"/>
  <c r="AD70" i="3"/>
  <c r="F62" i="3"/>
  <c r="G77" i="3"/>
  <c r="D83" i="3"/>
  <c r="AD54" i="3"/>
  <c r="F86" i="3"/>
  <c r="G82" i="3"/>
  <c r="D75" i="3"/>
  <c r="G72" i="3"/>
  <c r="F74" i="3"/>
  <c r="D89" i="3"/>
  <c r="F64" i="3"/>
  <c r="G66" i="3"/>
  <c r="AD81" i="3"/>
  <c r="G89" i="3"/>
  <c r="G60" i="3"/>
  <c r="D94" i="3"/>
  <c r="G64" i="3"/>
  <c r="D81" i="3"/>
  <c r="F80" i="3"/>
  <c r="AD68" i="3"/>
  <c r="AD62" i="3"/>
  <c r="AD59" i="3"/>
  <c r="AD64" i="3"/>
  <c r="F54" i="3"/>
  <c r="G97" i="3"/>
  <c r="AD96" i="3"/>
  <c r="G61" i="3"/>
  <c r="D95" i="3"/>
  <c r="AD72" i="3"/>
  <c r="F89" i="3"/>
  <c r="F66" i="3"/>
  <c r="D77" i="3"/>
  <c r="AD65" i="3"/>
  <c r="G56" i="3"/>
  <c r="F59" i="3"/>
  <c r="D82" i="3"/>
  <c r="F55" i="3"/>
  <c r="F60" i="3"/>
  <c r="AD95" i="3"/>
  <c r="G69" i="3"/>
  <c r="D64" i="3"/>
  <c r="D59" i="3"/>
  <c r="F95" i="3"/>
  <c r="G96" i="3"/>
  <c r="AD91" i="3"/>
  <c r="G73" i="3"/>
  <c r="D71" i="3"/>
  <c r="D65" i="3"/>
  <c r="G94" i="3"/>
  <c r="AD89" i="3"/>
  <c r="D56" i="3"/>
  <c r="G57" i="3"/>
  <c r="D57" i="3"/>
  <c r="AD86" i="3"/>
  <c r="G79" i="3"/>
  <c r="D74" i="3"/>
  <c r="F81" i="3"/>
  <c r="G91" i="3"/>
  <c r="AD82" i="3"/>
  <c r="G70" i="3"/>
  <c r="F63" i="3"/>
  <c r="AD75" i="3"/>
  <c r="AD97" i="3"/>
  <c r="D92" i="3"/>
  <c r="AD57" i="3"/>
  <c r="F73" i="3"/>
  <c r="G93" i="3"/>
  <c r="D54" i="3"/>
  <c r="D70" i="3"/>
  <c r="F87" i="3"/>
  <c r="G85" i="3"/>
  <c r="F96" i="3"/>
  <c r="AD92" i="3"/>
  <c r="AD94" i="3"/>
  <c r="F48" i="3"/>
  <c r="G84" i="3"/>
  <c r="D60" i="3"/>
  <c r="F50" i="3"/>
  <c r="G59" i="3"/>
  <c r="AD88" i="3"/>
  <c r="D90" i="3"/>
  <c r="F56" i="3"/>
  <c r="D61" i="3"/>
  <c r="F75" i="3"/>
  <c r="AD83" i="3"/>
  <c r="G92" i="3"/>
  <c r="F97" i="3"/>
  <c r="F49" i="3"/>
  <c r="G80" i="3"/>
  <c r="F91" i="3"/>
  <c r="AD63" i="3"/>
  <c r="G76" i="3"/>
  <c r="AD58" i="3"/>
  <c r="F76" i="3"/>
  <c r="F67" i="3"/>
  <c r="D68" i="3"/>
  <c r="G55" i="3"/>
  <c r="D69" i="3"/>
  <c r="F85" i="3"/>
  <c r="F57" i="3"/>
  <c r="F90" i="3"/>
  <c r="AD84" i="3"/>
  <c r="AD69" i="3"/>
  <c r="F84" i="3"/>
  <c r="G75" i="3"/>
  <c r="F47" i="3"/>
  <c r="F72" i="3"/>
  <c r="AD85" i="3"/>
  <c r="F68" i="3"/>
  <c r="G62" i="3"/>
  <c r="F92" i="3"/>
  <c r="F93" i="3"/>
  <c r="AD78" i="3"/>
  <c r="G90" i="3"/>
  <c r="F70" i="3"/>
  <c r="F78" i="3"/>
  <c r="D80" i="3"/>
  <c r="D67" i="3"/>
  <c r="F61" i="3"/>
  <c r="D86" i="3"/>
  <c r="AD74" i="3"/>
  <c r="F65" i="3"/>
  <c r="G68" i="3"/>
  <c r="D76" i="3"/>
  <c r="F79" i="3"/>
  <c r="D66" i="3"/>
  <c r="G63" i="3"/>
  <c r="G95" i="3"/>
  <c r="G65" i="3"/>
  <c r="F71" i="3"/>
  <c r="D93" i="3"/>
  <c r="D72" i="3"/>
  <c r="D85" i="3"/>
  <c r="AD56" i="3"/>
  <c r="AD73" i="3"/>
  <c r="F88" i="3"/>
  <c r="G86" i="3"/>
  <c r="D63" i="3"/>
  <c r="AD61" i="3"/>
  <c r="G81" i="3"/>
  <c r="D91" i="3"/>
  <c r="AD93" i="3"/>
  <c r="D79" i="3"/>
  <c r="AD60" i="3"/>
  <c r="AD67" i="3"/>
  <c r="F83" i="3"/>
  <c r="G71" i="3"/>
  <c r="D84" i="3"/>
  <c r="AD87" i="3"/>
  <c r="G87" i="3"/>
  <c r="D78" i="3"/>
  <c r="G74" i="3"/>
  <c r="D55" i="3"/>
  <c r="AD80" i="3"/>
  <c r="AD71" i="3"/>
  <c r="G88" i="3"/>
  <c r="D62" i="3"/>
  <c r="F94" i="3"/>
  <c r="D96" i="3"/>
  <c r="F77" i="3"/>
  <c r="AD66" i="3"/>
  <c r="F69" i="3"/>
  <c r="G58" i="3"/>
  <c r="D58" i="3"/>
  <c r="AD90" i="3"/>
  <c r="G67" i="3"/>
  <c r="D87" i="3"/>
  <c r="D97" i="3"/>
  <c r="F58" i="3"/>
  <c r="F82" i="3"/>
  <c r="AD76" i="3"/>
  <c r="G83" i="3"/>
  <c r="G54" i="3"/>
  <c r="AD79" i="3"/>
  <c r="D88" i="3"/>
  <c r="E64" i="3" l="1"/>
  <c r="E87" i="3"/>
  <c r="E89" i="3"/>
  <c r="E97" i="3"/>
  <c r="E66" i="3"/>
  <c r="E88" i="3"/>
  <c r="E71" i="3"/>
  <c r="E95" i="3"/>
  <c r="E72" i="3"/>
  <c r="E60" i="3"/>
  <c r="E93" i="3"/>
  <c r="E82" i="3"/>
  <c r="E84" i="3"/>
  <c r="E56" i="3"/>
  <c r="E80" i="3"/>
  <c r="E83" i="3"/>
  <c r="E77" i="3"/>
  <c r="E69" i="3"/>
  <c r="E55" i="3"/>
  <c r="E62" i="3"/>
  <c r="E75" i="3"/>
  <c r="E81" i="3"/>
  <c r="E73" i="3"/>
  <c r="E63" i="3"/>
  <c r="E59" i="3"/>
  <c r="E74" i="3"/>
  <c r="E78" i="3"/>
  <c r="E58" i="3"/>
  <c r="E86" i="3"/>
  <c r="E92" i="3"/>
  <c r="E70" i="3"/>
  <c r="E79" i="3"/>
  <c r="E90" i="3"/>
  <c r="E68" i="3"/>
  <c r="E94" i="3"/>
  <c r="E85" i="3"/>
  <c r="E67" i="3"/>
  <c r="E54" i="3"/>
  <c r="E61" i="3"/>
  <c r="E65" i="3"/>
  <c r="E96" i="3"/>
  <c r="E57" i="3"/>
  <c r="E76" i="3"/>
  <c r="E91" i="3"/>
  <c r="AD77" i="3"/>
  <c r="BJ154" i="1" s="1"/>
  <c r="BK154" i="1" s="1"/>
  <c r="BL216" i="1" s="1"/>
  <c r="AD55" i="3"/>
  <c r="JH9" i="4" s="1"/>
  <c r="IX16" i="4" s="1"/>
  <c r="IM9" i="4" s="1"/>
  <c r="IU16" i="4" s="1"/>
  <c r="HP9" i="4" s="1"/>
  <c r="IQ16" i="4" s="1"/>
  <c r="IA16" i="4" s="1"/>
  <c r="JG9" i="4" s="1"/>
  <c r="IH9" i="4" s="1"/>
  <c r="JC16" i="4" s="1"/>
  <c r="HS16" i="4" s="1"/>
  <c r="JC9" i="4" s="1"/>
  <c r="IT16" i="4" s="1"/>
  <c r="HQ15" i="4" s="1"/>
  <c r="JD14" i="4" s="1"/>
  <c r="JE9" i="4" s="1"/>
  <c r="IR14" i="4" s="1"/>
  <c r="IF9" i="4" s="1"/>
  <c r="IY9" i="4" s="1"/>
  <c r="IB15" i="4" s="1"/>
  <c r="AL41" i="1"/>
  <c r="AL208" i="1" s="1"/>
  <c r="IW9" i="4" s="1"/>
  <c r="IG9" i="4" s="1"/>
  <c r="JA16" i="4" s="1"/>
  <c r="JI9" i="4" s="1"/>
  <c r="IV9" i="4" s="1"/>
  <c r="JG16" i="4" s="1"/>
  <c r="IE9" i="4" s="1"/>
  <c r="AJ45" i="1"/>
  <c r="HQ9" i="4" s="1"/>
  <c r="IW16" i="4" s="1"/>
  <c r="IQ9" i="4" s="1"/>
  <c r="IG16" i="4" s="1"/>
  <c r="JA9" i="4" s="1"/>
  <c r="IC16" i="4" s="1"/>
  <c r="HP16" i="4" s="1"/>
  <c r="BX34" i="1"/>
  <c r="II9" i="4" s="1"/>
  <c r="IM16" i="4" s="1"/>
  <c r="HV9" i="4" s="1"/>
  <c r="HT9" i="4" s="1"/>
  <c r="IL8" i="4" s="1"/>
  <c r="IN16" i="4" s="1"/>
  <c r="IV16" i="4" s="1"/>
  <c r="IS16" i="4" s="1"/>
  <c r="IO9" i="4" s="1"/>
  <c r="JD9" i="4" s="1"/>
  <c r="IA9" i="4" s="1"/>
  <c r="II16" i="4" s="1"/>
  <c r="JF9" i="4" s="1"/>
  <c r="IK16" i="4" s="1"/>
  <c r="JI16" i="4" s="1"/>
  <c r="HX16" i="4" s="1"/>
  <c r="HW16" i="4" s="1"/>
  <c r="IZ16" i="4" s="1"/>
  <c r="HZ9" i="4" s="1"/>
  <c r="IT9" i="4" s="1"/>
  <c r="AL33" i="1"/>
  <c r="BX18" i="1"/>
  <c r="AM33" i="1"/>
  <c r="BX164" i="1"/>
  <c r="BY164" i="1" s="1"/>
  <c r="S41" i="1"/>
  <c r="HW9" i="4" s="1"/>
  <c r="IR16" i="4" s="1"/>
  <c r="HY9" i="4" s="1"/>
  <c r="AK54" i="1"/>
  <c r="AK29" i="1"/>
  <c r="BJ32" i="1"/>
  <c r="AL30" i="1"/>
  <c r="I48" i="1"/>
  <c r="IC9" i="4" s="1"/>
  <c r="JB8" i="4" s="1"/>
  <c r="IU9" i="4" s="1"/>
  <c r="IJ16" i="4" s="1"/>
  <c r="IP16" i="4" s="1"/>
  <c r="AJ41" i="1"/>
  <c r="AJ208" i="1" s="1"/>
  <c r="AJ34" i="1"/>
  <c r="AJ18" i="1"/>
  <c r="BX32" i="1"/>
  <c r="J17" i="1"/>
  <c r="E45" i="1"/>
  <c r="IL15" i="4" s="1"/>
  <c r="HZ16" i="4" s="1"/>
  <c r="HQ16" i="4" s="1"/>
  <c r="HQ21" i="4" s="1"/>
  <c r="AK86" i="1" s="1"/>
  <c r="HU9" i="4" s="1"/>
  <c r="ID9" i="4" s="1"/>
  <c r="BJ17" i="1"/>
  <c r="BJ245" i="1" s="1"/>
  <c r="AM17" i="1"/>
  <c r="AM245" i="1" s="1"/>
  <c r="AK31" i="1"/>
  <c r="G45" i="1"/>
  <c r="B54" i="1"/>
  <c r="HY16" i="4" s="1"/>
  <c r="JE15" i="4" s="1"/>
  <c r="IY16" i="4" s="1"/>
  <c r="IG7" i="4" s="1"/>
  <c r="IK9" i="4" s="1"/>
  <c r="IK21" i="4" s="1"/>
  <c r="BE86" i="1" s="1"/>
  <c r="IN9" i="4" s="1"/>
  <c r="HU15" i="4" s="1"/>
  <c r="BX56" i="1"/>
  <c r="AM22" i="1"/>
  <c r="AM34" i="1"/>
  <c r="BJ34" i="1"/>
  <c r="E32" i="1"/>
  <c r="I29" i="1"/>
  <c r="U55" i="1"/>
  <c r="HS9" i="4" s="1"/>
  <c r="IZ9" i="4" s="1"/>
  <c r="HR16" i="4" s="1"/>
  <c r="IL16" i="4" s="1"/>
  <c r="IJ14" i="4" s="1"/>
  <c r="IR9" i="4" s="1"/>
  <c r="JE16" i="4" s="1"/>
  <c r="JH16" i="4" s="1"/>
  <c r="AM18" i="1"/>
  <c r="AL44" i="1"/>
  <c r="BJ30" i="1"/>
  <c r="G60" i="1"/>
  <c r="S54" i="1"/>
  <c r="E55" i="1"/>
  <c r="W32" i="1"/>
  <c r="IT7" i="4" s="1"/>
  <c r="IJ9" i="4" s="1"/>
  <c r="IJ21" i="4" s="1"/>
  <c r="BD86" i="1" s="1"/>
  <c r="IF7" i="4" s="1"/>
  <c r="IF16" i="4" s="1"/>
  <c r="BX48" i="1"/>
  <c r="AM23" i="1"/>
  <c r="AK41" i="1"/>
  <c r="AK208" i="1" s="1"/>
  <c r="Q17" i="1"/>
  <c r="HV16" i="4" s="1"/>
  <c r="JF16" i="4" s="1"/>
  <c r="IH16" i="4" s="1"/>
  <c r="IB16" i="4" s="1"/>
  <c r="AJ32" i="1"/>
  <c r="BJ29" i="1"/>
  <c r="AK23" i="1"/>
  <c r="AJ24" i="1"/>
  <c r="AK34" i="1"/>
  <c r="BX156" i="1"/>
  <c r="BY156" i="1" s="1"/>
  <c r="B33" i="1"/>
  <c r="BX149" i="1"/>
  <c r="BY149" i="1" s="1"/>
  <c r="Q34" i="1"/>
  <c r="BX30" i="1"/>
  <c r="BX60" i="1"/>
  <c r="AJ54" i="1"/>
  <c r="BX23" i="1"/>
  <c r="N29" i="1"/>
  <c r="BX141" i="1"/>
  <c r="BY141" i="1" s="1"/>
  <c r="L56" i="1"/>
  <c r="I17" i="1"/>
  <c r="I245" i="1" s="1"/>
  <c r="ID16" i="4" s="1"/>
  <c r="IB9" i="4" s="1"/>
  <c r="JB9" i="4" s="1"/>
  <c r="BJ24" i="1"/>
  <c r="AJ22" i="1"/>
  <c r="AL60" i="1"/>
  <c r="BX158" i="1"/>
  <c r="B22" i="1"/>
  <c r="BX131" i="1"/>
  <c r="BY131" i="1" s="1"/>
  <c r="E22" i="1"/>
  <c r="J24" i="1"/>
  <c r="IJ15" i="4" s="1"/>
  <c r="BX29" i="1"/>
  <c r="BX44" i="1"/>
  <c r="BJ23" i="1"/>
  <c r="AL24" i="1"/>
  <c r="AL17" i="1"/>
  <c r="AJ56" i="1"/>
  <c r="BX154" i="1"/>
  <c r="G54" i="1"/>
  <c r="Q32" i="1"/>
  <c r="E41" i="1"/>
  <c r="E208" i="1" s="1"/>
  <c r="IE16" i="4" s="1"/>
  <c r="IH7" i="4" s="1"/>
  <c r="IO16" i="4" s="1"/>
  <c r="IO21" i="4" s="1"/>
  <c r="BI86" i="1" s="1"/>
  <c r="IP7" i="4" s="1"/>
  <c r="AL31" i="1"/>
  <c r="AK55" i="1"/>
  <c r="AK44" i="1"/>
  <c r="AJ48" i="1"/>
  <c r="K41" i="1"/>
  <c r="K208" i="1" s="1"/>
  <c r="H22" i="1"/>
  <c r="K48" i="1"/>
  <c r="H54" i="1"/>
  <c r="JB16" i="4" s="1"/>
  <c r="IS9" i="4" s="1"/>
  <c r="IS8" i="4" s="1"/>
  <c r="HT14" i="4" s="1"/>
  <c r="HR9" i="4" s="1"/>
  <c r="IK8" i="4" s="1"/>
  <c r="AL55" i="1"/>
  <c r="AL56" i="1"/>
  <c r="AJ55" i="1"/>
  <c r="BX41" i="1"/>
  <c r="BX208" i="1" s="1"/>
  <c r="AK48" i="1"/>
  <c r="AJ17" i="1"/>
  <c r="AJ245" i="1" s="1"/>
  <c r="AK60" i="1"/>
  <c r="AJ33" i="1"/>
  <c r="AK18" i="1"/>
  <c r="AK56" i="1"/>
  <c r="AK45" i="1"/>
  <c r="B48" i="1"/>
  <c r="W56" i="1"/>
  <c r="BX178" i="1"/>
  <c r="BY178" i="1" s="1"/>
  <c r="S22" i="1"/>
  <c r="O45" i="1"/>
  <c r="B29" i="1"/>
  <c r="D44" i="1"/>
  <c r="K17" i="1"/>
  <c r="K245" i="1" s="1"/>
  <c r="F22" i="1"/>
  <c r="O54" i="1"/>
  <c r="G22" i="1"/>
  <c r="E31" i="1"/>
  <c r="C55" i="1"/>
  <c r="G41" i="1"/>
  <c r="G208" i="1" s="1"/>
  <c r="F45" i="1"/>
  <c r="T33" i="1"/>
  <c r="W146" i="1"/>
  <c r="R32" i="1"/>
  <c r="I18" i="1"/>
  <c r="I19" i="1" s="1"/>
  <c r="M29" i="1"/>
  <c r="M60" i="1"/>
  <c r="V24" i="1"/>
  <c r="H31" i="1"/>
  <c r="J30" i="1"/>
  <c r="O44" i="1"/>
  <c r="T22" i="1"/>
  <c r="T45" i="1"/>
  <c r="S24" i="1"/>
  <c r="E17" i="1"/>
  <c r="E245" i="1" s="1"/>
  <c r="Q55" i="1"/>
  <c r="J55" i="1"/>
  <c r="P141" i="1"/>
  <c r="C54" i="1"/>
  <c r="M22" i="1"/>
  <c r="F30" i="1"/>
  <c r="C31" i="1"/>
  <c r="W31" i="1"/>
  <c r="S60" i="1"/>
  <c r="AM24" i="1"/>
  <c r="D136" i="1"/>
  <c r="BX168" i="1"/>
  <c r="BY168" i="1" s="1"/>
  <c r="Q18" i="1"/>
  <c r="Q19" i="1" s="1"/>
  <c r="Q8" i="1" s="1"/>
  <c r="B44" i="1"/>
  <c r="I44" i="1"/>
  <c r="C22" i="1"/>
  <c r="BX82" i="1"/>
  <c r="I30" i="1"/>
  <c r="S17" i="1"/>
  <c r="S245" i="1" s="1"/>
  <c r="B34" i="1"/>
  <c r="V32" i="1"/>
  <c r="M17" i="1"/>
  <c r="M245" i="1" s="1"/>
  <c r="S29" i="1"/>
  <c r="M18" i="1"/>
  <c r="W41" i="1"/>
  <c r="W267" i="1" s="1"/>
  <c r="N22" i="1"/>
  <c r="O17" i="1"/>
  <c r="G17" i="1"/>
  <c r="G245" i="1" s="1"/>
  <c r="K54" i="1"/>
  <c r="I45" i="1"/>
  <c r="S48" i="1"/>
  <c r="I32" i="1"/>
  <c r="E60" i="1"/>
  <c r="J44" i="1"/>
  <c r="F55" i="1"/>
  <c r="P48" i="1"/>
  <c r="K24" i="1"/>
  <c r="R45" i="1"/>
  <c r="L34" i="1"/>
  <c r="T24" i="1"/>
  <c r="IX9" i="4" s="1"/>
  <c r="JD16" i="4" s="1"/>
  <c r="BX55" i="1"/>
  <c r="BX22" i="1"/>
  <c r="AM44" i="1"/>
  <c r="AM31" i="1"/>
  <c r="BX33" i="1"/>
  <c r="AM32" i="1"/>
  <c r="AL23" i="1"/>
  <c r="AL45" i="1"/>
  <c r="BJ22" i="1"/>
  <c r="BX54" i="1"/>
  <c r="M32" i="1"/>
  <c r="W24" i="1"/>
  <c r="C45" i="1"/>
  <c r="P167" i="1"/>
  <c r="G55" i="1"/>
  <c r="V31" i="1"/>
  <c r="BX173" i="1"/>
  <c r="P169" i="1"/>
  <c r="J34" i="1"/>
  <c r="D18" i="1"/>
  <c r="BY82" i="1"/>
  <c r="D30" i="1"/>
  <c r="L22" i="1"/>
  <c r="L18" i="1"/>
  <c r="O33" i="1"/>
  <c r="F29" i="1"/>
  <c r="G44" i="1"/>
  <c r="S56" i="1"/>
  <c r="V48" i="1"/>
  <c r="M55" i="1"/>
  <c r="Q33" i="1"/>
  <c r="N45" i="1"/>
  <c r="S32" i="1"/>
  <c r="M41" i="1"/>
  <c r="M208" i="1" s="1"/>
  <c r="N31" i="1"/>
  <c r="V30" i="1"/>
  <c r="U60" i="1"/>
  <c r="N17" i="1"/>
  <c r="N245" i="1" s="1"/>
  <c r="N18" i="1"/>
  <c r="N19" i="1" s="1"/>
  <c r="N8" i="1" s="1"/>
  <c r="J22" i="1"/>
  <c r="P34" i="1"/>
  <c r="T31" i="1"/>
  <c r="E33" i="1"/>
  <c r="U31" i="1"/>
  <c r="L48" i="1"/>
  <c r="Q22" i="1"/>
  <c r="BX146" i="1"/>
  <c r="Q30" i="1"/>
  <c r="I54" i="1"/>
  <c r="H45" i="1"/>
  <c r="G32" i="1"/>
  <c r="O60" i="1"/>
  <c r="L54" i="1"/>
  <c r="S31" i="1"/>
  <c r="K34" i="1"/>
  <c r="F41" i="1"/>
  <c r="F208" i="1" s="1"/>
  <c r="U34" i="1"/>
  <c r="M31" i="1"/>
  <c r="I31" i="1"/>
  <c r="F54" i="1"/>
  <c r="Q44" i="1"/>
  <c r="C18" i="1"/>
  <c r="N24" i="1"/>
  <c r="Q56" i="1"/>
  <c r="N32" i="1"/>
  <c r="J54" i="1"/>
  <c r="N30" i="1"/>
  <c r="O18" i="1"/>
  <c r="K30" i="1"/>
  <c r="E173" i="1"/>
  <c r="H29" i="1"/>
  <c r="P17" i="1"/>
  <c r="F44" i="1"/>
  <c r="L29" i="1"/>
  <c r="BJ33" i="1"/>
  <c r="AL18" i="1"/>
  <c r="AL19" i="1" s="1"/>
  <c r="U32" i="1"/>
  <c r="J32" i="1"/>
  <c r="C29" i="1"/>
  <c r="J41" i="1"/>
  <c r="J208" i="1" s="1"/>
  <c r="J29" i="1"/>
  <c r="E54" i="1"/>
  <c r="Q31" i="1"/>
  <c r="T55" i="1"/>
  <c r="I22" i="1"/>
  <c r="BX136" i="1"/>
  <c r="BY136" i="1" s="1"/>
  <c r="U22" i="1"/>
  <c r="Q41" i="1"/>
  <c r="Q208" i="1" s="1"/>
  <c r="N44" i="1"/>
  <c r="D24" i="1"/>
  <c r="W48" i="1"/>
  <c r="E56" i="1"/>
  <c r="L33" i="1"/>
  <c r="Q29" i="1"/>
  <c r="F60" i="1"/>
  <c r="H30" i="1"/>
  <c r="H60" i="1"/>
  <c r="P41" i="1"/>
  <c r="R31" i="1"/>
  <c r="J18" i="1"/>
  <c r="K31" i="1"/>
  <c r="U44" i="1"/>
  <c r="V60" i="1"/>
  <c r="R30" i="1"/>
  <c r="P29" i="1"/>
  <c r="C56" i="1"/>
  <c r="K55" i="1"/>
  <c r="J33" i="1"/>
  <c r="D31" i="1"/>
  <c r="T48" i="1"/>
  <c r="R24" i="1"/>
  <c r="B17" i="1"/>
  <c r="W22" i="1"/>
  <c r="K44" i="1"/>
  <c r="P174" i="1"/>
  <c r="N54" i="1"/>
  <c r="T56" i="1"/>
  <c r="T41" i="1"/>
  <c r="T208" i="1" s="1"/>
  <c r="E44" i="1"/>
  <c r="AL29" i="1"/>
  <c r="AL54" i="1"/>
  <c r="BX24" i="1"/>
  <c r="AJ23" i="1"/>
  <c r="AJ29" i="1"/>
  <c r="F34" i="1"/>
  <c r="B24" i="1"/>
  <c r="L17" i="1"/>
  <c r="L245" i="1" s="1"/>
  <c r="E29" i="1"/>
  <c r="D41" i="1"/>
  <c r="BX166" i="1"/>
  <c r="BY166" i="1" s="1"/>
  <c r="D34" i="1"/>
  <c r="P18" i="1"/>
  <c r="L30" i="1"/>
  <c r="H18" i="1"/>
  <c r="V18" i="1"/>
  <c r="V19" i="1" s="1"/>
  <c r="C34" i="1"/>
  <c r="U33" i="1"/>
  <c r="P56" i="1"/>
  <c r="H48" i="1"/>
  <c r="R17" i="1"/>
  <c r="R245" i="1" s="1"/>
  <c r="S34" i="1"/>
  <c r="F48" i="1"/>
  <c r="C60" i="1"/>
  <c r="M30" i="1"/>
  <c r="C32" i="1"/>
  <c r="V54" i="1"/>
  <c r="O29" i="1"/>
  <c r="G177" i="1"/>
  <c r="T60" i="1"/>
  <c r="O32" i="1"/>
  <c r="V33" i="1"/>
  <c r="N60" i="1"/>
  <c r="F31" i="1"/>
  <c r="T32" i="1"/>
  <c r="F17" i="1"/>
  <c r="D55" i="1"/>
  <c r="W18" i="1"/>
  <c r="W19" i="1" s="1"/>
  <c r="W8" i="1" s="1"/>
  <c r="O24" i="1"/>
  <c r="BX174" i="1"/>
  <c r="J31" i="1"/>
  <c r="G29" i="1"/>
  <c r="U30" i="1"/>
  <c r="O34" i="1"/>
  <c r="BX132" i="1"/>
  <c r="BY132" i="1" s="1"/>
  <c r="B18" i="1"/>
  <c r="P54" i="1"/>
  <c r="V29" i="1"/>
  <c r="C33" i="1"/>
  <c r="D32" i="1"/>
  <c r="L32" i="1"/>
  <c r="R18" i="1"/>
  <c r="O48" i="1"/>
  <c r="G34" i="1"/>
  <c r="G18" i="1"/>
  <c r="S33" i="1"/>
  <c r="O55" i="1"/>
  <c r="V56" i="1"/>
  <c r="V22" i="1"/>
  <c r="T18" i="1"/>
  <c r="G167" i="1"/>
  <c r="C24" i="1"/>
  <c r="G33" i="1"/>
  <c r="H32" i="1"/>
  <c r="P24" i="1"/>
  <c r="R33" i="1"/>
  <c r="E30" i="1"/>
  <c r="P55" i="1"/>
  <c r="T34" i="1"/>
  <c r="I55" i="1"/>
  <c r="F56" i="1"/>
  <c r="M34" i="1"/>
  <c r="T44" i="1"/>
  <c r="T29" i="1"/>
  <c r="P31" i="1"/>
  <c r="H44" i="1"/>
  <c r="U56" i="1"/>
  <c r="HT16" i="4" s="1"/>
  <c r="AK33" i="1"/>
  <c r="BX17" i="1"/>
  <c r="BX45" i="1"/>
  <c r="BX266" i="1" s="1"/>
  <c r="AJ31" i="1"/>
  <c r="AK32" i="1"/>
  <c r="AL48" i="1"/>
  <c r="BX177" i="1"/>
  <c r="BY177" i="1" s="1"/>
  <c r="U45" i="1"/>
  <c r="U266" i="1" s="1"/>
  <c r="S30" i="1"/>
  <c r="B32" i="1"/>
  <c r="BX160" i="1"/>
  <c r="BY160" i="1" s="1"/>
  <c r="W54" i="1"/>
  <c r="BX145" i="1"/>
  <c r="BX83" i="1"/>
  <c r="BX140" i="1"/>
  <c r="BY140" i="1" s="1"/>
  <c r="K22" i="1"/>
  <c r="BX167" i="1"/>
  <c r="BX197" i="1" s="1"/>
  <c r="BY197" i="1" s="1"/>
  <c r="B45" i="1"/>
  <c r="B60" i="1"/>
  <c r="V55" i="1"/>
  <c r="L24" i="1"/>
  <c r="K32" i="1"/>
  <c r="I24" i="1"/>
  <c r="D56" i="1"/>
  <c r="S18" i="1"/>
  <c r="N48" i="1"/>
  <c r="C30" i="1"/>
  <c r="D29" i="1"/>
  <c r="J56" i="1"/>
  <c r="B30" i="1"/>
  <c r="Q167" i="1"/>
  <c r="Q197" i="1" s="1"/>
  <c r="W44" i="1"/>
  <c r="C138" i="1"/>
  <c r="U24" i="1"/>
  <c r="T17" i="1"/>
  <c r="T245" i="1" s="1"/>
  <c r="W131" i="1"/>
  <c r="R60" i="1"/>
  <c r="O41" i="1"/>
  <c r="O208" i="1" s="1"/>
  <c r="U18" i="1"/>
  <c r="U19" i="1" s="1"/>
  <c r="G56" i="1"/>
  <c r="W29" i="1"/>
  <c r="R41" i="1"/>
  <c r="R208" i="1" s="1"/>
  <c r="I34" i="1"/>
  <c r="H41" i="1"/>
  <c r="W55" i="1"/>
  <c r="AJ44" i="1"/>
  <c r="AJ46" i="1" s="1"/>
  <c r="AK17" i="1"/>
  <c r="AJ30" i="1"/>
  <c r="BX31" i="1"/>
  <c r="AL34" i="1"/>
  <c r="BX165" i="1"/>
  <c r="BY165" i="1" s="1"/>
  <c r="R22" i="1"/>
  <c r="U41" i="1"/>
  <c r="B55" i="1"/>
  <c r="F24" i="1"/>
  <c r="C48" i="1"/>
  <c r="BX161" i="1"/>
  <c r="BY161" i="1" s="1"/>
  <c r="S45" i="1"/>
  <c r="BX169" i="1"/>
  <c r="BY169" i="1" s="1"/>
  <c r="BX163" i="1"/>
  <c r="BY163" i="1" s="1"/>
  <c r="L44" i="1"/>
  <c r="K45" i="1"/>
  <c r="K29" i="1"/>
  <c r="D17" i="1"/>
  <c r="J133" i="1"/>
  <c r="D22" i="1"/>
  <c r="P44" i="1"/>
  <c r="V41" i="1"/>
  <c r="E24" i="1"/>
  <c r="W34" i="1"/>
  <c r="W45" i="1"/>
  <c r="W266" i="1" s="1"/>
  <c r="E18" i="1"/>
  <c r="H56" i="1"/>
  <c r="R48" i="1"/>
  <c r="L41" i="1"/>
  <c r="L208" i="1" s="1"/>
  <c r="V34" i="1"/>
  <c r="L45" i="1"/>
  <c r="D48" i="1"/>
  <c r="Q54" i="1"/>
  <c r="G31" i="1"/>
  <c r="V44" i="1"/>
  <c r="L31" i="1"/>
  <c r="W33" i="1"/>
  <c r="K60" i="1"/>
  <c r="Q24" i="1"/>
  <c r="Q45" i="1"/>
  <c r="Q266" i="1" s="1"/>
  <c r="R55" i="1"/>
  <c r="Q60" i="1"/>
  <c r="F32" i="1"/>
  <c r="T30" i="1"/>
  <c r="F18" i="1"/>
  <c r="R54" i="1"/>
  <c r="U54" i="1"/>
  <c r="AM30" i="1"/>
  <c r="F33" i="1"/>
  <c r="BX159" i="1"/>
  <c r="T54" i="1"/>
  <c r="H33" i="1"/>
  <c r="M54" i="1"/>
  <c r="W60" i="1"/>
  <c r="BX157" i="1"/>
  <c r="BY157" i="1" s="1"/>
  <c r="BX133" i="1"/>
  <c r="BY133" i="1" s="1"/>
  <c r="BX151" i="1"/>
  <c r="BY151" i="1" s="1"/>
  <c r="H17" i="1"/>
  <c r="M33" i="1"/>
  <c r="BL83" i="1"/>
  <c r="BX147" i="1"/>
  <c r="R34" i="1"/>
  <c r="P45" i="1"/>
  <c r="I60" i="1"/>
  <c r="C41" i="1"/>
  <c r="P33" i="1"/>
  <c r="M48" i="1"/>
  <c r="D45" i="1"/>
  <c r="O22" i="1"/>
  <c r="L60" i="1"/>
  <c r="O31" i="1"/>
  <c r="C44" i="1"/>
  <c r="J60" i="1"/>
  <c r="N34" i="1"/>
  <c r="B41" i="1"/>
  <c r="B31" i="1"/>
  <c r="L55" i="1"/>
  <c r="P30" i="1"/>
  <c r="N55" i="1"/>
  <c r="H34" i="1"/>
  <c r="G48" i="1"/>
  <c r="K18" i="1"/>
  <c r="P60" i="1"/>
  <c r="I33" i="1"/>
  <c r="D54" i="1"/>
  <c r="K56" i="1"/>
  <c r="N33" i="1"/>
  <c r="G30" i="1"/>
  <c r="AM45" i="1"/>
  <c r="AM48" i="1"/>
  <c r="AM29" i="1"/>
  <c r="AM41" i="1"/>
  <c r="AJ60" i="1"/>
  <c r="AK30" i="1"/>
  <c r="AL32" i="1"/>
  <c r="AK22" i="1"/>
  <c r="AK24" i="1"/>
  <c r="AL22" i="1"/>
  <c r="E34" i="1"/>
  <c r="E48" i="1"/>
  <c r="Q48" i="1"/>
  <c r="D33" i="1"/>
  <c r="BX139" i="1"/>
  <c r="BY139" i="1" s="1"/>
  <c r="R56" i="1"/>
  <c r="R29" i="1"/>
  <c r="U48" i="1"/>
  <c r="M24" i="1"/>
  <c r="I56" i="1"/>
  <c r="BX138" i="1"/>
  <c r="BY138" i="1" s="1"/>
  <c r="S44" i="1"/>
  <c r="M44" i="1"/>
  <c r="B56" i="1"/>
  <c r="W30" i="1"/>
  <c r="H55" i="1"/>
  <c r="O56" i="1"/>
  <c r="P32" i="1"/>
  <c r="N56" i="1"/>
  <c r="J48" i="1"/>
  <c r="O30" i="1"/>
  <c r="J45" i="1"/>
  <c r="D60" i="1"/>
  <c r="R44" i="1"/>
  <c r="U29" i="1"/>
  <c r="H24" i="1"/>
  <c r="S55" i="1"/>
  <c r="P22" i="1"/>
  <c r="M45" i="1"/>
  <c r="M56" i="1"/>
  <c r="N41" i="1"/>
  <c r="N208" i="1" s="1"/>
  <c r="K33" i="1"/>
  <c r="I41" i="1"/>
  <c r="I208" i="1" s="1"/>
  <c r="G24" i="1"/>
  <c r="C17" i="1"/>
  <c r="V45" i="1"/>
  <c r="V266" i="1" s="1"/>
  <c r="AL169" i="1"/>
  <c r="AM169" i="1" s="1"/>
  <c r="AL83" i="1"/>
  <c r="BJ177" i="1"/>
  <c r="BK177" i="1" s="1"/>
  <c r="BJ168" i="1"/>
  <c r="BK168" i="1" s="1"/>
  <c r="BJ158" i="1"/>
  <c r="AJ138" i="1"/>
  <c r="AK138" i="1" s="1"/>
  <c r="AJ177" i="1"/>
  <c r="AK177" i="1" s="1"/>
  <c r="AJ141" i="1"/>
  <c r="AK141" i="1" s="1"/>
  <c r="AJ173" i="1"/>
  <c r="BJ141" i="1"/>
  <c r="BK141" i="1" s="1"/>
  <c r="AJ136" i="1"/>
  <c r="AK136" i="1" s="1"/>
  <c r="AL159" i="1"/>
  <c r="AL164" i="1"/>
  <c r="AM164" i="1" s="1"/>
  <c r="AL156" i="1"/>
  <c r="AM156" i="1" s="1"/>
  <c r="AL145" i="1"/>
  <c r="AL139" i="1"/>
  <c r="AM139" i="1" s="1"/>
  <c r="AL178" i="1"/>
  <c r="AM178" i="1" s="1"/>
  <c r="AL163" i="1"/>
  <c r="AM163" i="1" s="1"/>
  <c r="AL133" i="1"/>
  <c r="BJ173" i="1"/>
  <c r="BJ174" i="1"/>
  <c r="BJ161" i="1"/>
  <c r="BK161" i="1" s="1"/>
  <c r="BJ163" i="1"/>
  <c r="AJ164" i="1"/>
  <c r="AK164" i="1" s="1"/>
  <c r="AJ167" i="1"/>
  <c r="AJ165" i="1"/>
  <c r="AK165" i="1" s="1"/>
  <c r="AL149" i="1"/>
  <c r="AM149" i="1" s="1"/>
  <c r="BJ169" i="1"/>
  <c r="BK169" i="1" s="1"/>
  <c r="AJ163" i="1"/>
  <c r="AK163" i="1" s="1"/>
  <c r="BJ138" i="1"/>
  <c r="BK138" i="1" s="1"/>
  <c r="AL147" i="1"/>
  <c r="AL177" i="1"/>
  <c r="AM177" i="1" s="1"/>
  <c r="BJ145" i="1"/>
  <c r="BJ159" i="1"/>
  <c r="BJ178" i="1"/>
  <c r="AJ166" i="1"/>
  <c r="AK166" i="1" s="1"/>
  <c r="AJ156" i="1"/>
  <c r="AK156" i="1" s="1"/>
  <c r="AJ168" i="1"/>
  <c r="AK168" i="1" s="1"/>
  <c r="AL165" i="1"/>
  <c r="AM165" i="1" s="1"/>
  <c r="BJ133" i="1"/>
  <c r="AL136" i="1"/>
  <c r="AM136" i="1" s="1"/>
  <c r="BJ140" i="1"/>
  <c r="BK140" i="1" s="1"/>
  <c r="AL167" i="1"/>
  <c r="AL160" i="1"/>
  <c r="AM160" i="1" s="1"/>
  <c r="AL166" i="1"/>
  <c r="AM166" i="1" s="1"/>
  <c r="AL173" i="1"/>
  <c r="AL158" i="1"/>
  <c r="BJ166" i="1"/>
  <c r="BK166" i="1" s="1"/>
  <c r="BJ149" i="1"/>
  <c r="BK149" i="1" s="1"/>
  <c r="BJ139" i="1"/>
  <c r="BK139" i="1" s="1"/>
  <c r="BJ156" i="1"/>
  <c r="BK156" i="1" s="1"/>
  <c r="BJ146" i="1"/>
  <c r="AJ147" i="1"/>
  <c r="AJ158" i="1"/>
  <c r="AJ159" i="1"/>
  <c r="AJ174" i="1"/>
  <c r="AJ133" i="1"/>
  <c r="AJ160" i="1"/>
  <c r="AK160" i="1" s="1"/>
  <c r="AJ139" i="1"/>
  <c r="AK139" i="1" s="1"/>
  <c r="AL168" i="1"/>
  <c r="AM168" i="1" s="1"/>
  <c r="AL131" i="1"/>
  <c r="AM131" i="1" s="1"/>
  <c r="BJ160" i="1"/>
  <c r="BK160" i="1" s="1"/>
  <c r="AJ131" i="1"/>
  <c r="AK131" i="1" s="1"/>
  <c r="AL140" i="1"/>
  <c r="AM140" i="1" s="1"/>
  <c r="AL132" i="1"/>
  <c r="AM132" i="1" s="1"/>
  <c r="AL138" i="1"/>
  <c r="AM138" i="1" s="1"/>
  <c r="AL146" i="1"/>
  <c r="AL174" i="1"/>
  <c r="AL141" i="1"/>
  <c r="AM141" i="1" s="1"/>
  <c r="AL82" i="1"/>
  <c r="AL161" i="1"/>
  <c r="AM161" i="1" s="1"/>
  <c r="BJ132" i="1"/>
  <c r="BK132" i="1" s="1"/>
  <c r="BJ167" i="1"/>
  <c r="BJ164" i="1"/>
  <c r="BK164" i="1" s="1"/>
  <c r="BJ147" i="1"/>
  <c r="BJ165" i="1"/>
  <c r="BK165" i="1" s="1"/>
  <c r="AJ178" i="1"/>
  <c r="AK178" i="1" s="1"/>
  <c r="AJ140" i="1"/>
  <c r="AK140" i="1" s="1"/>
  <c r="AJ146" i="1"/>
  <c r="AJ169" i="1"/>
  <c r="AK169" i="1" s="1"/>
  <c r="AJ132" i="1"/>
  <c r="AK132" i="1" s="1"/>
  <c r="AJ154" i="1"/>
  <c r="AK154" i="1" s="1"/>
  <c r="AL154" i="1"/>
  <c r="AM154" i="1" s="1"/>
  <c r="AM216" i="1" s="1"/>
  <c r="BJ136" i="1"/>
  <c r="BK136" i="1" s="1"/>
  <c r="BJ131" i="1"/>
  <c r="AJ145" i="1"/>
  <c r="AJ149" i="1"/>
  <c r="AK149" i="1" s="1"/>
  <c r="AJ161" i="1"/>
  <c r="AK161" i="1" s="1"/>
  <c r="AJ157" i="1"/>
  <c r="AK157" i="1" s="1"/>
  <c r="AJ151" i="1"/>
  <c r="AK151" i="1" s="1"/>
  <c r="AL151" i="1"/>
  <c r="AM151" i="1" s="1"/>
  <c r="BJ151" i="1"/>
  <c r="BK151" i="1" s="1"/>
  <c r="BJ157" i="1"/>
  <c r="AL157" i="1"/>
  <c r="IC14" i="4"/>
  <c r="JG15" i="4"/>
  <c r="HQ8" i="4"/>
  <c r="JC7" i="4"/>
  <c r="JC8" i="4"/>
  <c r="HP15" i="4"/>
  <c r="JH7" i="4"/>
  <c r="IE14" i="4"/>
  <c r="IQ15" i="4"/>
  <c r="IX14" i="4"/>
  <c r="IW14" i="4"/>
  <c r="IX15" i="4"/>
  <c r="HZ14" i="4"/>
  <c r="IU15" i="4"/>
  <c r="IH15" i="4"/>
  <c r="IV15" i="4"/>
  <c r="HT8" i="4"/>
  <c r="IS7" i="4"/>
  <c r="IO15" i="4"/>
  <c r="HX7" i="4"/>
  <c r="HV15" i="4"/>
  <c r="HS7" i="4"/>
  <c r="II15" i="4"/>
  <c r="HS14" i="4"/>
  <c r="IE7" i="4"/>
  <c r="JI15" i="4"/>
  <c r="IL7" i="4"/>
  <c r="JG14" i="4"/>
  <c r="IQ8" i="4"/>
  <c r="IP8" i="4"/>
  <c r="HX14" i="4"/>
  <c r="JF7" i="4"/>
  <c r="HX8" i="4"/>
  <c r="HQ14" i="4"/>
  <c r="IL14" i="4"/>
  <c r="IK15" i="4"/>
  <c r="IU14" i="4"/>
  <c r="HZ7" i="4"/>
  <c r="JI8" i="4"/>
  <c r="JB15" i="4"/>
  <c r="JE8" i="4"/>
  <c r="IN15" i="4"/>
  <c r="IT15" i="4"/>
  <c r="IZ14" i="4"/>
  <c r="IO14" i="4"/>
  <c r="IZ8" i="4"/>
  <c r="IY15" i="4"/>
  <c r="IO7" i="4"/>
  <c r="IA15" i="4"/>
  <c r="JG7" i="4"/>
  <c r="HW8" i="4"/>
  <c r="IS14" i="4"/>
  <c r="IY8" i="4"/>
  <c r="HR15" i="4"/>
  <c r="JE7" i="4"/>
  <c r="IB8" i="4"/>
  <c r="ID14" i="4"/>
  <c r="ID7" i="4"/>
  <c r="HW7" i="4"/>
  <c r="II8" i="4"/>
  <c r="JH8" i="4"/>
  <c r="HZ8" i="4"/>
  <c r="IC7" i="4"/>
  <c r="IR15" i="4"/>
  <c r="JA15" i="4"/>
  <c r="HQ7" i="4"/>
  <c r="HT15" i="4"/>
  <c r="IX8" i="4"/>
  <c r="JB7" i="4"/>
  <c r="IQ14" i="4"/>
  <c r="IH14" i="4"/>
  <c r="JD15" i="4"/>
  <c r="IP14" i="4"/>
  <c r="HR14" i="4"/>
  <c r="IQ7" i="4"/>
  <c r="JD8" i="4"/>
  <c r="JF14" i="4"/>
  <c r="IF8" i="4"/>
  <c r="HW15" i="4"/>
  <c r="IM15" i="4"/>
  <c r="JH15" i="4"/>
  <c r="HS8" i="4"/>
  <c r="JH14" i="4"/>
  <c r="JB14" i="4"/>
  <c r="IR8" i="4"/>
  <c r="CP86" i="1"/>
  <c r="CN72" i="1"/>
  <c r="CM74" i="1"/>
  <c r="AM19" i="1" l="1"/>
  <c r="BX194" i="1"/>
  <c r="BY194" i="1" s="1"/>
  <c r="D266" i="1"/>
  <c r="G19" i="1"/>
  <c r="H19" i="1"/>
  <c r="P266" i="1"/>
  <c r="B267" i="1"/>
  <c r="H35" i="1"/>
  <c r="K19" i="1"/>
  <c r="II21" i="4"/>
  <c r="BC86" i="1" s="1"/>
  <c r="Q245" i="1"/>
  <c r="F35" i="1"/>
  <c r="O35" i="1"/>
  <c r="H25" i="1"/>
  <c r="H26" i="1" s="1"/>
  <c r="IF21" i="4"/>
  <c r="AZ86" i="1" s="1"/>
  <c r="IL9" i="4" s="1"/>
  <c r="IL21" i="4" s="1"/>
  <c r="BF86" i="1" s="1"/>
  <c r="HU16" i="4" s="1"/>
  <c r="N266" i="1"/>
  <c r="V25" i="1"/>
  <c r="HT21" i="4"/>
  <c r="AN86" i="1" s="1"/>
  <c r="S19" i="1"/>
  <c r="S8" i="1" s="1"/>
  <c r="S266" i="1"/>
  <c r="K266" i="1"/>
  <c r="L35" i="1"/>
  <c r="F19" i="1"/>
  <c r="M35" i="1"/>
  <c r="IY21" i="4"/>
  <c r="BS86" i="1" s="1"/>
  <c r="HV21" i="4"/>
  <c r="AP86" i="1" s="1"/>
  <c r="J245" i="1"/>
  <c r="J266" i="1"/>
  <c r="AL266" i="1"/>
  <c r="IU21" i="4"/>
  <c r="BO86" i="1" s="1"/>
  <c r="JD21" i="4"/>
  <c r="BX86" i="1" s="1"/>
  <c r="IW21" i="4"/>
  <c r="BQ86" i="1" s="1"/>
  <c r="AL267" i="1"/>
  <c r="HY21" i="4"/>
  <c r="AS86" i="1" s="1"/>
  <c r="AJ42" i="1"/>
  <c r="HZ21" i="4"/>
  <c r="AT86" i="1" s="1"/>
  <c r="IH21" i="4"/>
  <c r="BB86" i="1" s="1"/>
  <c r="HP21" i="4"/>
  <c r="AJ86" i="1" s="1"/>
  <c r="IR21" i="4"/>
  <c r="BL86" i="1" s="1"/>
  <c r="BL103" i="1" s="1"/>
  <c r="IC21" i="4"/>
  <c r="AW86" i="1" s="1"/>
  <c r="IG21" i="4"/>
  <c r="BA86" i="1" s="1"/>
  <c r="IZ21" i="4"/>
  <c r="BT86" i="1" s="1"/>
  <c r="JG21" i="4"/>
  <c r="CA86" i="1" s="1"/>
  <c r="IA21" i="4"/>
  <c r="AU86" i="1" s="1"/>
  <c r="IM21" i="4"/>
  <c r="BG86" i="1" s="1"/>
  <c r="JA21" i="4"/>
  <c r="BU86" i="1" s="1"/>
  <c r="JB21" i="4"/>
  <c r="BV86" i="1" s="1"/>
  <c r="AL245" i="1"/>
  <c r="HW21" i="4"/>
  <c r="AQ86" i="1" s="1"/>
  <c r="C266" i="1"/>
  <c r="IS21" i="4"/>
  <c r="BM86" i="1" s="1"/>
  <c r="P197" i="1"/>
  <c r="IX21" i="4"/>
  <c r="BR86" i="1" s="1"/>
  <c r="ID21" i="4"/>
  <c r="AX86" i="1" s="1"/>
  <c r="IQ21" i="4"/>
  <c r="BK86" i="1" s="1"/>
  <c r="IE21" i="4"/>
  <c r="AY86" i="1" s="1"/>
  <c r="IV21" i="4"/>
  <c r="BP86" i="1" s="1"/>
  <c r="HS21" i="4"/>
  <c r="AM86" i="1" s="1"/>
  <c r="IN21" i="4"/>
  <c r="BH86" i="1" s="1"/>
  <c r="JI21" i="4"/>
  <c r="CC86" i="1" s="1"/>
  <c r="CC94" i="1" s="1"/>
  <c r="HR21" i="4"/>
  <c r="AL86" i="1" s="1"/>
  <c r="G267" i="1"/>
  <c r="K267" i="1"/>
  <c r="S208" i="1"/>
  <c r="S267" i="1"/>
  <c r="W208" i="1"/>
  <c r="O19" i="1"/>
  <c r="O8" i="1" s="1"/>
  <c r="P245" i="1"/>
  <c r="P19" i="1"/>
  <c r="P8" i="1" s="1"/>
  <c r="C245" i="1"/>
  <c r="C19" i="1"/>
  <c r="G197" i="1"/>
  <c r="I267" i="1"/>
  <c r="O245" i="1"/>
  <c r="O267" i="1"/>
  <c r="U25" i="1"/>
  <c r="U10" i="1" s="1"/>
  <c r="U107" i="1"/>
  <c r="BY154" i="1"/>
  <c r="BZ216" i="1" s="1"/>
  <c r="U267" i="1"/>
  <c r="U208" i="1"/>
  <c r="J267" i="1"/>
  <c r="BX267" i="1"/>
  <c r="BX19" i="1"/>
  <c r="BX8" i="1" s="1"/>
  <c r="D245" i="1"/>
  <c r="D19" i="1"/>
  <c r="JH21" i="4"/>
  <c r="CB86" i="1" s="1"/>
  <c r="F266" i="1"/>
  <c r="ID15" i="4"/>
  <c r="IS15" i="4"/>
  <c r="JF8" i="4"/>
  <c r="JG8" i="4"/>
  <c r="IN8" i="4"/>
  <c r="IG14" i="4"/>
  <c r="IF14" i="4"/>
  <c r="HV7" i="4"/>
  <c r="JF15" i="4"/>
  <c r="JF20" i="4" s="1"/>
  <c r="BZ88" i="1" s="1"/>
  <c r="C35" i="1"/>
  <c r="J19" i="1"/>
  <c r="JD7" i="4"/>
  <c r="JA7" i="4"/>
  <c r="AJ35" i="1"/>
  <c r="AL35" i="1"/>
  <c r="W35" i="1"/>
  <c r="I35" i="1"/>
  <c r="JA14" i="4"/>
  <c r="IJ8" i="4"/>
  <c r="IJ20" i="4" s="1"/>
  <c r="BD88" i="1" s="1"/>
  <c r="BD117" i="1" s="1"/>
  <c r="II7" i="4"/>
  <c r="Q267" i="1"/>
  <c r="I266" i="1"/>
  <c r="IM7" i="4"/>
  <c r="AM266" i="1"/>
  <c r="AK35" i="1"/>
  <c r="CA107" i="1"/>
  <c r="CA108" i="1" s="1"/>
  <c r="BX245" i="1"/>
  <c r="AK245" i="1"/>
  <c r="AK19" i="1"/>
  <c r="AK8" i="1" s="1"/>
  <c r="C208" i="1"/>
  <c r="C267" i="1"/>
  <c r="U8" i="1"/>
  <c r="U9" i="1" s="1"/>
  <c r="V20" i="1"/>
  <c r="IP15" i="4"/>
  <c r="IP20" i="4" s="1"/>
  <c r="BJ88" i="1" s="1"/>
  <c r="BJ117" i="1" s="1"/>
  <c r="HR8" i="4"/>
  <c r="IY14" i="4"/>
  <c r="JE14" i="4"/>
  <c r="JE19" i="4" s="1"/>
  <c r="BY87" i="1" s="1"/>
  <c r="HT7" i="4"/>
  <c r="HP8" i="4"/>
  <c r="ID8" i="4"/>
  <c r="JA8" i="4"/>
  <c r="IA8" i="4"/>
  <c r="IR7" i="4"/>
  <c r="JC21" i="4"/>
  <c r="BW86" i="1" s="1"/>
  <c r="IA14" i="4"/>
  <c r="II14" i="4"/>
  <c r="II19" i="4" s="1"/>
  <c r="BC87" i="1" s="1"/>
  <c r="BC116" i="1" s="1"/>
  <c r="IK14" i="4"/>
  <c r="IZ7" i="4"/>
  <c r="IT21" i="4"/>
  <c r="BN86" i="1" s="1"/>
  <c r="HU14" i="4"/>
  <c r="HP7" i="4"/>
  <c r="IZ15" i="4"/>
  <c r="IZ20" i="4" s="1"/>
  <c r="BT88" i="1" s="1"/>
  <c r="BT117" i="1" s="1"/>
  <c r="JE21" i="4"/>
  <c r="BY86" i="1" s="1"/>
  <c r="IN7" i="4"/>
  <c r="IV8" i="4"/>
  <c r="IC15" i="4"/>
  <c r="S35" i="1"/>
  <c r="JC15" i="4"/>
  <c r="JI7" i="4"/>
  <c r="HW14" i="4"/>
  <c r="HW19" i="4" s="1"/>
  <c r="AQ87" i="1" s="1"/>
  <c r="AQ116" i="1" s="1"/>
  <c r="HY14" i="4"/>
  <c r="HY19" i="4" s="1"/>
  <c r="AS87" i="1" s="1"/>
  <c r="AS116" i="1" s="1"/>
  <c r="HU7" i="4"/>
  <c r="IK7" i="4"/>
  <c r="IE15" i="4"/>
  <c r="HS15" i="4"/>
  <c r="HS20" i="4" s="1"/>
  <c r="AM88" i="1" s="1"/>
  <c r="HX15" i="4"/>
  <c r="IV14" i="4"/>
  <c r="IV19" i="4" s="1"/>
  <c r="BP87" i="1" s="1"/>
  <c r="BP116" i="1" s="1"/>
  <c r="IF15" i="4"/>
  <c r="IF20" i="4" s="1"/>
  <c r="AZ88" i="1" s="1"/>
  <c r="AZ117" i="1" s="1"/>
  <c r="IM14" i="4"/>
  <c r="IM19" i="4" s="1"/>
  <c r="BG87" i="1" s="1"/>
  <c r="BG116" i="1" s="1"/>
  <c r="HY15" i="4"/>
  <c r="IT8" i="4"/>
  <c r="HY7" i="4"/>
  <c r="IM8" i="4"/>
  <c r="IB14" i="4"/>
  <c r="HV8" i="4"/>
  <c r="HV20" i="4" s="1"/>
  <c r="AP88" i="1" s="1"/>
  <c r="AP117" i="1" s="1"/>
  <c r="HR7" i="4"/>
  <c r="IG8" i="4"/>
  <c r="G266" i="1"/>
  <c r="HZ15" i="4"/>
  <c r="HZ20" i="4" s="1"/>
  <c r="AT88" i="1" s="1"/>
  <c r="AT117" i="1" s="1"/>
  <c r="JI14" i="4"/>
  <c r="IU8" i="4"/>
  <c r="IW7" i="4"/>
  <c r="IN14" i="4"/>
  <c r="JF21" i="4"/>
  <c r="BZ86" i="1" s="1"/>
  <c r="BZ103" i="1" s="1"/>
  <c r="JC14" i="4"/>
  <c r="JC19" i="4" s="1"/>
  <c r="BW87" i="1" s="1"/>
  <c r="BW116" i="1" s="1"/>
  <c r="IB21" i="4"/>
  <c r="AV86" i="1" s="1"/>
  <c r="IX7" i="4"/>
  <c r="IV7" i="4"/>
  <c r="IA7" i="4"/>
  <c r="IW15" i="4"/>
  <c r="IB7" i="4"/>
  <c r="HV14" i="4"/>
  <c r="HV19" i="4" s="1"/>
  <c r="AP87" i="1" s="1"/>
  <c r="AP116" i="1" s="1"/>
  <c r="HP14" i="4"/>
  <c r="O266" i="1"/>
  <c r="IG15" i="4"/>
  <c r="IG20" i="4" s="1"/>
  <c r="BA88" i="1" s="1"/>
  <c r="BA117" i="1" s="1"/>
  <c r="V35" i="1"/>
  <c r="BX175" i="1"/>
  <c r="BY223" i="1" s="1"/>
  <c r="Q35" i="1"/>
  <c r="B19" i="1"/>
  <c r="G35" i="1"/>
  <c r="BY142" i="1"/>
  <c r="R35" i="1"/>
  <c r="P35" i="1"/>
  <c r="M266" i="1"/>
  <c r="BJ193" i="1"/>
  <c r="BK193" i="1" s="1"/>
  <c r="AL194" i="1"/>
  <c r="AM194" i="1" s="1"/>
  <c r="BJ194" i="1"/>
  <c r="BK194" i="1" s="1"/>
  <c r="AL197" i="1"/>
  <c r="AM197" i="1" s="1"/>
  <c r="AL193" i="1"/>
  <c r="AM193" i="1" s="1"/>
  <c r="BJ197" i="1"/>
  <c r="BK197" i="1" s="1"/>
  <c r="P208" i="1"/>
  <c r="P267" i="1"/>
  <c r="D208" i="1"/>
  <c r="D267" i="1"/>
  <c r="V107" i="1"/>
  <c r="V8" i="1"/>
  <c r="V202" i="1"/>
  <c r="F245" i="1"/>
  <c r="F267" i="1"/>
  <c r="H208" i="1"/>
  <c r="H267" i="1"/>
  <c r="V208" i="1"/>
  <c r="V267" i="1"/>
  <c r="H245" i="1"/>
  <c r="H266" i="1"/>
  <c r="AM208" i="1"/>
  <c r="AM267" i="1"/>
  <c r="BX162" i="1"/>
  <c r="K35" i="1"/>
  <c r="BX35" i="1"/>
  <c r="BX36" i="1" s="1"/>
  <c r="BX148" i="1"/>
  <c r="E35" i="1"/>
  <c r="N35" i="1"/>
  <c r="J35" i="1"/>
  <c r="R266" i="1"/>
  <c r="IT14" i="4"/>
  <c r="IT19" i="4" s="1"/>
  <c r="BN87" i="1" s="1"/>
  <c r="BN116" i="1" s="1"/>
  <c r="IC8" i="4"/>
  <c r="HU8" i="4"/>
  <c r="HU20" i="4" s="1"/>
  <c r="AO88" i="1" s="1"/>
  <c r="AO117" i="1" s="1"/>
  <c r="AM35" i="1"/>
  <c r="IJ7" i="4"/>
  <c r="IU7" i="4"/>
  <c r="HY8" i="4"/>
  <c r="IO8" i="4"/>
  <c r="IO20" i="4" s="1"/>
  <c r="BI88" i="1" s="1"/>
  <c r="BI117" i="1" s="1"/>
  <c r="IY7" i="4"/>
  <c r="IW8" i="4"/>
  <c r="IH8" i="4"/>
  <c r="IH20" i="4" s="1"/>
  <c r="BB88" i="1" s="1"/>
  <c r="BB117" i="1" s="1"/>
  <c r="BX193" i="1"/>
  <c r="BY193" i="1" s="1"/>
  <c r="B245" i="1"/>
  <c r="L19" i="1"/>
  <c r="T267" i="1"/>
  <c r="M267" i="1"/>
  <c r="U35" i="1"/>
  <c r="IE8" i="4"/>
  <c r="B35" i="1"/>
  <c r="B266" i="1"/>
  <c r="T35" i="1"/>
  <c r="D35" i="1"/>
  <c r="BX142" i="1"/>
  <c r="L267" i="1"/>
  <c r="L266" i="1"/>
  <c r="M19" i="1"/>
  <c r="E19" i="1"/>
  <c r="N267" i="1"/>
  <c r="T19" i="1"/>
  <c r="T266" i="1"/>
  <c r="BY134" i="1"/>
  <c r="BX170" i="1"/>
  <c r="BX199" i="1" s="1"/>
  <c r="BX198" i="1" s="1"/>
  <c r="W107" i="1"/>
  <c r="W25" i="1"/>
  <c r="W10" i="1" s="1"/>
  <c r="W9" i="1" s="1"/>
  <c r="W20" i="1"/>
  <c r="R267" i="1"/>
  <c r="X20" i="1"/>
  <c r="X202" i="1"/>
  <c r="W202" i="1"/>
  <c r="AJ197" i="1"/>
  <c r="AJ19" i="1"/>
  <c r="AM107" i="1"/>
  <c r="AM108" i="1" s="1"/>
  <c r="AM111" i="1" s="1"/>
  <c r="BX134" i="1"/>
  <c r="W36" i="1"/>
  <c r="AJ193" i="1"/>
  <c r="R19" i="1"/>
  <c r="R107" i="1"/>
  <c r="R8" i="1"/>
  <c r="AL25" i="1"/>
  <c r="AL37" i="1" s="1"/>
  <c r="AL12" i="1" s="1"/>
  <c r="AL8" i="1"/>
  <c r="V26" i="1"/>
  <c r="V10" i="1"/>
  <c r="AM25" i="1"/>
  <c r="AM8" i="1"/>
  <c r="BJ175" i="1"/>
  <c r="BK223" i="1" s="1"/>
  <c r="BJ148" i="1"/>
  <c r="BK142" i="1"/>
  <c r="BK131" i="1"/>
  <c r="BJ134" i="1"/>
  <c r="AJ175" i="1"/>
  <c r="AK223" i="1" s="1"/>
  <c r="AM142" i="1"/>
  <c r="AL175" i="1"/>
  <c r="AM223" i="1" s="1"/>
  <c r="BJ170" i="1"/>
  <c r="BJ199" i="1" s="1"/>
  <c r="AL148" i="1"/>
  <c r="AM148" i="1" s="1"/>
  <c r="AM152" i="1" s="1"/>
  <c r="BK163" i="1"/>
  <c r="BJ142" i="1"/>
  <c r="AJ142" i="1"/>
  <c r="AL170" i="1"/>
  <c r="AL199" i="1" s="1"/>
  <c r="AJ216" i="1"/>
  <c r="AL134" i="1"/>
  <c r="AL142" i="1"/>
  <c r="AI210" i="1"/>
  <c r="AI212" i="1" s="1"/>
  <c r="AJ148" i="1"/>
  <c r="AK42" i="1" s="1"/>
  <c r="AJ162" i="1"/>
  <c r="AJ194" i="1"/>
  <c r="AK194" i="1" s="1"/>
  <c r="AK142" i="1"/>
  <c r="AJ134" i="1"/>
  <c r="AJ170" i="1"/>
  <c r="BK157" i="1"/>
  <c r="BJ162" i="1"/>
  <c r="AM157" i="1"/>
  <c r="AL162" i="1"/>
  <c r="HX20" i="4"/>
  <c r="AR88" i="1" s="1"/>
  <c r="AR117" i="1" s="1"/>
  <c r="CB103" i="1"/>
  <c r="CB111" i="1"/>
  <c r="CB94" i="1"/>
  <c r="HP20" i="4"/>
  <c r="AJ88" i="1" s="1"/>
  <c r="IU20" i="4"/>
  <c r="BO88" i="1" s="1"/>
  <c r="BO117" i="1" s="1"/>
  <c r="ID20" i="4"/>
  <c r="AX88" i="1" s="1"/>
  <c r="AX117" i="1" s="1"/>
  <c r="IL19" i="4"/>
  <c r="BF87" i="1" s="1"/>
  <c r="BF116" i="1" s="1"/>
  <c r="JF19" i="4"/>
  <c r="BZ87" i="1" s="1"/>
  <c r="IL20" i="4"/>
  <c r="BF88" i="1" s="1"/>
  <c r="BF117" i="1" s="1"/>
  <c r="HS19" i="4"/>
  <c r="AM87" i="1" s="1"/>
  <c r="S107" i="1"/>
  <c r="S25" i="1"/>
  <c r="HX19" i="4"/>
  <c r="AR87" i="1" s="1"/>
  <c r="AR116" i="1" s="1"/>
  <c r="JE20" i="4"/>
  <c r="BY88" i="1" s="1"/>
  <c r="BY117" i="1" s="1"/>
  <c r="II20" i="4"/>
  <c r="BC88" i="1" s="1"/>
  <c r="BC117" i="1" s="1"/>
  <c r="IC19" i="4"/>
  <c r="AW87" i="1" s="1"/>
  <c r="AW116" i="1" s="1"/>
  <c r="IS20" i="4"/>
  <c r="BM88" i="1" s="1"/>
  <c r="BM117" i="1" s="1"/>
  <c r="JG20" i="4"/>
  <c r="CA88" i="1" s="1"/>
  <c r="HQ20" i="4"/>
  <c r="AK88" i="1" s="1"/>
  <c r="HT20" i="4"/>
  <c r="AN88" i="1" s="1"/>
  <c r="AN117" i="1" s="1"/>
  <c r="JH19" i="4"/>
  <c r="CB87" i="1" s="1"/>
  <c r="I25" i="1"/>
  <c r="I107" i="1"/>
  <c r="N107" i="1"/>
  <c r="N25" i="1"/>
  <c r="N10" i="1" s="1"/>
  <c r="CA103" i="1"/>
  <c r="IM20" i="4"/>
  <c r="BG88" i="1" s="1"/>
  <c r="BG117" i="1" s="1"/>
  <c r="JB20" i="4"/>
  <c r="BV88" i="1" s="1"/>
  <c r="BV117" i="1" s="1"/>
  <c r="IS19" i="4"/>
  <c r="BM87" i="1" s="1"/>
  <c r="BM116" i="1" s="1"/>
  <c r="IX20" i="4"/>
  <c r="BR88" i="1" s="1"/>
  <c r="BR117" i="1" s="1"/>
  <c r="HT19" i="4"/>
  <c r="AN87" i="1" s="1"/>
  <c r="AN116" i="1" s="1"/>
  <c r="JI20" i="4"/>
  <c r="CC88" i="1" s="1"/>
  <c r="HR19" i="4"/>
  <c r="AL87" i="1" s="1"/>
  <c r="HZ19" i="4"/>
  <c r="AT87" i="1" s="1"/>
  <c r="AT116" i="1" s="1"/>
  <c r="JH20" i="4"/>
  <c r="CB88" i="1" s="1"/>
  <c r="JA20" i="4"/>
  <c r="BU88" i="1" s="1"/>
  <c r="BU117" i="1" s="1"/>
  <c r="ID19" i="4"/>
  <c r="AX87" i="1" s="1"/>
  <c r="AX116" i="1" s="1"/>
  <c r="IV20" i="4"/>
  <c r="BP88" i="1" s="1"/>
  <c r="BP117" i="1" s="1"/>
  <c r="IZ19" i="4"/>
  <c r="BT87" i="1" s="1"/>
  <c r="BT116" i="1" s="1"/>
  <c r="IE19" i="4"/>
  <c r="AY87" i="1" s="1"/>
  <c r="AY116" i="1" s="1"/>
  <c r="IK20" i="4"/>
  <c r="BE88" i="1" s="1"/>
  <c r="BE117" i="1" s="1"/>
  <c r="IQ20" i="4"/>
  <c r="BK88" i="1" s="1"/>
  <c r="BK117" i="1" s="1"/>
  <c r="IP19" i="4"/>
  <c r="BJ87" i="1" s="1"/>
  <c r="BJ116" i="1" s="1"/>
  <c r="JG19" i="4"/>
  <c r="CA87" i="1" s="1"/>
  <c r="IY20" i="4"/>
  <c r="BS88" i="1" s="1"/>
  <c r="BS117" i="1" s="1"/>
  <c r="IQ19" i="4"/>
  <c r="BK87" i="1" s="1"/>
  <c r="BK116" i="1" s="1"/>
  <c r="IO19" i="4"/>
  <c r="BI87" i="1" s="1"/>
  <c r="BI116" i="1" s="1"/>
  <c r="IB20" i="4"/>
  <c r="AV88" i="1" s="1"/>
  <c r="AV117" i="1" s="1"/>
  <c r="JB19" i="4"/>
  <c r="BV87" i="1" s="1"/>
  <c r="BV116" i="1" s="1"/>
  <c r="HW20" i="4"/>
  <c r="AQ88" i="1" s="1"/>
  <c r="AQ117" i="1" s="1"/>
  <c r="HQ19" i="4"/>
  <c r="AK87" i="1" s="1"/>
  <c r="IR20" i="4"/>
  <c r="BL88" i="1" s="1"/>
  <c r="BL105" i="1" s="1"/>
  <c r="JD20" i="4"/>
  <c r="BX88" i="1" s="1"/>
  <c r="BX117" i="1" s="1"/>
  <c r="IH19" i="4"/>
  <c r="BB87" i="1" s="1"/>
  <c r="BB116" i="1" s="1"/>
  <c r="H20" i="1"/>
  <c r="G107" i="1"/>
  <c r="G25" i="1"/>
  <c r="AL216" i="1"/>
  <c r="AK216" i="1"/>
  <c r="H202" i="1"/>
  <c r="BK216" i="1"/>
  <c r="Q25" i="1"/>
  <c r="Q107" i="1"/>
  <c r="AM21" i="1"/>
  <c r="CM41" i="1"/>
  <c r="AB86" i="1"/>
  <c r="CQ86" i="1"/>
  <c r="AC154" i="1"/>
  <c r="CN74" i="1"/>
  <c r="CO72" i="1"/>
  <c r="O25" i="1" l="1"/>
  <c r="I202" i="1"/>
  <c r="I20" i="1"/>
  <c r="H107" i="1"/>
  <c r="K107" i="1"/>
  <c r="K25" i="1"/>
  <c r="O107" i="1"/>
  <c r="O20" i="1"/>
  <c r="CC111" i="1"/>
  <c r="CA111" i="1"/>
  <c r="HU21" i="4"/>
  <c r="AO86" i="1" s="1"/>
  <c r="IP9" i="4"/>
  <c r="C36" i="1"/>
  <c r="JI19" i="4"/>
  <c r="CC87" i="1" s="1"/>
  <c r="IN19" i="4"/>
  <c r="BH87" i="1" s="1"/>
  <c r="BH116" i="1" s="1"/>
  <c r="IA19" i="4"/>
  <c r="AU87" i="1" s="1"/>
  <c r="AU116" i="1" s="1"/>
  <c r="HP19" i="4"/>
  <c r="AJ87" i="1" s="1"/>
  <c r="D36" i="1"/>
  <c r="E202" i="1"/>
  <c r="IF19" i="4"/>
  <c r="AZ87" i="1" s="1"/>
  <c r="AZ116" i="1" s="1"/>
  <c r="HR20" i="4"/>
  <c r="AL88" i="1" s="1"/>
  <c r="IX19" i="4"/>
  <c r="BR87" i="1" s="1"/>
  <c r="BR116" i="1" s="1"/>
  <c r="K202" i="1"/>
  <c r="J25" i="1"/>
  <c r="J26" i="1" s="1"/>
  <c r="J107" i="1"/>
  <c r="R20" i="1"/>
  <c r="IB19" i="4"/>
  <c r="AV87" i="1" s="1"/>
  <c r="AV116" i="1" s="1"/>
  <c r="JA19" i="4"/>
  <c r="BU87" i="1" s="1"/>
  <c r="BU116" i="1" s="1"/>
  <c r="JD19" i="4"/>
  <c r="BX87" i="1" s="1"/>
  <c r="IW20" i="4"/>
  <c r="BQ88" i="1" s="1"/>
  <c r="BQ117" i="1" s="1"/>
  <c r="JC20" i="4"/>
  <c r="BW88" i="1" s="1"/>
  <c r="BW117" i="1" s="1"/>
  <c r="IR19" i="4"/>
  <c r="BL87" i="1" s="1"/>
  <c r="P202" i="1"/>
  <c r="CC103" i="1"/>
  <c r="IG19" i="4"/>
  <c r="BA87" i="1" s="1"/>
  <c r="BA116" i="1" s="1"/>
  <c r="IN20" i="4"/>
  <c r="BH88" i="1" s="1"/>
  <c r="BH117" i="1" s="1"/>
  <c r="IT20" i="4"/>
  <c r="BN88" i="1" s="1"/>
  <c r="BN117" i="1" s="1"/>
  <c r="IW19" i="4"/>
  <c r="BQ87" i="1" s="1"/>
  <c r="BQ116" i="1" s="1"/>
  <c r="IU19" i="4"/>
  <c r="BO87" i="1" s="1"/>
  <c r="BO116" i="1" s="1"/>
  <c r="IJ19" i="4"/>
  <c r="BD87" i="1" s="1"/>
  <c r="BD116" i="1" s="1"/>
  <c r="AL36" i="1"/>
  <c r="F107" i="1"/>
  <c r="F25" i="1"/>
  <c r="F26" i="1" s="1"/>
  <c r="IA20" i="4"/>
  <c r="AU88" i="1" s="1"/>
  <c r="AU117" i="1" s="1"/>
  <c r="BY21" i="1"/>
  <c r="CB20" i="1"/>
  <c r="CC202" i="1"/>
  <c r="BX25" i="1"/>
  <c r="BX10" i="1" s="1"/>
  <c r="U26" i="1"/>
  <c r="V27" i="1"/>
  <c r="G202" i="1"/>
  <c r="G20" i="1"/>
  <c r="C25" i="1"/>
  <c r="AL21" i="1"/>
  <c r="AK25" i="1"/>
  <c r="AK10" i="1" s="1"/>
  <c r="K20" i="1"/>
  <c r="Q202" i="1"/>
  <c r="Q20" i="1"/>
  <c r="P107" i="1"/>
  <c r="P25" i="1"/>
  <c r="P10" i="1" s="1"/>
  <c r="P20" i="1"/>
  <c r="O202" i="1"/>
  <c r="D202" i="1"/>
  <c r="D20" i="1"/>
  <c r="D25" i="1"/>
  <c r="BY216" i="1"/>
  <c r="AK36" i="1"/>
  <c r="IK19" i="4"/>
  <c r="BE87" i="1" s="1"/>
  <c r="BE116" i="1" s="1"/>
  <c r="HU19" i="4"/>
  <c r="AO87" i="1" s="1"/>
  <c r="AO116" i="1" s="1"/>
  <c r="IC20" i="4"/>
  <c r="AW88" i="1" s="1"/>
  <c r="AW117" i="1" s="1"/>
  <c r="HY20" i="4"/>
  <c r="AS88" i="1" s="1"/>
  <c r="AS117" i="1" s="1"/>
  <c r="IY19" i="4"/>
  <c r="BS87" i="1" s="1"/>
  <c r="BS116" i="1" s="1"/>
  <c r="IE20" i="4"/>
  <c r="AY88" i="1" s="1"/>
  <c r="AY117" i="1" s="1"/>
  <c r="B36" i="1"/>
  <c r="BX182" i="1"/>
  <c r="J20" i="1"/>
  <c r="J202" i="1"/>
  <c r="V36" i="1"/>
  <c r="V37" i="1"/>
  <c r="L25" i="1"/>
  <c r="L107" i="1"/>
  <c r="BY143" i="1"/>
  <c r="BZ263" i="1"/>
  <c r="BZ265" i="1" s="1"/>
  <c r="BZ220" i="1"/>
  <c r="BX196" i="1"/>
  <c r="BX171" i="1"/>
  <c r="BY148" i="1"/>
  <c r="BY42" i="1"/>
  <c r="BX152" i="1"/>
  <c r="AM37" i="1"/>
  <c r="BJ198" i="1"/>
  <c r="AL198" i="1"/>
  <c r="B25" i="1"/>
  <c r="C27" i="1" s="1"/>
  <c r="C202" i="1"/>
  <c r="C20" i="1"/>
  <c r="BY220" i="1"/>
  <c r="BY263" i="1"/>
  <c r="L202" i="1"/>
  <c r="L20" i="1"/>
  <c r="M25" i="1"/>
  <c r="N202" i="1"/>
  <c r="T8" i="1"/>
  <c r="U20" i="1"/>
  <c r="T202" i="1"/>
  <c r="T25" i="1"/>
  <c r="T10" i="1" s="1"/>
  <c r="U202" i="1"/>
  <c r="T20" i="1"/>
  <c r="T107" i="1"/>
  <c r="BY101" i="1"/>
  <c r="BY221" i="1"/>
  <c r="BZ221" i="1"/>
  <c r="AJ8" i="1"/>
  <c r="AM239" i="1"/>
  <c r="BX101" i="1"/>
  <c r="BX143" i="1"/>
  <c r="BX262" i="1"/>
  <c r="R25" i="1"/>
  <c r="R10" i="1" s="1"/>
  <c r="R9" i="1" s="1"/>
  <c r="R202" i="1"/>
  <c r="AM10" i="1"/>
  <c r="AM26" i="1"/>
  <c r="M202" i="1"/>
  <c r="E25" i="1"/>
  <c r="S202" i="1"/>
  <c r="F20" i="1"/>
  <c r="W37" i="1"/>
  <c r="S20" i="1"/>
  <c r="AM36" i="1"/>
  <c r="AM28" i="1"/>
  <c r="M107" i="1"/>
  <c r="E20" i="1"/>
  <c r="E36" i="1"/>
  <c r="F202" i="1"/>
  <c r="E107" i="1"/>
  <c r="AJ25" i="1"/>
  <c r="AJ37" i="1" s="1"/>
  <c r="AJ12" i="1" s="1"/>
  <c r="W27" i="1"/>
  <c r="N20" i="1"/>
  <c r="M20" i="1"/>
  <c r="W26" i="1"/>
  <c r="X27" i="1"/>
  <c r="AK21" i="1"/>
  <c r="BK263" i="1"/>
  <c r="AJ36" i="1"/>
  <c r="AJ143" i="1"/>
  <c r="AL10" i="1"/>
  <c r="AL26" i="1"/>
  <c r="V9" i="1"/>
  <c r="AJ10" i="1"/>
  <c r="AJ26" i="1"/>
  <c r="S26" i="1"/>
  <c r="S10" i="1"/>
  <c r="N9" i="1"/>
  <c r="Q26" i="1"/>
  <c r="Q10" i="1"/>
  <c r="AK220" i="1"/>
  <c r="AM263" i="1"/>
  <c r="BK148" i="1"/>
  <c r="BJ152" i="1"/>
  <c r="BJ260" i="1" s="1"/>
  <c r="BL220" i="1"/>
  <c r="BL263" i="1"/>
  <c r="BJ101" i="1"/>
  <c r="BJ262" i="1"/>
  <c r="AJ182" i="1"/>
  <c r="AK46" i="1" s="1"/>
  <c r="AJ220" i="1"/>
  <c r="AM42" i="1"/>
  <c r="AL152" i="1"/>
  <c r="AL101" i="1"/>
  <c r="AL262" i="1"/>
  <c r="AL220" i="1"/>
  <c r="AM220" i="1"/>
  <c r="AJ211" i="1"/>
  <c r="AJ199" i="1"/>
  <c r="AK148" i="1"/>
  <c r="AL182" i="1"/>
  <c r="AJ171" i="1"/>
  <c r="BJ143" i="1"/>
  <c r="BJ182" i="1"/>
  <c r="BJ118" i="1" s="1"/>
  <c r="AJ152" i="1"/>
  <c r="BK220" i="1"/>
  <c r="AL263" i="1"/>
  <c r="AL143" i="1"/>
  <c r="AJ210" i="1"/>
  <c r="AJ196" i="1"/>
  <c r="BJ196" i="1"/>
  <c r="BJ171" i="1"/>
  <c r="AL196" i="1"/>
  <c r="AL171" i="1"/>
  <c r="AM112" i="1"/>
  <c r="AM116" i="1"/>
  <c r="BZ104" i="1"/>
  <c r="BZ98" i="1"/>
  <c r="BZ116" i="1"/>
  <c r="BZ119" i="1" s="1"/>
  <c r="AM117" i="1"/>
  <c r="AM113" i="1"/>
  <c r="I26" i="1"/>
  <c r="I27" i="1"/>
  <c r="CA105" i="1"/>
  <c r="CA117" i="1"/>
  <c r="CA113" i="1"/>
  <c r="CB95" i="1"/>
  <c r="CB112" i="1"/>
  <c r="CB104" i="1"/>
  <c r="CB116" i="1"/>
  <c r="CB119" i="1" s="1"/>
  <c r="CB122" i="1" s="1"/>
  <c r="N26" i="1"/>
  <c r="CC105" i="1"/>
  <c r="CC113" i="1"/>
  <c r="CC117" i="1"/>
  <c r="AL116" i="1"/>
  <c r="BZ117" i="1"/>
  <c r="BZ120" i="1" s="1"/>
  <c r="BZ105" i="1"/>
  <c r="CB105" i="1"/>
  <c r="CB117" i="1"/>
  <c r="CB120" i="1" s="1"/>
  <c r="CB123" i="1" s="1"/>
  <c r="CC96" i="1"/>
  <c r="CB113" i="1"/>
  <c r="BL117" i="1"/>
  <c r="BL120" i="1" s="1"/>
  <c r="CB96" i="1"/>
  <c r="CA112" i="1"/>
  <c r="CA116" i="1"/>
  <c r="CA104" i="1"/>
  <c r="BY116" i="1"/>
  <c r="BY98" i="1"/>
  <c r="AL246" i="1"/>
  <c r="AL247" i="1" s="1"/>
  <c r="AL43" i="1"/>
  <c r="AL47" i="1" s="1"/>
  <c r="AL38" i="1"/>
  <c r="G26" i="1"/>
  <c r="H27" i="1"/>
  <c r="CM208" i="1"/>
  <c r="CM146" i="1"/>
  <c r="CM148" i="1" s="1"/>
  <c r="CM152" i="1" s="1"/>
  <c r="CM217" i="1" s="1"/>
  <c r="CM215" i="1" s="1"/>
  <c r="CR86" i="1"/>
  <c r="AC216" i="1"/>
  <c r="AB163" i="1"/>
  <c r="AB131" i="1"/>
  <c r="CO74" i="1"/>
  <c r="CP72" i="1"/>
  <c r="CA239" i="1"/>
  <c r="O26" i="1" l="1"/>
  <c r="O10" i="1"/>
  <c r="O27" i="1"/>
  <c r="K26" i="1"/>
  <c r="AJ38" i="1"/>
  <c r="AJ43" i="1"/>
  <c r="AJ47" i="1" s="1"/>
  <c r="AJ246" i="1"/>
  <c r="AJ247" i="1" s="1"/>
  <c r="BX104" i="1"/>
  <c r="AM9" i="1"/>
  <c r="BX9" i="1"/>
  <c r="AK9" i="1"/>
  <c r="P9" i="1"/>
  <c r="AL105" i="1"/>
  <c r="AL117" i="1"/>
  <c r="S27" i="1"/>
  <c r="BX98" i="1"/>
  <c r="BX116" i="1"/>
  <c r="BL116" i="1"/>
  <c r="BL119" i="1" s="1"/>
  <c r="BL104" i="1"/>
  <c r="T27" i="1"/>
  <c r="U27" i="1"/>
  <c r="T26" i="1"/>
  <c r="CC104" i="1"/>
  <c r="CC116" i="1"/>
  <c r="CC112" i="1"/>
  <c r="CC95" i="1"/>
  <c r="CF99" i="1" s="1"/>
  <c r="P27" i="1"/>
  <c r="R26" i="1"/>
  <c r="D26" i="1"/>
  <c r="D37" i="1"/>
  <c r="E27" i="1"/>
  <c r="BX26" i="1"/>
  <c r="CB27" i="1"/>
  <c r="BY28" i="1"/>
  <c r="BX37" i="1"/>
  <c r="BX12" i="1" s="1"/>
  <c r="BX11" i="1" s="1"/>
  <c r="R27" i="1"/>
  <c r="Q27" i="1"/>
  <c r="P26" i="1"/>
  <c r="C37" i="1"/>
  <c r="D27" i="1"/>
  <c r="C26" i="1"/>
  <c r="AL28" i="1"/>
  <c r="AK37" i="1"/>
  <c r="AK12" i="1" s="1"/>
  <c r="AK11" i="1" s="1"/>
  <c r="AK26" i="1"/>
  <c r="AK28" i="1"/>
  <c r="G27" i="1"/>
  <c r="E37" i="1"/>
  <c r="E38" i="1" s="1"/>
  <c r="F27" i="1"/>
  <c r="E26" i="1"/>
  <c r="K27" i="1"/>
  <c r="J27" i="1"/>
  <c r="N27" i="1"/>
  <c r="IP21" i="4"/>
  <c r="BJ86" i="1" s="1"/>
  <c r="HX9" i="4"/>
  <c r="HX21" i="4" s="1"/>
  <c r="AR86" i="1" s="1"/>
  <c r="BY219" i="1"/>
  <c r="BZ219" i="1"/>
  <c r="BX179" i="1"/>
  <c r="BX180" i="1" s="1"/>
  <c r="T9" i="1"/>
  <c r="BY46" i="1"/>
  <c r="BX118" i="1"/>
  <c r="V12" i="1"/>
  <c r="V11" i="1" s="1"/>
  <c r="V43" i="1"/>
  <c r="V47" i="1" s="1"/>
  <c r="V121" i="1"/>
  <c r="V127" i="1" s="1"/>
  <c r="V246" i="1"/>
  <c r="V247" i="1" s="1"/>
  <c r="V38" i="1"/>
  <c r="L26" i="1"/>
  <c r="L27" i="1"/>
  <c r="AM12" i="1"/>
  <c r="AM11" i="1" s="1"/>
  <c r="AM264" i="1"/>
  <c r="AM40" i="1"/>
  <c r="AM246" i="1"/>
  <c r="AM247" i="1" s="1"/>
  <c r="AM43" i="1"/>
  <c r="AM47" i="1" s="1"/>
  <c r="AM38" i="1"/>
  <c r="BX195" i="1"/>
  <c r="BX200" i="1"/>
  <c r="CB203" i="1" s="1"/>
  <c r="B26" i="1"/>
  <c r="B37" i="1"/>
  <c r="M26" i="1"/>
  <c r="M27" i="1"/>
  <c r="BZ42" i="1"/>
  <c r="BY152" i="1"/>
  <c r="BZ217" i="1" s="1"/>
  <c r="BZ215" i="1" s="1"/>
  <c r="BX260" i="1"/>
  <c r="BY103" i="1"/>
  <c r="BY104" i="1"/>
  <c r="BY105" i="1"/>
  <c r="BX103" i="1"/>
  <c r="BX105" i="1"/>
  <c r="W12" i="1"/>
  <c r="W11" i="1" s="1"/>
  <c r="W246" i="1"/>
  <c r="W247" i="1" s="1"/>
  <c r="X39" i="1"/>
  <c r="X264" i="1"/>
  <c r="W43" i="1"/>
  <c r="W47" i="1" s="1"/>
  <c r="W264" i="1"/>
  <c r="W39" i="1"/>
  <c r="W121" i="1"/>
  <c r="W127" i="1" s="1"/>
  <c r="W38" i="1"/>
  <c r="AJ179" i="1"/>
  <c r="AJ180" i="1" s="1"/>
  <c r="AL9" i="1"/>
  <c r="AL11" i="1"/>
  <c r="AJ9" i="1"/>
  <c r="AJ11" i="1"/>
  <c r="S9" i="1"/>
  <c r="O9" i="1"/>
  <c r="Q9" i="1"/>
  <c r="AJ212" i="1"/>
  <c r="AL179" i="1"/>
  <c r="AL180" i="1" s="1"/>
  <c r="BL42" i="1"/>
  <c r="BK152" i="1"/>
  <c r="BL217" i="1" s="1"/>
  <c r="BL215" i="1" s="1"/>
  <c r="BJ104" i="1"/>
  <c r="BJ105" i="1"/>
  <c r="AM217" i="1"/>
  <c r="AM215" i="1" s="1"/>
  <c r="AL260" i="1"/>
  <c r="AK152" i="1"/>
  <c r="AL42" i="1"/>
  <c r="BJ119" i="1"/>
  <c r="BJ120" i="1"/>
  <c r="AL103" i="1"/>
  <c r="AL104" i="1"/>
  <c r="AL118" i="1"/>
  <c r="AM46" i="1"/>
  <c r="AJ217" i="1"/>
  <c r="AJ215" i="1" s="1"/>
  <c r="BJ200" i="1"/>
  <c r="BJ195" i="1"/>
  <c r="AL195" i="1"/>
  <c r="AL200" i="1"/>
  <c r="AL264" i="1"/>
  <c r="AL265" i="1" s="1"/>
  <c r="AM240" i="1"/>
  <c r="AJ50" i="1"/>
  <c r="AJ49" i="1"/>
  <c r="AL50" i="1"/>
  <c r="AL49" i="1"/>
  <c r="C38" i="1"/>
  <c r="AK246" i="1"/>
  <c r="AK247" i="1" s="1"/>
  <c r="AL40" i="1"/>
  <c r="AK38" i="1"/>
  <c r="AK43" i="1"/>
  <c r="AK47" i="1" s="1"/>
  <c r="AM121" i="1"/>
  <c r="AM127" i="1" s="1"/>
  <c r="AK40" i="1"/>
  <c r="CN41" i="1"/>
  <c r="CS86" i="1"/>
  <c r="AB177" i="1"/>
  <c r="CP74" i="1"/>
  <c r="CQ72" i="1"/>
  <c r="AC131" i="1"/>
  <c r="AC163" i="1"/>
  <c r="CB239" i="1"/>
  <c r="BQ1" i="1"/>
  <c r="BR1" i="1" s="1"/>
  <c r="BS1" i="1" s="1"/>
  <c r="BT1" i="1" s="1"/>
  <c r="AM265" i="1" l="1"/>
  <c r="BJ103" i="1"/>
  <c r="CE99" i="1"/>
  <c r="D38" i="1"/>
  <c r="D43" i="1"/>
  <c r="D47" i="1" s="1"/>
  <c r="D246" i="1"/>
  <c r="D247" i="1" s="1"/>
  <c r="D264" i="1"/>
  <c r="E39" i="1"/>
  <c r="D121" i="1"/>
  <c r="D39" i="1"/>
  <c r="BX38" i="1"/>
  <c r="BX43" i="1"/>
  <c r="CB39" i="1"/>
  <c r="CA121" i="1"/>
  <c r="CA127" i="1" s="1"/>
  <c r="BX246" i="1"/>
  <c r="BX247" i="1" s="1"/>
  <c r="BY40" i="1"/>
  <c r="BY264" i="1"/>
  <c r="BY265" i="1" s="1"/>
  <c r="V50" i="1"/>
  <c r="V49" i="1"/>
  <c r="BX119" i="1"/>
  <c r="BX120" i="1"/>
  <c r="AM50" i="1"/>
  <c r="AM51" i="1" s="1"/>
  <c r="AM259" i="1" s="1"/>
  <c r="AM49" i="1"/>
  <c r="BY217" i="1"/>
  <c r="BY215" i="1" s="1"/>
  <c r="W50" i="1"/>
  <c r="W49" i="1"/>
  <c r="C264" i="1"/>
  <c r="C39" i="1"/>
  <c r="B121" i="1"/>
  <c r="B38" i="1"/>
  <c r="AL217" i="1"/>
  <c r="AL215" i="1" s="1"/>
  <c r="AK217" i="1"/>
  <c r="AK215" i="1" s="1"/>
  <c r="AL120" i="1"/>
  <c r="AL119" i="1"/>
  <c r="AJ51" i="1"/>
  <c r="AJ57" i="1"/>
  <c r="AJ248" i="1"/>
  <c r="AL248" i="1"/>
  <c r="AL57" i="1"/>
  <c r="AL51" i="1"/>
  <c r="AL259" i="1" s="1"/>
  <c r="AK50" i="1"/>
  <c r="AK49" i="1"/>
  <c r="CN146" i="1"/>
  <c r="CN148" i="1" s="1"/>
  <c r="CO41" i="1" s="1"/>
  <c r="CT86" i="1"/>
  <c r="AB151" i="1"/>
  <c r="AD163" i="1"/>
  <c r="AE163" i="1"/>
  <c r="AD131" i="1"/>
  <c r="AE131" i="1"/>
  <c r="CQ74" i="1"/>
  <c r="CR72" i="1"/>
  <c r="AC177" i="1"/>
  <c r="BU1" i="1"/>
  <c r="Q36" i="1"/>
  <c r="P36" i="1"/>
  <c r="O36" i="1"/>
  <c r="I36" i="1"/>
  <c r="H36" i="1"/>
  <c r="G36" i="1"/>
  <c r="U36" i="1"/>
  <c r="T36" i="1"/>
  <c r="S36" i="1"/>
  <c r="R36" i="1"/>
  <c r="N36" i="1"/>
  <c r="M36" i="1"/>
  <c r="L36" i="1"/>
  <c r="K36" i="1"/>
  <c r="J36" i="1"/>
  <c r="F36" i="1"/>
  <c r="BX47" i="1" l="1"/>
  <c r="CA64" i="1"/>
  <c r="D50" i="1"/>
  <c r="D49" i="1"/>
  <c r="V51" i="1"/>
  <c r="V259" i="1" s="1"/>
  <c r="V57" i="1"/>
  <c r="AM53" i="1"/>
  <c r="W57" i="1"/>
  <c r="W61" i="1" s="1"/>
  <c r="W248" i="1"/>
  <c r="W51" i="1"/>
  <c r="W259" i="1" s="1"/>
  <c r="W52" i="1"/>
  <c r="X52" i="1"/>
  <c r="AJ207" i="1"/>
  <c r="AJ209" i="1" s="1"/>
  <c r="AJ213" i="1" s="1"/>
  <c r="AJ227" i="1" s="1"/>
  <c r="AJ221" i="1"/>
  <c r="AJ219" i="1" s="1"/>
  <c r="AJ61" i="1"/>
  <c r="AJ75" i="1"/>
  <c r="AK248" i="1"/>
  <c r="AK57" i="1"/>
  <c r="AK133" i="1" s="1"/>
  <c r="AK134" i="1" s="1"/>
  <c r="AK143" i="1" s="1"/>
  <c r="AK51" i="1"/>
  <c r="AK53" i="1"/>
  <c r="AL53" i="1"/>
  <c r="AL207" i="1"/>
  <c r="AL209" i="1" s="1"/>
  <c r="AL75" i="1"/>
  <c r="AL61" i="1"/>
  <c r="D248" i="1"/>
  <c r="D51" i="1"/>
  <c r="D57" i="1"/>
  <c r="BX49" i="1"/>
  <c r="BX50" i="1"/>
  <c r="CO208" i="1"/>
  <c r="CO146" i="1"/>
  <c r="CN152" i="1"/>
  <c r="CN208" i="1"/>
  <c r="AC86" i="1"/>
  <c r="CU86" i="1"/>
  <c r="AD177" i="1"/>
  <c r="AE177" i="1"/>
  <c r="AD154" i="1"/>
  <c r="CR74" i="1"/>
  <c r="CS72" i="1"/>
  <c r="AC151" i="1"/>
  <c r="BV1" i="1"/>
  <c r="BW1" i="1" s="1"/>
  <c r="BX1" i="1" s="1"/>
  <c r="AM241" i="1"/>
  <c r="AM248" i="1"/>
  <c r="B246" i="1"/>
  <c r="B247" i="1" s="1"/>
  <c r="BL246" i="1"/>
  <c r="BL247" i="1" s="1"/>
  <c r="G37" i="1"/>
  <c r="O37" i="1"/>
  <c r="O12" i="1" s="1"/>
  <c r="O11" i="1" s="1"/>
  <c r="H37" i="1"/>
  <c r="P37" i="1"/>
  <c r="P12" i="1" s="1"/>
  <c r="P11" i="1" s="1"/>
  <c r="I37" i="1"/>
  <c r="Q37" i="1"/>
  <c r="Q12" i="1" s="1"/>
  <c r="Q11" i="1" s="1"/>
  <c r="J37" i="1"/>
  <c r="R37" i="1"/>
  <c r="R12" i="1" s="1"/>
  <c r="R11" i="1" s="1"/>
  <c r="K37" i="1"/>
  <c r="S37" i="1"/>
  <c r="S12" i="1" s="1"/>
  <c r="S11" i="1" s="1"/>
  <c r="L37" i="1"/>
  <c r="T37" i="1"/>
  <c r="T12" i="1" s="1"/>
  <c r="T11" i="1" s="1"/>
  <c r="M37" i="1"/>
  <c r="U37" i="1"/>
  <c r="U12" i="1" s="1"/>
  <c r="U11" i="1" s="1"/>
  <c r="F37" i="1"/>
  <c r="F264" i="1" s="1"/>
  <c r="N37" i="1"/>
  <c r="N12" i="1" s="1"/>
  <c r="N11" i="1" s="1"/>
  <c r="AJ224" i="1" l="1"/>
  <c r="AJ225" i="1" s="1"/>
  <c r="T264" i="1"/>
  <c r="P264" i="1"/>
  <c r="D207" i="1"/>
  <c r="D209" i="1" s="1"/>
  <c r="D61" i="1"/>
  <c r="CB52" i="1"/>
  <c r="BX248" i="1"/>
  <c r="BX51" i="1"/>
  <c r="BX259" i="1" s="1"/>
  <c r="BX57" i="1"/>
  <c r="BY53" i="1"/>
  <c r="AK207" i="1"/>
  <c r="AK209" i="1" s="1"/>
  <c r="AK75" i="1"/>
  <c r="AK61" i="1"/>
  <c r="M264" i="1"/>
  <c r="R264" i="1"/>
  <c r="I264" i="1"/>
  <c r="K264" i="1"/>
  <c r="G264" i="1"/>
  <c r="H264" i="1"/>
  <c r="L264" i="1"/>
  <c r="S264" i="1"/>
  <c r="O264" i="1"/>
  <c r="J264" i="1"/>
  <c r="N264" i="1"/>
  <c r="U264" i="1"/>
  <c r="V264" i="1"/>
  <c r="Q264" i="1"/>
  <c r="R121" i="1"/>
  <c r="R127" i="1" s="1"/>
  <c r="S39" i="1"/>
  <c r="T121" i="1"/>
  <c r="T127" i="1" s="1"/>
  <c r="U39" i="1"/>
  <c r="U121" i="1"/>
  <c r="U127" i="1" s="1"/>
  <c r="V39" i="1"/>
  <c r="P121" i="1"/>
  <c r="P127" i="1" s="1"/>
  <c r="Q39" i="1"/>
  <c r="Q121" i="1"/>
  <c r="Q127" i="1" s="1"/>
  <c r="R39" i="1"/>
  <c r="I121" i="1"/>
  <c r="J39" i="1"/>
  <c r="S121" i="1"/>
  <c r="S127" i="1" s="1"/>
  <c r="T39" i="1"/>
  <c r="H121" i="1"/>
  <c r="I39" i="1"/>
  <c r="E121" i="1"/>
  <c r="F39" i="1"/>
  <c r="L121" i="1"/>
  <c r="M39" i="1"/>
  <c r="O121" i="1"/>
  <c r="O127" i="1" s="1"/>
  <c r="P39" i="1"/>
  <c r="N121" i="1"/>
  <c r="N127" i="1" s="1"/>
  <c r="O39" i="1"/>
  <c r="K121" i="1"/>
  <c r="L39" i="1"/>
  <c r="F121" i="1"/>
  <c r="G39" i="1"/>
  <c r="G121" i="1"/>
  <c r="H39" i="1"/>
  <c r="M121" i="1"/>
  <c r="N39" i="1"/>
  <c r="J121" i="1"/>
  <c r="K39" i="1"/>
  <c r="CN217" i="1"/>
  <c r="CN215" i="1" s="1"/>
  <c r="CO148" i="1"/>
  <c r="CV86" i="1"/>
  <c r="AD216" i="1"/>
  <c r="AB156" i="1"/>
  <c r="AE151" i="1"/>
  <c r="AD151" i="1"/>
  <c r="CT72" i="1"/>
  <c r="CS74" i="1"/>
  <c r="C121" i="1"/>
  <c r="BY1" i="1"/>
  <c r="L38" i="1"/>
  <c r="N38" i="1"/>
  <c r="F38" i="1"/>
  <c r="O38" i="1"/>
  <c r="U43" i="1"/>
  <c r="U47" i="1" s="1"/>
  <c r="U38" i="1"/>
  <c r="G38" i="1"/>
  <c r="S38" i="1"/>
  <c r="M38" i="1"/>
  <c r="R38" i="1"/>
  <c r="J38" i="1"/>
  <c r="I38" i="1"/>
  <c r="P38" i="1"/>
  <c r="H38" i="1"/>
  <c r="K38" i="1"/>
  <c r="T38" i="1"/>
  <c r="Q38" i="1"/>
  <c r="T246" i="1"/>
  <c r="T247" i="1" s="1"/>
  <c r="Q246" i="1"/>
  <c r="Q247" i="1" s="1"/>
  <c r="K246" i="1"/>
  <c r="K247" i="1" s="1"/>
  <c r="O246" i="1"/>
  <c r="O247" i="1" s="1"/>
  <c r="U246" i="1"/>
  <c r="U247" i="1" s="1"/>
  <c r="L246" i="1"/>
  <c r="L247" i="1" s="1"/>
  <c r="C246" i="1"/>
  <c r="C247" i="1" s="1"/>
  <c r="I246" i="1"/>
  <c r="I247" i="1" s="1"/>
  <c r="G246" i="1"/>
  <c r="G247" i="1" s="1"/>
  <c r="R246" i="1"/>
  <c r="R247" i="1" s="1"/>
  <c r="P246" i="1"/>
  <c r="P247" i="1" s="1"/>
  <c r="F246" i="1"/>
  <c r="F247" i="1" s="1"/>
  <c r="M246" i="1"/>
  <c r="M247" i="1" s="1"/>
  <c r="N246" i="1"/>
  <c r="N247" i="1" s="1"/>
  <c r="E246" i="1"/>
  <c r="E247" i="1" s="1"/>
  <c r="S246" i="1"/>
  <c r="S247" i="1" s="1"/>
  <c r="J246" i="1"/>
  <c r="J247" i="1" s="1"/>
  <c r="H246" i="1"/>
  <c r="H247" i="1" s="1"/>
  <c r="B43" i="1"/>
  <c r="L43" i="1"/>
  <c r="Q43" i="1"/>
  <c r="T43" i="1"/>
  <c r="N43" i="1"/>
  <c r="S43" i="1"/>
  <c r="F43" i="1"/>
  <c r="K43" i="1"/>
  <c r="H43" i="1"/>
  <c r="I43" i="1"/>
  <c r="P43" i="1"/>
  <c r="C43" i="1"/>
  <c r="O43" i="1"/>
  <c r="R43" i="1"/>
  <c r="M43" i="1"/>
  <c r="G43" i="1"/>
  <c r="E43" i="1"/>
  <c r="J43" i="1"/>
  <c r="CA63" i="1" l="1"/>
  <c r="BX75" i="1"/>
  <c r="CA78" i="1" s="1"/>
  <c r="BX207" i="1"/>
  <c r="BX209" i="1" s="1"/>
  <c r="BX61" i="1"/>
  <c r="AK221" i="1"/>
  <c r="AK219" i="1" s="1"/>
  <c r="AL221" i="1"/>
  <c r="AL219" i="1" s="1"/>
  <c r="BK178" i="1"/>
  <c r="BM178" i="1"/>
  <c r="CO152" i="1"/>
  <c r="CP41" i="1"/>
  <c r="CW86" i="1"/>
  <c r="AE154" i="1"/>
  <c r="AE216" i="1" s="1"/>
  <c r="CT74" i="1"/>
  <c r="CU72" i="1"/>
  <c r="BZ1" i="1"/>
  <c r="U50" i="1"/>
  <c r="V52" i="1" s="1"/>
  <c r="U49" i="1"/>
  <c r="P47" i="1"/>
  <c r="P50" i="1" s="1"/>
  <c r="R47" i="1"/>
  <c r="R50" i="1" s="1"/>
  <c r="E47" i="1"/>
  <c r="S47" i="1"/>
  <c r="S49" i="1" s="1"/>
  <c r="G47" i="1"/>
  <c r="G50" i="1" s="1"/>
  <c r="K47" i="1"/>
  <c r="K50" i="1" s="1"/>
  <c r="B47" i="1"/>
  <c r="O47" i="1"/>
  <c r="O50" i="1" s="1"/>
  <c r="H47" i="1"/>
  <c r="H50" i="1" s="1"/>
  <c r="N47" i="1"/>
  <c r="N50" i="1" s="1"/>
  <c r="L47" i="1"/>
  <c r="L49" i="1" s="1"/>
  <c r="C47" i="1"/>
  <c r="M47" i="1"/>
  <c r="M49" i="1" s="1"/>
  <c r="T47" i="1"/>
  <c r="T50" i="1" s="1"/>
  <c r="F47" i="1"/>
  <c r="F49" i="1" s="1"/>
  <c r="J47" i="1"/>
  <c r="J49" i="1" s="1"/>
  <c r="I47" i="1"/>
  <c r="I49" i="1" s="1"/>
  <c r="Q47" i="1"/>
  <c r="Q50" i="1" s="1"/>
  <c r="V248" i="1"/>
  <c r="R52" i="1" l="1"/>
  <c r="CE79" i="1"/>
  <c r="CA96" i="1"/>
  <c r="CA95" i="1"/>
  <c r="CD99" i="1" s="1"/>
  <c r="BW98" i="1"/>
  <c r="CA94" i="1"/>
  <c r="U52" i="1"/>
  <c r="O52" i="1"/>
  <c r="AB41" i="1"/>
  <c r="B50" i="1"/>
  <c r="B49" i="1"/>
  <c r="C50" i="1"/>
  <c r="C49" i="1"/>
  <c r="E50" i="1"/>
  <c r="E57" i="1" s="1"/>
  <c r="E49" i="1"/>
  <c r="P52" i="1"/>
  <c r="H52" i="1"/>
  <c r="Q52" i="1"/>
  <c r="BJ179" i="1"/>
  <c r="BJ180" i="1" s="1"/>
  <c r="BL179" i="1"/>
  <c r="BL180" i="1" s="1"/>
  <c r="CP208" i="1"/>
  <c r="CP146" i="1"/>
  <c r="CO217" i="1"/>
  <c r="CO215" i="1" s="1"/>
  <c r="CX86" i="1"/>
  <c r="CV72" i="1"/>
  <c r="CU74" i="1"/>
  <c r="CA1" i="1"/>
  <c r="CB1" i="1" s="1"/>
  <c r="O49" i="1"/>
  <c r="BL248" i="1"/>
  <c r="S50" i="1"/>
  <c r="U51" i="1"/>
  <c r="U259" i="1" s="1"/>
  <c r="P51" i="1"/>
  <c r="P259" i="1" s="1"/>
  <c r="Q57" i="1"/>
  <c r="Q51" i="1"/>
  <c r="Q259" i="1" s="1"/>
  <c r="L50" i="1"/>
  <c r="P49" i="1"/>
  <c r="H51" i="1"/>
  <c r="H259" i="1" s="1"/>
  <c r="G51" i="1"/>
  <c r="G259" i="1" s="1"/>
  <c r="U57" i="1"/>
  <c r="N51" i="1"/>
  <c r="N259" i="1" s="1"/>
  <c r="R51" i="1"/>
  <c r="R259" i="1" s="1"/>
  <c r="K51" i="1"/>
  <c r="K259" i="1" s="1"/>
  <c r="O57" i="1"/>
  <c r="O51" i="1"/>
  <c r="O259" i="1" s="1"/>
  <c r="T57" i="1"/>
  <c r="T51" i="1"/>
  <c r="T259" i="1" s="1"/>
  <c r="R49" i="1"/>
  <c r="K49" i="1"/>
  <c r="N49" i="1"/>
  <c r="G49" i="1"/>
  <c r="H49" i="1"/>
  <c r="J50" i="1"/>
  <c r="K52" i="1" s="1"/>
  <c r="M50" i="1"/>
  <c r="N52" i="1" s="1"/>
  <c r="T49" i="1"/>
  <c r="F50" i="1"/>
  <c r="G52" i="1" s="1"/>
  <c r="I50" i="1"/>
  <c r="I52" i="1" s="1"/>
  <c r="O248" i="1"/>
  <c r="Q49" i="1"/>
  <c r="P248" i="1"/>
  <c r="P57" i="1"/>
  <c r="K248" i="1"/>
  <c r="K57" i="1"/>
  <c r="H248" i="1"/>
  <c r="H57" i="1"/>
  <c r="R57" i="1"/>
  <c r="N57" i="1"/>
  <c r="G57" i="1"/>
  <c r="G248" i="1"/>
  <c r="R248" i="1"/>
  <c r="N248" i="1"/>
  <c r="Q248" i="1"/>
  <c r="U248" i="1"/>
  <c r="T248" i="1"/>
  <c r="V61" i="1"/>
  <c r="V207" i="1"/>
  <c r="V209" i="1" s="1"/>
  <c r="E248" i="1" l="1"/>
  <c r="AB208" i="1"/>
  <c r="E51" i="1"/>
  <c r="E259" i="1" s="1"/>
  <c r="E52" i="1"/>
  <c r="D52" i="1"/>
  <c r="C51" i="1"/>
  <c r="B51" i="1"/>
  <c r="C52" i="1"/>
  <c r="F52" i="1"/>
  <c r="M52" i="1"/>
  <c r="S51" i="1"/>
  <c r="S259" i="1" s="1"/>
  <c r="T52" i="1"/>
  <c r="L52" i="1"/>
  <c r="J52" i="1"/>
  <c r="S52" i="1"/>
  <c r="AB146" i="1"/>
  <c r="AB148" i="1" s="1"/>
  <c r="AB42" i="1" s="1"/>
  <c r="CP148" i="1"/>
  <c r="AD86" i="1"/>
  <c r="CY86" i="1"/>
  <c r="CV74" i="1"/>
  <c r="CW72" i="1"/>
  <c r="CC1" i="1"/>
  <c r="K61" i="1"/>
  <c r="G61" i="1"/>
  <c r="E61" i="1"/>
  <c r="S57" i="1"/>
  <c r="S248" i="1"/>
  <c r="L248" i="1"/>
  <c r="L57" i="1"/>
  <c r="O207" i="1"/>
  <c r="O209" i="1" s="1"/>
  <c r="O61" i="1"/>
  <c r="B248" i="1"/>
  <c r="B57" i="1"/>
  <c r="M57" i="1"/>
  <c r="M51" i="1"/>
  <c r="M259" i="1" s="1"/>
  <c r="C248" i="1"/>
  <c r="I57" i="1"/>
  <c r="I51" i="1"/>
  <c r="I259" i="1" s="1"/>
  <c r="J57" i="1"/>
  <c r="J51" i="1"/>
  <c r="J259" i="1" s="1"/>
  <c r="F57" i="1"/>
  <c r="F51" i="1"/>
  <c r="F259" i="1" s="1"/>
  <c r="L51" i="1"/>
  <c r="L259" i="1" s="1"/>
  <c r="J248" i="1"/>
  <c r="E207" i="1"/>
  <c r="E209" i="1" s="1"/>
  <c r="R207" i="1"/>
  <c r="R209" i="1" s="1"/>
  <c r="M248" i="1"/>
  <c r="R61" i="1"/>
  <c r="I248" i="1"/>
  <c r="H61" i="1"/>
  <c r="H207" i="1"/>
  <c r="H209" i="1" s="1"/>
  <c r="F248" i="1"/>
  <c r="C57" i="1"/>
  <c r="N207" i="1"/>
  <c r="N209" i="1" s="1"/>
  <c r="N61" i="1"/>
  <c r="G207" i="1"/>
  <c r="G209" i="1" s="1"/>
  <c r="P61" i="1"/>
  <c r="K207" i="1"/>
  <c r="K209" i="1" s="1"/>
  <c r="P207" i="1"/>
  <c r="P209" i="1" s="1"/>
  <c r="U61" i="1"/>
  <c r="U207" i="1"/>
  <c r="U209" i="1" s="1"/>
  <c r="Q61" i="1"/>
  <c r="Q207" i="1"/>
  <c r="Q209" i="1" s="1"/>
  <c r="T61" i="1"/>
  <c r="T207" i="1"/>
  <c r="T209" i="1" s="1"/>
  <c r="CP152" i="1" l="1"/>
  <c r="CP217" i="1" s="1"/>
  <c r="CP215" i="1" s="1"/>
  <c r="CQ41" i="1"/>
  <c r="CZ86" i="1"/>
  <c r="AC156" i="1"/>
  <c r="CX72" i="1"/>
  <c r="CW74" i="1"/>
  <c r="CD1" i="1"/>
  <c r="CE1" i="1" s="1"/>
  <c r="CF1" i="1" s="1"/>
  <c r="CG1" i="1" s="1"/>
  <c r="CH1" i="1" s="1"/>
  <c r="CI1" i="1" s="1"/>
  <c r="CJ1" i="1" s="1"/>
  <c r="CK1" i="1" s="1"/>
  <c r="CL1" i="1" s="1"/>
  <c r="L207" i="1"/>
  <c r="L209" i="1" s="1"/>
  <c r="J207" i="1"/>
  <c r="J209" i="1" s="1"/>
  <c r="M207" i="1"/>
  <c r="M209" i="1" s="1"/>
  <c r="B61" i="1"/>
  <c r="F61" i="1"/>
  <c r="I61" i="1"/>
  <c r="C61" i="1"/>
  <c r="L61" i="1"/>
  <c r="S61" i="1"/>
  <c r="J61" i="1"/>
  <c r="S207" i="1"/>
  <c r="S209" i="1" s="1"/>
  <c r="M61" i="1"/>
  <c r="I207" i="1"/>
  <c r="I209" i="1" s="1"/>
  <c r="F207" i="1"/>
  <c r="F209" i="1" s="1"/>
  <c r="C207" i="1"/>
  <c r="C209" i="1" s="1"/>
  <c r="CQ208" i="1" l="1"/>
  <c r="CQ146" i="1"/>
  <c r="DA86" i="1"/>
  <c r="CX74" i="1"/>
  <c r="CY72" i="1"/>
  <c r="AB138" i="1"/>
  <c r="CM1" i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V98" i="2"/>
  <c r="K56" i="2"/>
  <c r="G41" i="2"/>
  <c r="J62" i="2"/>
  <c r="P113" i="2"/>
  <c r="P95" i="2"/>
  <c r="X77" i="2"/>
  <c r="D51" i="2"/>
  <c r="R69" i="2"/>
  <c r="S91" i="2"/>
  <c r="T98" i="2"/>
  <c r="L63" i="2"/>
  <c r="C70" i="2"/>
  <c r="I74" i="2"/>
  <c r="F47" i="2"/>
  <c r="F53" i="2"/>
  <c r="P94" i="2"/>
  <c r="T113" i="2"/>
  <c r="N96" i="2"/>
  <c r="L87" i="2"/>
  <c r="E76" i="2"/>
  <c r="Q65" i="2"/>
  <c r="F78" i="2"/>
  <c r="J72" i="2"/>
  <c r="F104" i="2"/>
  <c r="H48" i="2"/>
  <c r="C48" i="2"/>
  <c r="N93" i="2"/>
  <c r="M50" i="2"/>
  <c r="F65" i="2"/>
  <c r="D69" i="2"/>
  <c r="H78" i="2"/>
  <c r="P59" i="2"/>
  <c r="L92" i="2"/>
  <c r="X64" i="2"/>
  <c r="I52" i="2"/>
  <c r="S70" i="2"/>
  <c r="V61" i="2"/>
  <c r="U41" i="2"/>
  <c r="J104" i="2"/>
  <c r="J59" i="2"/>
  <c r="P97" i="2"/>
  <c r="H105" i="2"/>
  <c r="O71" i="2"/>
  <c r="E65" i="2"/>
  <c r="L91" i="2"/>
  <c r="Q52" i="2"/>
  <c r="V52" i="2"/>
  <c r="U58" i="2"/>
  <c r="L43" i="2"/>
  <c r="O42" i="2"/>
  <c r="C76" i="2"/>
  <c r="R88" i="2"/>
  <c r="F92" i="2"/>
  <c r="P78" i="2"/>
  <c r="H81" i="2"/>
  <c r="X44" i="2"/>
  <c r="I96" i="2"/>
  <c r="V86" i="2"/>
  <c r="I84" i="2"/>
  <c r="C64" i="2"/>
  <c r="I72" i="2"/>
  <c r="J108" i="2"/>
  <c r="U88" i="2"/>
  <c r="W94" i="2"/>
  <c r="H50" i="2"/>
  <c r="N80" i="2"/>
  <c r="O72" i="2"/>
  <c r="J99" i="2"/>
  <c r="G95" i="2"/>
  <c r="R82" i="2"/>
  <c r="R49" i="2"/>
  <c r="G91" i="2"/>
  <c r="O46" i="2"/>
  <c r="K66" i="2"/>
  <c r="E111" i="2"/>
  <c r="I97" i="2"/>
  <c r="V69" i="2"/>
  <c r="C107" i="2"/>
  <c r="X67" i="2"/>
  <c r="W51" i="2"/>
  <c r="F44" i="2"/>
  <c r="C86" i="2"/>
  <c r="U95" i="2"/>
  <c r="P44" i="2"/>
  <c r="X55" i="2"/>
  <c r="O92" i="2"/>
  <c r="V41" i="2"/>
  <c r="V112" i="2"/>
  <c r="C54" i="2"/>
  <c r="E72" i="2"/>
  <c r="O93" i="2"/>
  <c r="O112" i="2"/>
  <c r="N42" i="2"/>
  <c r="U46" i="2"/>
  <c r="M70" i="2"/>
  <c r="E59" i="2"/>
  <c r="E74" i="2"/>
  <c r="U93" i="2"/>
  <c r="E40" i="2"/>
  <c r="S52" i="2"/>
  <c r="T91" i="2"/>
  <c r="H108" i="2"/>
  <c r="F98" i="2"/>
  <c r="C44" i="2"/>
  <c r="V59" i="2"/>
  <c r="F85" i="2"/>
  <c r="U86" i="2"/>
  <c r="L106" i="2"/>
  <c r="N71" i="2"/>
  <c r="P110" i="2"/>
  <c r="O70" i="2"/>
  <c r="L42" i="2"/>
  <c r="J45" i="2"/>
  <c r="H45" i="2"/>
  <c r="G79" i="2"/>
  <c r="U107" i="2"/>
  <c r="I44" i="2"/>
  <c r="R97" i="2"/>
  <c r="H76" i="2"/>
  <c r="R50" i="2"/>
  <c r="M111" i="2"/>
  <c r="O62" i="2"/>
  <c r="F67" i="2"/>
  <c r="H55" i="2"/>
  <c r="L83" i="2"/>
  <c r="AB60" i="3"/>
  <c r="AP93" i="3"/>
  <c r="AP48" i="3"/>
  <c r="AB79" i="3"/>
  <c r="AB75" i="3"/>
  <c r="AB82" i="3"/>
  <c r="AP50" i="3"/>
  <c r="AP64" i="3"/>
  <c r="H34" i="3"/>
  <c r="AN8" i="3"/>
  <c r="AI12" i="3"/>
  <c r="U21" i="3"/>
  <c r="O23" i="3"/>
  <c r="W28" i="3"/>
  <c r="O29" i="3"/>
  <c r="AL27" i="3"/>
  <c r="AB19" i="3"/>
  <c r="AC39" i="3"/>
  <c r="S12" i="3"/>
  <c r="H28" i="3"/>
  <c r="AA34" i="3"/>
  <c r="J12" i="3"/>
  <c r="AP19" i="3"/>
  <c r="Z25" i="3"/>
  <c r="G37" i="3"/>
  <c r="T33" i="3"/>
  <c r="AP36" i="3"/>
  <c r="X14" i="3"/>
  <c r="AP37" i="3"/>
  <c r="W34" i="3"/>
  <c r="S42" i="3"/>
  <c r="R15" i="3"/>
  <c r="H27" i="3"/>
  <c r="Y25" i="3"/>
  <c r="AN20" i="3"/>
  <c r="M32" i="3"/>
  <c r="C12" i="3"/>
  <c r="P22" i="3"/>
  <c r="O42" i="3"/>
  <c r="AQ36" i="3"/>
  <c r="S11" i="3"/>
  <c r="T30" i="3"/>
  <c r="AJ23" i="3"/>
  <c r="Y28" i="3"/>
  <c r="V57" i="2"/>
  <c r="N87" i="2"/>
  <c r="Q45" i="2"/>
  <c r="W50" i="2"/>
  <c r="T59" i="2"/>
  <c r="G111" i="2"/>
  <c r="G75" i="2"/>
  <c r="K91" i="2"/>
  <c r="S87" i="2"/>
  <c r="H66" i="2"/>
  <c r="I94" i="2"/>
  <c r="F73" i="2"/>
  <c r="J66" i="2"/>
  <c r="R41" i="2"/>
  <c r="N85" i="2"/>
  <c r="W91" i="2"/>
  <c r="R52" i="2"/>
  <c r="Q110" i="2"/>
  <c r="N56" i="2"/>
  <c r="M96" i="2"/>
  <c r="F110" i="2"/>
  <c r="V64" i="2"/>
  <c r="K97" i="2"/>
  <c r="O75" i="2"/>
  <c r="Q84" i="2"/>
  <c r="U76" i="2"/>
  <c r="I71" i="2"/>
  <c r="O89" i="2"/>
  <c r="F63" i="2"/>
  <c r="O94" i="2"/>
  <c r="I65" i="2"/>
  <c r="W43" i="2"/>
  <c r="Q104" i="2"/>
  <c r="J83" i="2"/>
  <c r="W97" i="2"/>
  <c r="D92" i="2"/>
  <c r="L70" i="2"/>
  <c r="R92" i="2"/>
  <c r="S61" i="2"/>
  <c r="F94" i="2"/>
  <c r="Q71" i="2"/>
  <c r="R42" i="2"/>
  <c r="U48" i="2"/>
  <c r="W84" i="2"/>
  <c r="O43" i="2"/>
  <c r="M61" i="2"/>
  <c r="X60" i="2"/>
  <c r="I62" i="2"/>
  <c r="F74" i="2"/>
  <c r="S81" i="2"/>
  <c r="P54" i="2"/>
  <c r="P106" i="2"/>
  <c r="T54" i="2"/>
  <c r="P75" i="2"/>
  <c r="N41" i="2"/>
  <c r="O85" i="2"/>
  <c r="I90" i="2"/>
  <c r="F76" i="2"/>
  <c r="L47" i="2"/>
  <c r="L71" i="2"/>
  <c r="P80" i="2"/>
  <c r="N89" i="2"/>
  <c r="M77" i="2"/>
  <c r="H94" i="2"/>
  <c r="V48" i="2"/>
  <c r="Q92" i="2"/>
  <c r="J106" i="2"/>
  <c r="E66" i="2"/>
  <c r="P40" i="2"/>
  <c r="I50" i="2"/>
  <c r="M52" i="2"/>
  <c r="C109" i="2"/>
  <c r="K110" i="2"/>
  <c r="N94" i="2"/>
  <c r="I59" i="2"/>
  <c r="N73" i="2"/>
  <c r="M98" i="2"/>
  <c r="S50" i="2"/>
  <c r="H98" i="2"/>
  <c r="Q41" i="2"/>
  <c r="V84" i="2"/>
  <c r="I112" i="2"/>
  <c r="M73" i="2"/>
  <c r="H96" i="2"/>
  <c r="I46" i="2"/>
  <c r="X58" i="2"/>
  <c r="H92" i="2"/>
  <c r="N83" i="2"/>
  <c r="J64" i="2"/>
  <c r="H52" i="2"/>
  <c r="M107" i="2"/>
  <c r="P89" i="2"/>
  <c r="D77" i="2"/>
  <c r="E44" i="2"/>
  <c r="T60" i="2"/>
  <c r="S75" i="2"/>
  <c r="J86" i="2"/>
  <c r="C75" i="2"/>
  <c r="Q80" i="2"/>
  <c r="M74" i="2"/>
  <c r="O111" i="2"/>
  <c r="O97" i="2"/>
  <c r="Q111" i="2"/>
  <c r="W76" i="2"/>
  <c r="T61" i="2"/>
  <c r="K85" i="2"/>
  <c r="C80" i="2"/>
  <c r="G85" i="2"/>
  <c r="E73" i="2"/>
  <c r="D106" i="2"/>
  <c r="J88" i="2"/>
  <c r="X80" i="2"/>
  <c r="S42" i="2"/>
  <c r="X74" i="2"/>
  <c r="L61" i="2"/>
  <c r="R99" i="2"/>
  <c r="L46" i="2"/>
  <c r="C79" i="2"/>
  <c r="K106" i="2"/>
  <c r="X54" i="2"/>
  <c r="C95" i="2"/>
  <c r="C108" i="2"/>
  <c r="X68" i="2"/>
  <c r="D42" i="2"/>
  <c r="C91" i="2"/>
  <c r="E42" i="2"/>
  <c r="AB89" i="3"/>
  <c r="C48" i="3"/>
  <c r="AP88" i="3"/>
  <c r="AP61" i="3"/>
  <c r="AB63" i="3"/>
  <c r="AP95" i="3"/>
  <c r="AB67" i="3"/>
  <c r="AB76" i="3"/>
  <c r="AM33" i="3"/>
  <c r="H17" i="3"/>
  <c r="Z19" i="3"/>
  <c r="P39" i="3"/>
  <c r="AO33" i="3"/>
  <c r="I38" i="3"/>
  <c r="S16" i="3"/>
  <c r="AG42" i="3"/>
  <c r="P10" i="3"/>
  <c r="I23" i="3"/>
  <c r="AE24" i="3"/>
  <c r="K38" i="3"/>
  <c r="AB41" i="3"/>
  <c r="H14" i="3"/>
  <c r="AI11" i="3"/>
  <c r="AA12" i="3"/>
  <c r="N39" i="3"/>
  <c r="S35" i="3"/>
  <c r="K36" i="3"/>
  <c r="X28" i="3"/>
  <c r="W19" i="3"/>
  <c r="N5" i="3"/>
  <c r="U41" i="3"/>
  <c r="Y39" i="3"/>
  <c r="AB22" i="3"/>
  <c r="Z12" i="3"/>
  <c r="AA36" i="3"/>
  <c r="V9" i="3"/>
  <c r="C22" i="3"/>
  <c r="C32" i="3"/>
  <c r="M22" i="3"/>
  <c r="AN27" i="3"/>
  <c r="AI10" i="3"/>
  <c r="Q29" i="3"/>
  <c r="V33" i="3"/>
  <c r="AO24" i="3"/>
  <c r="AP26" i="3"/>
  <c r="AK11" i="3"/>
  <c r="AN6" i="3"/>
  <c r="O20" i="3"/>
  <c r="AO32" i="3"/>
  <c r="AO34" i="3"/>
  <c r="M7" i="3"/>
  <c r="R26" i="3"/>
  <c r="AQ19" i="3"/>
  <c r="G50" i="3"/>
  <c r="AG23" i="3"/>
  <c r="AB24" i="3"/>
  <c r="H25" i="3"/>
  <c r="T10" i="3"/>
  <c r="K15" i="3"/>
  <c r="AB29" i="3"/>
  <c r="AN24" i="3"/>
  <c r="AB13" i="3"/>
  <c r="AC16" i="3"/>
  <c r="AP22" i="3"/>
  <c r="M30" i="3"/>
  <c r="AD48" i="3"/>
  <c r="Z36" i="3"/>
  <c r="AJ32" i="3"/>
  <c r="Y36" i="3"/>
  <c r="R37" i="3"/>
  <c r="L27" i="3"/>
  <c r="O26" i="3"/>
  <c r="Z23" i="3"/>
  <c r="AB27" i="3"/>
  <c r="Y33" i="3"/>
  <c r="AD30" i="3"/>
  <c r="J20" i="3"/>
  <c r="H23" i="3"/>
  <c r="AN38" i="3"/>
  <c r="AL29" i="3"/>
  <c r="L42" i="3"/>
  <c r="AD36" i="3"/>
  <c r="J5" i="3"/>
  <c r="AL26" i="3"/>
  <c r="C20" i="3"/>
  <c r="O32" i="3"/>
  <c r="T37" i="3"/>
  <c r="AN21" i="3"/>
  <c r="V22" i="3"/>
  <c r="T9" i="3"/>
  <c r="Y35" i="3"/>
  <c r="AE35" i="3"/>
  <c r="AQ5" i="3"/>
  <c r="L40" i="3"/>
  <c r="AA18" i="3"/>
  <c r="J28" i="3"/>
  <c r="N16" i="3"/>
  <c r="AM19" i="3"/>
  <c r="AJ19" i="3"/>
  <c r="AK26" i="3"/>
  <c r="U38" i="3"/>
  <c r="AI13" i="3"/>
  <c r="H83" i="2"/>
  <c r="U52" i="2"/>
  <c r="Q113" i="2"/>
  <c r="H43" i="2"/>
  <c r="U98" i="2"/>
  <c r="P105" i="2"/>
  <c r="I57" i="2"/>
  <c r="O69" i="2"/>
  <c r="P96" i="2"/>
  <c r="G108" i="2"/>
  <c r="I64" i="2"/>
  <c r="T73" i="2"/>
  <c r="F84" i="2"/>
  <c r="M65" i="2"/>
  <c r="S82" i="2"/>
  <c r="N68" i="2"/>
  <c r="M55" i="2"/>
  <c r="L107" i="2"/>
  <c r="H75" i="2"/>
  <c r="I68" i="2"/>
  <c r="C50" i="2"/>
  <c r="M87" i="2"/>
  <c r="I48" i="2"/>
  <c r="W65" i="2"/>
  <c r="M80" i="2"/>
  <c r="V87" i="2"/>
  <c r="V88" i="2"/>
  <c r="U97" i="2"/>
  <c r="I54" i="2"/>
  <c r="T51" i="2"/>
  <c r="D48" i="2"/>
  <c r="G113" i="2"/>
  <c r="F96" i="2"/>
  <c r="X57" i="2"/>
  <c r="I60" i="2"/>
  <c r="C73" i="2"/>
  <c r="L68" i="2"/>
  <c r="Q97" i="2"/>
  <c r="E49" i="2"/>
  <c r="F83" i="2"/>
  <c r="I109" i="2"/>
  <c r="X40" i="2"/>
  <c r="T72" i="2"/>
  <c r="E47" i="2"/>
  <c r="I70" i="2"/>
  <c r="P112" i="2"/>
  <c r="V78" i="2"/>
  <c r="L59" i="2"/>
  <c r="N48" i="2"/>
  <c r="N59" i="2"/>
  <c r="V51" i="2"/>
  <c r="V58" i="2"/>
  <c r="K47" i="2"/>
  <c r="T85" i="2"/>
  <c r="W72" i="2"/>
  <c r="R108" i="2"/>
  <c r="W81" i="2"/>
  <c r="D44" i="2"/>
  <c r="E94" i="2"/>
  <c r="D49" i="2"/>
  <c r="J110" i="2"/>
  <c r="T104" i="2"/>
  <c r="S55" i="2"/>
  <c r="L89" i="2"/>
  <c r="R75" i="2"/>
  <c r="Q48" i="2"/>
  <c r="W85" i="2"/>
  <c r="M49" i="2"/>
  <c r="I63" i="2"/>
  <c r="V54" i="2"/>
  <c r="H73" i="2"/>
  <c r="U50" i="2"/>
  <c r="F90" i="2"/>
  <c r="L76" i="2"/>
  <c r="O45" i="2"/>
  <c r="E57" i="2"/>
  <c r="X88" i="2"/>
  <c r="Q105" i="2"/>
  <c r="S76" i="2"/>
  <c r="R47" i="2"/>
  <c r="Q64" i="2"/>
  <c r="L49" i="2"/>
  <c r="L73" i="2"/>
  <c r="Q112" i="2"/>
  <c r="F91" i="2"/>
  <c r="G104" i="2"/>
  <c r="P61" i="2"/>
  <c r="O80" i="2"/>
  <c r="V104" i="2"/>
  <c r="W58" i="2"/>
  <c r="C68" i="2"/>
  <c r="D64" i="2"/>
  <c r="J85" i="2"/>
  <c r="R96" i="2"/>
  <c r="N75" i="2"/>
  <c r="V82" i="2"/>
  <c r="M90" i="2"/>
  <c r="N109" i="2"/>
  <c r="K65" i="2"/>
  <c r="K55" i="2"/>
  <c r="V109" i="2"/>
  <c r="C97" i="2"/>
  <c r="D73" i="2"/>
  <c r="D43" i="2"/>
  <c r="P49" i="2"/>
  <c r="C110" i="2"/>
  <c r="W64" i="2"/>
  <c r="V91" i="2"/>
  <c r="H57" i="2"/>
  <c r="V44" i="2"/>
  <c r="M64" i="2"/>
  <c r="I93" i="2"/>
  <c r="R65" i="2"/>
  <c r="S58" i="2"/>
  <c r="N46" i="2"/>
  <c r="N44" i="2"/>
  <c r="D113" i="2"/>
  <c r="K58" i="2"/>
  <c r="G69" i="2"/>
  <c r="I79" i="2"/>
  <c r="S95" i="2"/>
  <c r="N57" i="2"/>
  <c r="V83" i="2"/>
  <c r="L109" i="2"/>
  <c r="U51" i="2"/>
  <c r="V95" i="2"/>
  <c r="AP84" i="3"/>
  <c r="AP66" i="3"/>
  <c r="AP90" i="3"/>
  <c r="AB94" i="3"/>
  <c r="AP47" i="3"/>
  <c r="AP74" i="3"/>
  <c r="AP72" i="3"/>
  <c r="AP60" i="3"/>
  <c r="C21" i="3"/>
  <c r="AP12" i="3"/>
  <c r="V16" i="3"/>
  <c r="AJ17" i="3"/>
  <c r="AP25" i="3"/>
  <c r="W26" i="3"/>
  <c r="AQ29" i="3"/>
  <c r="U30" i="3"/>
  <c r="AN31" i="3"/>
  <c r="H5" i="3"/>
  <c r="AJ25" i="3"/>
  <c r="AP41" i="3"/>
  <c r="Q27" i="3"/>
  <c r="E47" i="3"/>
  <c r="N40" i="3"/>
  <c r="AM25" i="3"/>
  <c r="I16" i="3"/>
  <c r="AE25" i="3"/>
  <c r="Q33" i="3"/>
  <c r="AM11" i="3"/>
  <c r="AH15" i="3"/>
  <c r="T34" i="3"/>
  <c r="Y34" i="3"/>
  <c r="AK17" i="3"/>
  <c r="M36" i="3"/>
  <c r="AA17" i="3"/>
  <c r="L5" i="3"/>
  <c r="L61" i="3" s="1"/>
  <c r="J25" i="3"/>
  <c r="AC37" i="3"/>
  <c r="AL9" i="3"/>
  <c r="AE11" i="3"/>
  <c r="O8" i="3"/>
  <c r="P20" i="3"/>
  <c r="V29" i="3"/>
  <c r="N35" i="3"/>
  <c r="N21" i="3"/>
  <c r="AQ32" i="3"/>
  <c r="J8" i="3"/>
  <c r="AL10" i="3"/>
  <c r="AC19" i="3"/>
  <c r="Z24" i="3"/>
  <c r="L16" i="3"/>
  <c r="AJ20" i="3"/>
  <c r="AC33" i="3"/>
  <c r="AP15" i="3"/>
  <c r="AH35" i="3"/>
  <c r="AI23" i="3"/>
  <c r="K21" i="3"/>
  <c r="AO31" i="3"/>
  <c r="R42" i="3"/>
  <c r="Z31" i="3"/>
  <c r="U33" i="3"/>
  <c r="AA5" i="3"/>
  <c r="O30" i="3"/>
  <c r="D50" i="3"/>
  <c r="U6" i="3"/>
  <c r="W27" i="3"/>
  <c r="N29" i="3"/>
  <c r="Y7" i="3"/>
  <c r="W41" i="3"/>
  <c r="AO38" i="3"/>
  <c r="N28" i="3"/>
  <c r="C39" i="3"/>
  <c r="AE28" i="3"/>
  <c r="AJ12" i="3"/>
  <c r="C6" i="3"/>
  <c r="H15" i="3"/>
  <c r="G49" i="3"/>
  <c r="AM23" i="3"/>
  <c r="L9" i="3"/>
  <c r="AO28" i="3"/>
  <c r="AJ18" i="3"/>
  <c r="AK35" i="3"/>
  <c r="W42" i="3"/>
  <c r="AM7" i="3"/>
  <c r="AH26" i="3"/>
  <c r="J6" i="3"/>
  <c r="R27" i="3"/>
  <c r="W23" i="3"/>
  <c r="N7" i="3"/>
  <c r="AC12" i="3"/>
  <c r="R34" i="3"/>
  <c r="Q24" i="3"/>
  <c r="V26" i="3"/>
  <c r="AA29" i="3"/>
  <c r="J30" i="3"/>
  <c r="X8" i="3"/>
  <c r="AC30" i="3"/>
  <c r="V5" i="3"/>
  <c r="V48" i="3" s="1"/>
  <c r="Y15" i="3"/>
  <c r="AG16" i="3"/>
  <c r="AC38" i="3"/>
  <c r="T38" i="3"/>
  <c r="T111" i="2"/>
  <c r="J54" i="2"/>
  <c r="V42" i="2"/>
  <c r="F55" i="2"/>
  <c r="L54" i="2"/>
  <c r="G43" i="2"/>
  <c r="C92" i="2"/>
  <c r="M88" i="2"/>
  <c r="U54" i="2"/>
  <c r="X71" i="2"/>
  <c r="T92" i="2"/>
  <c r="D93" i="2"/>
  <c r="V85" i="2"/>
  <c r="X106" i="2"/>
  <c r="O73" i="2"/>
  <c r="G90" i="2"/>
  <c r="D89" i="2"/>
  <c r="R46" i="2"/>
  <c r="S57" i="2"/>
  <c r="Q108" i="2"/>
  <c r="R53" i="2"/>
  <c r="H113" i="2"/>
  <c r="O107" i="2"/>
  <c r="J41" i="2"/>
  <c r="L90" i="2"/>
  <c r="I41" i="2"/>
  <c r="L88" i="2"/>
  <c r="P109" i="2"/>
  <c r="N65" i="2"/>
  <c r="D65" i="2"/>
  <c r="M97" i="2"/>
  <c r="H74" i="2"/>
  <c r="I91" i="2"/>
  <c r="P79" i="2"/>
  <c r="S60" i="2"/>
  <c r="O40" i="2"/>
  <c r="G44" i="2"/>
  <c r="D88" i="2"/>
  <c r="G97" i="2"/>
  <c r="C84" i="2"/>
  <c r="T53" i="2"/>
  <c r="J52" i="2"/>
  <c r="I92" i="2"/>
  <c r="O57" i="2"/>
  <c r="E43" i="2"/>
  <c r="S73" i="2"/>
  <c r="U71" i="2"/>
  <c r="Q99" i="2"/>
  <c r="H86" i="2"/>
  <c r="R57" i="2"/>
  <c r="P72" i="2"/>
  <c r="D81" i="2"/>
  <c r="S46" i="2"/>
  <c r="R66" i="2"/>
  <c r="V92" i="2"/>
  <c r="N82" i="2"/>
  <c r="P81" i="2"/>
  <c r="D97" i="2"/>
  <c r="M44" i="2"/>
  <c r="X47" i="2"/>
  <c r="U45" i="2"/>
  <c r="G57" i="2"/>
  <c r="S105" i="2"/>
  <c r="T46" i="2"/>
  <c r="M106" i="2"/>
  <c r="I89" i="2"/>
  <c r="O56" i="2"/>
  <c r="K75" i="2"/>
  <c r="Q83" i="2"/>
  <c r="P104" i="2"/>
  <c r="P85" i="2"/>
  <c r="K107" i="2"/>
  <c r="H91" i="2"/>
  <c r="U79" i="2"/>
  <c r="G40" i="2"/>
  <c r="U42" i="2"/>
  <c r="J107" i="2"/>
  <c r="L75" i="2"/>
  <c r="D61" i="2"/>
  <c r="T55" i="2"/>
  <c r="C94" i="2"/>
  <c r="D111" i="2"/>
  <c r="S40" i="2"/>
  <c r="J112" i="2"/>
  <c r="G106" i="2"/>
  <c r="I67" i="2"/>
  <c r="P65" i="2"/>
  <c r="V96" i="2"/>
  <c r="O76" i="2"/>
  <c r="X49" i="2"/>
  <c r="G58" i="2"/>
  <c r="O49" i="2"/>
  <c r="K61" i="2"/>
  <c r="G45" i="2"/>
  <c r="L82" i="2"/>
  <c r="D83" i="2"/>
  <c r="D98" i="2"/>
  <c r="P67" i="2"/>
  <c r="E61" i="2"/>
  <c r="P71" i="2"/>
  <c r="N107" i="2"/>
  <c r="W113" i="2"/>
  <c r="S99" i="2"/>
  <c r="W71" i="2"/>
  <c r="M54" i="2"/>
  <c r="K80" i="2"/>
  <c r="E70" i="2"/>
  <c r="L72" i="2"/>
  <c r="H53" i="2"/>
  <c r="L113" i="2"/>
  <c r="S78" i="2"/>
  <c r="W47" i="2"/>
  <c r="C98" i="2"/>
  <c r="X46" i="2"/>
  <c r="G61" i="2"/>
  <c r="R58" i="2"/>
  <c r="W99" i="2"/>
  <c r="N104" i="2"/>
  <c r="O58" i="2"/>
  <c r="K60" i="2"/>
  <c r="V113" i="2"/>
  <c r="N76" i="2"/>
  <c r="D52" i="2"/>
  <c r="X82" i="2"/>
  <c r="R77" i="2"/>
  <c r="Q106" i="2"/>
  <c r="L111" i="2"/>
  <c r="T107" i="2"/>
  <c r="W109" i="2"/>
  <c r="K109" i="2"/>
  <c r="V111" i="2"/>
  <c r="K70" i="2"/>
  <c r="K98" i="2"/>
  <c r="E69" i="2"/>
  <c r="F48" i="2"/>
  <c r="W55" i="2"/>
  <c r="H72" i="2"/>
  <c r="V76" i="2"/>
  <c r="D74" i="2"/>
  <c r="I99" i="2"/>
  <c r="M41" i="2"/>
  <c r="G68" i="2"/>
  <c r="N62" i="2"/>
  <c r="D46" i="2"/>
  <c r="M112" i="2"/>
  <c r="C82" i="2"/>
  <c r="N53" i="2"/>
  <c r="E68" i="2"/>
  <c r="V63" i="2"/>
  <c r="Q75" i="2"/>
  <c r="O99" i="2"/>
  <c r="K81" i="2"/>
  <c r="F107" i="2"/>
  <c r="M83" i="2"/>
  <c r="M58" i="2"/>
  <c r="G63" i="2"/>
  <c r="K92" i="2"/>
  <c r="X52" i="2"/>
  <c r="U69" i="2"/>
  <c r="C77" i="2"/>
  <c r="M75" i="2"/>
  <c r="D59" i="2"/>
  <c r="P86" i="2"/>
  <c r="N49" i="2"/>
  <c r="C83" i="2"/>
  <c r="X91" i="2"/>
  <c r="P58" i="2"/>
  <c r="G80" i="2"/>
  <c r="M63" i="2"/>
  <c r="T112" i="2"/>
  <c r="J96" i="2"/>
  <c r="I105" i="2"/>
  <c r="U110" i="2"/>
  <c r="P52" i="2"/>
  <c r="N54" i="2"/>
  <c r="F66" i="2"/>
  <c r="P74" i="2"/>
  <c r="U70" i="2"/>
  <c r="Q44" i="2"/>
  <c r="T70" i="2"/>
  <c r="J98" i="2"/>
  <c r="F62" i="2"/>
  <c r="H93" i="2"/>
  <c r="K64" i="2"/>
  <c r="H59" i="2"/>
  <c r="D107" i="2"/>
  <c r="L105" i="2"/>
  <c r="E96" i="2"/>
  <c r="R60" i="2"/>
  <c r="F88" i="2"/>
  <c r="AB88" i="3"/>
  <c r="AB80" i="3"/>
  <c r="AB93" i="3"/>
  <c r="AP65" i="3"/>
  <c r="AP81" i="3"/>
  <c r="AP85" i="3"/>
  <c r="AP77" i="3"/>
  <c r="AP73" i="3"/>
  <c r="S7" i="3"/>
  <c r="O22" i="3"/>
  <c r="AC18" i="3"/>
  <c r="AK5" i="3"/>
  <c r="AM32" i="3"/>
  <c r="J41" i="3"/>
  <c r="Y40" i="3"/>
  <c r="AC20" i="3"/>
  <c r="AK37" i="3"/>
  <c r="M34" i="3"/>
  <c r="C7" i="3"/>
  <c r="AH13" i="3"/>
  <c r="C38" i="3"/>
  <c r="AO7" i="3"/>
  <c r="Z34" i="3"/>
  <c r="O17" i="3"/>
  <c r="W21" i="3"/>
  <c r="AO20" i="3"/>
  <c r="Q35" i="3"/>
  <c r="AI30" i="3"/>
  <c r="AQ8" i="3"/>
  <c r="H11" i="3"/>
  <c r="X36" i="3"/>
  <c r="X10" i="3"/>
  <c r="P13" i="3"/>
  <c r="AI9" i="3"/>
  <c r="X15" i="3"/>
  <c r="AP40" i="3"/>
  <c r="AK27" i="3"/>
  <c r="O35" i="3"/>
  <c r="L6" i="3"/>
  <c r="AA40" i="3"/>
  <c r="C19" i="3"/>
  <c r="O18" i="3"/>
  <c r="AH7" i="3"/>
  <c r="Y38" i="3"/>
  <c r="AJ15" i="3"/>
  <c r="T28" i="3"/>
  <c r="P6" i="3"/>
  <c r="L14" i="3"/>
  <c r="O9" i="3"/>
  <c r="AO11" i="3"/>
  <c r="L23" i="3"/>
  <c r="N36" i="3"/>
  <c r="P35" i="3"/>
  <c r="AQ12" i="3"/>
  <c r="T26" i="3"/>
  <c r="AK41" i="3"/>
  <c r="P16" i="3"/>
  <c r="AL42" i="3"/>
  <c r="AJ11" i="3"/>
  <c r="L18" i="3"/>
  <c r="AP33" i="3"/>
  <c r="W9" i="3"/>
  <c r="AA41" i="3"/>
  <c r="W10" i="3"/>
  <c r="AH41" i="3"/>
  <c r="AL8" i="3"/>
  <c r="AK13" i="3"/>
  <c r="AD19" i="3"/>
  <c r="AA10" i="3"/>
  <c r="P29" i="3"/>
  <c r="U36" i="3"/>
  <c r="R9" i="3"/>
  <c r="Y23" i="3"/>
  <c r="I30" i="3"/>
  <c r="AO17" i="3"/>
  <c r="AM37" i="3"/>
  <c r="J13" i="3"/>
  <c r="AE23" i="3"/>
  <c r="H16" i="3"/>
  <c r="AL17" i="3"/>
  <c r="AD26" i="3"/>
  <c r="AL6" i="3"/>
  <c r="AK14" i="3"/>
  <c r="AK33" i="3"/>
  <c r="AH19" i="3"/>
  <c r="W38" i="3"/>
  <c r="S6" i="3"/>
  <c r="U10" i="3"/>
  <c r="G33" i="3"/>
  <c r="AG5" i="3"/>
  <c r="K30" i="3"/>
  <c r="Q21" i="3"/>
  <c r="K14" i="3"/>
  <c r="Q42" i="3"/>
  <c r="K39" i="3"/>
  <c r="Y9" i="3"/>
  <c r="R22" i="3"/>
  <c r="X39" i="3"/>
  <c r="AK8" i="3"/>
  <c r="R8" i="3"/>
  <c r="AG24" i="3"/>
  <c r="V42" i="3"/>
  <c r="AJ37" i="3"/>
  <c r="C36" i="3"/>
  <c r="AN36" i="3"/>
  <c r="R19" i="3"/>
  <c r="AA28" i="3"/>
  <c r="S10" i="3"/>
  <c r="AC34" i="3"/>
  <c r="K37" i="3"/>
  <c r="AC41" i="3"/>
  <c r="AL19" i="3"/>
  <c r="AO36" i="3"/>
  <c r="K113" i="2"/>
  <c r="Q43" i="2"/>
  <c r="U49" i="2"/>
  <c r="H40" i="2"/>
  <c r="H51" i="2"/>
  <c r="P51" i="2"/>
  <c r="V60" i="2"/>
  <c r="E75" i="2"/>
  <c r="G72" i="2"/>
  <c r="N60" i="2"/>
  <c r="M66" i="2"/>
  <c r="P73" i="2"/>
  <c r="S67" i="2"/>
  <c r="C88" i="2"/>
  <c r="E53" i="2"/>
  <c r="T44" i="2"/>
  <c r="G46" i="2"/>
  <c r="X94" i="2"/>
  <c r="E63" i="2"/>
  <c r="D66" i="2"/>
  <c r="K86" i="2"/>
  <c r="G77" i="2"/>
  <c r="K93" i="2"/>
  <c r="S51" i="2"/>
  <c r="Q40" i="2"/>
  <c r="F80" i="2"/>
  <c r="S96" i="2"/>
  <c r="K79" i="2"/>
  <c r="S85" i="2"/>
  <c r="J53" i="2"/>
  <c r="C85" i="2"/>
  <c r="Q109" i="2"/>
  <c r="H82" i="2"/>
  <c r="L52" i="2"/>
  <c r="N78" i="2"/>
  <c r="W90" i="2"/>
  <c r="H65" i="2"/>
  <c r="Q96" i="2"/>
  <c r="V43" i="2"/>
  <c r="Q67" i="2"/>
  <c r="D57" i="2"/>
  <c r="Q49" i="2"/>
  <c r="L55" i="2"/>
  <c r="S89" i="2"/>
  <c r="K44" i="2"/>
  <c r="E60" i="2"/>
  <c r="W77" i="2"/>
  <c r="F52" i="2"/>
  <c r="Q77" i="2"/>
  <c r="R61" i="2"/>
  <c r="S112" i="2"/>
  <c r="U56" i="2"/>
  <c r="M113" i="2"/>
  <c r="Q70" i="2"/>
  <c r="Q95" i="2"/>
  <c r="D105" i="2"/>
  <c r="K99" i="2"/>
  <c r="R85" i="2"/>
  <c r="W56" i="2"/>
  <c r="V110" i="2"/>
  <c r="L110" i="2"/>
  <c r="H87" i="2"/>
  <c r="M69" i="2"/>
  <c r="G112" i="2"/>
  <c r="V90" i="2"/>
  <c r="L74" i="2"/>
  <c r="S68" i="2"/>
  <c r="J91" i="2"/>
  <c r="I53" i="2"/>
  <c r="Q81" i="2"/>
  <c r="C45" i="2"/>
  <c r="E55" i="2"/>
  <c r="L58" i="2"/>
  <c r="X95" i="2"/>
  <c r="K53" i="2"/>
  <c r="T81" i="2"/>
  <c r="L57" i="2"/>
  <c r="V50" i="2"/>
  <c r="E108" i="2"/>
  <c r="S45" i="2"/>
  <c r="J74" i="2"/>
  <c r="O59" i="2"/>
  <c r="T106" i="2"/>
  <c r="T87" i="2"/>
  <c r="U60" i="2"/>
  <c r="N95" i="2"/>
  <c r="F54" i="2"/>
  <c r="E105" i="2"/>
  <c r="L104" i="2"/>
  <c r="K96" i="2"/>
  <c r="U112" i="2"/>
  <c r="S41" i="2"/>
  <c r="T89" i="2"/>
  <c r="W78" i="2"/>
  <c r="D82" i="2"/>
  <c r="O64" i="2"/>
  <c r="X61" i="2"/>
  <c r="K69" i="2"/>
  <c r="H47" i="2"/>
  <c r="H61" i="2"/>
  <c r="K57" i="2"/>
  <c r="S110" i="2"/>
  <c r="V53" i="2"/>
  <c r="H80" i="2"/>
  <c r="T93" i="2"/>
  <c r="V108" i="2"/>
  <c r="R94" i="2"/>
  <c r="G74" i="2"/>
  <c r="O88" i="2"/>
  <c r="X86" i="2"/>
  <c r="K41" i="2"/>
  <c r="R68" i="2"/>
  <c r="T49" i="2"/>
  <c r="D94" i="2"/>
  <c r="G78" i="2"/>
  <c r="W79" i="2"/>
  <c r="I58" i="2"/>
  <c r="U108" i="2"/>
  <c r="N98" i="2"/>
  <c r="G51" i="2"/>
  <c r="N61" i="2"/>
  <c r="M108" i="2"/>
  <c r="X85" i="2"/>
  <c r="X84" i="2"/>
  <c r="L78" i="2"/>
  <c r="C63" i="2"/>
  <c r="AP56" i="3"/>
  <c r="AP86" i="3"/>
  <c r="AB90" i="3"/>
  <c r="AP57" i="3"/>
  <c r="AP62" i="3"/>
  <c r="AP80" i="3"/>
  <c r="AP89" i="3"/>
  <c r="AB85" i="3"/>
  <c r="Z30" i="3"/>
  <c r="AL33" i="3"/>
  <c r="O39" i="3"/>
  <c r="N26" i="3"/>
  <c r="J16" i="3"/>
  <c r="T25" i="3"/>
  <c r="R24" i="3"/>
  <c r="O21" i="3"/>
  <c r="AO15" i="3"/>
  <c r="Z8" i="3"/>
  <c r="O28" i="3"/>
  <c r="AI41" i="3"/>
  <c r="O37" i="3"/>
  <c r="P41" i="3"/>
  <c r="L11" i="3"/>
  <c r="S32" i="3"/>
  <c r="W18" i="3"/>
  <c r="AP13" i="3"/>
  <c r="AE14" i="3"/>
  <c r="I8" i="3"/>
  <c r="AL37" i="3"/>
  <c r="AM8" i="3"/>
  <c r="AE39" i="3"/>
  <c r="R32" i="3"/>
  <c r="AM14" i="3"/>
  <c r="K35" i="3"/>
  <c r="AC42" i="3"/>
  <c r="AM39" i="3"/>
  <c r="Z28" i="3"/>
  <c r="N10" i="3"/>
  <c r="AA42" i="3"/>
  <c r="AB18" i="3"/>
  <c r="AC13" i="3"/>
  <c r="G32" i="3"/>
  <c r="N20" i="3"/>
  <c r="AI38" i="3"/>
  <c r="AJ14" i="3"/>
  <c r="AN34" i="3"/>
  <c r="T22" i="3"/>
  <c r="U12" i="3"/>
  <c r="I25" i="3"/>
  <c r="M31" i="3"/>
  <c r="C42" i="3"/>
  <c r="Y31" i="3"/>
  <c r="AN17" i="3"/>
  <c r="P21" i="3"/>
  <c r="V38" i="3"/>
  <c r="I29" i="3"/>
  <c r="AH10" i="3"/>
  <c r="O19" i="3"/>
  <c r="AO10" i="3"/>
  <c r="E48" i="3"/>
  <c r="Q22" i="3"/>
  <c r="AG18" i="3"/>
  <c r="Q9" i="3"/>
  <c r="I34" i="3"/>
  <c r="G39" i="3"/>
  <c r="K18" i="3"/>
  <c r="O27" i="3"/>
  <c r="AE38" i="3"/>
  <c r="AK10" i="3"/>
  <c r="AE29" i="3"/>
  <c r="V13" i="3"/>
  <c r="Q41" i="3"/>
  <c r="AO30" i="3"/>
  <c r="P24" i="3"/>
  <c r="AL12" i="3"/>
  <c r="Z40" i="3"/>
  <c r="AL13" i="3"/>
  <c r="S26" i="3"/>
  <c r="V30" i="3"/>
  <c r="AL40" i="3"/>
  <c r="AN28" i="3"/>
  <c r="AO18" i="3"/>
  <c r="AI35" i="3"/>
  <c r="AA16" i="3"/>
  <c r="AE37" i="3"/>
  <c r="T20" i="3"/>
  <c r="N13" i="3"/>
  <c r="AC21" i="3"/>
  <c r="AN16" i="3"/>
  <c r="AM35" i="3"/>
  <c r="AH27" i="3"/>
  <c r="AG33" i="3"/>
  <c r="P7" i="3"/>
  <c r="J39" i="3"/>
  <c r="H30" i="3"/>
  <c r="I11" i="3"/>
  <c r="J24" i="3"/>
  <c r="Z39" i="3"/>
  <c r="T42" i="3"/>
  <c r="N11" i="3"/>
  <c r="AC10" i="3"/>
  <c r="AB40" i="3"/>
  <c r="AP35" i="3"/>
  <c r="AM18" i="3"/>
  <c r="AK23" i="3"/>
  <c r="K28" i="3"/>
  <c r="AM27" i="3"/>
  <c r="S20" i="3"/>
  <c r="O13" i="3"/>
  <c r="H12" i="3"/>
  <c r="K9" i="3"/>
  <c r="K41" i="3"/>
  <c r="AP38" i="3"/>
  <c r="AA26" i="3"/>
  <c r="AQ28" i="3"/>
  <c r="T13" i="3"/>
  <c r="AQ11" i="3"/>
  <c r="AA37" i="3"/>
  <c r="Q10" i="3"/>
  <c r="K5" i="3"/>
  <c r="AJ29" i="3"/>
  <c r="J11" i="3"/>
  <c r="AD38" i="3"/>
  <c r="AK24" i="3"/>
  <c r="AA6" i="3"/>
  <c r="R6" i="3"/>
  <c r="AL16" i="3"/>
  <c r="AI34" i="3"/>
  <c r="H42" i="3"/>
  <c r="H107" i="2"/>
  <c r="E109" i="2"/>
  <c r="J92" i="2"/>
  <c r="V106" i="2"/>
  <c r="R67" i="2"/>
  <c r="H104" i="2"/>
  <c r="O48" i="2"/>
  <c r="N51" i="2"/>
  <c r="J109" i="2"/>
  <c r="L85" i="2"/>
  <c r="R90" i="2"/>
  <c r="P91" i="2"/>
  <c r="S44" i="2"/>
  <c r="E110" i="2"/>
  <c r="R44" i="2"/>
  <c r="T64" i="2"/>
  <c r="T77" i="2"/>
  <c r="H64" i="2"/>
  <c r="X75" i="2"/>
  <c r="U105" i="2"/>
  <c r="G107" i="2"/>
  <c r="J56" i="2"/>
  <c r="W63" i="2"/>
  <c r="D70" i="2"/>
  <c r="R78" i="2"/>
  <c r="S77" i="2"/>
  <c r="G73" i="2"/>
  <c r="J78" i="2"/>
  <c r="U82" i="2"/>
  <c r="W57" i="2"/>
  <c r="S104" i="2"/>
  <c r="T67" i="2"/>
  <c r="M105" i="2"/>
  <c r="V40" i="2"/>
  <c r="M76" i="2"/>
  <c r="R106" i="2"/>
  <c r="O81" i="2"/>
  <c r="Q87" i="2"/>
  <c r="R79" i="2"/>
  <c r="T99" i="2"/>
  <c r="G81" i="2"/>
  <c r="R110" i="2"/>
  <c r="K45" i="2"/>
  <c r="J55" i="2"/>
  <c r="X90" i="2"/>
  <c r="J75" i="2"/>
  <c r="F87" i="2"/>
  <c r="G48" i="2"/>
  <c r="O83" i="2"/>
  <c r="G84" i="2"/>
  <c r="W62" i="2"/>
  <c r="P111" i="2"/>
  <c r="G82" i="2"/>
  <c r="X79" i="2"/>
  <c r="E58" i="2"/>
  <c r="R91" i="2"/>
  <c r="E41" i="2"/>
  <c r="W95" i="2"/>
  <c r="P98" i="2"/>
  <c r="H46" i="2"/>
  <c r="E81" i="2"/>
  <c r="X72" i="2"/>
  <c r="U47" i="2"/>
  <c r="E92" i="2"/>
  <c r="K42" i="2"/>
  <c r="V105" i="2"/>
  <c r="X110" i="2"/>
  <c r="V89" i="2"/>
  <c r="U67" i="2"/>
  <c r="C55" i="2"/>
  <c r="S49" i="2"/>
  <c r="H111" i="2"/>
  <c r="U94" i="2"/>
  <c r="O96" i="2"/>
  <c r="S107" i="2"/>
  <c r="J76" i="2"/>
  <c r="W69" i="2"/>
  <c r="P108" i="2"/>
  <c r="D87" i="2"/>
  <c r="S71" i="2"/>
  <c r="V99" i="2"/>
  <c r="C106" i="2"/>
  <c r="E98" i="2"/>
  <c r="T82" i="2"/>
  <c r="D112" i="2"/>
  <c r="J105" i="2"/>
  <c r="T83" i="2"/>
  <c r="E50" i="2"/>
  <c r="R76" i="2"/>
  <c r="J44" i="2"/>
  <c r="E91" i="2"/>
  <c r="N106" i="2"/>
  <c r="N69" i="2"/>
  <c r="M79" i="2"/>
  <c r="N113" i="2"/>
  <c r="I45" i="2"/>
  <c r="X48" i="2"/>
  <c r="R71" i="2"/>
  <c r="F56" i="2"/>
  <c r="H67" i="2"/>
  <c r="F58" i="2"/>
  <c r="H68" i="2"/>
  <c r="M51" i="2"/>
  <c r="K78" i="2"/>
  <c r="Q98" i="2"/>
  <c r="V77" i="2"/>
  <c r="T109" i="2"/>
  <c r="J51" i="2"/>
  <c r="S65" i="2"/>
  <c r="S90" i="2"/>
  <c r="D68" i="2"/>
  <c r="R104" i="2"/>
  <c r="E112" i="2"/>
  <c r="T105" i="2"/>
  <c r="M67" i="2"/>
  <c r="G76" i="2"/>
  <c r="O66" i="2"/>
  <c r="G62" i="2"/>
  <c r="O50" i="2"/>
  <c r="J67" i="2"/>
  <c r="U65" i="2"/>
  <c r="I73" i="2"/>
  <c r="T63" i="2"/>
  <c r="L40" i="2"/>
  <c r="X45" i="2"/>
  <c r="AB65" i="3"/>
  <c r="AB58" i="3"/>
  <c r="AB55" i="3"/>
  <c r="AB92" i="3"/>
  <c r="AP79" i="3"/>
  <c r="AB62" i="3"/>
  <c r="AB56" i="3"/>
  <c r="AB69" i="3"/>
  <c r="AB84" i="3"/>
  <c r="W5" i="3"/>
  <c r="J36" i="3"/>
  <c r="AN33" i="3"/>
  <c r="AM16" i="3"/>
  <c r="AQ39" i="3"/>
  <c r="AO39" i="3"/>
  <c r="Z10" i="3"/>
  <c r="V8" i="3"/>
  <c r="L25" i="3"/>
  <c r="AK21" i="3"/>
  <c r="AB20" i="3"/>
  <c r="AE9" i="3"/>
  <c r="M29" i="3"/>
  <c r="AD28" i="3"/>
  <c r="S33" i="3"/>
  <c r="K29" i="3"/>
  <c r="N34" i="3"/>
  <c r="AQ18" i="3"/>
  <c r="Q31" i="3"/>
  <c r="AH42" i="3"/>
  <c r="AP30" i="3"/>
  <c r="U24" i="3"/>
  <c r="H24" i="3"/>
  <c r="AL31" i="3"/>
  <c r="AM40" i="3"/>
  <c r="M39" i="3"/>
  <c r="S34" i="3"/>
  <c r="M20" i="3"/>
  <c r="AP8" i="3"/>
  <c r="C25" i="3"/>
  <c r="M9" i="3"/>
  <c r="AH11" i="3"/>
  <c r="AE19" i="3"/>
  <c r="AM9" i="3"/>
  <c r="Q38" i="3"/>
  <c r="C33" i="3"/>
  <c r="AI31" i="3"/>
  <c r="N32" i="3"/>
  <c r="E82" i="2"/>
  <c r="O113" i="2"/>
  <c r="U66" i="2"/>
  <c r="V55" i="2"/>
  <c r="S80" i="2"/>
  <c r="P83" i="2"/>
  <c r="T76" i="2"/>
  <c r="U44" i="2"/>
  <c r="P76" i="2"/>
  <c r="U99" i="2"/>
  <c r="U80" i="2"/>
  <c r="G71" i="2"/>
  <c r="Q85" i="2"/>
  <c r="G109" i="2"/>
  <c r="N97" i="2"/>
  <c r="P66" i="2"/>
  <c r="N45" i="2"/>
  <c r="C41" i="2"/>
  <c r="D90" i="2"/>
  <c r="F108" i="2"/>
  <c r="V49" i="2"/>
  <c r="H110" i="2"/>
  <c r="J71" i="2"/>
  <c r="J46" i="2"/>
  <c r="T97" i="2"/>
  <c r="I85" i="2"/>
  <c r="Q63" i="2"/>
  <c r="J93" i="2"/>
  <c r="C46" i="2"/>
  <c r="C67" i="2"/>
  <c r="G92" i="2"/>
  <c r="V72" i="2"/>
  <c r="M92" i="2"/>
  <c r="K108" i="2"/>
  <c r="M46" i="2"/>
  <c r="O82" i="2"/>
  <c r="R48" i="2"/>
  <c r="P42" i="2"/>
  <c r="Q91" i="2"/>
  <c r="L48" i="2"/>
  <c r="S43" i="2"/>
  <c r="U53" i="2"/>
  <c r="U92" i="2"/>
  <c r="I77" i="2"/>
  <c r="S53" i="2"/>
  <c r="W88" i="2"/>
  <c r="F42" i="2"/>
  <c r="T66" i="2"/>
  <c r="P70" i="2"/>
  <c r="S79" i="2"/>
  <c r="O106" i="2"/>
  <c r="F106" i="2"/>
  <c r="L41" i="2"/>
  <c r="J94" i="2"/>
  <c r="P41" i="2"/>
  <c r="R87" i="2"/>
  <c r="T94" i="2"/>
  <c r="F49" i="2"/>
  <c r="C47" i="2"/>
  <c r="R63" i="2"/>
  <c r="K105" i="2"/>
  <c r="P62" i="2"/>
  <c r="L94" i="2"/>
  <c r="O90" i="2"/>
  <c r="W42" i="2"/>
  <c r="X96" i="2"/>
  <c r="R98" i="2"/>
  <c r="Q82" i="2"/>
  <c r="W54" i="2"/>
  <c r="D86" i="2"/>
  <c r="W111" i="2"/>
  <c r="R112" i="2"/>
  <c r="I86" i="2"/>
  <c r="S97" i="2"/>
  <c r="D96" i="2"/>
  <c r="S88" i="2"/>
  <c r="H56" i="2"/>
  <c r="X42" i="2"/>
  <c r="J68" i="2"/>
  <c r="N108" i="2"/>
  <c r="L79" i="2"/>
  <c r="O110" i="2"/>
  <c r="K48" i="2"/>
  <c r="E83" i="2"/>
  <c r="J42" i="2"/>
  <c r="W41" i="2"/>
  <c r="V56" i="2"/>
  <c r="J111" i="2"/>
  <c r="E93" i="2"/>
  <c r="M43" i="2"/>
  <c r="X105" i="2"/>
  <c r="M95" i="2"/>
  <c r="M84" i="2"/>
  <c r="F79" i="2"/>
  <c r="I87" i="2"/>
  <c r="L99" i="2"/>
  <c r="T56" i="2"/>
  <c r="T71" i="2"/>
  <c r="O104" i="2"/>
  <c r="G87" i="2"/>
  <c r="E80" i="2"/>
  <c r="J77" i="2"/>
  <c r="V46" i="2"/>
  <c r="P60" i="2"/>
  <c r="Q86" i="2"/>
  <c r="K46" i="2"/>
  <c r="I110" i="2"/>
  <c r="O67" i="2"/>
  <c r="I69" i="2"/>
  <c r="X104" i="2"/>
  <c r="G94" i="2"/>
  <c r="W104" i="2"/>
  <c r="G86" i="2"/>
  <c r="T58" i="2"/>
  <c r="G64" i="2"/>
  <c r="E48" i="2"/>
  <c r="P77" i="2"/>
  <c r="X112" i="2"/>
  <c r="L67" i="2"/>
  <c r="X81" i="2"/>
  <c r="P45" i="2"/>
  <c r="S64" i="2"/>
  <c r="K111" i="2"/>
  <c r="M59" i="2"/>
  <c r="F93" i="2"/>
  <c r="AB83" i="3"/>
  <c r="AB73" i="3"/>
  <c r="AB48" i="3"/>
  <c r="AP55" i="3"/>
  <c r="AP63" i="3"/>
  <c r="AP82" i="3"/>
  <c r="AP76" i="3"/>
  <c r="AB64" i="3"/>
  <c r="AB95" i="3"/>
  <c r="P32" i="3"/>
  <c r="C37" i="3"/>
  <c r="AH23" i="3"/>
  <c r="G36" i="3"/>
  <c r="AP10" i="3"/>
  <c r="AL41" i="3"/>
  <c r="E49" i="3"/>
  <c r="R36" i="3"/>
  <c r="I28" i="3"/>
  <c r="AD35" i="3"/>
  <c r="AH16" i="3"/>
  <c r="I19" i="3"/>
  <c r="K40" i="3"/>
  <c r="I36" i="3"/>
  <c r="N14" i="3"/>
  <c r="J37" i="3"/>
  <c r="AL30" i="3"/>
  <c r="L29" i="3"/>
  <c r="U11" i="3"/>
  <c r="Z11" i="3"/>
  <c r="I26" i="3"/>
  <c r="AO21" i="3"/>
  <c r="AM41" i="3"/>
  <c r="AH24" i="3"/>
  <c r="AC29" i="3"/>
  <c r="AH36" i="3"/>
  <c r="AP34" i="3"/>
  <c r="AK29" i="3"/>
  <c r="AM26" i="3"/>
  <c r="AA31" i="3"/>
  <c r="O15" i="3"/>
  <c r="R40" i="3"/>
  <c r="H21" i="3"/>
  <c r="L20" i="3"/>
  <c r="Q23" i="3"/>
  <c r="S40" i="3"/>
  <c r="AK22" i="3"/>
  <c r="AB30" i="3"/>
  <c r="AE42" i="3"/>
  <c r="W6" i="3"/>
  <c r="AC7" i="3"/>
  <c r="C15" i="3"/>
  <c r="S27" i="3"/>
  <c r="Y16" i="3"/>
  <c r="AL39" i="3"/>
  <c r="AG8" i="3"/>
  <c r="AP11" i="3"/>
  <c r="S38" i="3"/>
  <c r="AB42" i="3"/>
  <c r="C40" i="3"/>
  <c r="P50" i="2"/>
  <c r="V67" i="2"/>
  <c r="M71" i="2"/>
  <c r="T108" i="2"/>
  <c r="G98" i="2"/>
  <c r="P55" i="2"/>
  <c r="I98" i="2"/>
  <c r="H60" i="2"/>
  <c r="J61" i="2"/>
  <c r="S106" i="2"/>
  <c r="K54" i="2"/>
  <c r="J43" i="2"/>
  <c r="X83" i="2"/>
  <c r="U91" i="2"/>
  <c r="U72" i="2"/>
  <c r="W108" i="2"/>
  <c r="W93" i="2"/>
  <c r="S109" i="2"/>
  <c r="E62" i="2"/>
  <c r="S94" i="2"/>
  <c r="K94" i="2"/>
  <c r="T78" i="2"/>
  <c r="E86" i="2"/>
  <c r="O74" i="2"/>
  <c r="P63" i="2"/>
  <c r="X70" i="2"/>
  <c r="W98" i="2"/>
  <c r="D62" i="2"/>
  <c r="M57" i="2"/>
  <c r="D53" i="2"/>
  <c r="I104" i="2"/>
  <c r="T43" i="2"/>
  <c r="C58" i="2"/>
  <c r="T95" i="2"/>
  <c r="N112" i="2"/>
  <c r="D63" i="2"/>
  <c r="T50" i="2"/>
  <c r="F46" i="2"/>
  <c r="O78" i="2"/>
  <c r="C96" i="2"/>
  <c r="I113" i="2"/>
  <c r="T65" i="2"/>
  <c r="C53" i="2"/>
  <c r="N81" i="2"/>
  <c r="L51" i="2"/>
  <c r="U96" i="2"/>
  <c r="J82" i="2"/>
  <c r="Q76" i="2"/>
  <c r="U81" i="2"/>
  <c r="F111" i="2"/>
  <c r="W87" i="2"/>
  <c r="I66" i="2"/>
  <c r="S63" i="2"/>
  <c r="W68" i="2"/>
  <c r="N72" i="2"/>
  <c r="C69" i="2"/>
  <c r="T80" i="2"/>
  <c r="X99" i="2"/>
  <c r="U62" i="2"/>
  <c r="L77" i="2"/>
  <c r="H44" i="2"/>
  <c r="W105" i="2"/>
  <c r="N90" i="2"/>
  <c r="E85" i="2"/>
  <c r="R74" i="2"/>
  <c r="W107" i="2"/>
  <c r="J63" i="2"/>
  <c r="U111" i="2"/>
  <c r="Q88" i="2"/>
  <c r="J79" i="2"/>
  <c r="U63" i="2"/>
  <c r="E71" i="2"/>
  <c r="F51" i="2"/>
  <c r="W61" i="2"/>
  <c r="O86" i="2"/>
  <c r="C60" i="2"/>
  <c r="R111" i="2"/>
  <c r="W80" i="2"/>
  <c r="R113" i="2"/>
  <c r="R83" i="2"/>
  <c r="J73" i="2"/>
  <c r="S72" i="2"/>
  <c r="J40" i="2"/>
  <c r="H71" i="2"/>
  <c r="L98" i="2"/>
  <c r="G88" i="2"/>
  <c r="O60" i="2"/>
  <c r="X76" i="2"/>
  <c r="U89" i="2"/>
  <c r="R72" i="2"/>
  <c r="H69" i="2"/>
  <c r="O55" i="2"/>
  <c r="M72" i="2"/>
  <c r="C52" i="2"/>
  <c r="D60" i="2"/>
  <c r="L64" i="2"/>
  <c r="U106" i="2"/>
  <c r="Q42" i="2"/>
  <c r="J48" i="2"/>
  <c r="P93" i="2"/>
  <c r="C104" i="2"/>
  <c r="K112" i="2"/>
  <c r="I81" i="2"/>
  <c r="W45" i="2"/>
  <c r="D67" i="2"/>
  <c r="C78" i="2"/>
  <c r="H63" i="2"/>
  <c r="U43" i="2"/>
  <c r="F77" i="2"/>
  <c r="G67" i="2"/>
  <c r="H88" i="2"/>
  <c r="T74" i="2"/>
  <c r="X78" i="2"/>
  <c r="D41" i="2"/>
  <c r="M40" i="2"/>
  <c r="G65" i="2"/>
  <c r="P90" i="2"/>
  <c r="O77" i="2"/>
  <c r="P84" i="2"/>
  <c r="U104" i="2"/>
  <c r="L86" i="2"/>
  <c r="Q53" i="2"/>
  <c r="D80" i="2"/>
  <c r="X59" i="2"/>
  <c r="D78" i="2"/>
  <c r="F50" i="2"/>
  <c r="C81" i="2"/>
  <c r="N64" i="2"/>
  <c r="I78" i="2"/>
  <c r="K50" i="2"/>
  <c r="M104" i="2"/>
  <c r="R86" i="2"/>
  <c r="S74" i="2"/>
  <c r="M91" i="2"/>
  <c r="P46" i="2"/>
  <c r="P68" i="2"/>
  <c r="I106" i="2"/>
  <c r="T69" i="2"/>
  <c r="N50" i="2"/>
  <c r="L65" i="2"/>
  <c r="V75" i="2"/>
  <c r="K62" i="2"/>
  <c r="I80" i="2"/>
  <c r="N58" i="2"/>
  <c r="G99" i="2"/>
  <c r="Q89" i="2"/>
  <c r="E64" i="2"/>
  <c r="K90" i="2"/>
  <c r="L112" i="2"/>
  <c r="K104" i="2"/>
  <c r="F57" i="2"/>
  <c r="K74" i="2"/>
  <c r="P107" i="2"/>
  <c r="U68" i="2"/>
  <c r="X93" i="2"/>
  <c r="R56" i="2"/>
  <c r="X98" i="2"/>
  <c r="I82" i="2"/>
  <c r="G89" i="2"/>
  <c r="X62" i="2"/>
  <c r="L50" i="2"/>
  <c r="D110" i="2"/>
  <c r="V73" i="2"/>
  <c r="V80" i="2"/>
  <c r="M45" i="2"/>
  <c r="N105" i="2"/>
  <c r="E79" i="2"/>
  <c r="C42" i="2"/>
  <c r="K88" i="2"/>
  <c r="W44" i="2"/>
  <c r="M78" i="2"/>
  <c r="I61" i="2"/>
  <c r="C74" i="2"/>
  <c r="P47" i="2"/>
  <c r="N40" i="2"/>
  <c r="W92" i="2"/>
  <c r="R51" i="2"/>
  <c r="R105" i="2"/>
  <c r="H85" i="2"/>
  <c r="L45" i="2"/>
  <c r="V71" i="2"/>
  <c r="R64" i="2"/>
  <c r="Q93" i="2"/>
  <c r="V62" i="2"/>
  <c r="U87" i="2"/>
  <c r="D91" i="2"/>
  <c r="D54" i="2"/>
  <c r="E51" i="2"/>
  <c r="L108" i="2"/>
  <c r="K51" i="2"/>
  <c r="G52" i="2"/>
  <c r="H89" i="2"/>
  <c r="W106" i="2"/>
  <c r="P82" i="2"/>
  <c r="C62" i="2"/>
  <c r="E54" i="2"/>
  <c r="P43" i="2"/>
  <c r="U61" i="2"/>
  <c r="G50" i="2"/>
  <c r="O44" i="2"/>
  <c r="E107" i="2"/>
  <c r="O53" i="2"/>
  <c r="J58" i="2"/>
  <c r="H62" i="2"/>
  <c r="K40" i="2"/>
  <c r="N99" i="2"/>
  <c r="V93" i="2"/>
  <c r="Q107" i="2"/>
  <c r="K89" i="2"/>
  <c r="K71" i="2"/>
  <c r="N91" i="2"/>
  <c r="I55" i="2"/>
  <c r="S113" i="2"/>
  <c r="S47" i="2"/>
  <c r="R43" i="2"/>
  <c r="S59" i="2"/>
  <c r="T96" i="2"/>
  <c r="H106" i="2"/>
  <c r="Q60" i="2"/>
  <c r="D40" i="2"/>
  <c r="R45" i="2"/>
  <c r="T52" i="2"/>
  <c r="N110" i="2"/>
  <c r="V97" i="2"/>
  <c r="J90" i="2"/>
  <c r="S111" i="2"/>
  <c r="K83" i="2"/>
  <c r="C66" i="2"/>
  <c r="C51" i="2"/>
  <c r="J95" i="2"/>
  <c r="H77" i="2"/>
  <c r="V45" i="2"/>
  <c r="S54" i="2"/>
  <c r="G60" i="2"/>
  <c r="C56" i="2"/>
  <c r="N92" i="2"/>
  <c r="O108" i="2"/>
  <c r="F69" i="2"/>
  <c r="N77" i="2"/>
  <c r="AB61" i="3"/>
  <c r="AP75" i="3"/>
  <c r="AP97" i="3"/>
  <c r="AP71" i="3"/>
  <c r="AB71" i="3"/>
  <c r="AP94" i="3"/>
  <c r="AB97" i="3"/>
  <c r="AB91" i="3"/>
  <c r="H20" i="3"/>
  <c r="K13" i="3"/>
  <c r="N24" i="3"/>
  <c r="Y22" i="3"/>
  <c r="AK31" i="3"/>
  <c r="AH31" i="3"/>
  <c r="S31" i="3"/>
  <c r="N15" i="3"/>
  <c r="P34" i="3"/>
  <c r="AD37" i="3"/>
  <c r="AK12" i="3"/>
  <c r="H38" i="3"/>
  <c r="Z15" i="3"/>
  <c r="O38" i="3"/>
  <c r="AQ38" i="3"/>
  <c r="Q16" i="3"/>
  <c r="AM22" i="3"/>
  <c r="T32" i="3"/>
  <c r="L33" i="3"/>
  <c r="AJ33" i="3"/>
  <c r="V12" i="3"/>
  <c r="H6" i="3"/>
  <c r="L8" i="3"/>
  <c r="AB34" i="3"/>
  <c r="W12" i="3"/>
  <c r="Y18" i="3"/>
  <c r="T35" i="3"/>
  <c r="AN32" i="3"/>
  <c r="AH14" i="3"/>
  <c r="C41" i="3"/>
  <c r="G40" i="3"/>
  <c r="V18" i="3"/>
  <c r="AP16" i="3"/>
  <c r="AB11" i="3"/>
  <c r="AK30" i="3"/>
  <c r="J34" i="3"/>
  <c r="W24" i="3"/>
  <c r="AB21" i="3"/>
  <c r="J7" i="3"/>
  <c r="P18" i="3"/>
  <c r="I41" i="3"/>
  <c r="AQ9" i="3"/>
  <c r="S30" i="3"/>
  <c r="L28" i="3"/>
  <c r="AQ23" i="3"/>
  <c r="AJ5" i="3"/>
  <c r="L26" i="3"/>
  <c r="H35" i="3"/>
  <c r="AI19" i="3"/>
  <c r="AB6" i="3"/>
  <c r="W36" i="3"/>
  <c r="AM20" i="3"/>
  <c r="I35" i="3"/>
  <c r="AQ33" i="3"/>
  <c r="J21" i="3"/>
  <c r="Q62" i="2"/>
  <c r="E95" i="2"/>
  <c r="E90" i="2"/>
  <c r="E106" i="2"/>
  <c r="D99" i="2"/>
  <c r="D109" i="2"/>
  <c r="I95" i="2"/>
  <c r="G66" i="2"/>
  <c r="O95" i="2"/>
  <c r="I49" i="2"/>
  <c r="M85" i="2"/>
  <c r="O84" i="2"/>
  <c r="M62" i="2"/>
  <c r="F70" i="2"/>
  <c r="X65" i="2"/>
  <c r="F40" i="2"/>
  <c r="L81" i="2"/>
  <c r="U84" i="2"/>
  <c r="P64" i="2"/>
  <c r="E52" i="2"/>
  <c r="O68" i="2"/>
  <c r="F113" i="2"/>
  <c r="L93" i="2"/>
  <c r="K49" i="2"/>
  <c r="D85" i="2"/>
  <c r="M53" i="2"/>
  <c r="K52" i="2"/>
  <c r="F99" i="2"/>
  <c r="G47" i="2"/>
  <c r="D108" i="2"/>
  <c r="U75" i="2"/>
  <c r="V65" i="2"/>
  <c r="M82" i="2"/>
  <c r="T42" i="2"/>
  <c r="D45" i="2"/>
  <c r="F41" i="2"/>
  <c r="O98" i="2"/>
  <c r="F95" i="2"/>
  <c r="X108" i="2"/>
  <c r="H84" i="2"/>
  <c r="W60" i="2"/>
  <c r="T90" i="2"/>
  <c r="R62" i="2"/>
  <c r="C49" i="2"/>
  <c r="R81" i="2"/>
  <c r="Q74" i="2"/>
  <c r="W75" i="2"/>
  <c r="E104" i="2"/>
  <c r="D72" i="2"/>
  <c r="T40" i="2"/>
  <c r="M86" i="2"/>
  <c r="W83" i="2"/>
  <c r="W40" i="2"/>
  <c r="W59" i="2"/>
  <c r="C89" i="2"/>
  <c r="K95" i="2"/>
  <c r="S92" i="2"/>
  <c r="L44" i="2"/>
  <c r="O87" i="2"/>
  <c r="L69" i="2"/>
  <c r="T75" i="2"/>
  <c r="D79" i="2"/>
  <c r="P99" i="2"/>
  <c r="I56" i="2"/>
  <c r="T48" i="2"/>
  <c r="T68" i="2"/>
  <c r="G53" i="2"/>
  <c r="M89" i="2"/>
  <c r="N66" i="2"/>
  <c r="X69" i="2"/>
  <c r="K72" i="2"/>
  <c r="G110" i="2"/>
  <c r="R89" i="2"/>
  <c r="S93" i="2"/>
  <c r="W89" i="2"/>
  <c r="N52" i="2"/>
  <c r="R84" i="2"/>
  <c r="U109" i="2"/>
  <c r="O63" i="2"/>
  <c r="R80" i="2"/>
  <c r="L56" i="2"/>
  <c r="L60" i="2"/>
  <c r="N43" i="2"/>
  <c r="D71" i="2"/>
  <c r="F112" i="2"/>
  <c r="F61" i="2"/>
  <c r="J87" i="2"/>
  <c r="M81" i="2"/>
  <c r="V47" i="2"/>
  <c r="J97" i="2"/>
  <c r="I42" i="2"/>
  <c r="L80" i="2"/>
  <c r="E88" i="2"/>
  <c r="W53" i="2"/>
  <c r="C93" i="2"/>
  <c r="V81" i="2"/>
  <c r="M109" i="2"/>
  <c r="G56" i="2"/>
  <c r="H42" i="2"/>
  <c r="O79" i="2"/>
  <c r="R73" i="2"/>
  <c r="W48" i="2"/>
  <c r="U57" i="2"/>
  <c r="T45" i="2"/>
  <c r="S69" i="2"/>
  <c r="P88" i="2"/>
  <c r="M48" i="2"/>
  <c r="I108" i="2"/>
  <c r="L84" i="2"/>
  <c r="E46" i="2"/>
  <c r="M93" i="2"/>
  <c r="R109" i="2"/>
  <c r="E84" i="2"/>
  <c r="U74" i="2"/>
  <c r="L95" i="2"/>
  <c r="T88" i="2"/>
  <c r="X73" i="2"/>
  <c r="N88" i="2"/>
  <c r="T84" i="2"/>
  <c r="V107" i="2"/>
  <c r="F105" i="2"/>
  <c r="M110" i="2"/>
  <c r="N84" i="2"/>
  <c r="O41" i="2"/>
  <c r="K76" i="2"/>
  <c r="J50" i="2"/>
  <c r="V74" i="2"/>
  <c r="R95" i="2"/>
  <c r="X50" i="2"/>
  <c r="O54" i="2"/>
  <c r="D50" i="2"/>
  <c r="H112" i="2"/>
  <c r="G96" i="2"/>
  <c r="J65" i="2"/>
  <c r="I83" i="2"/>
  <c r="W73" i="2"/>
  <c r="S86" i="2"/>
  <c r="Q66" i="2"/>
  <c r="I76" i="2"/>
  <c r="J80" i="2"/>
  <c r="F71" i="2"/>
  <c r="C72" i="2"/>
  <c r="C71" i="2"/>
  <c r="K82" i="2"/>
  <c r="R55" i="2"/>
  <c r="J47" i="2"/>
  <c r="J57" i="2"/>
  <c r="P87" i="2"/>
  <c r="H70" i="2"/>
  <c r="Q68" i="2"/>
  <c r="H95" i="2"/>
  <c r="M99" i="2"/>
  <c r="O105" i="2"/>
  <c r="I107" i="2"/>
  <c r="S108" i="2"/>
  <c r="H41" i="2"/>
  <c r="F72" i="2"/>
  <c r="E67" i="2"/>
  <c r="F109" i="2"/>
  <c r="U78" i="2"/>
  <c r="X113" i="2"/>
  <c r="D76" i="2"/>
  <c r="U55" i="2"/>
  <c r="E99" i="2"/>
  <c r="S84" i="2"/>
  <c r="L62" i="2"/>
  <c r="F68" i="2"/>
  <c r="E89" i="2"/>
  <c r="I47" i="2"/>
  <c r="W66" i="2"/>
  <c r="K67" i="2"/>
  <c r="M94" i="2"/>
  <c r="U83" i="2"/>
  <c r="V94" i="2"/>
  <c r="H79" i="2"/>
  <c r="Q94" i="2"/>
  <c r="X51" i="2"/>
  <c r="J89" i="2"/>
  <c r="X89" i="2"/>
  <c r="Q79" i="2"/>
  <c r="W67" i="2"/>
  <c r="K84" i="2"/>
  <c r="U90" i="2"/>
  <c r="T41" i="2"/>
  <c r="U77" i="2"/>
  <c r="J70" i="2"/>
  <c r="F43" i="2"/>
  <c r="I43" i="2"/>
  <c r="L96" i="2"/>
  <c r="G105" i="2"/>
  <c r="O65" i="2"/>
  <c r="X56" i="2"/>
  <c r="X107" i="2"/>
  <c r="J69" i="2"/>
  <c r="E56" i="2"/>
  <c r="Q61" i="2"/>
  <c r="U59" i="2"/>
  <c r="D104" i="2"/>
  <c r="C90" i="2"/>
  <c r="N79" i="2"/>
  <c r="S83" i="2"/>
  <c r="X87" i="2"/>
  <c r="X111" i="2"/>
  <c r="X53" i="2"/>
  <c r="M68" i="2"/>
  <c r="E113" i="2"/>
  <c r="S56" i="2"/>
  <c r="R107" i="2"/>
  <c r="E97" i="2"/>
  <c r="X97" i="2"/>
  <c r="F45" i="2"/>
  <c r="I75" i="2"/>
  <c r="K73" i="2"/>
  <c r="P48" i="2"/>
  <c r="E87" i="2"/>
  <c r="G70" i="2"/>
  <c r="N63" i="2"/>
  <c r="N70" i="2"/>
  <c r="N55" i="2"/>
  <c r="W49" i="2"/>
  <c r="L53" i="2"/>
  <c r="G59" i="2"/>
  <c r="G54" i="2"/>
  <c r="V68" i="2"/>
  <c r="T62" i="2"/>
  <c r="Q51" i="2"/>
  <c r="E77" i="2"/>
  <c r="G83" i="2"/>
  <c r="AP96" i="3"/>
  <c r="AB96" i="3"/>
  <c r="AP67" i="3"/>
  <c r="L19" i="3"/>
  <c r="Q34" i="3"/>
  <c r="AJ22" i="3"/>
  <c r="W33" i="3"/>
  <c r="N19" i="3"/>
  <c r="X24" i="3"/>
  <c r="X35" i="3"/>
  <c r="AM21" i="3"/>
  <c r="AC27" i="3"/>
  <c r="AN37" i="3"/>
  <c r="AN25" i="3"/>
  <c r="Y19" i="3"/>
  <c r="AP14" i="3"/>
  <c r="AA21" i="3"/>
  <c r="K42" i="3"/>
  <c r="R28" i="3"/>
  <c r="C8" i="3"/>
  <c r="AC17" i="3"/>
  <c r="AA32" i="3"/>
  <c r="H37" i="3"/>
  <c r="I14" i="3"/>
  <c r="AP17" i="3"/>
  <c r="S41" i="3"/>
  <c r="AN29" i="3"/>
  <c r="AA23" i="3"/>
  <c r="AL7" i="3"/>
  <c r="AK39" i="3"/>
  <c r="AD40" i="3"/>
  <c r="P11" i="3"/>
  <c r="M8" i="3"/>
  <c r="AP39" i="3"/>
  <c r="U14" i="3"/>
  <c r="AB36" i="3"/>
  <c r="Q30" i="3"/>
  <c r="Q6" i="3"/>
  <c r="AQ26" i="3"/>
  <c r="AK42" i="3"/>
  <c r="AG20" i="3"/>
  <c r="AD27" i="3"/>
  <c r="AK40" i="3"/>
  <c r="Q13" i="3"/>
  <c r="N31" i="3"/>
  <c r="U7" i="3"/>
  <c r="Y42" i="3"/>
  <c r="P26" i="3"/>
  <c r="D48" i="3"/>
  <c r="M19" i="3"/>
  <c r="R5" i="3"/>
  <c r="H8" i="3"/>
  <c r="V10" i="3"/>
  <c r="AB17" i="3"/>
  <c r="C16" i="3"/>
  <c r="Z17" i="3"/>
  <c r="AD23" i="3"/>
  <c r="AJ9" i="3"/>
  <c r="X20" i="3"/>
  <c r="AG29" i="3"/>
  <c r="AK19" i="3"/>
  <c r="Q25" i="3"/>
  <c r="AB15" i="3"/>
  <c r="AP32" i="3"/>
  <c r="M18" i="3"/>
  <c r="AH6" i="3"/>
  <c r="H22" i="3"/>
  <c r="L35" i="3"/>
  <c r="L21" i="3"/>
  <c r="T16" i="3"/>
  <c r="G48" i="3"/>
  <c r="AI25" i="3"/>
  <c r="K12" i="3"/>
  <c r="K7" i="3"/>
  <c r="U42" i="3"/>
  <c r="K32" i="3"/>
  <c r="O34" i="3"/>
  <c r="T5" i="3"/>
  <c r="N22" i="3"/>
  <c r="N41" i="3"/>
  <c r="AO13" i="3"/>
  <c r="AN42" i="3"/>
  <c r="AH9" i="3"/>
  <c r="T27" i="3"/>
  <c r="AK32" i="3"/>
  <c r="AB32" i="3"/>
  <c r="G34" i="3"/>
  <c r="P14" i="3"/>
  <c r="P36" i="3"/>
  <c r="AQ7" i="3"/>
  <c r="I51" i="2"/>
  <c r="C47" i="3"/>
  <c r="AN35" i="3"/>
  <c r="AG26" i="3"/>
  <c r="AG12" i="3"/>
  <c r="Z14" i="3"/>
  <c r="D84" i="2"/>
  <c r="Q90" i="2"/>
  <c r="V66" i="2"/>
  <c r="X43" i="2"/>
  <c r="Q50" i="2"/>
  <c r="C61" i="2"/>
  <c r="H97" i="2"/>
  <c r="O61" i="2"/>
  <c r="M47" i="2"/>
  <c r="AB57" i="3"/>
  <c r="AP91" i="3"/>
  <c r="AB66" i="3"/>
  <c r="M35" i="3"/>
  <c r="X30" i="3"/>
  <c r="W22" i="3"/>
  <c r="G41" i="3"/>
  <c r="R35" i="3"/>
  <c r="P30" i="3"/>
  <c r="AA30" i="3"/>
  <c r="AP23" i="3"/>
  <c r="AJ30" i="3"/>
  <c r="X16" i="3"/>
  <c r="AO14" i="3"/>
  <c r="S9" i="3"/>
  <c r="L30" i="3"/>
  <c r="AC8" i="3"/>
  <c r="C30" i="3"/>
  <c r="C27" i="3"/>
  <c r="Y30" i="3"/>
  <c r="I7" i="3"/>
  <c r="I21" i="3"/>
  <c r="T14" i="3"/>
  <c r="AQ37" i="3"/>
  <c r="X26" i="3"/>
  <c r="H7" i="3"/>
  <c r="Q40" i="3"/>
  <c r="AE41" i="3"/>
  <c r="W13" i="3"/>
  <c r="P23" i="3"/>
  <c r="AQ30" i="3"/>
  <c r="AI20" i="3"/>
  <c r="Y20" i="3"/>
  <c r="S39" i="3"/>
  <c r="R21" i="3"/>
  <c r="X40" i="3"/>
  <c r="AL25" i="3"/>
  <c r="C14" i="3"/>
  <c r="X9" i="3"/>
  <c r="Y26" i="3"/>
  <c r="AM10" i="3"/>
  <c r="AA20" i="3"/>
  <c r="Y12" i="3"/>
  <c r="Y5" i="3"/>
  <c r="Y10" i="3"/>
  <c r="W20" i="3"/>
  <c r="C10" i="3"/>
  <c r="AB8" i="3"/>
  <c r="AP27" i="3"/>
  <c r="AG14" i="3"/>
  <c r="Z16" i="3"/>
  <c r="T40" i="3"/>
  <c r="AJ40" i="3"/>
  <c r="AQ16" i="3"/>
  <c r="AN26" i="3"/>
  <c r="AB16" i="3"/>
  <c r="AJ28" i="3"/>
  <c r="AG19" i="3"/>
  <c r="K11" i="3"/>
  <c r="AC32" i="3"/>
  <c r="D49" i="3"/>
  <c r="AC11" i="3"/>
  <c r="AE26" i="3"/>
  <c r="J22" i="3"/>
  <c r="V40" i="3"/>
  <c r="U18" i="3"/>
  <c r="Q17" i="3"/>
  <c r="V20" i="3"/>
  <c r="AP21" i="3"/>
  <c r="AH39" i="3"/>
  <c r="AQ31" i="3"/>
  <c r="I17" i="3"/>
  <c r="U16" i="3"/>
  <c r="AG35" i="3"/>
  <c r="U13" i="3"/>
  <c r="D58" i="2"/>
  <c r="AB68" i="3"/>
  <c r="AG39" i="3"/>
  <c r="AA9" i="3"/>
  <c r="I39" i="3"/>
  <c r="V34" i="3"/>
  <c r="Z9" i="3"/>
  <c r="AE33" i="3"/>
  <c r="AB33" i="3"/>
  <c r="R33" i="3"/>
  <c r="Z38" i="3"/>
  <c r="I5" i="3"/>
  <c r="I64" i="3" s="1"/>
  <c r="AH8" i="3"/>
  <c r="C43" i="2"/>
  <c r="J84" i="2"/>
  <c r="K68" i="2"/>
  <c r="G49" i="2"/>
  <c r="O91" i="2"/>
  <c r="T57" i="2"/>
  <c r="W52" i="2"/>
  <c r="J81" i="2"/>
  <c r="L97" i="2"/>
  <c r="AB59" i="3"/>
  <c r="AP58" i="3"/>
  <c r="AP49" i="3"/>
  <c r="AJ38" i="3"/>
  <c r="M10" i="3"/>
  <c r="Q36" i="3"/>
  <c r="W37" i="3"/>
  <c r="L37" i="3"/>
  <c r="X34" i="3"/>
  <c r="M15" i="3"/>
  <c r="W15" i="3"/>
  <c r="AG7" i="3"/>
  <c r="H19" i="3"/>
  <c r="R30" i="3"/>
  <c r="AN23" i="3"/>
  <c r="AG10" i="3"/>
  <c r="AK9" i="3"/>
  <c r="AC25" i="3"/>
  <c r="AG6" i="3"/>
  <c r="I42" i="3"/>
  <c r="AO41" i="3"/>
  <c r="AC5" i="3"/>
  <c r="H10" i="3"/>
  <c r="I24" i="3"/>
  <c r="AQ15" i="3"/>
  <c r="Q15" i="3"/>
  <c r="I12" i="3"/>
  <c r="AL28" i="3"/>
  <c r="I27" i="3"/>
  <c r="AN11" i="3"/>
  <c r="AN18" i="3"/>
  <c r="AM36" i="3"/>
  <c r="AE27" i="3"/>
  <c r="S28" i="3"/>
  <c r="X19" i="3"/>
  <c r="AA24" i="3"/>
  <c r="L10" i="3"/>
  <c r="S37" i="3"/>
  <c r="AA35" i="3"/>
  <c r="AC35" i="3"/>
  <c r="AH18" i="3"/>
  <c r="J35" i="3"/>
  <c r="J10" i="3"/>
  <c r="U35" i="3"/>
  <c r="J40" i="3"/>
  <c r="S22" i="3"/>
  <c r="AM38" i="3"/>
  <c r="U8" i="3"/>
  <c r="I40" i="2"/>
  <c r="T17" i="3"/>
  <c r="Z35" i="3"/>
  <c r="L39" i="3"/>
  <c r="X21" i="3"/>
  <c r="AH28" i="3"/>
  <c r="R16" i="3"/>
  <c r="M60" i="2"/>
  <c r="R93" i="2"/>
  <c r="N86" i="2"/>
  <c r="W110" i="2"/>
  <c r="D56" i="2"/>
  <c r="R59" i="2"/>
  <c r="H109" i="2"/>
  <c r="W112" i="2"/>
  <c r="S98" i="2"/>
  <c r="AB78" i="3"/>
  <c r="AP92" i="3"/>
  <c r="AP69" i="3"/>
  <c r="L32" i="3"/>
  <c r="T24" i="3"/>
  <c r="AH33" i="3"/>
  <c r="AI16" i="3"/>
  <c r="AN9" i="3"/>
  <c r="H13" i="3"/>
  <c r="W29" i="3"/>
  <c r="AG28" i="3"/>
  <c r="AB37" i="3"/>
  <c r="O41" i="3"/>
  <c r="AI5" i="3"/>
  <c r="AL22" i="3"/>
  <c r="AB10" i="3"/>
  <c r="J17" i="3"/>
  <c r="O24" i="3"/>
  <c r="AE8" i="3"/>
  <c r="X5" i="3"/>
  <c r="AC9" i="3"/>
  <c r="M6" i="3"/>
  <c r="E50" i="3"/>
  <c r="X13" i="3"/>
  <c r="AO29" i="3"/>
  <c r="X29" i="3"/>
  <c r="S23" i="3"/>
  <c r="AQ42" i="3"/>
  <c r="J29" i="3"/>
  <c r="P17" i="3"/>
  <c r="Q28" i="3"/>
  <c r="J32" i="3"/>
  <c r="O10" i="3"/>
  <c r="X32" i="3"/>
  <c r="U39" i="3"/>
  <c r="AE36" i="3"/>
  <c r="AB7" i="3"/>
  <c r="AM34" i="3"/>
  <c r="U27" i="3"/>
  <c r="Y14" i="3"/>
  <c r="N38" i="3"/>
  <c r="AO35" i="3"/>
  <c r="M28" i="3"/>
  <c r="R31" i="3"/>
  <c r="J33" i="3"/>
  <c r="AG41" i="3"/>
  <c r="T39" i="3"/>
  <c r="V35" i="3"/>
  <c r="AI29" i="3"/>
  <c r="N37" i="3"/>
  <c r="L34" i="3"/>
  <c r="AO19" i="3"/>
  <c r="AE13" i="3"/>
  <c r="I32" i="3"/>
  <c r="M16" i="3"/>
  <c r="P12" i="3"/>
  <c r="AN15" i="3"/>
  <c r="M21" i="3"/>
  <c r="P9" i="3"/>
  <c r="AD29" i="3"/>
  <c r="AH20" i="3"/>
  <c r="N18" i="3"/>
  <c r="Y21" i="3"/>
  <c r="AJ6" i="3"/>
  <c r="J19" i="3"/>
  <c r="K16" i="3"/>
  <c r="AA27" i="3"/>
  <c r="C11" i="3"/>
  <c r="AA25" i="3"/>
  <c r="U19" i="3"/>
  <c r="W40" i="3"/>
  <c r="AE34" i="3"/>
  <c r="Y11" i="3"/>
  <c r="AC36" i="3"/>
  <c r="AD32" i="3"/>
  <c r="O16" i="3"/>
  <c r="AN7" i="3"/>
  <c r="AM13" i="3"/>
  <c r="X38" i="3"/>
  <c r="J15" i="3"/>
  <c r="K19" i="3"/>
  <c r="L22" i="3"/>
  <c r="C9" i="3"/>
  <c r="AB26" i="3"/>
  <c r="AC23" i="3"/>
  <c r="T11" i="3"/>
  <c r="AK7" i="3"/>
  <c r="N30" i="3"/>
  <c r="AI27" i="3"/>
  <c r="X22" i="3"/>
  <c r="AD21" i="3"/>
  <c r="AN5" i="3"/>
  <c r="AO9" i="3"/>
  <c r="J9" i="3"/>
  <c r="V6" i="3"/>
  <c r="AI37" i="3"/>
  <c r="AQ25" i="3"/>
  <c r="AJ42" i="3"/>
  <c r="S25" i="3"/>
  <c r="AB31" i="3"/>
  <c r="AL18" i="3"/>
  <c r="Q26" i="3"/>
  <c r="M33" i="3"/>
  <c r="L38" i="3"/>
  <c r="AJ13" i="3"/>
  <c r="AA13" i="3"/>
  <c r="Q12" i="3"/>
  <c r="Y29" i="3"/>
  <c r="C18" i="3"/>
  <c r="S18" i="3"/>
  <c r="T79" i="2"/>
  <c r="N74" i="2"/>
  <c r="P53" i="2"/>
  <c r="J49" i="2"/>
  <c r="M56" i="2"/>
  <c r="N67" i="2"/>
  <c r="S66" i="2"/>
  <c r="O109" i="2"/>
  <c r="V79" i="2"/>
  <c r="AB77" i="3"/>
  <c r="AP87" i="3"/>
  <c r="AB74" i="3"/>
  <c r="H41" i="3"/>
  <c r="R25" i="3"/>
  <c r="P5" i="3"/>
  <c r="AI36" i="3"/>
  <c r="AC26" i="3"/>
  <c r="U9" i="3"/>
  <c r="AO12" i="3"/>
  <c r="Z21" i="3"/>
  <c r="T7" i="3"/>
  <c r="X37" i="3"/>
  <c r="M14" i="3"/>
  <c r="AO26" i="3"/>
  <c r="AJ35" i="3"/>
  <c r="AK38" i="3"/>
  <c r="AD22" i="3"/>
  <c r="AK18" i="3"/>
  <c r="AL11" i="3"/>
  <c r="AQ17" i="3"/>
  <c r="I88" i="2"/>
  <c r="O5" i="3"/>
  <c r="O56" i="3" s="1"/>
  <c r="AG38" i="3"/>
  <c r="W11" i="3"/>
  <c r="N8" i="3"/>
  <c r="AD47" i="3"/>
  <c r="AJ39" i="3"/>
  <c r="V21" i="3"/>
  <c r="T18" i="3"/>
  <c r="AJ21" i="3"/>
  <c r="H33" i="3"/>
  <c r="C99" i="2"/>
  <c r="N111" i="2"/>
  <c r="D95" i="2"/>
  <c r="C40" i="2"/>
  <c r="P57" i="2"/>
  <c r="K77" i="2"/>
  <c r="X109" i="2"/>
  <c r="T110" i="2"/>
  <c r="U113" i="2"/>
  <c r="AB72" i="3"/>
  <c r="AB87" i="3"/>
  <c r="T23" i="3"/>
  <c r="C23" i="3"/>
  <c r="AD50" i="3"/>
  <c r="AD24" i="3"/>
  <c r="X27" i="3"/>
  <c r="AH17" i="3"/>
  <c r="Y13" i="3"/>
  <c r="AG37" i="3"/>
  <c r="M23" i="3"/>
  <c r="AE7" i="3"/>
  <c r="AH37" i="3"/>
  <c r="P27" i="3"/>
  <c r="T41" i="3"/>
  <c r="Q19" i="3"/>
  <c r="J38" i="3"/>
  <c r="AG21" i="3"/>
  <c r="AH40" i="3"/>
  <c r="V27" i="3"/>
  <c r="AP31" i="3"/>
  <c r="AI32" i="3"/>
  <c r="AH29" i="3"/>
  <c r="L36" i="3"/>
  <c r="Y37" i="3"/>
  <c r="AK20" i="3"/>
  <c r="AE20" i="3"/>
  <c r="AQ40" i="3"/>
  <c r="R10" i="3"/>
  <c r="AE30" i="3"/>
  <c r="AA33" i="3"/>
  <c r="I10" i="3"/>
  <c r="M27" i="3"/>
  <c r="R23" i="3"/>
  <c r="T19" i="3"/>
  <c r="AP20" i="3"/>
  <c r="AM17" i="3"/>
  <c r="AQ27" i="3"/>
  <c r="AJ26" i="3"/>
  <c r="Z41" i="3"/>
  <c r="S29" i="3"/>
  <c r="Z42" i="3"/>
  <c r="U5" i="3"/>
  <c r="U47" i="3" s="1"/>
  <c r="C4" i="3"/>
  <c r="Z5" i="3"/>
  <c r="Z92" i="3" s="1"/>
  <c r="AP29" i="3"/>
  <c r="AN39" i="3"/>
  <c r="AL14" i="3"/>
  <c r="K34" i="3"/>
  <c r="U32" i="3"/>
  <c r="S15" i="3"/>
  <c r="AH30" i="3"/>
  <c r="V14" i="3"/>
  <c r="AL35" i="3"/>
  <c r="AE40" i="3"/>
  <c r="AG40" i="3"/>
  <c r="AN13" i="3"/>
  <c r="K22" i="3"/>
  <c r="AG25" i="3"/>
  <c r="Q18" i="3"/>
  <c r="T6" i="3"/>
  <c r="AI26" i="3"/>
  <c r="M40" i="3"/>
  <c r="AK15" i="3"/>
  <c r="C26" i="3"/>
  <c r="S13" i="3"/>
  <c r="N25" i="3"/>
  <c r="AD31" i="3"/>
  <c r="AH38" i="3"/>
  <c r="AH5" i="3"/>
  <c r="AH63" i="3" s="1"/>
  <c r="N33" i="3"/>
  <c r="Q8" i="3"/>
  <c r="W30" i="3"/>
  <c r="W39" i="3"/>
  <c r="X18" i="3"/>
  <c r="L24" i="3"/>
  <c r="X23" i="3"/>
  <c r="AC24" i="3"/>
  <c r="AJ7" i="3"/>
  <c r="AG11" i="3"/>
  <c r="AD39" i="3"/>
  <c r="AC15" i="3"/>
  <c r="AN30" i="3"/>
  <c r="G38" i="3"/>
  <c r="H31" i="3"/>
  <c r="U17" i="3"/>
  <c r="AA19" i="3"/>
  <c r="V15" i="3"/>
  <c r="S48" i="2"/>
  <c r="U40" i="2"/>
  <c r="M11" i="3"/>
  <c r="U28" i="3"/>
  <c r="AD49" i="3"/>
  <c r="F86" i="2"/>
  <c r="T47" i="2"/>
  <c r="F64" i="2"/>
  <c r="Q72" i="2"/>
  <c r="D75" i="2"/>
  <c r="P56" i="2"/>
  <c r="P92" i="2"/>
  <c r="U64" i="2"/>
  <c r="N47" i="2"/>
  <c r="AB47" i="3"/>
  <c r="AB54" i="3"/>
  <c r="C28" i="3"/>
  <c r="AQ13" i="3"/>
  <c r="AN22" i="3"/>
  <c r="AE31" i="3"/>
  <c r="I37" i="3"/>
  <c r="Y6" i="3"/>
  <c r="P25" i="3"/>
  <c r="AI15" i="3"/>
  <c r="AB23" i="3"/>
  <c r="AG27" i="3"/>
  <c r="H40" i="3"/>
  <c r="K23" i="3"/>
  <c r="S17" i="3"/>
  <c r="R17" i="3"/>
  <c r="AE18" i="3"/>
  <c r="Q5" i="3"/>
  <c r="Q48" i="3" s="1"/>
  <c r="AJ36" i="3"/>
  <c r="C24" i="3"/>
  <c r="AM24" i="3"/>
  <c r="AL15" i="3"/>
  <c r="Y24" i="3"/>
  <c r="AE5" i="3"/>
  <c r="AE6" i="3"/>
  <c r="T12" i="3"/>
  <c r="Z26" i="3"/>
  <c r="Z29" i="3"/>
  <c r="AH32" i="3"/>
  <c r="I6" i="3"/>
  <c r="U26" i="3"/>
  <c r="Z7" i="3"/>
  <c r="AI18" i="3"/>
  <c r="AH25" i="3"/>
  <c r="O25" i="3"/>
  <c r="P31" i="3"/>
  <c r="Z22" i="3"/>
  <c r="R13" i="3"/>
  <c r="AB28" i="3"/>
  <c r="X17" i="3"/>
  <c r="AI39" i="3"/>
  <c r="AM31" i="3"/>
  <c r="AI8" i="3"/>
  <c r="L7" i="3"/>
  <c r="K27" i="3"/>
  <c r="AL24" i="3"/>
  <c r="AI40" i="3"/>
  <c r="V17" i="3"/>
  <c r="AM15" i="3"/>
  <c r="S14" i="3"/>
  <c r="W14" i="3"/>
  <c r="J26" i="3"/>
  <c r="AO5" i="3"/>
  <c r="AO90" i="3" s="1"/>
  <c r="S36" i="3"/>
  <c r="U34" i="3"/>
  <c r="S8" i="3"/>
  <c r="AL23" i="3"/>
  <c r="F60" i="2"/>
  <c r="O51" i="2"/>
  <c r="L66" i="2"/>
  <c r="O52" i="2"/>
  <c r="G42" i="2"/>
  <c r="G55" i="2"/>
  <c r="F81" i="2"/>
  <c r="F82" i="2"/>
  <c r="C87" i="2"/>
  <c r="AP83" i="3"/>
  <c r="AP54" i="3"/>
  <c r="R29" i="3"/>
  <c r="R18" i="3"/>
  <c r="AE10" i="3"/>
  <c r="X12" i="3"/>
  <c r="X7" i="3"/>
  <c r="AE21" i="3"/>
  <c r="AD20" i="3"/>
  <c r="AN12" i="3"/>
  <c r="AJ16" i="3"/>
  <c r="P8" i="3"/>
  <c r="L31" i="3"/>
  <c r="AM5" i="3"/>
  <c r="I15" i="3"/>
  <c r="R20" i="3"/>
  <c r="V25" i="3"/>
  <c r="O6" i="3"/>
  <c r="O11" i="3"/>
  <c r="AI28" i="3"/>
  <c r="H32" i="3"/>
  <c r="I40" i="3"/>
  <c r="AQ14" i="3"/>
  <c r="W31" i="3"/>
  <c r="K24" i="3"/>
  <c r="AG36" i="3"/>
  <c r="V11" i="3"/>
  <c r="M5" i="3"/>
  <c r="P40" i="3"/>
  <c r="S19" i="3"/>
  <c r="M37" i="3"/>
  <c r="AA14" i="3"/>
  <c r="J23" i="3"/>
  <c r="Z20" i="3"/>
  <c r="AN10" i="3"/>
  <c r="O31" i="3"/>
  <c r="Q7" i="3"/>
  <c r="D55" i="2"/>
  <c r="AB86" i="3"/>
  <c r="AA22" i="3"/>
  <c r="R11" i="3"/>
  <c r="W32" i="3"/>
  <c r="V39" i="3"/>
  <c r="C57" i="2"/>
  <c r="C105" i="2"/>
  <c r="W82" i="2"/>
  <c r="T86" i="2"/>
  <c r="H90" i="2"/>
  <c r="U85" i="2"/>
  <c r="K63" i="2"/>
  <c r="O47" i="2"/>
  <c r="AP68" i="3"/>
  <c r="AP59" i="3"/>
  <c r="AB49" i="3"/>
  <c r="I22" i="3"/>
  <c r="AJ31" i="3"/>
  <c r="Z6" i="3"/>
  <c r="V24" i="3"/>
  <c r="U15" i="3"/>
  <c r="AA8" i="3"/>
  <c r="AJ41" i="3"/>
  <c r="V41" i="3"/>
  <c r="U31" i="3"/>
  <c r="J42" i="3"/>
  <c r="M13" i="3"/>
  <c r="H36" i="3"/>
  <c r="W7" i="3"/>
  <c r="AP9" i="3"/>
  <c r="AC6" i="3"/>
  <c r="U37" i="3"/>
  <c r="U22" i="3"/>
  <c r="AO25" i="3"/>
  <c r="O7" i="3"/>
  <c r="X25" i="3"/>
  <c r="V7" i="3"/>
  <c r="AL34" i="3"/>
  <c r="I18" i="3"/>
  <c r="AP18" i="3"/>
  <c r="K6" i="3"/>
  <c r="M38" i="3"/>
  <c r="AG34" i="3"/>
  <c r="U23" i="3"/>
  <c r="K10" i="3"/>
  <c r="R39" i="3"/>
  <c r="U25" i="3"/>
  <c r="AB35" i="3"/>
  <c r="P15" i="3"/>
  <c r="Z13" i="3"/>
  <c r="L17" i="3"/>
  <c r="L13" i="3"/>
  <c r="P37" i="3"/>
  <c r="N6" i="3"/>
  <c r="Z18" i="3"/>
  <c r="C29" i="3"/>
  <c r="M42" i="3"/>
  <c r="O14" i="3"/>
  <c r="AL32" i="3"/>
  <c r="AD42" i="3"/>
  <c r="W25" i="3"/>
  <c r="N12" i="3"/>
  <c r="N17" i="3"/>
  <c r="M24" i="3"/>
  <c r="AC40" i="3"/>
  <c r="AG9" i="3"/>
  <c r="T15" i="3"/>
  <c r="X41" i="3"/>
  <c r="AN41" i="3"/>
  <c r="AB9" i="3"/>
  <c r="AG22" i="3"/>
  <c r="AE22" i="3"/>
  <c r="AK16" i="3"/>
  <c r="K8" i="3"/>
  <c r="L41" i="3"/>
  <c r="K26" i="3"/>
  <c r="AQ20" i="3"/>
  <c r="M41" i="3"/>
  <c r="J14" i="3"/>
  <c r="X42" i="3"/>
  <c r="K20" i="3"/>
  <c r="G42" i="3"/>
  <c r="V31" i="3"/>
  <c r="AJ24" i="3"/>
  <c r="AC22" i="3"/>
  <c r="G35" i="3"/>
  <c r="J18" i="3"/>
  <c r="H9" i="3"/>
  <c r="C34" i="3"/>
  <c r="R14" i="3"/>
  <c r="AQ21" i="3"/>
  <c r="Z37" i="3"/>
  <c r="AQ22" i="3"/>
  <c r="AM30" i="3"/>
  <c r="S24" i="3"/>
  <c r="AL21" i="3"/>
  <c r="Y32" i="3"/>
  <c r="AC31" i="3"/>
  <c r="AD33" i="3"/>
  <c r="AE17" i="3"/>
  <c r="AL36" i="3"/>
  <c r="Q14" i="3"/>
  <c r="AI22" i="3"/>
  <c r="R41" i="3"/>
  <c r="AA7" i="3"/>
  <c r="AB14" i="3"/>
  <c r="C31" i="3"/>
  <c r="O36" i="3"/>
  <c r="W17" i="3"/>
  <c r="Q37" i="3"/>
  <c r="K17" i="3"/>
  <c r="AP24" i="3"/>
  <c r="T29" i="3"/>
  <c r="Q20" i="3"/>
  <c r="AL5" i="3"/>
  <c r="AD34" i="3"/>
  <c r="Y27" i="3"/>
  <c r="AO42" i="3"/>
  <c r="AQ34" i="3"/>
  <c r="AI17" i="3"/>
  <c r="Q32" i="3"/>
  <c r="AO8" i="3"/>
  <c r="AI14" i="3"/>
  <c r="C35" i="3"/>
  <c r="Q11" i="3"/>
  <c r="AJ34" i="3"/>
  <c r="AC28" i="3"/>
  <c r="N23" i="3"/>
  <c r="AM6" i="3"/>
  <c r="V37" i="3"/>
  <c r="X6" i="3"/>
  <c r="U73" i="2"/>
  <c r="R70" i="2"/>
  <c r="I111" i="2"/>
  <c r="H58" i="2"/>
  <c r="F59" i="2"/>
  <c r="Q73" i="2"/>
  <c r="Q47" i="2"/>
  <c r="F97" i="2"/>
  <c r="AB81" i="3"/>
  <c r="AP78" i="3"/>
  <c r="C49" i="3"/>
  <c r="AI6" i="3"/>
  <c r="M17" i="3"/>
  <c r="X31" i="3"/>
  <c r="AI24" i="3"/>
  <c r="AH22" i="3"/>
  <c r="M25" i="3"/>
  <c r="M26" i="3"/>
  <c r="AJ8" i="3"/>
  <c r="AK34" i="3"/>
  <c r="AI42" i="3"/>
  <c r="N42" i="3"/>
  <c r="AA11" i="3"/>
  <c r="AJ27" i="3"/>
  <c r="T36" i="3"/>
  <c r="AK25" i="3"/>
  <c r="H39" i="3"/>
  <c r="Y41" i="3"/>
  <c r="P33" i="3"/>
  <c r="AE15" i="3"/>
  <c r="E78" i="2"/>
  <c r="AH21" i="3"/>
  <c r="AB25" i="3"/>
  <c r="L15" i="3"/>
  <c r="H29" i="3"/>
  <c r="O33" i="3"/>
  <c r="AO37" i="3"/>
  <c r="G93" i="2"/>
  <c r="J113" i="2"/>
  <c r="V70" i="2"/>
  <c r="W86" i="2"/>
  <c r="J60" i="2"/>
  <c r="R40" i="2"/>
  <c r="W96" i="2"/>
  <c r="M42" i="2"/>
  <c r="AP70" i="3"/>
  <c r="AB50" i="3"/>
  <c r="AB70" i="3"/>
  <c r="T8" i="3"/>
  <c r="AL20" i="3"/>
  <c r="Y17" i="3"/>
  <c r="AE32" i="3"/>
  <c r="I9" i="3"/>
  <c r="AG17" i="3"/>
  <c r="AI21" i="3"/>
  <c r="AB38" i="3"/>
  <c r="AG15" i="3"/>
  <c r="AM12" i="3"/>
  <c r="I13" i="3"/>
  <c r="C17" i="3"/>
  <c r="J27" i="3"/>
  <c r="AP28" i="3"/>
  <c r="AB12" i="3"/>
  <c r="W16" i="3"/>
  <c r="AG32" i="3"/>
  <c r="AG30" i="3"/>
  <c r="AK36" i="3"/>
  <c r="H18" i="3"/>
  <c r="AQ41" i="3"/>
  <c r="AO23" i="3"/>
  <c r="AC14" i="3"/>
  <c r="R38" i="3"/>
  <c r="P19" i="3"/>
  <c r="AL38" i="3"/>
  <c r="AH34" i="3"/>
  <c r="T21" i="3"/>
  <c r="V32" i="3"/>
  <c r="AQ24" i="3"/>
  <c r="AN40" i="3"/>
  <c r="AD25" i="3"/>
  <c r="I33" i="3"/>
  <c r="Y8" i="3"/>
  <c r="I20" i="3"/>
  <c r="Z32" i="3"/>
  <c r="X33" i="3"/>
  <c r="AP42" i="3"/>
  <c r="U29" i="3"/>
  <c r="L12" i="3"/>
  <c r="AM28" i="3"/>
  <c r="P28" i="3"/>
  <c r="AI7" i="3"/>
  <c r="AQ35" i="3"/>
  <c r="AJ10" i="3"/>
  <c r="V28" i="3"/>
  <c r="AE16" i="3"/>
  <c r="D47" i="3"/>
  <c r="I31" i="3"/>
  <c r="AA15" i="3"/>
  <c r="G47" i="3"/>
  <c r="K33" i="3"/>
  <c r="V36" i="3"/>
  <c r="R12" i="3"/>
  <c r="AG13" i="3"/>
  <c r="N27" i="3"/>
  <c r="AE12" i="3"/>
  <c r="AA39" i="3"/>
  <c r="AH12" i="3"/>
  <c r="AM42" i="3"/>
  <c r="W8" i="3"/>
  <c r="AI33" i="3"/>
  <c r="U40" i="3"/>
  <c r="AD41" i="3"/>
  <c r="AO27" i="3"/>
  <c r="R7" i="3"/>
  <c r="AA38" i="3"/>
  <c r="P38" i="3"/>
  <c r="K25" i="3"/>
  <c r="U20" i="3"/>
  <c r="AO22" i="3"/>
  <c r="J31" i="3"/>
  <c r="AK28" i="3"/>
  <c r="AO40" i="3"/>
  <c r="T31" i="3"/>
  <c r="V23" i="3"/>
  <c r="AN14" i="3"/>
  <c r="AN19" i="3"/>
  <c r="W35" i="3"/>
  <c r="S21" i="3"/>
  <c r="AM29" i="3"/>
  <c r="AO16" i="3"/>
  <c r="N9" i="3"/>
  <c r="P42" i="3"/>
  <c r="K31" i="3"/>
  <c r="H26" i="3"/>
  <c r="AQ10" i="3"/>
  <c r="O12" i="3"/>
  <c r="X11" i="3"/>
  <c r="Z27" i="3"/>
  <c r="Q39" i="3"/>
  <c r="V19" i="3"/>
  <c r="Z33" i="3"/>
  <c r="AG31" i="3"/>
  <c r="AK6" i="3"/>
  <c r="C13" i="3"/>
  <c r="O40" i="3"/>
  <c r="M12" i="3"/>
  <c r="S5" i="3"/>
  <c r="AI78" i="3"/>
  <c r="AI60" i="3"/>
  <c r="AK77" i="3"/>
  <c r="AK69" i="3"/>
  <c r="L66" i="3"/>
  <c r="L59" i="3"/>
  <c r="O66" i="3"/>
  <c r="J85" i="3"/>
  <c r="AN71" i="3"/>
  <c r="M95" i="3"/>
  <c r="M59" i="3"/>
  <c r="AO50" i="3"/>
  <c r="N71" i="3"/>
  <c r="M48" i="3"/>
  <c r="V79" i="3"/>
  <c r="S87" i="3"/>
  <c r="AG73" i="3"/>
  <c r="Z70" i="3"/>
  <c r="AL93" i="3"/>
  <c r="S73" i="3"/>
  <c r="Y96" i="3"/>
  <c r="AQ72" i="3"/>
  <c r="I80" i="3"/>
  <c r="Z64" i="3"/>
  <c r="K89" i="3"/>
  <c r="AO71" i="3"/>
  <c r="I48" i="3"/>
  <c r="Q86" i="3"/>
  <c r="N50" i="3"/>
  <c r="K62" i="3"/>
  <c r="AA88" i="3"/>
  <c r="AG56" i="3"/>
  <c r="S47" i="3"/>
  <c r="M92" i="3"/>
  <c r="S69" i="3"/>
  <c r="AK93" i="3"/>
  <c r="R74" i="3"/>
  <c r="AI97" i="3"/>
  <c r="AM81" i="3"/>
  <c r="L94" i="3"/>
  <c r="AE68" i="3"/>
  <c r="P50" i="3"/>
  <c r="L63" i="3"/>
  <c r="J81" i="3"/>
  <c r="X89" i="3"/>
  <c r="Y47" i="3"/>
  <c r="Q68" i="3"/>
  <c r="AO82" i="3"/>
  <c r="Z58" i="3"/>
  <c r="AQ94" i="3"/>
  <c r="N56" i="3"/>
  <c r="AM88" i="3"/>
  <c r="AJ47" i="3"/>
  <c r="AG85" i="3"/>
  <c r="U58" i="3"/>
  <c r="AJ59" i="3"/>
  <c r="AO62" i="3"/>
  <c r="K55" i="3"/>
  <c r="AH96" i="3"/>
  <c r="Y87" i="3"/>
  <c r="I49" i="3"/>
  <c r="K64" i="3"/>
  <c r="AJ75" i="3"/>
  <c r="AO84" i="3"/>
  <c r="X94" i="3"/>
  <c r="AQ78" i="3"/>
  <c r="AC57" i="3"/>
  <c r="N48" i="3"/>
  <c r="K91" i="3"/>
  <c r="AA85" i="3"/>
  <c r="S76" i="3"/>
  <c r="U57" i="3"/>
  <c r="S48" i="3"/>
  <c r="AH55" i="3"/>
  <c r="AI71" i="3"/>
  <c r="L93" i="3"/>
  <c r="AH49" i="3"/>
  <c r="AK97" i="3"/>
  <c r="AK54" i="3"/>
  <c r="AI94" i="3"/>
  <c r="L62" i="3"/>
  <c r="Q73" i="3"/>
  <c r="Q88" i="3"/>
  <c r="L78" i="3"/>
  <c r="AJ69" i="3"/>
  <c r="M57" i="3"/>
  <c r="AO78" i="3"/>
  <c r="M72" i="3"/>
  <c r="Q94" i="3"/>
  <c r="AH69" i="3"/>
  <c r="I58" i="3"/>
  <c r="S70" i="3"/>
  <c r="O58" i="3"/>
  <c r="AM89" i="3"/>
  <c r="O76" i="3"/>
  <c r="AO88" i="3"/>
  <c r="AM58" i="3"/>
  <c r="AJ58" i="3"/>
  <c r="Y83" i="3"/>
  <c r="V47" i="3"/>
  <c r="AQ91" i="3"/>
  <c r="AN59" i="3"/>
  <c r="AK65" i="3"/>
  <c r="S63" i="3"/>
  <c r="X83" i="3"/>
  <c r="O64" i="3"/>
  <c r="AJ88" i="3"/>
  <c r="Y67" i="3"/>
  <c r="I55" i="3"/>
  <c r="V72" i="3"/>
  <c r="K92" i="3"/>
  <c r="K93" i="3"/>
  <c r="K58" i="3"/>
  <c r="AG82" i="3"/>
  <c r="J74" i="3"/>
  <c r="K85" i="3"/>
  <c r="P55" i="3"/>
  <c r="N86" i="3"/>
  <c r="I78" i="3"/>
  <c r="AM56" i="3"/>
  <c r="AE83" i="3"/>
  <c r="J97" i="3"/>
  <c r="R83" i="3"/>
  <c r="AK96" i="3"/>
  <c r="L82" i="3"/>
  <c r="O47" i="3"/>
  <c r="J80" i="3"/>
  <c r="J56" i="3"/>
  <c r="AE85" i="3"/>
  <c r="P61" i="3"/>
  <c r="AJ67" i="3"/>
  <c r="Q75" i="3"/>
  <c r="X54" i="3"/>
  <c r="AA95" i="3"/>
  <c r="V87" i="3"/>
  <c r="AK89" i="3"/>
  <c r="AA87" i="3"/>
  <c r="AL89" i="3"/>
  <c r="AH56" i="3"/>
  <c r="AG49" i="3"/>
  <c r="Z76" i="3"/>
  <c r="AL61" i="3"/>
  <c r="AH64" i="3"/>
  <c r="Y84" i="3"/>
  <c r="R54" i="3"/>
  <c r="P69" i="3"/>
  <c r="AC86" i="3"/>
  <c r="S85" i="3"/>
  <c r="AO49" i="3"/>
  <c r="I77" i="3"/>
  <c r="Q74" i="3"/>
  <c r="AQ58" i="3"/>
  <c r="J92" i="3"/>
  <c r="Q71" i="3"/>
  <c r="S71" i="3"/>
  <c r="K54" i="3"/>
  <c r="X80" i="3"/>
  <c r="AI87" i="3"/>
  <c r="O63" i="3"/>
  <c r="S58" i="3"/>
  <c r="AI69" i="3"/>
  <c r="M60" i="3"/>
  <c r="P88" i="3"/>
  <c r="O83" i="3"/>
  <c r="X49" i="3"/>
  <c r="P84" i="3"/>
  <c r="J90" i="3"/>
  <c r="AC75" i="3"/>
  <c r="O86" i="3"/>
  <c r="AI88" i="3"/>
  <c r="J60" i="3"/>
  <c r="AO58" i="3"/>
  <c r="Z48" i="3"/>
  <c r="N91" i="3"/>
  <c r="AM91" i="3"/>
  <c r="AN94" i="3"/>
  <c r="AG70" i="3"/>
  <c r="U69" i="3"/>
  <c r="AJ66" i="3"/>
  <c r="AO68" i="3"/>
  <c r="S65" i="3"/>
  <c r="AH70" i="3"/>
  <c r="Y64" i="3"/>
  <c r="I54" i="3"/>
  <c r="S93" i="3"/>
  <c r="AJ50" i="3"/>
  <c r="V61" i="3"/>
  <c r="X65" i="3"/>
  <c r="AQ82" i="3"/>
  <c r="AE90" i="3"/>
  <c r="Q97" i="3"/>
  <c r="AG95" i="3"/>
  <c r="AE56" i="3"/>
  <c r="AJ48" i="3"/>
  <c r="U94" i="3"/>
  <c r="Y91" i="3"/>
  <c r="X56" i="3"/>
  <c r="AI49" i="3"/>
  <c r="AN88" i="3"/>
  <c r="Z65" i="3"/>
  <c r="N54" i="3"/>
  <c r="N89" i="3"/>
  <c r="L79" i="3"/>
  <c r="L58" i="3"/>
  <c r="V67" i="3"/>
  <c r="AA63" i="3"/>
  <c r="K94" i="3"/>
  <c r="Q89" i="3"/>
  <c r="J59" i="3"/>
  <c r="AH94" i="3"/>
  <c r="N70" i="3"/>
  <c r="AM64" i="3"/>
  <c r="J75" i="3"/>
  <c r="O70" i="3"/>
  <c r="M88" i="3"/>
  <c r="AA86" i="3"/>
  <c r="X76" i="3"/>
  <c r="AQ66" i="3"/>
  <c r="AL79" i="3"/>
  <c r="R49" i="3"/>
  <c r="AG94" i="3"/>
  <c r="U93" i="3"/>
  <c r="AH87" i="3"/>
  <c r="AO92" i="3"/>
  <c r="AM80" i="3"/>
  <c r="AK68" i="3"/>
  <c r="AJ61" i="3"/>
  <c r="M94" i="3"/>
  <c r="P58" i="3"/>
  <c r="L69" i="3"/>
  <c r="AE67" i="3"/>
  <c r="AJ95" i="3"/>
  <c r="AJ72" i="3"/>
  <c r="O90" i="3"/>
  <c r="AN78" i="3"/>
  <c r="AN90" i="3"/>
  <c r="X63" i="3"/>
  <c r="AA59" i="3"/>
  <c r="K80" i="3"/>
  <c r="AK85" i="3"/>
  <c r="AA76" i="3"/>
  <c r="AL96" i="3"/>
  <c r="AH66" i="3"/>
  <c r="S79" i="3"/>
  <c r="AC65" i="3"/>
  <c r="K72" i="3"/>
  <c r="AH71" i="3"/>
  <c r="Y94" i="3"/>
  <c r="R47" i="3"/>
  <c r="M69" i="3"/>
  <c r="O71" i="3"/>
  <c r="T58" i="3"/>
  <c r="AH77" i="3"/>
  <c r="V97" i="3"/>
  <c r="I57" i="3"/>
  <c r="AJ65" i="3"/>
  <c r="AJ54" i="3"/>
  <c r="AN62" i="3"/>
  <c r="AJ74" i="3"/>
  <c r="AH73" i="3"/>
  <c r="Y63" i="3"/>
  <c r="AC69" i="3"/>
  <c r="AI56" i="3"/>
  <c r="AI95" i="3"/>
  <c r="L64" i="3"/>
  <c r="AI57" i="3"/>
  <c r="P87" i="3"/>
  <c r="AA83" i="3"/>
  <c r="P62" i="3"/>
  <c r="O57" i="3"/>
  <c r="O48" i="3"/>
  <c r="T75" i="3"/>
  <c r="AA91" i="3"/>
  <c r="M76" i="3"/>
  <c r="O62" i="3"/>
  <c r="AE69" i="3"/>
  <c r="S95" i="3"/>
  <c r="AC71" i="3"/>
  <c r="N97" i="3"/>
  <c r="AM96" i="3"/>
  <c r="Z97" i="3"/>
  <c r="AG90" i="3"/>
  <c r="R78" i="3"/>
  <c r="AJ76" i="3"/>
  <c r="V66" i="3"/>
  <c r="S75" i="3"/>
  <c r="U84" i="3"/>
  <c r="Y61" i="3"/>
  <c r="I93" i="3"/>
  <c r="AH50" i="3"/>
  <c r="AN48" i="3"/>
  <c r="AL94" i="3"/>
  <c r="Z72" i="3"/>
  <c r="AQ92" i="3"/>
  <c r="Z68" i="3"/>
  <c r="J73" i="3"/>
  <c r="Z82" i="3"/>
  <c r="X86" i="3"/>
  <c r="Y69" i="3"/>
  <c r="I87" i="3"/>
  <c r="T47" i="3"/>
  <c r="AI54" i="3"/>
  <c r="P66" i="3"/>
  <c r="J70" i="3"/>
  <c r="AI96" i="3"/>
  <c r="N64" i="3"/>
  <c r="L84" i="3"/>
  <c r="P47" i="3"/>
  <c r="AN67" i="3"/>
  <c r="P56" i="3"/>
  <c r="X90" i="3"/>
  <c r="AO76" i="3"/>
  <c r="Y74" i="3"/>
  <c r="AJ82" i="3"/>
  <c r="AN89" i="3"/>
  <c r="AH84" i="3"/>
  <c r="AL66" i="3"/>
  <c r="Z54" i="3"/>
  <c r="AI68" i="3"/>
  <c r="AA81" i="3"/>
  <c r="V69" i="3"/>
  <c r="X97" i="3"/>
  <c r="Q93" i="3"/>
  <c r="AC79" i="3"/>
  <c r="R79" i="3"/>
  <c r="AH79" i="3"/>
  <c r="Z57" i="3"/>
  <c r="O92" i="3"/>
  <c r="AJ81" i="3"/>
  <c r="U95" i="3"/>
  <c r="AQ95" i="3"/>
  <c r="Z96" i="3"/>
  <c r="AG71" i="3"/>
  <c r="R50" i="3"/>
  <c r="M64" i="3"/>
  <c r="Q66" i="3"/>
  <c r="AG83" i="3"/>
  <c r="S84" i="3"/>
  <c r="Q64" i="3"/>
  <c r="I86" i="3"/>
  <c r="Y90" i="3"/>
  <c r="Z63" i="3"/>
  <c r="AA92" i="3"/>
  <c r="AE58" i="3"/>
  <c r="P80" i="3"/>
  <c r="AA48" i="3"/>
  <c r="AM67" i="3"/>
  <c r="AK56" i="3"/>
  <c r="AI58" i="3"/>
  <c r="Q58" i="3"/>
  <c r="O95" i="3"/>
  <c r="AN75" i="3"/>
  <c r="M61" i="3"/>
  <c r="AN96" i="3"/>
  <c r="M91" i="3"/>
  <c r="T49" i="3"/>
  <c r="N85" i="3"/>
  <c r="Z49" i="3"/>
  <c r="J48" i="3"/>
  <c r="K79" i="3"/>
  <c r="AK48" i="3"/>
  <c r="J66" i="3"/>
  <c r="AL68" i="3"/>
  <c r="U60" i="3"/>
  <c r="Q76" i="3"/>
  <c r="AC76" i="3"/>
  <c r="K63" i="3"/>
  <c r="AH76" i="3"/>
  <c r="Y80" i="3"/>
  <c r="R84" i="3"/>
  <c r="AG58" i="3"/>
  <c r="J69" i="3"/>
  <c r="T54" i="3"/>
  <c r="U66" i="3"/>
  <c r="V96" i="3"/>
  <c r="I81" i="3"/>
  <c r="X81" i="3"/>
  <c r="AO81" i="3"/>
  <c r="AN76" i="3"/>
  <c r="AH48" i="3"/>
  <c r="AQ97" i="3"/>
  <c r="T84" i="3"/>
  <c r="AK80" i="3"/>
  <c r="AI63" i="3"/>
  <c r="AI47" i="3"/>
  <c r="L88" i="3"/>
  <c r="O74" i="3"/>
  <c r="AJ70" i="3"/>
  <c r="L56" i="3"/>
  <c r="Q55" i="3"/>
  <c r="P79" i="3"/>
  <c r="AE47" i="3"/>
  <c r="Q60" i="3"/>
  <c r="O84" i="3"/>
  <c r="AE49" i="3"/>
  <c r="U85" i="3"/>
  <c r="T65" i="3"/>
  <c r="N84" i="3"/>
  <c r="AM75" i="3"/>
  <c r="AC58" i="3"/>
  <c r="AG47" i="3"/>
  <c r="R55" i="3"/>
  <c r="AN83" i="3"/>
  <c r="V64" i="3"/>
  <c r="S59" i="3"/>
  <c r="U67" i="3"/>
  <c r="Y89" i="3"/>
  <c r="I66" i="3"/>
  <c r="Y88" i="3"/>
  <c r="AN72" i="3"/>
  <c r="AL50" i="3"/>
  <c r="Z89" i="3"/>
  <c r="AQ81" i="3"/>
  <c r="AJ79" i="3"/>
  <c r="AN58" i="3"/>
  <c r="V71" i="3"/>
  <c r="Z86" i="3"/>
  <c r="Y79" i="3"/>
  <c r="Q61" i="3"/>
  <c r="AO89" i="3"/>
  <c r="AK59" i="3"/>
  <c r="AA74" i="3"/>
  <c r="AN77" i="3"/>
  <c r="AI83" i="3"/>
  <c r="AM62" i="3"/>
  <c r="L60" i="3"/>
  <c r="AJ55" i="3"/>
  <c r="AA56" i="3"/>
  <c r="AC87" i="3"/>
  <c r="X68" i="3"/>
  <c r="U83" i="3"/>
  <c r="AH61" i="3"/>
  <c r="AC48" i="3"/>
  <c r="P67" i="3"/>
  <c r="J77" i="3"/>
  <c r="O55" i="3"/>
  <c r="AC67" i="3"/>
  <c r="X50" i="3"/>
  <c r="AO95" i="3"/>
  <c r="I84" i="3"/>
  <c r="Z56" i="3"/>
  <c r="L76" i="3"/>
  <c r="AN84" i="3"/>
  <c r="AL69" i="3"/>
  <c r="Y93" i="3"/>
  <c r="I74" i="3"/>
  <c r="AQ48" i="3"/>
  <c r="AG55" i="3"/>
  <c r="N66" i="3"/>
  <c r="X61" i="3"/>
  <c r="AI75" i="3"/>
  <c r="AK95" i="3"/>
  <c r="AI90" i="3"/>
  <c r="AC83" i="3"/>
  <c r="AA89" i="3"/>
  <c r="AA58" i="3"/>
  <c r="Z93" i="3"/>
  <c r="AA97" i="3"/>
  <c r="Z73" i="3"/>
  <c r="AA55" i="3"/>
  <c r="AO73" i="3"/>
  <c r="N96" i="3"/>
  <c r="Z47" i="3"/>
  <c r="AJ57" i="3"/>
  <c r="AG86" i="3"/>
  <c r="AM71" i="3"/>
  <c r="AE93" i="3"/>
  <c r="K86" i="3"/>
  <c r="U74" i="3"/>
  <c r="Q81" i="3"/>
  <c r="AC73" i="3"/>
  <c r="K75" i="3"/>
  <c r="AH74" i="3"/>
  <c r="Y56" i="3"/>
  <c r="R86" i="3"/>
  <c r="AL85" i="3"/>
  <c r="AE65" i="3"/>
  <c r="AO63" i="3"/>
  <c r="I68" i="3"/>
  <c r="AQ57" i="3"/>
  <c r="P76" i="3"/>
  <c r="V85" i="3"/>
  <c r="Z55" i="3"/>
  <c r="AL77" i="3"/>
  <c r="AN63" i="3"/>
  <c r="U79" i="3"/>
  <c r="P94" i="3"/>
  <c r="V49" i="3"/>
  <c r="N93" i="3"/>
  <c r="AE74" i="3"/>
  <c r="AM74" i="3"/>
  <c r="AK49" i="3"/>
  <c r="J83" i="3"/>
  <c r="AI77" i="3"/>
  <c r="P96" i="3"/>
  <c r="J79" i="3"/>
  <c r="AE96" i="3"/>
  <c r="AN82" i="3"/>
  <c r="J94" i="3"/>
  <c r="M93" i="3"/>
  <c r="AJ60" i="3"/>
  <c r="AA72" i="3"/>
  <c r="T96" i="3"/>
  <c r="N92" i="3"/>
  <c r="AG84" i="3"/>
  <c r="T69" i="3"/>
  <c r="AG59" i="3"/>
  <c r="R90" i="3"/>
  <c r="AN91" i="3"/>
  <c r="V86" i="3"/>
  <c r="S82" i="3"/>
  <c r="U91" i="3"/>
  <c r="AQ73" i="3"/>
  <c r="I62" i="3"/>
  <c r="AQ70" i="3"/>
  <c r="X62" i="3"/>
  <c r="AL86" i="3"/>
  <c r="AC63" i="3"/>
  <c r="R82" i="3"/>
  <c r="P54" i="3"/>
  <c r="X60" i="3"/>
  <c r="AL57" i="3"/>
  <c r="T94" i="3"/>
  <c r="Y82" i="3"/>
  <c r="AJ89" i="3"/>
  <c r="V77" i="3"/>
  <c r="AK94" i="3"/>
  <c r="AJ64" i="3"/>
  <c r="AI50" i="3"/>
  <c r="AI61" i="3"/>
  <c r="M74" i="3"/>
  <c r="O94" i="3"/>
  <c r="L57" i="3"/>
  <c r="AA82" i="3"/>
  <c r="M78" i="3"/>
  <c r="K47" i="3"/>
  <c r="AE54" i="3"/>
  <c r="V88" i="3"/>
  <c r="AC81" i="3"/>
  <c r="U80" i="3"/>
  <c r="AQ85" i="3"/>
  <c r="T93" i="3"/>
  <c r="AK86" i="3"/>
  <c r="M82" i="3"/>
  <c r="AE73" i="3"/>
  <c r="AE97" i="3"/>
  <c r="V84" i="3"/>
  <c r="V50" i="3"/>
  <c r="AL64" i="3"/>
  <c r="I75" i="3"/>
  <c r="T76" i="3"/>
  <c r="P85" i="3"/>
  <c r="AA70" i="3"/>
  <c r="AG80" i="3"/>
  <c r="AQ75" i="3"/>
  <c r="T78" i="3"/>
  <c r="M54" i="3"/>
  <c r="AH60" i="3"/>
  <c r="K49" i="3"/>
  <c r="P73" i="3"/>
  <c r="J76" i="3"/>
  <c r="N68" i="3"/>
  <c r="R66" i="3"/>
  <c r="AH59" i="3"/>
  <c r="Z85" i="3"/>
  <c r="N61" i="3"/>
  <c r="I65" i="3"/>
  <c r="Q80" i="3"/>
  <c r="U78" i="3"/>
  <c r="AL90" i="3"/>
  <c r="K69" i="3"/>
  <c r="M84" i="3"/>
  <c r="AE86" i="3"/>
  <c r="AH88" i="3"/>
  <c r="O93" i="3"/>
  <c r="AI64" i="3"/>
  <c r="N49" i="3"/>
  <c r="AM47" i="3"/>
  <c r="L92" i="3"/>
  <c r="J86" i="3"/>
  <c r="Q85" i="3"/>
  <c r="AI70" i="3"/>
  <c r="Q57" i="3"/>
  <c r="AC97" i="3"/>
  <c r="AC78" i="3"/>
  <c r="V57" i="3"/>
  <c r="M47" i="3"/>
  <c r="AC56" i="3"/>
  <c r="X47" i="3"/>
  <c r="AH72" i="3"/>
  <c r="AM76" i="3"/>
  <c r="AJ97" i="3"/>
  <c r="AG67" i="3"/>
  <c r="U65" i="3"/>
  <c r="AE70" i="3"/>
  <c r="AO83" i="3"/>
  <c r="K77" i="3"/>
  <c r="AH57" i="3"/>
  <c r="Y70" i="3"/>
  <c r="R70" i="3"/>
  <c r="K61" i="3"/>
  <c r="AE92" i="3"/>
  <c r="AO79" i="3"/>
  <c r="X70" i="3"/>
  <c r="AQ80" i="3"/>
  <c r="X88" i="3"/>
  <c r="AO67" i="3"/>
  <c r="K59" i="3"/>
  <c r="Z81" i="3"/>
  <c r="Y58" i="3"/>
  <c r="AE50" i="3"/>
  <c r="AQ84" i="3"/>
  <c r="L47" i="3"/>
  <c r="AM69" i="3"/>
  <c r="AK81" i="3"/>
  <c r="L97" i="3"/>
  <c r="L65" i="3"/>
  <c r="AI80" i="3"/>
  <c r="O59" i="3"/>
  <c r="AE81" i="3"/>
  <c r="J47" i="3"/>
  <c r="AE66" i="3"/>
  <c r="P93" i="3"/>
  <c r="AE95" i="3"/>
  <c r="AA79" i="3"/>
  <c r="AN54" i="3"/>
  <c r="Z60" i="3"/>
  <c r="AO72" i="3"/>
  <c r="N82" i="3"/>
  <c r="U77" i="3"/>
  <c r="AO93" i="3"/>
  <c r="AG60" i="3"/>
  <c r="T57" i="3"/>
  <c r="X82" i="3"/>
  <c r="AL78" i="3"/>
  <c r="U76" i="3"/>
  <c r="AQ61" i="3"/>
  <c r="I69" i="3"/>
  <c r="AQ64" i="3"/>
  <c r="X84" i="3"/>
  <c r="K82" i="3"/>
  <c r="T92" i="3"/>
  <c r="R71" i="3"/>
  <c r="AA64" i="3"/>
  <c r="AC70" i="3"/>
  <c r="N90" i="3"/>
  <c r="AG54" i="3"/>
  <c r="AQ77" i="3"/>
  <c r="AQ55" i="3"/>
  <c r="N57" i="3"/>
  <c r="P97" i="3"/>
  <c r="L49" i="3"/>
  <c r="P89" i="3"/>
  <c r="O79" i="3"/>
  <c r="AA94" i="3"/>
  <c r="P70" i="3"/>
  <c r="J78" i="3"/>
  <c r="AJ56" i="3"/>
  <c r="AN80" i="3"/>
  <c r="AL84" i="3"/>
  <c r="Y97" i="3"/>
  <c r="I89" i="3"/>
  <c r="AK79" i="3"/>
  <c r="AI86" i="3"/>
  <c r="AL49" i="3"/>
  <c r="V62" i="3"/>
  <c r="R94" i="3"/>
  <c r="AK60" i="3"/>
  <c r="N94" i="3"/>
  <c r="J68" i="3"/>
  <c r="L70" i="3"/>
  <c r="V56" i="3"/>
  <c r="AG62" i="3"/>
  <c r="AA93" i="3"/>
  <c r="T55" i="3"/>
  <c r="Y54" i="3"/>
  <c r="N78" i="3"/>
  <c r="AN70" i="3"/>
  <c r="AG93" i="3"/>
  <c r="AJ85" i="3"/>
  <c r="AO48" i="3"/>
  <c r="AH83" i="3"/>
  <c r="Y62" i="3"/>
  <c r="AJ83" i="3"/>
  <c r="V95" i="3"/>
  <c r="Z88" i="3"/>
  <c r="AQ86" i="3"/>
  <c r="AA80" i="3"/>
  <c r="U61" i="3"/>
  <c r="N87" i="3"/>
  <c r="AG75" i="3"/>
  <c r="AC94" i="3"/>
  <c r="Y85" i="3"/>
  <c r="AQ96" i="3"/>
  <c r="AM50" i="3"/>
  <c r="AK61" i="3"/>
  <c r="L86" i="3"/>
  <c r="L73" i="3"/>
  <c r="AJ87" i="3"/>
  <c r="AJ63" i="3"/>
  <c r="AJ93" i="3"/>
  <c r="O91" i="3"/>
  <c r="AJ84" i="3"/>
  <c r="Q63" i="3"/>
  <c r="X78" i="3"/>
  <c r="M83" i="3"/>
  <c r="AO74" i="3"/>
  <c r="W68" i="3"/>
  <c r="N88" i="3"/>
  <c r="M49" i="3"/>
  <c r="V60" i="3"/>
  <c r="AG64" i="3"/>
  <c r="AG66" i="3"/>
  <c r="X55" i="3"/>
  <c r="AL73" i="3"/>
  <c r="S56" i="3"/>
  <c r="U87" i="3"/>
  <c r="AQ79" i="3"/>
  <c r="W70" i="3"/>
  <c r="R76" i="3"/>
  <c r="Z61" i="3"/>
  <c r="K56" i="3"/>
  <c r="T70" i="3"/>
  <c r="N69" i="3"/>
  <c r="L67" i="3"/>
  <c r="AE64" i="3"/>
  <c r="AL54" i="3"/>
  <c r="L77" i="3"/>
  <c r="AE82" i="3"/>
  <c r="U56" i="3"/>
  <c r="Q96" i="3"/>
  <c r="AO54" i="3"/>
  <c r="Z74" i="3"/>
  <c r="I79" i="3"/>
  <c r="N47" i="3"/>
  <c r="AM61" i="3"/>
  <c r="X92" i="3"/>
  <c r="AG81" i="3"/>
  <c r="U63" i="3"/>
  <c r="AJ96" i="3"/>
  <c r="AO96" i="3"/>
  <c r="S54" i="3"/>
  <c r="U97" i="3"/>
  <c r="Y75" i="3"/>
  <c r="I47" i="3"/>
  <c r="AH68" i="3"/>
  <c r="AN74" i="3"/>
  <c r="AL56" i="3"/>
  <c r="Z84" i="3"/>
  <c r="AQ47" i="3"/>
  <c r="P68" i="3"/>
  <c r="AN92" i="3"/>
  <c r="M80" i="3"/>
  <c r="N95" i="3"/>
  <c r="AG92" i="3"/>
  <c r="AO77" i="3"/>
  <c r="AQ67" i="3"/>
  <c r="X79" i="3"/>
  <c r="R89" i="3"/>
  <c r="AM93" i="3"/>
  <c r="AA57" i="3"/>
  <c r="AI93" i="3"/>
  <c r="AK57" i="3"/>
  <c r="AJ91" i="3"/>
  <c r="M50" i="3"/>
  <c r="P75" i="3"/>
  <c r="P57" i="3"/>
  <c r="AN85" i="3"/>
  <c r="M65" i="3"/>
  <c r="AN65" i="3"/>
  <c r="M71" i="3"/>
  <c r="AN79" i="3"/>
  <c r="AO65" i="3"/>
  <c r="X73" i="3"/>
  <c r="AA50" i="3"/>
  <c r="V65" i="3"/>
  <c r="W66" i="3"/>
  <c r="AK71" i="3"/>
  <c r="AA54" i="3"/>
  <c r="AL65" i="3"/>
  <c r="S78" i="3"/>
  <c r="AG87" i="3"/>
  <c r="Z78" i="3"/>
  <c r="AL67" i="3"/>
  <c r="S57" i="3"/>
  <c r="Y49" i="3"/>
  <c r="AQ76" i="3"/>
  <c r="N65" i="3"/>
  <c r="I88" i="3"/>
  <c r="AC59" i="3"/>
  <c r="K50" i="3"/>
  <c r="T97" i="3"/>
  <c r="R58" i="3"/>
  <c r="M58" i="3"/>
  <c r="AA71" i="3"/>
  <c r="AK66" i="3"/>
  <c r="AI89" i="3"/>
  <c r="AM84" i="3"/>
  <c r="P71" i="3"/>
  <c r="O54" i="3"/>
  <c r="X69" i="3"/>
  <c r="P92" i="3"/>
  <c r="L72" i="3"/>
  <c r="O69" i="3"/>
  <c r="X91" i="3"/>
  <c r="O88" i="3"/>
  <c r="AI74" i="3"/>
  <c r="Q70" i="3"/>
  <c r="AO59" i="3"/>
  <c r="AC68" i="3"/>
  <c r="W77" i="3"/>
  <c r="N62" i="3"/>
  <c r="AM92" i="3"/>
  <c r="AC55" i="3"/>
  <c r="AG68" i="3"/>
  <c r="R48" i="3"/>
  <c r="AN57" i="3"/>
  <c r="V80" i="3"/>
  <c r="S94" i="3"/>
  <c r="U96" i="3"/>
  <c r="Y73" i="3"/>
  <c r="I56" i="3"/>
  <c r="Y78" i="3"/>
  <c r="AN95" i="3"/>
  <c r="AL63" i="3"/>
  <c r="AC95" i="3"/>
  <c r="R63" i="3"/>
  <c r="J82" i="3"/>
  <c r="V81" i="3"/>
  <c r="J54" i="3"/>
  <c r="AK58" i="3"/>
  <c r="S88" i="3"/>
  <c r="V63" i="3"/>
  <c r="R91" i="3"/>
  <c r="AC93" i="3"/>
  <c r="I96" i="3"/>
  <c r="P82" i="3"/>
  <c r="AL62" i="3"/>
  <c r="AK74" i="3"/>
  <c r="AK83" i="3"/>
  <c r="AI73" i="3"/>
  <c r="Q56" i="3"/>
  <c r="M86" i="3"/>
  <c r="O67" i="3"/>
  <c r="T86" i="3"/>
  <c r="AA96" i="3"/>
  <c r="Z90" i="3"/>
  <c r="AA90" i="3"/>
  <c r="T64" i="3"/>
  <c r="N58" i="3"/>
  <c r="Z77" i="3"/>
  <c r="J50" i="3"/>
  <c r="K48" i="3"/>
  <c r="W60" i="3"/>
  <c r="AK82" i="3"/>
  <c r="AA61" i="3"/>
  <c r="AL92" i="3"/>
  <c r="AH67" i="3"/>
  <c r="S61" i="3"/>
  <c r="Z79" i="3"/>
  <c r="K74" i="3"/>
  <c r="AH86" i="3"/>
  <c r="Y95" i="3"/>
  <c r="R75" i="3"/>
  <c r="P91" i="3"/>
  <c r="AC96" i="3"/>
  <c r="S89" i="3"/>
  <c r="AO70" i="3"/>
  <c r="I71" i="3"/>
  <c r="AE62" i="3"/>
  <c r="J61" i="3"/>
  <c r="AK50" i="3"/>
  <c r="AH81" i="3"/>
  <c r="K81" i="3"/>
  <c r="I94" i="3"/>
  <c r="AO75" i="3"/>
  <c r="I85" i="3"/>
  <c r="V82" i="3"/>
  <c r="P83" i="3"/>
  <c r="AM94" i="3"/>
  <c r="AK75" i="3"/>
  <c r="P49" i="3"/>
  <c r="P95" i="3"/>
  <c r="AK70" i="3"/>
  <c r="O73" i="3"/>
  <c r="AJ86" i="3"/>
  <c r="X95" i="3"/>
  <c r="J62" i="3"/>
  <c r="AQ90" i="3"/>
  <c r="N74" i="3"/>
  <c r="AG72" i="3"/>
  <c r="K88" i="3"/>
  <c r="AQ69" i="3"/>
  <c r="Z59" i="3"/>
  <c r="I82" i="3"/>
  <c r="AM95" i="3"/>
  <c r="Q65" i="3"/>
  <c r="X48" i="3"/>
  <c r="N60" i="3"/>
  <c r="W54" i="3"/>
  <c r="U72" i="3"/>
  <c r="AH92" i="3"/>
  <c r="P81" i="3"/>
  <c r="I91" i="3"/>
  <c r="AJ78" i="3"/>
  <c r="Z95" i="3"/>
  <c r="AN87" i="3"/>
  <c r="J67" i="3"/>
  <c r="X87" i="3"/>
  <c r="W72" i="3"/>
  <c r="V59" i="3"/>
  <c r="S64" i="3"/>
  <c r="AE77" i="3"/>
  <c r="AA68" i="3"/>
  <c r="AM70" i="3"/>
  <c r="X74" i="3"/>
  <c r="AQ50" i="3"/>
  <c r="T56" i="3"/>
  <c r="AG89" i="3"/>
  <c r="AL80" i="3"/>
  <c r="AO87" i="3"/>
  <c r="S62" i="3"/>
  <c r="AJ68" i="3"/>
  <c r="AJ62" i="3"/>
  <c r="K76" i="3"/>
  <c r="X64" i="3"/>
  <c r="AN56" i="3"/>
  <c r="AJ90" i="3"/>
  <c r="N55" i="3"/>
  <c r="K95" i="3"/>
  <c r="Z71" i="3"/>
  <c r="J63" i="3"/>
  <c r="R57" i="3"/>
  <c r="U70" i="3"/>
  <c r="R81" i="3"/>
  <c r="AJ92" i="3"/>
  <c r="AH93" i="3"/>
  <c r="AI85" i="3"/>
  <c r="AI65" i="3"/>
  <c r="M97" i="3"/>
  <c r="O60" i="3"/>
  <c r="L80" i="3"/>
  <c r="P60" i="3"/>
  <c r="J72" i="3"/>
  <c r="AC82" i="3"/>
  <c r="M87" i="3"/>
  <c r="P86" i="3"/>
  <c r="J87" i="3"/>
  <c r="S72" i="3"/>
  <c r="AC84" i="3"/>
  <c r="W87" i="3"/>
  <c r="N83" i="3"/>
  <c r="AM86" i="3"/>
  <c r="T80" i="3"/>
  <c r="AG88" i="3"/>
  <c r="R88" i="3"/>
  <c r="AN86" i="3"/>
  <c r="V55" i="3"/>
  <c r="S97" i="3"/>
  <c r="U62" i="3"/>
  <c r="AQ62" i="3"/>
  <c r="I59" i="3"/>
  <c r="AQ59" i="3"/>
  <c r="X57" i="3"/>
  <c r="AL58" i="3"/>
  <c r="T59" i="3"/>
  <c r="R95" i="3"/>
  <c r="T48" i="3"/>
  <c r="Y86" i="3"/>
  <c r="Z87" i="3"/>
  <c r="AM97" i="3"/>
  <c r="U88" i="3"/>
  <c r="AL71" i="3"/>
  <c r="R56" i="3"/>
  <c r="T79" i="3"/>
  <c r="Q62" i="3"/>
  <c r="O77" i="3"/>
  <c r="O97" i="3"/>
  <c r="AK67" i="3"/>
  <c r="AK62" i="3"/>
  <c r="AI92" i="3"/>
  <c r="AC50" i="3"/>
  <c r="Q54" i="3"/>
  <c r="Q69" i="3"/>
  <c r="AI66" i="3"/>
  <c r="Q59" i="3"/>
  <c r="AC90" i="3"/>
  <c r="AC91" i="3"/>
  <c r="V78" i="3"/>
  <c r="N76" i="3"/>
  <c r="Z67" i="3"/>
  <c r="J71" i="3"/>
  <c r="K73" i="3"/>
  <c r="W93" i="3"/>
  <c r="AK87" i="3"/>
  <c r="Q50" i="3"/>
  <c r="AL70" i="3"/>
  <c r="AH85" i="3"/>
  <c r="Q84" i="3"/>
  <c r="AC47" i="3"/>
  <c r="K87" i="3"/>
  <c r="AH91" i="3"/>
  <c r="Y65" i="3"/>
  <c r="R69" i="3"/>
  <c r="M63" i="3"/>
  <c r="O82" i="3"/>
  <c r="T88" i="3"/>
  <c r="AH65" i="3"/>
  <c r="AO55" i="3"/>
  <c r="I90" i="3"/>
  <c r="AN61" i="3"/>
  <c r="X96" i="3"/>
  <c r="AM57" i="3"/>
  <c r="U75" i="3"/>
  <c r="S74" i="3"/>
  <c r="I63" i="3"/>
  <c r="V89" i="3"/>
  <c r="L74" i="3"/>
  <c r="L85" i="3"/>
  <c r="AA77" i="3"/>
  <c r="AI62" i="3"/>
  <c r="AK84" i="3"/>
  <c r="L87" i="3"/>
  <c r="L71" i="3"/>
  <c r="AN93" i="3"/>
  <c r="O89" i="3"/>
  <c r="T81" i="3"/>
  <c r="AA62" i="3"/>
  <c r="AK47" i="3"/>
  <c r="AH75" i="3"/>
  <c r="K71" i="3"/>
  <c r="AQ89" i="3"/>
  <c r="T82" i="3"/>
  <c r="I61" i="3"/>
  <c r="AN55" i="3"/>
  <c r="AE71" i="3"/>
  <c r="Q83" i="3"/>
  <c r="N63" i="3"/>
  <c r="U55" i="3"/>
  <c r="AH47" i="3"/>
  <c r="R85" i="3"/>
  <c r="AA67" i="3"/>
  <c r="AC62" i="3"/>
  <c r="AQ68" i="3"/>
  <c r="O96" i="3"/>
  <c r="AA65" i="3"/>
  <c r="L68" i="3"/>
  <c r="O78" i="3"/>
  <c r="O87" i="3"/>
  <c r="AE75" i="3"/>
  <c r="I50" i="3"/>
  <c r="AI76" i="3"/>
  <c r="J91" i="3"/>
  <c r="AN64" i="3"/>
  <c r="P59" i="3"/>
  <c r="Q87" i="3"/>
  <c r="M96" i="3"/>
  <c r="AE72" i="3"/>
  <c r="J95" i="3"/>
  <c r="O50" i="3"/>
  <c r="AJ94" i="3"/>
  <c r="Z80" i="3"/>
  <c r="AO97" i="3"/>
  <c r="W86" i="3"/>
  <c r="N77" i="3"/>
  <c r="U48" i="3"/>
  <c r="V92" i="3"/>
  <c r="AG61" i="3"/>
  <c r="V54" i="3"/>
  <c r="X59" i="3"/>
  <c r="AL83" i="3"/>
  <c r="S96" i="3"/>
  <c r="U86" i="3"/>
  <c r="AQ87" i="3"/>
  <c r="W78" i="3"/>
  <c r="R93" i="3"/>
  <c r="Z75" i="3"/>
  <c r="K90" i="3"/>
  <c r="T67" i="3"/>
  <c r="R80" i="3"/>
  <c r="AN49" i="3"/>
  <c r="Q72" i="3"/>
  <c r="AO69" i="3"/>
  <c r="AG74" i="3"/>
  <c r="R62" i="3"/>
  <c r="S80" i="3"/>
  <c r="I92" i="3"/>
  <c r="K60" i="3"/>
  <c r="AM48" i="3"/>
  <c r="L96" i="3"/>
  <c r="T74" i="3"/>
  <c r="AI82" i="3"/>
  <c r="N67" i="3"/>
  <c r="AM87" i="3"/>
  <c r="L54" i="3"/>
  <c r="AE59" i="3"/>
  <c r="AC74" i="3"/>
  <c r="L48" i="3"/>
  <c r="AE89" i="3"/>
  <c r="Q67" i="3"/>
  <c r="AH89" i="3"/>
  <c r="Q47" i="3"/>
  <c r="T95" i="3"/>
  <c r="X58" i="3"/>
  <c r="Y59" i="3"/>
  <c r="W92" i="3"/>
  <c r="AM72" i="3"/>
  <c r="AE91" i="3"/>
  <c r="AG96" i="3"/>
  <c r="U73" i="3"/>
  <c r="J57" i="3"/>
  <c r="T66" i="3"/>
  <c r="K83" i="3"/>
  <c r="AH62" i="3"/>
  <c r="Y76" i="3"/>
  <c r="R59" i="3"/>
  <c r="AL95" i="3"/>
  <c r="AE57" i="3"/>
  <c r="AO60" i="3"/>
  <c r="I60" i="3"/>
  <c r="S67" i="3"/>
  <c r="I95" i="3"/>
  <c r="O61" i="3"/>
  <c r="T60" i="3"/>
  <c r="AA69" i="3"/>
  <c r="T90" i="3"/>
  <c r="AH80" i="3"/>
  <c r="M75" i="3"/>
  <c r="AE55" i="3"/>
  <c r="U64" i="3"/>
  <c r="U54" i="3"/>
  <c r="J88" i="3"/>
  <c r="J64" i="3"/>
  <c r="U71" i="3"/>
  <c r="R68" i="3"/>
  <c r="R73" i="3"/>
  <c r="AM85" i="3"/>
  <c r="L89" i="3"/>
  <c r="AE48" i="3"/>
  <c r="AL82" i="3"/>
  <c r="AL81" i="3"/>
  <c r="R60" i="3"/>
  <c r="AJ77" i="3"/>
  <c r="AG78" i="3"/>
  <c r="R87" i="3"/>
  <c r="AG50" i="3"/>
  <c r="Z62" i="3"/>
  <c r="I72" i="3"/>
  <c r="U68" i="3"/>
  <c r="AQ56" i="3"/>
  <c r="K97" i="3"/>
  <c r="L50" i="3"/>
  <c r="K84" i="3"/>
  <c r="V74" i="3"/>
  <c r="AL59" i="3"/>
  <c r="AM65" i="3"/>
  <c r="AI48" i="3"/>
  <c r="AA78" i="3"/>
  <c r="T77" i="3"/>
  <c r="X66" i="3"/>
  <c r="S50" i="3"/>
  <c r="Y50" i="3"/>
  <c r="AE60" i="3"/>
  <c r="AC89" i="3"/>
  <c r="K57" i="3"/>
  <c r="V75" i="3"/>
  <c r="AO94" i="3"/>
  <c r="X71" i="3"/>
  <c r="X85" i="3"/>
  <c r="AG91" i="3"/>
  <c r="I83" i="3"/>
  <c r="M79" i="3"/>
  <c r="K78" i="3"/>
  <c r="AQ93" i="3"/>
  <c r="S91" i="3"/>
  <c r="AL97" i="3"/>
  <c r="AO56" i="3"/>
  <c r="AC92" i="3"/>
  <c r="W79" i="3"/>
  <c r="T87" i="3"/>
  <c r="Y48" i="3"/>
  <c r="AJ80" i="3"/>
  <c r="W49" i="3"/>
  <c r="Y57" i="3"/>
  <c r="W73" i="3"/>
  <c r="V94" i="3"/>
  <c r="AL88" i="3"/>
  <c r="AO91" i="3"/>
  <c r="Y72" i="3"/>
  <c r="AA75" i="3"/>
  <c r="AQ71" i="3"/>
  <c r="AJ49" i="3"/>
  <c r="T89" i="3"/>
  <c r="AE76" i="3"/>
  <c r="X67" i="3"/>
  <c r="AM66" i="3"/>
  <c r="AM49" i="3"/>
  <c r="V68" i="3"/>
  <c r="U50" i="3"/>
  <c r="AH90" i="3"/>
  <c r="AN68" i="3"/>
  <c r="AM82" i="3"/>
  <c r="O72" i="3"/>
  <c r="R67" i="3"/>
  <c r="AC64" i="3"/>
  <c r="R97" i="3"/>
  <c r="V76" i="3"/>
  <c r="T63" i="3"/>
  <c r="I97" i="3"/>
  <c r="I76" i="3"/>
  <c r="AO64" i="3"/>
  <c r="U81" i="3"/>
  <c r="R72" i="3"/>
  <c r="K67" i="3"/>
  <c r="AI55" i="3"/>
  <c r="AK78" i="3"/>
  <c r="M56" i="3"/>
  <c r="AI81" i="3"/>
  <c r="AC88" i="3"/>
  <c r="S92" i="3"/>
  <c r="M70" i="3"/>
  <c r="V90" i="3"/>
  <c r="AC80" i="3"/>
  <c r="W91" i="3"/>
  <c r="U92" i="3"/>
  <c r="U82" i="3"/>
  <c r="J93" i="3"/>
  <c r="AK63" i="3"/>
  <c r="AI91" i="3"/>
  <c r="S77" i="3"/>
  <c r="O80" i="3"/>
  <c r="AK88" i="3"/>
  <c r="V93" i="3"/>
  <c r="AH58" i="3"/>
  <c r="Q95" i="3"/>
  <c r="AC85" i="3"/>
  <c r="Q77" i="3"/>
  <c r="AN66" i="3"/>
  <c r="S60" i="3"/>
  <c r="AG65" i="3"/>
  <c r="AL72" i="3"/>
  <c r="P77" i="3"/>
  <c r="W95" i="3"/>
  <c r="AK76" i="3"/>
  <c r="X72" i="3"/>
  <c r="AM90" i="3"/>
  <c r="AA66" i="3"/>
  <c r="AQ74" i="3"/>
  <c r="AL75" i="3"/>
  <c r="Y77" i="3"/>
  <c r="W55" i="3"/>
  <c r="AQ88" i="3"/>
  <c r="AL91" i="3"/>
  <c r="M62" i="3"/>
  <c r="Q79" i="3"/>
  <c r="I67" i="3"/>
  <c r="AH54" i="3"/>
  <c r="M85" i="3"/>
  <c r="AK72" i="3"/>
  <c r="N59" i="3"/>
  <c r="X93" i="3"/>
  <c r="L90" i="3"/>
  <c r="AQ54" i="3"/>
  <c r="AC54" i="3"/>
  <c r="Q78" i="3"/>
  <c r="AQ65" i="3"/>
  <c r="O65" i="3"/>
  <c r="AK55" i="3"/>
  <c r="AI72" i="3"/>
  <c r="M68" i="3"/>
  <c r="N81" i="3"/>
  <c r="Y55" i="3"/>
  <c r="AK90" i="3"/>
  <c r="M55" i="3"/>
  <c r="S90" i="3"/>
  <c r="AN50" i="3"/>
  <c r="Z91" i="3"/>
  <c r="AC66" i="3"/>
  <c r="AL76" i="3"/>
  <c r="P63" i="3"/>
  <c r="AK73" i="3"/>
  <c r="Q49" i="3"/>
  <c r="M81" i="3"/>
  <c r="AM78" i="3"/>
  <c r="AL87" i="3"/>
  <c r="AA60" i="3"/>
  <c r="V70" i="3"/>
  <c r="K68" i="3"/>
  <c r="V91" i="3"/>
  <c r="R92" i="3"/>
  <c r="L55" i="3"/>
  <c r="AK92" i="3"/>
  <c r="P74" i="3"/>
  <c r="J65" i="3"/>
  <c r="AM54" i="3"/>
  <c r="R65" i="3"/>
  <c r="P65" i="3"/>
  <c r="AN97" i="3"/>
  <c r="U89" i="3"/>
  <c r="AA84" i="3"/>
  <c r="AO57" i="3"/>
  <c r="AO80" i="3"/>
  <c r="L95" i="3"/>
  <c r="T68" i="3"/>
  <c r="AJ71" i="3"/>
  <c r="T71" i="3"/>
  <c r="S83" i="3"/>
  <c r="K65" i="3"/>
  <c r="R77" i="3"/>
  <c r="J84" i="3"/>
  <c r="AO86" i="3"/>
  <c r="T50" i="3"/>
  <c r="J49" i="3"/>
  <c r="AA47" i="3"/>
  <c r="AH82" i="3"/>
  <c r="AO47" i="3"/>
  <c r="W83" i="3"/>
  <c r="AK91" i="3"/>
  <c r="M77" i="3"/>
  <c r="AE78" i="3"/>
  <c r="AM79" i="3"/>
  <c r="I70" i="3"/>
  <c r="AI67" i="3"/>
  <c r="Z69" i="3"/>
  <c r="Y68" i="3"/>
  <c r="M90" i="3"/>
  <c r="K70" i="3"/>
  <c r="AG79" i="3"/>
  <c r="Y60" i="3"/>
  <c r="AO85" i="3"/>
  <c r="V73" i="3"/>
  <c r="Y92" i="3"/>
  <c r="W63" i="3"/>
  <c r="P90" i="3"/>
  <c r="AK64" i="3"/>
  <c r="W90" i="3"/>
  <c r="AQ49" i="3"/>
  <c r="U59" i="3"/>
  <c r="AE94" i="3"/>
  <c r="Z66" i="3"/>
  <c r="Q92" i="3"/>
  <c r="N75" i="3"/>
  <c r="I73" i="3"/>
  <c r="AL47" i="3"/>
  <c r="O75" i="3"/>
  <c r="AJ73" i="3"/>
  <c r="AH78" i="3"/>
  <c r="AC60" i="3"/>
  <c r="AQ63" i="3"/>
  <c r="AQ60" i="3"/>
  <c r="Y71" i="3"/>
  <c r="Y66" i="3"/>
  <c r="AG76" i="3"/>
  <c r="R61" i="3"/>
  <c r="N79" i="3"/>
  <c r="AC72" i="3"/>
  <c r="Y81" i="3"/>
  <c r="Z94" i="3"/>
  <c r="Z83" i="3"/>
  <c r="L81" i="3"/>
  <c r="L83" i="3"/>
  <c r="L91" i="3"/>
  <c r="AQ83" i="3"/>
  <c r="AG69" i="3"/>
  <c r="J58" i="3"/>
  <c r="AA73" i="3"/>
  <c r="W88" i="3"/>
  <c r="S68" i="3"/>
  <c r="T72" i="3"/>
  <c r="AA49" i="3"/>
  <c r="AE63" i="3"/>
  <c r="AN47" i="3"/>
  <c r="W61" i="3"/>
  <c r="AL48" i="3"/>
  <c r="AH95" i="3"/>
  <c r="AL74" i="3"/>
  <c r="AM63" i="3"/>
  <c r="AC77" i="3"/>
  <c r="AE88" i="3"/>
  <c r="N73" i="3"/>
  <c r="X77" i="3"/>
  <c r="R64" i="3"/>
  <c r="N72" i="3"/>
  <c r="AC61" i="3"/>
  <c r="Q91" i="3"/>
  <c r="O49" i="3"/>
  <c r="M89" i="3"/>
  <c r="AG48" i="3"/>
  <c r="AN81" i="3"/>
  <c r="V58" i="3"/>
  <c r="X75" i="3"/>
  <c r="AH97" i="3"/>
  <c r="Z50" i="3"/>
  <c r="AG63" i="3"/>
  <c r="V83" i="3"/>
  <c r="Q90" i="3"/>
  <c r="P72" i="3"/>
  <c r="W47" i="3"/>
  <c r="M66" i="3"/>
  <c r="AM77" i="3"/>
  <c r="Q82" i="3"/>
  <c r="AL60" i="3"/>
  <c r="T62" i="3"/>
  <c r="L75" i="3"/>
  <c r="W71" i="3"/>
  <c r="J55" i="3"/>
  <c r="AG97" i="3"/>
  <c r="K96" i="3"/>
  <c r="K66" i="3"/>
  <c r="AI59" i="3"/>
  <c r="O68" i="3"/>
  <c r="P64" i="3"/>
  <c r="AG57" i="3"/>
  <c r="AL55" i="3"/>
  <c r="O85" i="3"/>
  <c r="AM55" i="3"/>
  <c r="T85" i="3"/>
  <c r="N80" i="3"/>
  <c r="T83" i="3"/>
  <c r="U49" i="3"/>
  <c r="AE87" i="3"/>
  <c r="AM73" i="3"/>
  <c r="U90" i="3"/>
  <c r="T73" i="3"/>
  <c r="AC49" i="3"/>
  <c r="T91" i="3"/>
  <c r="O81" i="3"/>
  <c r="S66" i="3"/>
  <c r="AM68" i="3"/>
  <c r="J89" i="3"/>
  <c r="T61" i="3"/>
  <c r="R96" i="3"/>
  <c r="J96" i="3"/>
  <c r="AG77" i="3"/>
  <c r="S49" i="3" l="1"/>
  <c r="S81" i="3"/>
  <c r="H63" i="3"/>
  <c r="AN139" i="1" s="1"/>
  <c r="AO139" i="1" s="1"/>
  <c r="H90" i="3"/>
  <c r="AN140" i="1" s="1"/>
  <c r="AO140" i="1" s="1"/>
  <c r="H86" i="3"/>
  <c r="H71" i="3"/>
  <c r="H59" i="3"/>
  <c r="H66" i="3"/>
  <c r="AN165" i="1" s="1"/>
  <c r="AO165" i="1" s="1"/>
  <c r="H61" i="3"/>
  <c r="H49" i="3"/>
  <c r="AN82" i="1" s="1"/>
  <c r="H64" i="3"/>
  <c r="AN163" i="1" s="1"/>
  <c r="AO163" i="1" s="1"/>
  <c r="H78" i="3"/>
  <c r="AN156" i="1" s="1"/>
  <c r="H79" i="3"/>
  <c r="AN157" i="1" s="1"/>
  <c r="AO157" i="1" s="1"/>
  <c r="H62" i="3"/>
  <c r="AN138" i="1" s="1"/>
  <c r="H48" i="3"/>
  <c r="H58" i="3"/>
  <c r="AN133" i="1" s="1"/>
  <c r="H95" i="3"/>
  <c r="AN178" i="1" s="1"/>
  <c r="AO178" i="1" s="1"/>
  <c r="H88" i="3"/>
  <c r="AN141" i="1" s="1"/>
  <c r="AO141" i="1" s="1"/>
  <c r="H69" i="3"/>
  <c r="AN146" i="1" s="1"/>
  <c r="H85" i="3"/>
  <c r="AN161" i="1" s="1"/>
  <c r="AO161" i="1" s="1"/>
  <c r="H84" i="3"/>
  <c r="AN160" i="1" s="1"/>
  <c r="AO160" i="1" s="1"/>
  <c r="H60" i="3"/>
  <c r="AN136" i="1" s="1"/>
  <c r="AO136" i="1" s="1"/>
  <c r="H89" i="3"/>
  <c r="AN167" i="1" s="1"/>
  <c r="H92" i="3"/>
  <c r="AN169" i="1" s="1"/>
  <c r="AO169" i="1" s="1"/>
  <c r="H76" i="3"/>
  <c r="H83" i="3"/>
  <c r="AN174" i="1" s="1"/>
  <c r="H47" i="3"/>
  <c r="H70" i="3"/>
  <c r="AN147" i="1" s="1"/>
  <c r="H96" i="3"/>
  <c r="AN177" i="1" s="1"/>
  <c r="AO177" i="1" s="1"/>
  <c r="H57" i="3"/>
  <c r="AN132" i="1" s="1"/>
  <c r="AO132" i="1" s="1"/>
  <c r="H93" i="3"/>
  <c r="H56" i="3"/>
  <c r="AN131" i="1" s="1"/>
  <c r="H68" i="3"/>
  <c r="AN145" i="1" s="1"/>
  <c r="H91" i="3"/>
  <c r="AN168" i="1" s="1"/>
  <c r="AO168" i="1" s="1"/>
  <c r="H82" i="3"/>
  <c r="AN159" i="1" s="1"/>
  <c r="H75" i="3"/>
  <c r="H67" i="3"/>
  <c r="H55" i="3"/>
  <c r="H97" i="3"/>
  <c r="H81" i="3"/>
  <c r="AN158" i="1" s="1"/>
  <c r="H87" i="3"/>
  <c r="AN166" i="1" s="1"/>
  <c r="AO166" i="1" s="1"/>
  <c r="H77" i="3"/>
  <c r="AN154" i="1" s="1"/>
  <c r="H54" i="3"/>
  <c r="H94" i="3"/>
  <c r="H80" i="3"/>
  <c r="AN173" i="1" s="1"/>
  <c r="H65" i="3"/>
  <c r="AN164" i="1" s="1"/>
  <c r="AO164" i="1" s="1"/>
  <c r="H74" i="3"/>
  <c r="AN151" i="1" s="1"/>
  <c r="AO151" i="1" s="1"/>
  <c r="H50" i="3"/>
  <c r="AN83" i="1" s="1"/>
  <c r="H72" i="3"/>
  <c r="AN149" i="1" s="1"/>
  <c r="AO149" i="1" s="1"/>
  <c r="H73" i="3"/>
  <c r="W81" i="3"/>
  <c r="W67" i="3"/>
  <c r="W97" i="3"/>
  <c r="W74" i="3"/>
  <c r="W84" i="3"/>
  <c r="W57" i="3"/>
  <c r="W82" i="3"/>
  <c r="W58" i="3"/>
  <c r="W59" i="3"/>
  <c r="W75" i="3"/>
  <c r="W64" i="3"/>
  <c r="W56" i="3"/>
  <c r="W89" i="3"/>
  <c r="W96" i="3"/>
  <c r="W65" i="3"/>
  <c r="W69" i="3"/>
  <c r="W76" i="3"/>
  <c r="W94" i="3"/>
  <c r="W48" i="3"/>
  <c r="W50" i="3"/>
  <c r="BC83" i="1" s="1"/>
  <c r="W85" i="3"/>
  <c r="W80" i="3"/>
  <c r="W62" i="3"/>
  <c r="AN60" i="3"/>
  <c r="BT136" i="1" s="1"/>
  <c r="BU136" i="1" s="1"/>
  <c r="AN69" i="3"/>
  <c r="BT146" i="1" s="1"/>
  <c r="AN73" i="3"/>
  <c r="P48" i="3"/>
  <c r="P78" i="3"/>
  <c r="AV156" i="1" s="1"/>
  <c r="AW156" i="1" s="1"/>
  <c r="M73" i="3"/>
  <c r="M67" i="3"/>
  <c r="S55" i="3"/>
  <c r="S86" i="3"/>
  <c r="AI84" i="3"/>
  <c r="AI79" i="3"/>
  <c r="AE61" i="3"/>
  <c r="AE84" i="3"/>
  <c r="AE79" i="3"/>
  <c r="AE80" i="3"/>
  <c r="AO61" i="3"/>
  <c r="AO66" i="3"/>
  <c r="AM83" i="3"/>
  <c r="AM59" i="3"/>
  <c r="AM60" i="3"/>
  <c r="AS23" i="1"/>
  <c r="BQ17" i="1"/>
  <c r="BD24" i="1"/>
  <c r="AU23" i="1"/>
  <c r="BW22" i="1"/>
  <c r="AN56" i="1"/>
  <c r="AV60" i="1"/>
  <c r="BU29" i="1"/>
  <c r="BS48" i="1"/>
  <c r="AY31" i="1"/>
  <c r="BC55" i="1"/>
  <c r="BT32" i="1"/>
  <c r="BB44" i="1"/>
  <c r="BQ41" i="1"/>
  <c r="BQ208" i="1" s="1"/>
  <c r="BA18" i="1"/>
  <c r="AQ45" i="1"/>
  <c r="BS60" i="1"/>
  <c r="BN23" i="1"/>
  <c r="BK23" i="1"/>
  <c r="AX23" i="1"/>
  <c r="BG33" i="1"/>
  <c r="BK29" i="1"/>
  <c r="BB41" i="1"/>
  <c r="BB208" i="1" s="1"/>
  <c r="BP22" i="1"/>
  <c r="BW55" i="1"/>
  <c r="AV41" i="1"/>
  <c r="AV208" i="1" s="1"/>
  <c r="BS41" i="1"/>
  <c r="BS208" i="1" s="1"/>
  <c r="AR23" i="1"/>
  <c r="BA48" i="1"/>
  <c r="BV60" i="1"/>
  <c r="AO18" i="1"/>
  <c r="BJ45" i="1"/>
  <c r="BJ266" i="1" s="1"/>
  <c r="AZ31" i="1"/>
  <c r="BN54" i="1"/>
  <c r="BI32" i="1"/>
  <c r="BU44" i="1"/>
  <c r="AN34" i="1"/>
  <c r="BC29" i="1"/>
  <c r="BH23" i="1"/>
  <c r="BV41" i="1"/>
  <c r="BV208" i="1" s="1"/>
  <c r="AI30" i="1"/>
  <c r="BS23" i="1"/>
  <c r="BM33" i="1"/>
  <c r="BO31" i="1"/>
  <c r="BM30" i="1"/>
  <c r="BE30" i="1"/>
  <c r="BR18" i="1"/>
  <c r="BH147" i="1"/>
  <c r="BH83" i="1"/>
  <c r="BV147" i="1"/>
  <c r="L132" i="1"/>
  <c r="V149" i="1"/>
  <c r="V145" i="1" s="1"/>
  <c r="I83" i="1"/>
  <c r="F186" i="1"/>
  <c r="AN48" i="1"/>
  <c r="AR33" i="1"/>
  <c r="BH45" i="1"/>
  <c r="BN31" i="1"/>
  <c r="D174" i="1"/>
  <c r="BK33" i="1"/>
  <c r="BQ45" i="1"/>
  <c r="BG24" i="1"/>
  <c r="AT60" i="1"/>
  <c r="BO60" i="1"/>
  <c r="BQ54" i="1"/>
  <c r="AS56" i="1"/>
  <c r="AS45" i="1"/>
  <c r="AS30" i="1"/>
  <c r="BO17" i="1"/>
  <c r="AI82" i="1"/>
  <c r="BV156" i="1"/>
  <c r="BW156" i="1" s="1"/>
  <c r="BH158" i="1"/>
  <c r="P138" i="1"/>
  <c r="P157" i="1"/>
  <c r="T157" i="1"/>
  <c r="BD17" i="1"/>
  <c r="BS17" i="1"/>
  <c r="BS245" i="1" s="1"/>
  <c r="AT44" i="1"/>
  <c r="BI41" i="1"/>
  <c r="BP54" i="1"/>
  <c r="AW24" i="1"/>
  <c r="AI55" i="1"/>
  <c r="BO32" i="1"/>
  <c r="BU17" i="1"/>
  <c r="BU245" i="1" s="1"/>
  <c r="BO30" i="1"/>
  <c r="BW54" i="1"/>
  <c r="BU60" i="1"/>
  <c r="BJ54" i="1"/>
  <c r="AW18" i="1"/>
  <c r="AZ48" i="1"/>
  <c r="AQ30" i="1"/>
  <c r="BC30" i="1"/>
  <c r="BH32" i="1"/>
  <c r="AW32" i="1"/>
  <c r="BK30" i="1"/>
  <c r="BR31" i="1"/>
  <c r="BW31" i="1"/>
  <c r="AX32" i="1"/>
  <c r="AI54" i="1"/>
  <c r="AP34" i="1"/>
  <c r="AM55" i="1"/>
  <c r="AM60" i="1"/>
  <c r="AQ18" i="1"/>
  <c r="BD60" i="1"/>
  <c r="AP32" i="1"/>
  <c r="BW18" i="1"/>
  <c r="AQ56" i="1"/>
  <c r="BQ29" i="1"/>
  <c r="AZ33" i="1"/>
  <c r="AT30" i="1"/>
  <c r="AT23" i="1"/>
  <c r="BC45" i="1"/>
  <c r="BJ60" i="1"/>
  <c r="AU32" i="1"/>
  <c r="AS60" i="1"/>
  <c r="AI48" i="1"/>
  <c r="BF34" i="1"/>
  <c r="AT17" i="1"/>
  <c r="AT245" i="1" s="1"/>
  <c r="AR30" i="1"/>
  <c r="AV33" i="1"/>
  <c r="BH55" i="1"/>
  <c r="BA45" i="1"/>
  <c r="AQ22" i="1"/>
  <c r="BA44" i="1"/>
  <c r="BM54" i="1"/>
  <c r="AQ17" i="1"/>
  <c r="AQ245" i="1" s="1"/>
  <c r="BV34" i="1"/>
  <c r="AO34" i="1"/>
  <c r="BR54" i="1"/>
  <c r="BD45" i="1"/>
  <c r="BD266" i="1" s="1"/>
  <c r="BU45" i="1"/>
  <c r="BU266" i="1" s="1"/>
  <c r="BI17" i="1"/>
  <c r="BI245" i="1" s="1"/>
  <c r="AP60" i="1"/>
  <c r="BA33" i="1"/>
  <c r="BF17" i="1"/>
  <c r="BH82" i="1"/>
  <c r="BV145" i="1"/>
  <c r="N138" i="1"/>
  <c r="J146" i="1"/>
  <c r="T184" i="1"/>
  <c r="S149" i="1"/>
  <c r="S145" i="1" s="1"/>
  <c r="B73" i="1"/>
  <c r="B169" i="1"/>
  <c r="AX24" i="1"/>
  <c r="BT22" i="1"/>
  <c r="BF18" i="1"/>
  <c r="AP44" i="1"/>
  <c r="BG32" i="1"/>
  <c r="BB24" i="1"/>
  <c r="BW32" i="1"/>
  <c r="BO41" i="1"/>
  <c r="BO208" i="1" s="1"/>
  <c r="AU24" i="1"/>
  <c r="AU17" i="1"/>
  <c r="AU245" i="1" s="1"/>
  <c r="BB45" i="1"/>
  <c r="AX18" i="1"/>
  <c r="AO33" i="1"/>
  <c r="BP29" i="1"/>
  <c r="BT23" i="1"/>
  <c r="BJ18" i="1"/>
  <c r="BJ19" i="1" s="1"/>
  <c r="BK31" i="1"/>
  <c r="BD23" i="1"/>
  <c r="BK22" i="1"/>
  <c r="AX34" i="1"/>
  <c r="AX48" i="1"/>
  <c r="BV174" i="1"/>
  <c r="B140" i="1"/>
  <c r="B168" i="1" s="1"/>
  <c r="F132" i="1"/>
  <c r="N165" i="1"/>
  <c r="N164" i="1"/>
  <c r="BR44" i="1"/>
  <c r="BA54" i="1"/>
  <c r="AP56" i="1"/>
  <c r="BC32" i="1"/>
  <c r="AY32" i="1"/>
  <c r="BS33" i="1"/>
  <c r="BB30" i="1"/>
  <c r="BD30" i="1"/>
  <c r="BH41" i="1"/>
  <c r="BH208" i="1" s="1"/>
  <c r="AU45" i="1"/>
  <c r="BN45" i="1"/>
  <c r="BO34" i="1"/>
  <c r="BA56" i="1"/>
  <c r="AO17" i="1"/>
  <c r="BF48" i="1"/>
  <c r="BF56" i="1"/>
  <c r="AZ23" i="1"/>
  <c r="BK17" i="1"/>
  <c r="BR33" i="1"/>
  <c r="BK34" i="1"/>
  <c r="AX30" i="1"/>
  <c r="AY30" i="1"/>
  <c r="AQ44" i="1"/>
  <c r="BH44" i="1"/>
  <c r="BO33" i="1"/>
  <c r="AV45" i="1"/>
  <c r="BE17" i="1"/>
  <c r="BE245" i="1" s="1"/>
  <c r="AI41" i="1"/>
  <c r="AI208" i="1" s="1"/>
  <c r="M138" i="1"/>
  <c r="T147" i="1"/>
  <c r="O141" i="1"/>
  <c r="C173" i="1"/>
  <c r="P156" i="1"/>
  <c r="E147" i="1"/>
  <c r="S138" i="1"/>
  <c r="E149" i="1"/>
  <c r="E145" i="1" s="1"/>
  <c r="BJ82" i="1"/>
  <c r="BA41" i="1"/>
  <c r="AS24" i="1"/>
  <c r="R139" i="1"/>
  <c r="BB33" i="1"/>
  <c r="BA30" i="1"/>
  <c r="BI33" i="1"/>
  <c r="BM24" i="1"/>
  <c r="BD44" i="1"/>
  <c r="BD34" i="1"/>
  <c r="AT45" i="1"/>
  <c r="AI56" i="1"/>
  <c r="BQ33" i="1"/>
  <c r="BO56" i="1"/>
  <c r="AZ17" i="1"/>
  <c r="AW34" i="1"/>
  <c r="BM45" i="1"/>
  <c r="BR55" i="1"/>
  <c r="BB32" i="1"/>
  <c r="AY33" i="1"/>
  <c r="AQ54" i="1"/>
  <c r="BR32" i="1"/>
  <c r="BV48" i="1"/>
  <c r="BF60" i="1"/>
  <c r="AY48" i="1"/>
  <c r="BP56" i="1"/>
  <c r="BS30" i="1"/>
  <c r="BV18" i="1"/>
  <c r="AX44" i="1"/>
  <c r="AO22" i="1"/>
  <c r="AX22" i="1"/>
  <c r="BK18" i="1"/>
  <c r="BK19" i="1" s="1"/>
  <c r="BK8" i="1" s="1"/>
  <c r="BQ18" i="1"/>
  <c r="BQ19" i="1" s="1"/>
  <c r="BQ8" i="1" s="1"/>
  <c r="BN48" i="1"/>
  <c r="BM31" i="1"/>
  <c r="AS44" i="1"/>
  <c r="BN30" i="1"/>
  <c r="BJ83" i="1"/>
  <c r="AI44" i="1"/>
  <c r="AZ44" i="1"/>
  <c r="BH166" i="1"/>
  <c r="BI166" i="1" s="1"/>
  <c r="BH149" i="1"/>
  <c r="BI149" i="1" s="1"/>
  <c r="T83" i="1"/>
  <c r="S76" i="1"/>
  <c r="J159" i="1"/>
  <c r="J194" i="1" s="1"/>
  <c r="O169" i="1"/>
  <c r="C185" i="1"/>
  <c r="BP31" i="1"/>
  <c r="AZ34" i="1"/>
  <c r="BB31" i="1"/>
  <c r="BC24" i="1"/>
  <c r="BW30" i="1"/>
  <c r="BR24" i="1"/>
  <c r="BQ34" i="1"/>
  <c r="BP55" i="1"/>
  <c r="BU56" i="1"/>
  <c r="AS32" i="1"/>
  <c r="BF31" i="1"/>
  <c r="BU23" i="1"/>
  <c r="BI56" i="1"/>
  <c r="AX45" i="1"/>
  <c r="BH151" i="1"/>
  <c r="BI151" i="1" s="1"/>
  <c r="BV166" i="1"/>
  <c r="BW166" i="1" s="1"/>
  <c r="BH154" i="1"/>
  <c r="BI154" i="1" s="1"/>
  <c r="BJ216" i="1" s="1"/>
  <c r="U160" i="1"/>
  <c r="M151" i="1"/>
  <c r="L141" i="1"/>
  <c r="I177" i="1"/>
  <c r="S160" i="1"/>
  <c r="AY34" i="1"/>
  <c r="AI34" i="1"/>
  <c r="BE48" i="1"/>
  <c r="AW23" i="1"/>
  <c r="AW56" i="1"/>
  <c r="BR34" i="1"/>
  <c r="AY45" i="1"/>
  <c r="BP60" i="1"/>
  <c r="BW45" i="1"/>
  <c r="BB17" i="1"/>
  <c r="BJ31" i="1"/>
  <c r="BJ35" i="1" s="1"/>
  <c r="AZ24" i="1"/>
  <c r="BI44" i="1"/>
  <c r="BH56" i="1"/>
  <c r="AP33" i="1"/>
  <c r="AU29" i="1"/>
  <c r="BE24" i="1"/>
  <c r="BK54" i="1"/>
  <c r="BG45" i="1"/>
  <c r="AI24" i="1"/>
  <c r="AQ29" i="1"/>
  <c r="BP17" i="1"/>
  <c r="BE31" i="1"/>
  <c r="AT34" i="1"/>
  <c r="BN18" i="1"/>
  <c r="BJ48" i="1"/>
  <c r="AS31" i="1"/>
  <c r="BT33" i="1"/>
  <c r="AV23" i="1"/>
  <c r="AS29" i="1"/>
  <c r="AR54" i="1"/>
  <c r="BO48" i="1"/>
  <c r="BB55" i="1"/>
  <c r="AS41" i="1"/>
  <c r="AS208" i="1" s="1"/>
  <c r="BU55" i="1"/>
  <c r="BE32" i="1"/>
  <c r="BS54" i="1"/>
  <c r="AU22" i="1"/>
  <c r="AW41" i="1"/>
  <c r="AV30" i="1"/>
  <c r="AP48" i="1"/>
  <c r="BW60" i="1"/>
  <c r="AY44" i="1"/>
  <c r="BD48" i="1"/>
  <c r="BU48" i="1"/>
  <c r="AK83" i="1"/>
  <c r="AS17" i="1"/>
  <c r="AP30" i="1"/>
  <c r="BH22" i="1"/>
  <c r="BM41" i="1"/>
  <c r="BC48" i="1"/>
  <c r="BO29" i="1"/>
  <c r="BV146" i="1"/>
  <c r="BV169" i="1"/>
  <c r="BW169" i="1" s="1"/>
  <c r="BH156" i="1"/>
  <c r="BI156" i="1" s="1"/>
  <c r="V82" i="1"/>
  <c r="C141" i="1"/>
  <c r="V76" i="1"/>
  <c r="M149" i="1"/>
  <c r="M145" i="1" s="1"/>
  <c r="Q186" i="1"/>
  <c r="AX29" i="1"/>
  <c r="BN41" i="1"/>
  <c r="BD31" i="1"/>
  <c r="BF55" i="1"/>
  <c r="AZ30" i="1"/>
  <c r="BA55" i="1"/>
  <c r="AP22" i="1"/>
  <c r="AP55" i="1"/>
  <c r="BN34" i="1"/>
  <c r="BI55" i="1"/>
  <c r="BG55" i="1"/>
  <c r="AR22" i="1"/>
  <c r="AY41" i="1"/>
  <c r="AY208" i="1" s="1"/>
  <c r="BT34" i="1"/>
  <c r="BT24" i="1"/>
  <c r="BR41" i="1"/>
  <c r="AO23" i="1"/>
  <c r="AW33" i="1"/>
  <c r="BW33" i="1"/>
  <c r="AN22" i="1"/>
  <c r="AO60" i="1"/>
  <c r="BM17" i="1"/>
  <c r="BI45" i="1"/>
  <c r="BM22" i="1"/>
  <c r="BT44" i="1"/>
  <c r="BC33" i="1"/>
  <c r="AS33" i="1"/>
  <c r="BD54" i="1"/>
  <c r="AS22" i="1"/>
  <c r="BV82" i="1"/>
  <c r="BV133" i="1"/>
  <c r="V165" i="1"/>
  <c r="S169" i="1"/>
  <c r="F177" i="1"/>
  <c r="J150" i="1"/>
  <c r="B133" i="1"/>
  <c r="BB54" i="1"/>
  <c r="BH145" i="1"/>
  <c r="BM55" i="1"/>
  <c r="BA29" i="1"/>
  <c r="AO30" i="1"/>
  <c r="BV31" i="1"/>
  <c r="BB18" i="1"/>
  <c r="AW30" i="1"/>
  <c r="BA34" i="1"/>
  <c r="BK56" i="1"/>
  <c r="BI24" i="1"/>
  <c r="AJ82" i="1"/>
  <c r="AQ24" i="1"/>
  <c r="BP41" i="1"/>
  <c r="BH29" i="1"/>
  <c r="BT56" i="1"/>
  <c r="BW29" i="1"/>
  <c r="BF29" i="1"/>
  <c r="BM32" i="1"/>
  <c r="AI22" i="1"/>
  <c r="BC18" i="1"/>
  <c r="BE22" i="1"/>
  <c r="BE23" i="1"/>
  <c r="BG18" i="1"/>
  <c r="BS22" i="1"/>
  <c r="BE56" i="1"/>
  <c r="AI32" i="1"/>
  <c r="BR45" i="1"/>
  <c r="AX31" i="1"/>
  <c r="BE18" i="1"/>
  <c r="BO18" i="1"/>
  <c r="AV44" i="1"/>
  <c r="BD56" i="1"/>
  <c r="AZ32" i="1"/>
  <c r="AO31" i="1"/>
  <c r="BU32" i="1"/>
  <c r="BD29" i="1"/>
  <c r="BV44" i="1"/>
  <c r="AX55" i="1"/>
  <c r="AS55" i="1"/>
  <c r="BH165" i="1"/>
  <c r="BI165" i="1" s="1"/>
  <c r="BV168" i="1"/>
  <c r="BW168" i="1" s="1"/>
  <c r="BH132" i="1"/>
  <c r="BI132" i="1" s="1"/>
  <c r="L138" i="1"/>
  <c r="P163" i="1"/>
  <c r="W133" i="1"/>
  <c r="BF32" i="1"/>
  <c r="BM23" i="1"/>
  <c r="BM56" i="1"/>
  <c r="BT55" i="1"/>
  <c r="H164" i="1"/>
  <c r="AV32" i="1"/>
  <c r="AM54" i="1"/>
  <c r="BT60" i="1"/>
  <c r="AU54" i="1"/>
  <c r="BA60" i="1"/>
  <c r="AQ23" i="1"/>
  <c r="BO45" i="1"/>
  <c r="AZ29" i="1"/>
  <c r="AR31" i="1"/>
  <c r="AR55" i="1"/>
  <c r="BN17" i="1"/>
  <c r="AS34" i="1"/>
  <c r="BH33" i="1"/>
  <c r="AW45" i="1"/>
  <c r="BM48" i="1"/>
  <c r="BD18" i="1"/>
  <c r="BJ44" i="1"/>
  <c r="BF30" i="1"/>
  <c r="AI29" i="1"/>
  <c r="BH30" i="1"/>
  <c r="BB22" i="1"/>
  <c r="AV56" i="1"/>
  <c r="BE60" i="1"/>
  <c r="BM18" i="1"/>
  <c r="BQ60" i="1"/>
  <c r="BW56" i="1"/>
  <c r="AW17" i="1"/>
  <c r="BA32" i="1"/>
  <c r="AV24" i="1"/>
  <c r="BG44" i="1"/>
  <c r="BT48" i="1"/>
  <c r="BV30" i="1"/>
  <c r="AO32" i="1"/>
  <c r="BI30" i="1"/>
  <c r="AX41" i="1"/>
  <c r="AX208" i="1" s="1"/>
  <c r="AQ60" i="1"/>
  <c r="BG31" i="1"/>
  <c r="BV32" i="1"/>
  <c r="BT45" i="1"/>
  <c r="BS31" i="1"/>
  <c r="BD55" i="1"/>
  <c r="AW54" i="1"/>
  <c r="BH177" i="1"/>
  <c r="BI177" i="1" s="1"/>
  <c r="BV177" i="1"/>
  <c r="BW177" i="1" s="1"/>
  <c r="F178" i="1"/>
  <c r="D159" i="1"/>
  <c r="D194" i="1" s="1"/>
  <c r="P164" i="1"/>
  <c r="U150" i="1"/>
  <c r="F167" i="1"/>
  <c r="F197" i="1" s="1"/>
  <c r="V177" i="1"/>
  <c r="M146" i="1"/>
  <c r="D140" i="1"/>
  <c r="D168" i="1" s="1"/>
  <c r="O139" i="1"/>
  <c r="J157" i="1"/>
  <c r="H173" i="1"/>
  <c r="E136" i="1"/>
  <c r="Q87" i="1"/>
  <c r="R141" i="1"/>
  <c r="D83" i="1"/>
  <c r="L150" i="1"/>
  <c r="W140" i="1"/>
  <c r="W168" i="1" s="1"/>
  <c r="R178" i="1"/>
  <c r="M160" i="1"/>
  <c r="C72" i="1"/>
  <c r="D141" i="1"/>
  <c r="W87" i="1"/>
  <c r="W141" i="1"/>
  <c r="H133" i="1"/>
  <c r="E133" i="1"/>
  <c r="T159" i="1"/>
  <c r="T194" i="1" s="1"/>
  <c r="S131" i="1"/>
  <c r="V151" i="1"/>
  <c r="P160" i="1"/>
  <c r="W164" i="1"/>
  <c r="G160" i="1"/>
  <c r="T178" i="1"/>
  <c r="J151" i="1"/>
  <c r="H138" i="1"/>
  <c r="E150" i="1"/>
  <c r="C158" i="1"/>
  <c r="C193" i="1" s="1"/>
  <c r="W83" i="1"/>
  <c r="T174" i="1"/>
  <c r="D151" i="1"/>
  <c r="E156" i="1"/>
  <c r="G131" i="1"/>
  <c r="R88" i="1"/>
  <c r="H87" i="1"/>
  <c r="G185" i="1"/>
  <c r="P150" i="1"/>
  <c r="O140" i="1"/>
  <c r="O168" i="1" s="1"/>
  <c r="I169" i="1"/>
  <c r="I138" i="1"/>
  <c r="B154" i="1"/>
  <c r="B156" i="1"/>
  <c r="E154" i="1"/>
  <c r="F216" i="1" s="1"/>
  <c r="I161" i="1"/>
  <c r="H158" i="1"/>
  <c r="H193" i="1" s="1"/>
  <c r="R149" i="1"/>
  <c r="R145" i="1" s="1"/>
  <c r="V157" i="1"/>
  <c r="H178" i="1"/>
  <c r="G82" i="1"/>
  <c r="C163" i="1"/>
  <c r="N167" i="1"/>
  <c r="N197" i="1" s="1"/>
  <c r="W163" i="1"/>
  <c r="Q185" i="1"/>
  <c r="I163" i="1"/>
  <c r="J158" i="1"/>
  <c r="J193" i="1" s="1"/>
  <c r="N131" i="1"/>
  <c r="L76" i="1"/>
  <c r="U87" i="1"/>
  <c r="W157" i="1"/>
  <c r="K185" i="1"/>
  <c r="L186" i="1"/>
  <c r="H88" i="1"/>
  <c r="L139" i="1"/>
  <c r="S136" i="1"/>
  <c r="T169" i="1"/>
  <c r="V139" i="1"/>
  <c r="Q157" i="1"/>
  <c r="N160" i="1"/>
  <c r="G132" i="1"/>
  <c r="F141" i="1"/>
  <c r="B186" i="1"/>
  <c r="K161" i="1"/>
  <c r="H132" i="1"/>
  <c r="U138" i="1"/>
  <c r="I140" i="1"/>
  <c r="I168" i="1" s="1"/>
  <c r="E82" i="1"/>
  <c r="C154" i="1"/>
  <c r="M133" i="1"/>
  <c r="K141" i="1"/>
  <c r="Q161" i="1"/>
  <c r="N146" i="1"/>
  <c r="M165" i="1"/>
  <c r="R186" i="1"/>
  <c r="F76" i="1"/>
  <c r="J156" i="1"/>
  <c r="S150" i="1"/>
  <c r="S139" i="1"/>
  <c r="H141" i="1"/>
  <c r="C160" i="1"/>
  <c r="S173" i="1"/>
  <c r="N140" i="1"/>
  <c r="N168" i="1" s="1"/>
  <c r="J185" i="1"/>
  <c r="V178" i="1"/>
  <c r="L149" i="1"/>
  <c r="L145" i="1" s="1"/>
  <c r="L148" i="1" s="1"/>
  <c r="L42" i="1" s="1"/>
  <c r="C156" i="1"/>
  <c r="D72" i="1"/>
  <c r="V173" i="1"/>
  <c r="B177" i="1"/>
  <c r="W88" i="1"/>
  <c r="E185" i="1"/>
  <c r="E131" i="1"/>
  <c r="C136" i="1"/>
  <c r="S132" i="1"/>
  <c r="T173" i="1"/>
  <c r="C88" i="1"/>
  <c r="F138" i="1"/>
  <c r="J165" i="1"/>
  <c r="C184" i="1"/>
  <c r="J177" i="1"/>
  <c r="K186" i="1"/>
  <c r="E83" i="1"/>
  <c r="N150" i="1"/>
  <c r="D165" i="1"/>
  <c r="O147" i="1"/>
  <c r="L184" i="1"/>
  <c r="H177" i="1"/>
  <c r="N185" i="1"/>
  <c r="H185" i="1"/>
  <c r="D86" i="1"/>
  <c r="D185" i="1"/>
  <c r="AP31" i="1"/>
  <c r="AO55" i="1"/>
  <c r="BS18" i="1"/>
  <c r="BS19" i="1" s="1"/>
  <c r="BS8" i="1" s="1"/>
  <c r="BH17" i="1"/>
  <c r="BH245" i="1" s="1"/>
  <c r="AN55" i="1"/>
  <c r="AR56" i="1"/>
  <c r="BW44" i="1"/>
  <c r="AR41" i="1"/>
  <c r="AR208" i="1" s="1"/>
  <c r="AV34" i="1"/>
  <c r="BH31" i="1"/>
  <c r="AP54" i="1"/>
  <c r="BH24" i="1"/>
  <c r="BV29" i="1"/>
  <c r="BB34" i="1"/>
  <c r="BN32" i="1"/>
  <c r="AZ55" i="1"/>
  <c r="BE34" i="1"/>
  <c r="BC23" i="1"/>
  <c r="BH54" i="1"/>
  <c r="AN17" i="1"/>
  <c r="BB23" i="1"/>
  <c r="AW29" i="1"/>
  <c r="BF33" i="1"/>
  <c r="BQ23" i="1"/>
  <c r="AV54" i="1"/>
  <c r="AT33" i="1"/>
  <c r="AN18" i="1"/>
  <c r="BH168" i="1"/>
  <c r="BI168" i="1" s="1"/>
  <c r="M159" i="1"/>
  <c r="M194" i="1" s="1"/>
  <c r="N88" i="1"/>
  <c r="B141" i="1"/>
  <c r="R167" i="1"/>
  <c r="R197" i="1" s="1"/>
  <c r="U136" i="1"/>
  <c r="G159" i="1"/>
  <c r="G194" i="1" s="1"/>
  <c r="I185" i="1"/>
  <c r="B164" i="1"/>
  <c r="J178" i="1"/>
  <c r="M76" i="1"/>
  <c r="S165" i="1"/>
  <c r="Q136" i="1"/>
  <c r="G86" i="1"/>
  <c r="Q133" i="1"/>
  <c r="R138" i="1"/>
  <c r="R83" i="1"/>
  <c r="J154" i="1"/>
  <c r="P87" i="1"/>
  <c r="U186" i="1"/>
  <c r="D87" i="1"/>
  <c r="F163" i="1"/>
  <c r="O133" i="1"/>
  <c r="D167" i="1"/>
  <c r="D197" i="1" s="1"/>
  <c r="B145" i="1"/>
  <c r="V86" i="1"/>
  <c r="F165" i="1"/>
  <c r="J164" i="1"/>
  <c r="K88" i="1"/>
  <c r="D164" i="1"/>
  <c r="C167" i="1"/>
  <c r="C197" i="1" s="1"/>
  <c r="T140" i="1"/>
  <c r="T168" i="1" s="1"/>
  <c r="P186" i="1"/>
  <c r="Q147" i="1"/>
  <c r="U154" i="1"/>
  <c r="V216" i="1" s="1"/>
  <c r="K136" i="1"/>
  <c r="G184" i="1"/>
  <c r="Q164" i="1"/>
  <c r="O138" i="1"/>
  <c r="O142" i="1" s="1"/>
  <c r="L174" i="1"/>
  <c r="L175" i="1" s="1"/>
  <c r="J140" i="1"/>
  <c r="J168" i="1" s="1"/>
  <c r="B132" i="1"/>
  <c r="D160" i="1"/>
  <c r="L136" i="1"/>
  <c r="U161" i="1"/>
  <c r="U157" i="1"/>
  <c r="C76" i="1"/>
  <c r="K163" i="1"/>
  <c r="Q141" i="1"/>
  <c r="W186" i="1"/>
  <c r="T150" i="1"/>
  <c r="O87" i="1"/>
  <c r="E169" i="1"/>
  <c r="K82" i="1"/>
  <c r="D147" i="1"/>
  <c r="H161" i="1"/>
  <c r="U173" i="1"/>
  <c r="M163" i="1"/>
  <c r="H86" i="1"/>
  <c r="O150" i="1"/>
  <c r="Q149" i="1"/>
  <c r="Q145" i="1" s="1"/>
  <c r="J163" i="1"/>
  <c r="H174" i="1"/>
  <c r="M147" i="1"/>
  <c r="E163" i="1"/>
  <c r="C174" i="1"/>
  <c r="C161" i="1"/>
  <c r="K149" i="1"/>
  <c r="K145" i="1" s="1"/>
  <c r="N159" i="1"/>
  <c r="N194" i="1" s="1"/>
  <c r="C131" i="1"/>
  <c r="W174" i="1"/>
  <c r="F151" i="1"/>
  <c r="E159" i="1"/>
  <c r="E194" i="1" s="1"/>
  <c r="T133" i="1"/>
  <c r="G146" i="1"/>
  <c r="B174" i="1"/>
  <c r="C151" i="1"/>
  <c r="V136" i="1"/>
  <c r="J82" i="1"/>
  <c r="B72" i="1"/>
  <c r="O186" i="1"/>
  <c r="I139" i="1"/>
  <c r="P132" i="1"/>
  <c r="T86" i="1"/>
  <c r="K147" i="1"/>
  <c r="B165" i="1"/>
  <c r="L156" i="1"/>
  <c r="Q156" i="1"/>
  <c r="W158" i="1"/>
  <c r="G154" i="1"/>
  <c r="R156" i="1"/>
  <c r="I157" i="1"/>
  <c r="Q178" i="1"/>
  <c r="Q83" i="1"/>
  <c r="V161" i="1"/>
  <c r="N149" i="1"/>
  <c r="N145" i="1" s="1"/>
  <c r="E164" i="1"/>
  <c r="D154" i="1"/>
  <c r="T146" i="1"/>
  <c r="I160" i="1"/>
  <c r="I146" i="1"/>
  <c r="V87" i="1"/>
  <c r="D184" i="1"/>
  <c r="K159" i="1"/>
  <c r="K194" i="1" s="1"/>
  <c r="S161" i="1"/>
  <c r="M156" i="1"/>
  <c r="V150" i="1"/>
  <c r="R146" i="1"/>
  <c r="V140" i="1"/>
  <c r="V168" i="1" s="1"/>
  <c r="P158" i="1"/>
  <c r="P193" i="1" s="1"/>
  <c r="K164" i="1"/>
  <c r="H83" i="1"/>
  <c r="N174" i="1"/>
  <c r="S163" i="1"/>
  <c r="C146" i="1"/>
  <c r="M82" i="1"/>
  <c r="S185" i="1"/>
  <c r="S133" i="1"/>
  <c r="L169" i="1"/>
  <c r="C145" i="1"/>
  <c r="O146" i="1"/>
  <c r="D149" i="1"/>
  <c r="S174" i="1"/>
  <c r="D145" i="1"/>
  <c r="V186" i="1"/>
  <c r="V88" i="1"/>
  <c r="T156" i="1"/>
  <c r="W178" i="1"/>
  <c r="I133" i="1"/>
  <c r="J167" i="1"/>
  <c r="J197" i="1" s="1"/>
  <c r="R86" i="1"/>
  <c r="S88" i="1"/>
  <c r="L154" i="1"/>
  <c r="U151" i="1"/>
  <c r="O163" i="1"/>
  <c r="BH60" i="1"/>
  <c r="BV24" i="1"/>
  <c r="BE29" i="1"/>
  <c r="AI33" i="1"/>
  <c r="BC17" i="1"/>
  <c r="BK60" i="1"/>
  <c r="AW44" i="1"/>
  <c r="AR18" i="1"/>
  <c r="AN31" i="1"/>
  <c r="AU33" i="1"/>
  <c r="BS56" i="1"/>
  <c r="BQ48" i="1"/>
  <c r="BV54" i="1"/>
  <c r="BI48" i="1"/>
  <c r="BU31" i="1"/>
  <c r="AO56" i="1"/>
  <c r="BF24" i="1"/>
  <c r="BA24" i="1"/>
  <c r="AR48" i="1"/>
  <c r="AT32" i="1"/>
  <c r="BN29" i="1"/>
  <c r="BJ55" i="1"/>
  <c r="AO41" i="1"/>
  <c r="AK82" i="1"/>
  <c r="BV22" i="1"/>
  <c r="BN44" i="1"/>
  <c r="BH178" i="1"/>
  <c r="BI178" i="1" s="1"/>
  <c r="BH163" i="1"/>
  <c r="BI163" i="1" s="1"/>
  <c r="BV159" i="1"/>
  <c r="BV139" i="1"/>
  <c r="BH174" i="1"/>
  <c r="E186" i="1"/>
  <c r="R147" i="1"/>
  <c r="O136" i="1"/>
  <c r="K151" i="1"/>
  <c r="W82" i="1"/>
  <c r="O159" i="1"/>
  <c r="O194" i="1" s="1"/>
  <c r="D139" i="1"/>
  <c r="F147" i="1"/>
  <c r="F149" i="1"/>
  <c r="F145" i="1" s="1"/>
  <c r="N151" i="1"/>
  <c r="H76" i="1"/>
  <c r="P149" i="1"/>
  <c r="P145" i="1" s="1"/>
  <c r="I159" i="1"/>
  <c r="I194" i="1" s="1"/>
  <c r="D161" i="1"/>
  <c r="F140" i="1"/>
  <c r="F168" i="1" s="1"/>
  <c r="S154" i="1"/>
  <c r="S141" i="1"/>
  <c r="H140" i="1"/>
  <c r="H168" i="1" s="1"/>
  <c r="E160" i="1"/>
  <c r="L185" i="1"/>
  <c r="L133" i="1"/>
  <c r="D186" i="1"/>
  <c r="U141" i="1"/>
  <c r="V131" i="1"/>
  <c r="I132" i="1"/>
  <c r="D178" i="1"/>
  <c r="J139" i="1"/>
  <c r="N76" i="1"/>
  <c r="K160" i="1"/>
  <c r="M88" i="1"/>
  <c r="I150" i="1"/>
  <c r="W132" i="1"/>
  <c r="G141" i="1"/>
  <c r="H149" i="1"/>
  <c r="H145" i="1" s="1"/>
  <c r="Q82" i="1"/>
  <c r="C149" i="1"/>
  <c r="V167" i="1"/>
  <c r="V197" i="1" s="1"/>
  <c r="V132" i="1"/>
  <c r="Q146" i="1"/>
  <c r="B138" i="1"/>
  <c r="E177" i="1"/>
  <c r="Q140" i="1"/>
  <c r="Q168" i="1" s="1"/>
  <c r="O131" i="1"/>
  <c r="K131" i="1"/>
  <c r="E86" i="1"/>
  <c r="N86" i="1"/>
  <c r="R160" i="1"/>
  <c r="E132" i="1"/>
  <c r="H159" i="1"/>
  <c r="H194" i="1" s="1"/>
  <c r="R133" i="1"/>
  <c r="K139" i="1"/>
  <c r="O132" i="1"/>
  <c r="Q139" i="1"/>
  <c r="J88" i="1"/>
  <c r="U156" i="1"/>
  <c r="B151" i="1"/>
  <c r="I186" i="1"/>
  <c r="P146" i="1"/>
  <c r="H184" i="1"/>
  <c r="I154" i="1"/>
  <c r="G76" i="1"/>
  <c r="U177" i="1"/>
  <c r="E88" i="1"/>
  <c r="B131" i="1"/>
  <c r="M136" i="1"/>
  <c r="P184" i="1"/>
  <c r="F154" i="1"/>
  <c r="G216" i="1" s="1"/>
  <c r="T161" i="1"/>
  <c r="O158" i="1"/>
  <c r="O193" i="1" s="1"/>
  <c r="S158" i="1"/>
  <c r="S193" i="1" s="1"/>
  <c r="O178" i="1"/>
  <c r="R161" i="1"/>
  <c r="N83" i="1"/>
  <c r="BN24" i="1"/>
  <c r="AI45" i="1"/>
  <c r="BV17" i="1"/>
  <c r="BV245" i="1" s="1"/>
  <c r="AS18" i="1"/>
  <c r="AY54" i="1"/>
  <c r="BN60" i="1"/>
  <c r="BW34" i="1"/>
  <c r="AT54" i="1"/>
  <c r="AQ48" i="1"/>
  <c r="BJ41" i="1"/>
  <c r="AS48" i="1"/>
  <c r="BH18" i="1"/>
  <c r="BQ31" i="1"/>
  <c r="AR45" i="1"/>
  <c r="BF22" i="1"/>
  <c r="BS29" i="1"/>
  <c r="BH160" i="1"/>
  <c r="BI160" i="1" s="1"/>
  <c r="BH146" i="1"/>
  <c r="BH131" i="1"/>
  <c r="BI131" i="1" s="1"/>
  <c r="BH138" i="1"/>
  <c r="BI138" i="1" s="1"/>
  <c r="BV157" i="1"/>
  <c r="BW157" i="1" s="1"/>
  <c r="BH169" i="1"/>
  <c r="BI169" i="1" s="1"/>
  <c r="BH133" i="1"/>
  <c r="BH164" i="1"/>
  <c r="BI164" i="1" s="1"/>
  <c r="W136" i="1"/>
  <c r="S146" i="1"/>
  <c r="H157" i="1"/>
  <c r="I151" i="1"/>
  <c r="N163" i="1"/>
  <c r="F158" i="1"/>
  <c r="F193" i="1" s="1"/>
  <c r="L151" i="1"/>
  <c r="D82" i="1"/>
  <c r="C150" i="1"/>
  <c r="I164" i="1"/>
  <c r="U159" i="1"/>
  <c r="U194" i="1" s="1"/>
  <c r="J174" i="1"/>
  <c r="L164" i="1"/>
  <c r="G150" i="1"/>
  <c r="G151" i="1"/>
  <c r="E141" i="1"/>
  <c r="Q154" i="1"/>
  <c r="W139" i="1"/>
  <c r="H136" i="1"/>
  <c r="M83" i="1"/>
  <c r="L160" i="1"/>
  <c r="M86" i="1"/>
  <c r="Q158" i="1"/>
  <c r="Q193" i="1" s="1"/>
  <c r="D163" i="1"/>
  <c r="S178" i="1"/>
  <c r="C82" i="1"/>
  <c r="B86" i="1"/>
  <c r="R154" i="1"/>
  <c r="R216" i="1" s="1"/>
  <c r="C140" i="1"/>
  <c r="C168" i="1" s="1"/>
  <c r="O88" i="1"/>
  <c r="I158" i="1"/>
  <c r="I193" i="1" s="1"/>
  <c r="R87" i="1"/>
  <c r="R177" i="1"/>
  <c r="T151" i="1"/>
  <c r="W76" i="1"/>
  <c r="J132" i="1"/>
  <c r="T138" i="1"/>
  <c r="W156" i="1"/>
  <c r="V185" i="1"/>
  <c r="D131" i="1"/>
  <c r="W160" i="1"/>
  <c r="N178" i="1"/>
  <c r="F139" i="1"/>
  <c r="E140" i="1"/>
  <c r="E168" i="1" s="1"/>
  <c r="I173" i="1"/>
  <c r="J136" i="1"/>
  <c r="Q76" i="1"/>
  <c r="Q160" i="1"/>
  <c r="P140" i="1"/>
  <c r="P168" i="1" s="1"/>
  <c r="Q86" i="1"/>
  <c r="L158" i="1"/>
  <c r="L193" i="1" s="1"/>
  <c r="S151" i="1"/>
  <c r="V169" i="1"/>
  <c r="I174" i="1"/>
  <c r="F157" i="1"/>
  <c r="R159" i="1"/>
  <c r="R194" i="1" s="1"/>
  <c r="Q174" i="1"/>
  <c r="V146" i="1"/>
  <c r="I141" i="1"/>
  <c r="F87" i="1"/>
  <c r="W173" i="1"/>
  <c r="G147" i="1"/>
  <c r="S159" i="1"/>
  <c r="S194" i="1" s="1"/>
  <c r="S147" i="1"/>
  <c r="D76" i="1"/>
  <c r="K184" i="1"/>
  <c r="M164" i="1"/>
  <c r="N139" i="1"/>
  <c r="Q151" i="1"/>
  <c r="U86" i="1"/>
  <c r="G87" i="1"/>
  <c r="AN60" i="1"/>
  <c r="BO54" i="1"/>
  <c r="BR29" i="1"/>
  <c r="AX17" i="1"/>
  <c r="BG17" i="1"/>
  <c r="AP24" i="1"/>
  <c r="BP48" i="1"/>
  <c r="AW22" i="1"/>
  <c r="BW24" i="1"/>
  <c r="BW41" i="1"/>
  <c r="BW208" i="1" s="1"/>
  <c r="BG56" i="1"/>
  <c r="AN23" i="1"/>
  <c r="AY18" i="1"/>
  <c r="AQ41" i="1"/>
  <c r="BQ44" i="1"/>
  <c r="BS34" i="1"/>
  <c r="BV55" i="1"/>
  <c r="BI22" i="1"/>
  <c r="AT24" i="1"/>
  <c r="AZ60" i="1"/>
  <c r="AO24" i="1"/>
  <c r="BS55" i="1"/>
  <c r="BT29" i="1"/>
  <c r="BI31" i="1"/>
  <c r="AZ18" i="1"/>
  <c r="BG29" i="1"/>
  <c r="BO55" i="1"/>
  <c r="BU34" i="1"/>
  <c r="BT41" i="1"/>
  <c r="AY56" i="1"/>
  <c r="BR23" i="1"/>
  <c r="BK48" i="1"/>
  <c r="BQ22" i="1"/>
  <c r="AQ34" i="1"/>
  <c r="AO54" i="1"/>
  <c r="BM34" i="1"/>
  <c r="BU22" i="1"/>
  <c r="BN22" i="1"/>
  <c r="AO48" i="1"/>
  <c r="AV31" i="1"/>
  <c r="BT30" i="1"/>
  <c r="AI60" i="1"/>
  <c r="AO45" i="1"/>
  <c r="AO266" i="1" s="1"/>
  <c r="BA23" i="1"/>
  <c r="BT54" i="1"/>
  <c r="BP32" i="1"/>
  <c r="AT18" i="1"/>
  <c r="AM56" i="1"/>
  <c r="BH34" i="1"/>
  <c r="BG60" i="1"/>
  <c r="AT22" i="1"/>
  <c r="BF41" i="1"/>
  <c r="BF208" i="1" s="1"/>
  <c r="BI60" i="1"/>
  <c r="AQ55" i="1"/>
  <c r="BS32" i="1"/>
  <c r="BK32" i="1"/>
  <c r="BC34" i="1"/>
  <c r="AR24" i="1"/>
  <c r="AU41" i="1"/>
  <c r="AU208" i="1" s="1"/>
  <c r="BU33" i="1"/>
  <c r="AU31" i="1"/>
  <c r="AZ45" i="1"/>
  <c r="AP29" i="1"/>
  <c r="AT56" i="1"/>
  <c r="BH161" i="1"/>
  <c r="BI161" i="1" s="1"/>
  <c r="BV167" i="1"/>
  <c r="BV173" i="1"/>
  <c r="BV138" i="1"/>
  <c r="BW138" i="1" s="1"/>
  <c r="BV132" i="1"/>
  <c r="BW132" i="1" s="1"/>
  <c r="BH140" i="1"/>
  <c r="BI140" i="1" s="1"/>
  <c r="BV131" i="1"/>
  <c r="BW131" i="1" s="1"/>
  <c r="B146" i="1"/>
  <c r="K174" i="1"/>
  <c r="W184" i="1"/>
  <c r="L88" i="1"/>
  <c r="F164" i="1"/>
  <c r="T88" i="1"/>
  <c r="V160" i="1"/>
  <c r="F174" i="1"/>
  <c r="S177" i="1"/>
  <c r="Q150" i="1"/>
  <c r="J131" i="1"/>
  <c r="J134" i="1" s="1"/>
  <c r="W149" i="1"/>
  <c r="W145" i="1" s="1"/>
  <c r="W148" i="1" s="1"/>
  <c r="U88" i="1"/>
  <c r="S186" i="1"/>
  <c r="G161" i="1"/>
  <c r="R76" i="1"/>
  <c r="J169" i="1"/>
  <c r="G138" i="1"/>
  <c r="N147" i="1"/>
  <c r="V174" i="1"/>
  <c r="R131" i="1"/>
  <c r="T82" i="1"/>
  <c r="D73" i="1"/>
  <c r="E167" i="1"/>
  <c r="E197" i="1" s="1"/>
  <c r="M185" i="1"/>
  <c r="S140" i="1"/>
  <c r="S168" i="1" s="1"/>
  <c r="S86" i="1"/>
  <c r="R136" i="1"/>
  <c r="D88" i="1"/>
  <c r="U163" i="1"/>
  <c r="K169" i="1"/>
  <c r="W185" i="1"/>
  <c r="B136" i="1"/>
  <c r="R150" i="1"/>
  <c r="F82" i="1"/>
  <c r="G140" i="1"/>
  <c r="G168" i="1" s="1"/>
  <c r="K76" i="1"/>
  <c r="U76" i="1"/>
  <c r="V141" i="1"/>
  <c r="Q184" i="1"/>
  <c r="C73" i="1"/>
  <c r="P185" i="1"/>
  <c r="L83" i="1"/>
  <c r="T141" i="1"/>
  <c r="R82" i="1"/>
  <c r="P159" i="1"/>
  <c r="P194" i="1" s="1"/>
  <c r="E165" i="1"/>
  <c r="V159" i="1"/>
  <c r="V194" i="1" s="1"/>
  <c r="P177" i="1"/>
  <c r="C169" i="1"/>
  <c r="P151" i="1"/>
  <c r="U133" i="1"/>
  <c r="M174" i="1"/>
  <c r="K165" i="1"/>
  <c r="B184" i="1"/>
  <c r="R184" i="1"/>
  <c r="J160" i="1"/>
  <c r="E161" i="1"/>
  <c r="R164" i="1"/>
  <c r="J186" i="1"/>
  <c r="F159" i="1"/>
  <c r="F194" i="1" s="1"/>
  <c r="J149" i="1"/>
  <c r="J145" i="1" s="1"/>
  <c r="D146" i="1"/>
  <c r="R151" i="1"/>
  <c r="O157" i="1"/>
  <c r="F156" i="1"/>
  <c r="D173" i="1"/>
  <c r="O164" i="1"/>
  <c r="G164" i="1"/>
  <c r="T177" i="1"/>
  <c r="P133" i="1"/>
  <c r="J83" i="1"/>
  <c r="BI54" i="1"/>
  <c r="AY22" i="1"/>
  <c r="BG41" i="1"/>
  <c r="BG208" i="1" s="1"/>
  <c r="BB60" i="1"/>
  <c r="AW60" i="1"/>
  <c r="AQ32" i="1"/>
  <c r="AW31" i="1"/>
  <c r="BA22" i="1"/>
  <c r="AY17" i="1"/>
  <c r="BQ32" i="1"/>
  <c r="BR17" i="1"/>
  <c r="BJ56" i="1"/>
  <c r="BR30" i="1"/>
  <c r="AN29" i="1"/>
  <c r="BK44" i="1"/>
  <c r="BU30" i="1"/>
  <c r="BE44" i="1"/>
  <c r="AV48" i="1"/>
  <c r="BG22" i="1"/>
  <c r="BC22" i="1"/>
  <c r="AR34" i="1"/>
  <c r="BP24" i="1"/>
  <c r="BR60" i="1"/>
  <c r="AV29" i="1"/>
  <c r="AZ56" i="1"/>
  <c r="BW23" i="1"/>
  <c r="AV55" i="1"/>
  <c r="AR44" i="1"/>
  <c r="BU24" i="1"/>
  <c r="AR32" i="1"/>
  <c r="AV17" i="1"/>
  <c r="AZ41" i="1"/>
  <c r="BP33" i="1"/>
  <c r="AU34" i="1"/>
  <c r="AR17" i="1"/>
  <c r="AU55" i="1"/>
  <c r="BD33" i="1"/>
  <c r="BD22" i="1"/>
  <c r="AN24" i="1"/>
  <c r="BW17" i="1"/>
  <c r="AW55" i="1"/>
  <c r="BU18" i="1"/>
  <c r="BC31" i="1"/>
  <c r="AU30" i="1"/>
  <c r="BF54" i="1"/>
  <c r="AS54" i="1"/>
  <c r="BI18" i="1"/>
  <c r="BI34" i="1"/>
  <c r="BV154" i="1"/>
  <c r="BV161" i="1"/>
  <c r="BW161" i="1" s="1"/>
  <c r="BV158" i="1"/>
  <c r="BV164" i="1"/>
  <c r="BW164" i="1" s="1"/>
  <c r="BH173" i="1"/>
  <c r="BH141" i="1"/>
  <c r="BI141" i="1" s="1"/>
  <c r="C87" i="1"/>
  <c r="J147" i="1"/>
  <c r="G186" i="1"/>
  <c r="M167" i="1"/>
  <c r="M197" i="1" s="1"/>
  <c r="O165" i="1"/>
  <c r="T76" i="1"/>
  <c r="S82" i="1"/>
  <c r="L146" i="1"/>
  <c r="F161" i="1"/>
  <c r="B178" i="1"/>
  <c r="M177" i="1"/>
  <c r="O149" i="1"/>
  <c r="O145" i="1" s="1"/>
  <c r="L173" i="1"/>
  <c r="B159" i="1"/>
  <c r="B194" i="1" s="1"/>
  <c r="W165" i="1"/>
  <c r="F146" i="1"/>
  <c r="L178" i="1"/>
  <c r="E87" i="1"/>
  <c r="P173" i="1"/>
  <c r="P175" i="1" s="1"/>
  <c r="Q223" i="1" s="1"/>
  <c r="U146" i="1"/>
  <c r="D150" i="1"/>
  <c r="L82" i="1"/>
  <c r="F150" i="1"/>
  <c r="L131" i="1"/>
  <c r="U158" i="1"/>
  <c r="U193" i="1" s="1"/>
  <c r="G156" i="1"/>
  <c r="E139" i="1"/>
  <c r="S87" i="1"/>
  <c r="P86" i="1"/>
  <c r="Q159" i="1"/>
  <c r="Q194" i="1" s="1"/>
  <c r="C165" i="1"/>
  <c r="M158" i="1"/>
  <c r="M193" i="1" s="1"/>
  <c r="U83" i="1"/>
  <c r="V138" i="1"/>
  <c r="R174" i="1"/>
  <c r="K83" i="1"/>
  <c r="K156" i="1"/>
  <c r="J161" i="1"/>
  <c r="L167" i="1"/>
  <c r="L197" i="1" s="1"/>
  <c r="V154" i="1"/>
  <c r="V83" i="1"/>
  <c r="M87" i="1"/>
  <c r="O154" i="1"/>
  <c r="O151" i="1"/>
  <c r="C178" i="1"/>
  <c r="F136" i="1"/>
  <c r="N177" i="1"/>
  <c r="W177" i="1"/>
  <c r="N158" i="1"/>
  <c r="N193" i="1" s="1"/>
  <c r="H151" i="1"/>
  <c r="F86" i="1"/>
  <c r="I82" i="1"/>
  <c r="K173" i="1"/>
  <c r="I87" i="1"/>
  <c r="T132" i="1"/>
  <c r="T160" i="1"/>
  <c r="J87" i="1"/>
  <c r="O184" i="1"/>
  <c r="P178" i="1"/>
  <c r="J173" i="1"/>
  <c r="N141" i="1"/>
  <c r="L86" i="1"/>
  <c r="F169" i="1"/>
  <c r="T136" i="1"/>
  <c r="W138" i="1"/>
  <c r="O156" i="1"/>
  <c r="Q169" i="1"/>
  <c r="G149" i="1"/>
  <c r="G145" i="1" s="1"/>
  <c r="T154" i="1"/>
  <c r="R157" i="1"/>
  <c r="D133" i="1"/>
  <c r="N169" i="1"/>
  <c r="I165" i="1"/>
  <c r="O160" i="1"/>
  <c r="H131" i="1"/>
  <c r="I131" i="1"/>
  <c r="N87" i="1"/>
  <c r="G83" i="1"/>
  <c r="P88" i="1"/>
  <c r="R169" i="1"/>
  <c r="N157" i="1"/>
  <c r="W86" i="1"/>
  <c r="U184" i="1"/>
  <c r="C186" i="1"/>
  <c r="W154" i="1"/>
  <c r="T167" i="1"/>
  <c r="T197" i="1" s="1"/>
  <c r="F133" i="1"/>
  <c r="K167" i="1"/>
  <c r="K197" i="1" s="1"/>
  <c r="U132" i="1"/>
  <c r="I167" i="1"/>
  <c r="I197" i="1" s="1"/>
  <c r="BM29" i="1"/>
  <c r="BE33" i="1"/>
  <c r="BG48" i="1"/>
  <c r="BB56" i="1"/>
  <c r="AX54" i="1"/>
  <c r="BI23" i="1"/>
  <c r="BC44" i="1"/>
  <c r="AP17" i="1"/>
  <c r="BN56" i="1"/>
  <c r="BC60" i="1"/>
  <c r="BQ55" i="1"/>
  <c r="BP34" i="1"/>
  <c r="BU41" i="1"/>
  <c r="BS44" i="1"/>
  <c r="AM82" i="1"/>
  <c r="AN33" i="1"/>
  <c r="AI17" i="1"/>
  <c r="AI197" i="1" s="1"/>
  <c r="BP23" i="1"/>
  <c r="BK41" i="1"/>
  <c r="AT41" i="1"/>
  <c r="AT208" i="1" s="1"/>
  <c r="AT48" i="1"/>
  <c r="BA17" i="1"/>
  <c r="BA245" i="1" s="1"/>
  <c r="AJ83" i="1"/>
  <c r="AX60" i="1"/>
  <c r="AQ31" i="1"/>
  <c r="BO44" i="1"/>
  <c r="BN55" i="1"/>
  <c r="BV33" i="1"/>
  <c r="BP18" i="1"/>
  <c r="AR29" i="1"/>
  <c r="BR22" i="1"/>
  <c r="AT31" i="1"/>
  <c r="AT55" i="1"/>
  <c r="BB48" i="1"/>
  <c r="AV18" i="1"/>
  <c r="BK24" i="1"/>
  <c r="AP45" i="1"/>
  <c r="BG30" i="1"/>
  <c r="BQ30" i="1"/>
  <c r="BE54" i="1"/>
  <c r="AZ54" i="1"/>
  <c r="BN33" i="1"/>
  <c r="BS24" i="1"/>
  <c r="BK45" i="1"/>
  <c r="AO29" i="1"/>
  <c r="BS45" i="1"/>
  <c r="BP45" i="1"/>
  <c r="BW48" i="1"/>
  <c r="BC56" i="1"/>
  <c r="BV45" i="1"/>
  <c r="BP30" i="1"/>
  <c r="BB29" i="1"/>
  <c r="BV23" i="1"/>
  <c r="AI31" i="1"/>
  <c r="BV136" i="1"/>
  <c r="BW136" i="1" s="1"/>
  <c r="BV149" i="1"/>
  <c r="BW149" i="1" s="1"/>
  <c r="BV151" i="1"/>
  <c r="BW151" i="1" s="1"/>
  <c r="BV140" i="1"/>
  <c r="BW140" i="1" s="1"/>
  <c r="BV165" i="1"/>
  <c r="BW165" i="1" s="1"/>
  <c r="BV160" i="1"/>
  <c r="BW160" i="1" s="1"/>
  <c r="U185" i="1"/>
  <c r="T164" i="1"/>
  <c r="U178" i="1"/>
  <c r="M169" i="1"/>
  <c r="R185" i="1"/>
  <c r="H160" i="1"/>
  <c r="C83" i="1"/>
  <c r="H186" i="1"/>
  <c r="L147" i="1"/>
  <c r="G169" i="1"/>
  <c r="V147" i="1"/>
  <c r="B76" i="1"/>
  <c r="O177" i="1"/>
  <c r="C133" i="1"/>
  <c r="C157" i="1"/>
  <c r="M173" i="1"/>
  <c r="I184" i="1"/>
  <c r="C147" i="1"/>
  <c r="B150" i="1"/>
  <c r="N161" i="1"/>
  <c r="P82" i="1"/>
  <c r="K157" i="1"/>
  <c r="K177" i="1"/>
  <c r="P147" i="1"/>
  <c r="Q138" i="1"/>
  <c r="R158" i="1"/>
  <c r="R193" i="1" s="1"/>
  <c r="D169" i="1"/>
  <c r="N136" i="1"/>
  <c r="K158" i="1"/>
  <c r="K193" i="1" s="1"/>
  <c r="T163" i="1"/>
  <c r="G157" i="1"/>
  <c r="U167" i="1"/>
  <c r="U197" i="1" s="1"/>
  <c r="H146" i="1"/>
  <c r="L177" i="1"/>
  <c r="V184" i="1"/>
  <c r="P139" i="1"/>
  <c r="Q173" i="1"/>
  <c r="I76" i="1"/>
  <c r="C177" i="1"/>
  <c r="Q88" i="1"/>
  <c r="V156" i="1"/>
  <c r="S184" i="1"/>
  <c r="J138" i="1"/>
  <c r="U164" i="1"/>
  <c r="M139" i="1"/>
  <c r="U174" i="1"/>
  <c r="O82" i="1"/>
  <c r="D138" i="1"/>
  <c r="S156" i="1"/>
  <c r="E178" i="1"/>
  <c r="D177" i="1"/>
  <c r="K150" i="1"/>
  <c r="B157" i="1"/>
  <c r="W169" i="1"/>
  <c r="F83" i="1"/>
  <c r="C139" i="1"/>
  <c r="C142" i="1" s="1"/>
  <c r="S164" i="1"/>
  <c r="H167" i="1"/>
  <c r="H197" i="1" s="1"/>
  <c r="U140" i="1"/>
  <c r="U168" i="1" s="1"/>
  <c r="L161" i="1"/>
  <c r="H139" i="1"/>
  <c r="L140" i="1"/>
  <c r="L168" i="1" s="1"/>
  <c r="B163" i="1"/>
  <c r="H150" i="1"/>
  <c r="G173" i="1"/>
  <c r="K87" i="1"/>
  <c r="M150" i="1"/>
  <c r="S157" i="1"/>
  <c r="H147" i="1"/>
  <c r="F88" i="1"/>
  <c r="H169" i="1"/>
  <c r="G133" i="1"/>
  <c r="P83" i="1"/>
  <c r="T165" i="1"/>
  <c r="G178" i="1"/>
  <c r="BQ56" i="1"/>
  <c r="AT29" i="1"/>
  <c r="AP41" i="1"/>
  <c r="AP208" i="1" s="1"/>
  <c r="BG34" i="1"/>
  <c r="BK55" i="1"/>
  <c r="BE55" i="1"/>
  <c r="BT31" i="1"/>
  <c r="AI18" i="1"/>
  <c r="BR56" i="1"/>
  <c r="AR60" i="1"/>
  <c r="BR48" i="1"/>
  <c r="AN44" i="1"/>
  <c r="AP18" i="1"/>
  <c r="BF44" i="1"/>
  <c r="AU56" i="1"/>
  <c r="BI29" i="1"/>
  <c r="BH48" i="1"/>
  <c r="AQ33" i="1"/>
  <c r="AZ22" i="1"/>
  <c r="AN45" i="1"/>
  <c r="BM44" i="1"/>
  <c r="AM83" i="1"/>
  <c r="AX56" i="1"/>
  <c r="BU54" i="1"/>
  <c r="AU18" i="1"/>
  <c r="BT17" i="1"/>
  <c r="BV107" i="1" s="1"/>
  <c r="BV108" i="1" s="1"/>
  <c r="BQ24" i="1"/>
  <c r="BV56" i="1"/>
  <c r="AW48" i="1"/>
  <c r="BO22" i="1"/>
  <c r="BF23" i="1"/>
  <c r="BD41" i="1"/>
  <c r="AY55" i="1"/>
  <c r="BG23" i="1"/>
  <c r="BO24" i="1"/>
  <c r="AN32" i="1"/>
  <c r="AO44" i="1"/>
  <c r="AV22" i="1"/>
  <c r="BM60" i="1"/>
  <c r="AY29" i="1"/>
  <c r="AN30" i="1"/>
  <c r="BV178" i="1"/>
  <c r="BW178" i="1" s="1"/>
  <c r="BH139" i="1"/>
  <c r="BI139" i="1" s="1"/>
  <c r="BV141" i="1"/>
  <c r="BW141" i="1" s="1"/>
  <c r="BH167" i="1"/>
  <c r="D132" i="1"/>
  <c r="C132" i="1"/>
  <c r="W150" i="1"/>
  <c r="B88" i="1"/>
  <c r="B185" i="1"/>
  <c r="W167" i="1"/>
  <c r="J86" i="1"/>
  <c r="B160" i="1"/>
  <c r="R132" i="1"/>
  <c r="W161" i="1"/>
  <c r="C86" i="1"/>
  <c r="D157" i="1"/>
  <c r="F184" i="1"/>
  <c r="B161" i="1"/>
  <c r="J184" i="1"/>
  <c r="V158" i="1"/>
  <c r="V193" i="1" s="1"/>
  <c r="P161" i="1"/>
  <c r="B173" i="1"/>
  <c r="I149" i="1"/>
  <c r="I145" i="1" s="1"/>
  <c r="R173" i="1"/>
  <c r="C159" i="1"/>
  <c r="C194" i="1" s="1"/>
  <c r="L87" i="1"/>
  <c r="G165" i="1"/>
  <c r="I147" i="1"/>
  <c r="M178" i="1"/>
  <c r="L157" i="1"/>
  <c r="H82" i="1"/>
  <c r="P131" i="1"/>
  <c r="R163" i="1"/>
  <c r="M157" i="1"/>
  <c r="J76" i="1"/>
  <c r="L165" i="1"/>
  <c r="H163" i="1"/>
  <c r="I86" i="1"/>
  <c r="U139" i="1"/>
  <c r="L159" i="1"/>
  <c r="L194" i="1" s="1"/>
  <c r="O161" i="1"/>
  <c r="K154" i="1"/>
  <c r="K138" i="1"/>
  <c r="E158" i="1"/>
  <c r="E193" i="1" s="1"/>
  <c r="N184" i="1"/>
  <c r="M131" i="1"/>
  <c r="O173" i="1"/>
  <c r="S167" i="1"/>
  <c r="S197" i="1" s="1"/>
  <c r="O86" i="1"/>
  <c r="O167" i="1"/>
  <c r="O197" i="1" s="1"/>
  <c r="N133" i="1"/>
  <c r="T139" i="1"/>
  <c r="Q132" i="1"/>
  <c r="P154" i="1"/>
  <c r="I178" i="1"/>
  <c r="V133" i="1"/>
  <c r="E146" i="1"/>
  <c r="H154" i="1"/>
  <c r="T158" i="1"/>
  <c r="T193" i="1" s="1"/>
  <c r="N173" i="1"/>
  <c r="U147" i="1"/>
  <c r="E76" i="1"/>
  <c r="M141" i="1"/>
  <c r="P76" i="1"/>
  <c r="Q165" i="1"/>
  <c r="M184" i="1"/>
  <c r="Q131" i="1"/>
  <c r="E157" i="1"/>
  <c r="R140" i="1"/>
  <c r="R168" i="1" s="1"/>
  <c r="F173" i="1"/>
  <c r="V163" i="1"/>
  <c r="P136" i="1"/>
  <c r="M140" i="1"/>
  <c r="M168" i="1" s="1"/>
  <c r="U169" i="1"/>
  <c r="BE41" i="1"/>
  <c r="BP44" i="1"/>
  <c r="AY24" i="1"/>
  <c r="AU60" i="1"/>
  <c r="AI23" i="1"/>
  <c r="BT18" i="1"/>
  <c r="BE45" i="1"/>
  <c r="AX33" i="1"/>
  <c r="AY60" i="1"/>
  <c r="BC54" i="1"/>
  <c r="BD32" i="1"/>
  <c r="BF45" i="1"/>
  <c r="AP23" i="1"/>
  <c r="BG54" i="1"/>
  <c r="AN41" i="1"/>
  <c r="AY23" i="1"/>
  <c r="AU48" i="1"/>
  <c r="BC41" i="1"/>
  <c r="BC208" i="1" s="1"/>
  <c r="AU44" i="1"/>
  <c r="BA31" i="1"/>
  <c r="BO23" i="1"/>
  <c r="AN54" i="1"/>
  <c r="BV163" i="1"/>
  <c r="BW163" i="1" s="1"/>
  <c r="BV83" i="1"/>
  <c r="BH159" i="1"/>
  <c r="BH157" i="1"/>
  <c r="BI157" i="1" s="1"/>
  <c r="BH136" i="1"/>
  <c r="BI136" i="1" s="1"/>
  <c r="K178" i="1"/>
  <c r="E151" i="1"/>
  <c r="Q163" i="1"/>
  <c r="G158" i="1"/>
  <c r="G193" i="1" s="1"/>
  <c r="T87" i="1"/>
  <c r="F160" i="1"/>
  <c r="G136" i="1"/>
  <c r="I136" i="1"/>
  <c r="K132" i="1"/>
  <c r="O76" i="1"/>
  <c r="M154" i="1"/>
  <c r="K86" i="1"/>
  <c r="T149" i="1"/>
  <c r="T145" i="1" s="1"/>
  <c r="E184" i="1"/>
  <c r="G88" i="1"/>
  <c r="R165" i="1"/>
  <c r="T186" i="1"/>
  <c r="M132" i="1"/>
  <c r="N82" i="1"/>
  <c r="N186" i="1"/>
  <c r="D156" i="1"/>
  <c r="B167" i="1"/>
  <c r="B197" i="1" s="1"/>
  <c r="U82" i="1"/>
  <c r="U131" i="1"/>
  <c r="T185" i="1"/>
  <c r="B149" i="1"/>
  <c r="V164" i="1"/>
  <c r="W151" i="1"/>
  <c r="B87" i="1"/>
  <c r="Q177" i="1"/>
  <c r="F185" i="1"/>
  <c r="N156" i="1"/>
  <c r="M161" i="1"/>
  <c r="G163" i="1"/>
  <c r="I88" i="1"/>
  <c r="H156" i="1"/>
  <c r="B147" i="1"/>
  <c r="U149" i="1"/>
  <c r="U145" i="1" s="1"/>
  <c r="O174" i="1"/>
  <c r="B158" i="1"/>
  <c r="B193" i="1" s="1"/>
  <c r="N132" i="1"/>
  <c r="K133" i="1"/>
  <c r="U165" i="1"/>
  <c r="P165" i="1"/>
  <c r="N154" i="1"/>
  <c r="T131" i="1"/>
  <c r="H165" i="1"/>
  <c r="W147" i="1"/>
  <c r="G174" i="1"/>
  <c r="L163" i="1"/>
  <c r="M186" i="1"/>
  <c r="B139" i="1"/>
  <c r="G139" i="1"/>
  <c r="I156" i="1"/>
  <c r="E174" i="1"/>
  <c r="E175" i="1" s="1"/>
  <c r="F223" i="1" s="1"/>
  <c r="D158" i="1"/>
  <c r="D193" i="1" s="1"/>
  <c r="K140" i="1"/>
  <c r="K168" i="1" s="1"/>
  <c r="S83" i="1"/>
  <c r="E138" i="1"/>
  <c r="K146" i="1"/>
  <c r="C164" i="1"/>
  <c r="W159" i="1"/>
  <c r="O185" i="1"/>
  <c r="O83" i="1"/>
  <c r="F131" i="1"/>
  <c r="J141" i="1"/>
  <c r="AX154" i="1"/>
  <c r="AY154" i="1" s="1"/>
  <c r="AZ167" i="1"/>
  <c r="BR140" i="1"/>
  <c r="BS140" i="1" s="1"/>
  <c r="AZ168" i="1"/>
  <c r="BA168" i="1" s="1"/>
  <c r="BT145" i="1"/>
  <c r="BP169" i="1"/>
  <c r="BQ169" i="1" s="1"/>
  <c r="BP82" i="1"/>
  <c r="BF139" i="1"/>
  <c r="BG139" i="1" s="1"/>
  <c r="AP160" i="1"/>
  <c r="AQ160" i="1" s="1"/>
  <c r="BI82" i="1"/>
  <c r="AX158" i="1"/>
  <c r="BR173" i="1"/>
  <c r="BF83" i="1"/>
  <c r="AZ166" i="1"/>
  <c r="BA166" i="1" s="1"/>
  <c r="BD149" i="1"/>
  <c r="BE149" i="1" s="1"/>
  <c r="AZ131" i="1"/>
  <c r="BA131" i="1" s="1"/>
  <c r="BN178" i="1"/>
  <c r="BO178" i="1" s="1"/>
  <c r="BF161" i="1"/>
  <c r="BG161" i="1" s="1"/>
  <c r="BT165" i="1"/>
  <c r="BU165" i="1" s="1"/>
  <c r="BN133" i="1"/>
  <c r="AX132" i="1"/>
  <c r="AY132" i="1" s="1"/>
  <c r="BW83" i="1"/>
  <c r="BN140" i="1"/>
  <c r="BO140" i="1" s="1"/>
  <c r="AX165" i="1"/>
  <c r="AY165" i="1" s="1"/>
  <c r="AP139" i="1"/>
  <c r="AQ139" i="1" s="1"/>
  <c r="AT145" i="1"/>
  <c r="AZ145" i="1"/>
  <c r="BF168" i="1"/>
  <c r="BG168" i="1" s="1"/>
  <c r="BR141" i="1"/>
  <c r="BS141" i="1" s="1"/>
  <c r="BD161" i="1"/>
  <c r="BE161" i="1" s="1"/>
  <c r="AP157" i="1"/>
  <c r="AQ157" i="1" s="1"/>
  <c r="AV149" i="1"/>
  <c r="AW149" i="1" s="1"/>
  <c r="BB149" i="1"/>
  <c r="BC149" i="1" s="1"/>
  <c r="AR178" i="1"/>
  <c r="AS178" i="1" s="1"/>
  <c r="AQ82" i="1"/>
  <c r="AT165" i="1"/>
  <c r="AU165" i="1" s="1"/>
  <c r="AX83" i="1"/>
  <c r="BA82" i="1"/>
  <c r="BF165" i="1"/>
  <c r="BG165" i="1" s="1"/>
  <c r="BN136" i="1"/>
  <c r="BO136" i="1" s="1"/>
  <c r="BP141" i="1"/>
  <c r="BQ141" i="1" s="1"/>
  <c r="BF138" i="1"/>
  <c r="BG138" i="1" s="1"/>
  <c r="BF177" i="1"/>
  <c r="BG177" i="1" s="1"/>
  <c r="AZ174" i="1"/>
  <c r="AW82" i="1"/>
  <c r="BP140" i="1"/>
  <c r="BQ140" i="1" s="1"/>
  <c r="BD166" i="1"/>
  <c r="BE166" i="1" s="1"/>
  <c r="BG82" i="1"/>
  <c r="AZ156" i="1"/>
  <c r="BA156" i="1" s="1"/>
  <c r="BD174" i="1"/>
  <c r="BT131" i="1"/>
  <c r="BU131" i="1" s="1"/>
  <c r="BN166" i="1"/>
  <c r="BO166" i="1" s="1"/>
  <c r="BD163" i="1"/>
  <c r="BE163" i="1" s="1"/>
  <c r="BT166" i="1"/>
  <c r="BU166" i="1" s="1"/>
  <c r="BM83" i="1"/>
  <c r="BN141" i="1"/>
  <c r="BO141" i="1" s="1"/>
  <c r="BR146" i="1"/>
  <c r="BP158" i="1"/>
  <c r="AT173" i="1"/>
  <c r="BF178" i="1"/>
  <c r="BG178" i="1" s="1"/>
  <c r="AZ149" i="1"/>
  <c r="BA149" i="1" s="1"/>
  <c r="BT160" i="1"/>
  <c r="BU160" i="1" s="1"/>
  <c r="BP138" i="1"/>
  <c r="BQ138" i="1" s="1"/>
  <c r="BP156" i="1"/>
  <c r="BQ156" i="1" s="1"/>
  <c r="BT83" i="1"/>
  <c r="AR157" i="1"/>
  <c r="AS157" i="1" s="1"/>
  <c r="BF132" i="1"/>
  <c r="BG132" i="1" s="1"/>
  <c r="AX82" i="1"/>
  <c r="AX161" i="1"/>
  <c r="AY161" i="1" s="1"/>
  <c r="AX166" i="1"/>
  <c r="AY166" i="1" s="1"/>
  <c r="BB138" i="1"/>
  <c r="BF131" i="1"/>
  <c r="BG131" i="1" s="1"/>
  <c r="AZ161" i="1"/>
  <c r="BA161" i="1" s="1"/>
  <c r="BP145" i="1"/>
  <c r="AV158" i="1"/>
  <c r="BW82" i="1"/>
  <c r="BN169" i="1"/>
  <c r="BO169" i="1" s="1"/>
  <c r="BR163" i="1"/>
  <c r="BS163" i="1" s="1"/>
  <c r="BP133" i="1"/>
  <c r="BR82" i="1"/>
  <c r="BB83" i="1"/>
  <c r="BD83" i="1"/>
  <c r="AT139" i="1"/>
  <c r="AU139" i="1" s="1"/>
  <c r="BN139" i="1"/>
  <c r="BO139" i="1" s="1"/>
  <c r="BB160" i="1"/>
  <c r="BC160" i="1" s="1"/>
  <c r="BF146" i="1"/>
  <c r="AT136" i="1"/>
  <c r="AU136" i="1" s="1"/>
  <c r="BB146" i="1"/>
  <c r="BB140" i="1"/>
  <c r="BC140" i="1" s="1"/>
  <c r="BP154" i="1"/>
  <c r="BQ154" i="1" s="1"/>
  <c r="AP154" i="1"/>
  <c r="AV154" i="1"/>
  <c r="AV164" i="1"/>
  <c r="AW164" i="1" s="1"/>
  <c r="BE83" i="1"/>
  <c r="AX136" i="1"/>
  <c r="AY136" i="1" s="1"/>
  <c r="AX174" i="1"/>
  <c r="BB133" i="1"/>
  <c r="AZ159" i="1"/>
  <c r="BT158" i="1"/>
  <c r="AP133" i="1"/>
  <c r="BR165" i="1"/>
  <c r="BS165" i="1" s="1"/>
  <c r="AT147" i="1"/>
  <c r="AX164" i="1"/>
  <c r="AY164" i="1" s="1"/>
  <c r="BN160" i="1"/>
  <c r="BO160" i="1" s="1"/>
  <c r="BN146" i="1"/>
  <c r="AY83" i="1"/>
  <c r="BR158" i="1"/>
  <c r="BB174" i="1"/>
  <c r="BD145" i="1"/>
  <c r="BT167" i="1"/>
  <c r="BA83" i="1"/>
  <c r="BR160" i="1"/>
  <c r="BS160" i="1" s="1"/>
  <c r="BB141" i="1"/>
  <c r="BC141" i="1" s="1"/>
  <c r="BP159" i="1"/>
  <c r="AT158" i="1"/>
  <c r="BC82" i="1"/>
  <c r="BD165" i="1"/>
  <c r="BE165" i="1" s="1"/>
  <c r="BR159" i="1"/>
  <c r="BT173" i="1"/>
  <c r="AV163" i="1"/>
  <c r="AW163" i="1" s="1"/>
  <c r="BN156" i="1"/>
  <c r="BO156" i="1" s="1"/>
  <c r="AZ158" i="1"/>
  <c r="AP138" i="1"/>
  <c r="AQ138" i="1" s="1"/>
  <c r="BP131" i="1"/>
  <c r="BQ131" i="1" s="1"/>
  <c r="BD140" i="1"/>
  <c r="BE140" i="1" s="1"/>
  <c r="BP146" i="1"/>
  <c r="AP164" i="1"/>
  <c r="AQ164" i="1" s="1"/>
  <c r="BD178" i="1"/>
  <c r="BE178" i="1" s="1"/>
  <c r="AV173" i="1"/>
  <c r="AV131" i="1"/>
  <c r="AW131" i="1" s="1"/>
  <c r="AR133" i="1"/>
  <c r="AR156" i="1"/>
  <c r="AS156" i="1" s="1"/>
  <c r="AZ154" i="1"/>
  <c r="BA154" i="1" s="1"/>
  <c r="AP177" i="1"/>
  <c r="AQ177" i="1" s="1"/>
  <c r="AP156" i="1"/>
  <c r="AV139" i="1"/>
  <c r="AW139" i="1" s="1"/>
  <c r="AV140" i="1"/>
  <c r="AW140" i="1" s="1"/>
  <c r="AR168" i="1"/>
  <c r="AS168" i="1" s="1"/>
  <c r="AV147" i="1"/>
  <c r="AR132" i="1"/>
  <c r="AS132" i="1" s="1"/>
  <c r="AR166" i="1"/>
  <c r="AS166" i="1" s="1"/>
  <c r="BP173" i="1"/>
  <c r="AR138" i="1"/>
  <c r="AV178" i="1"/>
  <c r="AW178" i="1" s="1"/>
  <c r="AR167" i="1"/>
  <c r="AR136" i="1"/>
  <c r="AS136" i="1" s="1"/>
  <c r="AR160" i="1"/>
  <c r="AS160" i="1" s="1"/>
  <c r="BB145" i="1"/>
  <c r="AV82" i="1"/>
  <c r="AU82" i="1"/>
  <c r="AR174" i="1"/>
  <c r="AV167" i="1"/>
  <c r="AT163" i="1"/>
  <c r="AU163" i="1" s="1"/>
  <c r="AT167" i="1"/>
  <c r="AR82" i="1"/>
  <c r="BO83" i="1"/>
  <c r="BT154" i="1"/>
  <c r="AP147" i="1"/>
  <c r="BF164" i="1"/>
  <c r="BG164" i="1" s="1"/>
  <c r="BN82" i="1"/>
  <c r="AV174" i="1"/>
  <c r="AR158" i="1"/>
  <c r="BP163" i="1"/>
  <c r="BQ163" i="1" s="1"/>
  <c r="AV165" i="1"/>
  <c r="AW165" i="1" s="1"/>
  <c r="BT141" i="1"/>
  <c r="BU141" i="1" s="1"/>
  <c r="AR161" i="1"/>
  <c r="AS161" i="1" s="1"/>
  <c r="BB159" i="1"/>
  <c r="AT132" i="1"/>
  <c r="AU132" i="1" s="1"/>
  <c r="BO82" i="1"/>
  <c r="AX177" i="1"/>
  <c r="AY177" i="1" s="1"/>
  <c r="BB154" i="1"/>
  <c r="BC154" i="1" s="1"/>
  <c r="BD131" i="1"/>
  <c r="BR149" i="1"/>
  <c r="BS149" i="1" s="1"/>
  <c r="BB167" i="1"/>
  <c r="BF174" i="1"/>
  <c r="BP167" i="1"/>
  <c r="AX169" i="1"/>
  <c r="AY169" i="1" s="1"/>
  <c r="BN173" i="1"/>
  <c r="AZ140" i="1"/>
  <c r="BA140" i="1" s="1"/>
  <c r="AX145" i="1"/>
  <c r="BN158" i="1"/>
  <c r="BR132" i="1"/>
  <c r="BS132" i="1" s="1"/>
  <c r="BF159" i="1"/>
  <c r="BF194" i="1" s="1"/>
  <c r="BG194" i="1" s="1"/>
  <c r="BS82" i="1"/>
  <c r="BQ83" i="1"/>
  <c r="AT149" i="1"/>
  <c r="AU149" i="1" s="1"/>
  <c r="AT140" i="1"/>
  <c r="AU140" i="1" s="1"/>
  <c r="AZ136" i="1"/>
  <c r="BA136" i="1" s="1"/>
  <c r="BD177" i="1"/>
  <c r="BE177" i="1" s="1"/>
  <c r="BD136" i="1"/>
  <c r="BE136" i="1" s="1"/>
  <c r="BT133" i="1"/>
  <c r="BB168" i="1"/>
  <c r="BC168" i="1" s="1"/>
  <c r="BF145" i="1"/>
  <c r="AX133" i="1"/>
  <c r="AX149" i="1"/>
  <c r="AY149" i="1" s="1"/>
  <c r="AX159" i="1"/>
  <c r="AZ147" i="1"/>
  <c r="AZ169" i="1"/>
  <c r="BA169" i="1" s="1"/>
  <c r="BF167" i="1"/>
  <c r="BF149" i="1"/>
  <c r="BG149" i="1" s="1"/>
  <c r="BD164" i="1"/>
  <c r="BE164" i="1" s="1"/>
  <c r="BN164" i="1"/>
  <c r="BO164" i="1" s="1"/>
  <c r="AQ83" i="1"/>
  <c r="BR83" i="1"/>
  <c r="AZ141" i="1"/>
  <c r="BA141" i="1" s="1"/>
  <c r="BD160" i="1"/>
  <c r="BE160" i="1" s="1"/>
  <c r="BD138" i="1"/>
  <c r="BE138" i="1" s="1"/>
  <c r="BT149" i="1"/>
  <c r="BU149" i="1" s="1"/>
  <c r="BP83" i="1"/>
  <c r="AV168" i="1"/>
  <c r="AW168" i="1" s="1"/>
  <c r="BN83" i="1"/>
  <c r="BR178" i="1"/>
  <c r="BS178" i="1" s="1"/>
  <c r="AT164" i="1"/>
  <c r="AO82" i="1"/>
  <c r="AX163" i="1"/>
  <c r="AX146" i="1"/>
  <c r="AX151" i="1"/>
  <c r="AY151" i="1" s="1"/>
  <c r="BE82" i="1"/>
  <c r="BN147" i="1"/>
  <c r="BN177" i="1"/>
  <c r="BO177" i="1" s="1"/>
  <c r="BN138" i="1"/>
  <c r="BN159" i="1"/>
  <c r="BN168" i="1"/>
  <c r="BO168" i="1" s="1"/>
  <c r="BR156" i="1"/>
  <c r="BS156" i="1" s="1"/>
  <c r="BB163" i="1"/>
  <c r="BC163" i="1" s="1"/>
  <c r="BB165" i="1"/>
  <c r="BC165" i="1" s="1"/>
  <c r="AZ165" i="1"/>
  <c r="BA165" i="1" s="1"/>
  <c r="BF156" i="1"/>
  <c r="BG156" i="1" s="1"/>
  <c r="BD159" i="1"/>
  <c r="BT168" i="1"/>
  <c r="BU168" i="1" s="1"/>
  <c r="BT174" i="1"/>
  <c r="BP157" i="1"/>
  <c r="BQ157" i="1" s="1"/>
  <c r="BP165" i="1"/>
  <c r="BQ165" i="1" s="1"/>
  <c r="AP132" i="1"/>
  <c r="AQ132" i="1" s="1"/>
  <c r="AZ132" i="1"/>
  <c r="BA132" i="1" s="1"/>
  <c r="AX140" i="1"/>
  <c r="AY140" i="1" s="1"/>
  <c r="AX156" i="1"/>
  <c r="AY156" i="1" s="1"/>
  <c r="BN161" i="1"/>
  <c r="BO161" i="1" s="1"/>
  <c r="BR147" i="1"/>
  <c r="BR169" i="1"/>
  <c r="BS169" i="1" s="1"/>
  <c r="BR164" i="1"/>
  <c r="BS164" i="1" s="1"/>
  <c r="BB136" i="1"/>
  <c r="BC136" i="1" s="1"/>
  <c r="AZ146" i="1"/>
  <c r="AP163" i="1"/>
  <c r="AQ163" i="1" s="1"/>
  <c r="AW83" i="1"/>
  <c r="AS82" i="1"/>
  <c r="AT141" i="1"/>
  <c r="AU141" i="1" s="1"/>
  <c r="AT159" i="1"/>
  <c r="AT169" i="1"/>
  <c r="AU169" i="1" s="1"/>
  <c r="AT160" i="1"/>
  <c r="AU160" i="1" s="1"/>
  <c r="AT168" i="1"/>
  <c r="AU168" i="1" s="1"/>
  <c r="AT131" i="1"/>
  <c r="BB164" i="1"/>
  <c r="BC164" i="1" s="1"/>
  <c r="AZ177" i="1"/>
  <c r="BA177" i="1" s="1"/>
  <c r="AZ164" i="1"/>
  <c r="BA164" i="1" s="1"/>
  <c r="BF133" i="1"/>
  <c r="BD133" i="1"/>
  <c r="BD154" i="1"/>
  <c r="BE154" i="1" s="1"/>
  <c r="AP83" i="1"/>
  <c r="BG83" i="1"/>
  <c r="BF136" i="1"/>
  <c r="BG136" i="1" s="1"/>
  <c r="AZ178" i="1"/>
  <c r="BA178" i="1" s="1"/>
  <c r="BF154" i="1"/>
  <c r="BG154" i="1" s="1"/>
  <c r="BD156" i="1"/>
  <c r="BE156" i="1" s="1"/>
  <c r="BP136" i="1"/>
  <c r="BQ136" i="1" s="1"/>
  <c r="BK82" i="1"/>
  <c r="AP136" i="1"/>
  <c r="AQ136" i="1" s="1"/>
  <c r="AT157" i="1"/>
  <c r="AU157" i="1" s="1"/>
  <c r="AT133" i="1"/>
  <c r="BN167" i="1"/>
  <c r="BB147" i="1"/>
  <c r="BB156" i="1"/>
  <c r="BC156" i="1" s="1"/>
  <c r="AZ163" i="1"/>
  <c r="BA163" i="1" s="1"/>
  <c r="BP160" i="1"/>
  <c r="BQ160" i="1" s="1"/>
  <c r="BT159" i="1"/>
  <c r="BD167" i="1"/>
  <c r="BF140" i="1"/>
  <c r="BG140" i="1" s="1"/>
  <c r="BT164" i="1"/>
  <c r="BU164" i="1" s="1"/>
  <c r="AZ151" i="1"/>
  <c r="BA151" i="1" s="1"/>
  <c r="AP140" i="1"/>
  <c r="AQ140" i="1" s="1"/>
  <c r="AP158" i="1"/>
  <c r="BP139" i="1"/>
  <c r="BQ139" i="1" s="1"/>
  <c r="AV160" i="1"/>
  <c r="AW160" i="1" s="1"/>
  <c r="AR139" i="1"/>
  <c r="AS139" i="1" s="1"/>
  <c r="AR83" i="1"/>
  <c r="BT161" i="1"/>
  <c r="BU161" i="1" s="1"/>
  <c r="BP166" i="1"/>
  <c r="BQ166" i="1" s="1"/>
  <c r="AV83" i="1"/>
  <c r="AP141" i="1"/>
  <c r="AQ141" i="1" s="1"/>
  <c r="AV132" i="1"/>
  <c r="AW132" i="1" s="1"/>
  <c r="AV177" i="1"/>
  <c r="AW177" i="1" s="1"/>
  <c r="AR131" i="1"/>
  <c r="AV138" i="1"/>
  <c r="BD82" i="1"/>
  <c r="AP167" i="1"/>
  <c r="BP147" i="1"/>
  <c r="AR151" i="1"/>
  <c r="AS151" i="1" s="1"/>
  <c r="BI83" i="1"/>
  <c r="AS83" i="1"/>
  <c r="AR164" i="1"/>
  <c r="AS164" i="1" s="1"/>
  <c r="AP174" i="1"/>
  <c r="AV141" i="1"/>
  <c r="AW141" i="1" s="1"/>
  <c r="BP168" i="1"/>
  <c r="BQ168" i="1" s="1"/>
  <c r="AR141" i="1"/>
  <c r="AS141" i="1" s="1"/>
  <c r="AV166" i="1"/>
  <c r="AW166" i="1" s="1"/>
  <c r="BQ82" i="1"/>
  <c r="BS83" i="1"/>
  <c r="AR163" i="1"/>
  <c r="AS163" i="1" s="1"/>
  <c r="AP82" i="1"/>
  <c r="BR138" i="1"/>
  <c r="BS138" i="1" s="1"/>
  <c r="AR177" i="1"/>
  <c r="AS177" i="1" s="1"/>
  <c r="AV159" i="1"/>
  <c r="AR140" i="1"/>
  <c r="AS140" i="1" s="1"/>
  <c r="AX167" i="1"/>
  <c r="BB82" i="1"/>
  <c r="AZ160" i="1"/>
  <c r="BA160" i="1" s="1"/>
  <c r="BD173" i="1"/>
  <c r="BR168" i="1"/>
  <c r="BS168" i="1" s="1"/>
  <c r="BK83" i="1"/>
  <c r="AX131" i="1"/>
  <c r="AX168" i="1"/>
  <c r="AY168" i="1" s="1"/>
  <c r="BB139" i="1"/>
  <c r="BC139" i="1" s="1"/>
  <c r="BF158" i="1"/>
  <c r="BT139" i="1"/>
  <c r="BU139" i="1" s="1"/>
  <c r="AX138" i="1"/>
  <c r="BR154" i="1"/>
  <c r="BT138" i="1"/>
  <c r="AP169" i="1"/>
  <c r="AQ169" i="1" s="1"/>
  <c r="AT178" i="1"/>
  <c r="AU178" i="1" s="1"/>
  <c r="AT166" i="1"/>
  <c r="AU166" i="1" s="1"/>
  <c r="AZ138" i="1"/>
  <c r="BA138" i="1" s="1"/>
  <c r="BF166" i="1"/>
  <c r="BG166" i="1" s="1"/>
  <c r="BD158" i="1"/>
  <c r="AT83" i="1"/>
  <c r="BB158" i="1"/>
  <c r="BT169" i="1"/>
  <c r="BU169" i="1" s="1"/>
  <c r="BB161" i="1"/>
  <c r="BC161" i="1" s="1"/>
  <c r="BP164" i="1"/>
  <c r="BQ164" i="1" s="1"/>
  <c r="BT82" i="1"/>
  <c r="AP159" i="1"/>
  <c r="AV145" i="1"/>
  <c r="BD141" i="1"/>
  <c r="BE141" i="1" s="1"/>
  <c r="AX173" i="1"/>
  <c r="AX178" i="1"/>
  <c r="AY178" i="1" s="1"/>
  <c r="AX139" i="1"/>
  <c r="AY139" i="1" s="1"/>
  <c r="BB177" i="1"/>
  <c r="BC177" i="1" s="1"/>
  <c r="BU82" i="1"/>
  <c r="AZ83" i="1"/>
  <c r="BF160" i="1"/>
  <c r="BG160" i="1" s="1"/>
  <c r="BF141" i="1"/>
  <c r="BG141" i="1" s="1"/>
  <c r="BD147" i="1"/>
  <c r="BN154" i="1"/>
  <c r="BR166" i="1"/>
  <c r="BS166" i="1" s="1"/>
  <c r="BR133" i="1"/>
  <c r="BR139" i="1"/>
  <c r="BS139" i="1" s="1"/>
  <c r="BR131" i="1"/>
  <c r="BB178" i="1"/>
  <c r="BC178" i="1" s="1"/>
  <c r="AZ133" i="1"/>
  <c r="BF163" i="1"/>
  <c r="BG163" i="1" s="1"/>
  <c r="BD132" i="1"/>
  <c r="BE132" i="1" s="1"/>
  <c r="BT178" i="1"/>
  <c r="BU178" i="1" s="1"/>
  <c r="BP174" i="1"/>
  <c r="AP146" i="1"/>
  <c r="AV146" i="1"/>
  <c r="BN145" i="1"/>
  <c r="BR161" i="1"/>
  <c r="BS161" i="1" s="1"/>
  <c r="AX147" i="1"/>
  <c r="AX160" i="1"/>
  <c r="AY160" i="1" s="1"/>
  <c r="BN174" i="1"/>
  <c r="BN132" i="1"/>
  <c r="BO132" i="1" s="1"/>
  <c r="BN163" i="1"/>
  <c r="BO163" i="1" s="1"/>
  <c r="BR174" i="1"/>
  <c r="BR136" i="1"/>
  <c r="BS136" i="1" s="1"/>
  <c r="BB173" i="1"/>
  <c r="BF147" i="1"/>
  <c r="BT132" i="1"/>
  <c r="BU132" i="1" s="1"/>
  <c r="BP177" i="1"/>
  <c r="BQ177" i="1" s="1"/>
  <c r="BP161" i="1"/>
  <c r="BQ161" i="1" s="1"/>
  <c r="BM82" i="1"/>
  <c r="AX141" i="1"/>
  <c r="AY141" i="1" s="1"/>
  <c r="BN165" i="1"/>
  <c r="BO165" i="1" s="1"/>
  <c r="BN131" i="1"/>
  <c r="BO131" i="1" s="1"/>
  <c r="BR145" i="1"/>
  <c r="BR177" i="1"/>
  <c r="BS177" i="1" s="1"/>
  <c r="BR167" i="1"/>
  <c r="BB169" i="1"/>
  <c r="BC169" i="1" s="1"/>
  <c r="AZ173" i="1"/>
  <c r="BD169" i="1"/>
  <c r="BE169" i="1" s="1"/>
  <c r="BT147" i="1"/>
  <c r="AP165" i="1"/>
  <c r="AQ165" i="1" s="1"/>
  <c r="AT154" i="1"/>
  <c r="AU154" i="1" s="1"/>
  <c r="AT174" i="1"/>
  <c r="AT138" i="1"/>
  <c r="AU138" i="1" s="1"/>
  <c r="AT156" i="1"/>
  <c r="BN149" i="1"/>
  <c r="BO149" i="1" s="1"/>
  <c r="BB166" i="1"/>
  <c r="BC166" i="1" s="1"/>
  <c r="BU83" i="1"/>
  <c r="AZ139" i="1"/>
  <c r="BA139" i="1" s="1"/>
  <c r="BF169" i="1"/>
  <c r="BG169" i="1" s="1"/>
  <c r="BP132" i="1"/>
  <c r="BQ132" i="1" s="1"/>
  <c r="BF173" i="1"/>
  <c r="BF82" i="1"/>
  <c r="BD139" i="1"/>
  <c r="BE139" i="1" s="1"/>
  <c r="AP166" i="1"/>
  <c r="AQ166" i="1" s="1"/>
  <c r="AT177" i="1"/>
  <c r="AU177" i="1" s="1"/>
  <c r="AT161" i="1"/>
  <c r="AU161" i="1" s="1"/>
  <c r="BT140" i="1"/>
  <c r="BU140" i="1" s="1"/>
  <c r="AU83" i="1"/>
  <c r="BB132" i="1"/>
  <c r="BC132" i="1" s="1"/>
  <c r="AZ82" i="1"/>
  <c r="BT156" i="1"/>
  <c r="BU156" i="1" s="1"/>
  <c r="AP178" i="1"/>
  <c r="AQ178" i="1" s="1"/>
  <c r="BB131" i="1"/>
  <c r="BD168" i="1"/>
  <c r="BE168" i="1" s="1"/>
  <c r="BT177" i="1"/>
  <c r="BU177" i="1" s="1"/>
  <c r="BP149" i="1"/>
  <c r="BQ149" i="1" s="1"/>
  <c r="AP149" i="1"/>
  <c r="AQ149" i="1" s="1"/>
  <c r="BP178" i="1"/>
  <c r="BQ178" i="1" s="1"/>
  <c r="AP131" i="1"/>
  <c r="AQ131" i="1" s="1"/>
  <c r="AV136" i="1"/>
  <c r="AW136" i="1" s="1"/>
  <c r="AR149" i="1"/>
  <c r="AS149" i="1" s="1"/>
  <c r="AR154" i="1"/>
  <c r="AS154" i="1" s="1"/>
  <c r="AR147" i="1"/>
  <c r="AP173" i="1"/>
  <c r="AP161" i="1"/>
  <c r="AQ161" i="1" s="1"/>
  <c r="AV169" i="1"/>
  <c r="AW169" i="1" s="1"/>
  <c r="AP145" i="1"/>
  <c r="AR146" i="1"/>
  <c r="AR145" i="1"/>
  <c r="AR173" i="1"/>
  <c r="BD146" i="1"/>
  <c r="AV133" i="1"/>
  <c r="AR159" i="1"/>
  <c r="BT163" i="1"/>
  <c r="BU163" i="1" s="1"/>
  <c r="AR169" i="1"/>
  <c r="AS169" i="1" s="1"/>
  <c r="AP168" i="1"/>
  <c r="AQ168" i="1" s="1"/>
  <c r="AR165" i="1"/>
  <c r="AS165" i="1" s="1"/>
  <c r="AT146" i="1"/>
  <c r="AT82" i="1"/>
  <c r="AO83" i="1"/>
  <c r="AV161" i="1"/>
  <c r="AW161" i="1" s="1"/>
  <c r="AV151" i="1"/>
  <c r="AW151" i="1" s="1"/>
  <c r="AV157" i="1"/>
  <c r="AP151" i="1"/>
  <c r="AQ151" i="1" s="1"/>
  <c r="BF151" i="1"/>
  <c r="BG151" i="1" s="1"/>
  <c r="AT151" i="1"/>
  <c r="AU151" i="1" s="1"/>
  <c r="BP151" i="1"/>
  <c r="BQ151" i="1" s="1"/>
  <c r="BD151" i="1"/>
  <c r="BE151" i="1" s="1"/>
  <c r="BN151" i="1"/>
  <c r="BO151" i="1" s="1"/>
  <c r="BR151" i="1"/>
  <c r="BS151" i="1" s="1"/>
  <c r="BT151" i="1"/>
  <c r="BU151" i="1" s="1"/>
  <c r="BB151" i="1"/>
  <c r="BC151" i="1" s="1"/>
  <c r="BT157" i="1"/>
  <c r="BB157" i="1"/>
  <c r="BF157" i="1"/>
  <c r="AX157" i="1"/>
  <c r="BD157" i="1"/>
  <c r="AZ157" i="1"/>
  <c r="BR157" i="1"/>
  <c r="BN157" i="1"/>
  <c r="BQ245" i="1"/>
  <c r="BQ267" i="1"/>
  <c r="BI208" i="1"/>
  <c r="BS267" i="1"/>
  <c r="CQ148" i="1"/>
  <c r="DB86" i="1"/>
  <c r="CY74" i="1"/>
  <c r="CZ72" i="1"/>
  <c r="AY82" i="1" l="1"/>
  <c r="F148" i="1"/>
  <c r="F42" i="1" s="1"/>
  <c r="AX267" i="1"/>
  <c r="BK266" i="1"/>
  <c r="H170" i="1"/>
  <c r="H199" i="1" s="1"/>
  <c r="N187" i="1"/>
  <c r="BF197" i="1"/>
  <c r="BG197" i="1" s="1"/>
  <c r="AW245" i="1"/>
  <c r="BJ36" i="1"/>
  <c r="BV148" i="1"/>
  <c r="BD19" i="1"/>
  <c r="BD8" i="1" s="1"/>
  <c r="G134" i="1"/>
  <c r="L162" i="1"/>
  <c r="N148" i="1"/>
  <c r="E216" i="1"/>
  <c r="D187" i="1"/>
  <c r="M162" i="1"/>
  <c r="M196" i="1" s="1"/>
  <c r="S134" i="1"/>
  <c r="B142" i="1"/>
  <c r="J216" i="1"/>
  <c r="T142" i="1"/>
  <c r="K187" i="1"/>
  <c r="B187" i="1"/>
  <c r="R187" i="1"/>
  <c r="J148" i="1"/>
  <c r="BK46" i="1"/>
  <c r="BU35" i="1"/>
  <c r="BU19" i="1"/>
  <c r="BU8" i="1" s="1"/>
  <c r="BC35" i="1"/>
  <c r="BI19" i="1"/>
  <c r="BI8" i="1" s="1"/>
  <c r="K175" i="1"/>
  <c r="I148" i="1"/>
  <c r="Q216" i="1"/>
  <c r="F175" i="1"/>
  <c r="BE266" i="1"/>
  <c r="BF266" i="1"/>
  <c r="N216" i="1"/>
  <c r="N162" i="1"/>
  <c r="N134" i="1"/>
  <c r="X216" i="1"/>
  <c r="AW19" i="1"/>
  <c r="BQ266" i="1"/>
  <c r="BA19" i="1"/>
  <c r="BD245" i="1"/>
  <c r="AI217" i="1"/>
  <c r="AI215" i="1" s="1"/>
  <c r="BA266" i="1"/>
  <c r="AT266" i="1"/>
  <c r="BS266" i="1"/>
  <c r="BL107" i="1"/>
  <c r="BL108" i="1" s="1"/>
  <c r="AI42" i="1"/>
  <c r="AQ266" i="1"/>
  <c r="AQ19" i="1"/>
  <c r="AQ8" i="1" s="1"/>
  <c r="BH193" i="1"/>
  <c r="BI193" i="1" s="1"/>
  <c r="BK245" i="1"/>
  <c r="BF19" i="1"/>
  <c r="BF8" i="1" s="1"/>
  <c r="AQ267" i="1"/>
  <c r="AQ208" i="1"/>
  <c r="BI267" i="1"/>
  <c r="BF245" i="1"/>
  <c r="BJ267" i="1"/>
  <c r="BJ208" i="1"/>
  <c r="BA267" i="1"/>
  <c r="BA208" i="1"/>
  <c r="AO245" i="1"/>
  <c r="AO19" i="1"/>
  <c r="AO8" i="1" s="1"/>
  <c r="BI216" i="1"/>
  <c r="V148" i="1"/>
  <c r="BM46" i="1"/>
  <c r="AY266" i="1"/>
  <c r="M216" i="1"/>
  <c r="BI266" i="1"/>
  <c r="BH148" i="1"/>
  <c r="BH152" i="1" s="1"/>
  <c r="BW35" i="1"/>
  <c r="BR266" i="1"/>
  <c r="BE19" i="1"/>
  <c r="BE8" i="1" s="1"/>
  <c r="L142" i="1"/>
  <c r="AZ35" i="1"/>
  <c r="AW266" i="1"/>
  <c r="AU35" i="1"/>
  <c r="S142" i="1"/>
  <c r="K162" i="1"/>
  <c r="H148" i="1"/>
  <c r="O134" i="1"/>
  <c r="B134" i="1"/>
  <c r="AI46" i="1"/>
  <c r="O148" i="1"/>
  <c r="C170" i="1"/>
  <c r="R175" i="1"/>
  <c r="W216" i="1"/>
  <c r="P216" i="1"/>
  <c r="T134" i="1"/>
  <c r="T189" i="1" s="1"/>
  <c r="J175" i="1"/>
  <c r="U216" i="1"/>
  <c r="U187" i="1"/>
  <c r="C187" i="1"/>
  <c r="AN35" i="1"/>
  <c r="AN266" i="1"/>
  <c r="BD194" i="1"/>
  <c r="BE194" i="1" s="1"/>
  <c r="BD197" i="1"/>
  <c r="BE197" i="1" s="1"/>
  <c r="M148" i="1"/>
  <c r="BJ8" i="1"/>
  <c r="BJ25" i="1"/>
  <c r="AO107" i="1"/>
  <c r="AO108" i="1" s="1"/>
  <c r="AN107" i="1"/>
  <c r="AN108" i="1" s="1"/>
  <c r="AN245" i="1"/>
  <c r="AN19" i="1"/>
  <c r="AN8" i="1" s="1"/>
  <c r="BD208" i="1"/>
  <c r="BD267" i="1"/>
  <c r="K216" i="1"/>
  <c r="L216" i="1"/>
  <c r="E170" i="1"/>
  <c r="M195" i="1"/>
  <c r="H198" i="1"/>
  <c r="BV134" i="1"/>
  <c r="BV101" i="1" s="1"/>
  <c r="BR19" i="1"/>
  <c r="D175" i="1"/>
  <c r="BO267" i="1"/>
  <c r="BO35" i="1"/>
  <c r="AW35" i="1"/>
  <c r="N142" i="1"/>
  <c r="B74" i="1"/>
  <c r="BV175" i="1"/>
  <c r="M142" i="1"/>
  <c r="C175" i="1"/>
  <c r="P162" i="1"/>
  <c r="E148" i="1"/>
  <c r="AS35" i="1"/>
  <c r="AX35" i="1"/>
  <c r="BH35" i="1"/>
  <c r="BI35" i="1"/>
  <c r="T175" i="1"/>
  <c r="C216" i="1"/>
  <c r="B162" i="1"/>
  <c r="I170" i="1"/>
  <c r="L187" i="1"/>
  <c r="H134" i="1"/>
  <c r="D216" i="1"/>
  <c r="V175" i="1"/>
  <c r="E134" i="1"/>
  <c r="D170" i="1"/>
  <c r="G187" i="1"/>
  <c r="Q148" i="1"/>
  <c r="T148" i="1"/>
  <c r="K170" i="1"/>
  <c r="T216" i="1"/>
  <c r="V134" i="1"/>
  <c r="AS19" i="1"/>
  <c r="AR266" i="1"/>
  <c r="BS35" i="1"/>
  <c r="BS36" i="1" s="1"/>
  <c r="BH134" i="1"/>
  <c r="BH101" i="1" s="1"/>
  <c r="E142" i="1"/>
  <c r="D134" i="1"/>
  <c r="BG266" i="1"/>
  <c r="BT267" i="1"/>
  <c r="AV35" i="1"/>
  <c r="BT35" i="1"/>
  <c r="AM57" i="1"/>
  <c r="M187" i="1"/>
  <c r="S170" i="1"/>
  <c r="U170" i="1"/>
  <c r="P187" i="1"/>
  <c r="D148" i="1"/>
  <c r="F162" i="1"/>
  <c r="AQ35" i="1"/>
  <c r="AQ36" i="1" s="1"/>
  <c r="BH175" i="1"/>
  <c r="L134" i="1"/>
  <c r="BP19" i="1"/>
  <c r="AR35" i="1"/>
  <c r="AP266" i="1"/>
  <c r="BQ35" i="1"/>
  <c r="BQ36" i="1" s="1"/>
  <c r="BN35" i="1"/>
  <c r="BP35" i="1"/>
  <c r="BP36" i="1" s="1"/>
  <c r="BB35" i="1"/>
  <c r="AI35" i="1"/>
  <c r="I187" i="1"/>
  <c r="T170" i="1"/>
  <c r="V187" i="1"/>
  <c r="Q175" i="1"/>
  <c r="S187" i="1"/>
  <c r="S162" i="1"/>
  <c r="G175" i="1"/>
  <c r="AT35" i="1"/>
  <c r="AP19" i="1"/>
  <c r="F187" i="1"/>
  <c r="J187" i="1"/>
  <c r="B175" i="1"/>
  <c r="P134" i="1"/>
  <c r="M134" i="1"/>
  <c r="I216" i="1"/>
  <c r="N175" i="1"/>
  <c r="E162" i="1"/>
  <c r="BA35" i="1"/>
  <c r="BA36" i="1" s="1"/>
  <c r="Q170" i="1"/>
  <c r="E187" i="1"/>
  <c r="U134" i="1"/>
  <c r="H162" i="1"/>
  <c r="U148" i="1"/>
  <c r="K134" i="1"/>
  <c r="L170" i="1"/>
  <c r="I162" i="1"/>
  <c r="F134" i="1"/>
  <c r="AZ197" i="1"/>
  <c r="BA197" i="1" s="1"/>
  <c r="AV193" i="1"/>
  <c r="AW193" i="1" s="1"/>
  <c r="AZ194" i="1"/>
  <c r="BA194" i="1" s="1"/>
  <c r="BR193" i="1"/>
  <c r="BS193" i="1" s="1"/>
  <c r="BP194" i="1"/>
  <c r="BQ194" i="1" s="1"/>
  <c r="BR194" i="1"/>
  <c r="BS194" i="1" s="1"/>
  <c r="AZ193" i="1"/>
  <c r="BA193" i="1" s="1"/>
  <c r="AR197" i="1"/>
  <c r="AS197" i="1" s="1"/>
  <c r="AV197" i="1"/>
  <c r="AW197" i="1" s="1"/>
  <c r="AR193" i="1"/>
  <c r="AS193" i="1" s="1"/>
  <c r="BB194" i="1"/>
  <c r="BC194" i="1" s="1"/>
  <c r="BP197" i="1"/>
  <c r="BQ197" i="1" s="1"/>
  <c r="BN193" i="1"/>
  <c r="BO193" i="1" s="1"/>
  <c r="BN194" i="1"/>
  <c r="BO194" i="1" s="1"/>
  <c r="BH216" i="1"/>
  <c r="BN197" i="1"/>
  <c r="BO197" i="1" s="1"/>
  <c r="AP193" i="1"/>
  <c r="AQ193" i="1" s="1"/>
  <c r="AP197" i="1"/>
  <c r="AQ197" i="1" s="1"/>
  <c r="AV194" i="1"/>
  <c r="AW194" i="1" s="1"/>
  <c r="BF193" i="1"/>
  <c r="BG193" i="1" s="1"/>
  <c r="BD193" i="1"/>
  <c r="BE193" i="1" s="1"/>
  <c r="BB193" i="1"/>
  <c r="BC193" i="1" s="1"/>
  <c r="AP194" i="1"/>
  <c r="AQ194" i="1" s="1"/>
  <c r="BR197" i="1"/>
  <c r="BS197" i="1" s="1"/>
  <c r="AN194" i="1"/>
  <c r="AO194" i="1" s="1"/>
  <c r="AN197" i="1"/>
  <c r="AO197" i="1" s="1"/>
  <c r="AN193" i="1"/>
  <c r="AO193" i="1" s="1"/>
  <c r="P148" i="1"/>
  <c r="AZ19" i="1"/>
  <c r="AZ266" i="1"/>
  <c r="AZ245" i="1"/>
  <c r="BC107" i="1"/>
  <c r="BC108" i="1" s="1"/>
  <c r="BB266" i="1"/>
  <c r="BB245" i="1"/>
  <c r="BB19" i="1"/>
  <c r="BE107" i="1"/>
  <c r="BE108" i="1" s="1"/>
  <c r="BD107" i="1"/>
  <c r="BD108" i="1" s="1"/>
  <c r="BP245" i="1"/>
  <c r="BS107" i="1"/>
  <c r="BS108" i="1" s="1"/>
  <c r="BP266" i="1"/>
  <c r="AW208" i="1"/>
  <c r="AW267" i="1"/>
  <c r="AS245" i="1"/>
  <c r="AS266" i="1"/>
  <c r="BM267" i="1"/>
  <c r="BM217" i="1"/>
  <c r="BM215" i="1" s="1"/>
  <c r="BM208" i="1"/>
  <c r="BM42" i="1"/>
  <c r="BN208" i="1"/>
  <c r="BN42" i="1"/>
  <c r="BN267" i="1"/>
  <c r="BR267" i="1"/>
  <c r="BR208" i="1"/>
  <c r="BM107" i="1"/>
  <c r="BM108" i="1" s="1"/>
  <c r="BM245" i="1"/>
  <c r="BM266" i="1"/>
  <c r="BN107" i="1"/>
  <c r="BN108" i="1" s="1"/>
  <c r="BM19" i="1"/>
  <c r="BP208" i="1"/>
  <c r="BP267" i="1"/>
  <c r="BN245" i="1"/>
  <c r="BN266" i="1"/>
  <c r="BN19" i="1"/>
  <c r="BC245" i="1"/>
  <c r="BC19" i="1"/>
  <c r="BF107" i="1"/>
  <c r="BF108" i="1" s="1"/>
  <c r="BC266" i="1"/>
  <c r="AO208" i="1"/>
  <c r="AO267" i="1"/>
  <c r="BW139" i="1"/>
  <c r="BW142" i="1" s="1"/>
  <c r="BV142" i="1"/>
  <c r="AY19" i="1"/>
  <c r="AY245" i="1"/>
  <c r="BB107" i="1"/>
  <c r="BB108" i="1" s="1"/>
  <c r="BR245" i="1"/>
  <c r="BU107" i="1"/>
  <c r="BU108" i="1" s="1"/>
  <c r="BT107" i="1"/>
  <c r="BT108" i="1" s="1"/>
  <c r="AV245" i="1"/>
  <c r="AV19" i="1"/>
  <c r="AV266" i="1"/>
  <c r="AV267" i="1"/>
  <c r="AZ208" i="1"/>
  <c r="AZ267" i="1"/>
  <c r="AR245" i="1"/>
  <c r="AR267" i="1"/>
  <c r="AR19" i="1"/>
  <c r="BW154" i="1"/>
  <c r="BX216" i="1" s="1"/>
  <c r="BW216" i="1"/>
  <c r="AP245" i="1"/>
  <c r="AQ107" i="1"/>
  <c r="AQ108" i="1" s="1"/>
  <c r="AP107" i="1"/>
  <c r="AP108" i="1" s="1"/>
  <c r="AR107" i="1"/>
  <c r="AR108" i="1" s="1"/>
  <c r="BU267" i="1"/>
  <c r="BU208" i="1"/>
  <c r="BK217" i="1"/>
  <c r="BK215" i="1" s="1"/>
  <c r="BK42" i="1"/>
  <c r="BK208" i="1"/>
  <c r="BK267" i="1"/>
  <c r="BE208" i="1"/>
  <c r="BE267" i="1"/>
  <c r="AN208" i="1"/>
  <c r="AN267" i="1"/>
  <c r="O63" i="1"/>
  <c r="O170" i="1"/>
  <c r="R170" i="1"/>
  <c r="BT245" i="1"/>
  <c r="BT266" i="1"/>
  <c r="L152" i="1"/>
  <c r="BT193" i="1"/>
  <c r="BU193" i="1" s="1"/>
  <c r="BT19" i="1"/>
  <c r="M175" i="1"/>
  <c r="R162" i="1"/>
  <c r="O189" i="1"/>
  <c r="V142" i="1"/>
  <c r="BW19" i="1"/>
  <c r="Q187" i="1"/>
  <c r="AP35" i="1"/>
  <c r="BR35" i="1"/>
  <c r="G148" i="1"/>
  <c r="G152" i="1" s="1"/>
  <c r="K148" i="1"/>
  <c r="K152" i="1" s="1"/>
  <c r="L217" i="1" s="1"/>
  <c r="Q142" i="1"/>
  <c r="B148" i="1"/>
  <c r="H142" i="1"/>
  <c r="I142" i="1"/>
  <c r="BV35" i="1"/>
  <c r="BF35" i="1"/>
  <c r="BF36" i="1" s="1"/>
  <c r="AO35" i="1"/>
  <c r="BE35" i="1"/>
  <c r="AY35" i="1"/>
  <c r="BK35" i="1"/>
  <c r="BK36" i="1" s="1"/>
  <c r="BD35" i="1"/>
  <c r="S148" i="1"/>
  <c r="S42" i="1" s="1"/>
  <c r="BH266" i="1"/>
  <c r="BM35" i="1"/>
  <c r="BF267" i="1"/>
  <c r="AT267" i="1"/>
  <c r="BV19" i="1"/>
  <c r="BV25" i="1" s="1"/>
  <c r="AT194" i="1"/>
  <c r="AU194" i="1" s="1"/>
  <c r="AT197" i="1"/>
  <c r="AU197" i="1" s="1"/>
  <c r="BT197" i="1"/>
  <c r="BU197" i="1" s="1"/>
  <c r="Q134" i="1"/>
  <c r="K142" i="1"/>
  <c r="C162" i="1"/>
  <c r="BV162" i="1"/>
  <c r="BV196" i="1" s="1"/>
  <c r="W187" i="1"/>
  <c r="BG35" i="1"/>
  <c r="P170" i="1"/>
  <c r="P199" i="1" s="1"/>
  <c r="P198" i="1" s="1"/>
  <c r="R134" i="1"/>
  <c r="C148" i="1"/>
  <c r="C42" i="1" s="1"/>
  <c r="W142" i="1"/>
  <c r="H175" i="1"/>
  <c r="I223" i="1" s="1"/>
  <c r="T187" i="1"/>
  <c r="AL107" i="1"/>
  <c r="AL108" i="1" s="1"/>
  <c r="BA107" i="1"/>
  <c r="BA108" i="1" s="1"/>
  <c r="BA113" i="1" s="1"/>
  <c r="BV194" i="1"/>
  <c r="BW194" i="1" s="1"/>
  <c r="BV193" i="1"/>
  <c r="BW193" i="1" s="1"/>
  <c r="BV267" i="1"/>
  <c r="D162" i="1"/>
  <c r="S175" i="1"/>
  <c r="BG19" i="1"/>
  <c r="AX19" i="1"/>
  <c r="AI19" i="1"/>
  <c r="AI193" i="1"/>
  <c r="AX245" i="1"/>
  <c r="BB267" i="1"/>
  <c r="BI142" i="1"/>
  <c r="D142" i="1"/>
  <c r="P142" i="1"/>
  <c r="O162" i="1"/>
  <c r="G170" i="1"/>
  <c r="H187" i="1"/>
  <c r="U142" i="1"/>
  <c r="I134" i="1"/>
  <c r="U175" i="1"/>
  <c r="V223" i="1" s="1"/>
  <c r="D74" i="1"/>
  <c r="C74" i="1"/>
  <c r="C117" i="1" s="1"/>
  <c r="G142" i="1"/>
  <c r="AI245" i="1"/>
  <c r="U162" i="1"/>
  <c r="J162" i="1"/>
  <c r="BT208" i="1"/>
  <c r="BV197" i="1"/>
  <c r="BW197" i="1" s="1"/>
  <c r="AT19" i="1"/>
  <c r="BG107" i="1"/>
  <c r="BG108" i="1" s="1"/>
  <c r="AN42" i="1"/>
  <c r="S216" i="1"/>
  <c r="BG245" i="1"/>
  <c r="AY267" i="1"/>
  <c r="AI196" i="1"/>
  <c r="AW107" i="1"/>
  <c r="AW108" i="1" s="1"/>
  <c r="AX266" i="1"/>
  <c r="AI199" i="1"/>
  <c r="AX197" i="1"/>
  <c r="AY197" i="1" s="1"/>
  <c r="AX194" i="1"/>
  <c r="AY194" i="1" s="1"/>
  <c r="O216" i="1"/>
  <c r="R142" i="1"/>
  <c r="AX193" i="1"/>
  <c r="AY193" i="1" s="1"/>
  <c r="I175" i="1"/>
  <c r="H216" i="1"/>
  <c r="AR148" i="1"/>
  <c r="AY107" i="1"/>
  <c r="AY108" i="1" s="1"/>
  <c r="AI194" i="1"/>
  <c r="AZ107" i="1"/>
  <c r="AZ108" i="1" s="1"/>
  <c r="AT193" i="1"/>
  <c r="AU193" i="1" s="1"/>
  <c r="BV266" i="1"/>
  <c r="BT194" i="1"/>
  <c r="BU194" i="1" s="1"/>
  <c r="J142" i="1"/>
  <c r="G162" i="1"/>
  <c r="F170" i="1"/>
  <c r="B170" i="1"/>
  <c r="B199" i="1" s="1"/>
  <c r="B198" i="1" s="1"/>
  <c r="V170" i="1"/>
  <c r="V199" i="1" s="1"/>
  <c r="AS267" i="1"/>
  <c r="BO245" i="1"/>
  <c r="BC267" i="1"/>
  <c r="BW266" i="1"/>
  <c r="AV107" i="1"/>
  <c r="AV108" i="1" s="1"/>
  <c r="AX107" i="1"/>
  <c r="AX108" i="1" s="1"/>
  <c r="BR107" i="1"/>
  <c r="BR108" i="1" s="1"/>
  <c r="BP193" i="1"/>
  <c r="BQ193" i="1" s="1"/>
  <c r="O175" i="1"/>
  <c r="O182" i="1" s="1"/>
  <c r="O118" i="1" s="1"/>
  <c r="BW267" i="1"/>
  <c r="BH194" i="1"/>
  <c r="BI194" i="1" s="1"/>
  <c r="BQ107" i="1"/>
  <c r="BQ108" i="1" s="1"/>
  <c r="BQ111" i="1" s="1"/>
  <c r="AT107" i="1"/>
  <c r="AT108" i="1" s="1"/>
  <c r="AT111" i="1" s="1"/>
  <c r="BP107" i="1"/>
  <c r="BP108" i="1" s="1"/>
  <c r="BH19" i="1"/>
  <c r="BW107" i="1"/>
  <c r="BW108" i="1" s="1"/>
  <c r="J170" i="1"/>
  <c r="T162" i="1"/>
  <c r="O187" i="1"/>
  <c r="BG267" i="1"/>
  <c r="BH142" i="1"/>
  <c r="C134" i="1"/>
  <c r="AU266" i="1"/>
  <c r="BI107" i="1"/>
  <c r="BI108" i="1" s="1"/>
  <c r="BJ107" i="1"/>
  <c r="BJ108" i="1" s="1"/>
  <c r="BJ111" i="1" s="1"/>
  <c r="BO107" i="1"/>
  <c r="BO108" i="1" s="1"/>
  <c r="BO111" i="1" s="1"/>
  <c r="BO19" i="1"/>
  <c r="BX107" i="1"/>
  <c r="BX108" i="1" s="1"/>
  <c r="BX112" i="1" s="1"/>
  <c r="BO266" i="1"/>
  <c r="BV170" i="1"/>
  <c r="BV199" i="1" s="1"/>
  <c r="AU267" i="1"/>
  <c r="AU19" i="1"/>
  <c r="AS107" i="1"/>
  <c r="AS108" i="1" s="1"/>
  <c r="AS111" i="1" s="1"/>
  <c r="BH267" i="1"/>
  <c r="BZ107" i="1"/>
  <c r="BZ108" i="1" s="1"/>
  <c r="BH162" i="1"/>
  <c r="BH196" i="1" s="1"/>
  <c r="BB197" i="1"/>
  <c r="BC197" i="1" s="1"/>
  <c r="Q162" i="1"/>
  <c r="V162" i="1"/>
  <c r="V196" i="1" s="1"/>
  <c r="V195" i="1" s="1"/>
  <c r="F142" i="1"/>
  <c r="R148" i="1"/>
  <c r="BH170" i="1"/>
  <c r="BH199" i="1" s="1"/>
  <c r="BW245" i="1"/>
  <c r="BK107" i="1"/>
  <c r="BK108" i="1" s="1"/>
  <c r="BK113" i="1" s="1"/>
  <c r="BY107" i="1"/>
  <c r="BY108" i="1" s="1"/>
  <c r="AP267" i="1"/>
  <c r="N170" i="1"/>
  <c r="N199" i="1" s="1"/>
  <c r="N198" i="1" s="1"/>
  <c r="BH197" i="1"/>
  <c r="BI197" i="1" s="1"/>
  <c r="BH107" i="1"/>
  <c r="BH108" i="1" s="1"/>
  <c r="AU107" i="1"/>
  <c r="AU108" i="1" s="1"/>
  <c r="AU111" i="1" s="1"/>
  <c r="M170" i="1"/>
  <c r="N211" i="1" s="1"/>
  <c r="C46" i="1"/>
  <c r="J196" i="1"/>
  <c r="J195" i="1" s="1"/>
  <c r="BD175" i="1"/>
  <c r="BE223" i="1" s="1"/>
  <c r="J189" i="1"/>
  <c r="J63" i="1"/>
  <c r="O46" i="1"/>
  <c r="W152" i="1"/>
  <c r="X217" i="1" s="1"/>
  <c r="W42" i="1"/>
  <c r="AN175" i="1"/>
  <c r="AO223" i="1" s="1"/>
  <c r="AV175" i="1"/>
  <c r="AW223" i="1" s="1"/>
  <c r="BN175" i="1"/>
  <c r="BO223" i="1" s="1"/>
  <c r="BR148" i="1"/>
  <c r="AX175" i="1"/>
  <c r="AY223" i="1" s="1"/>
  <c r="BS142" i="1"/>
  <c r="M223" i="1"/>
  <c r="AZ148" i="1"/>
  <c r="BP148" i="1"/>
  <c r="BT175" i="1"/>
  <c r="BU223" i="1" s="1"/>
  <c r="BP175" i="1"/>
  <c r="BQ223" i="1" s="1"/>
  <c r="BB175" i="1"/>
  <c r="AZ175" i="1"/>
  <c r="BA223" i="1" s="1"/>
  <c r="BE142" i="1"/>
  <c r="AR175" i="1"/>
  <c r="AS223" i="1" s="1"/>
  <c r="AQ154" i="1"/>
  <c r="AW154" i="1"/>
  <c r="AQ156" i="1"/>
  <c r="AP162" i="1"/>
  <c r="AP196" i="1" s="1"/>
  <c r="AS138" i="1"/>
  <c r="AS142" i="1" s="1"/>
  <c r="AR142" i="1"/>
  <c r="AU131" i="1"/>
  <c r="AT134" i="1"/>
  <c r="AT101" i="1" s="1"/>
  <c r="AS131" i="1"/>
  <c r="AR134" i="1"/>
  <c r="AX134" i="1"/>
  <c r="AY131" i="1"/>
  <c r="AY138" i="1"/>
  <c r="AY142" i="1" s="1"/>
  <c r="AX142" i="1"/>
  <c r="BO154" i="1"/>
  <c r="BN216" i="1"/>
  <c r="BT148" i="1"/>
  <c r="AT148" i="1"/>
  <c r="BF175" i="1"/>
  <c r="BG223" i="1" s="1"/>
  <c r="BF148" i="1"/>
  <c r="AV148" i="1"/>
  <c r="BD148" i="1"/>
  <c r="AP148" i="1"/>
  <c r="AU156" i="1"/>
  <c r="AT162" i="1"/>
  <c r="BC131" i="1"/>
  <c r="BB134" i="1"/>
  <c r="BB101" i="1" s="1"/>
  <c r="AO138" i="1"/>
  <c r="AO142" i="1" s="1"/>
  <c r="AN142" i="1"/>
  <c r="AR194" i="1"/>
  <c r="AS194" i="1" s="1"/>
  <c r="AR162" i="1"/>
  <c r="AR196" i="1" s="1"/>
  <c r="AO131" i="1"/>
  <c r="AN134" i="1"/>
  <c r="BC138" i="1"/>
  <c r="BC142" i="1" s="1"/>
  <c r="BB142" i="1"/>
  <c r="BU154" i="1"/>
  <c r="BV216" i="1" s="1"/>
  <c r="BU216" i="1"/>
  <c r="BE131" i="1"/>
  <c r="BD134" i="1"/>
  <c r="AU164" i="1"/>
  <c r="AT170" i="1"/>
  <c r="AT199" i="1" s="1"/>
  <c r="AY163" i="1"/>
  <c r="AX170" i="1"/>
  <c r="AX199" i="1" s="1"/>
  <c r="BO138" i="1"/>
  <c r="BO142" i="1" s="1"/>
  <c r="BN142" i="1"/>
  <c r="AW138" i="1"/>
  <c r="AW142" i="1" s="1"/>
  <c r="AV142" i="1"/>
  <c r="AO156" i="1"/>
  <c r="AN162" i="1"/>
  <c r="BS154" i="1"/>
  <c r="BR216" i="1"/>
  <c r="BU138" i="1"/>
  <c r="BU142" i="1" s="1"/>
  <c r="BT142" i="1"/>
  <c r="AO154" i="1"/>
  <c r="AN216" i="1"/>
  <c r="BS131" i="1"/>
  <c r="BR134" i="1"/>
  <c r="BR101" i="1" s="1"/>
  <c r="BF216" i="1"/>
  <c r="AQ142" i="1"/>
  <c r="AT216" i="1"/>
  <c r="AN148" i="1"/>
  <c r="AP175" i="1"/>
  <c r="BT170" i="1"/>
  <c r="BT199" i="1" s="1"/>
  <c r="BN148" i="1"/>
  <c r="AX148" i="1"/>
  <c r="BB148" i="1"/>
  <c r="AT175" i="1"/>
  <c r="AU223" i="1" s="1"/>
  <c r="AZ134" i="1"/>
  <c r="BR175" i="1"/>
  <c r="AR170" i="1"/>
  <c r="BN134" i="1"/>
  <c r="AS216" i="1"/>
  <c r="BP170" i="1"/>
  <c r="BP199" i="1" s="1"/>
  <c r="BT134" i="1"/>
  <c r="BF142" i="1"/>
  <c r="BE216" i="1"/>
  <c r="BR170" i="1"/>
  <c r="BR199" i="1" s="1"/>
  <c r="BP162" i="1"/>
  <c r="BP196" i="1" s="1"/>
  <c r="AZ142" i="1"/>
  <c r="BQ216" i="1"/>
  <c r="BB170" i="1"/>
  <c r="BB199" i="1" s="1"/>
  <c r="AP142" i="1"/>
  <c r="AP134" i="1"/>
  <c r="AP101" i="1" s="1"/>
  <c r="BD170" i="1"/>
  <c r="BD199" i="1" s="1"/>
  <c r="BP134" i="1"/>
  <c r="BP101" i="1" s="1"/>
  <c r="BP103" i="1" s="1"/>
  <c r="BN170" i="1"/>
  <c r="BN199" i="1" s="1"/>
  <c r="AN170" i="1"/>
  <c r="AN199" i="1" s="1"/>
  <c r="BP142" i="1"/>
  <c r="BG142" i="1"/>
  <c r="BA142" i="1"/>
  <c r="AT142" i="1"/>
  <c r="AP170" i="1"/>
  <c r="BF170" i="1"/>
  <c r="BF199" i="1" s="1"/>
  <c r="AV170" i="1"/>
  <c r="AV199" i="1" s="1"/>
  <c r="BF134" i="1"/>
  <c r="BQ142" i="1"/>
  <c r="BR142" i="1"/>
  <c r="BD142" i="1"/>
  <c r="AZ170" i="1"/>
  <c r="AZ199" i="1" s="1"/>
  <c r="AV134" i="1"/>
  <c r="AU142" i="1"/>
  <c r="AW157" i="1"/>
  <c r="AV162" i="1"/>
  <c r="BC157" i="1"/>
  <c r="BB162" i="1"/>
  <c r="BG157" i="1"/>
  <c r="BF162" i="1"/>
  <c r="BE157" i="1"/>
  <c r="BD162" i="1"/>
  <c r="BO157" i="1"/>
  <c r="BN162" i="1"/>
  <c r="BU157" i="1"/>
  <c r="BT162" i="1"/>
  <c r="AY157" i="1"/>
  <c r="AX162" i="1"/>
  <c r="BS157" i="1"/>
  <c r="BR162" i="1"/>
  <c r="BA157" i="1"/>
  <c r="AZ162" i="1"/>
  <c r="AU216" i="1"/>
  <c r="AV216" i="1"/>
  <c r="BB216" i="1"/>
  <c r="BA216" i="1"/>
  <c r="AY216" i="1"/>
  <c r="AZ216" i="1"/>
  <c r="BK21" i="1"/>
  <c r="BL21" i="1"/>
  <c r="BK25" i="1"/>
  <c r="BK10" i="1" s="1"/>
  <c r="BQ25" i="1"/>
  <c r="BC216" i="1"/>
  <c r="BD216" i="1"/>
  <c r="BV112" i="1"/>
  <c r="BV111" i="1"/>
  <c r="BV113" i="1"/>
  <c r="BS25" i="1"/>
  <c r="BS10" i="1" s="1"/>
  <c r="BG216" i="1"/>
  <c r="CQ152" i="1"/>
  <c r="CR41" i="1"/>
  <c r="AE86" i="1"/>
  <c r="AB139" i="1"/>
  <c r="AB142" i="1" s="1"/>
  <c r="AB263" i="1" s="1"/>
  <c r="AD156" i="1"/>
  <c r="CZ74" i="1"/>
  <c r="DA72" i="1"/>
  <c r="L263" i="1" l="1"/>
  <c r="L265" i="1" s="1"/>
  <c r="T220" i="1"/>
  <c r="S182" i="1"/>
  <c r="S118" i="1" s="1"/>
  <c r="F152" i="1"/>
  <c r="N63" i="1"/>
  <c r="N189" i="1"/>
  <c r="O221" i="1"/>
  <c r="N152" i="1"/>
  <c r="N42" i="1"/>
  <c r="H189" i="1"/>
  <c r="O143" i="1"/>
  <c r="O64" i="1" s="1"/>
  <c r="AU20" i="1"/>
  <c r="C221" i="1"/>
  <c r="BU25" i="1"/>
  <c r="BU10" i="1" s="1"/>
  <c r="BD25" i="1"/>
  <c r="BD10" i="1" s="1"/>
  <c r="BL239" i="1"/>
  <c r="BJ21" i="1"/>
  <c r="BL112" i="1"/>
  <c r="AO20" i="1"/>
  <c r="BW42" i="1"/>
  <c r="C263" i="1"/>
  <c r="C265" i="1" s="1"/>
  <c r="U263" i="1"/>
  <c r="U265" i="1" s="1"/>
  <c r="J152" i="1"/>
  <c r="J42" i="1"/>
  <c r="G223" i="1"/>
  <c r="G63" i="1"/>
  <c r="G189" i="1"/>
  <c r="I42" i="1"/>
  <c r="I152" i="1"/>
  <c r="L223" i="1"/>
  <c r="T46" i="1"/>
  <c r="B46" i="1"/>
  <c r="C220" i="1"/>
  <c r="S63" i="1"/>
  <c r="X215" i="1"/>
  <c r="N210" i="1"/>
  <c r="L196" i="1"/>
  <c r="M210" i="1"/>
  <c r="S189" i="1"/>
  <c r="L182" i="1"/>
  <c r="L118" i="1" s="1"/>
  <c r="L46" i="1"/>
  <c r="O152" i="1"/>
  <c r="O42" i="1"/>
  <c r="N196" i="1"/>
  <c r="O199" i="1"/>
  <c r="V152" i="1"/>
  <c r="V42" i="1"/>
  <c r="R199" i="1"/>
  <c r="R171" i="1"/>
  <c r="BU36" i="1"/>
  <c r="BL258" i="1"/>
  <c r="BL113" i="1"/>
  <c r="BI148" i="1"/>
  <c r="AQ20" i="1"/>
  <c r="BV152" i="1"/>
  <c r="BW148" i="1"/>
  <c r="BF198" i="1"/>
  <c r="BU20" i="1"/>
  <c r="BA20" i="1"/>
  <c r="BY20" i="1"/>
  <c r="BI25" i="1"/>
  <c r="BI10" i="1" s="1"/>
  <c r="BL111" i="1"/>
  <c r="AQ25" i="1"/>
  <c r="AQ10" i="1" s="1"/>
  <c r="AO25" i="1"/>
  <c r="AO10" i="1" s="1"/>
  <c r="BI42" i="1"/>
  <c r="BJ10" i="1"/>
  <c r="BJ9" i="1" s="1"/>
  <c r="BJ37" i="1"/>
  <c r="BJ26" i="1"/>
  <c r="BJ20" i="1"/>
  <c r="BF25" i="1"/>
  <c r="BS21" i="1"/>
  <c r="BE25" i="1"/>
  <c r="BI20" i="1"/>
  <c r="BF21" i="1"/>
  <c r="BE20" i="1"/>
  <c r="AO111" i="1"/>
  <c r="AO113" i="1"/>
  <c r="AO112" i="1"/>
  <c r="AW36" i="1"/>
  <c r="BI36" i="1"/>
  <c r="BT36" i="1"/>
  <c r="L215" i="1"/>
  <c r="AU21" i="1"/>
  <c r="T221" i="1"/>
  <c r="T219" i="1" s="1"/>
  <c r="D220" i="1"/>
  <c r="AW25" i="1"/>
  <c r="AW8" i="1"/>
  <c r="BA25" i="1"/>
  <c r="BA10" i="1" s="1"/>
  <c r="BA8" i="1"/>
  <c r="BA9" i="1" s="1"/>
  <c r="AT25" i="1"/>
  <c r="AT8" i="1"/>
  <c r="B152" i="1"/>
  <c r="B42" i="1"/>
  <c r="C116" i="1"/>
  <c r="H152" i="1"/>
  <c r="H42" i="1"/>
  <c r="K210" i="1"/>
  <c r="V263" i="1"/>
  <c r="V265" i="1" s="1"/>
  <c r="R182" i="1"/>
  <c r="R118" i="1" s="1"/>
  <c r="R143" i="1"/>
  <c r="R64" i="1" s="1"/>
  <c r="N223" i="1"/>
  <c r="T63" i="1"/>
  <c r="S46" i="1"/>
  <c r="S220" i="1"/>
  <c r="J262" i="1"/>
  <c r="K223" i="1"/>
  <c r="B189" i="1"/>
  <c r="B63" i="1"/>
  <c r="T143" i="1"/>
  <c r="T64" i="1" s="1"/>
  <c r="T263" i="1"/>
  <c r="T265" i="1" s="1"/>
  <c r="B143" i="1"/>
  <c r="B64" i="1" s="1"/>
  <c r="M152" i="1"/>
  <c r="M42" i="1"/>
  <c r="S143" i="1"/>
  <c r="S64" i="1" s="1"/>
  <c r="K196" i="1"/>
  <c r="K195" i="1" s="1"/>
  <c r="I46" i="1"/>
  <c r="I220" i="1"/>
  <c r="S223" i="1"/>
  <c r="L210" i="1"/>
  <c r="R196" i="1"/>
  <c r="R195" i="1" s="1"/>
  <c r="C199" i="1"/>
  <c r="I263" i="1"/>
  <c r="I265" i="1" s="1"/>
  <c r="Q46" i="1"/>
  <c r="E199" i="1"/>
  <c r="BE36" i="1"/>
  <c r="BE21" i="1"/>
  <c r="BD36" i="1"/>
  <c r="BU239" i="1"/>
  <c r="BJ202" i="1"/>
  <c r="AN36" i="1"/>
  <c r="AN111" i="1"/>
  <c r="AN112" i="1"/>
  <c r="AN113" i="1"/>
  <c r="BX20" i="1"/>
  <c r="BU21" i="1"/>
  <c r="BT25" i="1"/>
  <c r="BT10" i="1" s="1"/>
  <c r="BY202" i="1"/>
  <c r="AO202" i="1"/>
  <c r="AO36" i="1"/>
  <c r="AN20" i="1"/>
  <c r="AO239" i="1"/>
  <c r="AN25" i="1"/>
  <c r="AN10" i="1" s="1"/>
  <c r="AN21" i="1"/>
  <c r="AN239" i="1"/>
  <c r="AO21" i="1"/>
  <c r="BH25" i="1"/>
  <c r="BH10" i="1" s="1"/>
  <c r="BL20" i="1"/>
  <c r="BI21" i="1"/>
  <c r="BG36" i="1"/>
  <c r="BJ239" i="1"/>
  <c r="BJ258" i="1"/>
  <c r="BH21" i="1"/>
  <c r="BG25" i="1"/>
  <c r="BG10" i="1" s="1"/>
  <c r="AN202" i="1"/>
  <c r="AI195" i="1"/>
  <c r="BD198" i="1"/>
  <c r="AS36" i="1"/>
  <c r="AX36" i="1"/>
  <c r="BH36" i="1"/>
  <c r="AV36" i="1"/>
  <c r="AR36" i="1"/>
  <c r="BN36" i="1"/>
  <c r="BB36" i="1"/>
  <c r="AI36" i="1"/>
  <c r="AT36" i="1"/>
  <c r="H263" i="1"/>
  <c r="H265" i="1" s="1"/>
  <c r="G211" i="1"/>
  <c r="H46" i="1"/>
  <c r="H182" i="1"/>
  <c r="H118" i="1" s="1"/>
  <c r="H220" i="1"/>
  <c r="R189" i="1"/>
  <c r="R63" i="1"/>
  <c r="D263" i="1"/>
  <c r="D265" i="1" s="1"/>
  <c r="D46" i="1"/>
  <c r="P220" i="1"/>
  <c r="P182" i="1"/>
  <c r="P118" i="1" s="1"/>
  <c r="P263" i="1"/>
  <c r="P265" i="1" s="1"/>
  <c r="P46" i="1"/>
  <c r="BH20" i="1"/>
  <c r="BK239" i="1"/>
  <c r="BO8" i="1"/>
  <c r="BO20" i="1"/>
  <c r="F46" i="1"/>
  <c r="F182" i="1"/>
  <c r="F118" i="1" s="1"/>
  <c r="BH195" i="1"/>
  <c r="CB202" i="1"/>
  <c r="X67" i="1"/>
  <c r="BW25" i="1"/>
  <c r="BZ258" i="1"/>
  <c r="CA20" i="1"/>
  <c r="BZ239" i="1"/>
  <c r="BX21" i="1"/>
  <c r="BW36" i="1"/>
  <c r="G199" i="1"/>
  <c r="G198" i="1" s="1"/>
  <c r="H211" i="1"/>
  <c r="J263" i="1"/>
  <c r="J265" i="1" s="1"/>
  <c r="J46" i="1"/>
  <c r="BV200" i="1"/>
  <c r="BZ203" i="1" s="1"/>
  <c r="BX263" i="1"/>
  <c r="BX220" i="1"/>
  <c r="AQ113" i="1"/>
  <c r="AQ112" i="1"/>
  <c r="AQ111" i="1"/>
  <c r="AP112" i="1"/>
  <c r="AP111" i="1"/>
  <c r="AP113" i="1"/>
  <c r="AR113" i="1"/>
  <c r="AR111" i="1"/>
  <c r="AR112" i="1"/>
  <c r="BV36" i="1"/>
  <c r="BY239" i="1"/>
  <c r="BX239" i="1"/>
  <c r="BV21" i="1"/>
  <c r="BW21" i="1"/>
  <c r="CA202" i="1"/>
  <c r="BX258" i="1"/>
  <c r="BW239" i="1"/>
  <c r="BG111" i="1"/>
  <c r="BG113" i="1"/>
  <c r="BG112" i="1"/>
  <c r="AW111" i="1"/>
  <c r="AW113" i="1"/>
  <c r="AW112" i="1"/>
  <c r="AV111" i="1"/>
  <c r="AV113" i="1"/>
  <c r="AV112" i="1"/>
  <c r="AX112" i="1"/>
  <c r="AX113" i="1"/>
  <c r="AX111" i="1"/>
  <c r="BR111" i="1"/>
  <c r="BR112" i="1"/>
  <c r="BP111" i="1"/>
  <c r="BP113" i="1"/>
  <c r="BP112" i="1"/>
  <c r="BW112" i="1"/>
  <c r="BW111" i="1"/>
  <c r="BW113" i="1"/>
  <c r="BI112" i="1"/>
  <c r="BI113" i="1"/>
  <c r="BI111" i="1"/>
  <c r="BZ113" i="1"/>
  <c r="BZ111" i="1"/>
  <c r="BZ112" i="1"/>
  <c r="BH112" i="1"/>
  <c r="BH113" i="1"/>
  <c r="P211" i="1"/>
  <c r="L260" i="1"/>
  <c r="V182" i="1"/>
  <c r="V118" i="1" s="1"/>
  <c r="AP36" i="1"/>
  <c r="BR36" i="1"/>
  <c r="AY36" i="1"/>
  <c r="R221" i="1"/>
  <c r="J171" i="1"/>
  <c r="U210" i="1"/>
  <c r="BH182" i="1"/>
  <c r="BV198" i="1"/>
  <c r="Q171" i="1"/>
  <c r="BH198" i="1"/>
  <c r="AP195" i="1"/>
  <c r="AT198" i="1"/>
  <c r="BT198" i="1"/>
  <c r="BP198" i="1"/>
  <c r="BR198" i="1"/>
  <c r="AV198" i="1"/>
  <c r="AZ198" i="1"/>
  <c r="BR8" i="1"/>
  <c r="BR25" i="1"/>
  <c r="BT239" i="1"/>
  <c r="BR202" i="1"/>
  <c r="BV202" i="1"/>
  <c r="BW202" i="1"/>
  <c r="BR21" i="1"/>
  <c r="E223" i="1"/>
  <c r="D262" i="1"/>
  <c r="D182" i="1"/>
  <c r="D118" i="1" s="1"/>
  <c r="N46" i="1"/>
  <c r="N263" i="1"/>
  <c r="N265" i="1" s="1"/>
  <c r="N143" i="1"/>
  <c r="N64" i="1" s="1"/>
  <c r="O263" i="1"/>
  <c r="O265" i="1" s="1"/>
  <c r="N182" i="1"/>
  <c r="N118" i="1" s="1"/>
  <c r="N220" i="1"/>
  <c r="O220" i="1"/>
  <c r="B75" i="1"/>
  <c r="B116" i="1"/>
  <c r="B117" i="1"/>
  <c r="BW223" i="1"/>
  <c r="BV262" i="1"/>
  <c r="M143" i="1"/>
  <c r="M64" i="1" s="1"/>
  <c r="M182" i="1"/>
  <c r="M118" i="1" s="1"/>
  <c r="M220" i="1"/>
  <c r="M263" i="1"/>
  <c r="M265" i="1" s="1"/>
  <c r="M46" i="1"/>
  <c r="C262" i="1"/>
  <c r="C182" i="1"/>
  <c r="C118" i="1" s="1"/>
  <c r="D223" i="1"/>
  <c r="P210" i="1"/>
  <c r="P196" i="1"/>
  <c r="P171" i="1"/>
  <c r="E152" i="1"/>
  <c r="E42" i="1"/>
  <c r="U223" i="1"/>
  <c r="T182" i="1"/>
  <c r="T118" i="1" s="1"/>
  <c r="T262" i="1"/>
  <c r="B196" i="1"/>
  <c r="C210" i="1"/>
  <c r="I211" i="1"/>
  <c r="I199" i="1"/>
  <c r="H262" i="1"/>
  <c r="H63" i="1"/>
  <c r="H221" i="1"/>
  <c r="H143" i="1"/>
  <c r="H64" i="1" s="1"/>
  <c r="W223" i="1"/>
  <c r="V262" i="1"/>
  <c r="E189" i="1"/>
  <c r="E63" i="1"/>
  <c r="E221" i="1"/>
  <c r="D199" i="1"/>
  <c r="D198" i="1" s="1"/>
  <c r="E211" i="1"/>
  <c r="D211" i="1"/>
  <c r="Q152" i="1"/>
  <c r="Q42" i="1"/>
  <c r="T42" i="1"/>
  <c r="T152" i="1"/>
  <c r="K171" i="1"/>
  <c r="K179" i="1" s="1"/>
  <c r="K199" i="1"/>
  <c r="L211" i="1"/>
  <c r="V221" i="1"/>
  <c r="V63" i="1"/>
  <c r="V143" i="1"/>
  <c r="V64" i="1" s="1"/>
  <c r="V189" i="1"/>
  <c r="AS8" i="1"/>
  <c r="AS202" i="1"/>
  <c r="AS20" i="1"/>
  <c r="AS25" i="1"/>
  <c r="AT21" i="1"/>
  <c r="AW20" i="1"/>
  <c r="AT202" i="1"/>
  <c r="BH105" i="1"/>
  <c r="BH103" i="1"/>
  <c r="BH104" i="1"/>
  <c r="E46" i="1"/>
  <c r="E143" i="1"/>
  <c r="E64" i="1" s="1"/>
  <c r="E220" i="1"/>
  <c r="E182" i="1"/>
  <c r="E118" i="1" s="1"/>
  <c r="D63" i="1"/>
  <c r="D143" i="1"/>
  <c r="D64" i="1" s="1"/>
  <c r="D189" i="1"/>
  <c r="AM75" i="1"/>
  <c r="AM78" i="1" s="1"/>
  <c r="AM61" i="1"/>
  <c r="AM133" i="1"/>
  <c r="AM134" i="1" s="1"/>
  <c r="AM207" i="1"/>
  <c r="AM209" i="1" s="1"/>
  <c r="S199" i="1"/>
  <c r="T211" i="1"/>
  <c r="S211" i="1"/>
  <c r="U171" i="1"/>
  <c r="U199" i="1"/>
  <c r="D42" i="1"/>
  <c r="D152" i="1"/>
  <c r="F196" i="1"/>
  <c r="G210" i="1"/>
  <c r="BI223" i="1"/>
  <c r="BH262" i="1"/>
  <c r="L63" i="1"/>
  <c r="L221" i="1"/>
  <c r="L262" i="1"/>
  <c r="L189" i="1"/>
  <c r="L143" i="1"/>
  <c r="L64" i="1" s="1"/>
  <c r="BP8" i="1"/>
  <c r="BQ202" i="1"/>
  <c r="BQ21" i="1"/>
  <c r="BT20" i="1"/>
  <c r="BP20" i="1"/>
  <c r="BS239" i="1"/>
  <c r="BP25" i="1"/>
  <c r="BP21" i="1"/>
  <c r="BU202" i="1"/>
  <c r="T199" i="1"/>
  <c r="T198" i="1" s="1"/>
  <c r="U211" i="1"/>
  <c r="R223" i="1"/>
  <c r="Q182" i="1"/>
  <c r="Q118" i="1" s="1"/>
  <c r="S196" i="1"/>
  <c r="S195" i="1" s="1"/>
  <c r="S210" i="1"/>
  <c r="S171" i="1"/>
  <c r="T210" i="1"/>
  <c r="H223" i="1"/>
  <c r="G262" i="1"/>
  <c r="AP8" i="1"/>
  <c r="AP239" i="1"/>
  <c r="AR239" i="1"/>
  <c r="AP25" i="1"/>
  <c r="AS239" i="1"/>
  <c r="O67" i="1"/>
  <c r="AT20" i="1"/>
  <c r="AP202" i="1"/>
  <c r="AQ21" i="1"/>
  <c r="AQ239" i="1"/>
  <c r="AP21" i="1"/>
  <c r="AQ202" i="1"/>
  <c r="AP20" i="1"/>
  <c r="C223" i="1"/>
  <c r="B262" i="1"/>
  <c r="B182" i="1"/>
  <c r="B118" i="1" s="1"/>
  <c r="P143" i="1"/>
  <c r="P64" i="1" s="1"/>
  <c r="P221" i="1"/>
  <c r="P63" i="1"/>
  <c r="P262" i="1"/>
  <c r="P189" i="1"/>
  <c r="Q221" i="1"/>
  <c r="N221" i="1"/>
  <c r="M63" i="1"/>
  <c r="M189" i="1"/>
  <c r="M221" i="1"/>
  <c r="M262" i="1"/>
  <c r="O223" i="1"/>
  <c r="N262" i="1"/>
  <c r="E171" i="1"/>
  <c r="E196" i="1"/>
  <c r="F210" i="1"/>
  <c r="E210" i="1"/>
  <c r="R211" i="1"/>
  <c r="Q211" i="1"/>
  <c r="Q199" i="1"/>
  <c r="Q198" i="1" s="1"/>
  <c r="U189" i="1"/>
  <c r="U221" i="1"/>
  <c r="U63" i="1"/>
  <c r="H171" i="1"/>
  <c r="I210" i="1"/>
  <c r="H196" i="1"/>
  <c r="U42" i="1"/>
  <c r="U152" i="1"/>
  <c r="K221" i="1"/>
  <c r="K262" i="1"/>
  <c r="K189" i="1"/>
  <c r="K63" i="1"/>
  <c r="L171" i="1"/>
  <c r="M211" i="1"/>
  <c r="L199" i="1"/>
  <c r="I196" i="1"/>
  <c r="I195" i="1" s="1"/>
  <c r="I171" i="1"/>
  <c r="J210" i="1"/>
  <c r="F189" i="1"/>
  <c r="F262" i="1"/>
  <c r="F63" i="1"/>
  <c r="G221" i="1"/>
  <c r="F221" i="1"/>
  <c r="P152" i="1"/>
  <c r="P42" i="1"/>
  <c r="BA21" i="1"/>
  <c r="BE202" i="1"/>
  <c r="AZ25" i="1"/>
  <c r="AZ8" i="1"/>
  <c r="BD20" i="1"/>
  <c r="BA202" i="1"/>
  <c r="AZ36" i="1"/>
  <c r="BC239" i="1"/>
  <c r="BC112" i="1"/>
  <c r="BC113" i="1"/>
  <c r="BC111" i="1"/>
  <c r="BB8" i="1"/>
  <c r="BC21" i="1"/>
  <c r="BE239" i="1"/>
  <c r="BB202" i="1"/>
  <c r="BF20" i="1"/>
  <c r="BB25" i="1"/>
  <c r="BB21" i="1"/>
  <c r="BF202" i="1"/>
  <c r="BD239" i="1"/>
  <c r="BE113" i="1"/>
  <c r="BE111" i="1"/>
  <c r="BE112" i="1"/>
  <c r="BD111" i="1"/>
  <c r="BD112" i="1"/>
  <c r="BD113" i="1"/>
  <c r="BS112" i="1"/>
  <c r="BS111" i="1"/>
  <c r="BS113" i="1"/>
  <c r="BM112" i="1"/>
  <c r="BM111" i="1"/>
  <c r="BM113" i="1"/>
  <c r="BN113" i="1"/>
  <c r="BN111" i="1"/>
  <c r="BN112" i="1"/>
  <c r="BM8" i="1"/>
  <c r="U67" i="1"/>
  <c r="BM21" i="1"/>
  <c r="BM202" i="1"/>
  <c r="BQ20" i="1"/>
  <c r="BM239" i="1"/>
  <c r="BN239" i="1"/>
  <c r="BM36" i="1"/>
  <c r="BM25" i="1"/>
  <c r="BN21" i="1"/>
  <c r="BM20" i="1"/>
  <c r="BN8" i="1"/>
  <c r="BR20" i="1"/>
  <c r="BN20" i="1"/>
  <c r="BN202" i="1"/>
  <c r="BN25" i="1"/>
  <c r="BC8" i="1"/>
  <c r="BD202" i="1"/>
  <c r="BD21" i="1"/>
  <c r="BG20" i="1"/>
  <c r="BC36" i="1"/>
  <c r="BC25" i="1"/>
  <c r="BF239" i="1"/>
  <c r="S67" i="1"/>
  <c r="BC202" i="1"/>
  <c r="BG202" i="1"/>
  <c r="BF111" i="1"/>
  <c r="BF113" i="1"/>
  <c r="BF112" i="1"/>
  <c r="BW220" i="1"/>
  <c r="BV182" i="1"/>
  <c r="BW263" i="1"/>
  <c r="BV143" i="1"/>
  <c r="AY8" i="1"/>
  <c r="AZ21" i="1"/>
  <c r="AY25" i="1"/>
  <c r="BB239" i="1"/>
  <c r="AY202" i="1"/>
  <c r="BC20" i="1"/>
  <c r="R67" i="1"/>
  <c r="BB113" i="1"/>
  <c r="BB111" i="1"/>
  <c r="BB112" i="1"/>
  <c r="BU113" i="1"/>
  <c r="BU112" i="1"/>
  <c r="BU111" i="1"/>
  <c r="BT112" i="1"/>
  <c r="BT111" i="1"/>
  <c r="BT113" i="1"/>
  <c r="AV8" i="1"/>
  <c r="AW239" i="1"/>
  <c r="AW21" i="1"/>
  <c r="AZ20" i="1"/>
  <c r="AV25" i="1"/>
  <c r="AW202" i="1"/>
  <c r="AY239" i="1"/>
  <c r="AR8" i="1"/>
  <c r="AR25" i="1"/>
  <c r="AT239" i="1"/>
  <c r="AS21" i="1"/>
  <c r="AR20" i="1"/>
  <c r="AU239" i="1"/>
  <c r="AR202" i="1"/>
  <c r="P67" i="1"/>
  <c r="AR21" i="1"/>
  <c r="AV20" i="1"/>
  <c r="BT8" i="1"/>
  <c r="BT21" i="1"/>
  <c r="BW8" i="1"/>
  <c r="BX202" i="1"/>
  <c r="BW20" i="1"/>
  <c r="BV8" i="1"/>
  <c r="BZ202" i="1"/>
  <c r="W67" i="1"/>
  <c r="BV239" i="1"/>
  <c r="BZ20" i="1"/>
  <c r="C171" i="1"/>
  <c r="C196" i="1"/>
  <c r="C195" i="1" s="1"/>
  <c r="S221" i="1"/>
  <c r="R262" i="1"/>
  <c r="W263" i="1"/>
  <c r="W265" i="1" s="1"/>
  <c r="W220" i="1"/>
  <c r="W46" i="1"/>
  <c r="AL113" i="1"/>
  <c r="AL112" i="1"/>
  <c r="AL111" i="1"/>
  <c r="D196" i="1"/>
  <c r="D171" i="1"/>
  <c r="D179" i="1" s="1"/>
  <c r="T223" i="1"/>
  <c r="S262" i="1"/>
  <c r="BG8" i="1"/>
  <c r="BK202" i="1"/>
  <c r="BH239" i="1"/>
  <c r="BH202" i="1"/>
  <c r="BL202" i="1"/>
  <c r="BI239" i="1"/>
  <c r="T67" i="1"/>
  <c r="BK20" i="1"/>
  <c r="BG21" i="1"/>
  <c r="AX8" i="1"/>
  <c r="AX202" i="1"/>
  <c r="AX21" i="1"/>
  <c r="AX25" i="1"/>
  <c r="BB20" i="1"/>
  <c r="AZ239" i="1"/>
  <c r="BA239" i="1"/>
  <c r="AY21" i="1"/>
  <c r="AI8" i="1"/>
  <c r="AI25" i="1"/>
  <c r="AM20" i="1"/>
  <c r="N67" i="1"/>
  <c r="AL258" i="1"/>
  <c r="AJ21" i="1"/>
  <c r="AL239" i="1"/>
  <c r="BJ220" i="1"/>
  <c r="BI220" i="1"/>
  <c r="Q263" i="1"/>
  <c r="Q265" i="1" s="1"/>
  <c r="Q220" i="1"/>
  <c r="O171" i="1"/>
  <c r="O210" i="1"/>
  <c r="O196" i="1"/>
  <c r="U220" i="1"/>
  <c r="U46" i="1"/>
  <c r="U143" i="1"/>
  <c r="U64" i="1" s="1"/>
  <c r="U182" i="1"/>
  <c r="U118" i="1" s="1"/>
  <c r="I63" i="1"/>
  <c r="I221" i="1"/>
  <c r="D116" i="1"/>
  <c r="D117" i="1"/>
  <c r="D75" i="1"/>
  <c r="G46" i="1"/>
  <c r="G143" i="1"/>
  <c r="G64" i="1" s="1"/>
  <c r="G182" i="1"/>
  <c r="G118" i="1" s="1"/>
  <c r="U196" i="1"/>
  <c r="U195" i="1" s="1"/>
  <c r="V210" i="1"/>
  <c r="AX20" i="1"/>
  <c r="AU202" i="1"/>
  <c r="AI200" i="1"/>
  <c r="AI198" i="1"/>
  <c r="R46" i="1"/>
  <c r="R263" i="1"/>
  <c r="R265" i="1" s="1"/>
  <c r="R220" i="1"/>
  <c r="J223" i="1"/>
  <c r="I262" i="1"/>
  <c r="AS42" i="1"/>
  <c r="AS148" i="1"/>
  <c r="AY111" i="1"/>
  <c r="AY113" i="1"/>
  <c r="AZ111" i="1"/>
  <c r="AZ113" i="1"/>
  <c r="AZ112" i="1"/>
  <c r="J143" i="1"/>
  <c r="J64" i="1" s="1"/>
  <c r="J220" i="1"/>
  <c r="G196" i="1"/>
  <c r="H210" i="1"/>
  <c r="G171" i="1"/>
  <c r="G179" i="1" s="1"/>
  <c r="BH8" i="1"/>
  <c r="BI202" i="1"/>
  <c r="AU8" i="1"/>
  <c r="AY20" i="1"/>
  <c r="R210" i="1"/>
  <c r="Q196" i="1"/>
  <c r="BY111" i="1"/>
  <c r="BY113" i="1"/>
  <c r="BY112" i="1"/>
  <c r="BV195" i="1"/>
  <c r="AX198" i="1"/>
  <c r="AR152" i="1"/>
  <c r="BK112" i="1"/>
  <c r="BJ263" i="1"/>
  <c r="M171" i="1"/>
  <c r="V220" i="1"/>
  <c r="I143" i="1"/>
  <c r="I64" i="1" s="1"/>
  <c r="D210" i="1"/>
  <c r="Q210" i="1"/>
  <c r="F199" i="1"/>
  <c r="F198" i="1" s="1"/>
  <c r="C75" i="1"/>
  <c r="C77" i="1" s="1"/>
  <c r="C152" i="1"/>
  <c r="D217" i="1" s="1"/>
  <c r="D215" i="1" s="1"/>
  <c r="BV171" i="1"/>
  <c r="AY112" i="1"/>
  <c r="BR113" i="1"/>
  <c r="L179" i="1"/>
  <c r="L180" i="1" s="1"/>
  <c r="S152" i="1"/>
  <c r="S179" i="1" s="1"/>
  <c r="I189" i="1"/>
  <c r="BX113" i="1"/>
  <c r="C211" i="1"/>
  <c r="BX111" i="1"/>
  <c r="BV20" i="1"/>
  <c r="N260" i="1"/>
  <c r="B171" i="1"/>
  <c r="Q189" i="1"/>
  <c r="X220" i="1"/>
  <c r="K182" i="1"/>
  <c r="K118" i="1" s="1"/>
  <c r="Q262" i="1"/>
  <c r="J182" i="1"/>
  <c r="J118" i="1" s="1"/>
  <c r="BR263" i="1"/>
  <c r="Q143" i="1"/>
  <c r="Q64" i="1" s="1"/>
  <c r="Q63" i="1"/>
  <c r="X263" i="1"/>
  <c r="X265" i="1" s="1"/>
  <c r="K46" i="1"/>
  <c r="J221" i="1"/>
  <c r="K42" i="1"/>
  <c r="K143" i="1"/>
  <c r="K64" i="1" s="1"/>
  <c r="V171" i="1"/>
  <c r="U262" i="1"/>
  <c r="BA112" i="1"/>
  <c r="K220" i="1"/>
  <c r="K219" i="1" s="1"/>
  <c r="AS112" i="1"/>
  <c r="BT202" i="1"/>
  <c r="L258" i="1"/>
  <c r="L220" i="1"/>
  <c r="T171" i="1"/>
  <c r="K263" i="1"/>
  <c r="K265" i="1" s="1"/>
  <c r="V46" i="1"/>
  <c r="I182" i="1"/>
  <c r="I118" i="1" s="1"/>
  <c r="BA111" i="1"/>
  <c r="AS113" i="1"/>
  <c r="AT113" i="1"/>
  <c r="BI263" i="1"/>
  <c r="BG239" i="1"/>
  <c r="T196" i="1"/>
  <c r="G42" i="1"/>
  <c r="S263" i="1"/>
  <c r="S265" i="1" s="1"/>
  <c r="BO202" i="1"/>
  <c r="BK111" i="1"/>
  <c r="AT112" i="1"/>
  <c r="F211" i="1"/>
  <c r="F171" i="1"/>
  <c r="F179" i="1" s="1"/>
  <c r="N171" i="1"/>
  <c r="N179" i="1" s="1"/>
  <c r="J211" i="1"/>
  <c r="BH143" i="1"/>
  <c r="V211" i="1"/>
  <c r="M199" i="1"/>
  <c r="M200" i="1" s="1"/>
  <c r="O211" i="1"/>
  <c r="BH220" i="1"/>
  <c r="R152" i="1"/>
  <c r="R42" i="1"/>
  <c r="BO239" i="1"/>
  <c r="AZ202" i="1"/>
  <c r="AU36" i="1"/>
  <c r="BO113" i="1"/>
  <c r="BJ113" i="1"/>
  <c r="AU112" i="1"/>
  <c r="J199" i="1"/>
  <c r="J198" i="1" s="1"/>
  <c r="BS20" i="1"/>
  <c r="BO21" i="1"/>
  <c r="AV239" i="1"/>
  <c r="BH200" i="1"/>
  <c r="BL203" i="1" s="1"/>
  <c r="BP239" i="1"/>
  <c r="BQ239" i="1"/>
  <c r="AU25" i="1"/>
  <c r="BO112" i="1"/>
  <c r="BJ112" i="1"/>
  <c r="K211" i="1"/>
  <c r="AU113" i="1"/>
  <c r="C63" i="1"/>
  <c r="C189" i="1"/>
  <c r="AV21" i="1"/>
  <c r="BQ113" i="1"/>
  <c r="AV202" i="1"/>
  <c r="V67" i="1"/>
  <c r="BH171" i="1"/>
  <c r="BH179" i="1" s="1"/>
  <c r="BH180" i="1" s="1"/>
  <c r="BB198" i="1"/>
  <c r="G220" i="1"/>
  <c r="G263" i="1"/>
  <c r="G265" i="1" s="1"/>
  <c r="BQ112" i="1"/>
  <c r="BR239" i="1"/>
  <c r="C143" i="1"/>
  <c r="C64" i="1" s="1"/>
  <c r="F220" i="1"/>
  <c r="AX239" i="1"/>
  <c r="BS202" i="1"/>
  <c r="BO25" i="1"/>
  <c r="F263" i="1"/>
  <c r="F265" i="1" s="1"/>
  <c r="F143" i="1"/>
  <c r="F64" i="1" s="1"/>
  <c r="BH111" i="1"/>
  <c r="Q67" i="1"/>
  <c r="BP202" i="1"/>
  <c r="BO36" i="1"/>
  <c r="BP195" i="1"/>
  <c r="D221" i="1"/>
  <c r="O262" i="1"/>
  <c r="P223" i="1"/>
  <c r="BV10" i="1"/>
  <c r="BV26" i="1"/>
  <c r="BZ27" i="1"/>
  <c r="BV37" i="1"/>
  <c r="BV246" i="1" s="1"/>
  <c r="BV247" i="1" s="1"/>
  <c r="BK9" i="1"/>
  <c r="BQ37" i="1"/>
  <c r="BQ10" i="1"/>
  <c r="BU9" i="1"/>
  <c r="BD9" i="1"/>
  <c r="BS9" i="1"/>
  <c r="AX216" i="1"/>
  <c r="AW216" i="1"/>
  <c r="W217" i="1"/>
  <c r="W215" i="1" s="1"/>
  <c r="AR195" i="1"/>
  <c r="J258" i="1"/>
  <c r="K217" i="1"/>
  <c r="K215" i="1" s="1"/>
  <c r="J260" i="1"/>
  <c r="G217" i="1"/>
  <c r="G215" i="1" s="1"/>
  <c r="G258" i="1"/>
  <c r="G260" i="1"/>
  <c r="I258" i="1"/>
  <c r="I260" i="1"/>
  <c r="J217" i="1"/>
  <c r="J215" i="1" s="1"/>
  <c r="L195" i="1"/>
  <c r="N212" i="1"/>
  <c r="N213" i="1" s="1"/>
  <c r="AR216" i="1"/>
  <c r="AQ216" i="1"/>
  <c r="BB182" i="1"/>
  <c r="AV182" i="1"/>
  <c r="K258" i="1"/>
  <c r="K260" i="1"/>
  <c r="BS42" i="1"/>
  <c r="BS148" i="1"/>
  <c r="BR152" i="1"/>
  <c r="V258" i="1"/>
  <c r="V260" i="1"/>
  <c r="AQ263" i="1"/>
  <c r="AN101" i="1"/>
  <c r="AN104" i="1" s="1"/>
  <c r="AN262" i="1"/>
  <c r="AV263" i="1"/>
  <c r="O260" i="1"/>
  <c r="AR220" i="1"/>
  <c r="AR263" i="1"/>
  <c r="AO148" i="1"/>
  <c r="AO42" i="1"/>
  <c r="AN152" i="1"/>
  <c r="AN260" i="1" s="1"/>
  <c r="BC42" i="1"/>
  <c r="BB152" i="1"/>
  <c r="BC148" i="1"/>
  <c r="AV220" i="1"/>
  <c r="BT143" i="1"/>
  <c r="V198" i="1"/>
  <c r="V200" i="1"/>
  <c r="BN182" i="1"/>
  <c r="BN143" i="1"/>
  <c r="BC220" i="1"/>
  <c r="BC263" i="1"/>
  <c r="O217" i="1"/>
  <c r="O215" i="1" s="1"/>
  <c r="O258" i="1"/>
  <c r="N200" i="1"/>
  <c r="N195" i="1"/>
  <c r="O198" i="1"/>
  <c r="BB143" i="1"/>
  <c r="AT262" i="1"/>
  <c r="AS220" i="1"/>
  <c r="AS263" i="1"/>
  <c r="AR182" i="1"/>
  <c r="AS46" i="1" s="1"/>
  <c r="AR143" i="1"/>
  <c r="AR101" i="1"/>
  <c r="AX101" i="1"/>
  <c r="AX262" i="1"/>
  <c r="BU42" i="1"/>
  <c r="BT152" i="1"/>
  <c r="BU148" i="1"/>
  <c r="BG148" i="1"/>
  <c r="BG42" i="1"/>
  <c r="BF152" i="1"/>
  <c r="AW42" i="1"/>
  <c r="AV152" i="1"/>
  <c r="AW148" i="1"/>
  <c r="BE42" i="1"/>
  <c r="BE148" i="1"/>
  <c r="BD152" i="1"/>
  <c r="AQ148" i="1"/>
  <c r="AP152" i="1"/>
  <c r="AQ42" i="1"/>
  <c r="R198" i="1"/>
  <c r="AT196" i="1"/>
  <c r="AT171" i="1"/>
  <c r="BB104" i="1"/>
  <c r="BB105" i="1"/>
  <c r="BB103" i="1"/>
  <c r="AO263" i="1"/>
  <c r="AO220" i="1"/>
  <c r="AN263" i="1"/>
  <c r="AN220" i="1"/>
  <c r="AN143" i="1"/>
  <c r="AN182" i="1"/>
  <c r="BN152" i="1"/>
  <c r="BO148" i="1"/>
  <c r="BO42" i="1"/>
  <c r="AY148" i="1"/>
  <c r="AX152" i="1"/>
  <c r="AY42" i="1"/>
  <c r="AR199" i="1"/>
  <c r="AR171" i="1"/>
  <c r="BN262" i="1"/>
  <c r="BN101" i="1"/>
  <c r="BF220" i="1"/>
  <c r="BF182" i="1"/>
  <c r="BP263" i="1"/>
  <c r="BP220" i="1"/>
  <c r="BP182" i="1"/>
  <c r="BR143" i="1"/>
  <c r="BS263" i="1"/>
  <c r="BS220" i="1"/>
  <c r="BR182" i="1"/>
  <c r="BA148" i="1"/>
  <c r="BA42" i="1"/>
  <c r="AZ152" i="1"/>
  <c r="BQ42" i="1"/>
  <c r="BP152" i="1"/>
  <c r="BQ148" i="1"/>
  <c r="BC223" i="1"/>
  <c r="BB262" i="1"/>
  <c r="AR262" i="1"/>
  <c r="AX220" i="1"/>
  <c r="AX182" i="1"/>
  <c r="AX143" i="1"/>
  <c r="AX263" i="1"/>
  <c r="BO216" i="1"/>
  <c r="BP216" i="1"/>
  <c r="AT152" i="1"/>
  <c r="AU42" i="1"/>
  <c r="AU148" i="1"/>
  <c r="BD101" i="1"/>
  <c r="BD262" i="1"/>
  <c r="BO220" i="1"/>
  <c r="BO263" i="1"/>
  <c r="BN263" i="1"/>
  <c r="BN220" i="1"/>
  <c r="AW263" i="1"/>
  <c r="AW220" i="1"/>
  <c r="AN196" i="1"/>
  <c r="AN171" i="1"/>
  <c r="BT216" i="1"/>
  <c r="BS216" i="1"/>
  <c r="BV263" i="1"/>
  <c r="BU263" i="1"/>
  <c r="BU220" i="1"/>
  <c r="BV220" i="1"/>
  <c r="BT182" i="1"/>
  <c r="BT263" i="1"/>
  <c r="BT220" i="1"/>
  <c r="AP216" i="1"/>
  <c r="AO216" i="1"/>
  <c r="AZ182" i="1"/>
  <c r="AZ263" i="1"/>
  <c r="AZ143" i="1"/>
  <c r="AZ220" i="1"/>
  <c r="AN198" i="1"/>
  <c r="AT143" i="1"/>
  <c r="AT263" i="1"/>
  <c r="AT220" i="1"/>
  <c r="AT182" i="1"/>
  <c r="BD220" i="1"/>
  <c r="BD143" i="1"/>
  <c r="BE263" i="1"/>
  <c r="BE220" i="1"/>
  <c r="BD182" i="1"/>
  <c r="BD263" i="1"/>
  <c r="AV101" i="1"/>
  <c r="AV262" i="1"/>
  <c r="AQ220" i="1"/>
  <c r="AP220" i="1"/>
  <c r="AP263" i="1"/>
  <c r="BG263" i="1"/>
  <c r="BH263" i="1"/>
  <c r="BB220" i="1"/>
  <c r="BA263" i="1"/>
  <c r="BB263" i="1"/>
  <c r="BA220" i="1"/>
  <c r="AU220" i="1"/>
  <c r="AU263" i="1"/>
  <c r="BP200" i="1"/>
  <c r="BP203" i="1" s="1"/>
  <c r="BR220" i="1"/>
  <c r="AY220" i="1"/>
  <c r="AY263" i="1"/>
  <c r="AQ223" i="1"/>
  <c r="AP262" i="1"/>
  <c r="AZ101" i="1"/>
  <c r="AZ262" i="1"/>
  <c r="BS223" i="1"/>
  <c r="BR262" i="1"/>
  <c r="BT101" i="1"/>
  <c r="BT262" i="1"/>
  <c r="BF263" i="1"/>
  <c r="BF143" i="1"/>
  <c r="AP182" i="1"/>
  <c r="AP143" i="1"/>
  <c r="AP104" i="1"/>
  <c r="AP103" i="1"/>
  <c r="AP105" i="1"/>
  <c r="AP199" i="1"/>
  <c r="AP171" i="1"/>
  <c r="BF101" i="1"/>
  <c r="BF262" i="1"/>
  <c r="BP105" i="1"/>
  <c r="AV143" i="1"/>
  <c r="BQ263" i="1"/>
  <c r="BP262" i="1"/>
  <c r="BP143" i="1"/>
  <c r="BP171" i="1"/>
  <c r="BG220" i="1"/>
  <c r="BQ220" i="1"/>
  <c r="BP104" i="1"/>
  <c r="AV196" i="1"/>
  <c r="AV200" i="1" s="1"/>
  <c r="AV171" i="1"/>
  <c r="BB196" i="1"/>
  <c r="BB171" i="1"/>
  <c r="BD196" i="1"/>
  <c r="BD171" i="1"/>
  <c r="AX196" i="1"/>
  <c r="AX171" i="1"/>
  <c r="BF196" i="1"/>
  <c r="BF171" i="1"/>
  <c r="BT196" i="1"/>
  <c r="BT171" i="1"/>
  <c r="BR196" i="1"/>
  <c r="BR200" i="1" s="1"/>
  <c r="BR171" i="1"/>
  <c r="BN196" i="1"/>
  <c r="BN171" i="1"/>
  <c r="AZ196" i="1"/>
  <c r="AZ171" i="1"/>
  <c r="BV105" i="1"/>
  <c r="BV104" i="1"/>
  <c r="BV103" i="1"/>
  <c r="BL28" i="1"/>
  <c r="BK26" i="1"/>
  <c r="BK37" i="1"/>
  <c r="BK12" i="1" s="1"/>
  <c r="BK11" i="1" s="1"/>
  <c r="BK28" i="1"/>
  <c r="BQ26" i="1"/>
  <c r="BU27" i="1"/>
  <c r="BU37" i="1"/>
  <c r="BU12" i="1" s="1"/>
  <c r="BU11" i="1" s="1"/>
  <c r="BV28" i="1"/>
  <c r="BY27" i="1"/>
  <c r="BU26" i="1"/>
  <c r="BI27" i="1"/>
  <c r="BI26" i="1"/>
  <c r="BI37" i="1"/>
  <c r="BI12" i="1" s="1"/>
  <c r="BI11" i="1" s="1"/>
  <c r="BJ28" i="1"/>
  <c r="BN198" i="1"/>
  <c r="BF26" i="1"/>
  <c r="BJ27" i="1"/>
  <c r="BE28" i="1"/>
  <c r="BD26" i="1"/>
  <c r="BD37" i="1"/>
  <c r="BE37" i="1"/>
  <c r="BE12" i="1" s="1"/>
  <c r="BE26" i="1"/>
  <c r="BF28" i="1"/>
  <c r="BS37" i="1"/>
  <c r="BS12" i="1" s="1"/>
  <c r="BS11" i="1" s="1"/>
  <c r="BS26" i="1"/>
  <c r="AT104" i="1"/>
  <c r="AT105" i="1"/>
  <c r="AT103" i="1"/>
  <c r="BW152" i="1"/>
  <c r="BX42" i="1"/>
  <c r="BV258" i="1"/>
  <c r="BV260" i="1"/>
  <c r="BR105" i="1"/>
  <c r="BR103" i="1"/>
  <c r="BR104" i="1"/>
  <c r="AO27" i="1"/>
  <c r="AO37" i="1"/>
  <c r="AO12" i="1" s="1"/>
  <c r="AO11" i="1" s="1"/>
  <c r="AO26" i="1"/>
  <c r="BH260" i="1"/>
  <c r="BH258" i="1"/>
  <c r="AQ37" i="1"/>
  <c r="AQ12" i="1" s="1"/>
  <c r="AQ11" i="1" s="1"/>
  <c r="AQ27" i="1"/>
  <c r="AQ26" i="1"/>
  <c r="BJ42" i="1"/>
  <c r="BI152" i="1"/>
  <c r="BJ217" i="1" s="1"/>
  <c r="BJ215" i="1" s="1"/>
  <c r="CR208" i="1"/>
  <c r="CR146" i="1"/>
  <c r="CQ217" i="1"/>
  <c r="CQ215" i="1" s="1"/>
  <c r="AB220" i="1"/>
  <c r="DB72" i="1"/>
  <c r="DB74" i="1" s="1"/>
  <c r="DA74" i="1"/>
  <c r="D119" i="1" l="1"/>
  <c r="D122" i="1" s="1"/>
  <c r="D212" i="1"/>
  <c r="D213" i="1" s="1"/>
  <c r="G219" i="1"/>
  <c r="F219" i="1"/>
  <c r="N258" i="1"/>
  <c r="J179" i="1"/>
  <c r="O219" i="1"/>
  <c r="S219" i="1"/>
  <c r="AW26" i="1"/>
  <c r="S180" i="1"/>
  <c r="B179" i="1"/>
  <c r="BI9" i="1"/>
  <c r="BG37" i="1"/>
  <c r="BG12" i="1" s="1"/>
  <c r="BG11" i="1" s="1"/>
  <c r="AN27" i="1"/>
  <c r="BT26" i="1"/>
  <c r="F260" i="1"/>
  <c r="F258" i="1"/>
  <c r="S212" i="1"/>
  <c r="S213" i="1" s="1"/>
  <c r="T212" i="1"/>
  <c r="T213" i="1" s="1"/>
  <c r="BD27" i="1"/>
  <c r="O179" i="1"/>
  <c r="O180" i="1" s="1"/>
  <c r="BH9" i="1"/>
  <c r="AW37" i="1"/>
  <c r="M179" i="1"/>
  <c r="BV179" i="1"/>
  <c r="V179" i="1"/>
  <c r="AO28" i="1"/>
  <c r="BU28" i="1"/>
  <c r="BI28" i="1"/>
  <c r="AW10" i="1"/>
  <c r="AO9" i="1"/>
  <c r="AN37" i="1"/>
  <c r="AN12" i="1" s="1"/>
  <c r="AN11" i="1" s="1"/>
  <c r="AN26" i="1"/>
  <c r="BX27" i="1"/>
  <c r="C219" i="1"/>
  <c r="K212" i="1"/>
  <c r="K213" i="1" s="1"/>
  <c r="AQ9" i="1"/>
  <c r="AN28" i="1"/>
  <c r="BT37" i="1"/>
  <c r="BT12" i="1" s="1"/>
  <c r="BT11" i="1" s="1"/>
  <c r="BT28" i="1"/>
  <c r="BH37" i="1"/>
  <c r="BH12" i="1" s="1"/>
  <c r="BH11" i="1" s="1"/>
  <c r="BH26" i="1"/>
  <c r="BL27" i="1"/>
  <c r="BH27" i="1"/>
  <c r="BG28" i="1"/>
  <c r="BG26" i="1"/>
  <c r="BH28" i="1"/>
  <c r="BK27" i="1"/>
  <c r="T68" i="1"/>
  <c r="I212" i="1"/>
  <c r="I213" i="1" s="1"/>
  <c r="L212" i="1"/>
  <c r="L213" i="1" s="1"/>
  <c r="U219" i="1"/>
  <c r="D219" i="1"/>
  <c r="I219" i="1"/>
  <c r="BA27" i="1"/>
  <c r="BA26" i="1"/>
  <c r="BA37" i="1"/>
  <c r="G212" i="1"/>
  <c r="G213" i="1" s="1"/>
  <c r="BJ12" i="1"/>
  <c r="BJ11" i="1" s="1"/>
  <c r="BJ38" i="1"/>
  <c r="BJ43" i="1"/>
  <c r="BJ47" i="1" s="1"/>
  <c r="BJ246" i="1"/>
  <c r="BJ247" i="1" s="1"/>
  <c r="H260" i="1"/>
  <c r="H258" i="1"/>
  <c r="AT10" i="1"/>
  <c r="AT9" i="1" s="1"/>
  <c r="AT26" i="1"/>
  <c r="AT37" i="1"/>
  <c r="AT12" i="1" s="1"/>
  <c r="AT11" i="1" s="1"/>
  <c r="H179" i="1"/>
  <c r="BF37" i="1"/>
  <c r="BF10" i="1"/>
  <c r="BE27" i="1"/>
  <c r="BE10" i="1"/>
  <c r="AN9" i="1"/>
  <c r="I179" i="1"/>
  <c r="H217" i="1"/>
  <c r="H215" i="1" s="1"/>
  <c r="I217" i="1"/>
  <c r="I215" i="1" s="1"/>
  <c r="N217" i="1"/>
  <c r="N215" i="1" s="1"/>
  <c r="M217" i="1"/>
  <c r="M215" i="1" s="1"/>
  <c r="M258" i="1"/>
  <c r="M260" i="1"/>
  <c r="M212" i="1"/>
  <c r="M213" i="1" s="1"/>
  <c r="V217" i="1"/>
  <c r="V215" i="1" s="1"/>
  <c r="E198" i="1"/>
  <c r="R200" i="1"/>
  <c r="Q219" i="1"/>
  <c r="L219" i="1"/>
  <c r="C198" i="1"/>
  <c r="H219" i="1"/>
  <c r="P219" i="1"/>
  <c r="J180" i="1"/>
  <c r="U212" i="1"/>
  <c r="U213" i="1" s="1"/>
  <c r="E212" i="1"/>
  <c r="E213" i="1" s="1"/>
  <c r="N219" i="1"/>
  <c r="M219" i="1"/>
  <c r="P179" i="1"/>
  <c r="P180" i="1" s="1"/>
  <c r="E219" i="1"/>
  <c r="V219" i="1"/>
  <c r="O212" i="1"/>
  <c r="O213" i="1" s="1"/>
  <c r="G180" i="1"/>
  <c r="R212" i="1"/>
  <c r="R213" i="1" s="1"/>
  <c r="Q212" i="1"/>
  <c r="Q213" i="1" s="1"/>
  <c r="BV180" i="1"/>
  <c r="F212" i="1"/>
  <c r="F213" i="1" s="1"/>
  <c r="BA28" i="1"/>
  <c r="AZ26" i="1"/>
  <c r="AW9" i="1"/>
  <c r="AZ10" i="1"/>
  <c r="AZ9" i="1" s="1"/>
  <c r="AZ37" i="1"/>
  <c r="BA264" i="1" s="1"/>
  <c r="P258" i="1"/>
  <c r="P260" i="1"/>
  <c r="BV9" i="1"/>
  <c r="J212" i="1"/>
  <c r="J213" i="1" s="1"/>
  <c r="BT9" i="1"/>
  <c r="BG9" i="1"/>
  <c r="C200" i="1"/>
  <c r="U179" i="1"/>
  <c r="U180" i="1" s="1"/>
  <c r="E179" i="1"/>
  <c r="D120" i="1"/>
  <c r="D123" i="1" s="1"/>
  <c r="H212" i="1"/>
  <c r="H213" i="1" s="1"/>
  <c r="M180" i="1"/>
  <c r="C212" i="1"/>
  <c r="C213" i="1" s="1"/>
  <c r="V180" i="1"/>
  <c r="N180" i="1"/>
  <c r="V212" i="1"/>
  <c r="V213" i="1" s="1"/>
  <c r="Q179" i="1"/>
  <c r="BR10" i="1"/>
  <c r="BV27" i="1"/>
  <c r="BR26" i="1"/>
  <c r="BR28" i="1"/>
  <c r="E258" i="1"/>
  <c r="E260" i="1"/>
  <c r="F217" i="1"/>
  <c r="F215" i="1" s="1"/>
  <c r="E217" i="1"/>
  <c r="E215" i="1" s="1"/>
  <c r="U217" i="1"/>
  <c r="U215" i="1" s="1"/>
  <c r="T258" i="1"/>
  <c r="T260" i="1"/>
  <c r="T179" i="1"/>
  <c r="T180" i="1" s="1"/>
  <c r="E180" i="1"/>
  <c r="J219" i="1"/>
  <c r="R219" i="1"/>
  <c r="BV203" i="1"/>
  <c r="BW10" i="1"/>
  <c r="BW9" i="1" s="1"/>
  <c r="BW27" i="1"/>
  <c r="BW28" i="1"/>
  <c r="BW26" i="1"/>
  <c r="X68" i="1"/>
  <c r="CA27" i="1"/>
  <c r="BX28" i="1"/>
  <c r="BW37" i="1"/>
  <c r="BW12" i="1" s="1"/>
  <c r="BW11" i="1" s="1"/>
  <c r="BH118" i="1"/>
  <c r="BI46" i="1"/>
  <c r="C119" i="1"/>
  <c r="C122" i="1" s="1"/>
  <c r="C120" i="1"/>
  <c r="C123" i="1" s="1"/>
  <c r="B200" i="1"/>
  <c r="B195" i="1"/>
  <c r="H195" i="1"/>
  <c r="H200" i="1"/>
  <c r="G195" i="1"/>
  <c r="G200" i="1"/>
  <c r="B77" i="1"/>
  <c r="B78" i="1"/>
  <c r="P212" i="1"/>
  <c r="P213" i="1" s="1"/>
  <c r="K180" i="1"/>
  <c r="AR179" i="1"/>
  <c r="AR180" i="1" s="1"/>
  <c r="BR37" i="1"/>
  <c r="BR12" i="1" s="1"/>
  <c r="BS28" i="1"/>
  <c r="P200" i="1"/>
  <c r="P195" i="1"/>
  <c r="I200" i="1"/>
  <c r="I198" i="1"/>
  <c r="Q260" i="1"/>
  <c r="Q258" i="1"/>
  <c r="K200" i="1"/>
  <c r="K198" i="1"/>
  <c r="AS10" i="1"/>
  <c r="AS9" i="1" s="1"/>
  <c r="AS27" i="1"/>
  <c r="AS37" i="1"/>
  <c r="AW27" i="1"/>
  <c r="AS26" i="1"/>
  <c r="AT28" i="1"/>
  <c r="AM96" i="1"/>
  <c r="AM94" i="1"/>
  <c r="AM95" i="1"/>
  <c r="AM143" i="1"/>
  <c r="AM64" i="1" s="1"/>
  <c r="AM101" i="1"/>
  <c r="AM221" i="1"/>
  <c r="AM219" i="1" s="1"/>
  <c r="AM63" i="1"/>
  <c r="S200" i="1"/>
  <c r="S198" i="1"/>
  <c r="U200" i="1"/>
  <c r="U198" i="1"/>
  <c r="F195" i="1"/>
  <c r="F200" i="1"/>
  <c r="BP10" i="1"/>
  <c r="BP9" i="1" s="1"/>
  <c r="BT27" i="1"/>
  <c r="BQ28" i="1"/>
  <c r="BP26" i="1"/>
  <c r="BP37" i="1"/>
  <c r="BP27" i="1"/>
  <c r="AP10" i="1"/>
  <c r="AP9" i="1" s="1"/>
  <c r="O68" i="1"/>
  <c r="AQ28" i="1"/>
  <c r="AP28" i="1"/>
  <c r="AP26" i="1"/>
  <c r="AP27" i="1"/>
  <c r="AP37" i="1"/>
  <c r="AT27" i="1"/>
  <c r="B119" i="1"/>
  <c r="B122" i="1" s="1"/>
  <c r="B120" i="1"/>
  <c r="B123" i="1" s="1"/>
  <c r="E195" i="1"/>
  <c r="E200" i="1"/>
  <c r="U260" i="1"/>
  <c r="U258" i="1"/>
  <c r="L198" i="1"/>
  <c r="L200" i="1"/>
  <c r="Q217" i="1"/>
  <c r="Q215" i="1" s="1"/>
  <c r="P217" i="1"/>
  <c r="P215" i="1" s="1"/>
  <c r="BB10" i="1"/>
  <c r="BB9" i="1" s="1"/>
  <c r="BB26" i="1"/>
  <c r="BB28" i="1"/>
  <c r="BF27" i="1"/>
  <c r="BB37" i="1"/>
  <c r="BC28" i="1"/>
  <c r="BM10" i="1"/>
  <c r="BM9" i="1" s="1"/>
  <c r="BM27" i="1"/>
  <c r="BN28" i="1"/>
  <c r="U68" i="1"/>
  <c r="BM26" i="1"/>
  <c r="BQ27" i="1"/>
  <c r="BM37" i="1"/>
  <c r="BM28" i="1"/>
  <c r="BN10" i="1"/>
  <c r="BN9" i="1" s="1"/>
  <c r="BN26" i="1"/>
  <c r="BN37" i="1"/>
  <c r="BN12" i="1" s="1"/>
  <c r="BN11" i="1" s="1"/>
  <c r="BR27" i="1"/>
  <c r="BN27" i="1"/>
  <c r="BC10" i="1"/>
  <c r="BC9" i="1" s="1"/>
  <c r="BC37" i="1"/>
  <c r="S68" i="1"/>
  <c r="BD28" i="1"/>
  <c r="BG27" i="1"/>
  <c r="BC26" i="1"/>
  <c r="BV118" i="1"/>
  <c r="BW46" i="1"/>
  <c r="AY10" i="1"/>
  <c r="AY9" i="1" s="1"/>
  <c r="AZ28" i="1"/>
  <c r="BC27" i="1"/>
  <c r="AY37" i="1"/>
  <c r="AY12" i="1" s="1"/>
  <c r="AY11" i="1" s="1"/>
  <c r="AY26" i="1"/>
  <c r="R68" i="1"/>
  <c r="AV10" i="1"/>
  <c r="AV9" i="1" s="1"/>
  <c r="AV37" i="1"/>
  <c r="AV26" i="1"/>
  <c r="AW28" i="1"/>
  <c r="AZ27" i="1"/>
  <c r="AS28" i="1"/>
  <c r="AR26" i="1"/>
  <c r="AR27" i="1"/>
  <c r="AV27" i="1"/>
  <c r="AR10" i="1"/>
  <c r="AR9" i="1" s="1"/>
  <c r="AR37" i="1"/>
  <c r="P68" i="1"/>
  <c r="AR28" i="1"/>
  <c r="D195" i="1"/>
  <c r="D200" i="1"/>
  <c r="AX10" i="1"/>
  <c r="AX9" i="1" s="1"/>
  <c r="AX26" i="1"/>
  <c r="BB27" i="1"/>
  <c r="AX28" i="1"/>
  <c r="AX27" i="1"/>
  <c r="AX37" i="1"/>
  <c r="AX12" i="1" s="1"/>
  <c r="AX11" i="1" s="1"/>
  <c r="AY28" i="1"/>
  <c r="AI10" i="1"/>
  <c r="AI9" i="1" s="1"/>
  <c r="AM27" i="1"/>
  <c r="AI26" i="1"/>
  <c r="N68" i="1"/>
  <c r="AJ28" i="1"/>
  <c r="AI37" i="1"/>
  <c r="O195" i="1"/>
  <c r="O200" i="1"/>
  <c r="D78" i="1"/>
  <c r="D77" i="1"/>
  <c r="AT42" i="1"/>
  <c r="AS152" i="1"/>
  <c r="AT217" i="1" s="1"/>
  <c r="AT215" i="1" s="1"/>
  <c r="Q195" i="1"/>
  <c r="Q200" i="1"/>
  <c r="AW12" i="1"/>
  <c r="AW11" i="1" s="1"/>
  <c r="AW246" i="1"/>
  <c r="AW247" i="1" s="1"/>
  <c r="AW38" i="1"/>
  <c r="AW43" i="1"/>
  <c r="AW47" i="1" s="1"/>
  <c r="AR260" i="1"/>
  <c r="AR258" i="1"/>
  <c r="S260" i="1"/>
  <c r="S258" i="1"/>
  <c r="T217" i="1"/>
  <c r="T215" i="1" s="1"/>
  <c r="T227" i="1" s="1"/>
  <c r="T200" i="1"/>
  <c r="T195" i="1"/>
  <c r="R179" i="1"/>
  <c r="R180" i="1" s="1"/>
  <c r="S217" i="1"/>
  <c r="S215" i="1" s="1"/>
  <c r="AU10" i="1"/>
  <c r="AU9" i="1" s="1"/>
  <c r="AV28" i="1"/>
  <c r="AY27" i="1"/>
  <c r="Q68" i="1"/>
  <c r="BO10" i="1"/>
  <c r="BO9" i="1" s="1"/>
  <c r="BO26" i="1"/>
  <c r="BO27" i="1"/>
  <c r="BP28" i="1"/>
  <c r="BS27" i="1"/>
  <c r="BA12" i="1"/>
  <c r="BA11" i="1" s="1"/>
  <c r="BA43" i="1"/>
  <c r="BA47" i="1" s="1"/>
  <c r="BA246" i="1"/>
  <c r="BA247" i="1" s="1"/>
  <c r="AU26" i="1"/>
  <c r="AU27" i="1"/>
  <c r="M198" i="1"/>
  <c r="C78" i="1"/>
  <c r="AU37" i="1"/>
  <c r="C179" i="1"/>
  <c r="C180" i="1" s="1"/>
  <c r="AU28" i="1"/>
  <c r="AT246" i="1"/>
  <c r="AT247" i="1" s="1"/>
  <c r="C217" i="1"/>
  <c r="C215" i="1" s="1"/>
  <c r="AT38" i="1"/>
  <c r="D227" i="1"/>
  <c r="I180" i="1"/>
  <c r="D224" i="1"/>
  <c r="D225" i="1" s="1"/>
  <c r="BA38" i="1"/>
  <c r="J200" i="1"/>
  <c r="F180" i="1"/>
  <c r="V68" i="1"/>
  <c r="BO28" i="1"/>
  <c r="R258" i="1"/>
  <c r="R260" i="1"/>
  <c r="BO37" i="1"/>
  <c r="BO12" i="1" s="1"/>
  <c r="BO11" i="1" s="1"/>
  <c r="R217" i="1"/>
  <c r="R215" i="1" s="1"/>
  <c r="AT43" i="1"/>
  <c r="AT47" i="1" s="1"/>
  <c r="BJ50" i="1"/>
  <c r="BJ49" i="1"/>
  <c r="B258" i="1"/>
  <c r="B180" i="1"/>
  <c r="BQ12" i="1"/>
  <c r="BQ11" i="1" s="1"/>
  <c r="BQ43" i="1"/>
  <c r="BQ47" i="1" s="1"/>
  <c r="BQ246" i="1"/>
  <c r="BQ247" i="1" s="1"/>
  <c r="BQ38" i="1"/>
  <c r="C96" i="1"/>
  <c r="BV12" i="1"/>
  <c r="BV11" i="1" s="1"/>
  <c r="BV38" i="1"/>
  <c r="BV43" i="1"/>
  <c r="BV47" i="1" s="1"/>
  <c r="BZ39" i="1"/>
  <c r="BQ9" i="1"/>
  <c r="BR9" i="1"/>
  <c r="BD12" i="1"/>
  <c r="BD11" i="1" s="1"/>
  <c r="K224" i="1"/>
  <c r="K225" i="1" s="1"/>
  <c r="K227" i="1"/>
  <c r="D258" i="1"/>
  <c r="D180" i="1"/>
  <c r="G224" i="1"/>
  <c r="G225" i="1" s="1"/>
  <c r="G227" i="1"/>
  <c r="AW46" i="1"/>
  <c r="AV118" i="1"/>
  <c r="BS152" i="1"/>
  <c r="BT42" i="1"/>
  <c r="BR260" i="1"/>
  <c r="BR258" i="1"/>
  <c r="AP42" i="1"/>
  <c r="AO152" i="1"/>
  <c r="AN103" i="1"/>
  <c r="AN105" i="1"/>
  <c r="BR179" i="1"/>
  <c r="BR180" i="1" s="1"/>
  <c r="BB118" i="1"/>
  <c r="BC46" i="1"/>
  <c r="L227" i="1"/>
  <c r="AN179" i="1"/>
  <c r="AN180" i="1" s="1"/>
  <c r="BP179" i="1"/>
  <c r="BP180" i="1" s="1"/>
  <c r="BN118" i="1"/>
  <c r="BO46" i="1"/>
  <c r="AZ42" i="1"/>
  <c r="AY152" i="1"/>
  <c r="BN217" i="1"/>
  <c r="BN215" i="1" s="1"/>
  <c r="BN260" i="1"/>
  <c r="BN258" i="1"/>
  <c r="BN105" i="1"/>
  <c r="BN104" i="1"/>
  <c r="BN103" i="1"/>
  <c r="BP118" i="1"/>
  <c r="BQ46" i="1"/>
  <c r="BB179" i="1"/>
  <c r="BB180" i="1" s="1"/>
  <c r="BF179" i="1"/>
  <c r="BF180" i="1" s="1"/>
  <c r="BT179" i="1"/>
  <c r="BT180" i="1" s="1"/>
  <c r="BF260" i="1"/>
  <c r="BF258" i="1"/>
  <c r="AP260" i="1"/>
  <c r="AP258" i="1"/>
  <c r="BG46" i="1"/>
  <c r="BF118" i="1"/>
  <c r="BD42" i="1"/>
  <c r="BC152" i="1"/>
  <c r="BN179" i="1"/>
  <c r="BN180" i="1" s="1"/>
  <c r="AZ179" i="1"/>
  <c r="AZ180" i="1" s="1"/>
  <c r="AN258" i="1"/>
  <c r="AN217" i="1"/>
  <c r="AN215" i="1" s="1"/>
  <c r="BT260" i="1"/>
  <c r="BT258" i="1"/>
  <c r="AW152" i="1"/>
  <c r="AX42" i="1"/>
  <c r="BS46" i="1"/>
  <c r="BR118" i="1"/>
  <c r="BA152" i="1"/>
  <c r="BB42" i="1"/>
  <c r="AZ258" i="1"/>
  <c r="AZ260" i="1"/>
  <c r="BR42" i="1"/>
  <c r="BQ152" i="1"/>
  <c r="AN195" i="1"/>
  <c r="AN200" i="1"/>
  <c r="BB260" i="1"/>
  <c r="BB258" i="1"/>
  <c r="BG152" i="1"/>
  <c r="BH42" i="1"/>
  <c r="AV258" i="1"/>
  <c r="AV260" i="1"/>
  <c r="BE152" i="1"/>
  <c r="BF42" i="1"/>
  <c r="BD258" i="1"/>
  <c r="BD260" i="1"/>
  <c r="AX260" i="1"/>
  <c r="AX258" i="1"/>
  <c r="AU46" i="1"/>
  <c r="AT118" i="1"/>
  <c r="AP179" i="1"/>
  <c r="AP180" i="1" s="1"/>
  <c r="BD179" i="1"/>
  <c r="BD180" i="1" s="1"/>
  <c r="AR103" i="1"/>
  <c r="AR105" i="1"/>
  <c r="AR104" i="1"/>
  <c r="AX105" i="1"/>
  <c r="AX104" i="1"/>
  <c r="AX103" i="1"/>
  <c r="BV42" i="1"/>
  <c r="BU152" i="1"/>
  <c r="AQ152" i="1"/>
  <c r="AR42" i="1"/>
  <c r="AT200" i="1"/>
  <c r="AT195" i="1"/>
  <c r="AO46" i="1"/>
  <c r="AN118" i="1"/>
  <c r="AR200" i="1"/>
  <c r="AR198" i="1"/>
  <c r="AV42" i="1"/>
  <c r="AU152" i="1"/>
  <c r="BD104" i="1"/>
  <c r="BD103" i="1"/>
  <c r="BD105" i="1"/>
  <c r="BU46" i="1"/>
  <c r="BT118" i="1"/>
  <c r="BE46" i="1"/>
  <c r="BD118" i="1"/>
  <c r="AV105" i="1"/>
  <c r="AV103" i="1"/>
  <c r="AV104" i="1"/>
  <c r="AV179" i="1"/>
  <c r="AV180" i="1" s="1"/>
  <c r="AX179" i="1"/>
  <c r="AX180" i="1" s="1"/>
  <c r="BP42" i="1"/>
  <c r="BO152" i="1"/>
  <c r="BP260" i="1"/>
  <c r="BP258" i="1"/>
  <c r="AY46" i="1"/>
  <c r="AX118" i="1"/>
  <c r="AT179" i="1"/>
  <c r="AT180" i="1" s="1"/>
  <c r="AT260" i="1"/>
  <c r="AT258" i="1"/>
  <c r="AP118" i="1"/>
  <c r="AQ46" i="1"/>
  <c r="AZ118" i="1"/>
  <c r="BA46" i="1"/>
  <c r="N203" i="1"/>
  <c r="N204" i="1" s="1"/>
  <c r="AZ104" i="1"/>
  <c r="AZ105" i="1"/>
  <c r="AZ103" i="1"/>
  <c r="AP200" i="1"/>
  <c r="AP203" i="1" s="1"/>
  <c r="AP198" i="1"/>
  <c r="AX195" i="1"/>
  <c r="AX200" i="1"/>
  <c r="BF195" i="1"/>
  <c r="BF200" i="1"/>
  <c r="BJ203" i="1" s="1"/>
  <c r="BT105" i="1"/>
  <c r="BT104" i="1"/>
  <c r="BT103" i="1"/>
  <c r="BF104" i="1"/>
  <c r="BF105" i="1"/>
  <c r="BF103" i="1"/>
  <c r="AV195" i="1"/>
  <c r="BR195" i="1"/>
  <c r="BN195" i="1"/>
  <c r="BN200" i="1"/>
  <c r="BB200" i="1"/>
  <c r="BB195" i="1"/>
  <c r="BD195" i="1"/>
  <c r="BD200" i="1"/>
  <c r="BT200" i="1"/>
  <c r="BT195" i="1"/>
  <c r="BX217" i="1"/>
  <c r="BX215" i="1" s="1"/>
  <c r="BW217" i="1"/>
  <c r="BW215" i="1" s="1"/>
  <c r="AZ200" i="1"/>
  <c r="AZ203" i="1" s="1"/>
  <c r="AZ195" i="1"/>
  <c r="BL121" i="1"/>
  <c r="BL127" i="1" s="1"/>
  <c r="BK39" i="1"/>
  <c r="BX240" i="1"/>
  <c r="BK40" i="1"/>
  <c r="BK38" i="1"/>
  <c r="BL40" i="1"/>
  <c r="BK246" i="1"/>
  <c r="BK247" i="1" s="1"/>
  <c r="BK43" i="1"/>
  <c r="BK47" i="1" s="1"/>
  <c r="BK264" i="1"/>
  <c r="BK265" i="1" s="1"/>
  <c r="BL264" i="1"/>
  <c r="BL265" i="1" s="1"/>
  <c r="BV264" i="1"/>
  <c r="BV265" i="1" s="1"/>
  <c r="BV40" i="1"/>
  <c r="BU39" i="1"/>
  <c r="BU38" i="1"/>
  <c r="BU246" i="1"/>
  <c r="BU247" i="1" s="1"/>
  <c r="BY39" i="1"/>
  <c r="BU43" i="1"/>
  <c r="BU47" i="1" s="1"/>
  <c r="S69" i="1"/>
  <c r="BK121" i="1"/>
  <c r="BK127" i="1" s="1"/>
  <c r="BF264" i="1"/>
  <c r="BF265" i="1" s="1"/>
  <c r="BE39" i="1"/>
  <c r="BI246" i="1"/>
  <c r="BI247" i="1" s="1"/>
  <c r="BI43" i="1"/>
  <c r="BI38" i="1"/>
  <c r="BL240" i="1"/>
  <c r="BJ40" i="1"/>
  <c r="BJ264" i="1"/>
  <c r="BJ265" i="1" s="1"/>
  <c r="BE40" i="1"/>
  <c r="BD43" i="1"/>
  <c r="BD47" i="1" s="1"/>
  <c r="BD38" i="1"/>
  <c r="BD246" i="1"/>
  <c r="BD247" i="1" s="1"/>
  <c r="BE264" i="1"/>
  <c r="BE265" i="1" s="1"/>
  <c r="BI39" i="1"/>
  <c r="BE246" i="1"/>
  <c r="BE247" i="1" s="1"/>
  <c r="BE38" i="1"/>
  <c r="BE43" i="1"/>
  <c r="BE47" i="1" s="1"/>
  <c r="BF40" i="1"/>
  <c r="BT264" i="1"/>
  <c r="BT265" i="1" s="1"/>
  <c r="BS43" i="1"/>
  <c r="BS47" i="1" s="1"/>
  <c r="BS38" i="1"/>
  <c r="BS246" i="1"/>
  <c r="BS247" i="1" s="1"/>
  <c r="BS264" i="1"/>
  <c r="BS265" i="1" s="1"/>
  <c r="BG39" i="1"/>
  <c r="BF121" i="1"/>
  <c r="BF127" i="1" s="1"/>
  <c r="BC43" i="1"/>
  <c r="BC38" i="1"/>
  <c r="BC246" i="1"/>
  <c r="BC247" i="1" s="1"/>
  <c r="BF240" i="1"/>
  <c r="BC39" i="1"/>
  <c r="BI217" i="1"/>
  <c r="BI215" i="1" s="1"/>
  <c r="BG38" i="1"/>
  <c r="BG43" i="1"/>
  <c r="BG246" i="1"/>
  <c r="BG247" i="1" s="1"/>
  <c r="AN264" i="1"/>
  <c r="AN265" i="1" s="1"/>
  <c r="AN43" i="1"/>
  <c r="AO240" i="1"/>
  <c r="AN40" i="1"/>
  <c r="AN38" i="1"/>
  <c r="AN246" i="1"/>
  <c r="AN247" i="1" s="1"/>
  <c r="AN240" i="1"/>
  <c r="AO121" i="1"/>
  <c r="AO127" i="1" s="1"/>
  <c r="AN121" i="1"/>
  <c r="AN127" i="1" s="1"/>
  <c r="AO40" i="1"/>
  <c r="AN39" i="1"/>
  <c r="BZ240" i="1"/>
  <c r="BW264" i="1"/>
  <c r="BW265" i="1" s="1"/>
  <c r="BW43" i="1"/>
  <c r="BY121" i="1"/>
  <c r="BY127" i="1" s="1"/>
  <c r="CA39" i="1"/>
  <c r="BX264" i="1"/>
  <c r="BX265" i="1" s="1"/>
  <c r="BY240" i="1"/>
  <c r="AQ38" i="1"/>
  <c r="AQ246" i="1"/>
  <c r="AQ247" i="1" s="1"/>
  <c r="AQ43" i="1"/>
  <c r="AQ39" i="1"/>
  <c r="AR40" i="1"/>
  <c r="AR264" i="1"/>
  <c r="AR265" i="1" s="1"/>
  <c r="AO246" i="1"/>
  <c r="AO247" i="1" s="1"/>
  <c r="AO43" i="1"/>
  <c r="AO47" i="1" s="1"/>
  <c r="AO49" i="1" s="1"/>
  <c r="AO264" i="1"/>
  <c r="AO265" i="1" s="1"/>
  <c r="AO39" i="1"/>
  <c r="AS39" i="1"/>
  <c r="AO38" i="1"/>
  <c r="BT43" i="1"/>
  <c r="BU264" i="1"/>
  <c r="BU265" i="1" s="1"/>
  <c r="BT38" i="1"/>
  <c r="BX39" i="1"/>
  <c r="BU40" i="1"/>
  <c r="BT246" i="1"/>
  <c r="BT247" i="1" s="1"/>
  <c r="BW121" i="1"/>
  <c r="BW127" i="1" s="1"/>
  <c r="BU121" i="1"/>
  <c r="BU127" i="1" s="1"/>
  <c r="AV39" i="1"/>
  <c r="BA50" i="1"/>
  <c r="BA49" i="1"/>
  <c r="AW49" i="1"/>
  <c r="AW50" i="1"/>
  <c r="CR148" i="1"/>
  <c r="AE156" i="1"/>
  <c r="AC138" i="1"/>
  <c r="H180" i="1" l="1"/>
  <c r="C94" i="1"/>
  <c r="C95" i="1"/>
  <c r="B98" i="1"/>
  <c r="AZ12" i="1"/>
  <c r="AZ11" i="1" s="1"/>
  <c r="BA40" i="1"/>
  <c r="AZ38" i="1"/>
  <c r="AZ246" i="1"/>
  <c r="AZ247" i="1" s="1"/>
  <c r="AZ43" i="1"/>
  <c r="AZ47" i="1" s="1"/>
  <c r="BF38" i="1"/>
  <c r="BF43" i="1"/>
  <c r="BF47" i="1" s="1"/>
  <c r="BF246" i="1"/>
  <c r="BF247" i="1" s="1"/>
  <c r="BF12" i="1"/>
  <c r="BJ39" i="1"/>
  <c r="BF9" i="1"/>
  <c r="BF11" i="1"/>
  <c r="BE9" i="1"/>
  <c r="BE11" i="1"/>
  <c r="BR11" i="1"/>
  <c r="M227" i="1"/>
  <c r="N227" i="1"/>
  <c r="AS12" i="1"/>
  <c r="AS11" i="1" s="1"/>
  <c r="BD39" i="1"/>
  <c r="I224" i="1"/>
  <c r="I225" i="1" s="1"/>
  <c r="I227" i="1"/>
  <c r="BA265" i="1"/>
  <c r="M203" i="1"/>
  <c r="M204" i="1" s="1"/>
  <c r="BS240" i="1"/>
  <c r="AP38" i="1"/>
  <c r="AP39" i="1"/>
  <c r="AP246" i="1"/>
  <c r="AP247" i="1" s="1"/>
  <c r="AP43" i="1"/>
  <c r="AP47" i="1" s="1"/>
  <c r="U69" i="1"/>
  <c r="BV39" i="1"/>
  <c r="BS121" i="1"/>
  <c r="BS127" i="1" s="1"/>
  <c r="BT240" i="1"/>
  <c r="AQ240" i="1"/>
  <c r="BV240" i="1"/>
  <c r="BR264" i="1"/>
  <c r="BR265" i="1" s="1"/>
  <c r="BR38" i="1"/>
  <c r="BR40" i="1"/>
  <c r="BS40" i="1"/>
  <c r="BR246" i="1"/>
  <c r="BR247" i="1" s="1"/>
  <c r="BR43" i="1"/>
  <c r="BV121" i="1"/>
  <c r="BV127" i="1" s="1"/>
  <c r="AQ121" i="1"/>
  <c r="AQ127" i="1" s="1"/>
  <c r="BT121" i="1"/>
  <c r="BT127" i="1" s="1"/>
  <c r="BT40" i="1"/>
  <c r="AR240" i="1"/>
  <c r="AP240" i="1"/>
  <c r="AP264" i="1"/>
  <c r="AP265" i="1" s="1"/>
  <c r="AP121" i="1"/>
  <c r="AP127" i="1" s="1"/>
  <c r="BK240" i="1"/>
  <c r="BX121" i="1"/>
  <c r="BX127" i="1" s="1"/>
  <c r="BH240" i="1"/>
  <c r="T69" i="1"/>
  <c r="BG121" i="1"/>
  <c r="BG127" i="1" s="1"/>
  <c r="BJ121" i="1"/>
  <c r="BJ127" i="1" s="1"/>
  <c r="BG264" i="1"/>
  <c r="BG265" i="1" s="1"/>
  <c r="BI240" i="1"/>
  <c r="BI121" i="1"/>
  <c r="BI127" i="1" s="1"/>
  <c r="BH121" i="1"/>
  <c r="BH127" i="1" s="1"/>
  <c r="BJ240" i="1"/>
  <c r="BH40" i="1"/>
  <c r="BG240" i="1"/>
  <c r="BG40" i="1"/>
  <c r="BL39" i="1"/>
  <c r="BH38" i="1"/>
  <c r="BH43" i="1"/>
  <c r="BH47" i="1" s="1"/>
  <c r="BH246" i="1"/>
  <c r="BH247" i="1" s="1"/>
  <c r="BH264" i="1"/>
  <c r="BH265" i="1" s="1"/>
  <c r="BH39" i="1"/>
  <c r="BI264" i="1"/>
  <c r="BI265" i="1" s="1"/>
  <c r="BI40" i="1"/>
  <c r="BW39" i="1"/>
  <c r="BW40" i="1"/>
  <c r="BW240" i="1"/>
  <c r="BW246" i="1"/>
  <c r="BW247" i="1" s="1"/>
  <c r="BX40" i="1"/>
  <c r="X69" i="1"/>
  <c r="BW38" i="1"/>
  <c r="BZ121" i="1"/>
  <c r="BZ127" i="1" s="1"/>
  <c r="BC264" i="1"/>
  <c r="BC265" i="1" s="1"/>
  <c r="BE240" i="1"/>
  <c r="BE121" i="1"/>
  <c r="BE127" i="1" s="1"/>
  <c r="AT121" i="1"/>
  <c r="AT127" i="1" s="1"/>
  <c r="AR121" i="1"/>
  <c r="AR127" i="1" s="1"/>
  <c r="BT39" i="1"/>
  <c r="AT50" i="1"/>
  <c r="AT49" i="1"/>
  <c r="AR246" i="1"/>
  <c r="AR247" i="1" s="1"/>
  <c r="T203" i="1"/>
  <c r="T204" i="1" s="1"/>
  <c r="BN121" i="1"/>
  <c r="BN127" i="1" s="1"/>
  <c r="BN240" i="1"/>
  <c r="BA121" i="1"/>
  <c r="BA127" i="1" s="1"/>
  <c r="AY121" i="1"/>
  <c r="AY127" i="1" s="1"/>
  <c r="AY240" i="1"/>
  <c r="AY40" i="1"/>
  <c r="AY264" i="1"/>
  <c r="AY265" i="1" s="1"/>
  <c r="AZ121" i="1"/>
  <c r="AZ127" i="1" s="1"/>
  <c r="AV121" i="1"/>
  <c r="AV127" i="1" s="1"/>
  <c r="Q180" i="1"/>
  <c r="S203" i="1"/>
  <c r="S204" i="1" s="1"/>
  <c r="BA39" i="1"/>
  <c r="C224" i="1"/>
  <c r="C225" i="1" s="1"/>
  <c r="U227" i="1"/>
  <c r="R224" i="1"/>
  <c r="R225" i="1" s="1"/>
  <c r="H224" i="1"/>
  <c r="H225" i="1" s="1"/>
  <c r="C79" i="1"/>
  <c r="J227" i="1"/>
  <c r="U224" i="1"/>
  <c r="U225" i="1" s="1"/>
  <c r="J224" i="1"/>
  <c r="J225" i="1" s="1"/>
  <c r="H227" i="1"/>
  <c r="N224" i="1"/>
  <c r="N225" i="1" s="1"/>
  <c r="M224" i="1"/>
  <c r="M225" i="1" s="1"/>
  <c r="I203" i="1"/>
  <c r="I204" i="1" s="1"/>
  <c r="F227" i="1"/>
  <c r="F224" i="1"/>
  <c r="F225" i="1" s="1"/>
  <c r="E224" i="1"/>
  <c r="E225" i="1" s="1"/>
  <c r="E227" i="1"/>
  <c r="V224" i="1"/>
  <c r="V225" i="1" s="1"/>
  <c r="V227" i="1"/>
  <c r="O227" i="1"/>
  <c r="O224" i="1"/>
  <c r="O225" i="1" s="1"/>
  <c r="L224" i="1"/>
  <c r="L225" i="1" s="1"/>
  <c r="H203" i="1"/>
  <c r="H204" i="1" s="1"/>
  <c r="C203" i="1"/>
  <c r="C204" i="1" s="1"/>
  <c r="BH119" i="1"/>
  <c r="BH120" i="1"/>
  <c r="T224" i="1"/>
  <c r="T225" i="1" s="1"/>
  <c r="L203" i="1"/>
  <c r="L204" i="1" s="1"/>
  <c r="E203" i="1"/>
  <c r="E204" i="1" s="1"/>
  <c r="F203" i="1"/>
  <c r="F204" i="1" s="1"/>
  <c r="G203" i="1"/>
  <c r="G204" i="1" s="1"/>
  <c r="D203" i="1"/>
  <c r="D204" i="1" s="1"/>
  <c r="BA240" i="1"/>
  <c r="AQ264" i="1"/>
  <c r="AQ265" i="1" s="1"/>
  <c r="AT39" i="1"/>
  <c r="AQ40" i="1"/>
  <c r="AY38" i="1"/>
  <c r="AY246" i="1"/>
  <c r="AY247" i="1" s="1"/>
  <c r="AY43" i="1"/>
  <c r="AY47" i="1" s="1"/>
  <c r="AZ264" i="1"/>
  <c r="AZ265" i="1" s="1"/>
  <c r="AZ40" i="1"/>
  <c r="BM121" i="1"/>
  <c r="BM127" i="1" s="1"/>
  <c r="BM240" i="1"/>
  <c r="AS217" i="1"/>
  <c r="AS215" i="1" s="1"/>
  <c r="BD240" i="1"/>
  <c r="BC121" i="1"/>
  <c r="BC127" i="1" s="1"/>
  <c r="BC240" i="1"/>
  <c r="BB240" i="1"/>
  <c r="R69" i="1"/>
  <c r="AV43" i="1"/>
  <c r="AZ39" i="1"/>
  <c r="AV38" i="1"/>
  <c r="AV246" i="1"/>
  <c r="AV247" i="1" s="1"/>
  <c r="AW264" i="1"/>
  <c r="AW265" i="1" s="1"/>
  <c r="AW40" i="1"/>
  <c r="AR39" i="1"/>
  <c r="BN43" i="1"/>
  <c r="BR39" i="1"/>
  <c r="BN38" i="1"/>
  <c r="BN40" i="1"/>
  <c r="BN246" i="1"/>
  <c r="BN247" i="1" s="1"/>
  <c r="BN264" i="1"/>
  <c r="BN265" i="1" s="1"/>
  <c r="BN39" i="1"/>
  <c r="AX264" i="1"/>
  <c r="AX265" i="1" s="1"/>
  <c r="AX246" i="1"/>
  <c r="AX247" i="1" s="1"/>
  <c r="AX39" i="1"/>
  <c r="BB39" i="1"/>
  <c r="AZ240" i="1"/>
  <c r="AX43" i="1"/>
  <c r="AX40" i="1"/>
  <c r="AX38" i="1"/>
  <c r="BB43" i="1"/>
  <c r="BF39" i="1"/>
  <c r="BB246" i="1"/>
  <c r="BB247" i="1" s="1"/>
  <c r="BB121" i="1"/>
  <c r="BB127" i="1" s="1"/>
  <c r="BD121" i="1"/>
  <c r="BD127" i="1" s="1"/>
  <c r="BB38" i="1"/>
  <c r="BB264" i="1"/>
  <c r="BB265" i="1" s="1"/>
  <c r="BB40" i="1"/>
  <c r="AT240" i="1"/>
  <c r="P69" i="1"/>
  <c r="AM103" i="1"/>
  <c r="AM104" i="1"/>
  <c r="AM105" i="1"/>
  <c r="V203" i="1"/>
  <c r="V204" i="1" s="1"/>
  <c r="U203" i="1"/>
  <c r="U204" i="1" s="1"/>
  <c r="B95" i="1"/>
  <c r="B94" i="1"/>
  <c r="B96" i="1"/>
  <c r="AS246" i="1"/>
  <c r="AS247" i="1" s="1"/>
  <c r="AS43" i="1"/>
  <c r="AW39" i="1"/>
  <c r="AT40" i="1"/>
  <c r="AS264" i="1"/>
  <c r="AS265" i="1" s="1"/>
  <c r="AS38" i="1"/>
  <c r="AT264" i="1"/>
  <c r="AT265" i="1" s="1"/>
  <c r="BP12" i="1"/>
  <c r="BP11" i="1" s="1"/>
  <c r="BQ40" i="1"/>
  <c r="BP38" i="1"/>
  <c r="BP39" i="1"/>
  <c r="BP246" i="1"/>
  <c r="BP247" i="1" s="1"/>
  <c r="BP43" i="1"/>
  <c r="BP47" i="1" s="1"/>
  <c r="BQ264" i="1"/>
  <c r="BQ265" i="1" s="1"/>
  <c r="AP12" i="1"/>
  <c r="AP11" i="1" s="1"/>
  <c r="AP40" i="1"/>
  <c r="O69" i="1"/>
  <c r="AS240" i="1"/>
  <c r="AS121" i="1"/>
  <c r="AS127" i="1" s="1"/>
  <c r="Q227" i="1"/>
  <c r="Q224" i="1"/>
  <c r="Q225" i="1" s="1"/>
  <c r="P227" i="1"/>
  <c r="P224" i="1"/>
  <c r="P225" i="1" s="1"/>
  <c r="BB12" i="1"/>
  <c r="BB11" i="1" s="1"/>
  <c r="BC40" i="1"/>
  <c r="BM12" i="1"/>
  <c r="BM11" i="1" s="1"/>
  <c r="BM40" i="1"/>
  <c r="BM39" i="1"/>
  <c r="BM246" i="1"/>
  <c r="BM247" i="1" s="1"/>
  <c r="BM264" i="1"/>
  <c r="BM265" i="1" s="1"/>
  <c r="BM43" i="1"/>
  <c r="BM38" i="1"/>
  <c r="BQ39" i="1"/>
  <c r="BC12" i="1"/>
  <c r="BC11" i="1" s="1"/>
  <c r="BD264" i="1"/>
  <c r="BD265" i="1" s="1"/>
  <c r="BD40" i="1"/>
  <c r="BV120" i="1"/>
  <c r="BV119" i="1"/>
  <c r="AV12" i="1"/>
  <c r="AV11" i="1" s="1"/>
  <c r="AV264" i="1"/>
  <c r="AV265" i="1" s="1"/>
  <c r="AR12" i="1"/>
  <c r="AR11" i="1" s="1"/>
  <c r="AR38" i="1"/>
  <c r="AS40" i="1"/>
  <c r="AU121" i="1"/>
  <c r="AU127" i="1" s="1"/>
  <c r="AR43" i="1"/>
  <c r="AU240" i="1"/>
  <c r="AI12" i="1"/>
  <c r="AI11" i="1" s="1"/>
  <c r="AI43" i="1"/>
  <c r="AM39" i="1"/>
  <c r="AJ40" i="1"/>
  <c r="AL121" i="1"/>
  <c r="AI38" i="1"/>
  <c r="AI246" i="1"/>
  <c r="AI247" i="1" s="1"/>
  <c r="AL240" i="1"/>
  <c r="N69" i="1"/>
  <c r="P203" i="1"/>
  <c r="P204" i="1" s="1"/>
  <c r="O203" i="1"/>
  <c r="O204" i="1" s="1"/>
  <c r="D94" i="1"/>
  <c r="D95" i="1"/>
  <c r="C98" i="1"/>
  <c r="D96" i="1"/>
  <c r="D79" i="1"/>
  <c r="R203" i="1"/>
  <c r="R204" i="1" s="1"/>
  <c r="Q203" i="1"/>
  <c r="Q204" i="1" s="1"/>
  <c r="S224" i="1"/>
  <c r="S225" i="1" s="1"/>
  <c r="S227" i="1"/>
  <c r="AU12" i="1"/>
  <c r="AU11" i="1" s="1"/>
  <c r="AW240" i="1"/>
  <c r="AW121" i="1"/>
  <c r="AW127" i="1" s="1"/>
  <c r="AU40" i="1"/>
  <c r="AU264" i="1"/>
  <c r="AU265" i="1" s="1"/>
  <c r="AV240" i="1"/>
  <c r="AU246" i="1"/>
  <c r="AU247" i="1" s="1"/>
  <c r="AU43" i="1"/>
  <c r="AY39" i="1"/>
  <c r="AV40" i="1"/>
  <c r="AU39" i="1"/>
  <c r="AU38" i="1"/>
  <c r="AX240" i="1"/>
  <c r="AX121" i="1"/>
  <c r="AX127" i="1" s="1"/>
  <c r="Q69" i="1"/>
  <c r="K203" i="1"/>
  <c r="K204" i="1" s="1"/>
  <c r="J203" i="1"/>
  <c r="J204" i="1" s="1"/>
  <c r="C227" i="1"/>
  <c r="C258" i="1"/>
  <c r="R227" i="1"/>
  <c r="BO264" i="1"/>
  <c r="BO265" i="1" s="1"/>
  <c r="V69" i="1"/>
  <c r="BS39" i="1"/>
  <c r="BO40" i="1"/>
  <c r="BQ121" i="1"/>
  <c r="BQ127" i="1" s="1"/>
  <c r="BO39" i="1"/>
  <c r="BP264" i="1"/>
  <c r="BP265" i="1" s="1"/>
  <c r="BO240" i="1"/>
  <c r="BP40" i="1"/>
  <c r="BO121" i="1"/>
  <c r="BO127" i="1" s="1"/>
  <c r="BQ240" i="1"/>
  <c r="BP240" i="1"/>
  <c r="BO246" i="1"/>
  <c r="BO247" i="1" s="1"/>
  <c r="BP121" i="1"/>
  <c r="BP127" i="1" s="1"/>
  <c r="BR121" i="1"/>
  <c r="BR127" i="1" s="1"/>
  <c r="BO43" i="1"/>
  <c r="BO47" i="1" s="1"/>
  <c r="BO49" i="1" s="1"/>
  <c r="BO38" i="1"/>
  <c r="BR240" i="1"/>
  <c r="BJ248" i="1"/>
  <c r="BJ51" i="1"/>
  <c r="BJ259" i="1" s="1"/>
  <c r="BJ57" i="1"/>
  <c r="BQ49" i="1"/>
  <c r="BQ50" i="1"/>
  <c r="BV49" i="1"/>
  <c r="BV50" i="1"/>
  <c r="AV119" i="1"/>
  <c r="AV122" i="1" s="1"/>
  <c r="AV120" i="1"/>
  <c r="AV123" i="1" s="1"/>
  <c r="BT217" i="1"/>
  <c r="BT215" i="1" s="1"/>
  <c r="BS217" i="1"/>
  <c r="BS215" i="1" s="1"/>
  <c r="AP217" i="1"/>
  <c r="AP215" i="1" s="1"/>
  <c r="AO217" i="1"/>
  <c r="AO215" i="1" s="1"/>
  <c r="BB120" i="1"/>
  <c r="BB119" i="1"/>
  <c r="BN120" i="1"/>
  <c r="BN123" i="1" s="1"/>
  <c r="BN119" i="1"/>
  <c r="BN122" i="1" s="1"/>
  <c r="BP119" i="1"/>
  <c r="BP120" i="1"/>
  <c r="AY217" i="1"/>
  <c r="AY215" i="1" s="1"/>
  <c r="AZ217" i="1"/>
  <c r="AZ215" i="1" s="1"/>
  <c r="BF120" i="1"/>
  <c r="BF123" i="1" s="1"/>
  <c r="BF119" i="1"/>
  <c r="BF122" i="1" s="1"/>
  <c r="BC217" i="1"/>
  <c r="BC215" i="1" s="1"/>
  <c r="BD217" i="1"/>
  <c r="BD215" i="1" s="1"/>
  <c r="AX217" i="1"/>
  <c r="AX215" i="1" s="1"/>
  <c r="AW217" i="1"/>
  <c r="AW215" i="1" s="1"/>
  <c r="BB217" i="1"/>
  <c r="BB215" i="1" s="1"/>
  <c r="BA217" i="1"/>
  <c r="BA215" i="1" s="1"/>
  <c r="BR217" i="1"/>
  <c r="BR215" i="1" s="1"/>
  <c r="BQ217" i="1"/>
  <c r="BQ215" i="1" s="1"/>
  <c r="BH217" i="1"/>
  <c r="BH215" i="1" s="1"/>
  <c r="BG217" i="1"/>
  <c r="BG215" i="1" s="1"/>
  <c r="AR217" i="1"/>
  <c r="AR215" i="1" s="1"/>
  <c r="AQ217" i="1"/>
  <c r="AQ215" i="1" s="1"/>
  <c r="AR203" i="1"/>
  <c r="AV203" i="1"/>
  <c r="BR119" i="1"/>
  <c r="BR120" i="1"/>
  <c r="BE217" i="1"/>
  <c r="BE215" i="1" s="1"/>
  <c r="BF217" i="1"/>
  <c r="BF215" i="1" s="1"/>
  <c r="AT120" i="1"/>
  <c r="AT123" i="1" s="1"/>
  <c r="AT119" i="1"/>
  <c r="AT122" i="1" s="1"/>
  <c r="AN120" i="1"/>
  <c r="AN123" i="1" s="1"/>
  <c r="AN119" i="1"/>
  <c r="AN122" i="1" s="1"/>
  <c r="AT203" i="1"/>
  <c r="AX203" i="1"/>
  <c r="BV217" i="1"/>
  <c r="BV215" i="1" s="1"/>
  <c r="BU217" i="1"/>
  <c r="BU215" i="1" s="1"/>
  <c r="AV217" i="1"/>
  <c r="AV215" i="1" s="1"/>
  <c r="AU217" i="1"/>
  <c r="AU215" i="1" s="1"/>
  <c r="BT120" i="1"/>
  <c r="BT119" i="1"/>
  <c r="BD120" i="1"/>
  <c r="BD119" i="1"/>
  <c r="BO217" i="1"/>
  <c r="BO215" i="1" s="1"/>
  <c r="BP217" i="1"/>
  <c r="BP215" i="1" s="1"/>
  <c r="AX119" i="1"/>
  <c r="AX120" i="1"/>
  <c r="AP119" i="1"/>
  <c r="AP120" i="1"/>
  <c r="AZ119" i="1"/>
  <c r="AZ120" i="1"/>
  <c r="BH203" i="1"/>
  <c r="BD203" i="1"/>
  <c r="BN203" i="1"/>
  <c r="BR203" i="1"/>
  <c r="BB203" i="1"/>
  <c r="BF203" i="1"/>
  <c r="BT203" i="1"/>
  <c r="BX203" i="1"/>
  <c r="BL122" i="1"/>
  <c r="BL123" i="1"/>
  <c r="BK50" i="1"/>
  <c r="BK49" i="1"/>
  <c r="BU50" i="1"/>
  <c r="BY52" i="1" s="1"/>
  <c r="BU49" i="1"/>
  <c r="BI47" i="1"/>
  <c r="BL64" i="1"/>
  <c r="BE49" i="1"/>
  <c r="BE50" i="1"/>
  <c r="BV64" i="1"/>
  <c r="BD49" i="1"/>
  <c r="BD50" i="1"/>
  <c r="BC47" i="1"/>
  <c r="BF64" i="1"/>
  <c r="AP64" i="1"/>
  <c r="AO50" i="1"/>
  <c r="AQ47" i="1"/>
  <c r="BX64" i="1"/>
  <c r="BZ64" i="1"/>
  <c r="BW47" i="1"/>
  <c r="AN64" i="1"/>
  <c r="AN47" i="1"/>
  <c r="BT47" i="1"/>
  <c r="BY64" i="1"/>
  <c r="BZ122" i="1"/>
  <c r="BZ123" i="1"/>
  <c r="BG47" i="1"/>
  <c r="BS49" i="1"/>
  <c r="BS50" i="1"/>
  <c r="AT57" i="1"/>
  <c r="AT248" i="1"/>
  <c r="AT51" i="1"/>
  <c r="AT259" i="1" s="1"/>
  <c r="BA248" i="1"/>
  <c r="BA51" i="1"/>
  <c r="BA259" i="1" s="1"/>
  <c r="BA57" i="1"/>
  <c r="AW57" i="1"/>
  <c r="AW248" i="1"/>
  <c r="AW51" i="1"/>
  <c r="AW259" i="1" s="1"/>
  <c r="BA52" i="1"/>
  <c r="CR152" i="1"/>
  <c r="CS41" i="1"/>
  <c r="BV123" i="1" l="1"/>
  <c r="BV122" i="1"/>
  <c r="AZ50" i="1"/>
  <c r="AZ49" i="1"/>
  <c r="AP50" i="1"/>
  <c r="AP52" i="1" s="1"/>
  <c r="BH49" i="1"/>
  <c r="BJ122" i="1"/>
  <c r="AP49" i="1"/>
  <c r="BX122" i="1"/>
  <c r="BH50" i="1"/>
  <c r="BH64" i="1"/>
  <c r="BF49" i="1"/>
  <c r="BX123" i="1"/>
  <c r="BF50" i="1"/>
  <c r="BR47" i="1"/>
  <c r="BJ123" i="1"/>
  <c r="BT123" i="1"/>
  <c r="BT122" i="1"/>
  <c r="AP122" i="1"/>
  <c r="AP123" i="1"/>
  <c r="BT64" i="1"/>
  <c r="BJ64" i="1"/>
  <c r="AZ122" i="1"/>
  <c r="AZ123" i="1"/>
  <c r="BD64" i="1"/>
  <c r="AZ248" i="1"/>
  <c r="AZ57" i="1"/>
  <c r="AZ51" i="1"/>
  <c r="AZ259" i="1" s="1"/>
  <c r="AX47" i="1"/>
  <c r="BN47" i="1"/>
  <c r="BB47" i="1"/>
  <c r="AV47" i="1"/>
  <c r="BA53" i="1"/>
  <c r="AY49" i="1"/>
  <c r="AZ64" i="1"/>
  <c r="BB64" i="1"/>
  <c r="AY50" i="1"/>
  <c r="BH123" i="1"/>
  <c r="BH122" i="1"/>
  <c r="BB123" i="1"/>
  <c r="BB122" i="1"/>
  <c r="BD123" i="1"/>
  <c r="BD122" i="1"/>
  <c r="BP49" i="1"/>
  <c r="BP50" i="1"/>
  <c r="AI47" i="1"/>
  <c r="AL64" i="1"/>
  <c r="AL127" i="1"/>
  <c r="AL123" i="1"/>
  <c r="AL122" i="1"/>
  <c r="AX122" i="1"/>
  <c r="AX123" i="1"/>
  <c r="AS47" i="1"/>
  <c r="AV64" i="1"/>
  <c r="BM47" i="1"/>
  <c r="BP64" i="1"/>
  <c r="BN64" i="1"/>
  <c r="AR47" i="1"/>
  <c r="AR64" i="1"/>
  <c r="AT64" i="1"/>
  <c r="AU47" i="1"/>
  <c r="AX64" i="1"/>
  <c r="BP123" i="1"/>
  <c r="BP122" i="1"/>
  <c r="BO50" i="1"/>
  <c r="BR64" i="1"/>
  <c r="BR123" i="1"/>
  <c r="BR122" i="1"/>
  <c r="BJ61" i="1"/>
  <c r="BJ207" i="1"/>
  <c r="BJ209" i="1" s="1"/>
  <c r="BJ75" i="1"/>
  <c r="BQ51" i="1"/>
  <c r="BQ259" i="1" s="1"/>
  <c r="BQ57" i="1"/>
  <c r="BQ133" i="1" s="1"/>
  <c r="BQ134" i="1" s="1"/>
  <c r="BQ248" i="1"/>
  <c r="BV51" i="1"/>
  <c r="BV259" i="1" s="1"/>
  <c r="BV57" i="1"/>
  <c r="BV248" i="1"/>
  <c r="BZ52" i="1"/>
  <c r="BF51" i="1"/>
  <c r="BF259" i="1" s="1"/>
  <c r="BJ52" i="1"/>
  <c r="BF248" i="1"/>
  <c r="BF57" i="1"/>
  <c r="BF61" i="1" s="1"/>
  <c r="BL53" i="1"/>
  <c r="BK57" i="1"/>
  <c r="BK51" i="1"/>
  <c r="BK259" i="1" s="1"/>
  <c r="AT52" i="1"/>
  <c r="AP248" i="1"/>
  <c r="AP57" i="1"/>
  <c r="AP51" i="1"/>
  <c r="AP259" i="1" s="1"/>
  <c r="BU51" i="1"/>
  <c r="BU259" i="1" s="1"/>
  <c r="BU248" i="1"/>
  <c r="BU57" i="1"/>
  <c r="BK53" i="1"/>
  <c r="BK248" i="1"/>
  <c r="BV53" i="1"/>
  <c r="BU52" i="1"/>
  <c r="BI50" i="1"/>
  <c r="BI53" i="1" s="1"/>
  <c r="BI49" i="1"/>
  <c r="BE51" i="1"/>
  <c r="BE259" i="1" s="1"/>
  <c r="BE57" i="1"/>
  <c r="BE248" i="1"/>
  <c r="BF53" i="1"/>
  <c r="BC50" i="1"/>
  <c r="BC49" i="1"/>
  <c r="BE52" i="1"/>
  <c r="BD57" i="1"/>
  <c r="BD248" i="1"/>
  <c r="BD51" i="1"/>
  <c r="BD259" i="1" s="1"/>
  <c r="BD52" i="1"/>
  <c r="BE53" i="1"/>
  <c r="AP53" i="1"/>
  <c r="AO57" i="1"/>
  <c r="AZ75" i="1"/>
  <c r="AZ61" i="1"/>
  <c r="AZ207" i="1"/>
  <c r="AZ209" i="1" s="1"/>
  <c r="BR50" i="1"/>
  <c r="BR49" i="1"/>
  <c r="AO52" i="1"/>
  <c r="BH52" i="1"/>
  <c r="AO248" i="1"/>
  <c r="AO51" i="1"/>
  <c r="AO259" i="1" s="1"/>
  <c r="BW50" i="1"/>
  <c r="BW52" i="1" s="1"/>
  <c r="BW49" i="1"/>
  <c r="AQ50" i="1"/>
  <c r="AQ49" i="1"/>
  <c r="BT50" i="1"/>
  <c r="BT49" i="1"/>
  <c r="AN50" i="1"/>
  <c r="AN49" i="1"/>
  <c r="BH57" i="1"/>
  <c r="BL52" i="1"/>
  <c r="BH248" i="1"/>
  <c r="BG49" i="1"/>
  <c r="BG50" i="1"/>
  <c r="BS248" i="1"/>
  <c r="BS51" i="1"/>
  <c r="BS259" i="1" s="1"/>
  <c r="BS57" i="1"/>
  <c r="AT75" i="1"/>
  <c r="AT207" i="1"/>
  <c r="AT209" i="1" s="1"/>
  <c r="AT61" i="1"/>
  <c r="AW207" i="1"/>
  <c r="AW209" i="1" s="1"/>
  <c r="AW75" i="1"/>
  <c r="AW133" i="1"/>
  <c r="AW134" i="1" s="1"/>
  <c r="AW61" i="1"/>
  <c r="BA61" i="1"/>
  <c r="BA207" i="1"/>
  <c r="BA209" i="1" s="1"/>
  <c r="BA75" i="1"/>
  <c r="BA133" i="1"/>
  <c r="BA134" i="1" s="1"/>
  <c r="CS208" i="1"/>
  <c r="CS146" i="1"/>
  <c r="CR217" i="1"/>
  <c r="CR215" i="1" s="1"/>
  <c r="AC139" i="1"/>
  <c r="AC142" i="1" s="1"/>
  <c r="AC263" i="1" s="1"/>
  <c r="BH51" i="1" l="1"/>
  <c r="BH259" i="1" s="1"/>
  <c r="AY248" i="1"/>
  <c r="AY51" i="1"/>
  <c r="AY259" i="1" s="1"/>
  <c r="AZ53" i="1"/>
  <c r="AY57" i="1"/>
  <c r="BP57" i="1"/>
  <c r="BP52" i="1"/>
  <c r="BP248" i="1"/>
  <c r="BP51" i="1"/>
  <c r="BP259" i="1" s="1"/>
  <c r="BN50" i="1"/>
  <c r="BN49" i="1"/>
  <c r="AV49" i="1"/>
  <c r="AV50" i="1"/>
  <c r="AX50" i="1"/>
  <c r="AX49" i="1"/>
  <c r="BB50" i="1"/>
  <c r="BB49" i="1"/>
  <c r="BQ53" i="1"/>
  <c r="BS52" i="1"/>
  <c r="BO248" i="1"/>
  <c r="BO51" i="1"/>
  <c r="BO259" i="1" s="1"/>
  <c r="BO57" i="1"/>
  <c r="BP53" i="1"/>
  <c r="BO52" i="1"/>
  <c r="AI50" i="1"/>
  <c r="AI49" i="1"/>
  <c r="AS49" i="1"/>
  <c r="AS50" i="1"/>
  <c r="AR50" i="1"/>
  <c r="AR49" i="1"/>
  <c r="AU49" i="1"/>
  <c r="AU50" i="1"/>
  <c r="BM50" i="1"/>
  <c r="BM49" i="1"/>
  <c r="BQ61" i="1"/>
  <c r="BQ207" i="1"/>
  <c r="BQ209" i="1" s="1"/>
  <c r="BF75" i="1"/>
  <c r="BQ75" i="1"/>
  <c r="BF207" i="1"/>
  <c r="BF209" i="1" s="1"/>
  <c r="BV207" i="1"/>
  <c r="BV209" i="1" s="1"/>
  <c r="BV75" i="1"/>
  <c r="BV61" i="1"/>
  <c r="BK61" i="1"/>
  <c r="BK207" i="1"/>
  <c r="BK209" i="1" s="1"/>
  <c r="BK133" i="1"/>
  <c r="BK134" i="1" s="1"/>
  <c r="BK75" i="1"/>
  <c r="AP207" i="1"/>
  <c r="AP209" i="1" s="1"/>
  <c r="AP75" i="1"/>
  <c r="AP61" i="1"/>
  <c r="BU133" i="1"/>
  <c r="BU134" i="1" s="1"/>
  <c r="BU61" i="1"/>
  <c r="BU207" i="1"/>
  <c r="BU209" i="1" s="1"/>
  <c r="BU75" i="1"/>
  <c r="BS53" i="1"/>
  <c r="BS241" i="1"/>
  <c r="BI52" i="1"/>
  <c r="BK241" i="1"/>
  <c r="BL241" i="1"/>
  <c r="BI57" i="1"/>
  <c r="BI248" i="1"/>
  <c r="BJ53" i="1"/>
  <c r="BI51" i="1"/>
  <c r="BI259" i="1" s="1"/>
  <c r="BE75" i="1"/>
  <c r="BE207" i="1"/>
  <c r="BE209" i="1" s="1"/>
  <c r="BE61" i="1"/>
  <c r="BE133" i="1"/>
  <c r="BE134" i="1" s="1"/>
  <c r="BF241" i="1"/>
  <c r="BD53" i="1"/>
  <c r="BC52" i="1"/>
  <c r="BC57" i="1"/>
  <c r="BC248" i="1"/>
  <c r="BC51" i="1"/>
  <c r="BC259" i="1" s="1"/>
  <c r="BD61" i="1"/>
  <c r="BD207" i="1"/>
  <c r="BD209" i="1" s="1"/>
  <c r="BD75" i="1"/>
  <c r="AO207" i="1"/>
  <c r="AO209" i="1" s="1"/>
  <c r="AO75" i="1"/>
  <c r="AO133" i="1"/>
  <c r="AO134" i="1" s="1"/>
  <c r="AO61" i="1"/>
  <c r="BR51" i="1"/>
  <c r="BR259" i="1" s="1"/>
  <c r="BR248" i="1"/>
  <c r="BR57" i="1"/>
  <c r="BR221" i="1" s="1"/>
  <c r="BR219" i="1" s="1"/>
  <c r="BV52" i="1"/>
  <c r="BR53" i="1"/>
  <c r="BR241" i="1"/>
  <c r="AN51" i="1"/>
  <c r="AN259" i="1" s="1"/>
  <c r="AQ241" i="1"/>
  <c r="AO53" i="1"/>
  <c r="AN241" i="1"/>
  <c r="AN52" i="1"/>
  <c r="AP241" i="1"/>
  <c r="AO241" i="1"/>
  <c r="AN57" i="1"/>
  <c r="AN53" i="1"/>
  <c r="AN248" i="1"/>
  <c r="BX52" i="1"/>
  <c r="BT51" i="1"/>
  <c r="BT259" i="1" s="1"/>
  <c r="BT248" i="1"/>
  <c r="BT57" i="1"/>
  <c r="BU53" i="1"/>
  <c r="BT52" i="1"/>
  <c r="BW241" i="1"/>
  <c r="BV241" i="1"/>
  <c r="AZ52" i="1"/>
  <c r="AV51" i="1"/>
  <c r="AV259" i="1" s="1"/>
  <c r="AV248" i="1"/>
  <c r="AV57" i="1"/>
  <c r="AY241" i="1"/>
  <c r="AQ52" i="1"/>
  <c r="AQ248" i="1"/>
  <c r="AQ57" i="1"/>
  <c r="AQ51" i="1"/>
  <c r="AQ259" i="1" s="1"/>
  <c r="AQ53" i="1"/>
  <c r="BH61" i="1"/>
  <c r="BH75" i="1"/>
  <c r="BH207" i="1"/>
  <c r="BH209" i="1" s="1"/>
  <c r="BT241" i="1"/>
  <c r="BT53" i="1"/>
  <c r="BK52" i="1"/>
  <c r="BG57" i="1"/>
  <c r="BH241" i="1"/>
  <c r="BG52" i="1"/>
  <c r="BG51" i="1"/>
  <c r="BG259" i="1" s="1"/>
  <c r="BH53" i="1"/>
  <c r="BG241" i="1"/>
  <c r="BG248" i="1"/>
  <c r="BJ241" i="1"/>
  <c r="BG53" i="1"/>
  <c r="BI241" i="1"/>
  <c r="BX241" i="1"/>
  <c r="BW248" i="1"/>
  <c r="BW53" i="1"/>
  <c r="BX53" i="1"/>
  <c r="BW57" i="1"/>
  <c r="X70" i="1"/>
  <c r="BY241" i="1"/>
  <c r="CA52" i="1"/>
  <c r="BW51" i="1"/>
  <c r="BW259" i="1" s="1"/>
  <c r="BZ241" i="1"/>
  <c r="BS207" i="1"/>
  <c r="BS209" i="1" s="1"/>
  <c r="BS61" i="1"/>
  <c r="BS133" i="1"/>
  <c r="BS134" i="1" s="1"/>
  <c r="BS75" i="1"/>
  <c r="BQ221" i="1"/>
  <c r="BQ219" i="1" s="1"/>
  <c r="BQ143" i="1"/>
  <c r="BQ64" i="1" s="1"/>
  <c r="BQ101" i="1"/>
  <c r="AW143" i="1"/>
  <c r="AW64" i="1" s="1"/>
  <c r="AW221" i="1"/>
  <c r="AW219" i="1" s="1"/>
  <c r="AW101" i="1"/>
  <c r="BA221" i="1"/>
  <c r="BA219" i="1" s="1"/>
  <c r="BA101" i="1"/>
  <c r="BA143" i="1"/>
  <c r="BA64" i="1" s="1"/>
  <c r="CS148" i="1"/>
  <c r="AC220" i="1"/>
  <c r="CA240" i="1"/>
  <c r="CB240" i="1"/>
  <c r="BU240" i="1"/>
  <c r="AW53" i="1" l="1"/>
  <c r="BN248" i="1"/>
  <c r="BR52" i="1"/>
  <c r="BN57" i="1"/>
  <c r="BQ63" i="1" s="1"/>
  <c r="BN52" i="1"/>
  <c r="AY207" i="1"/>
  <c r="AY209" i="1" s="1"/>
  <c r="AY75" i="1"/>
  <c r="AY133" i="1"/>
  <c r="AY134" i="1" s="1"/>
  <c r="AY61" i="1"/>
  <c r="BP61" i="1"/>
  <c r="BP207" i="1"/>
  <c r="BP209" i="1" s="1"/>
  <c r="BP75" i="1"/>
  <c r="BO75" i="1"/>
  <c r="BO207" i="1"/>
  <c r="BO209" i="1" s="1"/>
  <c r="BO133" i="1"/>
  <c r="BO134" i="1" s="1"/>
  <c r="AI51" i="1"/>
  <c r="AI248" i="1"/>
  <c r="AJ53" i="1"/>
  <c r="AM52" i="1"/>
  <c r="AI57" i="1"/>
  <c r="AL241" i="1"/>
  <c r="BN51" i="1"/>
  <c r="BN259" i="1" s="1"/>
  <c r="BO53" i="1"/>
  <c r="BQ241" i="1"/>
  <c r="BB51" i="1"/>
  <c r="BB259" i="1" s="1"/>
  <c r="BF52" i="1"/>
  <c r="BB248" i="1"/>
  <c r="BB57" i="1"/>
  <c r="BB221" i="1" s="1"/>
  <c r="BB219" i="1" s="1"/>
  <c r="BC53" i="1"/>
  <c r="BD241" i="1"/>
  <c r="BB241" i="1"/>
  <c r="BB53" i="1"/>
  <c r="BC241" i="1"/>
  <c r="BE241" i="1"/>
  <c r="BB52" i="1"/>
  <c r="AX57" i="1"/>
  <c r="AX248" i="1"/>
  <c r="AX51" i="1"/>
  <c r="AX259" i="1" s="1"/>
  <c r="AZ241" i="1"/>
  <c r="AX53" i="1"/>
  <c r="AY53" i="1"/>
  <c r="AX52" i="1"/>
  <c r="BA241" i="1"/>
  <c r="BM52" i="1"/>
  <c r="BO61" i="1"/>
  <c r="AV241" i="1"/>
  <c r="AR52" i="1"/>
  <c r="AS52" i="1"/>
  <c r="AW52" i="1"/>
  <c r="AT53" i="1"/>
  <c r="AS248" i="1"/>
  <c r="AS51" i="1"/>
  <c r="AS259" i="1" s="1"/>
  <c r="AS57" i="1"/>
  <c r="AU241" i="1"/>
  <c r="AR51" i="1"/>
  <c r="AR259" i="1" s="1"/>
  <c r="AR248" i="1"/>
  <c r="AR57" i="1"/>
  <c r="AS53" i="1"/>
  <c r="AU57" i="1"/>
  <c r="AU53" i="1"/>
  <c r="AU248" i="1"/>
  <c r="AY52" i="1"/>
  <c r="AU51" i="1"/>
  <c r="AU259" i="1" s="1"/>
  <c r="AV52" i="1"/>
  <c r="AR53" i="1"/>
  <c r="AT241" i="1"/>
  <c r="AS241" i="1"/>
  <c r="AR241" i="1"/>
  <c r="AW241" i="1"/>
  <c r="AV53" i="1"/>
  <c r="AX241" i="1"/>
  <c r="AU52" i="1"/>
  <c r="BN241" i="1"/>
  <c r="BN53" i="1"/>
  <c r="BO241" i="1"/>
  <c r="BP241" i="1"/>
  <c r="BM51" i="1"/>
  <c r="BM259" i="1" s="1"/>
  <c r="BM248" i="1"/>
  <c r="BQ52" i="1"/>
  <c r="BM53" i="1"/>
  <c r="BM241" i="1"/>
  <c r="BM57" i="1"/>
  <c r="BK63" i="1"/>
  <c r="BK101" i="1"/>
  <c r="BL221" i="1"/>
  <c r="BL219" i="1" s="1"/>
  <c r="BK221" i="1"/>
  <c r="BK219" i="1" s="1"/>
  <c r="BK143" i="1"/>
  <c r="BK64" i="1" s="1"/>
  <c r="BV221" i="1"/>
  <c r="BV219" i="1" s="1"/>
  <c r="BU221" i="1"/>
  <c r="BU219" i="1" s="1"/>
  <c r="BU101" i="1"/>
  <c r="BU143" i="1"/>
  <c r="BU64" i="1" s="1"/>
  <c r="AO63" i="1"/>
  <c r="BL63" i="1"/>
  <c r="BI61" i="1"/>
  <c r="BI207" i="1"/>
  <c r="BI209" i="1" s="1"/>
  <c r="BI75" i="1"/>
  <c r="BI133" i="1"/>
  <c r="BI134" i="1" s="1"/>
  <c r="BF221" i="1"/>
  <c r="BF219" i="1" s="1"/>
  <c r="BE101" i="1"/>
  <c r="BE143" i="1"/>
  <c r="BE64" i="1" s="1"/>
  <c r="BE221" i="1"/>
  <c r="BE219" i="1" s="1"/>
  <c r="S70" i="1"/>
  <c r="BF63" i="1"/>
  <c r="BC75" i="1"/>
  <c r="BF78" i="1" s="1"/>
  <c r="BC133" i="1"/>
  <c r="BC134" i="1" s="1"/>
  <c r="BC207" i="1"/>
  <c r="BC209" i="1" s="1"/>
  <c r="BC61" i="1"/>
  <c r="BP221" i="1"/>
  <c r="BP219" i="1" s="1"/>
  <c r="BO101" i="1"/>
  <c r="AI207" i="1"/>
  <c r="AI209" i="1" s="1"/>
  <c r="AI213" i="1" s="1"/>
  <c r="AI227" i="1" s="1"/>
  <c r="AP221" i="1"/>
  <c r="AP219" i="1" s="1"/>
  <c r="AO101" i="1"/>
  <c r="AO143" i="1"/>
  <c r="AO64" i="1" s="1"/>
  <c r="AO221" i="1"/>
  <c r="AO219" i="1" s="1"/>
  <c r="AY63" i="1"/>
  <c r="BT63" i="1"/>
  <c r="BR61" i="1"/>
  <c r="BR207" i="1"/>
  <c r="BR209" i="1" s="1"/>
  <c r="BR75" i="1"/>
  <c r="BR63" i="1"/>
  <c r="V70" i="1"/>
  <c r="AW63" i="1"/>
  <c r="BV63" i="1"/>
  <c r="BU63" i="1"/>
  <c r="BX63" i="1"/>
  <c r="BW133" i="1"/>
  <c r="BW134" i="1" s="1"/>
  <c r="BY63" i="1"/>
  <c r="BW207" i="1"/>
  <c r="BW209" i="1" s="1"/>
  <c r="BW61" i="1"/>
  <c r="BZ63" i="1"/>
  <c r="BW75" i="1"/>
  <c r="BN61" i="1"/>
  <c r="BN75" i="1"/>
  <c r="BN207" i="1"/>
  <c r="BN209" i="1" s="1"/>
  <c r="BN63" i="1"/>
  <c r="U70" i="1"/>
  <c r="BP63" i="1"/>
  <c r="AV207" i="1"/>
  <c r="AV209" i="1" s="1"/>
  <c r="AV61" i="1"/>
  <c r="AV75" i="1"/>
  <c r="BT207" i="1"/>
  <c r="BT209" i="1" s="1"/>
  <c r="BT61" i="1"/>
  <c r="BT75" i="1"/>
  <c r="BV78" i="1" s="1"/>
  <c r="BR98" i="1" s="1"/>
  <c r="AX61" i="1"/>
  <c r="AX75" i="1"/>
  <c r="AX207" i="1"/>
  <c r="AX209" i="1" s="1"/>
  <c r="AZ63" i="1"/>
  <c r="BB75" i="1"/>
  <c r="BB61" i="1"/>
  <c r="BB207" i="1"/>
  <c r="BB209" i="1" s="1"/>
  <c r="BB63" i="1"/>
  <c r="R70" i="1"/>
  <c r="BD63" i="1"/>
  <c r="BE63" i="1"/>
  <c r="AQ133" i="1"/>
  <c r="AQ134" i="1" s="1"/>
  <c r="AQ207" i="1"/>
  <c r="AQ209" i="1" s="1"/>
  <c r="AQ61" i="1"/>
  <c r="AQ75" i="1"/>
  <c r="AT63" i="1"/>
  <c r="P70" i="1"/>
  <c r="BG61" i="1"/>
  <c r="BG75" i="1"/>
  <c r="BG133" i="1"/>
  <c r="BG134" i="1" s="1"/>
  <c r="BJ63" i="1"/>
  <c r="BH63" i="1"/>
  <c r="BG207" i="1"/>
  <c r="BG209" i="1" s="1"/>
  <c r="T70" i="1"/>
  <c r="AN61" i="1"/>
  <c r="AP63" i="1"/>
  <c r="AN75" i="1"/>
  <c r="AN207" i="1"/>
  <c r="AN209" i="1" s="1"/>
  <c r="AN63" i="1"/>
  <c r="O70" i="1"/>
  <c r="AN221" i="1"/>
  <c r="AN219" i="1" s="1"/>
  <c r="BT221" i="1"/>
  <c r="BT219" i="1" s="1"/>
  <c r="BS101" i="1"/>
  <c r="BS143" i="1"/>
  <c r="BS64" i="1" s="1"/>
  <c r="BS221" i="1"/>
  <c r="BS219" i="1" s="1"/>
  <c r="BS63" i="1"/>
  <c r="BQ103" i="1"/>
  <c r="BQ104" i="1"/>
  <c r="BQ105" i="1"/>
  <c r="BA104" i="1"/>
  <c r="BA103" i="1"/>
  <c r="BA105" i="1"/>
  <c r="AW104" i="1"/>
  <c r="AW103" i="1"/>
  <c r="AW105" i="1"/>
  <c r="CS152" i="1"/>
  <c r="CT41" i="1"/>
  <c r="AD138" i="1"/>
  <c r="W68" i="1"/>
  <c r="AL63" i="1" l="1"/>
  <c r="AY101" i="1"/>
  <c r="AY221" i="1"/>
  <c r="AY219" i="1" s="1"/>
  <c r="AY143" i="1"/>
  <c r="AY64" i="1" s="1"/>
  <c r="AZ221" i="1"/>
  <c r="AZ219" i="1" s="1"/>
  <c r="BO221" i="1"/>
  <c r="BO219" i="1" s="1"/>
  <c r="BO143" i="1"/>
  <c r="BO64" i="1" s="1"/>
  <c r="AI75" i="1"/>
  <c r="AL78" i="1" s="1"/>
  <c r="AI61" i="1"/>
  <c r="N70" i="1"/>
  <c r="AI221" i="1"/>
  <c r="AI219" i="1" s="1"/>
  <c r="AR63" i="1"/>
  <c r="BO63" i="1"/>
  <c r="AX221" i="1"/>
  <c r="AX219" i="1" s="1"/>
  <c r="BA63" i="1"/>
  <c r="AV63" i="1"/>
  <c r="Q70" i="1"/>
  <c r="AX63" i="1"/>
  <c r="AS207" i="1"/>
  <c r="AS209" i="1" s="1"/>
  <c r="AS75" i="1"/>
  <c r="AS61" i="1"/>
  <c r="AS133" i="1"/>
  <c r="AS134" i="1" s="1"/>
  <c r="AR207" i="1"/>
  <c r="AR209" i="1" s="1"/>
  <c r="AR75" i="1"/>
  <c r="AR61" i="1"/>
  <c r="AU75" i="1"/>
  <c r="AU207" i="1"/>
  <c r="AU209" i="1" s="1"/>
  <c r="AU133" i="1"/>
  <c r="AU134" i="1" s="1"/>
  <c r="AU61" i="1"/>
  <c r="BM207" i="1"/>
  <c r="BM209" i="1" s="1"/>
  <c r="BM133" i="1"/>
  <c r="BM134" i="1" s="1"/>
  <c r="BM61" i="1"/>
  <c r="BM75" i="1"/>
  <c r="BM78" i="1" s="1"/>
  <c r="BK105" i="1"/>
  <c r="BK103" i="1"/>
  <c r="BK104" i="1"/>
  <c r="BU103" i="1"/>
  <c r="BU105" i="1"/>
  <c r="BU104" i="1"/>
  <c r="AY103" i="1"/>
  <c r="AY104" i="1"/>
  <c r="AY105" i="1"/>
  <c r="BL78" i="1"/>
  <c r="BK78" i="1"/>
  <c r="BR78" i="1"/>
  <c r="BR95" i="1" s="1"/>
  <c r="BT78" i="1"/>
  <c r="BS78" i="1"/>
  <c r="BI101" i="1"/>
  <c r="BI143" i="1"/>
  <c r="BI64" i="1" s="1"/>
  <c r="BI221" i="1"/>
  <c r="BI219" i="1" s="1"/>
  <c r="BI63" i="1"/>
  <c r="BJ221" i="1"/>
  <c r="BJ219" i="1" s="1"/>
  <c r="AI224" i="1"/>
  <c r="AI225" i="1" s="1"/>
  <c r="BU78" i="1"/>
  <c r="BU94" i="1" s="1"/>
  <c r="BE103" i="1"/>
  <c r="BE105" i="1"/>
  <c r="BE104" i="1"/>
  <c r="BC221" i="1"/>
  <c r="BC219" i="1" s="1"/>
  <c r="BC143" i="1"/>
  <c r="BC64" i="1" s="1"/>
  <c r="BC101" i="1"/>
  <c r="BC63" i="1"/>
  <c r="BD221" i="1"/>
  <c r="BD219" i="1" s="1"/>
  <c r="BB98" i="1"/>
  <c r="BF94" i="1"/>
  <c r="BF96" i="1"/>
  <c r="BF95" i="1"/>
  <c r="BO103" i="1"/>
  <c r="BO104" i="1"/>
  <c r="BO105" i="1"/>
  <c r="AL94" i="1"/>
  <c r="AL95" i="1"/>
  <c r="AL96" i="1"/>
  <c r="AO105" i="1"/>
  <c r="AO103" i="1"/>
  <c r="AO104" i="1"/>
  <c r="BA78" i="1"/>
  <c r="AZ78" i="1"/>
  <c r="AY78" i="1"/>
  <c r="AY95" i="1" s="1"/>
  <c r="BQ78" i="1"/>
  <c r="AQ78" i="1"/>
  <c r="AN78" i="1"/>
  <c r="AP78" i="1"/>
  <c r="AO78" i="1"/>
  <c r="BJ78" i="1"/>
  <c r="BF98" i="1" s="1"/>
  <c r="BG78" i="1"/>
  <c r="BH78" i="1"/>
  <c r="BI78" i="1"/>
  <c r="BE78" i="1"/>
  <c r="BE95" i="1" s="1"/>
  <c r="BD78" i="1"/>
  <c r="BB78" i="1"/>
  <c r="BC78" i="1"/>
  <c r="BZ78" i="1"/>
  <c r="BX78" i="1"/>
  <c r="BY78" i="1"/>
  <c r="BW78" i="1"/>
  <c r="BG221" i="1"/>
  <c r="BG219" i="1" s="1"/>
  <c r="BG143" i="1"/>
  <c r="BG64" i="1" s="1"/>
  <c r="BG101" i="1"/>
  <c r="BG63" i="1"/>
  <c r="BH221" i="1"/>
  <c r="BH219" i="1" s="1"/>
  <c r="AQ143" i="1"/>
  <c r="AQ64" i="1" s="1"/>
  <c r="AQ221" i="1"/>
  <c r="AQ219" i="1" s="1"/>
  <c r="AQ101" i="1"/>
  <c r="AR221" i="1"/>
  <c r="AR219" i="1" s="1"/>
  <c r="AQ63" i="1"/>
  <c r="BW221" i="1"/>
  <c r="BW219" i="1" s="1"/>
  <c r="BX221" i="1"/>
  <c r="BX219" i="1" s="1"/>
  <c r="BW143" i="1"/>
  <c r="BW64" i="1" s="1"/>
  <c r="BW63" i="1"/>
  <c r="BW101" i="1"/>
  <c r="BV96" i="1"/>
  <c r="BV95" i="1"/>
  <c r="BV94" i="1"/>
  <c r="BS103" i="1"/>
  <c r="BS104" i="1"/>
  <c r="BS105" i="1"/>
  <c r="AC41" i="1"/>
  <c r="CT208" i="1"/>
  <c r="CT146" i="1"/>
  <c r="CS217" i="1"/>
  <c r="CS215" i="1" s="1"/>
  <c r="W69" i="1"/>
  <c r="AX78" i="1" l="1"/>
  <c r="AV78" i="1"/>
  <c r="AW78" i="1"/>
  <c r="AT78" i="1"/>
  <c r="AR78" i="1"/>
  <c r="AS78" i="1"/>
  <c r="BO78" i="1"/>
  <c r="BN78" i="1"/>
  <c r="BP78" i="1"/>
  <c r="AT221" i="1"/>
  <c r="AT219" i="1" s="1"/>
  <c r="AS143" i="1"/>
  <c r="AS64" i="1" s="1"/>
  <c r="AS101" i="1"/>
  <c r="AS221" i="1"/>
  <c r="AS219" i="1" s="1"/>
  <c r="AS63" i="1"/>
  <c r="AV221" i="1"/>
  <c r="AV219" i="1" s="1"/>
  <c r="AU63" i="1"/>
  <c r="AU143" i="1"/>
  <c r="AU64" i="1" s="1"/>
  <c r="AU221" i="1"/>
  <c r="AU219" i="1" s="1"/>
  <c r="AU101" i="1"/>
  <c r="AU78" i="1"/>
  <c r="BM95" i="1"/>
  <c r="BM96" i="1"/>
  <c r="BM94" i="1"/>
  <c r="BI98" i="1"/>
  <c r="BN221" i="1"/>
  <c r="BN219" i="1" s="1"/>
  <c r="BM101" i="1"/>
  <c r="BM143" i="1"/>
  <c r="BM64" i="1" s="1"/>
  <c r="BM221" i="1"/>
  <c r="BM219" i="1" s="1"/>
  <c r="BM63" i="1"/>
  <c r="BL94" i="1"/>
  <c r="BL95" i="1"/>
  <c r="BN98" i="1"/>
  <c r="BR94" i="1"/>
  <c r="BR96" i="1"/>
  <c r="BV79" i="1"/>
  <c r="BP98" i="1"/>
  <c r="BT96" i="1"/>
  <c r="BT94" i="1"/>
  <c r="BT95" i="1"/>
  <c r="BS96" i="1"/>
  <c r="BO98" i="1"/>
  <c r="BS95" i="1"/>
  <c r="BS94" i="1"/>
  <c r="BH98" i="1"/>
  <c r="BL96" i="1"/>
  <c r="BK94" i="1"/>
  <c r="BK95" i="1"/>
  <c r="BK96" i="1"/>
  <c r="BG98" i="1"/>
  <c r="BV98" i="1"/>
  <c r="BZ79" i="1"/>
  <c r="BY79" i="1"/>
  <c r="BI104" i="1"/>
  <c r="BI105" i="1"/>
  <c r="BI103" i="1"/>
  <c r="BQ98" i="1"/>
  <c r="BU96" i="1"/>
  <c r="BU95" i="1"/>
  <c r="BW94" i="1"/>
  <c r="BW79" i="1"/>
  <c r="BC104" i="1"/>
  <c r="BC103" i="1"/>
  <c r="BC105" i="1"/>
  <c r="AW98" i="1"/>
  <c r="BE79" i="1"/>
  <c r="BQ95" i="1"/>
  <c r="BM98" i="1"/>
  <c r="AQ95" i="1"/>
  <c r="AQ94" i="1"/>
  <c r="BU79" i="1"/>
  <c r="BA96" i="1"/>
  <c r="CD79" i="1"/>
  <c r="BZ96" i="1"/>
  <c r="BX95" i="1"/>
  <c r="BT98" i="1"/>
  <c r="BX96" i="1"/>
  <c r="CB79" i="1"/>
  <c r="BX94" i="1"/>
  <c r="AN96" i="1"/>
  <c r="AN95" i="1"/>
  <c r="AN94" i="1"/>
  <c r="CA79" i="1"/>
  <c r="BS98" i="1"/>
  <c r="BW96" i="1"/>
  <c r="BE96" i="1"/>
  <c r="BI79" i="1"/>
  <c r="BE94" i="1"/>
  <c r="BJ95" i="1"/>
  <c r="BJ79" i="1"/>
  <c r="BJ94" i="1"/>
  <c r="AQ79" i="1"/>
  <c r="AQ96" i="1"/>
  <c r="BQ94" i="1"/>
  <c r="BQ79" i="1"/>
  <c r="BQ96" i="1"/>
  <c r="AV98" i="1"/>
  <c r="AZ96" i="1"/>
  <c r="AZ95" i="1"/>
  <c r="BD79" i="1"/>
  <c r="AZ94" i="1"/>
  <c r="AZ98" i="1"/>
  <c r="BD94" i="1"/>
  <c r="BH79" i="1"/>
  <c r="BD96" i="1"/>
  <c r="BD95" i="1"/>
  <c r="AY96" i="1"/>
  <c r="AU98" i="1"/>
  <c r="BC79" i="1"/>
  <c r="BJ96" i="1"/>
  <c r="BW95" i="1"/>
  <c r="AM98" i="1"/>
  <c r="BC96" i="1"/>
  <c r="AY98" i="1"/>
  <c r="BG79" i="1"/>
  <c r="BC95" i="1"/>
  <c r="BC94" i="1"/>
  <c r="BM79" i="1"/>
  <c r="BI96" i="1"/>
  <c r="BI94" i="1"/>
  <c r="BI95" i="1"/>
  <c r="BE98" i="1"/>
  <c r="AO96" i="1"/>
  <c r="AO94" i="1"/>
  <c r="AO95" i="1"/>
  <c r="BA94" i="1"/>
  <c r="BA95" i="1"/>
  <c r="BC98" i="1"/>
  <c r="BG94" i="1"/>
  <c r="BG95" i="1"/>
  <c r="BG96" i="1"/>
  <c r="BK79" i="1"/>
  <c r="AY94" i="1"/>
  <c r="BZ95" i="1"/>
  <c r="CC99" i="1" s="1"/>
  <c r="BA98" i="1"/>
  <c r="BZ94" i="1"/>
  <c r="CC79" i="1"/>
  <c r="BY96" i="1"/>
  <c r="BU98" i="1"/>
  <c r="BY95" i="1"/>
  <c r="BY94" i="1"/>
  <c r="AX98" i="1"/>
  <c r="BF79" i="1"/>
  <c r="BB96" i="1"/>
  <c r="BB95" i="1"/>
  <c r="BB94" i="1"/>
  <c r="BH96" i="1"/>
  <c r="BH94" i="1"/>
  <c r="BD98" i="1"/>
  <c r="BL79" i="1"/>
  <c r="BH95" i="1"/>
  <c r="AP96" i="1"/>
  <c r="AP79" i="1"/>
  <c r="AL98" i="1"/>
  <c r="AP95" i="1"/>
  <c r="AP94" i="1"/>
  <c r="BX79" i="1"/>
  <c r="BW103" i="1"/>
  <c r="BW105" i="1"/>
  <c r="BW104" i="1"/>
  <c r="BG103" i="1"/>
  <c r="BG105" i="1"/>
  <c r="BG104" i="1"/>
  <c r="AQ104" i="1"/>
  <c r="AQ105" i="1"/>
  <c r="AQ103" i="1"/>
  <c r="AC208" i="1"/>
  <c r="AC146" i="1"/>
  <c r="AC148" i="1" s="1"/>
  <c r="AC42" i="1" s="1"/>
  <c r="CT148" i="1"/>
  <c r="AD139" i="1"/>
  <c r="AD142" i="1" s="1"/>
  <c r="AD263" i="1" s="1"/>
  <c r="AR118" i="1"/>
  <c r="W70" i="1"/>
  <c r="BT79" i="1" l="1"/>
  <c r="AW94" i="1"/>
  <c r="BA79" i="1"/>
  <c r="AW96" i="1"/>
  <c r="AS95" i="1"/>
  <c r="AS96" i="1"/>
  <c r="AV94" i="1"/>
  <c r="AR98" i="1"/>
  <c r="AT94" i="1"/>
  <c r="AX79" i="1"/>
  <c r="AR79" i="1"/>
  <c r="BO94" i="1"/>
  <c r="BK98" i="1"/>
  <c r="BO95" i="1"/>
  <c r="BO79" i="1"/>
  <c r="BO96" i="1"/>
  <c r="AP98" i="1"/>
  <c r="AW95" i="1"/>
  <c r="AS98" i="1"/>
  <c r="BP94" i="1"/>
  <c r="AO98" i="1"/>
  <c r="AW79" i="1"/>
  <c r="AZ79" i="1"/>
  <c r="AT96" i="1"/>
  <c r="BR79" i="1"/>
  <c r="BN96" i="1"/>
  <c r="BN94" i="1"/>
  <c r="AR96" i="1"/>
  <c r="AR95" i="1"/>
  <c r="AX95" i="1"/>
  <c r="AX94" i="1"/>
  <c r="AX96" i="1"/>
  <c r="AT95" i="1"/>
  <c r="BS79" i="1"/>
  <c r="AS79" i="1"/>
  <c r="BP79" i="1"/>
  <c r="BL98" i="1"/>
  <c r="BP95" i="1"/>
  <c r="BP96" i="1"/>
  <c r="AS94" i="1"/>
  <c r="AV95" i="1"/>
  <c r="AV96" i="1"/>
  <c r="BN79" i="1"/>
  <c r="AT79" i="1"/>
  <c r="BJ98" i="1"/>
  <c r="BN95" i="1"/>
  <c r="AN98" i="1"/>
  <c r="AR94" i="1"/>
  <c r="AV79" i="1"/>
  <c r="BB79" i="1"/>
  <c r="AT98" i="1"/>
  <c r="AS103" i="1"/>
  <c r="AS105" i="1"/>
  <c r="AS104" i="1"/>
  <c r="AU104" i="1"/>
  <c r="AU103" i="1"/>
  <c r="AU105" i="1"/>
  <c r="AU94" i="1"/>
  <c r="AQ98" i="1"/>
  <c r="AU95" i="1"/>
  <c r="AU96" i="1"/>
  <c r="AU79" i="1"/>
  <c r="AY79" i="1"/>
  <c r="BM103" i="1"/>
  <c r="BM105" i="1"/>
  <c r="BM104" i="1"/>
  <c r="CB99" i="1"/>
  <c r="BT99" i="1"/>
  <c r="BH99" i="1"/>
  <c r="BM99" i="1"/>
  <c r="BG99" i="1"/>
  <c r="BN99" i="1"/>
  <c r="BB99" i="1"/>
  <c r="BI99" i="1"/>
  <c r="BL99" i="1"/>
  <c r="BY99" i="1"/>
  <c r="BJ99" i="1"/>
  <c r="BE99" i="1"/>
  <c r="AS99" i="1"/>
  <c r="AU99" i="1"/>
  <c r="BA99" i="1"/>
  <c r="AT99" i="1"/>
  <c r="AQ99" i="1"/>
  <c r="AP99" i="1"/>
  <c r="AO99" i="1"/>
  <c r="AY99" i="1"/>
  <c r="AX99" i="1"/>
  <c r="CA99" i="1"/>
  <c r="BC99" i="1"/>
  <c r="BZ99" i="1"/>
  <c r="BF99" i="1"/>
  <c r="BS99" i="1"/>
  <c r="BD99" i="1"/>
  <c r="BK99" i="1"/>
  <c r="BX99" i="1"/>
  <c r="BW99" i="1"/>
  <c r="BV99" i="1"/>
  <c r="BU99" i="1"/>
  <c r="CU41" i="1"/>
  <c r="CT152" i="1"/>
  <c r="AD220" i="1"/>
  <c r="AB152" i="1"/>
  <c r="AR119" i="1"/>
  <c r="AR122" i="1" s="1"/>
  <c r="AR120" i="1"/>
  <c r="AR123" i="1" s="1"/>
  <c r="CA241" i="1"/>
  <c r="CB241" i="1"/>
  <c r="W207" i="1"/>
  <c r="W209" i="1" s="1"/>
  <c r="BU241" i="1"/>
  <c r="AW99" i="1" l="1"/>
  <c r="AR99" i="1"/>
  <c r="AZ99" i="1"/>
  <c r="AV99" i="1"/>
  <c r="BP99" i="1"/>
  <c r="BO99" i="1"/>
  <c r="BR99" i="1"/>
  <c r="BQ99" i="1"/>
  <c r="CT217" i="1"/>
  <c r="CT215" i="1" s="1"/>
  <c r="CU208" i="1"/>
  <c r="CU146" i="1"/>
  <c r="AB217" i="1"/>
  <c r="AB215" i="1" s="1"/>
  <c r="AE138" i="1"/>
  <c r="CA98" i="1"/>
  <c r="CU148" i="1" l="1"/>
  <c r="CF98" i="1"/>
  <c r="CU152" i="1" l="1"/>
  <c r="CV41" i="1"/>
  <c r="AE139" i="1"/>
  <c r="AE142" i="1" s="1"/>
  <c r="AE263" i="1" s="1"/>
  <c r="CV208" i="1" l="1"/>
  <c r="CV146" i="1"/>
  <c r="CU217" i="1"/>
  <c r="CU215" i="1" s="1"/>
  <c r="AE220" i="1"/>
  <c r="AC152" i="1"/>
  <c r="W134" i="1"/>
  <c r="CV148" i="1" l="1"/>
  <c r="W63" i="1"/>
  <c r="AC217" i="1"/>
  <c r="AC215" i="1" s="1"/>
  <c r="X221" i="1"/>
  <c r="X219" i="1" s="1"/>
  <c r="W221" i="1"/>
  <c r="W219" i="1" s="1"/>
  <c r="W143" i="1"/>
  <c r="W64" i="1" s="1"/>
  <c r="W189" i="1"/>
  <c r="CW41" i="1" l="1"/>
  <c r="CV152" i="1"/>
  <c r="CV217" i="1" l="1"/>
  <c r="CV215" i="1" s="1"/>
  <c r="CW208" i="1"/>
  <c r="CW146" i="1"/>
  <c r="CW148" i="1" l="1"/>
  <c r="CW152" i="1" l="1"/>
  <c r="CX41" i="1"/>
  <c r="AD41" i="1" l="1"/>
  <c r="CX208" i="1"/>
  <c r="CX146" i="1"/>
  <c r="CW217" i="1"/>
  <c r="CW215" i="1" s="1"/>
  <c r="AD208" i="1" l="1"/>
  <c r="AD146" i="1"/>
  <c r="AD148" i="1" s="1"/>
  <c r="CX148" i="1"/>
  <c r="AD152" i="1" l="1"/>
  <c r="AD217" i="1" s="1"/>
  <c r="AD215" i="1" s="1"/>
  <c r="AD42" i="1"/>
  <c r="CX152" i="1"/>
  <c r="CY41" i="1"/>
  <c r="CY208" i="1" l="1"/>
  <c r="CY146" i="1"/>
  <c r="CX217" i="1"/>
  <c r="CX215" i="1" s="1"/>
  <c r="CY148" i="1" l="1"/>
  <c r="W194" i="1"/>
  <c r="CY152" i="1" l="1"/>
  <c r="CZ41" i="1"/>
  <c r="W197" i="1"/>
  <c r="W170" i="1"/>
  <c r="X211" i="1" s="1"/>
  <c r="CZ208" i="1" l="1"/>
  <c r="CZ146" i="1"/>
  <c r="CY217" i="1"/>
  <c r="CY215" i="1" s="1"/>
  <c r="W199" i="1"/>
  <c r="W198" i="1" s="1"/>
  <c r="W211" i="1"/>
  <c r="W162" i="1"/>
  <c r="X210" i="1" s="1"/>
  <c r="X212" i="1" s="1"/>
  <c r="X213" i="1" s="1"/>
  <c r="X227" i="1" s="1"/>
  <c r="W193" i="1"/>
  <c r="CZ148" i="1" l="1"/>
  <c r="W196" i="1"/>
  <c r="W171" i="1"/>
  <c r="W210" i="1"/>
  <c r="W212" i="1" s="1"/>
  <c r="W213" i="1" s="1"/>
  <c r="CZ152" i="1" l="1"/>
  <c r="CZ217" i="1" s="1"/>
  <c r="CZ215" i="1" s="1"/>
  <c r="DA41" i="1"/>
  <c r="W195" i="1"/>
  <c r="W200" i="1"/>
  <c r="W224" i="1"/>
  <c r="W227" i="1"/>
  <c r="DA208" i="1" l="1"/>
  <c r="DA146" i="1"/>
  <c r="W203" i="1"/>
  <c r="W204" i="1" s="1"/>
  <c r="X203" i="1"/>
  <c r="X204" i="1" s="1"/>
  <c r="DA148" i="1" l="1"/>
  <c r="W175" i="1"/>
  <c r="X223" i="1" l="1"/>
  <c r="X224" i="1" s="1"/>
  <c r="X225" i="1" s="1"/>
  <c r="W260" i="1"/>
  <c r="W262" i="1"/>
  <c r="W258" i="1"/>
  <c r="DA152" i="1"/>
  <c r="DA217" i="1" s="1"/>
  <c r="DA215" i="1" s="1"/>
  <c r="DB41" i="1"/>
  <c r="W182" i="1"/>
  <c r="W118" i="1" s="1"/>
  <c r="W179" i="1"/>
  <c r="W225" i="1"/>
  <c r="AE41" i="1" l="1"/>
  <c r="AE208" i="1" s="1"/>
  <c r="DB208" i="1"/>
  <c r="DB146" i="1"/>
  <c r="W180" i="1"/>
  <c r="DB148" i="1" l="1"/>
  <c r="DB152" i="1" s="1"/>
  <c r="DB217" i="1" s="1"/>
  <c r="DB215" i="1" s="1"/>
  <c r="AE146" i="1"/>
  <c r="AE148" i="1" s="1"/>
  <c r="C111" i="2"/>
  <c r="C113" i="2"/>
  <c r="C112" i="2"/>
  <c r="AE152" i="1" l="1"/>
  <c r="AE217" i="1" s="1"/>
  <c r="AE215" i="1" s="1"/>
  <c r="AE42" i="1"/>
  <c r="B82" i="1"/>
  <c r="B83" i="1"/>
  <c r="AK193" i="1" l="1"/>
  <c r="AK158" i="1" s="1"/>
  <c r="AM158" i="1" l="1"/>
  <c r="AO158" i="1" l="1"/>
  <c r="AQ158" i="1" l="1"/>
  <c r="AS158" i="1" l="1"/>
  <c r="AU158" i="1" l="1"/>
  <c r="AW158" i="1" l="1"/>
  <c r="AY158" i="1" l="1"/>
  <c r="BA158" i="1" l="1"/>
  <c r="BC158" i="1" l="1"/>
  <c r="BE158" i="1" l="1"/>
  <c r="BG158" i="1" l="1"/>
  <c r="BI158" i="1" l="1"/>
  <c r="BK158" i="1" l="1"/>
  <c r="BM158" i="1" l="1"/>
  <c r="BO158" i="1" l="1"/>
  <c r="BQ158" i="1" l="1"/>
  <c r="BS158" i="1" l="1"/>
  <c r="BU158" i="1" l="1"/>
  <c r="BW158" i="1" l="1"/>
  <c r="BY158" i="1" l="1"/>
  <c r="AK159" i="1" l="1"/>
  <c r="AK162" i="1" s="1"/>
  <c r="AL210" i="1" l="1"/>
  <c r="AK210" i="1"/>
  <c r="AK196" i="1"/>
  <c r="AM159" i="1"/>
  <c r="AM162" i="1" s="1"/>
  <c r="AM196" i="1" l="1"/>
  <c r="AM195" i="1" s="1"/>
  <c r="AN210" i="1"/>
  <c r="AM210" i="1"/>
  <c r="AJ195" i="1"/>
  <c r="AK195" i="1"/>
  <c r="AO159" i="1" l="1"/>
  <c r="AO162" i="1" s="1"/>
  <c r="AP210" i="1" l="1"/>
  <c r="AO196" i="1"/>
  <c r="AO195" i="1" s="1"/>
  <c r="AO210" i="1"/>
  <c r="AQ159" i="1" l="1"/>
  <c r="AQ162" i="1" s="1"/>
  <c r="AQ196" i="1" l="1"/>
  <c r="AQ195" i="1" s="1"/>
  <c r="AR210" i="1"/>
  <c r="AQ210" i="1"/>
  <c r="AS159" i="1" l="1"/>
  <c r="AS162" i="1" s="1"/>
  <c r="AT210" i="1" l="1"/>
  <c r="AS196" i="1"/>
  <c r="AS195" i="1" s="1"/>
  <c r="AS210" i="1"/>
  <c r="AU159" i="1" l="1"/>
  <c r="AU162" i="1" s="1"/>
  <c r="AU196" i="1" l="1"/>
  <c r="AU195" i="1" s="1"/>
  <c r="AV210" i="1"/>
  <c r="AU210" i="1"/>
  <c r="AW159" i="1" l="1"/>
  <c r="AW162" i="1" s="1"/>
  <c r="AW196" i="1" l="1"/>
  <c r="AW195" i="1" s="1"/>
  <c r="AX210" i="1"/>
  <c r="AW210" i="1"/>
  <c r="AY159" i="1" l="1"/>
  <c r="AY162" i="1" s="1"/>
  <c r="AY196" i="1" l="1"/>
  <c r="AY195" i="1" s="1"/>
  <c r="AZ210" i="1"/>
  <c r="AY210" i="1"/>
  <c r="BA159" i="1" l="1"/>
  <c r="BA162" i="1" s="1"/>
  <c r="BB210" i="1" l="1"/>
  <c r="BA196" i="1"/>
  <c r="BA195" i="1" s="1"/>
  <c r="BA210" i="1"/>
  <c r="BC159" i="1" l="1"/>
  <c r="BC162" i="1" s="1"/>
  <c r="BD210" i="1" l="1"/>
  <c r="BC196" i="1"/>
  <c r="BC195" i="1" s="1"/>
  <c r="BC210" i="1"/>
  <c r="BE159" i="1" l="1"/>
  <c r="BE162" i="1" s="1"/>
  <c r="BF210" i="1" l="1"/>
  <c r="BE196" i="1"/>
  <c r="BE195" i="1" s="1"/>
  <c r="BE210" i="1"/>
  <c r="BG159" i="1" l="1"/>
  <c r="BG162" i="1" s="1"/>
  <c r="BG196" i="1" l="1"/>
  <c r="BG195" i="1" s="1"/>
  <c r="BH210" i="1"/>
  <c r="BG210" i="1"/>
  <c r="BI159" i="1" l="1"/>
  <c r="BI162" i="1" s="1"/>
  <c r="BJ210" i="1" l="1"/>
  <c r="BI196" i="1"/>
  <c r="BI195" i="1" s="1"/>
  <c r="BI210" i="1"/>
  <c r="BK159" i="1" l="1"/>
  <c r="BK162" i="1" s="1"/>
  <c r="BL210" i="1" l="1"/>
  <c r="BK196" i="1"/>
  <c r="BK195" i="1" s="1"/>
  <c r="BK210" i="1"/>
  <c r="BM159" i="1" l="1"/>
  <c r="BM162" i="1" s="1"/>
  <c r="BM196" i="1" l="1"/>
  <c r="BM195" i="1" s="1"/>
  <c r="BN210" i="1"/>
  <c r="BM210" i="1"/>
  <c r="BO159" i="1" l="1"/>
  <c r="BO162" i="1" s="1"/>
  <c r="BO196" i="1" l="1"/>
  <c r="BO195" i="1" s="1"/>
  <c r="BP210" i="1"/>
  <c r="BO210" i="1"/>
  <c r="BQ159" i="1" l="1"/>
  <c r="BQ162" i="1" s="1"/>
  <c r="BR210" i="1" l="1"/>
  <c r="BQ196" i="1"/>
  <c r="BQ195" i="1" s="1"/>
  <c r="BQ210" i="1"/>
  <c r="BS159" i="1" l="1"/>
  <c r="BS162" i="1" s="1"/>
  <c r="BT210" i="1" l="1"/>
  <c r="BS196" i="1"/>
  <c r="BS195" i="1" s="1"/>
  <c r="BS210" i="1"/>
  <c r="BU159" i="1" l="1"/>
  <c r="BU162" i="1" s="1"/>
  <c r="BU196" i="1" l="1"/>
  <c r="BU195" i="1" s="1"/>
  <c r="BV210" i="1"/>
  <c r="BU210" i="1"/>
  <c r="BW159" i="1" l="1"/>
  <c r="BW162" i="1" s="1"/>
  <c r="BW196" i="1" l="1"/>
  <c r="BW195" i="1" s="1"/>
  <c r="BX210" i="1"/>
  <c r="BW210" i="1"/>
  <c r="BY159" i="1" l="1"/>
  <c r="BY162" i="1" s="1"/>
  <c r="BZ210" i="1" l="1"/>
  <c r="BY196" i="1"/>
  <c r="BY195" i="1" s="1"/>
  <c r="BY210" i="1"/>
  <c r="AK197" i="1" l="1"/>
  <c r="AK167" i="1" s="1"/>
  <c r="AK170" i="1" s="1"/>
  <c r="AK171" i="1" l="1"/>
  <c r="AK199" i="1"/>
  <c r="AL211" i="1"/>
  <c r="AL212" i="1" s="1"/>
  <c r="AL213" i="1" s="1"/>
  <c r="AL227" i="1" s="1"/>
  <c r="AK211" i="1"/>
  <c r="AK212" i="1" s="1"/>
  <c r="AK213" i="1" s="1"/>
  <c r="AM167" i="1"/>
  <c r="AM170" i="1" s="1"/>
  <c r="AK227" i="1" l="1"/>
  <c r="AK224" i="1"/>
  <c r="AK174" i="1" s="1"/>
  <c r="AK175" i="1" s="1"/>
  <c r="AK179" i="1" s="1"/>
  <c r="AK180" i="1" s="1"/>
  <c r="AN211" i="1"/>
  <c r="AN212" i="1" s="1"/>
  <c r="AN213" i="1" s="1"/>
  <c r="AN227" i="1" s="1"/>
  <c r="AM199" i="1"/>
  <c r="AM198" i="1" s="1"/>
  <c r="AM211" i="1"/>
  <c r="AM212" i="1" s="1"/>
  <c r="AM213" i="1" s="1"/>
  <c r="AM171" i="1"/>
  <c r="AJ198" i="1"/>
  <c r="AJ200" i="1"/>
  <c r="AN203" i="1" s="1"/>
  <c r="AK198" i="1"/>
  <c r="AK200" i="1"/>
  <c r="AO167" i="1"/>
  <c r="AO170" i="1" s="1"/>
  <c r="AM200" i="1" l="1"/>
  <c r="AO199" i="1"/>
  <c r="AO198" i="1" s="1"/>
  <c r="AP211" i="1"/>
  <c r="AP212" i="1" s="1"/>
  <c r="AP213" i="1" s="1"/>
  <c r="AP227" i="1" s="1"/>
  <c r="AO211" i="1"/>
  <c r="AO212" i="1" s="1"/>
  <c r="AO213" i="1" s="1"/>
  <c r="AM227" i="1"/>
  <c r="AM224" i="1"/>
  <c r="AO171" i="1"/>
  <c r="AL223" i="1" l="1"/>
  <c r="AL224" i="1" s="1"/>
  <c r="AL225" i="1" s="1"/>
  <c r="AK225" i="1"/>
  <c r="AO200" i="1"/>
  <c r="AO203" i="1" s="1"/>
  <c r="AO227" i="1"/>
  <c r="AO224" i="1"/>
  <c r="AQ167" i="1"/>
  <c r="AQ170" i="1" s="1"/>
  <c r="AK182" i="1"/>
  <c r="AL46" i="1" s="1"/>
  <c r="AM174" i="1"/>
  <c r="AM175" i="1" s="1"/>
  <c r="AM179" i="1" s="1"/>
  <c r="AN223" i="1" l="1"/>
  <c r="AN224" i="1" s="1"/>
  <c r="AN225" i="1" s="1"/>
  <c r="AM262" i="1"/>
  <c r="AM260" i="1"/>
  <c r="AM258" i="1"/>
  <c r="AQ199" i="1"/>
  <c r="AQ198" i="1" s="1"/>
  <c r="AR211" i="1"/>
  <c r="AR212" i="1" s="1"/>
  <c r="AR213" i="1" s="1"/>
  <c r="AR227" i="1" s="1"/>
  <c r="AQ211" i="1"/>
  <c r="AQ212" i="1" s="1"/>
  <c r="AQ213" i="1" s="1"/>
  <c r="AM225" i="1"/>
  <c r="AQ171" i="1"/>
  <c r="AO174" i="1"/>
  <c r="AO175" i="1" s="1"/>
  <c r="AM182" i="1"/>
  <c r="AO260" i="1" l="1"/>
  <c r="AO262" i="1"/>
  <c r="AO258" i="1"/>
  <c r="AM118" i="1"/>
  <c r="AM119" i="1" s="1"/>
  <c r="AM122" i="1" s="1"/>
  <c r="AN46" i="1"/>
  <c r="AQ200" i="1"/>
  <c r="AQ203" i="1" s="1"/>
  <c r="AQ227" i="1"/>
  <c r="AQ224" i="1"/>
  <c r="AP223" i="1"/>
  <c r="AP224" i="1" s="1"/>
  <c r="AP225" i="1" s="1"/>
  <c r="AO225" i="1"/>
  <c r="AS167" i="1"/>
  <c r="AS170" i="1" s="1"/>
  <c r="AO182" i="1"/>
  <c r="AO179" i="1"/>
  <c r="AM180" i="1"/>
  <c r="AM120" i="1" l="1"/>
  <c r="AM123" i="1" s="1"/>
  <c r="AO118" i="1"/>
  <c r="AO120" i="1" s="1"/>
  <c r="AO123" i="1" s="1"/>
  <c r="AP46" i="1"/>
  <c r="AS199" i="1"/>
  <c r="AS198" i="1" s="1"/>
  <c r="AT211" i="1"/>
  <c r="AT212" i="1" s="1"/>
  <c r="AT213" i="1" s="1"/>
  <c r="AT227" i="1" s="1"/>
  <c r="AS211" i="1"/>
  <c r="AS212" i="1" s="1"/>
  <c r="AS213" i="1" s="1"/>
  <c r="AO180" i="1"/>
  <c r="AS171" i="1"/>
  <c r="AQ174" i="1"/>
  <c r="AQ175" i="1" s="1"/>
  <c r="AQ260" i="1" l="1"/>
  <c r="AQ262" i="1"/>
  <c r="AQ258" i="1"/>
  <c r="AO119" i="1"/>
  <c r="AO122" i="1" s="1"/>
  <c r="AS200" i="1"/>
  <c r="AS203" i="1" s="1"/>
  <c r="AS227" i="1"/>
  <c r="AS224" i="1"/>
  <c r="AR223" i="1"/>
  <c r="AR224" i="1" s="1"/>
  <c r="AR225" i="1" s="1"/>
  <c r="AQ225" i="1"/>
  <c r="AQ179" i="1"/>
  <c r="AQ182" i="1"/>
  <c r="AU167" i="1"/>
  <c r="AU170" i="1" s="1"/>
  <c r="AQ118" i="1" l="1"/>
  <c r="AQ119" i="1" s="1"/>
  <c r="AQ122" i="1" s="1"/>
  <c r="AR46" i="1"/>
  <c r="AU199" i="1"/>
  <c r="AU198" i="1" s="1"/>
  <c r="AV211" i="1"/>
  <c r="AV212" i="1" s="1"/>
  <c r="AV213" i="1" s="1"/>
  <c r="AV227" i="1" s="1"/>
  <c r="AU211" i="1"/>
  <c r="AU212" i="1" s="1"/>
  <c r="AU213" i="1" s="1"/>
  <c r="AU171" i="1"/>
  <c r="AS174" i="1"/>
  <c r="AS175" i="1" s="1"/>
  <c r="AQ180" i="1"/>
  <c r="AS262" i="1" l="1"/>
  <c r="AS260" i="1"/>
  <c r="AS258" i="1"/>
  <c r="AQ120" i="1"/>
  <c r="AQ123" i="1" s="1"/>
  <c r="AU200" i="1"/>
  <c r="AU203" i="1" s="1"/>
  <c r="AU227" i="1"/>
  <c r="AU224" i="1"/>
  <c r="AT223" i="1"/>
  <c r="AT224" i="1" s="1"/>
  <c r="AT225" i="1" s="1"/>
  <c r="AS225" i="1"/>
  <c r="AS182" i="1"/>
  <c r="AS179" i="1"/>
  <c r="AW167" i="1"/>
  <c r="AW170" i="1" s="1"/>
  <c r="AS118" i="1" l="1"/>
  <c r="AS119" i="1" s="1"/>
  <c r="AS122" i="1" s="1"/>
  <c r="AT46" i="1"/>
  <c r="AW199" i="1"/>
  <c r="AW200" i="1" s="1"/>
  <c r="AW203" i="1" s="1"/>
  <c r="AX211" i="1"/>
  <c r="AX212" i="1" s="1"/>
  <c r="AX213" i="1" s="1"/>
  <c r="AX227" i="1" s="1"/>
  <c r="AW211" i="1"/>
  <c r="AW212" i="1" s="1"/>
  <c r="AW213" i="1" s="1"/>
  <c r="AU174" i="1"/>
  <c r="AU175" i="1" s="1"/>
  <c r="AS180" i="1"/>
  <c r="AW171" i="1"/>
  <c r="AU262" i="1" l="1"/>
  <c r="AU260" i="1"/>
  <c r="AU258" i="1"/>
  <c r="AS120" i="1"/>
  <c r="AS123" i="1" s="1"/>
  <c r="AW198" i="1"/>
  <c r="AW227" i="1"/>
  <c r="AW224" i="1"/>
  <c r="AV223" i="1"/>
  <c r="AV224" i="1" s="1"/>
  <c r="AV225" i="1" s="1"/>
  <c r="AU225" i="1"/>
  <c r="AU182" i="1"/>
  <c r="AU179" i="1"/>
  <c r="AY167" i="1"/>
  <c r="AY170" i="1" s="1"/>
  <c r="AU118" i="1" l="1"/>
  <c r="AU120" i="1" s="1"/>
  <c r="AU123" i="1" s="1"/>
  <c r="AV46" i="1"/>
  <c r="AY199" i="1"/>
  <c r="AY198" i="1" s="1"/>
  <c r="AZ211" i="1"/>
  <c r="AZ212" i="1" s="1"/>
  <c r="AZ213" i="1" s="1"/>
  <c r="AZ227" i="1" s="1"/>
  <c r="AY211" i="1"/>
  <c r="AY212" i="1" s="1"/>
  <c r="AY213" i="1" s="1"/>
  <c r="AW174" i="1"/>
  <c r="AW175" i="1" s="1"/>
  <c r="AY171" i="1"/>
  <c r="AU180" i="1"/>
  <c r="AW260" i="1" l="1"/>
  <c r="AW262" i="1"/>
  <c r="AW258" i="1"/>
  <c r="AU119" i="1"/>
  <c r="AU122" i="1" s="1"/>
  <c r="AY200" i="1"/>
  <c r="AY203" i="1" s="1"/>
  <c r="AY227" i="1"/>
  <c r="AY224" i="1"/>
  <c r="AX223" i="1"/>
  <c r="AX224" i="1" s="1"/>
  <c r="AX225" i="1" s="1"/>
  <c r="AW225" i="1"/>
  <c r="BA167" i="1"/>
  <c r="BA170" i="1" s="1"/>
  <c r="AW179" i="1"/>
  <c r="AW182" i="1"/>
  <c r="AW118" i="1" l="1"/>
  <c r="AW120" i="1" s="1"/>
  <c r="AW123" i="1" s="1"/>
  <c r="AX46" i="1"/>
  <c r="BB211" i="1"/>
  <c r="BB212" i="1" s="1"/>
  <c r="BB213" i="1" s="1"/>
  <c r="BB227" i="1" s="1"/>
  <c r="BA199" i="1"/>
  <c r="BA198" i="1" s="1"/>
  <c r="BA211" i="1"/>
  <c r="BA212" i="1" s="1"/>
  <c r="BA213" i="1" s="1"/>
  <c r="AW180" i="1"/>
  <c r="BA171" i="1"/>
  <c r="AY174" i="1"/>
  <c r="AY175" i="1" s="1"/>
  <c r="AY260" i="1" l="1"/>
  <c r="AY262" i="1"/>
  <c r="AY258" i="1"/>
  <c r="AW119" i="1"/>
  <c r="AW122" i="1" s="1"/>
  <c r="BA200" i="1"/>
  <c r="BA203" i="1" s="1"/>
  <c r="BA227" i="1"/>
  <c r="BA224" i="1"/>
  <c r="AZ223" i="1"/>
  <c r="AZ224" i="1" s="1"/>
  <c r="AZ225" i="1" s="1"/>
  <c r="AY225" i="1"/>
  <c r="AY179" i="1"/>
  <c r="AY182" i="1"/>
  <c r="BC167" i="1"/>
  <c r="BC170" i="1" s="1"/>
  <c r="AY118" i="1" l="1"/>
  <c r="AY120" i="1" s="1"/>
  <c r="AY123" i="1" s="1"/>
  <c r="AZ46" i="1"/>
  <c r="BC199" i="1"/>
  <c r="BC198" i="1" s="1"/>
  <c r="BD211" i="1"/>
  <c r="BD212" i="1" s="1"/>
  <c r="BD213" i="1" s="1"/>
  <c r="BD227" i="1" s="1"/>
  <c r="BC211" i="1"/>
  <c r="BC212" i="1" s="1"/>
  <c r="BC213" i="1" s="1"/>
  <c r="AY180" i="1"/>
  <c r="BC171" i="1"/>
  <c r="BA174" i="1"/>
  <c r="BA175" i="1" s="1"/>
  <c r="BA262" i="1" l="1"/>
  <c r="BA260" i="1"/>
  <c r="BA258" i="1"/>
  <c r="AY119" i="1"/>
  <c r="AY122" i="1" s="1"/>
  <c r="BC200" i="1"/>
  <c r="BC203" i="1" s="1"/>
  <c r="BC227" i="1"/>
  <c r="BC224" i="1"/>
  <c r="BB223" i="1"/>
  <c r="BB224" i="1" s="1"/>
  <c r="BB225" i="1" s="1"/>
  <c r="BA225" i="1"/>
  <c r="BE167" i="1"/>
  <c r="BE170" i="1" s="1"/>
  <c r="BA182" i="1"/>
  <c r="BA179" i="1"/>
  <c r="BA118" i="1" l="1"/>
  <c r="BA119" i="1" s="1"/>
  <c r="BA122" i="1" s="1"/>
  <c r="BB46" i="1"/>
  <c r="BE199" i="1"/>
  <c r="BE198" i="1" s="1"/>
  <c r="BF211" i="1"/>
  <c r="BF212" i="1" s="1"/>
  <c r="BF213" i="1" s="1"/>
  <c r="BF227" i="1" s="1"/>
  <c r="BE211" i="1"/>
  <c r="BE212" i="1" s="1"/>
  <c r="BE213" i="1" s="1"/>
  <c r="BC174" i="1"/>
  <c r="BC175" i="1" s="1"/>
  <c r="BA180" i="1"/>
  <c r="BE171" i="1"/>
  <c r="BC262" i="1" l="1"/>
  <c r="BC260" i="1"/>
  <c r="BC258" i="1"/>
  <c r="BA120" i="1"/>
  <c r="BA123" i="1" s="1"/>
  <c r="BE200" i="1"/>
  <c r="BE203" i="1" s="1"/>
  <c r="BE227" i="1"/>
  <c r="BE224" i="1"/>
  <c r="BD223" i="1"/>
  <c r="BD224" i="1" s="1"/>
  <c r="BD225" i="1" s="1"/>
  <c r="BC225" i="1"/>
  <c r="BG167" i="1"/>
  <c r="BG170" i="1" s="1"/>
  <c r="BC179" i="1"/>
  <c r="BC182" i="1"/>
  <c r="BC118" i="1" l="1"/>
  <c r="BC119" i="1" s="1"/>
  <c r="BC122" i="1" s="1"/>
  <c r="BD46" i="1"/>
  <c r="BG199" i="1"/>
  <c r="BG200" i="1" s="1"/>
  <c r="BG203" i="1" s="1"/>
  <c r="BH211" i="1"/>
  <c r="BH212" i="1" s="1"/>
  <c r="BH213" i="1" s="1"/>
  <c r="BH227" i="1" s="1"/>
  <c r="BG211" i="1"/>
  <c r="BG212" i="1" s="1"/>
  <c r="BG213" i="1" s="1"/>
  <c r="BC180" i="1"/>
  <c r="BE174" i="1"/>
  <c r="BE175" i="1" s="1"/>
  <c r="BG171" i="1"/>
  <c r="BE260" i="1" l="1"/>
  <c r="BE262" i="1"/>
  <c r="BE258" i="1"/>
  <c r="BC120" i="1"/>
  <c r="BC123" i="1" s="1"/>
  <c r="BG198" i="1"/>
  <c r="BG227" i="1"/>
  <c r="BG224" i="1"/>
  <c r="BF223" i="1"/>
  <c r="BF224" i="1" s="1"/>
  <c r="BF225" i="1" s="1"/>
  <c r="BE225" i="1"/>
  <c r="BE182" i="1"/>
  <c r="BE179" i="1"/>
  <c r="BI167" i="1"/>
  <c r="BI170" i="1" s="1"/>
  <c r="BE118" i="1" l="1"/>
  <c r="BE119" i="1" s="1"/>
  <c r="BE122" i="1" s="1"/>
  <c r="BF46" i="1"/>
  <c r="BI199" i="1"/>
  <c r="BI198" i="1" s="1"/>
  <c r="BJ211" i="1"/>
  <c r="BJ212" i="1" s="1"/>
  <c r="BJ213" i="1" s="1"/>
  <c r="BJ227" i="1" s="1"/>
  <c r="BI211" i="1"/>
  <c r="BI212" i="1" s="1"/>
  <c r="BI213" i="1" s="1"/>
  <c r="BE180" i="1"/>
  <c r="BG174" i="1"/>
  <c r="BG175" i="1" s="1"/>
  <c r="BI171" i="1"/>
  <c r="BG260" i="1" l="1"/>
  <c r="BG262" i="1"/>
  <c r="BG258" i="1"/>
  <c r="BE120" i="1"/>
  <c r="BE123" i="1" s="1"/>
  <c r="BI200" i="1"/>
  <c r="BI203" i="1" s="1"/>
  <c r="BI227" i="1"/>
  <c r="BI224" i="1"/>
  <c r="BH223" i="1"/>
  <c r="BH224" i="1" s="1"/>
  <c r="BH225" i="1" s="1"/>
  <c r="BG225" i="1"/>
  <c r="BG179" i="1"/>
  <c r="BG182" i="1"/>
  <c r="BK167" i="1"/>
  <c r="BK170" i="1" s="1"/>
  <c r="BG118" i="1" l="1"/>
  <c r="BG119" i="1" s="1"/>
  <c r="BG122" i="1" s="1"/>
  <c r="BH46" i="1"/>
  <c r="BL211" i="1"/>
  <c r="BL212" i="1" s="1"/>
  <c r="BL213" i="1" s="1"/>
  <c r="BL227" i="1" s="1"/>
  <c r="BK199" i="1"/>
  <c r="BK198" i="1" s="1"/>
  <c r="BK211" i="1"/>
  <c r="BK212" i="1" s="1"/>
  <c r="BK213" i="1" s="1"/>
  <c r="BK171" i="1"/>
  <c r="BG180" i="1"/>
  <c r="BI174" i="1"/>
  <c r="BI175" i="1" s="1"/>
  <c r="BI262" i="1" l="1"/>
  <c r="BI260" i="1"/>
  <c r="BI258" i="1"/>
  <c r="BG120" i="1"/>
  <c r="BG123" i="1" s="1"/>
  <c r="BK200" i="1"/>
  <c r="BK203" i="1" s="1"/>
  <c r="BK227" i="1"/>
  <c r="BK224" i="1"/>
  <c r="BJ223" i="1"/>
  <c r="BJ224" i="1" s="1"/>
  <c r="BJ225" i="1" s="1"/>
  <c r="BI225" i="1"/>
  <c r="BI182" i="1"/>
  <c r="BI179" i="1"/>
  <c r="BM167" i="1"/>
  <c r="BM170" i="1" s="1"/>
  <c r="BI118" i="1" l="1"/>
  <c r="BI120" i="1" s="1"/>
  <c r="BI123" i="1" s="1"/>
  <c r="BJ46" i="1"/>
  <c r="BM199" i="1"/>
  <c r="BM198" i="1" s="1"/>
  <c r="BN211" i="1"/>
  <c r="BN212" i="1" s="1"/>
  <c r="BN213" i="1" s="1"/>
  <c r="BN227" i="1" s="1"/>
  <c r="BM211" i="1"/>
  <c r="BM212" i="1" s="1"/>
  <c r="BM213" i="1" s="1"/>
  <c r="BM171" i="1"/>
  <c r="BI180" i="1"/>
  <c r="BK174" i="1"/>
  <c r="BK175" i="1" s="1"/>
  <c r="BK262" i="1" l="1"/>
  <c r="BK260" i="1"/>
  <c r="BK258" i="1"/>
  <c r="BI119" i="1"/>
  <c r="BI122" i="1" s="1"/>
  <c r="BM200" i="1"/>
  <c r="BM203" i="1" s="1"/>
  <c r="BM227" i="1"/>
  <c r="BM224" i="1"/>
  <c r="BL223" i="1"/>
  <c r="BL224" i="1" s="1"/>
  <c r="BL225" i="1" s="1"/>
  <c r="BK225" i="1"/>
  <c r="BK182" i="1"/>
  <c r="BK179" i="1"/>
  <c r="BO167" i="1"/>
  <c r="BO170" i="1" s="1"/>
  <c r="BK118" i="1" l="1"/>
  <c r="BK120" i="1" s="1"/>
  <c r="BK123" i="1" s="1"/>
  <c r="BL46" i="1"/>
  <c r="BO199" i="1"/>
  <c r="BO198" i="1" s="1"/>
  <c r="BP211" i="1"/>
  <c r="BP212" i="1" s="1"/>
  <c r="BP213" i="1" s="1"/>
  <c r="BP227" i="1" s="1"/>
  <c r="BO211" i="1"/>
  <c r="BO212" i="1" s="1"/>
  <c r="BO213" i="1" s="1"/>
  <c r="BM174" i="1"/>
  <c r="BM175" i="1" s="1"/>
  <c r="BK180" i="1"/>
  <c r="BO171" i="1"/>
  <c r="BM260" i="1" l="1"/>
  <c r="BM262" i="1"/>
  <c r="BM258" i="1"/>
  <c r="BK119" i="1"/>
  <c r="BK122" i="1" s="1"/>
  <c r="BO200" i="1"/>
  <c r="BO203" i="1" s="1"/>
  <c r="BO227" i="1"/>
  <c r="BO224" i="1"/>
  <c r="BN223" i="1"/>
  <c r="BN224" i="1" s="1"/>
  <c r="BN225" i="1" s="1"/>
  <c r="BM225" i="1"/>
  <c r="BM179" i="1"/>
  <c r="BM182" i="1"/>
  <c r="BQ167" i="1"/>
  <c r="BQ170" i="1" s="1"/>
  <c r="BM118" i="1" l="1"/>
  <c r="BM119" i="1" s="1"/>
  <c r="BM122" i="1" s="1"/>
  <c r="BN46" i="1"/>
  <c r="BQ199" i="1"/>
  <c r="BQ198" i="1" s="1"/>
  <c r="BR211" i="1"/>
  <c r="BR212" i="1" s="1"/>
  <c r="BR213" i="1" s="1"/>
  <c r="BR227" i="1" s="1"/>
  <c r="BQ211" i="1"/>
  <c r="BQ212" i="1" s="1"/>
  <c r="BQ213" i="1" s="1"/>
  <c r="BO174" i="1"/>
  <c r="BO175" i="1" s="1"/>
  <c r="BQ171" i="1"/>
  <c r="BM180" i="1"/>
  <c r="BO260" i="1" l="1"/>
  <c r="BO262" i="1"/>
  <c r="BO258" i="1"/>
  <c r="BM120" i="1"/>
  <c r="BM123" i="1" s="1"/>
  <c r="BQ200" i="1"/>
  <c r="BQ203" i="1" s="1"/>
  <c r="BQ227" i="1"/>
  <c r="BQ224" i="1"/>
  <c r="BP223" i="1"/>
  <c r="BP224" i="1" s="1"/>
  <c r="BP225" i="1" s="1"/>
  <c r="BO225" i="1"/>
  <c r="BS167" i="1"/>
  <c r="BS170" i="1" s="1"/>
  <c r="BO179" i="1"/>
  <c r="BO182" i="1"/>
  <c r="BO118" i="1" l="1"/>
  <c r="BO119" i="1" s="1"/>
  <c r="BO122" i="1" s="1"/>
  <c r="BP46" i="1"/>
  <c r="BS199" i="1"/>
  <c r="BS198" i="1" s="1"/>
  <c r="BT211" i="1"/>
  <c r="BT212" i="1" s="1"/>
  <c r="BT213" i="1" s="1"/>
  <c r="BT227" i="1" s="1"/>
  <c r="BS211" i="1"/>
  <c r="BS212" i="1" s="1"/>
  <c r="BS213" i="1" s="1"/>
  <c r="BO180" i="1"/>
  <c r="BS171" i="1"/>
  <c r="BQ174" i="1"/>
  <c r="BQ175" i="1" s="1"/>
  <c r="BQ262" i="1" l="1"/>
  <c r="BQ260" i="1"/>
  <c r="BQ258" i="1"/>
  <c r="BO120" i="1"/>
  <c r="BO123" i="1" s="1"/>
  <c r="BS200" i="1"/>
  <c r="BS203" i="1" s="1"/>
  <c r="BS227" i="1"/>
  <c r="BS224" i="1"/>
  <c r="BR223" i="1"/>
  <c r="BR224" i="1" s="1"/>
  <c r="BR225" i="1" s="1"/>
  <c r="BQ225" i="1"/>
  <c r="BQ179" i="1"/>
  <c r="BQ182" i="1"/>
  <c r="BU167" i="1"/>
  <c r="BU170" i="1" s="1"/>
  <c r="BQ118" i="1" l="1"/>
  <c r="BQ119" i="1" s="1"/>
  <c r="BQ122" i="1" s="1"/>
  <c r="BR46" i="1"/>
  <c r="BU199" i="1"/>
  <c r="BU198" i="1" s="1"/>
  <c r="BV211" i="1"/>
  <c r="BV212" i="1" s="1"/>
  <c r="BV213" i="1" s="1"/>
  <c r="BV227" i="1" s="1"/>
  <c r="BU211" i="1"/>
  <c r="BU212" i="1" s="1"/>
  <c r="BU213" i="1" s="1"/>
  <c r="BS174" i="1"/>
  <c r="BS175" i="1" s="1"/>
  <c r="BQ180" i="1"/>
  <c r="BU171" i="1"/>
  <c r="BS262" i="1" l="1"/>
  <c r="BS260" i="1"/>
  <c r="BS258" i="1"/>
  <c r="BQ120" i="1"/>
  <c r="BQ123" i="1" s="1"/>
  <c r="BU200" i="1"/>
  <c r="BU203" i="1" s="1"/>
  <c r="BU227" i="1"/>
  <c r="BU224" i="1"/>
  <c r="BT223" i="1"/>
  <c r="BT224" i="1" s="1"/>
  <c r="BT225" i="1" s="1"/>
  <c r="BS225" i="1"/>
  <c r="BS179" i="1"/>
  <c r="BS182" i="1"/>
  <c r="BW167" i="1"/>
  <c r="BW170" i="1" s="1"/>
  <c r="BS118" i="1" l="1"/>
  <c r="BS120" i="1" s="1"/>
  <c r="BS123" i="1" s="1"/>
  <c r="BT46" i="1"/>
  <c r="BW199" i="1"/>
  <c r="BW198" i="1" s="1"/>
  <c r="BX211" i="1"/>
  <c r="BX212" i="1" s="1"/>
  <c r="BX213" i="1" s="1"/>
  <c r="BX227" i="1" s="1"/>
  <c r="BW211" i="1"/>
  <c r="BW212" i="1" s="1"/>
  <c r="BW213" i="1" s="1"/>
  <c r="BW171" i="1"/>
  <c r="BS180" i="1"/>
  <c r="BU174" i="1"/>
  <c r="BU175" i="1" s="1"/>
  <c r="BU260" i="1" l="1"/>
  <c r="BU262" i="1"/>
  <c r="BU258" i="1"/>
  <c r="BS119" i="1"/>
  <c r="BS122" i="1" s="1"/>
  <c r="BW200" i="1"/>
  <c r="BW203" i="1" s="1"/>
  <c r="BW227" i="1"/>
  <c r="BW224" i="1"/>
  <c r="BV223" i="1"/>
  <c r="BV224" i="1" s="1"/>
  <c r="BV225" i="1" s="1"/>
  <c r="BU225" i="1"/>
  <c r="BU179" i="1"/>
  <c r="BU182" i="1"/>
  <c r="BY167" i="1"/>
  <c r="BY170" i="1" s="1"/>
  <c r="BU118" i="1" l="1"/>
  <c r="BU120" i="1" s="1"/>
  <c r="BU123" i="1" s="1"/>
  <c r="BV46" i="1"/>
  <c r="BZ211" i="1"/>
  <c r="BZ212" i="1" s="1"/>
  <c r="BZ213" i="1" s="1"/>
  <c r="BZ227" i="1" s="1"/>
  <c r="BY199" i="1"/>
  <c r="BY198" i="1" s="1"/>
  <c r="BY211" i="1"/>
  <c r="BY212" i="1" s="1"/>
  <c r="BY213" i="1" s="1"/>
  <c r="BW174" i="1"/>
  <c r="BW175" i="1" s="1"/>
  <c r="BY171" i="1"/>
  <c r="BU180" i="1"/>
  <c r="BW260" i="1" l="1"/>
  <c r="BW262" i="1"/>
  <c r="BW258" i="1"/>
  <c r="BU119" i="1"/>
  <c r="BU122" i="1" s="1"/>
  <c r="BY200" i="1"/>
  <c r="BY203" i="1" s="1"/>
  <c r="BY227" i="1"/>
  <c r="BY224" i="1"/>
  <c r="BX223" i="1"/>
  <c r="BX224" i="1" s="1"/>
  <c r="BX225" i="1" s="1"/>
  <c r="BW225" i="1"/>
  <c r="BW179" i="1"/>
  <c r="BW182" i="1"/>
  <c r="BW118" i="1" l="1"/>
  <c r="BW120" i="1" s="1"/>
  <c r="BW123" i="1" s="1"/>
  <c r="BX46" i="1"/>
  <c r="BW180" i="1"/>
  <c r="BY174" i="1"/>
  <c r="BY175" i="1" s="1"/>
  <c r="BY262" i="1" l="1"/>
  <c r="BY260" i="1"/>
  <c r="BY258" i="1"/>
  <c r="BW119" i="1"/>
  <c r="BW122" i="1" s="1"/>
  <c r="BZ223" i="1"/>
  <c r="BZ224" i="1" s="1"/>
  <c r="BZ225" i="1" s="1"/>
  <c r="BY225" i="1"/>
  <c r="BY182" i="1"/>
  <c r="BY179" i="1"/>
  <c r="BY118" i="1" l="1"/>
  <c r="BY119" i="1" s="1"/>
  <c r="BY122" i="1" s="1"/>
  <c r="BZ46" i="1"/>
  <c r="BY180" i="1"/>
  <c r="CC159" i="1"/>
  <c r="CC158" i="1"/>
  <c r="CA158" i="1"/>
  <c r="CA167" i="1"/>
  <c r="CA170" i="1" s="1"/>
  <c r="CA159" i="1"/>
  <c r="BY120" i="1" l="1"/>
  <c r="BY123" i="1" s="1"/>
  <c r="CA162" i="1"/>
  <c r="CA196" i="1" s="1"/>
  <c r="CA195" i="1" s="1"/>
  <c r="CB211" i="1"/>
  <c r="CA199" i="1"/>
  <c r="CA198" i="1" s="1"/>
  <c r="CA211" i="1"/>
  <c r="CC167" i="1"/>
  <c r="CC170" i="1" s="1"/>
  <c r="CC162" i="1"/>
  <c r="CA171" i="1" l="1"/>
  <c r="CA210" i="1"/>
  <c r="CA212" i="1" s="1"/>
  <c r="CA213" i="1" s="1"/>
  <c r="CA227" i="1" s="1"/>
  <c r="CB210" i="1"/>
  <c r="CB212" i="1" s="1"/>
  <c r="CB213" i="1" s="1"/>
  <c r="CB227" i="1" s="1"/>
  <c r="CA200" i="1"/>
  <c r="CD210" i="1"/>
  <c r="CC196" i="1"/>
  <c r="CC195" i="1" s="1"/>
  <c r="CC210" i="1"/>
  <c r="CC199" i="1"/>
  <c r="CC198" i="1" s="1"/>
  <c r="CD211" i="1"/>
  <c r="CC211" i="1"/>
  <c r="CC171" i="1"/>
  <c r="CA203" i="1" l="1"/>
  <c r="CE203" i="1"/>
  <c r="CC212" i="1"/>
  <c r="CC213" i="1" s="1"/>
  <c r="CC227" i="1" s="1"/>
  <c r="CD212" i="1"/>
  <c r="CD213" i="1" s="1"/>
  <c r="CD227" i="1" s="1"/>
  <c r="CA224" i="1"/>
  <c r="CA174" i="1" s="1"/>
  <c r="CA175" i="1" s="1"/>
  <c r="CC200" i="1"/>
  <c r="CA262" i="1" l="1"/>
  <c r="CA260" i="1"/>
  <c r="CA258" i="1"/>
  <c r="CC203" i="1"/>
  <c r="CG203" i="1"/>
  <c r="CC224" i="1"/>
  <c r="CC174" i="1" s="1"/>
  <c r="CC175" i="1" s="1"/>
  <c r="CB223" i="1"/>
  <c r="CB224" i="1" s="1"/>
  <c r="CB225" i="1" s="1"/>
  <c r="CA225" i="1"/>
  <c r="CA182" i="1"/>
  <c r="CA179" i="1"/>
  <c r="CC260" i="1" l="1"/>
  <c r="CC262" i="1"/>
  <c r="CC258" i="1"/>
  <c r="CA118" i="1"/>
  <c r="CA119" i="1" s="1"/>
  <c r="CA122" i="1" s="1"/>
  <c r="CB46" i="1"/>
  <c r="CD223" i="1"/>
  <c r="CD224" i="1" s="1"/>
  <c r="CD225" i="1" s="1"/>
  <c r="CC225" i="1"/>
  <c r="CC179" i="1"/>
  <c r="CC182" i="1"/>
  <c r="CA180" i="1"/>
  <c r="CA120" i="1" l="1"/>
  <c r="CA123" i="1" s="1"/>
  <c r="CC118" i="1"/>
  <c r="CC119" i="1" s="1"/>
  <c r="CC122" i="1" s="1"/>
  <c r="CD46" i="1"/>
  <c r="CC180" i="1"/>
  <c r="CC120" i="1" l="1"/>
  <c r="CC123" i="1" s="1"/>
  <c r="CE98" i="1"/>
  <c r="CD98" i="1"/>
  <c r="CC98" i="1"/>
  <c r="CB98" i="1"/>
  <c r="CI159" i="1" l="1"/>
  <c r="CI167" i="1"/>
  <c r="CI170" i="1" s="1"/>
  <c r="CI158" i="1"/>
  <c r="CJ211" i="1" l="1"/>
  <c r="CI162" i="1"/>
  <c r="CI211" i="1"/>
  <c r="CJ210" i="1" l="1"/>
  <c r="CJ212" i="1" s="1"/>
  <c r="CJ213" i="1" s="1"/>
  <c r="CJ227" i="1" s="1"/>
  <c r="CI171" i="1"/>
  <c r="CI210" i="1"/>
  <c r="CI212" i="1" s="1"/>
  <c r="CI213" i="1" s="1"/>
  <c r="CI227" i="1" s="1"/>
  <c r="CI200" i="1" l="1"/>
  <c r="CI203" i="1" s="1"/>
  <c r="CI224" i="1"/>
  <c r="CI174" i="1" s="1"/>
  <c r="CI175" i="1" s="1"/>
  <c r="CI262" i="1" l="1"/>
  <c r="CI260" i="1"/>
  <c r="CI258" i="1"/>
  <c r="CI225" i="1"/>
  <c r="CJ223" i="1"/>
  <c r="CJ224" i="1" s="1"/>
  <c r="CI182" i="1"/>
  <c r="CI179" i="1"/>
  <c r="CI118" i="1" l="1"/>
  <c r="CI120" i="1" s="1"/>
  <c r="CI123" i="1" s="1"/>
  <c r="CJ46" i="1"/>
  <c r="CJ225" i="1"/>
  <c r="CI180" i="1"/>
  <c r="CI119" i="1" l="1"/>
  <c r="CI122" i="1" s="1"/>
  <c r="CJ182" i="1"/>
  <c r="CJ118" i="1" l="1"/>
  <c r="CK46" i="1"/>
  <c r="CN46" i="1"/>
  <c r="CO46" i="1" s="1"/>
  <c r="CP46" i="1" s="1"/>
  <c r="CJ119" i="1" l="1"/>
  <c r="CJ122" i="1" s="1"/>
  <c r="CJ120" i="1"/>
  <c r="CJ123" i="1" s="1"/>
  <c r="CR46" i="1"/>
  <c r="CS46" i="1" s="1"/>
  <c r="CT46" i="1" s="1"/>
  <c r="CU46" i="1" s="1"/>
  <c r="CV46" i="1" s="1"/>
  <c r="CW46" i="1" s="1"/>
  <c r="CX46" i="1" s="1"/>
  <c r="CY46" i="1" s="1"/>
  <c r="CZ46" i="1" s="1"/>
  <c r="DA46" i="1" s="1"/>
  <c r="DB46" i="1" s="1"/>
  <c r="CK245" i="1"/>
  <c r="CK267" i="1"/>
  <c r="CK266" i="1"/>
  <c r="CN19" i="1"/>
  <c r="CN267" i="1"/>
  <c r="CM19" i="1"/>
  <c r="CM267" i="1"/>
  <c r="CN245" i="1"/>
  <c r="CM245" i="1"/>
  <c r="CM107" i="1"/>
  <c r="CM108" i="1" s="1"/>
  <c r="CM111" i="1" s="1"/>
  <c r="CN107" i="1"/>
  <c r="CN108" i="1" s="1"/>
  <c r="CN111" i="1" s="1"/>
  <c r="CM160" i="1" l="1"/>
  <c r="CQ267" i="1"/>
  <c r="CO19" i="1"/>
  <c r="CN35" i="1"/>
  <c r="CN32" i="1" s="1"/>
  <c r="CR267" i="1"/>
  <c r="CN159" i="1"/>
  <c r="CN25" i="1"/>
  <c r="CN10" i="1" s="1"/>
  <c r="CN158" i="1"/>
  <c r="CN167" i="1"/>
  <c r="CM35" i="1"/>
  <c r="CM32" i="1" s="1"/>
  <c r="CM167" i="1"/>
  <c r="CN21" i="1"/>
  <c r="CN166" i="1"/>
  <c r="CN160" i="1"/>
  <c r="CM159" i="1"/>
  <c r="CM21" i="1"/>
  <c r="CM25" i="1"/>
  <c r="CM166" i="1"/>
  <c r="CM158" i="1"/>
  <c r="CK158" i="1"/>
  <c r="CK167" i="1"/>
  <c r="CK159" i="1"/>
  <c r="CM239" i="1"/>
  <c r="CK166" i="1"/>
  <c r="CK239" i="1"/>
  <c r="CK160" i="1"/>
  <c r="AA8" i="1"/>
  <c r="CN239" i="1"/>
  <c r="CM24" i="1" l="1"/>
  <c r="CM10" i="1"/>
  <c r="CO239" i="1"/>
  <c r="CM170" i="1"/>
  <c r="CK170" i="1"/>
  <c r="CN24" i="1"/>
  <c r="CN27" i="1"/>
  <c r="CN37" i="1"/>
  <c r="CN162" i="1"/>
  <c r="CM162" i="1"/>
  <c r="CN170" i="1"/>
  <c r="CR19" i="1"/>
  <c r="CM27" i="1"/>
  <c r="CR245" i="1"/>
  <c r="CQ19" i="1"/>
  <c r="CQ245" i="1"/>
  <c r="CM37" i="1"/>
  <c r="CR107" i="1"/>
  <c r="CR108" i="1" s="1"/>
  <c r="CR111" i="1" s="1"/>
  <c r="CP267" i="1"/>
  <c r="CN28" i="1"/>
  <c r="CO107" i="1"/>
  <c r="CO108" i="1" s="1"/>
  <c r="CO111" i="1" s="1"/>
  <c r="CO267" i="1"/>
  <c r="CO245" i="1"/>
  <c r="CK162" i="1"/>
  <c r="CM28" i="1"/>
  <c r="CP245" i="1"/>
  <c r="CP19" i="1"/>
  <c r="CQ107" i="1"/>
  <c r="CQ108" i="1" s="1"/>
  <c r="CQ111" i="1" s="1"/>
  <c r="AB17" i="1"/>
  <c r="CP107" i="1"/>
  <c r="CP108" i="1" s="1"/>
  <c r="CP111" i="1" s="1"/>
  <c r="CO158" i="1"/>
  <c r="CO25" i="1"/>
  <c r="CO10" i="1" s="1"/>
  <c r="CO166" i="1"/>
  <c r="CO167" i="1"/>
  <c r="CO35" i="1"/>
  <c r="CO32" i="1" s="1"/>
  <c r="CO159" i="1"/>
  <c r="CO160" i="1"/>
  <c r="CO21" i="1"/>
  <c r="CK211" i="1" l="1"/>
  <c r="CL211" i="1"/>
  <c r="CK210" i="1"/>
  <c r="CL210" i="1"/>
  <c r="CL212" i="1" s="1"/>
  <c r="CL213" i="1" s="1"/>
  <c r="CL227" i="1" s="1"/>
  <c r="CM12" i="1"/>
  <c r="CM11" i="1" s="1"/>
  <c r="CN121" i="1"/>
  <c r="CN127" i="1" s="1"/>
  <c r="CM121" i="1"/>
  <c r="CM127" i="1" s="1"/>
  <c r="CN12" i="1"/>
  <c r="CN11" i="1" s="1"/>
  <c r="AB267" i="1"/>
  <c r="CN264" i="1"/>
  <c r="CN265" i="1" s="1"/>
  <c r="CN211" i="1"/>
  <c r="CN38" i="1"/>
  <c r="CN246" i="1"/>
  <c r="CN247" i="1" s="1"/>
  <c r="CN39" i="1"/>
  <c r="CN43" i="1"/>
  <c r="CN171" i="1"/>
  <c r="CM171" i="1"/>
  <c r="CN210" i="1"/>
  <c r="CR166" i="1"/>
  <c r="CR25" i="1"/>
  <c r="CR10" i="1" s="1"/>
  <c r="CR158" i="1"/>
  <c r="CR159" i="1"/>
  <c r="CR21" i="1"/>
  <c r="CR160" i="1"/>
  <c r="CR35" i="1"/>
  <c r="CR32" i="1" s="1"/>
  <c r="CR167" i="1"/>
  <c r="CK212" i="1"/>
  <c r="CQ21" i="1"/>
  <c r="CQ35" i="1"/>
  <c r="CQ32" i="1" s="1"/>
  <c r="CQ160" i="1"/>
  <c r="CQ159" i="1"/>
  <c r="CQ166" i="1"/>
  <c r="CQ167" i="1"/>
  <c r="CQ158" i="1"/>
  <c r="CN40" i="1"/>
  <c r="CM39" i="1"/>
  <c r="CM246" i="1"/>
  <c r="CM247" i="1" s="1"/>
  <c r="CM38" i="1"/>
  <c r="CM43" i="1"/>
  <c r="CQ25" i="1"/>
  <c r="CQ10" i="1" s="1"/>
  <c r="CK171" i="1"/>
  <c r="CK264" i="1"/>
  <c r="CK265" i="1" s="1"/>
  <c r="CS107" i="1"/>
  <c r="CS108" i="1" s="1"/>
  <c r="CS111" i="1" s="1"/>
  <c r="CS267" i="1"/>
  <c r="CM264" i="1"/>
  <c r="CM265" i="1" s="1"/>
  <c r="CK246" i="1"/>
  <c r="CK247" i="1" s="1"/>
  <c r="CK240" i="1"/>
  <c r="CN240" i="1"/>
  <c r="CR239" i="1"/>
  <c r="CP239" i="1"/>
  <c r="AB19" i="1"/>
  <c r="AB8" i="1" s="1"/>
  <c r="CO170" i="1"/>
  <c r="CS19" i="1"/>
  <c r="CS245" i="1"/>
  <c r="CO162" i="1"/>
  <c r="CM211" i="1"/>
  <c r="CP159" i="1"/>
  <c r="AB159" i="1" s="1"/>
  <c r="AB194" i="1" s="1"/>
  <c r="CP158" i="1"/>
  <c r="CP166" i="1"/>
  <c r="CP25" i="1"/>
  <c r="CP167" i="1"/>
  <c r="AB167" i="1" s="1"/>
  <c r="AB197" i="1" s="1"/>
  <c r="CP160" i="1"/>
  <c r="AB160" i="1" s="1"/>
  <c r="CP21" i="1"/>
  <c r="CP35" i="1"/>
  <c r="CP32" i="1" s="1"/>
  <c r="CT267" i="1"/>
  <c r="CO37" i="1"/>
  <c r="CO27" i="1"/>
  <c r="CO28" i="1"/>
  <c r="CM210" i="1"/>
  <c r="CQ239" i="1"/>
  <c r="CO24" i="1"/>
  <c r="CM240" i="1"/>
  <c r="CM40" i="1"/>
  <c r="AA10" i="1" l="1"/>
  <c r="AA9" i="1" s="1"/>
  <c r="CO121" i="1"/>
  <c r="CO127" i="1" s="1"/>
  <c r="CO12" i="1"/>
  <c r="CO11" i="1" s="1"/>
  <c r="CP24" i="1"/>
  <c r="AB24" i="1" s="1"/>
  <c r="AB25" i="1" s="1"/>
  <c r="AB10" i="1" s="1"/>
  <c r="CP10" i="1"/>
  <c r="CU267" i="1"/>
  <c r="CU19" i="1"/>
  <c r="CU245" i="1"/>
  <c r="CS239" i="1"/>
  <c r="CW267" i="1"/>
  <c r="CR162" i="1"/>
  <c r="CQ170" i="1"/>
  <c r="AB32" i="1"/>
  <c r="AB35" i="1" s="1"/>
  <c r="AB36" i="1" s="1"/>
  <c r="CN212" i="1"/>
  <c r="CR170" i="1"/>
  <c r="CR27" i="1"/>
  <c r="CR28" i="1"/>
  <c r="CR37" i="1"/>
  <c r="CR24" i="1"/>
  <c r="CV267" i="1"/>
  <c r="CV245" i="1"/>
  <c r="CV19" i="1"/>
  <c r="CQ24" i="1"/>
  <c r="CQ27" i="1"/>
  <c r="CQ37" i="1"/>
  <c r="CQ162" i="1"/>
  <c r="CO264" i="1"/>
  <c r="CO265" i="1" s="1"/>
  <c r="AB107" i="1"/>
  <c r="AB202" i="1"/>
  <c r="CQ28" i="1"/>
  <c r="CM212" i="1"/>
  <c r="CO171" i="1"/>
  <c r="CO210" i="1"/>
  <c r="CO240" i="1"/>
  <c r="AC17" i="1"/>
  <c r="CV107" i="1"/>
  <c r="CV108" i="1" s="1"/>
  <c r="CV111" i="1" s="1"/>
  <c r="AB20" i="1"/>
  <c r="AB67" i="1"/>
  <c r="AB158" i="1"/>
  <c r="CP162" i="1"/>
  <c r="CS158" i="1"/>
  <c r="CS25" i="1"/>
  <c r="CS166" i="1"/>
  <c r="CS21" i="1"/>
  <c r="CS159" i="1"/>
  <c r="CS167" i="1"/>
  <c r="CS160" i="1"/>
  <c r="CS35" i="1"/>
  <c r="CS32" i="1" s="1"/>
  <c r="CT107" i="1"/>
  <c r="CT108" i="1" s="1"/>
  <c r="CT111" i="1" s="1"/>
  <c r="CO211" i="1"/>
  <c r="CO39" i="1"/>
  <c r="CO246" i="1"/>
  <c r="CO247" i="1" s="1"/>
  <c r="CO43" i="1"/>
  <c r="CO40" i="1"/>
  <c r="CO38" i="1"/>
  <c r="CP27" i="1"/>
  <c r="CP37" i="1"/>
  <c r="CP28" i="1"/>
  <c r="CT245" i="1"/>
  <c r="CT19" i="1"/>
  <c r="AB166" i="1"/>
  <c r="AB170" i="1" s="1"/>
  <c r="CP170" i="1"/>
  <c r="CU107" i="1"/>
  <c r="CU108" i="1" s="1"/>
  <c r="CU111" i="1" s="1"/>
  <c r="AA12" i="1" l="1"/>
  <c r="AA11" i="1" s="1"/>
  <c r="CR121" i="1"/>
  <c r="CR127" i="1" s="1"/>
  <c r="CR12" i="1"/>
  <c r="CR11" i="1" s="1"/>
  <c r="CQ12" i="1"/>
  <c r="CQ11" i="1" s="1"/>
  <c r="CP12" i="1"/>
  <c r="CP11" i="1" s="1"/>
  <c r="CQ121" i="1"/>
  <c r="CQ127" i="1" s="1"/>
  <c r="CP121" i="1"/>
  <c r="CP127" i="1" s="1"/>
  <c r="AB9" i="1"/>
  <c r="AC267" i="1"/>
  <c r="CS24" i="1"/>
  <c r="CS10" i="1"/>
  <c r="CU158" i="1"/>
  <c r="CU25" i="1"/>
  <c r="CU10" i="1" s="1"/>
  <c r="CU166" i="1"/>
  <c r="CU159" i="1"/>
  <c r="CU160" i="1"/>
  <c r="CU35" i="1"/>
  <c r="CU32" i="1" s="1"/>
  <c r="CU167" i="1"/>
  <c r="CU21" i="1"/>
  <c r="CQ211" i="1"/>
  <c r="CV158" i="1"/>
  <c r="CV25" i="1"/>
  <c r="CV166" i="1"/>
  <c r="CR211" i="1"/>
  <c r="CR171" i="1"/>
  <c r="CR246" i="1"/>
  <c r="CR247" i="1" s="1"/>
  <c r="CR38" i="1"/>
  <c r="CR43" i="1"/>
  <c r="CR39" i="1"/>
  <c r="CV160" i="1"/>
  <c r="CV159" i="1"/>
  <c r="CV35" i="1"/>
  <c r="CV32" i="1" s="1"/>
  <c r="CV21" i="1"/>
  <c r="CV167" i="1"/>
  <c r="CQ43" i="1"/>
  <c r="CQ38" i="1"/>
  <c r="CQ39" i="1"/>
  <c r="CR40" i="1"/>
  <c r="CR264" i="1"/>
  <c r="CR265" i="1" s="1"/>
  <c r="CQ246" i="1"/>
  <c r="CQ247" i="1" s="1"/>
  <c r="CR210" i="1"/>
  <c r="CQ171" i="1"/>
  <c r="AB27" i="1"/>
  <c r="CP264" i="1"/>
  <c r="CP265" i="1" s="1"/>
  <c r="CQ264" i="1"/>
  <c r="CQ265" i="1" s="1"/>
  <c r="CS170" i="1"/>
  <c r="CS211" i="1" s="1"/>
  <c r="CV239" i="1"/>
  <c r="CP211" i="1"/>
  <c r="CP246" i="1"/>
  <c r="CP247" i="1" s="1"/>
  <c r="CP39" i="1"/>
  <c r="CP40" i="1"/>
  <c r="CP38" i="1"/>
  <c r="CP43" i="1"/>
  <c r="CT239" i="1"/>
  <c r="CP240" i="1"/>
  <c r="CU239" i="1"/>
  <c r="CR240" i="1"/>
  <c r="CQ240" i="1"/>
  <c r="CS37" i="1"/>
  <c r="CS27" i="1"/>
  <c r="CS28" i="1"/>
  <c r="AC19" i="1"/>
  <c r="AC8" i="1" s="1"/>
  <c r="CO212" i="1"/>
  <c r="CW245" i="1"/>
  <c r="CW19" i="1"/>
  <c r="CW107" i="1"/>
  <c r="CW108" i="1" s="1"/>
  <c r="CW111" i="1" s="1"/>
  <c r="CS162" i="1"/>
  <c r="CT158" i="1"/>
  <c r="CT167" i="1"/>
  <c r="AC167" i="1" s="1"/>
  <c r="AC197" i="1" s="1"/>
  <c r="CT25" i="1"/>
  <c r="CT159" i="1"/>
  <c r="AC159" i="1" s="1"/>
  <c r="AC194" i="1" s="1"/>
  <c r="CT166" i="1"/>
  <c r="CT35" i="1"/>
  <c r="CT32" i="1" s="1"/>
  <c r="CT21" i="1"/>
  <c r="CT160" i="1"/>
  <c r="AC160" i="1" s="1"/>
  <c r="AB68" i="1"/>
  <c r="AB26" i="1"/>
  <c r="AB37" i="1"/>
  <c r="CQ40" i="1"/>
  <c r="CQ210" i="1"/>
  <c r="CP171" i="1"/>
  <c r="CP210" i="1"/>
  <c r="AB199" i="1"/>
  <c r="AB198" i="1" s="1"/>
  <c r="AB211" i="1"/>
  <c r="AB162" i="1"/>
  <c r="AB193" i="1"/>
  <c r="CS121" i="1" l="1"/>
  <c r="CS127" i="1" s="1"/>
  <c r="AB264" i="1"/>
  <c r="AB265" i="1" s="1"/>
  <c r="AB12" i="1"/>
  <c r="AB11" i="1" s="1"/>
  <c r="CV27" i="1"/>
  <c r="CV10" i="1"/>
  <c r="CT24" i="1"/>
  <c r="AC24" i="1" s="1"/>
  <c r="AC25" i="1" s="1"/>
  <c r="AC10" i="1" s="1"/>
  <c r="CT10" i="1"/>
  <c r="CS264" i="1"/>
  <c r="CS265" i="1" s="1"/>
  <c r="CS12" i="1"/>
  <c r="CS11" i="1" s="1"/>
  <c r="CU170" i="1"/>
  <c r="CU162" i="1"/>
  <c r="CY267" i="1"/>
  <c r="CY245" i="1"/>
  <c r="CY19" i="1"/>
  <c r="CY159" i="1" s="1"/>
  <c r="CU24" i="1"/>
  <c r="CU27" i="1"/>
  <c r="CU37" i="1"/>
  <c r="CW239" i="1"/>
  <c r="DA267" i="1"/>
  <c r="CQ212" i="1"/>
  <c r="AC32" i="1"/>
  <c r="AC35" i="1" s="1"/>
  <c r="AC36" i="1" s="1"/>
  <c r="CV162" i="1"/>
  <c r="CV24" i="1"/>
  <c r="CV28" i="1"/>
  <c r="CV170" i="1"/>
  <c r="CV37" i="1"/>
  <c r="CZ267" i="1"/>
  <c r="CZ245" i="1"/>
  <c r="CZ19" i="1"/>
  <c r="CZ167" i="1" s="1"/>
  <c r="CR212" i="1"/>
  <c r="CX107" i="1"/>
  <c r="CX108" i="1" s="1"/>
  <c r="CX111" i="1" s="1"/>
  <c r="CX267" i="1"/>
  <c r="CP212" i="1"/>
  <c r="AC107" i="1"/>
  <c r="AC202" i="1"/>
  <c r="AB39" i="1"/>
  <c r="CT162" i="1"/>
  <c r="CT210" i="1" s="1"/>
  <c r="AC158" i="1"/>
  <c r="CS171" i="1"/>
  <c r="CS210" i="1"/>
  <c r="CS212" i="1" s="1"/>
  <c r="CY107" i="1"/>
  <c r="CY108" i="1" s="1"/>
  <c r="CY111" i="1" s="1"/>
  <c r="CS40" i="1"/>
  <c r="CS38" i="1"/>
  <c r="CS43" i="1"/>
  <c r="CS246" i="1"/>
  <c r="CS247" i="1" s="1"/>
  <c r="CS39" i="1"/>
  <c r="AB171" i="1"/>
  <c r="AB196" i="1"/>
  <c r="AB210" i="1"/>
  <c r="AB212" i="1" s="1"/>
  <c r="AB69" i="1"/>
  <c r="AB43" i="1"/>
  <c r="AB121" i="1"/>
  <c r="AB127" i="1" s="1"/>
  <c r="AB38" i="1"/>
  <c r="CW25" i="1"/>
  <c r="CW166" i="1"/>
  <c r="CW158" i="1"/>
  <c r="CW21" i="1"/>
  <c r="CW160" i="1"/>
  <c r="CW159" i="1"/>
  <c r="CW167" i="1"/>
  <c r="CW35" i="1"/>
  <c r="CW32" i="1" s="1"/>
  <c r="CT170" i="1"/>
  <c r="AC166" i="1"/>
  <c r="AC170" i="1" s="1"/>
  <c r="CK259" i="1"/>
  <c r="CK241" i="1"/>
  <c r="CK248" i="1"/>
  <c r="CS240" i="1"/>
  <c r="CT28" i="1"/>
  <c r="CT27" i="1"/>
  <c r="CT37" i="1"/>
  <c r="AC20" i="1"/>
  <c r="AC67" i="1"/>
  <c r="CX245" i="1"/>
  <c r="CX19" i="1"/>
  <c r="CZ107" i="1"/>
  <c r="CZ108" i="1" s="1"/>
  <c r="CZ111" i="1" s="1"/>
  <c r="CU28" i="1"/>
  <c r="AD17" i="1"/>
  <c r="AD267" i="1" s="1"/>
  <c r="CU171" i="1" l="1"/>
  <c r="CV121" i="1"/>
  <c r="CV127" i="1" s="1"/>
  <c r="CV12" i="1"/>
  <c r="CV11" i="1" s="1"/>
  <c r="CU12" i="1"/>
  <c r="CU11" i="1" s="1"/>
  <c r="CT12" i="1"/>
  <c r="CT11" i="1" s="1"/>
  <c r="CU121" i="1"/>
  <c r="CU127" i="1" s="1"/>
  <c r="CT121" i="1"/>
  <c r="CT127" i="1" s="1"/>
  <c r="CY167" i="1"/>
  <c r="CY25" i="1"/>
  <c r="CY27" i="1" s="1"/>
  <c r="CY160" i="1"/>
  <c r="CY166" i="1"/>
  <c r="CY35" i="1"/>
  <c r="CY32" i="1" s="1"/>
  <c r="CY158" i="1"/>
  <c r="CV210" i="1"/>
  <c r="AC9" i="1"/>
  <c r="CW24" i="1"/>
  <c r="CW10" i="1"/>
  <c r="CU43" i="1"/>
  <c r="CU38" i="1"/>
  <c r="CU39" i="1"/>
  <c r="CU246" i="1"/>
  <c r="CU247" i="1" s="1"/>
  <c r="CZ239" i="1"/>
  <c r="CV264" i="1"/>
  <c r="CV265" i="1" s="1"/>
  <c r="CV43" i="1"/>
  <c r="CV246" i="1"/>
  <c r="CV247" i="1" s="1"/>
  <c r="CV38" i="1"/>
  <c r="CV40" i="1"/>
  <c r="CV39" i="1"/>
  <c r="CZ35" i="1"/>
  <c r="CZ32" i="1" s="1"/>
  <c r="CZ158" i="1"/>
  <c r="CZ21" i="1"/>
  <c r="CZ166" i="1"/>
  <c r="CZ170" i="1" s="1"/>
  <c r="CZ160" i="1"/>
  <c r="CZ159" i="1"/>
  <c r="CZ25" i="1"/>
  <c r="CZ10" i="1" s="1"/>
  <c r="CV171" i="1"/>
  <c r="CV211" i="1"/>
  <c r="AC27" i="1"/>
  <c r="CT264" i="1"/>
  <c r="CT265" i="1" s="1"/>
  <c r="CU264" i="1"/>
  <c r="CU265" i="1" s="1"/>
  <c r="CW170" i="1"/>
  <c r="CW211" i="1" s="1"/>
  <c r="CX239" i="1"/>
  <c r="CY239" i="1"/>
  <c r="CY21" i="1"/>
  <c r="CU211" i="1"/>
  <c r="CT211" i="1"/>
  <c r="CT212" i="1" s="1"/>
  <c r="CK207" i="1"/>
  <c r="CK209" i="1" s="1"/>
  <c r="CK213" i="1" s="1"/>
  <c r="CK227" i="1" s="1"/>
  <c r="CK133" i="1"/>
  <c r="CV240" i="1"/>
  <c r="AC37" i="1"/>
  <c r="AC68" i="1"/>
  <c r="AC26" i="1"/>
  <c r="CW162" i="1"/>
  <c r="CT240" i="1"/>
  <c r="AC193" i="1"/>
  <c r="AC162" i="1"/>
  <c r="DA245" i="1"/>
  <c r="DA19" i="1"/>
  <c r="DA239" i="1" s="1"/>
  <c r="CT171" i="1"/>
  <c r="CU210" i="1"/>
  <c r="CX158" i="1"/>
  <c r="CX159" i="1"/>
  <c r="AD159" i="1" s="1"/>
  <c r="AD194" i="1" s="1"/>
  <c r="CX25" i="1"/>
  <c r="CX167" i="1"/>
  <c r="AD167" i="1" s="1"/>
  <c r="AD197" i="1" s="1"/>
  <c r="CX166" i="1"/>
  <c r="CX21" i="1"/>
  <c r="CX35" i="1"/>
  <c r="CX32" i="1" s="1"/>
  <c r="CX160" i="1"/>
  <c r="AD160" i="1" s="1"/>
  <c r="CT43" i="1"/>
  <c r="CT39" i="1"/>
  <c r="CT38" i="1"/>
  <c r="CT246" i="1"/>
  <c r="CT247" i="1" s="1"/>
  <c r="CT40" i="1"/>
  <c r="CW28" i="1"/>
  <c r="CW27" i="1"/>
  <c r="CW37" i="1"/>
  <c r="CW121" i="1" s="1"/>
  <c r="CW127" i="1" s="1"/>
  <c r="CU240" i="1"/>
  <c r="CU40" i="1"/>
  <c r="AD19" i="1"/>
  <c r="AD8" i="1" s="1"/>
  <c r="DA107" i="1"/>
  <c r="DA108" i="1" s="1"/>
  <c r="DA111" i="1" s="1"/>
  <c r="AC199" i="1"/>
  <c r="AC198" i="1" s="1"/>
  <c r="AC211" i="1"/>
  <c r="AB195" i="1"/>
  <c r="AB200" i="1"/>
  <c r="AB203" i="1" s="1"/>
  <c r="AB204" i="1" s="1"/>
  <c r="CY162" i="1" l="1"/>
  <c r="CW12" i="1"/>
  <c r="CW11" i="1" s="1"/>
  <c r="CY10" i="1"/>
  <c r="CY170" i="1"/>
  <c r="CY37" i="1"/>
  <c r="CY38" i="1" s="1"/>
  <c r="CY24" i="1"/>
  <c r="CV212" i="1"/>
  <c r="AC264" i="1"/>
  <c r="AC265" i="1" s="1"/>
  <c r="AC12" i="1"/>
  <c r="AC11" i="1" s="1"/>
  <c r="CY28" i="1"/>
  <c r="CX10" i="1"/>
  <c r="AD32" i="1"/>
  <c r="AD35" i="1" s="1"/>
  <c r="AD36" i="1" s="1"/>
  <c r="CZ162" i="1"/>
  <c r="CZ24" i="1"/>
  <c r="CZ27" i="1"/>
  <c r="CZ37" i="1"/>
  <c r="CZ12" i="1" s="1"/>
  <c r="CZ11" i="1" s="1"/>
  <c r="CZ28" i="1"/>
  <c r="CW240" i="1"/>
  <c r="CW264" i="1"/>
  <c r="CW265" i="1" s="1"/>
  <c r="DB107" i="1"/>
  <c r="DB108" i="1" s="1"/>
  <c r="DB111" i="1" s="1"/>
  <c r="DB267" i="1"/>
  <c r="AD107" i="1"/>
  <c r="AD202" i="1"/>
  <c r="CU212" i="1"/>
  <c r="AC39" i="1"/>
  <c r="AD166" i="1"/>
  <c r="AD170" i="1" s="1"/>
  <c r="CX170" i="1"/>
  <c r="DA166" i="1"/>
  <c r="DA167" i="1"/>
  <c r="DA159" i="1"/>
  <c r="DA25" i="1"/>
  <c r="DA10" i="1" s="1"/>
  <c r="DA158" i="1"/>
  <c r="DA35" i="1"/>
  <c r="DA32" i="1" s="1"/>
  <c r="DA21" i="1"/>
  <c r="DA160" i="1"/>
  <c r="CK134" i="1"/>
  <c r="CL221" i="1" s="1"/>
  <c r="CL219" i="1" s="1"/>
  <c r="CX28" i="1"/>
  <c r="CX37" i="1"/>
  <c r="CX27" i="1"/>
  <c r="AC196" i="1"/>
  <c r="AC171" i="1"/>
  <c r="AC210" i="1"/>
  <c r="AC212" i="1" s="1"/>
  <c r="AC43" i="1"/>
  <c r="AC69" i="1"/>
  <c r="AC38" i="1"/>
  <c r="AC121" i="1"/>
  <c r="AC127" i="1" s="1"/>
  <c r="DB19" i="1"/>
  <c r="DB239" i="1" s="1"/>
  <c r="DB245" i="1"/>
  <c r="CW171" i="1"/>
  <c r="CW210" i="1"/>
  <c r="CW212" i="1" s="1"/>
  <c r="AD158" i="1"/>
  <c r="CX162" i="1"/>
  <c r="AD67" i="1"/>
  <c r="AD20" i="1"/>
  <c r="CW43" i="1"/>
  <c r="CW39" i="1"/>
  <c r="CW246" i="1"/>
  <c r="CW247" i="1" s="1"/>
  <c r="CW40" i="1"/>
  <c r="CW38" i="1"/>
  <c r="CX24" i="1"/>
  <c r="AD24" i="1" s="1"/>
  <c r="AD25" i="1" s="1"/>
  <c r="AD10" i="1" s="1"/>
  <c r="AE17" i="1"/>
  <c r="AE267" i="1" s="1"/>
  <c r="CY171" i="1" l="1"/>
  <c r="CK63" i="1"/>
  <c r="CK101" i="1"/>
  <c r="CY121" i="1"/>
  <c r="CY127" i="1" s="1"/>
  <c r="CX121" i="1"/>
  <c r="CX127" i="1" s="1"/>
  <c r="CZ121" i="1"/>
  <c r="CZ127" i="1" s="1"/>
  <c r="CY12" i="1"/>
  <c r="CY11" i="1" s="1"/>
  <c r="CY246" i="1"/>
  <c r="CY247" i="1" s="1"/>
  <c r="CZ211" i="1"/>
  <c r="CY39" i="1"/>
  <c r="CY43" i="1"/>
  <c r="AD9" i="1"/>
  <c r="CY264" i="1"/>
  <c r="CY265" i="1" s="1"/>
  <c r="CX12" i="1"/>
  <c r="CX11" i="1" s="1"/>
  <c r="CZ210" i="1"/>
  <c r="CZ171" i="1"/>
  <c r="CZ264" i="1"/>
  <c r="CZ265" i="1" s="1"/>
  <c r="CZ38" i="1"/>
  <c r="CZ246" i="1"/>
  <c r="CZ247" i="1" s="1"/>
  <c r="CZ40" i="1"/>
  <c r="CZ43" i="1"/>
  <c r="CZ39" i="1"/>
  <c r="AD27" i="1"/>
  <c r="CX264" i="1"/>
  <c r="CX265" i="1" s="1"/>
  <c r="CY240" i="1"/>
  <c r="CY40" i="1"/>
  <c r="CZ240" i="1"/>
  <c r="CX240" i="1"/>
  <c r="DA162" i="1"/>
  <c r="DA210" i="1" s="1"/>
  <c r="AD26" i="1"/>
  <c r="AD68" i="1"/>
  <c r="AD37" i="1"/>
  <c r="CY210" i="1"/>
  <c r="CX171" i="1"/>
  <c r="CY211" i="1"/>
  <c r="CX211" i="1"/>
  <c r="AD199" i="1"/>
  <c r="AD198" i="1" s="1"/>
  <c r="AD211" i="1"/>
  <c r="CG98" i="1"/>
  <c r="DA28" i="1"/>
  <c r="DA27" i="1"/>
  <c r="DA37" i="1"/>
  <c r="DA121" i="1" s="1"/>
  <c r="DA127" i="1" s="1"/>
  <c r="CX210" i="1"/>
  <c r="CX43" i="1"/>
  <c r="CX39" i="1"/>
  <c r="CX38" i="1"/>
  <c r="CX246" i="1"/>
  <c r="CX247" i="1" s="1"/>
  <c r="CX40" i="1"/>
  <c r="AD193" i="1"/>
  <c r="AD162" i="1"/>
  <c r="CK221" i="1"/>
  <c r="CK219" i="1" s="1"/>
  <c r="CK224" i="1" s="1"/>
  <c r="CK143" i="1"/>
  <c r="CK64" i="1" s="1"/>
  <c r="AC195" i="1"/>
  <c r="AC200" i="1"/>
  <c r="AC203" i="1" s="1"/>
  <c r="AC204" i="1" s="1"/>
  <c r="DA24" i="1"/>
  <c r="DB159" i="1"/>
  <c r="AE159" i="1" s="1"/>
  <c r="AE194" i="1" s="1"/>
  <c r="DB25" i="1"/>
  <c r="DB158" i="1"/>
  <c r="DB35" i="1"/>
  <c r="DB32" i="1" s="1"/>
  <c r="DB167" i="1"/>
  <c r="AE167" i="1" s="1"/>
  <c r="AE197" i="1" s="1"/>
  <c r="DB21" i="1"/>
  <c r="DB160" i="1"/>
  <c r="AE160" i="1" s="1"/>
  <c r="DB166" i="1"/>
  <c r="AE19" i="1"/>
  <c r="AE8" i="1" s="1"/>
  <c r="DA170" i="1"/>
  <c r="CZ212" i="1" l="1"/>
  <c r="CK105" i="1"/>
  <c r="CK104" i="1"/>
  <c r="CK103" i="1"/>
  <c r="AD264" i="1"/>
  <c r="AD265" i="1" s="1"/>
  <c r="AD12" i="1"/>
  <c r="AD11" i="1" s="1"/>
  <c r="DB24" i="1"/>
  <c r="AE24" i="1" s="1"/>
  <c r="AE25" i="1" s="1"/>
  <c r="DB10" i="1"/>
  <c r="DA264" i="1"/>
  <c r="DA265" i="1" s="1"/>
  <c r="DA12" i="1"/>
  <c r="DA11" i="1" s="1"/>
  <c r="AE32" i="1"/>
  <c r="AE35" i="1" s="1"/>
  <c r="AE36" i="1" s="1"/>
  <c r="AE107" i="1"/>
  <c r="AE202" i="1"/>
  <c r="AD39" i="1"/>
  <c r="DA171" i="1"/>
  <c r="CK174" i="1"/>
  <c r="CK175" i="1" s="1"/>
  <c r="CL223" i="1" s="1"/>
  <c r="CL224" i="1" s="1"/>
  <c r="CL225" i="1" s="1"/>
  <c r="DB28" i="1"/>
  <c r="DB37" i="1"/>
  <c r="DB121" i="1" s="1"/>
  <c r="DB127" i="1" s="1"/>
  <c r="DB27" i="1"/>
  <c r="CX212" i="1"/>
  <c r="CY212" i="1"/>
  <c r="AD171" i="1"/>
  <c r="AD196" i="1"/>
  <c r="AD210" i="1"/>
  <c r="AD212" i="1" s="1"/>
  <c r="DB162" i="1"/>
  <c r="AE158" i="1"/>
  <c r="DA43" i="1"/>
  <c r="DA38" i="1"/>
  <c r="DA39" i="1"/>
  <c r="DA40" i="1"/>
  <c r="DA246" i="1"/>
  <c r="DA247" i="1" s="1"/>
  <c r="AD43" i="1"/>
  <c r="AD38" i="1"/>
  <c r="AD121" i="1"/>
  <c r="AD127" i="1" s="1"/>
  <c r="AD69" i="1"/>
  <c r="AE20" i="1"/>
  <c r="AE67" i="1"/>
  <c r="DA240" i="1"/>
  <c r="AE166" i="1"/>
  <c r="AE170" i="1" s="1"/>
  <c r="DB170" i="1"/>
  <c r="DB211" i="1" s="1"/>
  <c r="DA211" i="1"/>
  <c r="DA212" i="1" s="1"/>
  <c r="AE27" i="1" l="1"/>
  <c r="AE10" i="1"/>
  <c r="DB264" i="1"/>
  <c r="DB265" i="1" s="1"/>
  <c r="DB12" i="1"/>
  <c r="DB11" i="1" s="1"/>
  <c r="CK225" i="1"/>
  <c r="CK262" i="1"/>
  <c r="CK258" i="1"/>
  <c r="CK260" i="1"/>
  <c r="AE37" i="1"/>
  <c r="AE12" i="1" s="1"/>
  <c r="AE26" i="1"/>
  <c r="AE68" i="1"/>
  <c r="DB43" i="1"/>
  <c r="DB40" i="1"/>
  <c r="DB246" i="1"/>
  <c r="DB247" i="1" s="1"/>
  <c r="DB38" i="1"/>
  <c r="DB39" i="1"/>
  <c r="AD200" i="1"/>
  <c r="AD203" i="1" s="1"/>
  <c r="AD204" i="1" s="1"/>
  <c r="AD195" i="1"/>
  <c r="AE162" i="1"/>
  <c r="AE193" i="1"/>
  <c r="CK179" i="1"/>
  <c r="CK182" i="1"/>
  <c r="DB171" i="1"/>
  <c r="DB210" i="1"/>
  <c r="DB212" i="1" s="1"/>
  <c r="AE199" i="1"/>
  <c r="AE198" i="1" s="1"/>
  <c r="AE211" i="1"/>
  <c r="DB240" i="1"/>
  <c r="CK118" i="1" l="1"/>
  <c r="CL46" i="1"/>
  <c r="CK120" i="1"/>
  <c r="CK123" i="1" s="1"/>
  <c r="AE9" i="1"/>
  <c r="AE11" i="1"/>
  <c r="AE39" i="1"/>
  <c r="AE264" i="1"/>
  <c r="AE265" i="1" s="1"/>
  <c r="CK180" i="1"/>
  <c r="AE171" i="1"/>
  <c r="AE196" i="1"/>
  <c r="AE210" i="1"/>
  <c r="AE212" i="1" s="1"/>
  <c r="AE43" i="1"/>
  <c r="AE38" i="1"/>
  <c r="AE69" i="1"/>
  <c r="AE121" i="1"/>
  <c r="AE127" i="1" s="1"/>
  <c r="CK119" i="1" l="1"/>
  <c r="CK122" i="1" s="1"/>
  <c r="AE200" i="1"/>
  <c r="AE203" i="1" s="1"/>
  <c r="AE204" i="1" s="1"/>
  <c r="AE195" i="1"/>
  <c r="CH98" i="1" l="1"/>
  <c r="CM223" i="1" l="1"/>
  <c r="AB223" i="1"/>
  <c r="CM122" i="1" l="1"/>
  <c r="CM123" i="1"/>
  <c r="CM45" i="1"/>
  <c r="CM266" i="1" s="1"/>
  <c r="CN123" i="1" l="1"/>
  <c r="CM120" i="1"/>
  <c r="CN122" i="1"/>
  <c r="CM119" i="1"/>
  <c r="CM47" i="1"/>
  <c r="CO122" i="1" l="1"/>
  <c r="CN119" i="1"/>
  <c r="CO123" i="1"/>
  <c r="CN120" i="1"/>
  <c r="CM48" i="1"/>
  <c r="CP123" i="1" l="1"/>
  <c r="CO120" i="1"/>
  <c r="CP122" i="1"/>
  <c r="CO119" i="1"/>
  <c r="CM50" i="1"/>
  <c r="CQ122" i="1" l="1"/>
  <c r="CP119" i="1"/>
  <c r="CQ123" i="1"/>
  <c r="CP120" i="1"/>
  <c r="CM52" i="1"/>
  <c r="CM53" i="1"/>
  <c r="CM248" i="1"/>
  <c r="CM57" i="1"/>
  <c r="CM51" i="1"/>
  <c r="CM259" i="1" s="1"/>
  <c r="CM241" i="1"/>
  <c r="CR123" i="1" l="1"/>
  <c r="CQ120" i="1"/>
  <c r="CR122" i="1"/>
  <c r="CQ119" i="1"/>
  <c r="CM207" i="1"/>
  <c r="CM209" i="1" s="1"/>
  <c r="CM213" i="1" s="1"/>
  <c r="CM227" i="1" s="1"/>
  <c r="CM75" i="1"/>
  <c r="CM133" i="1"/>
  <c r="CS122" i="1" l="1"/>
  <c r="CR119" i="1"/>
  <c r="CS123" i="1"/>
  <c r="CR120" i="1"/>
  <c r="CM134" i="1"/>
  <c r="CM78" i="1"/>
  <c r="CT123" i="1" l="1"/>
  <c r="CS120" i="1"/>
  <c r="CT122" i="1"/>
  <c r="CS119" i="1"/>
  <c r="CM79" i="1"/>
  <c r="CI98" i="1"/>
  <c r="CM94" i="1"/>
  <c r="CM143" i="1"/>
  <c r="CM64" i="1" s="1"/>
  <c r="CM101" i="1"/>
  <c r="CM103" i="1" s="1"/>
  <c r="CM221" i="1"/>
  <c r="CM219" i="1" s="1"/>
  <c r="CM224" i="1" s="1"/>
  <c r="CM63" i="1"/>
  <c r="CU122" i="1" l="1"/>
  <c r="CT119" i="1"/>
  <c r="CU123" i="1"/>
  <c r="CT120" i="1"/>
  <c r="CM174" i="1"/>
  <c r="CM175" i="1" s="1"/>
  <c r="CV123" i="1" l="1"/>
  <c r="CU120" i="1"/>
  <c r="CV122" i="1"/>
  <c r="CU119" i="1"/>
  <c r="CM225" i="1"/>
  <c r="CM262" i="1"/>
  <c r="CM260" i="1"/>
  <c r="CM258" i="1"/>
  <c r="CN223" i="1"/>
  <c r="CM179" i="1"/>
  <c r="CM182" i="1"/>
  <c r="CM118" i="1" s="1"/>
  <c r="CV119" i="1" l="1"/>
  <c r="CW122" i="1"/>
  <c r="CW123" i="1"/>
  <c r="CV120" i="1"/>
  <c r="CM117" i="1"/>
  <c r="CM88" i="1" s="1"/>
  <c r="CM116" i="1"/>
  <c r="CM180" i="1"/>
  <c r="CN45" i="1"/>
  <c r="CN266" i="1" s="1"/>
  <c r="CX123" i="1" l="1"/>
  <c r="CW120" i="1"/>
  <c r="CX122" i="1"/>
  <c r="CW119" i="1"/>
  <c r="CM113" i="1"/>
  <c r="CM105" i="1"/>
  <c r="CN47" i="1"/>
  <c r="CY122" i="1" l="1"/>
  <c r="CX119" i="1"/>
  <c r="CY123" i="1"/>
  <c r="CX120" i="1"/>
  <c r="CN48" i="1"/>
  <c r="CN50" i="1" s="1"/>
  <c r="CY120" i="1" l="1"/>
  <c r="CZ123" i="1"/>
  <c r="CY119" i="1"/>
  <c r="CZ122" i="1"/>
  <c r="CN52" i="1"/>
  <c r="CN53" i="1"/>
  <c r="CN57" i="1"/>
  <c r="CN248" i="1"/>
  <c r="CN51" i="1"/>
  <c r="CN259" i="1" s="1"/>
  <c r="CN241" i="1"/>
  <c r="DA122" i="1" l="1"/>
  <c r="CZ119" i="1"/>
  <c r="DA123" i="1"/>
  <c r="CZ120" i="1"/>
  <c r="CN75" i="1"/>
  <c r="CN207" i="1"/>
  <c r="CN209" i="1" s="1"/>
  <c r="CN213" i="1" s="1"/>
  <c r="CN227" i="1" s="1"/>
  <c r="CN133" i="1"/>
  <c r="DB123" i="1" l="1"/>
  <c r="DB120" i="1" s="1"/>
  <c r="DA120" i="1"/>
  <c r="DB122" i="1"/>
  <c r="DB119" i="1" s="1"/>
  <c r="DA119" i="1"/>
  <c r="CN78" i="1"/>
  <c r="CN134" i="1"/>
  <c r="CN79" i="1" l="1"/>
  <c r="CN143" i="1"/>
  <c r="CN64" i="1" s="1"/>
  <c r="CN221" i="1"/>
  <c r="CN219" i="1" s="1"/>
  <c r="CN224" i="1" s="1"/>
  <c r="CN101" i="1"/>
  <c r="CN103" i="1" s="1"/>
  <c r="CN63" i="1"/>
  <c r="CN94" i="1"/>
  <c r="CJ98" i="1"/>
  <c r="CN174" i="1" l="1"/>
  <c r="CN175" i="1" s="1"/>
  <c r="CN225" i="1" l="1"/>
  <c r="CN262" i="1"/>
  <c r="CN260" i="1"/>
  <c r="CN258" i="1"/>
  <c r="CN179" i="1"/>
  <c r="CN182" i="1"/>
  <c r="CN118" i="1" s="1"/>
  <c r="CO223" i="1"/>
  <c r="CN117" i="1" l="1"/>
  <c r="CN88" i="1" s="1"/>
  <c r="CN116" i="1"/>
  <c r="CN180" i="1"/>
  <c r="CO45" i="1"/>
  <c r="CO266" i="1" s="1"/>
  <c r="CN105" i="1" l="1"/>
  <c r="CN113" i="1"/>
  <c r="CO47" i="1"/>
  <c r="CO48" i="1" l="1"/>
  <c r="CO50" i="1" l="1"/>
  <c r="CO51" i="1" l="1"/>
  <c r="CO259" i="1" s="1"/>
  <c r="CO53" i="1"/>
  <c r="CO52" i="1"/>
  <c r="CO248" i="1"/>
  <c r="CO57" i="1"/>
  <c r="CO241" i="1"/>
  <c r="CO75" i="1" l="1"/>
  <c r="CO207" i="1"/>
  <c r="CO209" i="1" s="1"/>
  <c r="CO213" i="1" s="1"/>
  <c r="CO227" i="1" s="1"/>
  <c r="CO133" i="1"/>
  <c r="CO134" i="1" l="1"/>
  <c r="CO78" i="1"/>
  <c r="CK98" i="1" s="1"/>
  <c r="CO79" i="1" l="1"/>
  <c r="CO94" i="1"/>
  <c r="CO101" i="1"/>
  <c r="CO103" i="1" s="1"/>
  <c r="CO221" i="1"/>
  <c r="CO219" i="1" s="1"/>
  <c r="CO224" i="1" s="1"/>
  <c r="CO143" i="1"/>
  <c r="CO64" i="1" s="1"/>
  <c r="CO63" i="1"/>
  <c r="CO174" i="1" l="1"/>
  <c r="CO175" i="1" s="1"/>
  <c r="CO225" i="1" l="1"/>
  <c r="CO260" i="1"/>
  <c r="CO258" i="1"/>
  <c r="CO262" i="1"/>
  <c r="CO179" i="1"/>
  <c r="CO182" i="1"/>
  <c r="CO118" i="1" s="1"/>
  <c r="CP223" i="1"/>
  <c r="CO117" i="1" l="1"/>
  <c r="CO88" i="1" s="1"/>
  <c r="CO116" i="1"/>
  <c r="CP45" i="1"/>
  <c r="CP266" i="1" s="1"/>
  <c r="CO180" i="1"/>
  <c r="CO105" i="1" l="1"/>
  <c r="CO113" i="1"/>
  <c r="CP47" i="1"/>
  <c r="AB45" i="1"/>
  <c r="AB46" i="1" l="1"/>
  <c r="AB266" i="1"/>
  <c r="AB47" i="1"/>
  <c r="CP48" i="1"/>
  <c r="AB48" i="1" s="1"/>
  <c r="AB49" i="1" l="1"/>
  <c r="CP50" i="1"/>
  <c r="CP51" i="1" s="1"/>
  <c r="CP259" i="1" s="1"/>
  <c r="AB50" i="1"/>
  <c r="CP52" i="1" l="1"/>
  <c r="CP241" i="1"/>
  <c r="CP248" i="1"/>
  <c r="CP57" i="1"/>
  <c r="CP133" i="1" s="1"/>
  <c r="CP53" i="1"/>
  <c r="AB52" i="1"/>
  <c r="AB57" i="1"/>
  <c r="AB51" i="1"/>
  <c r="AB259" i="1" s="1"/>
  <c r="AB70" i="1"/>
  <c r="CP207" i="1" l="1"/>
  <c r="CP209" i="1" s="1"/>
  <c r="CP213" i="1" s="1"/>
  <c r="CP227" i="1" s="1"/>
  <c r="CP75" i="1"/>
  <c r="CP78" i="1" s="1"/>
  <c r="CL98" i="1" s="1"/>
  <c r="AB133" i="1"/>
  <c r="AB134" i="1" s="1"/>
  <c r="AB63" i="1" s="1"/>
  <c r="CP134" i="1"/>
  <c r="AB60" i="1"/>
  <c r="AB61" i="1" s="1"/>
  <c r="AB207" i="1"/>
  <c r="AB209" i="1" s="1"/>
  <c r="AB213" i="1" s="1"/>
  <c r="AB227" i="1" s="1"/>
  <c r="CP81" i="1" l="1"/>
  <c r="CP79" i="1"/>
  <c r="AB143" i="1"/>
  <c r="AB64" i="1" s="1"/>
  <c r="AB189" i="1"/>
  <c r="AB221" i="1"/>
  <c r="AB219" i="1" s="1"/>
  <c r="AB224" i="1" s="1"/>
  <c r="CP94" i="1"/>
  <c r="CP221" i="1"/>
  <c r="CP219" i="1" s="1"/>
  <c r="CP224" i="1" s="1"/>
  <c r="CP143" i="1"/>
  <c r="CP64" i="1" s="1"/>
  <c r="CP101" i="1"/>
  <c r="CP103" i="1" s="1"/>
  <c r="CP63" i="1"/>
  <c r="CP174" i="1" l="1"/>
  <c r="CP175" i="1" l="1"/>
  <c r="AB174" i="1"/>
  <c r="AB175" i="1" s="1"/>
  <c r="AB262" i="1" l="1"/>
  <c r="AB260" i="1"/>
  <c r="AB258" i="1"/>
  <c r="CP260" i="1"/>
  <c r="CP258" i="1"/>
  <c r="CP262" i="1"/>
  <c r="CP179" i="1"/>
  <c r="CQ223" i="1"/>
  <c r="CP182" i="1"/>
  <c r="CP118" i="1" s="1"/>
  <c r="CP225" i="1"/>
  <c r="AB182" i="1"/>
  <c r="AB118" i="1" s="1"/>
  <c r="AB179" i="1"/>
  <c r="AC223" i="1"/>
  <c r="AB225" i="1"/>
  <c r="CP117" i="1" l="1"/>
  <c r="CP88" i="1" s="1"/>
  <c r="CP116" i="1"/>
  <c r="AB180" i="1"/>
  <c r="CQ45" i="1"/>
  <c r="CQ266" i="1" s="1"/>
  <c r="CP180" i="1"/>
  <c r="CP113" i="1" l="1"/>
  <c r="CP105" i="1"/>
  <c r="CQ47" i="1"/>
  <c r="CQ48" i="1" l="1"/>
  <c r="CQ50" i="1" s="1"/>
  <c r="CQ57" i="1" l="1"/>
  <c r="CQ51" i="1"/>
  <c r="CQ259" i="1" s="1"/>
  <c r="CQ52" i="1"/>
  <c r="CQ53" i="1"/>
  <c r="CQ248" i="1"/>
  <c r="CQ241" i="1"/>
  <c r="CQ75" i="1" l="1"/>
  <c r="CQ207" i="1"/>
  <c r="CQ209" i="1" s="1"/>
  <c r="CQ213" i="1" s="1"/>
  <c r="CQ227" i="1" s="1"/>
  <c r="CQ133" i="1"/>
  <c r="CQ134" i="1" l="1"/>
  <c r="CQ78" i="1"/>
  <c r="CQ79" i="1" l="1"/>
  <c r="CQ94" i="1"/>
  <c r="CQ143" i="1"/>
  <c r="CQ64" i="1" s="1"/>
  <c r="CQ221" i="1"/>
  <c r="CQ219" i="1" s="1"/>
  <c r="CQ224" i="1" s="1"/>
  <c r="CQ101" i="1"/>
  <c r="CQ103" i="1" s="1"/>
  <c r="CQ63" i="1"/>
  <c r="CQ174" i="1" l="1"/>
  <c r="CQ175" i="1" s="1"/>
  <c r="CQ225" i="1" s="1"/>
  <c r="CQ262" i="1" l="1"/>
  <c r="CQ260" i="1"/>
  <c r="CQ258" i="1"/>
  <c r="CQ182" i="1"/>
  <c r="CQ118" i="1" s="1"/>
  <c r="CR223" i="1"/>
  <c r="CQ179" i="1"/>
  <c r="CQ116" i="1" l="1"/>
  <c r="CQ117" i="1"/>
  <c r="CQ88" i="1" s="1"/>
  <c r="CQ180" i="1"/>
  <c r="CR45" i="1"/>
  <c r="CR266" i="1" s="1"/>
  <c r="CQ113" i="1" l="1"/>
  <c r="CQ105" i="1"/>
  <c r="CR47" i="1"/>
  <c r="CR48" i="1" l="1"/>
  <c r="CR50" i="1" s="1"/>
  <c r="CR248" i="1" l="1"/>
  <c r="CR51" i="1"/>
  <c r="CR259" i="1" s="1"/>
  <c r="CR57" i="1"/>
  <c r="CR52" i="1"/>
  <c r="CR53" i="1"/>
  <c r="CR241" i="1"/>
  <c r="CR75" i="1" l="1"/>
  <c r="CR207" i="1"/>
  <c r="CR209" i="1" s="1"/>
  <c r="CR213" i="1" s="1"/>
  <c r="CR227" i="1" s="1"/>
  <c r="CR133" i="1"/>
  <c r="CR134" i="1" l="1"/>
  <c r="CR78" i="1"/>
  <c r="CR79" i="1" l="1"/>
  <c r="CR94" i="1"/>
  <c r="CR143" i="1"/>
  <c r="CR64" i="1" s="1"/>
  <c r="CR221" i="1"/>
  <c r="CR219" i="1" s="1"/>
  <c r="CR224" i="1" s="1"/>
  <c r="CR101" i="1"/>
  <c r="CR103" i="1" s="1"/>
  <c r="CR63" i="1"/>
  <c r="CR174" i="1" l="1"/>
  <c r="CR175" i="1" s="1"/>
  <c r="CR262" i="1" l="1"/>
  <c r="CR260" i="1"/>
  <c r="CR258" i="1"/>
  <c r="CS223" i="1"/>
  <c r="CR182" i="1"/>
  <c r="CR118" i="1" s="1"/>
  <c r="CR179" i="1"/>
  <c r="CR225" i="1"/>
  <c r="CR116" i="1" l="1"/>
  <c r="CR117" i="1"/>
  <c r="CR88" i="1" s="1"/>
  <c r="CR180" i="1"/>
  <c r="CS45" i="1"/>
  <c r="CS266" i="1" s="1"/>
  <c r="CR105" i="1" l="1"/>
  <c r="CR113" i="1"/>
  <c r="CS47" i="1"/>
  <c r="CS48" i="1" l="1"/>
  <c r="CS50" i="1" l="1"/>
  <c r="CS57" i="1" l="1"/>
  <c r="CS53" i="1"/>
  <c r="CS248" i="1"/>
  <c r="CS52" i="1"/>
  <c r="CS51" i="1"/>
  <c r="CS259" i="1" s="1"/>
  <c r="CS241" i="1"/>
  <c r="CS75" i="1" l="1"/>
  <c r="CS207" i="1"/>
  <c r="CS209" i="1" s="1"/>
  <c r="CS213" i="1" s="1"/>
  <c r="CS227" i="1" s="1"/>
  <c r="CS133" i="1"/>
  <c r="CS134" i="1" l="1"/>
  <c r="CS78" i="1"/>
  <c r="CS79" i="1" l="1"/>
  <c r="CS94" i="1"/>
  <c r="CS143" i="1"/>
  <c r="CS64" i="1" s="1"/>
  <c r="CS101" i="1"/>
  <c r="CS103" i="1" s="1"/>
  <c r="CS221" i="1"/>
  <c r="CS219" i="1" s="1"/>
  <c r="CS224" i="1" s="1"/>
  <c r="CS63" i="1"/>
  <c r="CS174" i="1" l="1"/>
  <c r="CS175" i="1" s="1"/>
  <c r="CS260" i="1" l="1"/>
  <c r="CS262" i="1"/>
  <c r="CS258" i="1"/>
  <c r="CT223" i="1"/>
  <c r="CS179" i="1"/>
  <c r="CS182" i="1"/>
  <c r="CS118" i="1" s="1"/>
  <c r="CS225" i="1"/>
  <c r="CS117" i="1" l="1"/>
  <c r="CS88" i="1" s="1"/>
  <c r="CS116" i="1"/>
  <c r="CT45" i="1"/>
  <c r="CT266" i="1" s="1"/>
  <c r="CS180" i="1"/>
  <c r="CS105" i="1" l="1"/>
  <c r="CS113" i="1"/>
  <c r="CT47" i="1"/>
  <c r="AC45" i="1"/>
  <c r="AC46" i="1" l="1"/>
  <c r="AC266" i="1"/>
  <c r="AC47" i="1"/>
  <c r="CT48" i="1"/>
  <c r="AC48" i="1" s="1"/>
  <c r="AC49" i="1" l="1"/>
  <c r="CT50" i="1"/>
  <c r="CT53" i="1" s="1"/>
  <c r="AC50" i="1"/>
  <c r="CT52" i="1" l="1"/>
  <c r="CT57" i="1"/>
  <c r="CT248" i="1"/>
  <c r="CT241" i="1"/>
  <c r="CT51" i="1"/>
  <c r="CT259" i="1" s="1"/>
  <c r="AC52" i="1"/>
  <c r="AC51" i="1"/>
  <c r="AC259" i="1" s="1"/>
  <c r="AC70" i="1"/>
  <c r="AC57" i="1"/>
  <c r="CT133" i="1" l="1"/>
  <c r="CT75" i="1"/>
  <c r="CT78" i="1" s="1"/>
  <c r="CT81" i="1" s="1"/>
  <c r="CT207" i="1"/>
  <c r="CT209" i="1" s="1"/>
  <c r="CT213" i="1" s="1"/>
  <c r="CT227" i="1" s="1"/>
  <c r="AC60" i="1"/>
  <c r="AC61" i="1" s="1"/>
  <c r="AC207" i="1"/>
  <c r="AC209" i="1" s="1"/>
  <c r="AC213" i="1" s="1"/>
  <c r="AC227" i="1" s="1"/>
  <c r="CT134" i="1" l="1"/>
  <c r="AC133" i="1"/>
  <c r="AC134" i="1" s="1"/>
  <c r="AC143" i="1" s="1"/>
  <c r="AC64" i="1" s="1"/>
  <c r="CT79" i="1"/>
  <c r="CT94" i="1"/>
  <c r="CT143" i="1" l="1"/>
  <c r="CT64" i="1" s="1"/>
  <c r="CT101" i="1"/>
  <c r="CT103" i="1" s="1"/>
  <c r="CT221" i="1"/>
  <c r="CT219" i="1" s="1"/>
  <c r="CT224" i="1" s="1"/>
  <c r="CT174" i="1" s="1"/>
  <c r="CT63" i="1"/>
  <c r="AC63" i="1"/>
  <c r="AC221" i="1"/>
  <c r="AC219" i="1" s="1"/>
  <c r="AC224" i="1" s="1"/>
  <c r="AC189" i="1"/>
  <c r="CT175" i="1" l="1"/>
  <c r="AC174" i="1"/>
  <c r="AC175" i="1" s="1"/>
  <c r="CT260" i="1" l="1"/>
  <c r="CT262" i="1"/>
  <c r="CT258" i="1"/>
  <c r="AC262" i="1"/>
  <c r="AC260" i="1"/>
  <c r="AC258" i="1"/>
  <c r="CU223" i="1"/>
  <c r="CT179" i="1"/>
  <c r="CT182" i="1"/>
  <c r="CT118" i="1" s="1"/>
  <c r="CT225" i="1"/>
  <c r="AD223" i="1"/>
  <c r="AC182" i="1"/>
  <c r="AC118" i="1" s="1"/>
  <c r="AC179" i="1"/>
  <c r="AC225" i="1"/>
  <c r="CT117" i="1" l="1"/>
  <c r="CT88" i="1" s="1"/>
  <c r="CT116" i="1"/>
  <c r="AC180" i="1"/>
  <c r="CT180" i="1"/>
  <c r="CU45" i="1"/>
  <c r="CU266" i="1" s="1"/>
  <c r="CT113" i="1" l="1"/>
  <c r="CT105" i="1"/>
  <c r="CU47" i="1"/>
  <c r="CU48" i="1" l="1"/>
  <c r="CU50" i="1" s="1"/>
  <c r="CU51" i="1" l="1"/>
  <c r="CU259" i="1" s="1"/>
  <c r="CU52" i="1"/>
  <c r="CU53" i="1"/>
  <c r="CU57" i="1"/>
  <c r="CU248" i="1"/>
  <c r="CU241" i="1"/>
  <c r="CU207" i="1" l="1"/>
  <c r="CU209" i="1" s="1"/>
  <c r="CU213" i="1" s="1"/>
  <c r="CU227" i="1" s="1"/>
  <c r="CU75" i="1"/>
  <c r="CU133" i="1"/>
  <c r="CU134" i="1" l="1"/>
  <c r="CU78" i="1"/>
  <c r="CU79" i="1" l="1"/>
  <c r="CU94" i="1"/>
  <c r="CU143" i="1"/>
  <c r="CU64" i="1" s="1"/>
  <c r="CU221" i="1"/>
  <c r="CU219" i="1" s="1"/>
  <c r="CU224" i="1" s="1"/>
  <c r="CU101" i="1"/>
  <c r="CU103" i="1" s="1"/>
  <c r="CU63" i="1"/>
  <c r="CU174" i="1" l="1"/>
  <c r="CU175" i="1" s="1"/>
  <c r="CU262" i="1" l="1"/>
  <c r="CU258" i="1"/>
  <c r="CU260" i="1"/>
  <c r="CU179" i="1"/>
  <c r="CU182" i="1"/>
  <c r="CU118" i="1" s="1"/>
  <c r="CV223" i="1"/>
  <c r="CU225" i="1"/>
  <c r="CU117" i="1" l="1"/>
  <c r="CU88" i="1" s="1"/>
  <c r="CU116" i="1"/>
  <c r="CU180" i="1"/>
  <c r="CV45" i="1"/>
  <c r="CV266" i="1" s="1"/>
  <c r="CU113" i="1" l="1"/>
  <c r="CU105" i="1"/>
  <c r="CV47" i="1"/>
  <c r="CV48" i="1" l="1"/>
  <c r="CV50" i="1" l="1"/>
  <c r="CV57" i="1" l="1"/>
  <c r="CV248" i="1"/>
  <c r="CV51" i="1"/>
  <c r="CV259" i="1" s="1"/>
  <c r="CV53" i="1"/>
  <c r="CV52" i="1"/>
  <c r="CV241" i="1"/>
  <c r="CV207" i="1" l="1"/>
  <c r="CV209" i="1" s="1"/>
  <c r="CV213" i="1" s="1"/>
  <c r="CV227" i="1" s="1"/>
  <c r="CV75" i="1"/>
  <c r="CV133" i="1"/>
  <c r="CV134" i="1" l="1"/>
  <c r="CV78" i="1"/>
  <c r="CV79" i="1" l="1"/>
  <c r="CV94" i="1"/>
  <c r="CV101" i="1"/>
  <c r="CV103" i="1" s="1"/>
  <c r="CV143" i="1"/>
  <c r="CV64" i="1" s="1"/>
  <c r="CV221" i="1"/>
  <c r="CV219" i="1" s="1"/>
  <c r="CV224" i="1" s="1"/>
  <c r="CV63" i="1"/>
  <c r="CV174" i="1" l="1"/>
  <c r="CV175" i="1" s="1"/>
  <c r="CV260" i="1" l="1"/>
  <c r="CV258" i="1"/>
  <c r="CV262" i="1"/>
  <c r="CV182" i="1"/>
  <c r="CV118" i="1" s="1"/>
  <c r="CW223" i="1"/>
  <c r="CV179" i="1"/>
  <c r="CV225" i="1"/>
  <c r="CV117" i="1" l="1"/>
  <c r="CV88" i="1" s="1"/>
  <c r="CV116" i="1"/>
  <c r="CV180" i="1"/>
  <c r="CW45" i="1"/>
  <c r="CW266" i="1" s="1"/>
  <c r="CV105" i="1" l="1"/>
  <c r="CV113" i="1"/>
  <c r="CW47" i="1"/>
  <c r="CW48" i="1" l="1"/>
  <c r="CW50" i="1" l="1"/>
  <c r="CW51" i="1" l="1"/>
  <c r="CW259" i="1" s="1"/>
  <c r="CW53" i="1"/>
  <c r="CW57" i="1"/>
  <c r="CW52" i="1"/>
  <c r="CW248" i="1"/>
  <c r="CW241" i="1"/>
  <c r="CW207" i="1" l="1"/>
  <c r="CW209" i="1" s="1"/>
  <c r="CW213" i="1" s="1"/>
  <c r="CW227" i="1" s="1"/>
  <c r="CW75" i="1"/>
  <c r="CW133" i="1"/>
  <c r="CW134" i="1" l="1"/>
  <c r="CW78" i="1"/>
  <c r="CW79" i="1" l="1"/>
  <c r="CW94" i="1"/>
  <c r="CW221" i="1"/>
  <c r="CW219" i="1" s="1"/>
  <c r="CW224" i="1" s="1"/>
  <c r="CW143" i="1"/>
  <c r="CW64" i="1" s="1"/>
  <c r="CW101" i="1"/>
  <c r="CW103" i="1" s="1"/>
  <c r="CW63" i="1"/>
  <c r="CW174" i="1" l="1"/>
  <c r="CW175" i="1" s="1"/>
  <c r="CW260" i="1" l="1"/>
  <c r="CW258" i="1"/>
  <c r="CW262" i="1"/>
  <c r="CW179" i="1"/>
  <c r="CX223" i="1"/>
  <c r="CW182" i="1"/>
  <c r="CW118" i="1" s="1"/>
  <c r="CW225" i="1"/>
  <c r="CW116" i="1" l="1"/>
  <c r="CW117" i="1"/>
  <c r="CW88" i="1" s="1"/>
  <c r="CX45" i="1"/>
  <c r="CX266" i="1" s="1"/>
  <c r="CW180" i="1"/>
  <c r="CW105" i="1" l="1"/>
  <c r="CW113" i="1"/>
  <c r="CX47" i="1"/>
  <c r="AD45" i="1"/>
  <c r="AD46" i="1" l="1"/>
  <c r="AD266" i="1"/>
  <c r="AD47" i="1"/>
  <c r="CX48" i="1"/>
  <c r="AD48" i="1" s="1"/>
  <c r="AD49" i="1" l="1"/>
  <c r="CX50" i="1"/>
  <c r="CX241" i="1" s="1"/>
  <c r="AD50" i="1"/>
  <c r="CX53" i="1" l="1"/>
  <c r="CX248" i="1"/>
  <c r="CX57" i="1"/>
  <c r="CX51" i="1"/>
  <c r="CX259" i="1" s="1"/>
  <c r="CX52" i="1"/>
  <c r="AD52" i="1"/>
  <c r="AD70" i="1"/>
  <c r="AD57" i="1"/>
  <c r="AD51" i="1"/>
  <c r="AD259" i="1" s="1"/>
  <c r="CX75" i="1" l="1"/>
  <c r="CX78" i="1" s="1"/>
  <c r="CX207" i="1"/>
  <c r="CX209" i="1" s="1"/>
  <c r="CX213" i="1" s="1"/>
  <c r="CX227" i="1" s="1"/>
  <c r="CX133" i="1"/>
  <c r="AD60" i="1"/>
  <c r="AD61" i="1" s="1"/>
  <c r="AD207" i="1"/>
  <c r="AD209" i="1" s="1"/>
  <c r="AD213" i="1" s="1"/>
  <c r="AD227" i="1" s="1"/>
  <c r="AD133" i="1" l="1"/>
  <c r="AD134" i="1" s="1"/>
  <c r="CX134" i="1"/>
  <c r="CX221" i="1" s="1"/>
  <c r="CX219" i="1" s="1"/>
  <c r="CX224" i="1" s="1"/>
  <c r="CX79" i="1"/>
  <c r="CX94" i="1"/>
  <c r="AD189" i="1" l="1"/>
  <c r="AD143" i="1"/>
  <c r="AD64" i="1" s="1"/>
  <c r="AD63" i="1"/>
  <c r="AD221" i="1"/>
  <c r="AD219" i="1" s="1"/>
  <c r="AD224" i="1" s="1"/>
  <c r="CX143" i="1"/>
  <c r="CX64" i="1" s="1"/>
  <c r="CX101" i="1"/>
  <c r="CX103" i="1" s="1"/>
  <c r="CX63" i="1"/>
  <c r="CX174" i="1"/>
  <c r="CX175" i="1" l="1"/>
  <c r="AD174" i="1"/>
  <c r="AD175" i="1" s="1"/>
  <c r="AD262" i="1" l="1"/>
  <c r="AD260" i="1"/>
  <c r="AD258" i="1"/>
  <c r="CX262" i="1"/>
  <c r="CX260" i="1"/>
  <c r="CX258" i="1"/>
  <c r="AE223" i="1"/>
  <c r="AD179" i="1"/>
  <c r="AD182" i="1"/>
  <c r="AD118" i="1" s="1"/>
  <c r="AD225" i="1"/>
  <c r="CY223" i="1"/>
  <c r="CX179" i="1"/>
  <c r="CX182" i="1"/>
  <c r="CX118" i="1" s="1"/>
  <c r="CX225" i="1"/>
  <c r="CX117" i="1" l="1"/>
  <c r="CX88" i="1" s="1"/>
  <c r="CX116" i="1"/>
  <c r="AD180" i="1"/>
  <c r="CY45" i="1"/>
  <c r="CY266" i="1" s="1"/>
  <c r="CX180" i="1"/>
  <c r="CX113" i="1" l="1"/>
  <c r="CX105" i="1"/>
  <c r="CY47" i="1"/>
  <c r="CY48" i="1" l="1"/>
  <c r="CY50" i="1" l="1"/>
  <c r="CY51" i="1" l="1"/>
  <c r="CY259" i="1" s="1"/>
  <c r="CY248" i="1"/>
  <c r="CY52" i="1"/>
  <c r="CY53" i="1"/>
  <c r="CY57" i="1"/>
  <c r="CY241" i="1"/>
  <c r="CY75" i="1" l="1"/>
  <c r="CY207" i="1"/>
  <c r="CY209" i="1" s="1"/>
  <c r="CY213" i="1" s="1"/>
  <c r="CY227" i="1" s="1"/>
  <c r="CY133" i="1"/>
  <c r="CY134" i="1" l="1"/>
  <c r="CY78" i="1"/>
  <c r="CY79" i="1" s="1"/>
  <c r="CY94" i="1" l="1"/>
  <c r="CY101" i="1"/>
  <c r="CY103" i="1" s="1"/>
  <c r="CY143" i="1"/>
  <c r="CY64" i="1" s="1"/>
  <c r="CY221" i="1"/>
  <c r="CY219" i="1" s="1"/>
  <c r="CY224" i="1" s="1"/>
  <c r="CY63" i="1"/>
  <c r="CY174" i="1" l="1"/>
  <c r="CY175" i="1" s="1"/>
  <c r="CY225" i="1" l="1"/>
  <c r="CY262" i="1"/>
  <c r="CY260" i="1"/>
  <c r="CY258" i="1"/>
  <c r="CZ223" i="1"/>
  <c r="CY179" i="1"/>
  <c r="CY182" i="1"/>
  <c r="CY118" i="1" s="1"/>
  <c r="CY117" i="1" l="1"/>
  <c r="CY88" i="1" s="1"/>
  <c r="CY116" i="1"/>
  <c r="CY180" i="1"/>
  <c r="CZ45" i="1"/>
  <c r="CZ266" i="1" s="1"/>
  <c r="CY113" i="1" l="1"/>
  <c r="CY105" i="1"/>
  <c r="CZ47" i="1"/>
  <c r="CZ48" i="1" l="1"/>
  <c r="CZ50" i="1" l="1"/>
  <c r="CZ248" i="1" l="1"/>
  <c r="CZ52" i="1"/>
  <c r="CZ51" i="1"/>
  <c r="CZ259" i="1" s="1"/>
  <c r="CZ53" i="1"/>
  <c r="CZ57" i="1"/>
  <c r="CZ241" i="1"/>
  <c r="CZ207" i="1" l="1"/>
  <c r="CZ209" i="1" s="1"/>
  <c r="CZ213" i="1" s="1"/>
  <c r="CZ227" i="1" s="1"/>
  <c r="CZ75" i="1"/>
  <c r="CZ133" i="1"/>
  <c r="CZ134" i="1" l="1"/>
  <c r="CZ78" i="1"/>
  <c r="CZ79" i="1" s="1"/>
  <c r="CZ94" i="1" l="1"/>
  <c r="CZ143" i="1"/>
  <c r="CZ64" i="1" s="1"/>
  <c r="CZ221" i="1"/>
  <c r="CZ219" i="1" s="1"/>
  <c r="CZ224" i="1" s="1"/>
  <c r="CZ101" i="1"/>
  <c r="CZ103" i="1" s="1"/>
  <c r="CZ63" i="1"/>
  <c r="CZ174" i="1" l="1"/>
  <c r="CZ175" i="1" s="1"/>
  <c r="CZ260" i="1" l="1"/>
  <c r="CZ258" i="1"/>
  <c r="CZ262" i="1"/>
  <c r="CZ179" i="1"/>
  <c r="CZ182" i="1"/>
  <c r="CZ118" i="1" s="1"/>
  <c r="DA223" i="1"/>
  <c r="CZ225" i="1"/>
  <c r="CZ117" i="1" l="1"/>
  <c r="CZ88" i="1" s="1"/>
  <c r="CZ116" i="1"/>
  <c r="DA45" i="1"/>
  <c r="DA266" i="1" s="1"/>
  <c r="CZ180" i="1"/>
  <c r="CZ105" i="1" l="1"/>
  <c r="CZ113" i="1"/>
  <c r="DA47" i="1"/>
  <c r="DA48" i="1" l="1"/>
  <c r="DA50" i="1" l="1"/>
  <c r="DA248" i="1" l="1"/>
  <c r="DA57" i="1"/>
  <c r="DA52" i="1"/>
  <c r="DA53" i="1"/>
  <c r="DA51" i="1"/>
  <c r="DA259" i="1" s="1"/>
  <c r="DA241" i="1"/>
  <c r="DA75" i="1" l="1"/>
  <c r="DA207" i="1"/>
  <c r="DA209" i="1" s="1"/>
  <c r="DA213" i="1" s="1"/>
  <c r="DA227" i="1" s="1"/>
  <c r="DA133" i="1"/>
  <c r="DA134" i="1" l="1"/>
  <c r="DA78" i="1"/>
  <c r="DA79" i="1" s="1"/>
  <c r="DA94" i="1" l="1"/>
  <c r="DA143" i="1"/>
  <c r="DA64" i="1" s="1"/>
  <c r="DA221" i="1"/>
  <c r="DA219" i="1" s="1"/>
  <c r="DA224" i="1" s="1"/>
  <c r="DA101" i="1"/>
  <c r="DA103" i="1" s="1"/>
  <c r="DA63" i="1"/>
  <c r="DA174" i="1" l="1"/>
  <c r="DA175" i="1" s="1"/>
  <c r="DA225" i="1" l="1"/>
  <c r="DA262" i="1"/>
  <c r="DA258" i="1"/>
  <c r="DA260" i="1"/>
  <c r="DA182" i="1"/>
  <c r="DA118" i="1" s="1"/>
  <c r="DB223" i="1"/>
  <c r="DA179" i="1"/>
  <c r="DA116" i="1" l="1"/>
  <c r="DA117" i="1"/>
  <c r="DA88" i="1" s="1"/>
  <c r="DA180" i="1"/>
  <c r="DB45" i="1"/>
  <c r="DB266" i="1" s="1"/>
  <c r="DA105" i="1" l="1"/>
  <c r="DA113" i="1"/>
  <c r="DB47" i="1"/>
  <c r="AE45" i="1"/>
  <c r="AE46" i="1" l="1"/>
  <c r="AE266" i="1"/>
  <c r="AE47" i="1"/>
  <c r="DB48" i="1"/>
  <c r="AE48" i="1" s="1"/>
  <c r="AE49" i="1" l="1"/>
  <c r="DB50" i="1"/>
  <c r="AE50" i="1"/>
  <c r="AE52" i="1" s="1"/>
  <c r="AE51" i="1" l="1"/>
  <c r="AE259" i="1" s="1"/>
  <c r="AE57" i="1"/>
  <c r="AE70" i="1"/>
  <c r="DB52" i="1"/>
  <c r="DB53" i="1"/>
  <c r="DB248" i="1"/>
  <c r="DB51" i="1"/>
  <c r="DB259" i="1" s="1"/>
  <c r="DB57" i="1"/>
  <c r="DB241" i="1"/>
  <c r="AE60" i="1" l="1"/>
  <c r="AE61" i="1" s="1"/>
  <c r="AE207" i="1"/>
  <c r="AE209" i="1" s="1"/>
  <c r="AE213" i="1" s="1"/>
  <c r="AE227" i="1" s="1"/>
  <c r="DB207" i="1"/>
  <c r="DB209" i="1" s="1"/>
  <c r="DB213" i="1" s="1"/>
  <c r="DB227" i="1" s="1"/>
  <c r="DB75" i="1"/>
  <c r="DB78" i="1" s="1"/>
  <c r="DB79" i="1" s="1"/>
  <c r="DB133" i="1"/>
  <c r="AE133" i="1" l="1"/>
  <c r="AE134" i="1" s="1"/>
  <c r="DB134" i="1"/>
  <c r="DB94" i="1"/>
  <c r="DB221" i="1" l="1"/>
  <c r="DB219" i="1" s="1"/>
  <c r="DB224" i="1" s="1"/>
  <c r="DB143" i="1"/>
  <c r="DB64" i="1" s="1"/>
  <c r="DB101" i="1"/>
  <c r="DB103" i="1" s="1"/>
  <c r="DB63" i="1"/>
  <c r="AE221" i="1"/>
  <c r="AE219" i="1" s="1"/>
  <c r="AE224" i="1" s="1"/>
  <c r="AE143" i="1"/>
  <c r="AE64" i="1" s="1"/>
  <c r="AE189" i="1"/>
  <c r="AE63" i="1"/>
  <c r="DB174" i="1" l="1"/>
  <c r="AE174" i="1" l="1"/>
  <c r="AE175" i="1" s="1"/>
  <c r="DB175" i="1"/>
  <c r="DB258" i="1" l="1"/>
  <c r="DB262" i="1"/>
  <c r="DB260" i="1"/>
  <c r="AE260" i="1"/>
  <c r="AE258" i="1"/>
  <c r="AE262" i="1"/>
  <c r="DB179" i="1"/>
  <c r="DB182" i="1"/>
  <c r="DB118" i="1" s="1"/>
  <c r="DB225" i="1"/>
  <c r="AE182" i="1"/>
  <c r="AE118" i="1" s="1"/>
  <c r="AE179" i="1"/>
  <c r="AE225" i="1"/>
  <c r="DB116" i="1" l="1"/>
  <c r="DB117" i="1"/>
  <c r="DB88" i="1" s="1"/>
  <c r="AE180" i="1"/>
  <c r="DB180" i="1"/>
  <c r="DB113" i="1" l="1"/>
  <c r="DB105" i="1"/>
  <c r="CX87" i="1" l="1"/>
  <c r="DB87" i="1"/>
  <c r="CT87" i="1"/>
  <c r="CP87" i="1"/>
  <c r="DA87" i="1"/>
  <c r="CW87" i="1"/>
  <c r="CS87" i="1"/>
  <c r="CO87" i="1"/>
  <c r="CZ87" i="1"/>
  <c r="CV87" i="1"/>
  <c r="CR87" i="1"/>
  <c r="CN87" i="1"/>
  <c r="CY87" i="1"/>
  <c r="CU87" i="1"/>
  <c r="CQ87" i="1"/>
  <c r="CM87" i="1"/>
  <c r="AB87" i="1" l="1"/>
  <c r="CM90" i="1"/>
  <c r="CM112" i="1"/>
  <c r="CM104" i="1"/>
  <c r="CM95" i="1"/>
  <c r="CN112" i="1"/>
  <c r="CN95" i="1"/>
  <c r="CN104" i="1"/>
  <c r="CO90" i="1"/>
  <c r="CO95" i="1"/>
  <c r="CO104" i="1"/>
  <c r="CO112" i="1"/>
  <c r="CP90" i="1"/>
  <c r="CP104" i="1"/>
  <c r="CP112" i="1"/>
  <c r="CP95" i="1"/>
  <c r="CQ90" i="1"/>
  <c r="CQ112" i="1"/>
  <c r="CQ104" i="1"/>
  <c r="CQ95" i="1"/>
  <c r="CS90" i="1"/>
  <c r="CS95" i="1"/>
  <c r="CS104" i="1"/>
  <c r="CS112" i="1"/>
  <c r="AD87" i="1"/>
  <c r="CU112" i="1"/>
  <c r="CU95" i="1"/>
  <c r="CU104" i="1"/>
  <c r="CW90" i="1"/>
  <c r="CW95" i="1"/>
  <c r="CW104" i="1"/>
  <c r="CW112" i="1"/>
  <c r="DB90" i="1"/>
  <c r="DB104" i="1"/>
  <c r="DB112" i="1"/>
  <c r="DB95" i="1"/>
  <c r="CN90" i="1"/>
  <c r="CR90" i="1"/>
  <c r="CR95" i="1"/>
  <c r="CR104" i="1"/>
  <c r="CR112" i="1"/>
  <c r="CT90" i="1"/>
  <c r="CT104" i="1"/>
  <c r="CT95" i="1"/>
  <c r="CT112" i="1"/>
  <c r="CV90" i="1"/>
  <c r="CV95" i="1"/>
  <c r="CV112" i="1"/>
  <c r="CV104" i="1"/>
  <c r="AE87" i="1"/>
  <c r="CY112" i="1"/>
  <c r="CY104" i="1"/>
  <c r="CY95" i="1"/>
  <c r="CZ90" i="1"/>
  <c r="CZ112" i="1"/>
  <c r="CZ95" i="1"/>
  <c r="CZ104" i="1"/>
  <c r="DA90" i="1"/>
  <c r="DA95" i="1"/>
  <c r="DA104" i="1"/>
  <c r="DA112" i="1"/>
  <c r="CX90" i="1"/>
  <c r="CX104" i="1"/>
  <c r="CX112" i="1"/>
  <c r="CX95" i="1"/>
  <c r="AC87" i="1"/>
  <c r="CU90" i="1"/>
  <c r="CY90" i="1"/>
  <c r="AB90" i="1" l="1"/>
  <c r="AE90" i="1"/>
  <c r="AD90" i="1"/>
  <c r="AC90" i="1"/>
  <c r="DB96" i="1" l="1"/>
  <c r="DB91" i="1"/>
  <c r="CS96" i="1"/>
  <c r="CS91" i="1"/>
  <c r="CZ96" i="1"/>
  <c r="CZ91" i="1"/>
  <c r="CT91" i="1"/>
  <c r="CT96" i="1"/>
  <c r="DA91" i="1"/>
  <c r="DA96" i="1"/>
  <c r="CR96" i="1"/>
  <c r="CR91" i="1"/>
  <c r="CX96" i="1"/>
  <c r="CX91" i="1"/>
  <c r="CP96" i="1"/>
  <c r="CP91" i="1"/>
  <c r="CW96" i="1"/>
  <c r="CW91" i="1"/>
  <c r="CO96" i="1"/>
  <c r="CO91" i="1"/>
  <c r="CV96" i="1"/>
  <c r="CV91" i="1"/>
  <c r="CN96" i="1"/>
  <c r="CN91" i="1"/>
  <c r="CM91" i="1"/>
  <c r="CM96" i="1"/>
  <c r="AB88" i="1"/>
  <c r="AB91" i="1" s="1"/>
  <c r="CQ91" i="1"/>
  <c r="CQ96" i="1"/>
  <c r="AC88" i="1"/>
  <c r="CU91" i="1"/>
  <c r="CU96" i="1"/>
  <c r="AD88" i="1"/>
  <c r="CY91" i="1"/>
  <c r="CY96" i="1"/>
  <c r="AE88" i="1"/>
  <c r="AD91" i="1" l="1"/>
  <c r="AC91" i="1"/>
  <c r="AE91" i="1"/>
  <c r="AA72" i="1" l="1"/>
  <c r="AB72" i="1"/>
  <c r="Z72" i="1"/>
  <c r="Y72" i="1"/>
  <c r="X72" i="1"/>
  <c r="W72" i="1"/>
  <c r="V72" i="1"/>
  <c r="U72" i="1"/>
  <c r="U74" i="1"/>
  <c r="U75" i="1"/>
  <c r="U78" i="1"/>
  <c r="U94" i="1"/>
  <c r="T72" i="1"/>
  <c r="S72" i="1"/>
  <c r="S74" i="1"/>
  <c r="S108" i="1"/>
  <c r="S112" i="1"/>
  <c r="R72" i="1"/>
  <c r="Q72" i="1"/>
  <c r="P72" i="1"/>
  <c r="P74" i="1"/>
  <c r="P75" i="1"/>
  <c r="P77" i="1"/>
  <c r="AC72" i="1"/>
  <c r="AD72" i="1"/>
  <c r="AE72" i="1"/>
  <c r="AE74" i="1"/>
  <c r="AE75" i="1"/>
  <c r="AE78" i="1"/>
  <c r="AE94" i="1"/>
  <c r="O72" i="1"/>
  <c r="N72" i="1"/>
  <c r="M72" i="1"/>
  <c r="L72" i="1"/>
  <c r="K72" i="1"/>
  <c r="J72" i="1"/>
  <c r="I72" i="1"/>
  <c r="H72" i="1"/>
  <c r="G72" i="1"/>
  <c r="G74" i="1"/>
  <c r="G101" i="1"/>
  <c r="G105" i="1"/>
  <c r="L74" i="1"/>
  <c r="L108" i="1"/>
  <c r="L113" i="1"/>
  <c r="P101" i="1"/>
  <c r="P105" i="1"/>
  <c r="Z74" i="1"/>
  <c r="Z101" i="1"/>
  <c r="Z103" i="1"/>
  <c r="Z104" i="1"/>
  <c r="U96" i="1"/>
  <c r="G117" i="1"/>
  <c r="G120" i="1"/>
  <c r="G123" i="1"/>
  <c r="O74" i="1"/>
  <c r="O101" i="1"/>
  <c r="O104" i="1"/>
  <c r="O117" i="1"/>
  <c r="O120" i="1"/>
  <c r="O123" i="1"/>
  <c r="O75" i="1"/>
  <c r="O77" i="1"/>
  <c r="J74" i="1"/>
  <c r="J117" i="1"/>
  <c r="J120" i="1"/>
  <c r="J123" i="1"/>
  <c r="F72" i="1"/>
  <c r="F74" i="1"/>
  <c r="F75" i="1"/>
  <c r="F78" i="1"/>
  <c r="R74" i="1"/>
  <c r="R75" i="1"/>
  <c r="R78" i="1"/>
  <c r="AA73" i="1"/>
  <c r="AB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Z108" i="1"/>
  <c r="AE108" i="1"/>
  <c r="AE112" i="1"/>
  <c r="F96" i="1"/>
  <c r="R94" i="1"/>
  <c r="H74" i="1"/>
  <c r="H117" i="1"/>
  <c r="H120" i="1"/>
  <c r="H123" i="1"/>
  <c r="K74" i="1"/>
  <c r="K108" i="1"/>
  <c r="N74" i="1"/>
  <c r="N108" i="1"/>
  <c r="T74" i="1"/>
  <c r="T75" i="1"/>
  <c r="T108" i="1"/>
  <c r="K117" i="1"/>
  <c r="L75" i="1"/>
  <c r="L78" i="1"/>
  <c r="L112" i="1"/>
  <c r="V74" i="1"/>
  <c r="AC73" i="1"/>
  <c r="Z112" i="1"/>
  <c r="Z113" i="1"/>
  <c r="AA74" i="1"/>
  <c r="AA75" i="1"/>
  <c r="AA78" i="1"/>
  <c r="U108" i="1"/>
  <c r="P78" i="1"/>
  <c r="W74" i="1"/>
  <c r="W75" i="1"/>
  <c r="W78" i="1"/>
  <c r="W94" i="1"/>
  <c r="L116" i="1"/>
  <c r="Y74" i="1"/>
  <c r="Y117" i="1"/>
  <c r="L117" i="1"/>
  <c r="N111" i="1"/>
  <c r="I73" i="1"/>
  <c r="L79" i="1"/>
  <c r="S75" i="1"/>
  <c r="S77" i="1"/>
  <c r="Q98" i="1"/>
  <c r="L77" i="1"/>
  <c r="F77" i="1"/>
  <c r="M74" i="1"/>
  <c r="M75" i="1"/>
  <c r="M77" i="1"/>
  <c r="T78" i="1"/>
  <c r="T94" i="1"/>
  <c r="N75" i="1"/>
  <c r="T96" i="1"/>
  <c r="T101" i="1"/>
  <c r="K101" i="1"/>
  <c r="T104" i="1"/>
  <c r="K105" i="1"/>
  <c r="E98" i="1"/>
  <c r="G108" i="1"/>
  <c r="G111" i="1"/>
  <c r="I74" i="1"/>
  <c r="I117" i="1"/>
  <c r="I120" i="1"/>
  <c r="AC74" i="1"/>
  <c r="AC75" i="1"/>
  <c r="AC78" i="1"/>
  <c r="AC79" i="1"/>
  <c r="S111" i="1"/>
  <c r="L101" i="1"/>
  <c r="L103" i="1"/>
  <c r="K116" i="1"/>
  <c r="K119" i="1"/>
  <c r="K122" i="1"/>
  <c r="T103" i="1"/>
  <c r="P104" i="1"/>
  <c r="T77" i="1"/>
  <c r="I75" i="1"/>
  <c r="I77" i="1"/>
  <c r="T98" i="1"/>
  <c r="F94" i="1"/>
  <c r="K98" i="1"/>
  <c r="T112" i="1"/>
  <c r="U95" i="1"/>
  <c r="N113" i="1"/>
  <c r="S98" i="1"/>
  <c r="K120" i="1"/>
  <c r="N77" i="1"/>
  <c r="T117" i="1"/>
  <c r="T120" i="1"/>
  <c r="T123" i="1"/>
  <c r="U101" i="1"/>
  <c r="U105" i="1"/>
  <c r="R77" i="1"/>
  <c r="K75" i="1"/>
  <c r="K112" i="1"/>
  <c r="AE117" i="1"/>
  <c r="AE101" i="1"/>
  <c r="AB74" i="1"/>
  <c r="AB116" i="1"/>
  <c r="AB119" i="1"/>
  <c r="AD74" i="1"/>
  <c r="AD101" i="1"/>
  <c r="AD104" i="1"/>
  <c r="L111" i="1"/>
  <c r="R96" i="1"/>
  <c r="O103" i="1"/>
  <c r="G113" i="1"/>
  <c r="M108" i="1"/>
  <c r="M111" i="1"/>
  <c r="K78" i="1"/>
  <c r="K94" i="1"/>
  <c r="T113" i="1"/>
  <c r="AC101" i="1"/>
  <c r="AC103" i="1"/>
  <c r="K79" i="1"/>
  <c r="E72" i="1"/>
  <c r="E74" i="1"/>
  <c r="E101" i="1"/>
  <c r="E104" i="1"/>
  <c r="T116" i="1"/>
  <c r="N116" i="1"/>
  <c r="K123" i="1"/>
  <c r="V116" i="1"/>
  <c r="V119" i="1"/>
  <c r="V122" i="1"/>
  <c r="N117" i="1"/>
  <c r="Q74" i="1"/>
  <c r="Q116" i="1"/>
  <c r="Q119" i="1"/>
  <c r="O78" i="1"/>
  <c r="Y101" i="1"/>
  <c r="AA77" i="1"/>
  <c r="AA79" i="1"/>
  <c r="I101" i="1"/>
  <c r="AB101" i="1"/>
  <c r="AB75" i="1"/>
  <c r="AB78" i="1"/>
  <c r="F108" i="1"/>
  <c r="AB105" i="1"/>
  <c r="H75" i="1"/>
  <c r="AD108" i="1"/>
  <c r="V117" i="1"/>
  <c r="U79" i="1"/>
  <c r="E108" i="1"/>
  <c r="AD112" i="1"/>
  <c r="AE79" i="1"/>
  <c r="AA95" i="1"/>
  <c r="L94" i="1"/>
  <c r="S101" i="1"/>
  <c r="S105" i="1"/>
  <c r="N101" i="1"/>
  <c r="N104" i="1"/>
  <c r="S116" i="1"/>
  <c r="S119" i="1"/>
  <c r="S117" i="1"/>
  <c r="O116" i="1"/>
  <c r="S104" i="1"/>
  <c r="R101" i="1"/>
  <c r="R105" i="1"/>
  <c r="K104" i="1"/>
  <c r="G116" i="1"/>
  <c r="G119" i="1"/>
  <c r="G122" i="1"/>
  <c r="J116" i="1"/>
  <c r="J119" i="1"/>
  <c r="P117" i="1"/>
  <c r="P120" i="1"/>
  <c r="AA108" i="1"/>
  <c r="AA111" i="1"/>
  <c r="Z117" i="1"/>
  <c r="Z120" i="1"/>
  <c r="Z123" i="1"/>
  <c r="P123" i="1"/>
  <c r="P116" i="1"/>
  <c r="P119" i="1"/>
  <c r="P122" i="1"/>
  <c r="F117" i="1"/>
  <c r="F120" i="1"/>
  <c r="F123" i="1"/>
  <c r="F116" i="1"/>
  <c r="F119" i="1"/>
  <c r="AC108" i="1"/>
  <c r="AC112" i="1"/>
  <c r="V101" i="1"/>
  <c r="V104" i="1"/>
  <c r="E116" i="1"/>
  <c r="E119" i="1"/>
  <c r="T95" i="1"/>
  <c r="N98" i="1"/>
  <c r="O108" i="1"/>
  <c r="I78" i="1"/>
  <c r="N103" i="1"/>
  <c r="AA117" i="1"/>
  <c r="Y108" i="1"/>
  <c r="Y112" i="1"/>
  <c r="AD75" i="1"/>
  <c r="AE77" i="1"/>
  <c r="T79" i="1"/>
  <c r="N112" i="1"/>
  <c r="AC117" i="1"/>
  <c r="AD116" i="1"/>
  <c r="R116" i="1"/>
  <c r="R119" i="1"/>
  <c r="R122" i="1"/>
  <c r="O105" i="1"/>
  <c r="Z105" i="1"/>
  <c r="AC96" i="1"/>
  <c r="J108" i="1"/>
  <c r="J111" i="1"/>
  <c r="R117" i="1"/>
  <c r="R120" i="1"/>
  <c r="G103" i="1"/>
  <c r="AC116" i="1"/>
  <c r="G112" i="1"/>
  <c r="I95" i="1"/>
  <c r="T111" i="1"/>
  <c r="E103" i="1"/>
  <c r="AA101" i="1"/>
  <c r="H73" i="1"/>
  <c r="G73" i="1"/>
  <c r="F73" i="1"/>
  <c r="AA120" i="1"/>
  <c r="AA123" i="1"/>
  <c r="K111" i="1"/>
  <c r="I123" i="1"/>
  <c r="P103" i="1"/>
  <c r="H98" i="1"/>
  <c r="Q75" i="1"/>
  <c r="Q78" i="1"/>
  <c r="P98" i="1"/>
  <c r="J101" i="1"/>
  <c r="J105" i="1"/>
  <c r="Y104" i="1"/>
  <c r="AD73" i="1"/>
  <c r="Y116" i="1"/>
  <c r="Y119" i="1"/>
  <c r="Y122" i="1"/>
  <c r="M116" i="1"/>
  <c r="M119" i="1"/>
  <c r="N120" i="1"/>
  <c r="Y75" i="1"/>
  <c r="W101" i="1"/>
  <c r="W105" i="1"/>
  <c r="I116" i="1"/>
  <c r="I119" i="1"/>
  <c r="AD78" i="1"/>
  <c r="AC120" i="1"/>
  <c r="AE103" i="1"/>
  <c r="AE116" i="1"/>
  <c r="N123" i="1"/>
  <c r="E73" i="1"/>
  <c r="AB98" i="1"/>
  <c r="T119" i="1"/>
  <c r="S78" i="1"/>
  <c r="S94" i="1"/>
  <c r="AE119" i="1"/>
  <c r="U104" i="1"/>
  <c r="I105" i="1"/>
  <c r="M117" i="1"/>
  <c r="M120" i="1"/>
  <c r="M123" i="1"/>
  <c r="V98" i="1"/>
  <c r="AB103" i="1"/>
  <c r="AA98" i="1"/>
  <c r="J75" i="1"/>
  <c r="X74" i="1"/>
  <c r="X116" i="1"/>
  <c r="X119" i="1"/>
  <c r="X122" i="1"/>
  <c r="X117" i="1"/>
  <c r="X120" i="1"/>
  <c r="X123" i="1"/>
  <c r="X108" i="1"/>
  <c r="X112" i="1"/>
  <c r="U116" i="1"/>
  <c r="U117" i="1"/>
  <c r="M122" i="1"/>
  <c r="U119" i="1"/>
  <c r="U122" i="1"/>
  <c r="W117" i="1"/>
  <c r="AC94" i="1"/>
  <c r="AE120" i="1"/>
  <c r="AC113" i="1"/>
  <c r="AD98" i="1"/>
  <c r="Z98" i="1"/>
  <c r="Y111" i="1"/>
  <c r="AC105" i="1"/>
  <c r="AD117" i="1"/>
  <c r="F95" i="1"/>
  <c r="AE96" i="1"/>
  <c r="E117" i="1"/>
  <c r="E120" i="1"/>
  <c r="E123" i="1"/>
  <c r="E75" i="1"/>
  <c r="E77" i="1"/>
  <c r="Y78" i="1"/>
  <c r="X98" i="1"/>
  <c r="R95" i="1"/>
  <c r="Q94" i="1"/>
  <c r="H101" i="1"/>
  <c r="H105" i="1"/>
  <c r="AD105" i="1"/>
  <c r="N119" i="1"/>
  <c r="N122" i="1"/>
  <c r="Y94" i="1"/>
  <c r="R104" i="1"/>
  <c r="W104" i="1"/>
  <c r="Y79" i="1"/>
  <c r="AE105" i="1"/>
  <c r="T122" i="1"/>
  <c r="Y95" i="1"/>
  <c r="R79" i="1"/>
  <c r="AE113" i="1"/>
  <c r="F79" i="1"/>
  <c r="Z111" i="1"/>
  <c r="K113" i="1"/>
  <c r="K103" i="1"/>
  <c r="AC104" i="1"/>
  <c r="AA94" i="1"/>
  <c r="AD77" i="1"/>
  <c r="AD103" i="1"/>
  <c r="T105" i="1"/>
  <c r="S122" i="1"/>
  <c r="AB108" i="1"/>
  <c r="AB113" i="1"/>
  <c r="AE104" i="1"/>
  <c r="AD95" i="1"/>
  <c r="Q117" i="1"/>
  <c r="Q120" i="1"/>
  <c r="Q123" i="1"/>
  <c r="Y96" i="1"/>
  <c r="W108" i="1"/>
  <c r="W111" i="1"/>
  <c r="N78" i="1"/>
  <c r="M98" i="1"/>
  <c r="N96" i="1"/>
  <c r="J122" i="1"/>
  <c r="O111" i="1"/>
  <c r="AB117" i="1"/>
  <c r="AB120" i="1"/>
  <c r="AB123" i="1"/>
  <c r="N94" i="1"/>
  <c r="R103" i="1"/>
  <c r="N105" i="1"/>
  <c r="AA116" i="1"/>
  <c r="AA119" i="1"/>
  <c r="AA122" i="1"/>
  <c r="L96" i="1"/>
  <c r="AA105" i="1"/>
  <c r="AC98" i="1"/>
  <c r="L119" i="1"/>
  <c r="L122" i="1"/>
  <c r="Q96" i="1"/>
  <c r="Z116" i="1"/>
  <c r="Z119" i="1"/>
  <c r="Z122" i="1"/>
  <c r="R98" i="1"/>
  <c r="O119" i="1"/>
  <c r="O122" i="1"/>
  <c r="L104" i="1"/>
  <c r="J103" i="1"/>
  <c r="H104" i="1"/>
  <c r="S120" i="1"/>
  <c r="S123" i="1"/>
  <c r="H108" i="1"/>
  <c r="H111" i="1"/>
  <c r="U103" i="1"/>
  <c r="L95" i="1"/>
  <c r="H113" i="1"/>
  <c r="AA96" i="1"/>
  <c r="Q101" i="1"/>
  <c r="Q105" i="1"/>
  <c r="S79" i="1"/>
  <c r="O112" i="1"/>
  <c r="O94" i="1"/>
  <c r="AD96" i="1"/>
  <c r="H116" i="1"/>
  <c r="H119" i="1"/>
  <c r="H122" i="1"/>
  <c r="R123" i="1"/>
  <c r="I96" i="1"/>
  <c r="Y103" i="1"/>
  <c r="L120" i="1"/>
  <c r="L123" i="1"/>
  <c r="I94" i="1"/>
  <c r="J104" i="1"/>
  <c r="AC119" i="1"/>
  <c r="AD120" i="1"/>
  <c r="I122" i="1"/>
  <c r="L105" i="1"/>
  <c r="W112" i="1"/>
  <c r="S113" i="1"/>
  <c r="Z75" i="1"/>
  <c r="Z77" i="1"/>
  <c r="Y77" i="1"/>
  <c r="AD79" i="1"/>
  <c r="H112" i="1"/>
  <c r="W95" i="1"/>
  <c r="AB94" i="1"/>
  <c r="X75" i="1"/>
  <c r="X111" i="1"/>
  <c r="I108" i="1"/>
  <c r="G75" i="1"/>
  <c r="M78" i="1"/>
  <c r="V108" i="1"/>
  <c r="F101" i="1"/>
  <c r="U120" i="1"/>
  <c r="U123" i="1"/>
  <c r="M113" i="1"/>
  <c r="E78" i="1"/>
  <c r="W116" i="1"/>
  <c r="W119" i="1"/>
  <c r="W122" i="1"/>
  <c r="K95" i="1"/>
  <c r="AC95" i="1"/>
  <c r="Y113" i="1"/>
  <c r="AB122" i="1"/>
  <c r="W103" i="1"/>
  <c r="AE111" i="1"/>
  <c r="I112" i="1"/>
  <c r="AE123" i="1"/>
  <c r="Q79" i="1"/>
  <c r="V105" i="1"/>
  <c r="Q95" i="1"/>
  <c r="I113" i="1"/>
  <c r="M94" i="1"/>
  <c r="AB77" i="1"/>
  <c r="V75" i="1"/>
  <c r="V78" i="1"/>
  <c r="U98" i="1"/>
  <c r="M79" i="1"/>
  <c r="I111" i="1"/>
  <c r="J77" i="1"/>
  <c r="F113" i="1"/>
  <c r="V96" i="1"/>
  <c r="W79" i="1"/>
  <c r="X78" i="1"/>
  <c r="X79" i="1"/>
  <c r="H77" i="1"/>
  <c r="G78" i="1"/>
  <c r="G94" i="1"/>
  <c r="V111" i="1"/>
  <c r="Q77" i="1"/>
  <c r="Q104" i="1"/>
  <c r="AB95" i="1"/>
  <c r="W77" i="1"/>
  <c r="J112" i="1"/>
  <c r="S103" i="1"/>
  <c r="J113" i="1"/>
  <c r="K96" i="1"/>
  <c r="O79" i="1"/>
  <c r="AA112" i="1"/>
  <c r="J98" i="1"/>
  <c r="K77" i="1"/>
  <c r="AE73" i="1"/>
  <c r="H103" i="1"/>
  <c r="E122" i="1"/>
  <c r="O96" i="1"/>
  <c r="S95" i="1"/>
  <c r="W96" i="1"/>
  <c r="AC111" i="1"/>
  <c r="F104" i="1"/>
  <c r="I79" i="1"/>
  <c r="E113" i="1"/>
  <c r="V103" i="1"/>
  <c r="N95" i="1"/>
  <c r="AC123" i="1"/>
  <c r="AA103" i="1"/>
  <c r="O95" i="1"/>
  <c r="E105" i="1"/>
  <c r="P94" i="1"/>
  <c r="V79" i="1"/>
  <c r="V94" i="1"/>
  <c r="O98" i="1"/>
  <c r="P95" i="1"/>
  <c r="U77" i="1"/>
  <c r="F103" i="1"/>
  <c r="M96" i="1"/>
  <c r="AB96" i="1"/>
  <c r="L98" i="1"/>
  <c r="P79" i="1"/>
  <c r="U111" i="1"/>
  <c r="F98" i="1"/>
  <c r="G95" i="1"/>
  <c r="F112" i="1"/>
  <c r="F105" i="1"/>
  <c r="P96" i="1"/>
  <c r="U112" i="1"/>
  <c r="G96" i="1"/>
  <c r="U113" i="1"/>
  <c r="F111" i="1"/>
  <c r="V112" i="1"/>
  <c r="Z78" i="1"/>
  <c r="Z95" i="1"/>
  <c r="E96" i="1"/>
  <c r="AD111" i="1"/>
  <c r="E112" i="1"/>
  <c r="E79" i="1"/>
  <c r="W98" i="1"/>
  <c r="Z96" i="1"/>
  <c r="Z79" i="1"/>
  <c r="E111" i="1"/>
  <c r="E94" i="1"/>
  <c r="E95" i="1"/>
  <c r="W120" i="1"/>
  <c r="W123" i="1"/>
  <c r="AD119" i="1"/>
  <c r="AD122" i="1"/>
  <c r="V120" i="1"/>
  <c r="V123" i="1"/>
  <c r="D98" i="1"/>
  <c r="Y98" i="1"/>
  <c r="W113" i="1"/>
  <c r="O113" i="1"/>
  <c r="AE122" i="1"/>
  <c r="Q122" i="1"/>
  <c r="S96" i="1"/>
  <c r="Y105" i="1"/>
  <c r="Y120" i="1"/>
  <c r="Y123" i="1"/>
  <c r="AC122" i="1"/>
  <c r="AD94" i="1"/>
  <c r="AA104" i="1"/>
  <c r="AB112" i="1"/>
  <c r="AD123" i="1"/>
  <c r="M101" i="1"/>
  <c r="AB79" i="1"/>
  <c r="J78" i="1"/>
  <c r="V95" i="1"/>
  <c r="X101" i="1"/>
  <c r="X96" i="1"/>
  <c r="Q108" i="1"/>
  <c r="R108" i="1"/>
  <c r="P108" i="1"/>
  <c r="H78" i="1"/>
  <c r="AC77" i="1"/>
  <c r="G104" i="1"/>
  <c r="AE95" i="1"/>
  <c r="AD113" i="1"/>
  <c r="G79" i="1"/>
  <c r="I103" i="1"/>
  <c r="AB111" i="1"/>
  <c r="G77" i="1"/>
  <c r="AB104" i="1"/>
  <c r="M112" i="1"/>
  <c r="AA113" i="1"/>
  <c r="I104" i="1"/>
  <c r="X77" i="1"/>
  <c r="X113" i="1"/>
  <c r="X95" i="1"/>
  <c r="Z94" i="1"/>
  <c r="H95" i="1"/>
  <c r="F122" i="1"/>
  <c r="P113" i="1"/>
  <c r="X94" i="1"/>
  <c r="J96" i="1"/>
  <c r="Q103" i="1"/>
  <c r="M104" i="1"/>
  <c r="X103" i="1"/>
  <c r="P112" i="1"/>
  <c r="M95" i="1"/>
  <c r="X104" i="1"/>
  <c r="V113" i="1"/>
  <c r="J79" i="1"/>
  <c r="X105" i="1"/>
  <c r="J94" i="1"/>
  <c r="Q113" i="1"/>
  <c r="M103" i="1"/>
  <c r="G98" i="1"/>
  <c r="R111" i="1"/>
  <c r="V77" i="1"/>
  <c r="Q111" i="1"/>
  <c r="Q112" i="1"/>
  <c r="I98" i="1"/>
  <c r="J95" i="1"/>
  <c r="H94" i="1"/>
  <c r="M105" i="1"/>
  <c r="R112" i="1"/>
  <c r="R113" i="1"/>
  <c r="H79" i="1"/>
  <c r="P111" i="1"/>
  <c r="H96" i="1"/>
  <c r="N7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<sst xmlns="http://schemas.openxmlformats.org/spreadsheetml/2006/main" count="673" uniqueCount="533">
  <si>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</si>
  <si>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</si>
  <si>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</si>
  <si>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</si>
  <si>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</si>
  <si>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</si>
  <si>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</si>
  <si>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</si>
  <si>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</si>
  <si>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</si>
  <si>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</si>
  <si>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</si>
  <si>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</si>
  <si>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</si>
  <si>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</si>
  <si>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</si>
  <si>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</si>
  <si>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</si>
  <si>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</si>
  <si>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</si>
  <si>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</si>
  <si>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</si>
  <si>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</si>
  <si>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</si>
  <si>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</si>
  <si>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</si>
  <si>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</si>
  <si>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</si>
  <si>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</si>
  <si>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</si>
  <si>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</si>
  <si>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</si>
  <si>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</si>
  <si>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</si>
  <si>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</si>
  <si>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</si>
  <si>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</si>
  <si>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</si>
  <si>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</si>
  <si>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</si>
  <si>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</si>
  <si>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</si>
  <si>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</si>
  <si>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</si>
  <si>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</si>
  <si>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</si>
  <si>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</si>
  <si>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</si>
  <si>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</si>
  <si>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</si>
  <si>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</si>
  <si>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</si>
  <si>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</si>
  <si>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</si>
  <si>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</si>
  <si>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</si>
  <si>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</si>
  <si>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</si>
  <si>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</si>
  <si>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</si>
  <si>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</si>
  <si>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</si>
  <si>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</si>
  <si>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</si>
  <si>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</si>
  <si>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</si>
  <si>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</si>
  <si>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</si>
  <si>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</si>
  <si>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</si>
  <si>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</si>
  <si>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</si>
  <si>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</si>
  <si>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</si>
  <si>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</si>
  <si>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</si>
  <si>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</si>
  <si>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</si>
  <si>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</si>
  <si>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</si>
  <si>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</si>
  <si>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</si>
  <si>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</si>
  <si>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</si>
  <si>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</si>
  <si>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</si>
  <si>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</si>
  <si>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</si>
  <si>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</si>
  <si>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</si>
  <si>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</si>
  <si>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</si>
  <si>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</si>
  <si>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</si>
  <si>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</si>
  <si>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</si>
  <si>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</si>
  <si>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</si>
  <si>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</si>
  <si>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</si>
  <si>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</si>
  <si>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</si>
  <si>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</si>
  <si>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</si>
  <si>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</si>
  <si>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</si>
  <si>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</si>
  <si>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</si>
  <si>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</si>
  <si>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</si>
  <si>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</si>
  <si>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</si>
  <si>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</si>
  <si>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</si>
  <si>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</si>
  <si>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</si>
  <si>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</si>
  <si>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</si>
  <si>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</si>
  <si>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</si>
  <si>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</si>
  <si>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</si>
  <si>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</si>
  <si>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</si>
  <si>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</si>
  <si>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</si>
  <si>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</si>
  <si>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</si>
  <si>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</si>
  <si>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</si>
  <si>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</si>
  <si>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</si>
  <si>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</si>
  <si>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</si>
  <si>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</si>
  <si>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</si>
  <si>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</si>
  <si>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</si>
  <si>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</si>
  <si>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</si>
  <si>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</si>
  <si>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</si>
  <si>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</si>
  <si>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</si>
  <si>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</si>
  <si>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</si>
  <si>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</si>
  <si>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</si>
  <si>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</si>
  <si>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</si>
  <si>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</si>
  <si>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</si>
  <si>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</si>
  <si>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</si>
  <si>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</si>
  <si>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</si>
  <si>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</si>
  <si>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</si>
  <si>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</si>
  <si>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</si>
  <si>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</si>
  <si>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</si>
  <si>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</si>
  <si>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</si>
  <si>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</si>
  <si>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</si>
  <si>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</si>
  <si>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</si>
  <si>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</si>
  <si>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</si>
  <si>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</si>
  <si>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</si>
  <si>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</si>
  <si>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</si>
  <si>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</si>
  <si>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</si>
  <si>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</si>
  <si>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</si>
  <si>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</si>
  <si>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</si>
  <si>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</si>
  <si>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</si>
  <si>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</si>
  <si>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</si>
  <si>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</si>
  <si>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</si>
  <si>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</si>
  <si>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</si>
  <si>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</si>
  <si>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</si>
  <si>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</si>
  <si>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</si>
  <si>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</si>
  <si>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</si>
  <si>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</si>
  <si>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</si>
  <si>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</si>
  <si>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</si>
  <si>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</si>
  <si>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</si>
  <si>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</si>
  <si>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</si>
  <si>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</si>
  <si>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</si>
  <si>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</si>
  <si>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</si>
  <si>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</si>
  <si>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</si>
  <si>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</si>
  <si>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</si>
  <si>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</si>
  <si>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</si>
  <si>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</si>
  <si>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</si>
  <si>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</si>
  <si>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</si>
  <si>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</si>
  <si>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</si>
  <si>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</si>
  <si>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</si>
  <si>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</si>
  <si>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</si>
  <si>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</si>
  <si>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</si>
  <si>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</si>
  <si>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</si>
  <si>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</si>
  <si>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</si>
  <si>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</si>
  <si>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</si>
  <si>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</si>
  <si>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</si>
  <si>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</si>
  <si>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</si>
  <si>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</si>
  <si>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</si>
  <si>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</si>
  <si>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</si>
  <si>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</si>
  <si>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</si>
  <si>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</si>
  <si>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</si>
  <si>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</si>
  <si>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</si>
  <si>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</si>
  <si>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</si>
  <si>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</si>
  <si>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</si>
  <si>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</si>
  <si>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</si>
  <si>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</si>
  <si>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</si>
  <si>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</si>
  <si>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</si>
  <si>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</si>
  <si>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</si>
  <si>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</si>
  <si>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</si>
  <si>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</si>
  <si>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</si>
  <si>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</si>
  <si>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</si>
  <si>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</si>
  <si>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</si>
  <si>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</si>
  <si>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</si>
  <si>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</si>
  <si>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</si>
  <si>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</si>
  <si>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</si>
  <si>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</si>
  <si>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</si>
  <si>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</si>
  <si>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</si>
  <si>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</si>
  <si>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</si>
  <si>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</si>
  <si>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</si>
  <si>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</si>
  <si>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</si>
  <si>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</si>
  <si>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</si>
  <si>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</si>
  <si>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</si>
  <si>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</si>
  <si>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</si>
  <si>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</si>
  <si>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</si>
  <si>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</si>
  <si>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</si>
  <si>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</si>
  <si>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</si>
  <si>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</si>
  <si>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</si>
  <si>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</si>
  <si>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</si>
  <si>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</si>
  <si>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</si>
  <si>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</si>
  <si>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</si>
  <si>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</si>
  <si>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</si>
  <si>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</si>
  <si>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</si>
  <si>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</si>
  <si>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</si>
  <si>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</si>
  <si>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</si>
  <si>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</si>
  <si>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</si>
  <si>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</si>
  <si>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</si>
  <si>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</si>
  <si>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</si>
  <si>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</si>
  <si>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</si>
  <si>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</si>
  <si>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</si>
  <si>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</si>
  <si>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</si>
  <si>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</si>
  <si>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</si>
  <si>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</si>
  <si>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</si>
  <si>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</si>
  <si>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</si>
  <si>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</si>
  <si>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</si>
  <si>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</si>
  <si>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</si>
  <si>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</si>
  <si>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</si>
  <si>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</si>
  <si>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</si>
  <si>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</si>
  <si>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</si>
  <si>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</si>
  <si>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</si>
  <si>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</si>
  <si>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</si>
  <si>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</si>
  <si>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</si>
  <si>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</si>
  <si>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</si>
  <si>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</si>
  <si>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</si>
  <si>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</si>
  <si>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</si>
  <si>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</si>
  <si>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</si>
  <si>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</si>
  <si>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</si>
  <si>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</si>
  <si>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</si>
  <si>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</si>
  <si>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</si>
  <si>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</si>
  <si>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</si>
  <si>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</si>
  <si>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</si>
  <si>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</si>
  <si>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</si>
  <si>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</si>
  <si>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</si>
  <si>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</si>
  <si>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</si>
  <si>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</si>
  <si>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</si>
  <si>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</si>
  <si>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</si>
  <si>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</si>
  <si>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</si>
  <si>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</si>
  <si>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</si>
  <si>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</si>
  <si>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</si>
  <si>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</si>
  <si>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</si>
  <si>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</si>
  <si>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</si>
  <si>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</si>
  <si>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</si>
  <si>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</si>
  <si>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</si>
  <si>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</si>
  <si>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</si>
  <si>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</si>
  <si>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</si>
  <si>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</si>
  <si>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</si>
  <si>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</si>
  <si>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</si>
  <si>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</si>
  <si>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</si>
  <si>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</si>
  <si>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</si>
  <si>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</si>
  <si>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</si>
  <si>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</si>
  <si>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</si>
  <si>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</si>
  <si>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</si>
  <si>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</si>
  <si>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</si>
  <si>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</si>
  <si>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</si>
  <si>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</si>
  <si>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</si>
  <si>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</si>
  <si>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</si>
  <si>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</si>
  <si>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</si>
  <si>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</si>
  <si>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</si>
  <si>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</si>
  <si>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</si>
  <si>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</si>
  <si>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</si>
  <si>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</si>
  <si>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</si>
  <si>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</si>
  <si>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</si>
  <si>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</si>
  <si>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</si>
  <si>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</si>
  <si>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</si>
  <si>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</si>
  <si>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</si>
  <si>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</si>
  <si>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</si>
  <si>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</si>
  <si>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</si>
  <si>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</si>
  <si>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</si>
  <si>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</si>
  <si>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</si>
  <si>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</si>
  <si>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</si>
  <si>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</si>
  <si>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</si>
  <si>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</si>
  <si>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</si>
  <si>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</si>
  <si>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</si>
  <si>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</si>
  <si>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</si>
  <si>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</si>
  <si>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</si>
  <si>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</si>
  <si>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</si>
  <si>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</si>
  <si>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</si>
  <si>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</si>
  <si>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</si>
  <si>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</si>
  <si>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</si>
  <si>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</si>
  <si>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</si>
  <si>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</si>
  <si>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</si>
  <si>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</si>
  <si>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</si>
  <si>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</si>
  <si>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</si>
  <si>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</si>
  <si>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</si>
  <si>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</si>
  <si>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</si>
  <si>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</si>
  <si>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</si>
  <si>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</si>
  <si>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</si>
  <si>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</si>
  <si>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</si>
  <si>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</si>
  <si>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</si>
  <si>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</si>
  <si>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</si>
  <si>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</si>
  <si>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</si>
  <si>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</si>
  <si>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</si>
  <si>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</si>
  <si>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</si>
  <si>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</si>
  <si>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</si>
  <si>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</si>
  <si>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</si>
  <si>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</si>
  <si>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</si>
  <si>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</si>
  <si>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</si>
  <si>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</si>
  <si>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</si>
  <si>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</si>
  <si>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</si>
  <si>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</si>
  <si>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</si>
  <si>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</si>
  <si>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</si>
  <si>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</si>
  <si>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</si>
  <si>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</si>
  <si>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</si>
  <si>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</si>
  <si>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</si>
  <si>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</si>
  <si>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</si>
  <si>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</si>
  <si>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</si>
  <si>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</si>
  <si>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</si>
  <si>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</si>
  <si>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</si>
  <si>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</si>
  <si>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DATE</t>
  </si>
  <si>
    <t>ADJCLOSE</t>
  </si>
  <si>
    <t>ADJHIGH</t>
  </si>
  <si>
    <t>ADJLOW</t>
  </si>
  <si>
    <t>ADJOPEN</t>
  </si>
  <si>
    <t>CLOSE</t>
  </si>
  <si>
    <t>VOLUME</t>
  </si>
  <si>
    <t>Revenue Metrics (/tonnes)</t>
  </si>
  <si>
    <t>Revenue</t>
  </si>
  <si>
    <t xml:space="preserve">Raw Materials </t>
  </si>
  <si>
    <t>Cost</t>
  </si>
  <si>
    <t>EBITDA / tonnes</t>
  </si>
  <si>
    <t>Revenue YoY%</t>
  </si>
  <si>
    <t>Revenue Volume (million tonnes)</t>
  </si>
  <si>
    <t>Tata Steel Ltd.</t>
  </si>
  <si>
    <t>Volume TTM</t>
  </si>
  <si>
    <t>Growth %</t>
  </si>
  <si>
    <t>Ebitda per Tonne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</si>
</sst>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97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43" fontId="18" fillId="2" borderId="0" xfId="2" applyFont="1" applyFill="1" applyAlignment="1">
      <alignment horizontal="left"/>
    </xf>
    <xf numFmtId="9" fontId="20" fillId="2" borderId="0" xfId="1" applyFont="1" applyFill="1" applyAlignment="1">
      <alignment horizontal="right"/>
    </xf>
    <xf numFmtId="9" fontId="20" fillId="7" borderId="0" xfId="1" applyFont="1" applyFill="1" applyAlignment="1">
      <alignment horizontal="right"/>
    </xf>
    <xf numFmtId="17" fontId="5" fillId="0" borderId="0" xfId="0" applyNumberFormat="1" applyFont="1" applyAlignment="1">
      <alignment horizontal="center"/>
    </xf>
    <xf numFmtId="9" fontId="7" fillId="0" borderId="0" xfId="2" applyNumberFormat="1" applyFont="1" applyAlignment="1">
      <alignment horizontal="center"/>
    </xf>
    <xf numFmtId="43" fontId="9" fillId="0" borderId="0" xfId="0" applyNumberFormat="1" applyFont="1"/>
    <xf numFmtId="43" fontId="7" fillId="0" borderId="0" xfId="0" applyNumberFormat="1" applyFont="1"/>
    <xf numFmtId="9" fontId="4" fillId="4" borderId="0" xfId="2" applyNumberFormat="1" applyFont="1" applyFill="1"/>
    <xf numFmtId="43" fontId="9" fillId="4" borderId="0" xfId="0" applyNumberFormat="1" applyFont="1" applyFill="1"/>
    <xf numFmtId="9" fontId="4" fillId="3" borderId="0" xfId="1" applyFont="1" applyFill="1"/>
    <xf numFmtId="9" fontId="5" fillId="3" borderId="0" xfId="1" applyFont="1" applyFill="1"/>
    <xf numFmtId="9" fontId="5" fillId="7" borderId="0" xfId="1" applyFont="1" applyFill="1"/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68"/>
  <sheetViews>
    <sheetView tabSelected="1" zoomScaleNormal="100" workbookViewId="0">
      <pane xSplit="1" ySplit="1" topLeftCell="CJ75" activePane="bottomRight" state="frozen"/>
      <selection pane="topRight" activeCell="B1" sqref="B1"/>
      <selection pane="bottomLeft" activeCell="A2" sqref="A2"/>
      <selection pane="bottomRight" activeCell="CM87" sqref="CM87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89" width="11.140625" style="2"/>
    <col min="90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Tata Steel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L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79">
        <f t="shared" si="15"/>
        <v>46112</v>
      </c>
      <c r="CM1" s="80">
        <f t="shared" ref="CM1" si="16">EOMONTH(CL1,3)</f>
        <v>46203</v>
      </c>
      <c r="CN1" s="80">
        <f t="shared" ref="CN1" si="17">EOMONTH(CM1,3)</f>
        <v>46295</v>
      </c>
      <c r="CO1" s="80">
        <f t="shared" ref="CO1" si="18">EOMONTH(CN1,3)</f>
        <v>46387</v>
      </c>
      <c r="CP1" s="80">
        <f t="shared" ref="CP1" si="19">EOMONTH(CO1,3)</f>
        <v>46477</v>
      </c>
      <c r="CQ1" s="80">
        <f t="shared" ref="CQ1" si="20">EOMONTH(CP1,3)</f>
        <v>46568</v>
      </c>
      <c r="CR1" s="80">
        <f t="shared" ref="CR1" si="21">EOMONTH(CQ1,3)</f>
        <v>46660</v>
      </c>
      <c r="CS1" s="80">
        <f t="shared" ref="CS1" si="22">EOMONTH(CR1,3)</f>
        <v>46752</v>
      </c>
      <c r="CT1" s="80">
        <f t="shared" ref="CT1" si="23">EOMONTH(CS1,3)</f>
        <v>46843</v>
      </c>
      <c r="CU1" s="80">
        <f t="shared" ref="CU1" si="24">EOMONTH(CT1,3)</f>
        <v>46934</v>
      </c>
      <c r="CV1" s="80">
        <f t="shared" ref="CV1" si="25">EOMONTH(CU1,3)</f>
        <v>47026</v>
      </c>
      <c r="CW1" s="80">
        <f t="shared" ref="CW1" si="26">EOMONTH(CV1,3)</f>
        <v>47118</v>
      </c>
      <c r="CX1" s="80">
        <f t="shared" ref="CX1" si="27">EOMONTH(CW1,3)</f>
        <v>47208</v>
      </c>
      <c r="CY1" s="80">
        <f t="shared" ref="CY1" si="28">EOMONTH(CX1,3)</f>
        <v>47299</v>
      </c>
      <c r="CZ1" s="80">
        <f t="shared" ref="CZ1" si="29">EOMONTH(CY1,3)</f>
        <v>47391</v>
      </c>
      <c r="DA1" s="80">
        <f t="shared" ref="DA1" si="30">EOMONTH(CZ1,3)</f>
        <v>47483</v>
      </c>
      <c r="DB1" s="80">
        <f t="shared" ref="DB1" si="31">EOMONTH(DA1,3)</f>
        <v>47573</v>
      </c>
      <c r="DE1" s="148" t="s">
        <v>445</v>
      </c>
      <c r="DF1" s="188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7"/>
      <c r="CL2" s="107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6"/>
      <c r="CL3" s="156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09" customFormat="1" x14ac:dyDescent="0.2">
      <c r="A4" s="185" t="s">
        <v>528</v>
      </c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56">
        <f t="shared" ref="N4" si="32">+SUM(AI4:AL4)</f>
        <v>24.139999999999997</v>
      </c>
      <c r="O4" s="156">
        <f t="shared" ref="O4" si="33">+SUM(AM4:AP4)</f>
        <v>26.560000000000002</v>
      </c>
      <c r="P4" s="156">
        <f t="shared" ref="P4" si="34">+SUM(AQ4:AT4)</f>
        <v>26.32</v>
      </c>
      <c r="Q4" s="156">
        <f t="shared" ref="Q4" si="35">+SUM(AU4:AX4)</f>
        <v>25.310000000000002</v>
      </c>
      <c r="R4" s="156">
        <f t="shared" ref="R4" si="36">+SUM(AY4:BB4)</f>
        <v>23.880000000000003</v>
      </c>
      <c r="S4" s="156">
        <f t="shared" ref="S4" si="37">+SUM(BC4:BF4)</f>
        <v>25.27</v>
      </c>
      <c r="T4" s="156">
        <f t="shared" ref="T4" si="38">+SUM(BG4:BJ4)</f>
        <v>27.85</v>
      </c>
      <c r="U4" s="156">
        <f t="shared" ref="U4" si="39">+SUM(BK4:BN4)</f>
        <v>26.68</v>
      </c>
      <c r="V4" s="156">
        <f t="shared" ref="V4" si="40">+SUM(BO4:BR4)</f>
        <v>27.04</v>
      </c>
      <c r="W4" s="156">
        <f t="shared" ref="W4" si="41">+SUM(BS4:BV4)</f>
        <v>29.519999999999996</v>
      </c>
      <c r="X4" s="156">
        <f t="shared" ref="X4" si="42">+SUM(BW4:BZ4)</f>
        <v>28.78</v>
      </c>
      <c r="Y4" s="156">
        <f t="shared" ref="Y4" si="43">+SUM(CA4:CD4)</f>
        <v>29.17</v>
      </c>
      <c r="Z4" s="156">
        <f t="shared" ref="Z4" si="44">+SUM(CE4:CH4)</f>
        <v>30.939999999999998</v>
      </c>
      <c r="AA4" s="157">
        <f t="shared" ref="AA4" si="45">+SUM(CI4:CL4)</f>
        <v>31.869999999999997</v>
      </c>
      <c r="AB4" s="157">
        <f t="shared" ref="AB4" si="46">+SUM(CM4:CP4)</f>
        <v>33.98171208572866</v>
      </c>
      <c r="AC4" s="157">
        <f t="shared" ref="AC4" si="47">+SUM(CQ4:CT4)</f>
        <v>36.348227789341706</v>
      </c>
      <c r="AD4" s="157">
        <f t="shared" ref="AD4" si="48">+SUM(CU4:CX4)</f>
        <v>38.899397225696852</v>
      </c>
      <c r="AE4" s="157">
        <f t="shared" ref="AE4" si="49">+SUM(CY4:DB4)</f>
        <v>41.633327203503256</v>
      </c>
      <c r="AI4" s="107">
        <v>5.68</v>
      </c>
      <c r="AJ4" s="107">
        <v>6.07</v>
      </c>
      <c r="AK4" s="107">
        <v>5.83</v>
      </c>
      <c r="AL4" s="107">
        <v>6.56</v>
      </c>
      <c r="AM4" s="107">
        <v>6.08</v>
      </c>
      <c r="AN4" s="107">
        <v>6.48</v>
      </c>
      <c r="AO4" s="107">
        <v>6.38</v>
      </c>
      <c r="AP4" s="107">
        <v>7.62</v>
      </c>
      <c r="AQ4" s="107">
        <v>6.46</v>
      </c>
      <c r="AR4" s="107">
        <v>6.5</v>
      </c>
      <c r="AS4" s="107">
        <v>6.3</v>
      </c>
      <c r="AT4" s="107">
        <v>7.06</v>
      </c>
      <c r="AU4" s="107">
        <v>6.33</v>
      </c>
      <c r="AV4" s="107">
        <v>6.29</v>
      </c>
      <c r="AW4" s="107">
        <v>6.37</v>
      </c>
      <c r="AX4" s="107">
        <v>6.32</v>
      </c>
      <c r="AY4" s="107">
        <v>5.37</v>
      </c>
      <c r="AZ4" s="107">
        <v>5.61</v>
      </c>
      <c r="BA4" s="107">
        <v>6.07</v>
      </c>
      <c r="BB4" s="107">
        <v>6.83</v>
      </c>
      <c r="BC4" s="107">
        <v>5.83</v>
      </c>
      <c r="BD4" s="107">
        <v>6.45</v>
      </c>
      <c r="BE4" s="107">
        <v>6.56</v>
      </c>
      <c r="BF4" s="107">
        <v>6.43</v>
      </c>
      <c r="BG4" s="107">
        <v>6.55</v>
      </c>
      <c r="BH4" s="107">
        <v>6.8</v>
      </c>
      <c r="BI4" s="107">
        <v>6.99</v>
      </c>
      <c r="BJ4" s="107">
        <v>7.51</v>
      </c>
      <c r="BK4" s="107">
        <v>6.34</v>
      </c>
      <c r="BL4" s="107">
        <v>6.53</v>
      </c>
      <c r="BM4" s="107">
        <v>7.31</v>
      </c>
      <c r="BN4" s="107">
        <v>6.5</v>
      </c>
      <c r="BO4" s="107">
        <v>4.93</v>
      </c>
      <c r="BP4" s="107">
        <v>7.4</v>
      </c>
      <c r="BQ4" s="107">
        <v>6.88</v>
      </c>
      <c r="BR4" s="107">
        <v>7.83</v>
      </c>
      <c r="BS4" s="107">
        <v>7.11</v>
      </c>
      <c r="BT4" s="107">
        <v>7.39</v>
      </c>
      <c r="BU4" s="107">
        <v>7.01</v>
      </c>
      <c r="BV4" s="107">
        <v>8.01</v>
      </c>
      <c r="BW4" s="107">
        <v>6.62</v>
      </c>
      <c r="BX4" s="107">
        <v>7.23</v>
      </c>
      <c r="BY4" s="107">
        <v>7.15</v>
      </c>
      <c r="BZ4" s="107">
        <v>7.78</v>
      </c>
      <c r="CA4" s="107">
        <v>7.18</v>
      </c>
      <c r="CB4" s="107">
        <v>7.0600000000000014</v>
      </c>
      <c r="CC4" s="107">
        <v>7.0699999999999994</v>
      </c>
      <c r="CD4" s="107">
        <v>7.8599999999999994</v>
      </c>
      <c r="CE4" s="107">
        <v>7.3999999999999995</v>
      </c>
      <c r="CF4" s="107">
        <v>7.59</v>
      </c>
      <c r="CG4" s="107">
        <v>7.6700000000000008</v>
      </c>
      <c r="CH4" s="107">
        <v>8.2799999999999994</v>
      </c>
      <c r="CI4" s="107">
        <v>7.1899999999999995</v>
      </c>
      <c r="CJ4" s="107">
        <f>5.65+1.67+0.36</f>
        <v>7.6800000000000006</v>
      </c>
      <c r="CK4" s="107">
        <f>6.04+1.4+0.52+0.29</f>
        <v>8.2499999999999982</v>
      </c>
      <c r="CL4" s="107">
        <f>6.19+1.7+0.52+0.34</f>
        <v>8.75</v>
      </c>
      <c r="CM4" s="108">
        <f t="shared" ref="CM4:DB4" si="50">+CI4*(1+CM5)</f>
        <v>7.5856973885166203</v>
      </c>
      <c r="CN4" s="108">
        <f t="shared" si="50"/>
        <v>8.1391288991149864</v>
      </c>
      <c r="CO4" s="108">
        <f t="shared" si="50"/>
        <v>8.8618185076380698</v>
      </c>
      <c r="CP4" s="108">
        <f t="shared" si="50"/>
        <v>9.3950672904589805</v>
      </c>
      <c r="CQ4" s="108">
        <f t="shared" si="50"/>
        <v>8.0888673111817173</v>
      </c>
      <c r="CR4" s="108">
        <f t="shared" si="50"/>
        <v>8.7022254960616525</v>
      </c>
      <c r="CS4" s="108">
        <f t="shared" si="50"/>
        <v>9.4959504231285976</v>
      </c>
      <c r="CT4" s="108">
        <f t="shared" si="50"/>
        <v>10.061184558969741</v>
      </c>
      <c r="CU4" s="108">
        <f t="shared" si="50"/>
        <v>8.6509906026754901</v>
      </c>
      <c r="CV4" s="108">
        <f t="shared" si="50"/>
        <v>9.3138523818315484</v>
      </c>
      <c r="CW4" s="108">
        <f t="shared" si="50"/>
        <v>10.165974999130404</v>
      </c>
      <c r="CX4" s="108">
        <f t="shared" si="50"/>
        <v>10.768579242059412</v>
      </c>
      <c r="CY4" s="108">
        <f t="shared" si="50"/>
        <v>9.2579563779435716</v>
      </c>
      <c r="CZ4" s="108">
        <f t="shared" si="50"/>
        <v>9.9688808221969598</v>
      </c>
      <c r="DA4" s="108">
        <f t="shared" si="50"/>
        <v>10.881044836845586</v>
      </c>
      <c r="DB4" s="108">
        <f t="shared" si="50"/>
        <v>11.525445166517144</v>
      </c>
      <c r="DE4" s="117"/>
      <c r="DF4" s="109">
        <v>8.0293486939852983</v>
      </c>
    </row>
    <row r="5" spans="1:110" s="158" customFormat="1" x14ac:dyDescent="0.2">
      <c r="A5" s="155" t="s">
        <v>527</v>
      </c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86">
        <f>+O4/N4-1</f>
        <v>0.10024855012427536</v>
      </c>
      <c r="P5" s="186">
        <f t="shared" ref="P5:AE5" si="51">+P4/O4-1</f>
        <v>-9.0361445783133654E-3</v>
      </c>
      <c r="Q5" s="186">
        <f t="shared" si="51"/>
        <v>-3.8373860182370767E-2</v>
      </c>
      <c r="R5" s="186">
        <f t="shared" si="51"/>
        <v>-5.6499407348873931E-2</v>
      </c>
      <c r="S5" s="186">
        <f t="shared" si="51"/>
        <v>5.8207705192629744E-2</v>
      </c>
      <c r="T5" s="186">
        <f t="shared" si="51"/>
        <v>0.10209734863474473</v>
      </c>
      <c r="U5" s="186">
        <f t="shared" si="51"/>
        <v>-4.2010771992818774E-2</v>
      </c>
      <c r="V5" s="186">
        <f t="shared" si="51"/>
        <v>1.3493253373313419E-2</v>
      </c>
      <c r="W5" s="186">
        <f t="shared" si="51"/>
        <v>9.171597633136086E-2</v>
      </c>
      <c r="X5" s="186">
        <f t="shared" si="51"/>
        <v>-2.5067750677506551E-2</v>
      </c>
      <c r="Y5" s="186">
        <f t="shared" si="51"/>
        <v>1.3551077136900735E-2</v>
      </c>
      <c r="Z5" s="186">
        <f t="shared" si="51"/>
        <v>6.0678779568049235E-2</v>
      </c>
      <c r="AA5" s="187">
        <f t="shared" si="51"/>
        <v>3.005817711700054E-2</v>
      </c>
      <c r="AB5" s="187">
        <f t="shared" si="51"/>
        <v>6.6260184679280298E-2</v>
      </c>
      <c r="AC5" s="187">
        <f t="shared" si="51"/>
        <v>6.9640861462272108E-2</v>
      </c>
      <c r="AD5" s="187">
        <f t="shared" si="51"/>
        <v>7.0186900201588909E-2</v>
      </c>
      <c r="AE5" s="187">
        <f t="shared" si="51"/>
        <v>7.0282065347798683E-2</v>
      </c>
      <c r="AI5" s="156"/>
      <c r="AJ5" s="156"/>
      <c r="AK5" s="156"/>
      <c r="AL5" s="156"/>
      <c r="AM5" s="186">
        <f>+AM4/AI4-1</f>
        <v>7.0422535211267734E-2</v>
      </c>
      <c r="AN5" s="186">
        <f t="shared" ref="AN5:CL5" si="52">+AN4/AJ4-1</f>
        <v>6.7545304777594684E-2</v>
      </c>
      <c r="AO5" s="186">
        <f t="shared" si="52"/>
        <v>9.4339622641509413E-2</v>
      </c>
      <c r="AP5" s="186">
        <f t="shared" si="52"/>
        <v>0.16158536585365857</v>
      </c>
      <c r="AQ5" s="186">
        <f t="shared" si="52"/>
        <v>6.25E-2</v>
      </c>
      <c r="AR5" s="186">
        <f t="shared" si="52"/>
        <v>3.0864197530864335E-3</v>
      </c>
      <c r="AS5" s="186">
        <f t="shared" si="52"/>
        <v>-1.2539184952978122E-2</v>
      </c>
      <c r="AT5" s="186">
        <f t="shared" si="52"/>
        <v>-7.3490813648294018E-2</v>
      </c>
      <c r="AU5" s="186">
        <f t="shared" si="52"/>
        <v>-2.0123839009287936E-2</v>
      </c>
      <c r="AV5" s="186">
        <f t="shared" si="52"/>
        <v>-3.230769230769226E-2</v>
      </c>
      <c r="AW5" s="186">
        <f t="shared" si="52"/>
        <v>1.1111111111111072E-2</v>
      </c>
      <c r="AX5" s="186">
        <f t="shared" si="52"/>
        <v>-0.10481586402266285</v>
      </c>
      <c r="AY5" s="186">
        <f t="shared" si="52"/>
        <v>-0.15165876777251186</v>
      </c>
      <c r="AZ5" s="186">
        <f t="shared" si="52"/>
        <v>-0.10810810810810811</v>
      </c>
      <c r="BA5" s="186">
        <f t="shared" si="52"/>
        <v>-4.7095761381475643E-2</v>
      </c>
      <c r="BB5" s="186">
        <f t="shared" si="52"/>
        <v>8.0696202531645556E-2</v>
      </c>
      <c r="BC5" s="186">
        <f t="shared" si="52"/>
        <v>8.5661080074487916E-2</v>
      </c>
      <c r="BD5" s="186">
        <f t="shared" si="52"/>
        <v>0.14973262032085555</v>
      </c>
      <c r="BE5" s="186">
        <f t="shared" si="52"/>
        <v>8.0724876441515603E-2</v>
      </c>
      <c r="BF5" s="186">
        <f t="shared" si="52"/>
        <v>-5.8565153733528552E-2</v>
      </c>
      <c r="BG5" s="186">
        <f t="shared" si="52"/>
        <v>0.12349914236706683</v>
      </c>
      <c r="BH5" s="186">
        <f t="shared" si="52"/>
        <v>5.4263565891472743E-2</v>
      </c>
      <c r="BI5" s="186">
        <f t="shared" si="52"/>
        <v>6.5548780487804992E-2</v>
      </c>
      <c r="BJ5" s="186">
        <f t="shared" si="52"/>
        <v>0.16796267496111983</v>
      </c>
      <c r="BK5" s="186">
        <f t="shared" si="52"/>
        <v>-3.2061068702290085E-2</v>
      </c>
      <c r="BL5" s="186">
        <f t="shared" si="52"/>
        <v>-3.9705882352941146E-2</v>
      </c>
      <c r="BM5" s="186">
        <f t="shared" si="52"/>
        <v>4.5779685264663694E-2</v>
      </c>
      <c r="BN5" s="186">
        <f t="shared" si="52"/>
        <v>-0.13448735019973368</v>
      </c>
      <c r="BO5" s="186">
        <f t="shared" si="52"/>
        <v>-0.22239747634069407</v>
      </c>
      <c r="BP5" s="186">
        <f t="shared" si="52"/>
        <v>0.13323124042879031</v>
      </c>
      <c r="BQ5" s="186">
        <f t="shared" si="52"/>
        <v>-5.8823529411764719E-2</v>
      </c>
      <c r="BR5" s="186">
        <f t="shared" si="52"/>
        <v>0.20461538461538464</v>
      </c>
      <c r="BS5" s="186">
        <f t="shared" si="52"/>
        <v>0.442190669371197</v>
      </c>
      <c r="BT5" s="186">
        <f t="shared" si="52"/>
        <v>-1.3513513513514486E-3</v>
      </c>
      <c r="BU5" s="186">
        <f t="shared" si="52"/>
        <v>1.8895348837209225E-2</v>
      </c>
      <c r="BV5" s="186">
        <f t="shared" si="52"/>
        <v>2.2988505747126409E-2</v>
      </c>
      <c r="BW5" s="186">
        <f t="shared" si="52"/>
        <v>-6.8917018284106901E-2</v>
      </c>
      <c r="BX5" s="186">
        <f t="shared" si="52"/>
        <v>-2.1650879566982306E-2</v>
      </c>
      <c r="BY5" s="186">
        <f t="shared" si="52"/>
        <v>1.9971469329529423E-2</v>
      </c>
      <c r="BZ5" s="186">
        <f t="shared" si="52"/>
        <v>-2.8714107365792718E-2</v>
      </c>
      <c r="CA5" s="186">
        <f t="shared" si="52"/>
        <v>8.4592145015105702E-2</v>
      </c>
      <c r="CB5" s="186">
        <f t="shared" si="52"/>
        <v>-2.3513139695712226E-2</v>
      </c>
      <c r="CC5" s="186">
        <f t="shared" si="52"/>
        <v>-1.1188811188811321E-2</v>
      </c>
      <c r="CD5" s="186">
        <f t="shared" si="52"/>
        <v>1.0282776349614275E-2</v>
      </c>
      <c r="CE5" s="186">
        <f t="shared" si="52"/>
        <v>3.0640668523676862E-2</v>
      </c>
      <c r="CF5" s="186">
        <f t="shared" si="52"/>
        <v>7.5070821529744869E-2</v>
      </c>
      <c r="CG5" s="186">
        <f t="shared" si="52"/>
        <v>8.4865629420085131E-2</v>
      </c>
      <c r="CH5" s="186">
        <f t="shared" si="52"/>
        <v>5.3435114503816772E-2</v>
      </c>
      <c r="CI5" s="186">
        <f t="shared" si="52"/>
        <v>-2.8378378378378422E-2</v>
      </c>
      <c r="CJ5" s="186">
        <f t="shared" si="52"/>
        <v>1.1857707509881577E-2</v>
      </c>
      <c r="CK5" s="186">
        <f t="shared" si="52"/>
        <v>7.5619295958278654E-2</v>
      </c>
      <c r="CL5" s="186">
        <f t="shared" si="52"/>
        <v>5.6763285024154619E-2</v>
      </c>
      <c r="CM5" s="187">
        <f>+AVERAGE(CI5:CL5)*1.9</f>
        <v>5.5034407304119799E-2</v>
      </c>
      <c r="CN5" s="187">
        <f>+AVERAGE(CJ5:CM5)*1.2</f>
        <v>5.9782408738930391E-2</v>
      </c>
      <c r="CO5" s="187">
        <f t="shared" ref="CO5:CP5" si="53">+AVERAGE(CK5:CN5)*1.2</f>
        <v>7.4159819107645034E-2</v>
      </c>
      <c r="CP5" s="187">
        <f t="shared" si="53"/>
        <v>7.3721976052454952E-2</v>
      </c>
      <c r="CQ5" s="187">
        <f>+AVERAGE(CM5:CP5)*1.01</f>
        <v>6.6331399328795421E-2</v>
      </c>
      <c r="CR5" s="187">
        <f t="shared" ref="CR5:CT5" si="54">+AVERAGE(CN5:CQ5)*1.01</f>
        <v>6.9183889815026017E-2</v>
      </c>
      <c r="CS5" s="187">
        <f t="shared" si="54"/>
        <v>7.1557763786740156E-2</v>
      </c>
      <c r="CT5" s="187">
        <f t="shared" si="54"/>
        <v>7.0900744818211681E-2</v>
      </c>
      <c r="CU5" s="187">
        <f t="shared" ref="CU5:DB5" si="55">+AVERAGE(CQ5:CT5)</f>
        <v>6.9493449437193322E-2</v>
      </c>
      <c r="CV5" s="187">
        <f t="shared" si="55"/>
        <v>7.028396196429279E-2</v>
      </c>
      <c r="CW5" s="187">
        <f t="shared" si="55"/>
        <v>7.0558980001609484E-2</v>
      </c>
      <c r="CX5" s="187">
        <f t="shared" si="55"/>
        <v>7.0309284055326826E-2</v>
      </c>
      <c r="CY5" s="187">
        <f t="shared" si="55"/>
        <v>7.0161418864605612E-2</v>
      </c>
      <c r="CZ5" s="187">
        <f t="shared" si="55"/>
        <v>7.0328411221458678E-2</v>
      </c>
      <c r="DA5" s="187">
        <f t="shared" si="55"/>
        <v>7.0339523535750154E-2</v>
      </c>
      <c r="DB5" s="187">
        <f t="shared" si="55"/>
        <v>7.0284659419285328E-2</v>
      </c>
      <c r="DE5" s="159"/>
      <c r="DF5" s="189">
        <v>4.6851198694302168E-2</v>
      </c>
    </row>
    <row r="6" spans="1:110" s="158" customFormat="1" x14ac:dyDescent="0.2">
      <c r="A6" s="155"/>
      <c r="B6" s="156"/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7"/>
      <c r="AB6" s="157"/>
      <c r="AC6" s="157"/>
      <c r="AD6" s="157"/>
      <c r="AE6" s="157"/>
      <c r="AI6" s="156"/>
      <c r="AJ6" s="156"/>
      <c r="AK6" s="156"/>
      <c r="AL6" s="156"/>
      <c r="AM6" s="156"/>
      <c r="AN6" s="156"/>
      <c r="AO6" s="156"/>
      <c r="AP6" s="156"/>
      <c r="AQ6" s="156"/>
      <c r="AR6" s="156"/>
      <c r="AS6" s="156"/>
      <c r="AT6" s="156"/>
      <c r="AU6" s="156"/>
      <c r="AV6" s="156"/>
      <c r="AW6" s="156"/>
      <c r="AX6" s="156"/>
      <c r="AY6" s="156"/>
      <c r="AZ6" s="156"/>
      <c r="BA6" s="156"/>
      <c r="BB6" s="156"/>
      <c r="BC6" s="156"/>
      <c r="BD6" s="156"/>
      <c r="BE6" s="156"/>
      <c r="BF6" s="156"/>
      <c r="BG6" s="156"/>
      <c r="BH6" s="156"/>
      <c r="BI6" s="156"/>
      <c r="BJ6" s="156"/>
      <c r="BK6" s="156"/>
      <c r="BL6" s="156"/>
      <c r="BM6" s="156"/>
      <c r="BN6" s="156"/>
      <c r="BO6" s="156"/>
      <c r="BP6" s="156"/>
      <c r="BQ6" s="156"/>
      <c r="BR6" s="156"/>
      <c r="BS6" s="156"/>
      <c r="BT6" s="156"/>
      <c r="BU6" s="156"/>
      <c r="BV6" s="156"/>
      <c r="BW6" s="156"/>
      <c r="BX6" s="156"/>
      <c r="BY6" s="156"/>
      <c r="BZ6" s="156"/>
      <c r="CA6" s="156"/>
      <c r="CB6" s="156"/>
      <c r="CC6" s="156"/>
      <c r="CD6" s="156"/>
      <c r="CE6" s="156"/>
      <c r="CF6" s="156"/>
      <c r="CG6" s="156"/>
      <c r="CH6" s="156"/>
      <c r="CI6" s="156"/>
      <c r="CJ6" s="156"/>
      <c r="CK6" s="156"/>
      <c r="CL6" s="156"/>
      <c r="CM6" s="157"/>
      <c r="CN6" s="157"/>
      <c r="CO6" s="157"/>
      <c r="CP6" s="157"/>
      <c r="CQ6" s="157"/>
      <c r="CR6" s="157"/>
      <c r="CS6" s="157"/>
      <c r="CT6" s="157"/>
      <c r="CU6" s="157"/>
      <c r="CV6" s="157"/>
      <c r="CW6" s="157"/>
      <c r="CX6" s="157"/>
      <c r="CY6" s="157"/>
      <c r="CZ6" s="157"/>
      <c r="DA6" s="157"/>
      <c r="DB6" s="157"/>
      <c r="DE6" s="159"/>
    </row>
    <row r="7" spans="1:110" s="109" customFormat="1" x14ac:dyDescent="0.2">
      <c r="A7" s="185" t="s">
        <v>522</v>
      </c>
      <c r="B7" s="107"/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8"/>
      <c r="AB7" s="108"/>
      <c r="AC7" s="108"/>
      <c r="AD7" s="108"/>
      <c r="AE7" s="108"/>
      <c r="AI7" s="107"/>
      <c r="AJ7" s="107"/>
      <c r="AK7" s="107"/>
      <c r="AL7" s="107"/>
      <c r="AM7" s="107"/>
      <c r="AN7" s="107"/>
      <c r="AO7" s="107"/>
      <c r="AP7" s="107"/>
      <c r="AQ7" s="107"/>
      <c r="AR7" s="107"/>
      <c r="AS7" s="107"/>
      <c r="AT7" s="107"/>
      <c r="AU7" s="107"/>
      <c r="AV7" s="107"/>
      <c r="AW7" s="107"/>
      <c r="AX7" s="107"/>
      <c r="AY7" s="107"/>
      <c r="AZ7" s="107"/>
      <c r="BA7" s="107"/>
      <c r="BB7" s="107"/>
      <c r="BC7" s="107"/>
      <c r="BD7" s="107"/>
      <c r="BE7" s="107"/>
      <c r="BF7" s="107"/>
      <c r="BG7" s="107"/>
      <c r="BH7" s="107"/>
      <c r="BI7" s="107"/>
      <c r="BJ7" s="107"/>
      <c r="BK7" s="107"/>
      <c r="BL7" s="107"/>
      <c r="BM7" s="107"/>
      <c r="BN7" s="107"/>
      <c r="BO7" s="107"/>
      <c r="BP7" s="107"/>
      <c r="BQ7" s="107"/>
      <c r="BR7" s="107"/>
      <c r="BS7" s="107"/>
      <c r="BT7" s="107"/>
      <c r="BU7" s="107"/>
      <c r="BV7" s="107"/>
      <c r="BW7" s="107"/>
      <c r="BX7" s="107"/>
      <c r="BY7" s="107"/>
      <c r="BZ7" s="107"/>
      <c r="CA7" s="107"/>
      <c r="CB7" s="107"/>
      <c r="CC7" s="107"/>
      <c r="CD7" s="107"/>
      <c r="CE7" s="107"/>
      <c r="CF7" s="107"/>
      <c r="CG7" s="107"/>
      <c r="CH7" s="107"/>
      <c r="CI7" s="107"/>
      <c r="CJ7" s="107"/>
      <c r="CK7" s="107"/>
      <c r="CL7" s="107"/>
      <c r="CM7" s="108"/>
      <c r="CN7" s="108"/>
      <c r="CO7" s="108"/>
      <c r="CP7" s="108"/>
      <c r="CQ7" s="108"/>
      <c r="CR7" s="108"/>
      <c r="CS7" s="108"/>
      <c r="CT7" s="108"/>
      <c r="CU7" s="108"/>
      <c r="CV7" s="108"/>
      <c r="CW7" s="108"/>
      <c r="CX7" s="108"/>
      <c r="CY7" s="108"/>
      <c r="CZ7" s="108"/>
      <c r="DA7" s="108"/>
      <c r="DB7" s="108"/>
      <c r="DE7" s="117"/>
    </row>
    <row r="8" spans="1:110" s="109" customFormat="1" x14ac:dyDescent="0.2">
      <c r="A8" s="185" t="s">
        <v>523</v>
      </c>
      <c r="B8" s="107"/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>
        <f t="shared" ref="N8:AE8" si="56">+N19/N4*10</f>
        <v>55804.283347141682</v>
      </c>
      <c r="O8" s="107">
        <f t="shared" si="56"/>
        <v>55953.896837349399</v>
      </c>
      <c r="P8" s="107">
        <f t="shared" si="56"/>
        <v>53002.936930091179</v>
      </c>
      <c r="Q8" s="107">
        <f t="shared" si="56"/>
        <v>40286.337416041089</v>
      </c>
      <c r="R8" s="107">
        <f t="shared" si="56"/>
        <v>47026.557788944716</v>
      </c>
      <c r="S8" s="107">
        <f t="shared" si="56"/>
        <v>48772.880886426588</v>
      </c>
      <c r="T8" s="107">
        <f t="shared" si="56"/>
        <v>56613.640933572708</v>
      </c>
      <c r="U8" s="107">
        <f t="shared" si="56"/>
        <v>55836.473013493247</v>
      </c>
      <c r="V8" s="107">
        <f t="shared" si="56"/>
        <v>57868.860946745561</v>
      </c>
      <c r="W8" s="107">
        <f t="shared" si="56"/>
        <v>82641.995257452581</v>
      </c>
      <c r="X8" s="107">
        <f t="shared" si="56"/>
        <v>84556.181375955523</v>
      </c>
      <c r="Y8" s="107">
        <f t="shared" si="56"/>
        <v>78563.860130270827</v>
      </c>
      <c r="Z8" s="107">
        <f t="shared" si="56"/>
        <v>70634.295410471881</v>
      </c>
      <c r="AA8" s="108">
        <f t="shared" si="56"/>
        <v>72839.642296830876</v>
      </c>
      <c r="AB8" s="108">
        <f t="shared" si="56"/>
        <v>75666.019284935668</v>
      </c>
      <c r="AC8" s="108">
        <f t="shared" si="56"/>
        <v>74697.963439410218</v>
      </c>
      <c r="AD8" s="108">
        <f t="shared" si="56"/>
        <v>74659.064540676365</v>
      </c>
      <c r="AE8" s="108">
        <f t="shared" si="56"/>
        <v>74650.278793837351</v>
      </c>
      <c r="AI8" s="107">
        <f t="shared" ref="AI8:BN8" si="57">+AI19/AI4*10</f>
        <v>59544.36619718311</v>
      </c>
      <c r="AJ8" s="107">
        <f t="shared" si="57"/>
        <v>56231.845140032958</v>
      </c>
      <c r="AK8" s="107">
        <f t="shared" si="57"/>
        <v>55072.28130360206</v>
      </c>
      <c r="AL8" s="107">
        <f t="shared" si="57"/>
        <v>52820.838414634156</v>
      </c>
      <c r="AM8" s="107">
        <f t="shared" si="57"/>
        <v>53955.24671052632</v>
      </c>
      <c r="AN8" s="107">
        <f t="shared" si="57"/>
        <v>56550.756172839501</v>
      </c>
      <c r="AO8" s="107">
        <f t="shared" si="57"/>
        <v>57579.655172413797</v>
      </c>
      <c r="AP8" s="107">
        <f t="shared" si="57"/>
        <v>55679.855643044611</v>
      </c>
      <c r="AQ8" s="107">
        <f t="shared" si="57"/>
        <v>56388.869969040243</v>
      </c>
      <c r="AR8" s="107">
        <f t="shared" si="57"/>
        <v>55041.707692307689</v>
      </c>
      <c r="AS8" s="107">
        <f t="shared" si="57"/>
        <v>53386.079365079364</v>
      </c>
      <c r="AT8" s="107">
        <f t="shared" si="57"/>
        <v>47685.807365439097</v>
      </c>
      <c r="AU8" s="107">
        <f t="shared" si="57"/>
        <v>42555.829383886259</v>
      </c>
      <c r="AV8" s="107">
        <f t="shared" si="57"/>
        <v>41948.028616852142</v>
      </c>
      <c r="AW8" s="107">
        <f t="shared" si="57"/>
        <v>38722.872841444274</v>
      </c>
      <c r="AX8" s="107">
        <f t="shared" si="57"/>
        <v>41068.1329113924</v>
      </c>
      <c r="AY8" s="107">
        <f t="shared" si="57"/>
        <v>46171.992551210431</v>
      </c>
      <c r="AZ8" s="107">
        <f t="shared" si="57"/>
        <v>46205.133689839568</v>
      </c>
      <c r="BA8" s="107">
        <f t="shared" si="57"/>
        <v>45607.265238879736</v>
      </c>
      <c r="BB8" s="107">
        <f t="shared" si="57"/>
        <v>49568.96046852124</v>
      </c>
      <c r="BC8" s="107">
        <f t="shared" si="57"/>
        <v>50870.137221269295</v>
      </c>
      <c r="BD8" s="107">
        <f t="shared" si="57"/>
        <v>50332</v>
      </c>
      <c r="BE8" s="107">
        <f t="shared" si="57"/>
        <v>50985.670731707316</v>
      </c>
      <c r="BF8" s="107">
        <f t="shared" si="57"/>
        <v>52418.444790046648</v>
      </c>
      <c r="BG8" s="107">
        <f t="shared" si="57"/>
        <v>54189.435114503824</v>
      </c>
      <c r="BH8" s="107">
        <f t="shared" si="57"/>
        <v>60142.882352941167</v>
      </c>
      <c r="BI8" s="107">
        <f t="shared" si="57"/>
        <v>55584.949928469228</v>
      </c>
      <c r="BJ8" s="107">
        <f t="shared" si="57"/>
        <v>56489.82689747004</v>
      </c>
      <c r="BK8" s="107">
        <f t="shared" si="57"/>
        <v>56698.911671924288</v>
      </c>
      <c r="BL8" s="107">
        <f t="shared" si="57"/>
        <v>52954.33384379786</v>
      </c>
      <c r="BM8" s="107">
        <f t="shared" si="57"/>
        <v>48591.53214774283</v>
      </c>
      <c r="BN8" s="107">
        <f t="shared" si="57"/>
        <v>55399.030769230754</v>
      </c>
      <c r="BO8" s="107">
        <f t="shared" ref="BO8:CI8" si="58">+BO19/BO4*10</f>
        <v>51672.45436105477</v>
      </c>
      <c r="BP8" s="107">
        <f t="shared" si="58"/>
        <v>52621.540540540547</v>
      </c>
      <c r="BQ8" s="107">
        <f t="shared" si="58"/>
        <v>60952.340116279083</v>
      </c>
      <c r="BR8" s="107">
        <f t="shared" si="58"/>
        <v>63893.192848020437</v>
      </c>
      <c r="BS8" s="107">
        <f t="shared" si="58"/>
        <v>75197.510548523205</v>
      </c>
      <c r="BT8" s="107">
        <f t="shared" si="58"/>
        <v>81714.654939106913</v>
      </c>
      <c r="BU8" s="107">
        <f t="shared" si="58"/>
        <v>86709.144079885882</v>
      </c>
      <c r="BV8" s="107">
        <f t="shared" si="58"/>
        <v>86546.192259675416</v>
      </c>
      <c r="BW8" s="107">
        <f t="shared" si="58"/>
        <v>95815.815709969786</v>
      </c>
      <c r="BX8" s="107">
        <f t="shared" si="58"/>
        <v>82818.146611341639</v>
      </c>
      <c r="BY8" s="107">
        <f t="shared" si="58"/>
        <v>79837.146853146842</v>
      </c>
      <c r="BZ8" s="107">
        <f t="shared" si="58"/>
        <v>80927.429305912592</v>
      </c>
      <c r="CA8" s="107">
        <f t="shared" si="58"/>
        <v>82854.679665738164</v>
      </c>
      <c r="CB8" s="107">
        <f t="shared" si="58"/>
        <v>78869.589235127467</v>
      </c>
      <c r="CC8" s="107">
        <f t="shared" si="58"/>
        <v>78234.625176803413</v>
      </c>
      <c r="CD8" s="107">
        <f t="shared" si="58"/>
        <v>74665.788804071257</v>
      </c>
      <c r="CE8" s="107">
        <f t="shared" si="58"/>
        <v>74015.391891891893</v>
      </c>
      <c r="CF8" s="107">
        <f t="shared" si="58"/>
        <v>71020.698287220031</v>
      </c>
      <c r="CG8" s="107">
        <f t="shared" si="58"/>
        <v>69945.63233376792</v>
      </c>
      <c r="CH8" s="107">
        <f t="shared" si="58"/>
        <v>67896.268115942046</v>
      </c>
      <c r="CI8" s="107">
        <f t="shared" si="58"/>
        <v>73961.223922114063</v>
      </c>
      <c r="CJ8" s="107">
        <f t="shared" ref="CJ8:CK8" si="59">+CJ19/CJ4*10</f>
        <v>76418.346354166657</v>
      </c>
      <c r="CK8" s="107">
        <f t="shared" si="59"/>
        <v>69093.818181818191</v>
      </c>
      <c r="CL8" s="107">
        <f t="shared" ref="CL8" si="60">+CL19/CL4*10</f>
        <v>72308.72</v>
      </c>
      <c r="CM8" s="108">
        <f>+AVERAGE(CI8:CL8)*1.03</f>
        <v>75133.892927960478</v>
      </c>
      <c r="CN8" s="108">
        <f t="shared" ref="CN8:CP8" si="61">+AVERAGE(CJ8:CM8)*1.03</f>
        <v>75435.855196965917</v>
      </c>
      <c r="CO8" s="108">
        <f t="shared" si="61"/>
        <v>75182.863723986738</v>
      </c>
      <c r="CP8" s="108">
        <f t="shared" si="61"/>
        <v>76750.792951095122</v>
      </c>
      <c r="CQ8" s="108">
        <f>+AVERAGE(CM8:CP8)*0.99</f>
        <v>74869.592688002056</v>
      </c>
      <c r="CR8" s="108">
        <f t="shared" ref="CR8:CT8" si="62">+AVERAGE(CN8:CQ8)*0.99</f>
        <v>74804.178378612327</v>
      </c>
      <c r="CS8" s="108">
        <f t="shared" si="62"/>
        <v>74647.838366069816</v>
      </c>
      <c r="CT8" s="108">
        <f t="shared" si="62"/>
        <v>74515.419589985395</v>
      </c>
      <c r="CU8" s="108">
        <f t="shared" ref="CU8:CU9" si="63">+AVERAGE(CQ8:CT8)</f>
        <v>74709.257255667399</v>
      </c>
      <c r="CV8" s="108">
        <f t="shared" ref="CV8:CV9" si="64">+AVERAGE(CR8:CU8)</f>
        <v>74669.173397583741</v>
      </c>
      <c r="CW8" s="108">
        <f t="shared" ref="CW8:CW9" si="65">+AVERAGE(CS8:CV8)</f>
        <v>74635.422152326588</v>
      </c>
      <c r="CX8" s="108">
        <f t="shared" ref="CX8:CX9" si="66">+AVERAGE(CT8:CW8)</f>
        <v>74632.318098890784</v>
      </c>
      <c r="CY8" s="108">
        <f t="shared" ref="CY8:CY9" si="67">+AVERAGE(CU8:CX8)</f>
        <v>74661.542726117128</v>
      </c>
      <c r="CZ8" s="108">
        <f t="shared" ref="CZ8:CZ9" si="68">+AVERAGE(CV8:CY8)</f>
        <v>74649.614093729557</v>
      </c>
      <c r="DA8" s="108">
        <f t="shared" ref="DA8:DA9" si="69">+AVERAGE(CW8:CZ8)</f>
        <v>74644.724267766025</v>
      </c>
      <c r="DB8" s="108">
        <f t="shared" ref="DB8:DB9" si="70">+AVERAGE(CX8:DA8)</f>
        <v>74647.04979662587</v>
      </c>
      <c r="DE8" s="117"/>
      <c r="DF8" s="109">
        <v>70627.270009146261</v>
      </c>
    </row>
    <row r="9" spans="1:110" s="158" customFormat="1" x14ac:dyDescent="0.2">
      <c r="A9" s="155" t="s">
        <v>524</v>
      </c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>
        <f t="shared" ref="N9" si="71">+N8-N10</f>
        <v>25136.019055509525</v>
      </c>
      <c r="O9" s="156">
        <f t="shared" ref="O9" si="72">+O8-O10</f>
        <v>23648.411144578309</v>
      </c>
      <c r="P9" s="156">
        <f t="shared" ref="P9" si="73">+P8-P10</f>
        <v>21193.392857142862</v>
      </c>
      <c r="Q9" s="156">
        <f t="shared" ref="Q9" si="74">+Q8-Q10</f>
        <v>16049.569340181748</v>
      </c>
      <c r="R9" s="156">
        <f t="shared" ref="R9" si="75">+R8-R10</f>
        <v>16459.338358458954</v>
      </c>
      <c r="S9" s="156">
        <f t="shared" ref="S9" si="76">+S8-S10</f>
        <v>18296.921250494652</v>
      </c>
      <c r="T9" s="156">
        <f t="shared" ref="T9" si="77">+T8-T10</f>
        <v>21824.179533213646</v>
      </c>
      <c r="U9" s="156">
        <f t="shared" ref="U9" si="78">+U8-U10</f>
        <v>23840.69715142429</v>
      </c>
      <c r="V9" s="156">
        <f t="shared" ref="V9" si="79">+V8-V10</f>
        <v>20938.454142011833</v>
      </c>
      <c r="W9" s="156">
        <f t="shared" ref="W9" si="80">+W8-W10</f>
        <v>28278.705962059619</v>
      </c>
      <c r="X9" s="156">
        <f t="shared" ref="X9" si="81">+X8-X10</f>
        <v>39346.177901320356</v>
      </c>
      <c r="Y9" s="156">
        <f t="shared" ref="Y9" si="82">+Y8-Y10</f>
        <v>34938.546451834089</v>
      </c>
      <c r="Z9" s="156">
        <f t="shared" ref="Z9" si="83">+Z8-Z10</f>
        <v>30704.79961215255</v>
      </c>
      <c r="AA9" s="157">
        <f t="shared" ref="AA9" si="84">+AA8-AA10</f>
        <v>29374.863508001246</v>
      </c>
      <c r="AB9" s="157">
        <f t="shared" ref="AB9" si="85">+AB8-AB10</f>
        <v>29455.380634000845</v>
      </c>
      <c r="AC9" s="157">
        <f t="shared" ref="AC9" si="86">+AC8-AC10</f>
        <v>28372.899488400602</v>
      </c>
      <c r="AD9" s="157">
        <f t="shared" ref="AD9" si="87">+AD8-AD10</f>
        <v>28302.496053505158</v>
      </c>
      <c r="AE9" s="157">
        <f t="shared" ref="AE9" si="88">+AE8-AE10</f>
        <v>28287.040320867956</v>
      </c>
      <c r="AI9" s="156">
        <f t="shared" ref="AI9:CH9" si="89">+AI8-AI10</f>
        <v>26496.07394366197</v>
      </c>
      <c r="AJ9" s="156">
        <f t="shared" si="89"/>
        <v>27178.171334431638</v>
      </c>
      <c r="AK9" s="156">
        <f t="shared" si="89"/>
        <v>23878.078902229849</v>
      </c>
      <c r="AL9" s="156">
        <f t="shared" si="89"/>
        <v>22970.137195121963</v>
      </c>
      <c r="AM9" s="156">
        <f t="shared" si="89"/>
        <v>21675.345394736854</v>
      </c>
      <c r="AN9" s="156">
        <f t="shared" si="89"/>
        <v>23961.435185185186</v>
      </c>
      <c r="AO9" s="156">
        <f t="shared" si="89"/>
        <v>23376.974921630092</v>
      </c>
      <c r="AP9" s="156">
        <f t="shared" si="89"/>
        <v>25087.125984251965</v>
      </c>
      <c r="AQ9" s="156">
        <f t="shared" si="89"/>
        <v>22517.461300309595</v>
      </c>
      <c r="AR9" s="156">
        <f t="shared" si="89"/>
        <v>21686.799999999996</v>
      </c>
      <c r="AS9" s="156">
        <f t="shared" si="89"/>
        <v>21571.904761904752</v>
      </c>
      <c r="AT9" s="156">
        <f t="shared" si="89"/>
        <v>19028.951841359776</v>
      </c>
      <c r="AU9" s="156">
        <f t="shared" si="89"/>
        <v>16008.894154818328</v>
      </c>
      <c r="AV9" s="156">
        <f t="shared" si="89"/>
        <v>16965.51669316375</v>
      </c>
      <c r="AW9" s="156">
        <f t="shared" si="89"/>
        <v>15885.400313971746</v>
      </c>
      <c r="AX9" s="156">
        <f t="shared" si="89"/>
        <v>16282.088607594938</v>
      </c>
      <c r="AY9" s="156">
        <f t="shared" si="89"/>
        <v>15153.891992551209</v>
      </c>
      <c r="AZ9" s="156">
        <f t="shared" si="89"/>
        <v>16651.871657754014</v>
      </c>
      <c r="BA9" s="156">
        <f t="shared" si="89"/>
        <v>15450.461285008238</v>
      </c>
      <c r="BB9" s="156">
        <f t="shared" si="89"/>
        <v>18224.202049780382</v>
      </c>
      <c r="BC9" s="156">
        <f t="shared" si="89"/>
        <v>18987.735849056604</v>
      </c>
      <c r="BD9" s="156">
        <f t="shared" si="89"/>
        <v>22154.449612403103</v>
      </c>
      <c r="BE9" s="156">
        <f t="shared" si="89"/>
        <v>20011.996951219509</v>
      </c>
      <c r="BF9" s="156">
        <f t="shared" si="89"/>
        <v>18764.339035769823</v>
      </c>
      <c r="BG9" s="156">
        <f t="shared" si="89"/>
        <v>18959.587786259552</v>
      </c>
      <c r="BH9" s="156">
        <f t="shared" si="89"/>
        <v>23127.220588235294</v>
      </c>
      <c r="BI9" s="156">
        <f t="shared" si="89"/>
        <v>21259.484978540757</v>
      </c>
      <c r="BJ9" s="156">
        <f t="shared" si="89"/>
        <v>23668.348868175759</v>
      </c>
      <c r="BK9" s="156">
        <f t="shared" si="89"/>
        <v>21706.798107255519</v>
      </c>
      <c r="BL9" s="156">
        <f t="shared" si="89"/>
        <v>22737.641653905059</v>
      </c>
      <c r="BM9" s="156">
        <f t="shared" si="89"/>
        <v>23405.978112175104</v>
      </c>
      <c r="BN9" s="156">
        <f t="shared" si="89"/>
        <v>20337.999999999993</v>
      </c>
      <c r="BO9" s="156">
        <f t="shared" si="89"/>
        <v>22480.588235294123</v>
      </c>
      <c r="BP9" s="156">
        <f t="shared" si="89"/>
        <v>22102.932432432441</v>
      </c>
      <c r="BQ9" s="156">
        <f t="shared" si="89"/>
        <v>20762.630813953496</v>
      </c>
      <c r="BR9" s="156">
        <f t="shared" si="89"/>
        <v>19186.781609195408</v>
      </c>
      <c r="BS9" s="156">
        <f t="shared" si="89"/>
        <v>23437.918424753872</v>
      </c>
      <c r="BT9" s="156">
        <f t="shared" si="89"/>
        <v>25789.485791610285</v>
      </c>
      <c r="BU9" s="156">
        <f t="shared" si="89"/>
        <v>28710.071326676181</v>
      </c>
      <c r="BV9" s="156">
        <f t="shared" si="89"/>
        <v>34494.631710362046</v>
      </c>
      <c r="BW9" s="156">
        <f t="shared" si="89"/>
        <v>35076.465256797586</v>
      </c>
      <c r="BX9" s="156">
        <f t="shared" si="89"/>
        <v>43345.809128630703</v>
      </c>
      <c r="BY9" s="156">
        <f t="shared" si="89"/>
        <v>41989.63636363636</v>
      </c>
      <c r="BZ9" s="156">
        <f t="shared" si="89"/>
        <v>36832.994858611819</v>
      </c>
      <c r="CA9" s="156">
        <f t="shared" si="89"/>
        <v>38266.253481894142</v>
      </c>
      <c r="CB9" s="156">
        <f t="shared" si="89"/>
        <v>36689.985835694053</v>
      </c>
      <c r="CC9" s="156">
        <f t="shared" si="89"/>
        <v>31748.953323903814</v>
      </c>
      <c r="CD9" s="156">
        <f t="shared" si="89"/>
        <v>33194.567430025461</v>
      </c>
      <c r="CE9" s="156">
        <f t="shared" si="89"/>
        <v>30301.310810810806</v>
      </c>
      <c r="CF9" s="156">
        <f t="shared" si="89"/>
        <v>31545.533596837937</v>
      </c>
      <c r="CG9" s="156">
        <f t="shared" si="89"/>
        <v>31200.052151238589</v>
      </c>
      <c r="CH9" s="156">
        <f t="shared" si="89"/>
        <v>29835.966183574885</v>
      </c>
      <c r="CI9" s="156">
        <f>+CI8-CI10</f>
        <v>28621.223922114063</v>
      </c>
      <c r="CJ9" s="156">
        <f>+CJ8-CJ10</f>
        <v>31804.791666666664</v>
      </c>
      <c r="CK9" s="156">
        <f>+CK8-CK10</f>
        <v>27202.121212121216</v>
      </c>
      <c r="CL9" s="156">
        <f>+CL8-CL10</f>
        <v>29909.942857142865</v>
      </c>
      <c r="CM9" s="157">
        <f t="shared" ref="CM9" si="90">+AVERAGE(CI9:CL9)</f>
        <v>29384.519914511198</v>
      </c>
      <c r="CN9" s="157">
        <f t="shared" ref="CN9" si="91">+AVERAGE(CJ9:CM9)</f>
        <v>29575.343912610486</v>
      </c>
      <c r="CO9" s="157">
        <f t="shared" ref="CO9" si="92">+AVERAGE(CK9:CN9)</f>
        <v>29017.981974096445</v>
      </c>
      <c r="CP9" s="157">
        <f t="shared" ref="CP9" si="93">+AVERAGE(CL9:CO9)</f>
        <v>29471.947164590249</v>
      </c>
      <c r="CQ9" s="157">
        <f t="shared" ref="CQ9" si="94">+AVERAGE(CM9:CP9)</f>
        <v>29362.448241452093</v>
      </c>
      <c r="CR9" s="157">
        <f t="shared" ref="CR9" si="95">+AVERAGE(CN9:CQ9)</f>
        <v>29356.930323187316</v>
      </c>
      <c r="CS9" s="157">
        <f t="shared" ref="CS9" si="96">+AVERAGE(CO9:CR9)</f>
        <v>29302.326925831527</v>
      </c>
      <c r="CT9" s="157">
        <f t="shared" ref="CT9" si="97">+AVERAGE(CP9:CS9)</f>
        <v>29373.413163765297</v>
      </c>
      <c r="CU9" s="157">
        <f t="shared" si="63"/>
        <v>29348.779663559057</v>
      </c>
      <c r="CV9" s="157">
        <f t="shared" si="64"/>
        <v>29345.3625190858</v>
      </c>
      <c r="CW9" s="157">
        <f t="shared" si="65"/>
        <v>29342.47056806042</v>
      </c>
      <c r="CX9" s="157">
        <f t="shared" si="66"/>
        <v>29352.506478617644</v>
      </c>
      <c r="CY9" s="157">
        <f t="shared" si="67"/>
        <v>29347.279807330728</v>
      </c>
      <c r="CZ9" s="157">
        <f t="shared" si="68"/>
        <v>29346.904843273645</v>
      </c>
      <c r="DA9" s="157">
        <f t="shared" si="69"/>
        <v>29347.29042432061</v>
      </c>
      <c r="DB9" s="157">
        <f t="shared" si="70"/>
        <v>29348.495388385658</v>
      </c>
      <c r="DE9" s="159"/>
      <c r="DF9" s="158">
        <v>29989.484055092227</v>
      </c>
    </row>
    <row r="10" spans="1:110" s="109" customFormat="1" x14ac:dyDescent="0.2">
      <c r="A10" s="185" t="s">
        <v>5</v>
      </c>
      <c r="B10" s="107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>
        <f t="shared" ref="N10:AE10" si="98">+N25/N4*10</f>
        <v>30668.264291632157</v>
      </c>
      <c r="O10" s="107">
        <f t="shared" si="98"/>
        <v>32305.48569277109</v>
      </c>
      <c r="P10" s="107">
        <f t="shared" si="98"/>
        <v>31809.544072948316</v>
      </c>
      <c r="Q10" s="107">
        <f t="shared" si="98"/>
        <v>24236.768075859341</v>
      </c>
      <c r="R10" s="107">
        <f t="shared" si="98"/>
        <v>30567.219430485762</v>
      </c>
      <c r="S10" s="107">
        <f t="shared" si="98"/>
        <v>30475.959635931937</v>
      </c>
      <c r="T10" s="107">
        <f t="shared" si="98"/>
        <v>34789.461400359061</v>
      </c>
      <c r="U10" s="107">
        <f t="shared" si="98"/>
        <v>31995.775862068956</v>
      </c>
      <c r="V10" s="107">
        <f t="shared" si="98"/>
        <v>36930.406804733728</v>
      </c>
      <c r="W10" s="107">
        <f t="shared" si="98"/>
        <v>54363.289295392962</v>
      </c>
      <c r="X10" s="107">
        <f t="shared" si="98"/>
        <v>45210.003474635167</v>
      </c>
      <c r="Y10" s="107">
        <f t="shared" si="98"/>
        <v>43625.313678436738</v>
      </c>
      <c r="Z10" s="107">
        <f t="shared" si="98"/>
        <v>39929.495798319331</v>
      </c>
      <c r="AA10" s="108">
        <f t="shared" si="98"/>
        <v>43464.77878882963</v>
      </c>
      <c r="AB10" s="108">
        <f t="shared" si="98"/>
        <v>46210.638650934823</v>
      </c>
      <c r="AC10" s="108">
        <f t="shared" si="98"/>
        <v>46325.063951009615</v>
      </c>
      <c r="AD10" s="108">
        <f t="shared" si="98"/>
        <v>46356.568487171207</v>
      </c>
      <c r="AE10" s="108">
        <f t="shared" si="98"/>
        <v>46363.238472969395</v>
      </c>
      <c r="AI10" s="107">
        <f t="shared" ref="AI10:BN10" si="99">+AI25/AI4*10</f>
        <v>33048.29225352114</v>
      </c>
      <c r="AJ10" s="107">
        <f t="shared" si="99"/>
        <v>29053.67380560132</v>
      </c>
      <c r="AK10" s="107">
        <f t="shared" si="99"/>
        <v>31194.202401372211</v>
      </c>
      <c r="AL10" s="107">
        <f t="shared" si="99"/>
        <v>29850.701219512193</v>
      </c>
      <c r="AM10" s="107">
        <f t="shared" si="99"/>
        <v>32279.901315789466</v>
      </c>
      <c r="AN10" s="107">
        <f t="shared" si="99"/>
        <v>32589.320987654315</v>
      </c>
      <c r="AO10" s="107">
        <f t="shared" si="99"/>
        <v>34202.680250783706</v>
      </c>
      <c r="AP10" s="107">
        <f t="shared" si="99"/>
        <v>30592.729658792647</v>
      </c>
      <c r="AQ10" s="107">
        <f t="shared" si="99"/>
        <v>33871.408668730648</v>
      </c>
      <c r="AR10" s="107">
        <f t="shared" si="99"/>
        <v>33354.907692307694</v>
      </c>
      <c r="AS10" s="107">
        <f t="shared" si="99"/>
        <v>31814.174603174612</v>
      </c>
      <c r="AT10" s="107">
        <f t="shared" si="99"/>
        <v>28656.855524079321</v>
      </c>
      <c r="AU10" s="107">
        <f t="shared" si="99"/>
        <v>26546.935229067931</v>
      </c>
      <c r="AV10" s="107">
        <f t="shared" si="99"/>
        <v>24982.511923688391</v>
      </c>
      <c r="AW10" s="107">
        <f t="shared" si="99"/>
        <v>22837.472527472528</v>
      </c>
      <c r="AX10" s="107">
        <f t="shared" si="99"/>
        <v>24786.044303797462</v>
      </c>
      <c r="AY10" s="107">
        <f t="shared" si="99"/>
        <v>31018.100558659222</v>
      </c>
      <c r="AZ10" s="107">
        <f t="shared" si="99"/>
        <v>29553.262032085553</v>
      </c>
      <c r="BA10" s="107">
        <f t="shared" si="99"/>
        <v>30156.803953871498</v>
      </c>
      <c r="BB10" s="107">
        <f t="shared" si="99"/>
        <v>31344.758418740857</v>
      </c>
      <c r="BC10" s="107">
        <f t="shared" si="99"/>
        <v>31882.401372212691</v>
      </c>
      <c r="BD10" s="107">
        <f t="shared" si="99"/>
        <v>28177.550387596897</v>
      </c>
      <c r="BE10" s="107">
        <f t="shared" si="99"/>
        <v>30973.673780487807</v>
      </c>
      <c r="BF10" s="107">
        <f t="shared" si="99"/>
        <v>33654.105754276825</v>
      </c>
      <c r="BG10" s="107">
        <f t="shared" si="99"/>
        <v>35229.847328244272</v>
      </c>
      <c r="BH10" s="107">
        <f t="shared" si="99"/>
        <v>37015.661764705874</v>
      </c>
      <c r="BI10" s="107">
        <f t="shared" si="99"/>
        <v>34325.464949928471</v>
      </c>
      <c r="BJ10" s="107">
        <f t="shared" si="99"/>
        <v>32821.478029294281</v>
      </c>
      <c r="BK10" s="107">
        <f t="shared" si="99"/>
        <v>34992.113564668769</v>
      </c>
      <c r="BL10" s="107">
        <f t="shared" si="99"/>
        <v>30216.692189892801</v>
      </c>
      <c r="BM10" s="107">
        <f t="shared" si="99"/>
        <v>25185.554035567726</v>
      </c>
      <c r="BN10" s="107">
        <f t="shared" si="99"/>
        <v>35061.030769230762</v>
      </c>
      <c r="BO10" s="107">
        <f t="shared" ref="BO10:CT10" si="100">+BO25/BO4*10</f>
        <v>29191.866125760647</v>
      </c>
      <c r="BP10" s="107">
        <f t="shared" si="100"/>
        <v>30518.608108108107</v>
      </c>
      <c r="BQ10" s="107">
        <f t="shared" si="100"/>
        <v>40189.709302325587</v>
      </c>
      <c r="BR10" s="107">
        <f t="shared" si="100"/>
        <v>44706.411238825029</v>
      </c>
      <c r="BS10" s="107">
        <f t="shared" si="100"/>
        <v>51759.592123769333</v>
      </c>
      <c r="BT10" s="107">
        <f t="shared" si="100"/>
        <v>55925.169147496628</v>
      </c>
      <c r="BU10" s="107">
        <f t="shared" si="100"/>
        <v>57999.072753209701</v>
      </c>
      <c r="BV10" s="107">
        <f t="shared" si="100"/>
        <v>52051.56054931337</v>
      </c>
      <c r="BW10" s="107">
        <f t="shared" si="100"/>
        <v>60739.350453172199</v>
      </c>
      <c r="BX10" s="107">
        <f t="shared" si="100"/>
        <v>39472.337482710936</v>
      </c>
      <c r="BY10" s="107">
        <f t="shared" si="100"/>
        <v>37847.510489510481</v>
      </c>
      <c r="BZ10" s="107">
        <f t="shared" si="100"/>
        <v>44094.434447300773</v>
      </c>
      <c r="CA10" s="107">
        <f t="shared" si="100"/>
        <v>44588.426183844022</v>
      </c>
      <c r="CB10" s="107">
        <f t="shared" si="100"/>
        <v>42179.603399433414</v>
      </c>
      <c r="CC10" s="107">
        <f t="shared" si="100"/>
        <v>46485.671852899599</v>
      </c>
      <c r="CD10" s="107">
        <f t="shared" si="100"/>
        <v>41471.221374045796</v>
      </c>
      <c r="CE10" s="107">
        <f t="shared" si="100"/>
        <v>43714.081081081087</v>
      </c>
      <c r="CF10" s="107">
        <f t="shared" si="100"/>
        <v>39475.164690382095</v>
      </c>
      <c r="CG10" s="107">
        <f t="shared" si="100"/>
        <v>38745.580182529331</v>
      </c>
      <c r="CH10" s="107">
        <f t="shared" si="100"/>
        <v>38060.301932367161</v>
      </c>
      <c r="CI10" s="107">
        <f t="shared" si="100"/>
        <v>45340</v>
      </c>
      <c r="CJ10" s="107">
        <f t="shared" ref="CJ10:CK10" si="101">+CJ25/CJ4*10</f>
        <v>44613.554687499993</v>
      </c>
      <c r="CK10" s="107">
        <f t="shared" si="101"/>
        <v>41891.696969696975</v>
      </c>
      <c r="CL10" s="107">
        <f t="shared" ref="CL10" si="102">+CL25/CL4*10</f>
        <v>42398.777142857136</v>
      </c>
      <c r="CM10" s="108">
        <f t="shared" si="100"/>
        <v>45780.583399754832</v>
      </c>
      <c r="CN10" s="108">
        <f t="shared" si="100"/>
        <v>45893.32570056821</v>
      </c>
      <c r="CO10" s="108">
        <f t="shared" si="100"/>
        <v>45983.910969668104</v>
      </c>
      <c r="CP10" s="108">
        <f t="shared" si="100"/>
        <v>47046.62410153461</v>
      </c>
      <c r="CQ10" s="108">
        <f t="shared" si="100"/>
        <v>46170.675164727625</v>
      </c>
      <c r="CR10" s="108">
        <f t="shared" si="100"/>
        <v>46269.375433277193</v>
      </c>
      <c r="CS10" s="108">
        <f t="shared" si="100"/>
        <v>46364.25910558246</v>
      </c>
      <c r="CT10" s="108">
        <f t="shared" si="100"/>
        <v>46460.36106168179</v>
      </c>
      <c r="CU10" s="108">
        <f t="shared" ref="CU10:DB10" si="103">+CU25/CU4*10</f>
        <v>46316.521961825412</v>
      </c>
      <c r="CV10" s="108">
        <f t="shared" si="103"/>
        <v>46352.819534382012</v>
      </c>
      <c r="CW10" s="108">
        <f t="shared" si="103"/>
        <v>46373.586230686094</v>
      </c>
      <c r="CX10" s="108">
        <f t="shared" si="103"/>
        <v>46375.917126160966</v>
      </c>
      <c r="CY10" s="108">
        <f t="shared" si="103"/>
        <v>46354.729132830755</v>
      </c>
      <c r="CZ10" s="108">
        <f t="shared" si="103"/>
        <v>46364.267387494299</v>
      </c>
      <c r="DA10" s="108">
        <f t="shared" si="103"/>
        <v>46367.12741924866</v>
      </c>
      <c r="DB10" s="108">
        <f t="shared" si="103"/>
        <v>46365.512239780321</v>
      </c>
      <c r="DE10" s="117"/>
      <c r="DF10" s="109">
        <v>42035.140443531913</v>
      </c>
    </row>
    <row r="11" spans="1:110" s="158" customFormat="1" x14ac:dyDescent="0.2">
      <c r="A11" s="155" t="s">
        <v>525</v>
      </c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>
        <f t="shared" ref="N11" si="104">+N10-N12</f>
        <v>25623.64125932063</v>
      </c>
      <c r="O11" s="156">
        <f t="shared" ref="O11" si="105">+O10-O12</f>
        <v>26147.771084337346</v>
      </c>
      <c r="P11" s="156">
        <f t="shared" ref="P11" si="106">+P10-P12</f>
        <v>27081.485562310023</v>
      </c>
      <c r="Q11" s="156">
        <f t="shared" ref="Q11" si="107">+Q10-Q12</f>
        <v>21132.678783089686</v>
      </c>
      <c r="R11" s="156">
        <f t="shared" ref="R11" si="108">+R10-R12</f>
        <v>23473.471524288103</v>
      </c>
      <c r="S11" s="156">
        <f t="shared" ref="S11" si="109">+S10-S12</f>
        <v>22045.555995251285</v>
      </c>
      <c r="T11" s="156">
        <f t="shared" ref="T11" si="110">+T10-T12</f>
        <v>24238.890484739677</v>
      </c>
      <c r="U11" s="156">
        <f t="shared" ref="U11" si="111">+U10-U12</f>
        <v>25315.884557721136</v>
      </c>
      <c r="V11" s="156">
        <f t="shared" ref="V11" si="112">+V10-V12</f>
        <v>25649.245562130171</v>
      </c>
      <c r="W11" s="156">
        <f t="shared" ref="W11" si="113">+W10-W12</f>
        <v>32855.853658536587</v>
      </c>
      <c r="X11" s="156">
        <f t="shared" ref="X11" si="114">+X10-X12</f>
        <v>34002.015288394716</v>
      </c>
      <c r="Y11" s="156">
        <f t="shared" ref="Y11" si="115">+Y10-Y12</f>
        <v>35988.004799451483</v>
      </c>
      <c r="Z11" s="156">
        <f t="shared" ref="Z11" si="116">+Z10-Z12</f>
        <v>31752.879767291535</v>
      </c>
      <c r="AA11" s="157">
        <f t="shared" ref="AA11" si="117">+AA10-AA12</f>
        <v>32685.851898336998</v>
      </c>
      <c r="AB11" s="157">
        <f t="shared" ref="AB11" si="118">+AB10-AB12</f>
        <v>33471.626774185548</v>
      </c>
      <c r="AC11" s="157">
        <f t="shared" ref="AC11" si="119">+AC10-AC12</f>
        <v>33129.159252384634</v>
      </c>
      <c r="AD11" s="157">
        <f t="shared" ref="AD11" si="120">+AD10-AD12</f>
        <v>33109.957395863661</v>
      </c>
      <c r="AE11" s="157">
        <f t="shared" ref="AE11" si="121">+AE10-AE12</f>
        <v>33106.134462318005</v>
      </c>
      <c r="AI11" s="156">
        <f t="shared" ref="AI11:CH11" si="122">+AI10-AI12</f>
        <v>27056.602112676053</v>
      </c>
      <c r="AJ11" s="156">
        <f t="shared" si="122"/>
        <v>25247.940691927513</v>
      </c>
      <c r="AK11" s="156">
        <f t="shared" si="122"/>
        <v>27353.87650085763</v>
      </c>
      <c r="AL11" s="156">
        <f t="shared" si="122"/>
        <v>23190.731707317071</v>
      </c>
      <c r="AM11" s="156">
        <f t="shared" si="122"/>
        <v>26214.046052631576</v>
      </c>
      <c r="AN11" s="156">
        <f t="shared" si="122"/>
        <v>26871.18827160494</v>
      </c>
      <c r="AO11" s="156">
        <f t="shared" si="122"/>
        <v>27922.83699059561</v>
      </c>
      <c r="AP11" s="156">
        <f t="shared" si="122"/>
        <v>24016.509186351708</v>
      </c>
      <c r="AQ11" s="156">
        <f t="shared" si="122"/>
        <v>27257.523219814248</v>
      </c>
      <c r="AR11" s="156">
        <f t="shared" si="122"/>
        <v>27750.56923076923</v>
      </c>
      <c r="AS11" s="156">
        <f t="shared" si="122"/>
        <v>26929.428571428576</v>
      </c>
      <c r="AT11" s="156">
        <f t="shared" si="122"/>
        <v>26471.34560906516</v>
      </c>
      <c r="AU11" s="156">
        <f t="shared" si="122"/>
        <v>22308.767772511848</v>
      </c>
      <c r="AV11" s="156">
        <f t="shared" si="122"/>
        <v>22146.184419713834</v>
      </c>
      <c r="AW11" s="156">
        <f t="shared" si="122"/>
        <v>21521.522762951336</v>
      </c>
      <c r="AX11" s="156">
        <f t="shared" si="122"/>
        <v>21232.674050632912</v>
      </c>
      <c r="AY11" s="156">
        <f t="shared" si="122"/>
        <v>24918.715083798885</v>
      </c>
      <c r="AZ11" s="156">
        <f t="shared" si="122"/>
        <v>24078.948306595361</v>
      </c>
      <c r="BA11" s="156">
        <f t="shared" si="122"/>
        <v>24166.441515650738</v>
      </c>
      <c r="BB11" s="156">
        <f t="shared" si="122"/>
        <v>21058.945827232797</v>
      </c>
      <c r="BC11" s="156">
        <f t="shared" si="122"/>
        <v>23350.651801029162</v>
      </c>
      <c r="BD11" s="156">
        <f t="shared" si="122"/>
        <v>20858.682170542634</v>
      </c>
      <c r="BE11" s="156">
        <f t="shared" si="122"/>
        <v>22289.314024390245</v>
      </c>
      <c r="BF11" s="156">
        <f t="shared" si="122"/>
        <v>23701.881804043547</v>
      </c>
      <c r="BG11" s="156">
        <f t="shared" si="122"/>
        <v>25531.007633587786</v>
      </c>
      <c r="BH11" s="156">
        <f t="shared" si="122"/>
        <v>24072.220588235294</v>
      </c>
      <c r="BI11" s="156">
        <f t="shared" si="122"/>
        <v>24717.76824034335</v>
      </c>
      <c r="BJ11" s="156">
        <f t="shared" si="122"/>
        <v>22817.110519307593</v>
      </c>
      <c r="BK11" s="156">
        <f t="shared" si="122"/>
        <v>26511.198738170344</v>
      </c>
      <c r="BL11" s="156">
        <f t="shared" si="122"/>
        <v>24367.442572741191</v>
      </c>
      <c r="BM11" s="156">
        <f t="shared" si="122"/>
        <v>20233.789329685365</v>
      </c>
      <c r="BN11" s="156">
        <f t="shared" si="122"/>
        <v>27677.66153846154</v>
      </c>
      <c r="BO11" s="156">
        <f t="shared" si="122"/>
        <v>28098.093306288036</v>
      </c>
      <c r="BP11" s="156">
        <f t="shared" si="122"/>
        <v>22123.054054054053</v>
      </c>
      <c r="BQ11" s="156">
        <f t="shared" si="122"/>
        <v>26282.383720930229</v>
      </c>
      <c r="BR11" s="156">
        <f t="shared" si="122"/>
        <v>26591.366538952741</v>
      </c>
      <c r="BS11" s="156">
        <f t="shared" si="122"/>
        <v>29100.590717299572</v>
      </c>
      <c r="BT11" s="156">
        <f t="shared" si="122"/>
        <v>33657.077131258462</v>
      </c>
      <c r="BU11" s="156">
        <f t="shared" si="122"/>
        <v>35326.219686162629</v>
      </c>
      <c r="BV11" s="156">
        <f t="shared" si="122"/>
        <v>33288.002496878908</v>
      </c>
      <c r="BW11" s="156">
        <f t="shared" si="122"/>
        <v>38121.827794561934</v>
      </c>
      <c r="BX11" s="156">
        <f t="shared" si="122"/>
        <v>31090.152143845091</v>
      </c>
      <c r="BY11" s="156">
        <f t="shared" si="122"/>
        <v>32186.195804195799</v>
      </c>
      <c r="BZ11" s="156">
        <f t="shared" si="122"/>
        <v>34815.257069408741</v>
      </c>
      <c r="CA11" s="156">
        <f t="shared" si="122"/>
        <v>37382.465181058498</v>
      </c>
      <c r="CB11" s="156">
        <f t="shared" si="122"/>
        <v>36134.532577903672</v>
      </c>
      <c r="CC11" s="156">
        <f t="shared" si="122"/>
        <v>37626.308345120233</v>
      </c>
      <c r="CD11" s="156">
        <f t="shared" si="122"/>
        <v>33073.473282442748</v>
      </c>
      <c r="CE11" s="156">
        <f t="shared" si="122"/>
        <v>34667.5</v>
      </c>
      <c r="CF11" s="156">
        <f t="shared" si="122"/>
        <v>31383.899868247696</v>
      </c>
      <c r="CG11" s="156">
        <f t="shared" si="122"/>
        <v>31048.722294654497</v>
      </c>
      <c r="CH11" s="156">
        <f t="shared" si="122"/>
        <v>30138.538647342997</v>
      </c>
      <c r="CI11" s="156">
        <f>+CI10-CI12</f>
        <v>35009.624478442274</v>
      </c>
      <c r="CJ11" s="156">
        <f>+CJ10-CJ12</f>
        <v>33029.518229166657</v>
      </c>
      <c r="CK11" s="156">
        <f>+CK10-CK12</f>
        <v>31952.666666666672</v>
      </c>
      <c r="CL11" s="156">
        <f>+CL10-CL12</f>
        <v>31166.022857142852</v>
      </c>
      <c r="CM11" s="157">
        <f t="shared" ref="CM11:DB11" si="123">+CM10-CM12</f>
        <v>33623.211676292063</v>
      </c>
      <c r="CN11" s="157">
        <f t="shared" si="123"/>
        <v>33273.454663592522</v>
      </c>
      <c r="CO11" s="157">
        <f t="shared" si="123"/>
        <v>33327.618117309292</v>
      </c>
      <c r="CP11" s="157">
        <f t="shared" si="123"/>
        <v>33656.750486797057</v>
      </c>
      <c r="CQ11" s="157">
        <f t="shared" si="123"/>
        <v>33236.705955267811</v>
      </c>
      <c r="CR11" s="157">
        <f t="shared" si="123"/>
        <v>33140.46716469949</v>
      </c>
      <c r="CS11" s="157">
        <f t="shared" si="123"/>
        <v>33107.645374030668</v>
      </c>
      <c r="CT11" s="157">
        <f t="shared" si="123"/>
        <v>33053.219855239688</v>
      </c>
      <c r="CU11" s="157">
        <f t="shared" si="123"/>
        <v>33134.507530460745</v>
      </c>
      <c r="CV11" s="157">
        <f t="shared" si="123"/>
        <v>33108.978728960989</v>
      </c>
      <c r="CW11" s="157">
        <f t="shared" si="123"/>
        <v>33101.090617291724</v>
      </c>
      <c r="CX11" s="157">
        <f t="shared" si="123"/>
        <v>33099.451982586441</v>
      </c>
      <c r="CY11" s="157">
        <f t="shared" si="123"/>
        <v>33111.007262978615</v>
      </c>
      <c r="CZ11" s="157">
        <f t="shared" si="123"/>
        <v>33105.132663087294</v>
      </c>
      <c r="DA11" s="157">
        <f t="shared" si="123"/>
        <v>33104.170751410144</v>
      </c>
      <c r="DB11" s="157">
        <f t="shared" si="123"/>
        <v>33104.940744228865</v>
      </c>
      <c r="DE11" s="159"/>
      <c r="DF11" s="158">
        <v>31665.025006670581</v>
      </c>
    </row>
    <row r="12" spans="1:110" s="109" customFormat="1" x14ac:dyDescent="0.2">
      <c r="A12" s="185" t="s">
        <v>526</v>
      </c>
      <c r="B12" s="107"/>
      <c r="C12" s="107"/>
      <c r="D12" s="107"/>
      <c r="E12" s="107"/>
      <c r="F12" s="107"/>
      <c r="G12" s="107"/>
      <c r="H12" s="107"/>
      <c r="I12" s="107"/>
      <c r="J12" s="107"/>
      <c r="K12" s="107"/>
      <c r="L12" s="107"/>
      <c r="M12" s="107"/>
      <c r="N12" s="107">
        <f t="shared" ref="N12:AE12" si="124">+N37/N4*10</f>
        <v>5044.6230323115269</v>
      </c>
      <c r="O12" s="107">
        <f t="shared" si="124"/>
        <v>6157.7146084337446</v>
      </c>
      <c r="P12" s="107">
        <f t="shared" si="124"/>
        <v>4728.0585106382923</v>
      </c>
      <c r="Q12" s="107">
        <f t="shared" si="124"/>
        <v>3104.0892927696545</v>
      </c>
      <c r="R12" s="107">
        <f t="shared" si="124"/>
        <v>7093.7479061976583</v>
      </c>
      <c r="S12" s="107">
        <f t="shared" si="124"/>
        <v>8430.4036406806499</v>
      </c>
      <c r="T12" s="107">
        <f t="shared" si="124"/>
        <v>10550.570915619383</v>
      </c>
      <c r="U12" s="107">
        <f t="shared" si="124"/>
        <v>6679.8913043478196</v>
      </c>
      <c r="V12" s="107">
        <f t="shared" si="124"/>
        <v>11281.161242603555</v>
      </c>
      <c r="W12" s="107">
        <f t="shared" si="124"/>
        <v>21507.435636856375</v>
      </c>
      <c r="X12" s="107">
        <f t="shared" si="124"/>
        <v>11207.988186240453</v>
      </c>
      <c r="Y12" s="107">
        <f t="shared" si="124"/>
        <v>7637.3088789852536</v>
      </c>
      <c r="Z12" s="107">
        <f t="shared" si="124"/>
        <v>8176.6160310277955</v>
      </c>
      <c r="AA12" s="108">
        <f t="shared" si="124"/>
        <v>10778.926890492632</v>
      </c>
      <c r="AB12" s="108">
        <f t="shared" si="124"/>
        <v>12739.011876749275</v>
      </c>
      <c r="AC12" s="108">
        <f t="shared" si="124"/>
        <v>13195.904698624985</v>
      </c>
      <c r="AD12" s="108">
        <f t="shared" si="124"/>
        <v>13246.611091307546</v>
      </c>
      <c r="AE12" s="108">
        <f t="shared" si="124"/>
        <v>13257.10401065139</v>
      </c>
      <c r="AI12" s="107">
        <f t="shared" ref="AI12:BN12" si="125">+AI37/AI4*10</f>
        <v>5991.6901408450849</v>
      </c>
      <c r="AJ12" s="107">
        <f t="shared" si="125"/>
        <v>3805.7331136738085</v>
      </c>
      <c r="AK12" s="107">
        <f t="shared" si="125"/>
        <v>3840.3259005145828</v>
      </c>
      <c r="AL12" s="107">
        <f t="shared" si="125"/>
        <v>6659.9695121951208</v>
      </c>
      <c r="AM12" s="107">
        <f t="shared" si="125"/>
        <v>6065.8552631578905</v>
      </c>
      <c r="AN12" s="107">
        <f t="shared" si="125"/>
        <v>5718.1327160493747</v>
      </c>
      <c r="AO12" s="107">
        <f t="shared" si="125"/>
        <v>6279.843260188095</v>
      </c>
      <c r="AP12" s="107">
        <f t="shared" si="125"/>
        <v>6576.2204724409376</v>
      </c>
      <c r="AQ12" s="107">
        <f t="shared" si="125"/>
        <v>6613.8854489164023</v>
      </c>
      <c r="AR12" s="107">
        <f t="shared" si="125"/>
        <v>5604.3384615384621</v>
      </c>
      <c r="AS12" s="107">
        <f t="shared" si="125"/>
        <v>4884.7460317460364</v>
      </c>
      <c r="AT12" s="107">
        <f t="shared" si="125"/>
        <v>2185.5099150141609</v>
      </c>
      <c r="AU12" s="107">
        <f t="shared" si="125"/>
        <v>4238.1674565560825</v>
      </c>
      <c r="AV12" s="107">
        <f t="shared" si="125"/>
        <v>2836.3275039745558</v>
      </c>
      <c r="AW12" s="107">
        <f t="shared" si="125"/>
        <v>1315.9497645211934</v>
      </c>
      <c r="AX12" s="107">
        <f t="shared" si="125"/>
        <v>3553.3702531645504</v>
      </c>
      <c r="AY12" s="107">
        <f t="shared" si="125"/>
        <v>6099.3854748603371</v>
      </c>
      <c r="AZ12" s="107">
        <f t="shared" si="125"/>
        <v>5474.3137254901931</v>
      </c>
      <c r="BA12" s="107">
        <f t="shared" si="125"/>
        <v>5990.3624382207599</v>
      </c>
      <c r="BB12" s="107">
        <f t="shared" si="125"/>
        <v>10285.81259150806</v>
      </c>
      <c r="BC12" s="107">
        <f t="shared" si="125"/>
        <v>8531.7495711835309</v>
      </c>
      <c r="BD12" s="107">
        <f t="shared" si="125"/>
        <v>7318.8682170542634</v>
      </c>
      <c r="BE12" s="107">
        <f t="shared" si="125"/>
        <v>8684.3597560975631</v>
      </c>
      <c r="BF12" s="107">
        <f t="shared" si="125"/>
        <v>9952.2239502332777</v>
      </c>
      <c r="BG12" s="107">
        <f t="shared" si="125"/>
        <v>9698.8396946564862</v>
      </c>
      <c r="BH12" s="107">
        <f t="shared" si="125"/>
        <v>12943.441176470578</v>
      </c>
      <c r="BI12" s="107">
        <f t="shared" si="125"/>
        <v>9607.6967095851196</v>
      </c>
      <c r="BJ12" s="107">
        <f t="shared" si="125"/>
        <v>10004.367509986689</v>
      </c>
      <c r="BK12" s="107">
        <f t="shared" si="125"/>
        <v>8480.9148264984251</v>
      </c>
      <c r="BL12" s="107">
        <f t="shared" si="125"/>
        <v>5849.2496171516095</v>
      </c>
      <c r="BM12" s="107">
        <f t="shared" si="125"/>
        <v>4951.7647058823623</v>
      </c>
      <c r="BN12" s="107">
        <f t="shared" si="125"/>
        <v>7383.3692307692227</v>
      </c>
      <c r="BO12" s="107">
        <f t="shared" ref="BO12:CT12" si="126">+BO37/BO4*10</f>
        <v>1093.7728194726121</v>
      </c>
      <c r="BP12" s="107">
        <f t="shared" si="126"/>
        <v>8395.5540540540533</v>
      </c>
      <c r="BQ12" s="107">
        <f t="shared" si="126"/>
        <v>13907.325581395358</v>
      </c>
      <c r="BR12" s="107">
        <f t="shared" si="126"/>
        <v>18115.044699872287</v>
      </c>
      <c r="BS12" s="107">
        <f t="shared" si="126"/>
        <v>22659.001406469761</v>
      </c>
      <c r="BT12" s="107">
        <f t="shared" si="126"/>
        <v>22268.092016238166</v>
      </c>
      <c r="BU12" s="107">
        <f t="shared" si="126"/>
        <v>22672.853067047072</v>
      </c>
      <c r="BV12" s="107">
        <f t="shared" si="126"/>
        <v>18763.558052434466</v>
      </c>
      <c r="BW12" s="107">
        <f t="shared" si="126"/>
        <v>22617.522658610265</v>
      </c>
      <c r="BX12" s="107">
        <f t="shared" si="126"/>
        <v>8382.1853388658456</v>
      </c>
      <c r="BY12" s="107">
        <f t="shared" si="126"/>
        <v>5661.3146853146845</v>
      </c>
      <c r="BZ12" s="107">
        <f t="shared" si="126"/>
        <v>9279.1773778920306</v>
      </c>
      <c r="CA12" s="107">
        <f t="shared" si="126"/>
        <v>7205.9610027855215</v>
      </c>
      <c r="CB12" s="107">
        <f t="shared" si="126"/>
        <v>6045.0708215297436</v>
      </c>
      <c r="CC12" s="107">
        <f t="shared" si="126"/>
        <v>8859.3635077793642</v>
      </c>
      <c r="CD12" s="107">
        <f t="shared" si="126"/>
        <v>8397.7480916030454</v>
      </c>
      <c r="CE12" s="107">
        <f t="shared" si="126"/>
        <v>9046.5810810810835</v>
      </c>
      <c r="CF12" s="107">
        <f t="shared" si="126"/>
        <v>8091.2648221343979</v>
      </c>
      <c r="CG12" s="107">
        <f t="shared" si="126"/>
        <v>7696.857887874834</v>
      </c>
      <c r="CH12" s="107">
        <f t="shared" si="126"/>
        <v>7921.7632850241662</v>
      </c>
      <c r="CI12" s="107">
        <f t="shared" si="126"/>
        <v>10330.375521557722</v>
      </c>
      <c r="CJ12" s="107">
        <f t="shared" ref="CJ12:CK12" si="127">+CJ37/CJ4*10</f>
        <v>11584.036458333332</v>
      </c>
      <c r="CK12" s="107">
        <f t="shared" si="127"/>
        <v>9939.0303030303057</v>
      </c>
      <c r="CL12" s="107">
        <f t="shared" ref="CL12" si="128">+CL37/CL4*10</f>
        <v>11232.754285714282</v>
      </c>
      <c r="CM12" s="108">
        <f t="shared" si="126"/>
        <v>12157.371723462769</v>
      </c>
      <c r="CN12" s="108">
        <f t="shared" si="126"/>
        <v>12619.871036975688</v>
      </c>
      <c r="CO12" s="108">
        <f t="shared" si="126"/>
        <v>12656.292852358809</v>
      </c>
      <c r="CP12" s="108">
        <f t="shared" si="126"/>
        <v>13389.873614737551</v>
      </c>
      <c r="CQ12" s="108">
        <f t="shared" si="126"/>
        <v>12933.969209459812</v>
      </c>
      <c r="CR12" s="108">
        <f t="shared" si="126"/>
        <v>13128.908268577703</v>
      </c>
      <c r="CS12" s="108">
        <f t="shared" si="126"/>
        <v>13256.613731551792</v>
      </c>
      <c r="CT12" s="108">
        <f t="shared" si="126"/>
        <v>13407.141206442106</v>
      </c>
      <c r="CU12" s="108">
        <f t="shared" ref="CU12:DB12" si="129">+CU37/CU4*10</f>
        <v>13182.014431364663</v>
      </c>
      <c r="CV12" s="108">
        <f t="shared" si="129"/>
        <v>13243.840805421023</v>
      </c>
      <c r="CW12" s="108">
        <f t="shared" si="129"/>
        <v>13272.495613394369</v>
      </c>
      <c r="CX12" s="108">
        <f t="shared" si="129"/>
        <v>13276.465143574525</v>
      </c>
      <c r="CY12" s="108">
        <f t="shared" si="129"/>
        <v>13243.721869852141</v>
      </c>
      <c r="CZ12" s="108">
        <f t="shared" si="129"/>
        <v>13259.134724407002</v>
      </c>
      <c r="DA12" s="108">
        <f t="shared" si="129"/>
        <v>13262.956667838513</v>
      </c>
      <c r="DB12" s="108">
        <f t="shared" si="129"/>
        <v>13260.57149555146</v>
      </c>
      <c r="DE12" s="117"/>
      <c r="DF12" s="109">
        <v>10370.115436861332</v>
      </c>
    </row>
    <row r="13" spans="1:110" s="158" customFormat="1" x14ac:dyDescent="0.2">
      <c r="A13" s="155"/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156"/>
      <c r="U13" s="156"/>
      <c r="V13" s="156"/>
      <c r="W13" s="156"/>
      <c r="X13" s="156"/>
      <c r="Y13" s="156"/>
      <c r="Z13" s="156"/>
      <c r="AA13" s="157"/>
      <c r="AB13" s="157"/>
      <c r="AC13" s="157"/>
      <c r="AD13" s="157"/>
      <c r="AE13" s="157"/>
      <c r="AI13" s="156"/>
      <c r="AJ13" s="156"/>
      <c r="AK13" s="156"/>
      <c r="AL13" s="156"/>
      <c r="AM13" s="156"/>
      <c r="AN13" s="156"/>
      <c r="AO13" s="156"/>
      <c r="AP13" s="156"/>
      <c r="AQ13" s="156"/>
      <c r="AR13" s="156"/>
      <c r="AS13" s="156"/>
      <c r="AT13" s="156"/>
      <c r="AU13" s="156"/>
      <c r="AV13" s="156"/>
      <c r="AW13" s="156"/>
      <c r="AX13" s="156"/>
      <c r="AY13" s="156"/>
      <c r="AZ13" s="156"/>
      <c r="BA13" s="156"/>
      <c r="BB13" s="156"/>
      <c r="BC13" s="156"/>
      <c r="BD13" s="156"/>
      <c r="BE13" s="156"/>
      <c r="BF13" s="156"/>
      <c r="BG13" s="156"/>
      <c r="BH13" s="156"/>
      <c r="BI13" s="156"/>
      <c r="BJ13" s="156"/>
      <c r="BK13" s="156"/>
      <c r="BL13" s="156"/>
      <c r="BM13" s="156"/>
      <c r="BN13" s="156"/>
      <c r="BO13" s="156"/>
      <c r="BP13" s="156"/>
      <c r="BQ13" s="156"/>
      <c r="BR13" s="156"/>
      <c r="BS13" s="156"/>
      <c r="BT13" s="156"/>
      <c r="BU13" s="156"/>
      <c r="BV13" s="156"/>
      <c r="BW13" s="156"/>
      <c r="BX13" s="156"/>
      <c r="BY13" s="156"/>
      <c r="BZ13" s="156"/>
      <c r="CA13" s="156"/>
      <c r="CB13" s="156"/>
      <c r="CC13" s="156"/>
      <c r="CD13" s="156"/>
      <c r="CE13" s="156"/>
      <c r="CF13" s="156"/>
      <c r="CG13" s="156"/>
      <c r="CH13" s="156"/>
      <c r="CI13" s="156"/>
      <c r="CJ13" s="156"/>
      <c r="CK13" s="156"/>
      <c r="CL13" s="156"/>
      <c r="CM13" s="157"/>
      <c r="CN13" s="157"/>
      <c r="CO13" s="157"/>
      <c r="CP13" s="157"/>
      <c r="CQ13" s="157"/>
      <c r="CR13" s="157"/>
      <c r="CS13" s="157"/>
      <c r="CT13" s="157"/>
      <c r="CU13" s="157"/>
      <c r="CV13" s="157"/>
      <c r="CW13" s="157"/>
      <c r="CX13" s="157"/>
      <c r="CY13" s="157"/>
      <c r="CZ13" s="157"/>
      <c r="DA13" s="157"/>
      <c r="DB13" s="157"/>
      <c r="DE13" s="159"/>
    </row>
    <row r="14" spans="1:110" s="158" customFormat="1" x14ac:dyDescent="0.2">
      <c r="A14" s="155"/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156"/>
      <c r="S14" s="156"/>
      <c r="T14" s="156"/>
      <c r="U14" s="156"/>
      <c r="V14" s="156"/>
      <c r="W14" s="156"/>
      <c r="X14" s="156"/>
      <c r="Y14" s="156"/>
      <c r="Z14" s="156"/>
      <c r="AA14" s="157"/>
      <c r="AB14" s="157"/>
      <c r="AC14" s="157"/>
      <c r="AD14" s="157"/>
      <c r="AE14" s="157"/>
      <c r="AI14" s="156"/>
      <c r="AJ14" s="156"/>
      <c r="AK14" s="156"/>
      <c r="AL14" s="156"/>
      <c r="AM14" s="156"/>
      <c r="AN14" s="156"/>
      <c r="AO14" s="156"/>
      <c r="AP14" s="156"/>
      <c r="AQ14" s="156"/>
      <c r="AR14" s="156"/>
      <c r="AS14" s="156"/>
      <c r="AT14" s="156"/>
      <c r="AU14" s="156"/>
      <c r="AV14" s="156"/>
      <c r="AW14" s="156"/>
      <c r="AX14" s="156"/>
      <c r="AY14" s="156"/>
      <c r="AZ14" s="156"/>
      <c r="BA14" s="156"/>
      <c r="BB14" s="156"/>
      <c r="BC14" s="156"/>
      <c r="BD14" s="156"/>
      <c r="BE14" s="156"/>
      <c r="BF14" s="156"/>
      <c r="BG14" s="156"/>
      <c r="BH14" s="156"/>
      <c r="BI14" s="156"/>
      <c r="BJ14" s="156"/>
      <c r="BK14" s="156"/>
      <c r="BL14" s="156"/>
      <c r="BM14" s="156"/>
      <c r="BN14" s="156"/>
      <c r="BO14" s="156"/>
      <c r="BP14" s="156"/>
      <c r="BQ14" s="156"/>
      <c r="BR14" s="156"/>
      <c r="BS14" s="156"/>
      <c r="BT14" s="156"/>
      <c r="BU14" s="156"/>
      <c r="BV14" s="156"/>
      <c r="BW14" s="156"/>
      <c r="BX14" s="156"/>
      <c r="BY14" s="156"/>
      <c r="BZ14" s="156"/>
      <c r="CA14" s="156"/>
      <c r="CB14" s="156"/>
      <c r="CC14" s="156"/>
      <c r="CD14" s="156"/>
      <c r="CE14" s="156"/>
      <c r="CF14" s="156"/>
      <c r="CG14" s="156"/>
      <c r="CH14" s="156"/>
      <c r="CI14" s="156"/>
      <c r="CJ14" s="156"/>
      <c r="CK14" s="156"/>
      <c r="CL14" s="156"/>
      <c r="CM14" s="157"/>
      <c r="CN14" s="157"/>
      <c r="CO14" s="157"/>
      <c r="CP14" s="157"/>
      <c r="CQ14" s="157"/>
      <c r="CR14" s="157"/>
      <c r="CS14" s="157"/>
      <c r="CT14" s="157"/>
      <c r="CU14" s="157"/>
      <c r="CV14" s="157"/>
      <c r="CW14" s="157"/>
      <c r="CX14" s="157"/>
      <c r="CY14" s="157"/>
      <c r="CZ14" s="157"/>
      <c r="DA14" s="157"/>
      <c r="DB14" s="157"/>
      <c r="DE14" s="159"/>
    </row>
    <row r="15" spans="1:110" s="106" customFormat="1" x14ac:dyDescent="0.2">
      <c r="A15" s="151" t="s">
        <v>500</v>
      </c>
      <c r="B15" s="104"/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57"/>
      <c r="AB15" s="157"/>
      <c r="AC15" s="157"/>
      <c r="AD15" s="105"/>
      <c r="AE15" s="105"/>
      <c r="AI15" s="104"/>
      <c r="AJ15" s="104"/>
      <c r="AK15" s="104"/>
      <c r="AL15" s="104"/>
      <c r="AM15" s="104"/>
      <c r="AN15" s="104"/>
      <c r="AO15" s="104"/>
      <c r="AP15" s="104"/>
      <c r="AQ15" s="104"/>
      <c r="AR15" s="104"/>
      <c r="AS15" s="104"/>
      <c r="AT15" s="104"/>
      <c r="AU15" s="104"/>
      <c r="AV15" s="104"/>
      <c r="AW15" s="104"/>
      <c r="AX15" s="104"/>
      <c r="AY15" s="104"/>
      <c r="AZ15" s="104"/>
      <c r="BA15" s="104"/>
      <c r="BB15" s="104"/>
      <c r="BC15" s="104"/>
      <c r="BD15" s="104"/>
      <c r="BE15" s="104"/>
      <c r="BF15" s="104"/>
      <c r="BG15" s="104"/>
      <c r="BH15" s="104"/>
      <c r="BI15" s="104"/>
      <c r="BJ15" s="104"/>
      <c r="BK15" s="104"/>
      <c r="BL15" s="104"/>
      <c r="BM15" s="104"/>
      <c r="BN15" s="104"/>
      <c r="BO15" s="104"/>
      <c r="BP15" s="104"/>
      <c r="BQ15" s="104"/>
      <c r="BR15" s="104"/>
      <c r="BS15" s="104"/>
      <c r="BT15" s="104"/>
      <c r="BU15" s="104"/>
      <c r="BV15" s="104"/>
      <c r="BW15" s="104"/>
      <c r="BX15" s="104"/>
      <c r="BY15" s="104"/>
      <c r="BZ15" s="104"/>
      <c r="CA15" s="104"/>
      <c r="CB15" s="104"/>
      <c r="CC15" s="104"/>
      <c r="CD15" s="104"/>
      <c r="CE15" s="104"/>
      <c r="CF15" s="104"/>
      <c r="CG15" s="104"/>
      <c r="CH15" s="104"/>
      <c r="CI15" s="104"/>
      <c r="CJ15" s="104"/>
      <c r="CK15" s="104"/>
      <c r="CL15" s="104"/>
      <c r="CM15" s="105"/>
      <c r="CN15" s="105"/>
      <c r="CO15" s="105"/>
      <c r="CP15" s="105"/>
      <c r="CQ15" s="105"/>
      <c r="CR15" s="105"/>
      <c r="CS15" s="105"/>
      <c r="CT15" s="105"/>
      <c r="CU15" s="105"/>
      <c r="CV15" s="105"/>
      <c r="CW15" s="105"/>
      <c r="CX15" s="105"/>
      <c r="CY15" s="105"/>
      <c r="CZ15" s="105"/>
      <c r="DA15" s="105"/>
      <c r="DB15" s="105"/>
      <c r="DE15" s="118"/>
    </row>
    <row r="16" spans="1:110" s="106" customFormat="1" x14ac:dyDescent="0.2">
      <c r="A16" s="151" t="s">
        <v>485</v>
      </c>
      <c r="B16" s="118"/>
      <c r="C16" s="118"/>
      <c r="D16" s="118"/>
      <c r="E16" s="118"/>
      <c r="F16" s="118"/>
      <c r="G16" s="118"/>
      <c r="H16" s="118"/>
      <c r="I16" s="118"/>
      <c r="J16" s="118"/>
      <c r="K16" s="118"/>
      <c r="L16" s="118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  <c r="AA16" s="118"/>
      <c r="AB16" s="105"/>
      <c r="AC16" s="105"/>
      <c r="AD16" s="105"/>
      <c r="AE16" s="105"/>
      <c r="AI16" s="118"/>
      <c r="AJ16" s="118"/>
      <c r="AK16" s="118"/>
      <c r="AL16" s="118"/>
      <c r="AM16" s="118"/>
      <c r="AN16" s="118"/>
      <c r="AO16" s="118"/>
      <c r="AP16" s="118"/>
      <c r="AQ16" s="118"/>
      <c r="AR16" s="118"/>
      <c r="AS16" s="118"/>
      <c r="AT16" s="118"/>
      <c r="AU16" s="118"/>
      <c r="AV16" s="118"/>
      <c r="AW16" s="118"/>
      <c r="AX16" s="118"/>
      <c r="AY16" s="118"/>
      <c r="AZ16" s="118"/>
      <c r="BA16" s="118"/>
      <c r="BB16" s="118"/>
      <c r="BC16" s="118"/>
      <c r="BD16" s="118"/>
      <c r="BE16" s="118"/>
      <c r="BF16" s="118"/>
      <c r="BG16" s="118"/>
      <c r="BH16" s="118"/>
      <c r="BI16" s="118"/>
      <c r="BJ16" s="118"/>
      <c r="BK16" s="118"/>
      <c r="BL16" s="118"/>
      <c r="BM16" s="118"/>
      <c r="BN16" s="118"/>
      <c r="BO16" s="118"/>
      <c r="BP16" s="118"/>
      <c r="BQ16" s="118"/>
      <c r="BR16" s="118"/>
      <c r="BS16" s="118"/>
      <c r="BT16" s="118"/>
      <c r="BU16" s="118"/>
      <c r="BV16" s="118"/>
      <c r="BW16" s="118"/>
      <c r="BX16" s="118"/>
      <c r="BY16" s="118"/>
      <c r="BZ16" s="118"/>
      <c r="CA16" s="118"/>
      <c r="CB16" s="118"/>
      <c r="CC16" s="118"/>
      <c r="CD16" s="118"/>
      <c r="CE16" s="118"/>
      <c r="CF16" s="118"/>
      <c r="CG16" s="118"/>
      <c r="CH16" s="118"/>
      <c r="CI16" s="118"/>
      <c r="CJ16" s="160"/>
      <c r="CK16" s="160"/>
      <c r="CL16" s="160"/>
      <c r="CM16" s="105"/>
      <c r="CN16" s="105"/>
      <c r="CO16" s="105"/>
      <c r="CP16" s="105"/>
      <c r="CQ16" s="105"/>
      <c r="CR16" s="105"/>
      <c r="CS16" s="105"/>
      <c r="CT16" s="105"/>
      <c r="CU16" s="105"/>
      <c r="CV16" s="105"/>
      <c r="CW16" s="105"/>
      <c r="CX16" s="105"/>
      <c r="CY16" s="105"/>
      <c r="CZ16" s="105"/>
      <c r="DA16" s="105"/>
      <c r="DB16" s="105"/>
      <c r="DE16" s="118"/>
    </row>
    <row r="17" spans="1:110" s="25" customFormat="1" outlineLevel="1" x14ac:dyDescent="0.2">
      <c r="A17" s="25" t="s">
        <v>430</v>
      </c>
      <c r="B17" s="25">
        <f>'Annual Raw'!C6</f>
        <v>7759.44</v>
      </c>
      <c r="C17" s="25">
        <f>'Annual Raw'!D6</f>
        <v>8401.25</v>
      </c>
      <c r="D17" s="25">
        <f>'Annual Raw'!E6</f>
        <v>10229.959999999999</v>
      </c>
      <c r="E17" s="25">
        <f>'Annual Raw'!F6</f>
        <v>12372.53</v>
      </c>
      <c r="F17" s="25">
        <f>'Annual Raw'!G6</f>
        <v>17414.52</v>
      </c>
      <c r="G17" s="25">
        <f>'Annual Raw'!H6</f>
        <v>22272.14</v>
      </c>
      <c r="H17" s="25">
        <f>'Annual Raw'!I6</f>
        <v>27437.29</v>
      </c>
      <c r="I17" s="25">
        <f>'Annual Raw'!J6</f>
        <v>134086.76999999999</v>
      </c>
      <c r="J17" s="25">
        <f>'Annual Raw'!K6</f>
        <v>149984.94</v>
      </c>
      <c r="K17" s="25">
        <f>'Annual Raw'!L6</f>
        <v>104229.83</v>
      </c>
      <c r="L17" s="25">
        <f>'Annual Raw'!M6</f>
        <v>121345.75</v>
      </c>
      <c r="M17" s="25">
        <f>'Annual Raw'!N6</f>
        <v>135975.56</v>
      </c>
      <c r="N17" s="25">
        <f>'Annual Raw'!O6</f>
        <v>138821.14000000001</v>
      </c>
      <c r="O17" s="25">
        <f>'Annual Raw'!P6</f>
        <v>153212.79</v>
      </c>
      <c r="P17" s="25">
        <f>'Annual Raw'!Q6</f>
        <v>144298.35999999999</v>
      </c>
      <c r="Q17" s="25">
        <f>'Annual Raw'!R6</f>
        <v>106339.92</v>
      </c>
      <c r="R17" s="25">
        <f>'Annual Raw'!S6</f>
        <v>117419.94</v>
      </c>
      <c r="S17" s="25">
        <f>'Annual Raw'!T6</f>
        <v>124109.69</v>
      </c>
      <c r="T17" s="25">
        <f>'Annual Raw'!U6</f>
        <v>157668.99</v>
      </c>
      <c r="U17" s="25">
        <f>'Annual Raw'!V6</f>
        <v>148971.71</v>
      </c>
      <c r="V17" s="25">
        <f>'Annual Raw'!W6</f>
        <v>156477.4</v>
      </c>
      <c r="W17" s="25">
        <f>'Annual Raw'!X6</f>
        <v>243959.17</v>
      </c>
      <c r="X17" s="25">
        <f>'Annual Raw'!Y6</f>
        <v>243352.69</v>
      </c>
      <c r="Y17" s="25">
        <f>'Annual Raw'!Z6</f>
        <v>229170.78</v>
      </c>
      <c r="Z17" s="25">
        <f>'Annual Raw'!AA6</f>
        <v>218542.51</v>
      </c>
      <c r="AA17" s="25">
        <f>'Annual Raw'!AB6</f>
        <v>232139.94</v>
      </c>
      <c r="AB17" s="17">
        <f>+SUM(CM17:CP17)</f>
        <v>257126.08820138761</v>
      </c>
      <c r="AC17" s="17">
        <f>+SUM(CQ17:CT17)</f>
        <v>271513.85904956015</v>
      </c>
      <c r="AD17" s="17">
        <f>+SUM(CU17:CX17)</f>
        <v>290419.26080667082</v>
      </c>
      <c r="AE17" s="17">
        <f>+SUM(CY17:DB17)</f>
        <v>310793.9482856571</v>
      </c>
      <c r="AI17" s="25">
        <f>'QTR Raw'!C6+'QTR Raw'!C8</f>
        <v>33821.200000000004</v>
      </c>
      <c r="AJ17" s="25">
        <f>'QTR Raw'!D6+'QTR Raw'!D8</f>
        <v>34132.730000000003</v>
      </c>
      <c r="AK17" s="25">
        <f>'QTR Raw'!E6+'QTR Raw'!E8</f>
        <v>32107.14</v>
      </c>
      <c r="AL17" s="25">
        <f>'QTR Raw'!F6+'QTR Raw'!F8</f>
        <v>34650.47</v>
      </c>
      <c r="AM17" s="25">
        <f>'QTR Raw'!G6+'QTR Raw'!G8</f>
        <v>32804.79</v>
      </c>
      <c r="AN17" s="25">
        <f>'QTR Raw'!H6+'QTR Raw'!H8</f>
        <v>36644.89</v>
      </c>
      <c r="AO17" s="25">
        <f>'QTR Raw'!I6+'QTR Raw'!I8</f>
        <v>36735.82</v>
      </c>
      <c r="AP17" s="25">
        <f>'QTR Raw'!J6+'QTR Raw'!J8</f>
        <v>42428.049999999996</v>
      </c>
      <c r="AQ17" s="25">
        <f>'QTR Raw'!K6+'QTR Raw'!K8</f>
        <v>36427.21</v>
      </c>
      <c r="AR17" s="25">
        <f>'QTR Raw'!L6+'QTR Raw'!L8</f>
        <v>35777.11</v>
      </c>
      <c r="AS17" s="25">
        <f>'QTR Raw'!M6+'QTR Raw'!M8</f>
        <v>33633.230000000003</v>
      </c>
      <c r="AT17" s="25">
        <f>'QTR Raw'!N6+'QTR Raw'!N8</f>
        <v>33666.18</v>
      </c>
      <c r="AU17" s="25">
        <f>'QTR Raw'!O6+'QTR Raw'!O8</f>
        <v>28025.43</v>
      </c>
      <c r="AV17" s="25">
        <f>'QTR Raw'!P6+'QTR Raw'!P8</f>
        <v>27456.3</v>
      </c>
      <c r="AW17" s="25">
        <f>'QTR Raw'!Q6+'QTR Raw'!Q8</f>
        <v>25766.89</v>
      </c>
      <c r="AX17" s="25">
        <f>'QTR Raw'!R6+'QTR Raw'!R8</f>
        <v>27071.26</v>
      </c>
      <c r="AY17" s="25">
        <f>'QTR Raw'!S6+'QTR Raw'!S8</f>
        <v>25970.71</v>
      </c>
      <c r="AZ17" s="25">
        <f>'QTR Raw'!T6+'QTR Raw'!T8</f>
        <v>27119.649999999998</v>
      </c>
      <c r="BA17" s="25">
        <f>'QTR Raw'!U6+'QTR Raw'!U8</f>
        <v>29024.69</v>
      </c>
      <c r="BB17" s="25">
        <f>'QTR Raw'!V6+'QTR Raw'!V8</f>
        <v>35304.890000000007</v>
      </c>
      <c r="BC17" s="25">
        <f>'QTR Raw'!W6+'QTR Raw'!W8</f>
        <v>30973.33</v>
      </c>
      <c r="BD17" s="25">
        <f>'QTR Raw'!X6+'QTR Raw'!X8</f>
        <v>32464.14</v>
      </c>
      <c r="BE17" s="25">
        <f>'QTR Raw'!Y6+'QTR Raw'!Y8</f>
        <v>33446.6</v>
      </c>
      <c r="BF17" s="25">
        <f>'QTR Raw'!Z6+'QTR Raw'!Z8</f>
        <v>33705.06</v>
      </c>
      <c r="BG17" s="25">
        <f>'QTR Raw'!AA6+'QTR Raw'!AA8</f>
        <v>35494.080000000002</v>
      </c>
      <c r="BH17" s="25">
        <f>'QTR Raw'!AB6+'QTR Raw'!AB8</f>
        <v>40897.159999999996</v>
      </c>
      <c r="BI17" s="25">
        <f>'QTR Raw'!AC6+'QTR Raw'!AC8</f>
        <v>38853.879999999997</v>
      </c>
      <c r="BJ17" s="25">
        <f>'QTR Raw'!AD6+'QTR Raw'!AD8</f>
        <v>42423.86</v>
      </c>
      <c r="BK17" s="25">
        <f>'QTR Raw'!AE6+'QTR Raw'!AE8</f>
        <v>35947.11</v>
      </c>
      <c r="BL17" s="25">
        <f>'QTR Raw'!AF6+'QTR Raw'!AF8</f>
        <v>34579.18</v>
      </c>
      <c r="BM17" s="25">
        <f>'QTR Raw'!AG6+'QTR Raw'!AG8</f>
        <v>35520.410000000003</v>
      </c>
      <c r="BN17" s="25">
        <f>'QTR Raw'!AH6+'QTR Raw'!AH8</f>
        <v>36009.369999999995</v>
      </c>
      <c r="BO17" s="25">
        <f>'QTR Raw'!AI6+'QTR Raw'!AI8</f>
        <v>25474.52</v>
      </c>
      <c r="BP17" s="25">
        <f>'QTR Raw'!AJ6+'QTR Raw'!AJ8</f>
        <v>38939.94</v>
      </c>
      <c r="BQ17" s="25">
        <f>'QTR Raw'!AK6+'QTR Raw'!AK8</f>
        <v>41935.210000000006</v>
      </c>
      <c r="BR17" s="25">
        <f>'QTR Raw'!AL6+'QTR Raw'!AL8</f>
        <v>50028.37</v>
      </c>
      <c r="BS17" s="25">
        <f>'QTR Raw'!AM6+'QTR Raw'!AM8</f>
        <v>53465.43</v>
      </c>
      <c r="BT17" s="25">
        <f>'QTR Raw'!AN6+'QTR Raw'!AN8</f>
        <v>60387.130000000005</v>
      </c>
      <c r="BU17" s="25">
        <f>'QTR Raw'!AO6+'QTR Raw'!AO8</f>
        <v>60783.11</v>
      </c>
      <c r="BV17" s="25">
        <f>'QTR Raw'!AP6+'QTR Raw'!AP8</f>
        <v>69323.5</v>
      </c>
      <c r="BW17" s="25">
        <f>'QTR Raw'!AQ6+'QTR Raw'!AQ8</f>
        <v>63430.07</v>
      </c>
      <c r="BX17" s="25">
        <f>'QTR Raw'!AR6+'QTR Raw'!AR8</f>
        <v>59877.520000000004</v>
      </c>
      <c r="BY17" s="25">
        <f>'QTR Raw'!AS6+'QTR Raw'!AS8</f>
        <v>57083.56</v>
      </c>
      <c r="BZ17" s="25">
        <f>'QTR Raw'!AT6+'QTR Raw'!AT8</f>
        <v>62961.54</v>
      </c>
      <c r="CA17" s="25">
        <f>'QTR Raw'!AU6+'QTR Raw'!AU8</f>
        <v>59489.66</v>
      </c>
      <c r="CB17" s="25">
        <f>'QTR Raw'!AV6+'QTR Raw'!AV8</f>
        <v>55681.93</v>
      </c>
      <c r="CC17" s="25">
        <f>'QTR Raw'!AW6+'QTR Raw'!AW8</f>
        <v>55311.880000000005</v>
      </c>
      <c r="CD17" s="25">
        <f>'QTR Raw'!AX6+'QTR Raw'!AX8</f>
        <v>58687.31</v>
      </c>
      <c r="CE17" s="25">
        <f>'QTR Raw'!AY6+'QTR Raw'!AY8</f>
        <v>54771.39</v>
      </c>
      <c r="CF17" s="25">
        <f>'QTR Raw'!AZ6+'QTR Raw'!AZ8</f>
        <v>53904.710000000006</v>
      </c>
      <c r="CG17" s="25">
        <f>'QTR Raw'!BA6+'QTR Raw'!BA8</f>
        <v>53648.299999999996</v>
      </c>
      <c r="CH17" s="25">
        <f>'QTR Raw'!BB6+'QTR Raw'!BB8</f>
        <v>56218.11</v>
      </c>
      <c r="CI17" s="25">
        <f>'QTR Raw'!BC6+'QTR Raw'!BC8</f>
        <v>53178.12</v>
      </c>
      <c r="CJ17" s="25">
        <f>'QTR Raw'!BD6+'QTR Raw'!BD8</f>
        <v>58689.29</v>
      </c>
      <c r="CK17" s="25">
        <f>'QTR Raw'!BE6+'QTR Raw'!BE8</f>
        <v>57002.400000000001</v>
      </c>
      <c r="CL17" s="25">
        <f>'QTR Raw'!BF6+'QTR Raw'!BF8</f>
        <v>63270.13</v>
      </c>
      <c r="CM17" s="17">
        <f t="shared" ref="CM17:DB17" si="130">+CM8*CM4/10</f>
        <v>56994.297537271712</v>
      </c>
      <c r="CN17" s="17">
        <f t="shared" si="130"/>
        <v>61398.214906307869</v>
      </c>
      <c r="CO17" s="17">
        <f t="shared" si="130"/>
        <v>66625.689320645659</v>
      </c>
      <c r="CP17" s="17">
        <f t="shared" si="130"/>
        <v>72107.886437162349</v>
      </c>
      <c r="CQ17" s="17">
        <f t="shared" si="130"/>
        <v>60561.020089546953</v>
      </c>
      <c r="CR17" s="17">
        <f t="shared" si="130"/>
        <v>65096.282829830401</v>
      </c>
      <c r="CS17" s="17">
        <f t="shared" si="130"/>
        <v>70885.217231791583</v>
      </c>
      <c r="CT17" s="17">
        <f t="shared" si="130"/>
        <v>74971.338898391245</v>
      </c>
      <c r="CU17" s="17">
        <f t="shared" si="130"/>
        <v>64630.908245164435</v>
      </c>
      <c r="CV17" s="17">
        <f t="shared" si="130"/>
        <v>69545.765849847827</v>
      </c>
      <c r="CW17" s="17">
        <f t="shared" si="130"/>
        <v>75874.18356500956</v>
      </c>
      <c r="CX17" s="17">
        <f t="shared" si="130"/>
        <v>80368.403146649027</v>
      </c>
      <c r="CY17" s="17">
        <f t="shared" si="130"/>
        <v>69121.330566836259</v>
      </c>
      <c r="CZ17" s="17">
        <f t="shared" si="130"/>
        <v>74417.310632338442</v>
      </c>
      <c r="DA17" s="17">
        <f t="shared" si="130"/>
        <v>81221.259159153793</v>
      </c>
      <c r="DB17" s="17">
        <f t="shared" si="130"/>
        <v>86034.047927328618</v>
      </c>
      <c r="DE17" s="119"/>
      <c r="DF17" s="25">
        <v>62862.112375571451</v>
      </c>
    </row>
    <row r="18" spans="1:110" s="92" customFormat="1" outlineLevel="1" x14ac:dyDescent="0.2">
      <c r="A18" s="92" t="s">
        <v>109</v>
      </c>
      <c r="B18" s="92">
        <f>'Annual Raw'!C7+'Annual Raw'!C8+'Annual Raw'!C9</f>
        <v>920.83</v>
      </c>
      <c r="C18" s="92">
        <f>'Annual Raw'!D7+'Annual Raw'!D8+'Annual Raw'!D9</f>
        <v>983.75</v>
      </c>
      <c r="D18" s="92">
        <f>'Annual Raw'!E7+'Annual Raw'!E8+'Annual Raw'!E9</f>
        <v>1093.1400000000001</v>
      </c>
      <c r="E18" s="92">
        <f>'Annual Raw'!F7+'Annual Raw'!F8+'Annual Raw'!F9</f>
        <v>1243.0899999999999</v>
      </c>
      <c r="F18" s="92">
        <f>'Annual Raw'!G7+'Annual Raw'!G8+'Annual Raw'!G9</f>
        <v>1415.91</v>
      </c>
      <c r="G18" s="92">
        <f>'Annual Raw'!H7+'Annual Raw'!H8+'Annual Raw'!H9</f>
        <v>1950</v>
      </c>
      <c r="H18" s="92">
        <f>'Annual Raw'!I7+'Annual Raw'!I8+'Annual Raw'!I9</f>
        <v>2224.91</v>
      </c>
      <c r="I18" s="92">
        <f>'Annual Raw'!J7+'Annual Raw'!J8+'Annual Raw'!J9</f>
        <v>2553.14</v>
      </c>
      <c r="J18" s="92">
        <f>'Annual Raw'!K7+'Annual Raw'!K8+'Annual Raw'!K9</f>
        <v>2655.68</v>
      </c>
      <c r="K18" s="92">
        <f>'Annual Raw'!L7+'Annual Raw'!L8+'Annual Raw'!L9</f>
        <v>1836.71</v>
      </c>
      <c r="L18" s="92">
        <f>'Annual Raw'!M7+'Annual Raw'!M8+'Annual Raw'!M9</f>
        <v>2592.63</v>
      </c>
      <c r="M18" s="92">
        <f>'Annual Raw'!N7+'Annual Raw'!N8+'Annual Raw'!N9</f>
        <v>3075.86</v>
      </c>
      <c r="N18" s="92">
        <f>'Annual Raw'!O7+'Annual Raw'!O8+'Annual Raw'!O9</f>
        <v>4109.6000000000004</v>
      </c>
      <c r="O18" s="92">
        <f>'Annual Raw'!P7+'Annual Raw'!P8+'Annual Raw'!P9</f>
        <v>4599.24</v>
      </c>
      <c r="P18" s="92">
        <f>'Annual Raw'!Q7+'Annual Raw'!Q8+'Annual Raw'!Q9</f>
        <v>4794.63</v>
      </c>
      <c r="Q18" s="92">
        <f>'Annual Raw'!R7+'Annual Raw'!R8+'Annual Raw'!R9</f>
        <v>4375.2</v>
      </c>
      <c r="R18" s="92">
        <f>'Annual Raw'!S7+'Annual Raw'!S8+'Annual Raw'!S9</f>
        <v>5120.5200000000004</v>
      </c>
      <c r="S18" s="92">
        <f>'Annual Raw'!T7+'Annual Raw'!T8+'Annual Raw'!T9</f>
        <v>860.62</v>
      </c>
      <c r="T18" s="92">
        <f>'Annual Raw'!U7+'Annual Raw'!U8+'Annual Raw'!U9</f>
        <v>0</v>
      </c>
      <c r="U18" s="92">
        <f>'Annual Raw'!V7+'Annual Raw'!V8+'Annual Raw'!V9</f>
        <v>0</v>
      </c>
      <c r="V18" s="92">
        <f>'Annual Raw'!W7+'Annual Raw'!W8+'Annual Raw'!W9</f>
        <v>0</v>
      </c>
      <c r="W18" s="92">
        <f>'Annual Raw'!X7+'Annual Raw'!X8+'Annual Raw'!X9</f>
        <v>0</v>
      </c>
      <c r="X18" s="92">
        <f>'Annual Raw'!Y7+'Annual Raw'!Y8+'Annual Raw'!Y9</f>
        <v>0</v>
      </c>
      <c r="Y18" s="92">
        <f>'Annual Raw'!Z7+'Annual Raw'!Z8+'Annual Raw'!Z9</f>
        <v>0</v>
      </c>
      <c r="Z18" s="92">
        <f>'Annual Raw'!AA7+'Annual Raw'!AA8+'Annual Raw'!AA9</f>
        <v>0</v>
      </c>
      <c r="AA18" s="92">
        <f>'Annual Raw'!AB7+'Annual Raw'!AB8+'Annual Raw'!AB9</f>
        <v>0</v>
      </c>
      <c r="AB18" s="76">
        <f>+SUM(CM18:CP18)</f>
        <v>0</v>
      </c>
      <c r="AC18" s="76">
        <f>+SUM(CQ18:CT18)</f>
        <v>0</v>
      </c>
      <c r="AD18" s="76">
        <f>+SUM(CU18:CX18)</f>
        <v>0</v>
      </c>
      <c r="AE18" s="76">
        <f>+SUM(CY18:DB18)</f>
        <v>0</v>
      </c>
      <c r="AI18" s="92">
        <f>+'QTR Raw'!C20+'QTR Raw'!C19+'QTR Raw'!C13+'QTR Raw'!C7</f>
        <v>0</v>
      </c>
      <c r="AJ18" s="92">
        <f>+'QTR Raw'!D20+'QTR Raw'!D19+'QTR Raw'!D13+'QTR Raw'!D7</f>
        <v>0</v>
      </c>
      <c r="AK18" s="92">
        <f>+'QTR Raw'!E20+'QTR Raw'!E19+'QTR Raw'!E13+'QTR Raw'!E7</f>
        <v>0</v>
      </c>
      <c r="AL18" s="92">
        <f>+'QTR Raw'!F20+'QTR Raw'!F19+'QTR Raw'!F13+'QTR Raw'!F7</f>
        <v>0</v>
      </c>
      <c r="AM18" s="92">
        <f>+'QTR Raw'!G20+'QTR Raw'!G19+'QTR Raw'!G13+'QTR Raw'!G7</f>
        <v>0</v>
      </c>
      <c r="AN18" s="92">
        <f>+'QTR Raw'!H20+'QTR Raw'!H19+'QTR Raw'!H13+'QTR Raw'!H7</f>
        <v>0</v>
      </c>
      <c r="AO18" s="92">
        <f>+'QTR Raw'!I20+'QTR Raw'!I19+'QTR Raw'!I13+'QTR Raw'!I7</f>
        <v>0</v>
      </c>
      <c r="AP18" s="92">
        <f>+'QTR Raw'!J20+'QTR Raw'!J19+'QTR Raw'!J13+'QTR Raw'!J7</f>
        <v>0</v>
      </c>
      <c r="AQ18" s="92">
        <f>+'QTR Raw'!K20+'QTR Raw'!K19+'QTR Raw'!K13+'QTR Raw'!K7</f>
        <v>0</v>
      </c>
      <c r="AR18" s="92">
        <f>+'QTR Raw'!L20+'QTR Raw'!L19+'QTR Raw'!L13+'QTR Raw'!L7</f>
        <v>0</v>
      </c>
      <c r="AS18" s="92">
        <f>+'QTR Raw'!M20+'QTR Raw'!M19+'QTR Raw'!M13+'QTR Raw'!M7</f>
        <v>0</v>
      </c>
      <c r="AT18" s="92">
        <f>+'QTR Raw'!N20+'QTR Raw'!N19+'QTR Raw'!N13+'QTR Raw'!N7</f>
        <v>0</v>
      </c>
      <c r="AU18" s="92">
        <f>+'QTR Raw'!O20+'QTR Raw'!O19+'QTR Raw'!O13+'QTR Raw'!O7</f>
        <v>1087.5899999999999</v>
      </c>
      <c r="AV18" s="92">
        <f>+'QTR Raw'!P20+'QTR Raw'!P19+'QTR Raw'!P13+'QTR Raw'!P7</f>
        <v>1070.99</v>
      </c>
      <c r="AW18" s="92">
        <f>+'QTR Raw'!Q20+'QTR Raw'!Q19+'QTR Raw'!Q13+'QTR Raw'!Q7</f>
        <v>1100.42</v>
      </c>
      <c r="AX18" s="92">
        <f>+'QTR Raw'!R20+'QTR Raw'!R19+'QTR Raw'!R13+'QTR Raw'!R7</f>
        <v>1116.2</v>
      </c>
      <c r="AY18" s="92">
        <f>+'QTR Raw'!S20+'QTR Raw'!S19+'QTR Raw'!S13+'QTR Raw'!S7</f>
        <v>1176.3499999999999</v>
      </c>
      <c r="AZ18" s="92">
        <f>+'QTR Raw'!T20+'QTR Raw'!T19+'QTR Raw'!T13+'QTR Raw'!T7</f>
        <v>1198.57</v>
      </c>
      <c r="BA18" s="92">
        <f>+'QTR Raw'!U20+'QTR Raw'!U19+'QTR Raw'!U13+'QTR Raw'!U7</f>
        <v>1341.08</v>
      </c>
      <c r="BB18" s="92">
        <f>+'QTR Raw'!V20+'QTR Raw'!V19+'QTR Raw'!V13+'QTR Raw'!V7</f>
        <v>1449.29</v>
      </c>
      <c r="BC18" s="92">
        <f>+'QTR Raw'!W20+'QTR Raw'!W19+'QTR Raw'!W13+'QTR Raw'!W7</f>
        <v>1316.04</v>
      </c>
      <c r="BD18" s="92">
        <f>+'QTR Raw'!X20+'QTR Raw'!X19+'QTR Raw'!X13+'QTR Raw'!X7</f>
        <v>0</v>
      </c>
      <c r="BE18" s="92">
        <f>+'QTR Raw'!Y20+'QTR Raw'!Y19+'QTR Raw'!Y13+'QTR Raw'!Y7</f>
        <v>0</v>
      </c>
      <c r="BF18" s="92">
        <f>+'QTR Raw'!Z20+'QTR Raw'!Z19+'QTR Raw'!Z13+'QTR Raw'!Z7</f>
        <v>0</v>
      </c>
      <c r="BG18" s="92">
        <f>+'QTR Raw'!AA20+'QTR Raw'!AA19+'QTR Raw'!AA13+'QTR Raw'!AA7</f>
        <v>0</v>
      </c>
      <c r="BH18" s="92">
        <f>+'QTR Raw'!AB20+'QTR Raw'!AB19+'QTR Raw'!AB13+'QTR Raw'!AB7</f>
        <v>0</v>
      </c>
      <c r="BI18" s="92">
        <f>+'QTR Raw'!AC20+'QTR Raw'!AC19+'QTR Raw'!AC13+'QTR Raw'!AC7</f>
        <v>0</v>
      </c>
      <c r="BJ18" s="92">
        <f>+'QTR Raw'!AD20+'QTR Raw'!AD19+'QTR Raw'!AD13+'QTR Raw'!AD7</f>
        <v>0</v>
      </c>
      <c r="BK18" s="92">
        <f>+'QTR Raw'!AE20+'QTR Raw'!AE19+'QTR Raw'!AE13+'QTR Raw'!AE7</f>
        <v>0</v>
      </c>
      <c r="BL18" s="92">
        <f>+'QTR Raw'!AF20+'QTR Raw'!AF19+'QTR Raw'!AF13+'QTR Raw'!AF7</f>
        <v>0</v>
      </c>
      <c r="BM18" s="92">
        <f>+'QTR Raw'!AG20+'QTR Raw'!AG19+'QTR Raw'!AG13+'QTR Raw'!AG7</f>
        <v>0</v>
      </c>
      <c r="BN18" s="92">
        <f>+'QTR Raw'!AH20+'QTR Raw'!AH19+'QTR Raw'!AH13+'QTR Raw'!AH7</f>
        <v>0</v>
      </c>
      <c r="BO18" s="92">
        <f>+'QTR Raw'!AI20+'QTR Raw'!AI19+'QTR Raw'!AI13+'QTR Raw'!AI7</f>
        <v>0</v>
      </c>
      <c r="BP18" s="92">
        <f>+'QTR Raw'!AJ20+'QTR Raw'!AJ19+'QTR Raw'!AJ13+'QTR Raw'!AJ7</f>
        <v>0</v>
      </c>
      <c r="BQ18" s="92">
        <f>+'QTR Raw'!AK20+'QTR Raw'!AK19+'QTR Raw'!AK13+'QTR Raw'!AK7</f>
        <v>0</v>
      </c>
      <c r="BR18" s="92">
        <f>+'QTR Raw'!AL20+'QTR Raw'!AL19+'QTR Raw'!AL13+'QTR Raw'!AL7</f>
        <v>0</v>
      </c>
      <c r="BS18" s="92">
        <f>+'QTR Raw'!AM20+'QTR Raw'!AM19+'QTR Raw'!AM13+'QTR Raw'!AM7</f>
        <v>0</v>
      </c>
      <c r="BT18" s="92">
        <f>+'QTR Raw'!AN20+'QTR Raw'!AN19+'QTR Raw'!AN13+'QTR Raw'!AN7</f>
        <v>0</v>
      </c>
      <c r="BU18" s="92">
        <f>+'QTR Raw'!AO20+'QTR Raw'!AO19+'QTR Raw'!AO13+'QTR Raw'!AO7</f>
        <v>0</v>
      </c>
      <c r="BV18" s="92">
        <f>+'QTR Raw'!AP20+'QTR Raw'!AP19+'QTR Raw'!AP13+'QTR Raw'!AP7</f>
        <v>0</v>
      </c>
      <c r="BW18" s="92">
        <f>+'QTR Raw'!AQ20+'QTR Raw'!AQ19+'QTR Raw'!AQ13+'QTR Raw'!AQ7</f>
        <v>0</v>
      </c>
      <c r="BX18" s="92">
        <f>+'QTR Raw'!AR20+'QTR Raw'!AR19+'QTR Raw'!AR13+'QTR Raw'!AR7</f>
        <v>0</v>
      </c>
      <c r="BY18" s="92">
        <f>+'QTR Raw'!AS20+'QTR Raw'!AS19+'QTR Raw'!AS13+'QTR Raw'!AS7</f>
        <v>0</v>
      </c>
      <c r="BZ18" s="92">
        <f>+'QTR Raw'!AT20+'QTR Raw'!AT19+'QTR Raw'!AT13+'QTR Raw'!AT7</f>
        <v>0</v>
      </c>
      <c r="CA18" s="92">
        <f>+'QTR Raw'!AU20+'QTR Raw'!AU19+'QTR Raw'!AU13+'QTR Raw'!AU7</f>
        <v>0</v>
      </c>
      <c r="CB18" s="92">
        <f>+'QTR Raw'!AV20+'QTR Raw'!AV19+'QTR Raw'!AV13+'QTR Raw'!AV7</f>
        <v>0</v>
      </c>
      <c r="CC18" s="92">
        <f>+'QTR Raw'!AW20+'QTR Raw'!AW19+'QTR Raw'!AW13+'QTR Raw'!AW7</f>
        <v>0</v>
      </c>
      <c r="CD18" s="92">
        <f>+'QTR Raw'!AX20+'QTR Raw'!AX19+'QTR Raw'!AX13+'QTR Raw'!AX7</f>
        <v>0</v>
      </c>
      <c r="CE18" s="92">
        <f>+'QTR Raw'!AY20+'QTR Raw'!AY19+'QTR Raw'!AY13+'QTR Raw'!AY7</f>
        <v>0</v>
      </c>
      <c r="CF18" s="92">
        <f>+'QTR Raw'!AZ20+'QTR Raw'!AZ19+'QTR Raw'!AZ13+'QTR Raw'!AZ7</f>
        <v>0</v>
      </c>
      <c r="CG18" s="92">
        <f>+'QTR Raw'!BA20+'QTR Raw'!BA19+'QTR Raw'!BA13+'QTR Raw'!BA7</f>
        <v>0</v>
      </c>
      <c r="CH18" s="92">
        <f>+'QTR Raw'!BB20+'QTR Raw'!BB19+'QTR Raw'!BB13+'QTR Raw'!BB7</f>
        <v>0</v>
      </c>
      <c r="CI18" s="92">
        <f>+'QTR Raw'!BC20+'QTR Raw'!BC19+'QTR Raw'!BC13+'QTR Raw'!BC7</f>
        <v>0</v>
      </c>
      <c r="CJ18" s="92">
        <f>+'QTR Raw'!BD20+'QTR Raw'!BD19+'QTR Raw'!BD13+'QTR Raw'!BD7</f>
        <v>0</v>
      </c>
      <c r="CK18" s="92">
        <f>+'QTR Raw'!BE20+'QTR Raw'!BE19+'QTR Raw'!BE13+'QTR Raw'!BE7</f>
        <v>0</v>
      </c>
      <c r="CL18" s="92">
        <f>+'QTR Raw'!BF20+'QTR Raw'!BF19+'QTR Raw'!BF13+'QTR Raw'!BF7</f>
        <v>0</v>
      </c>
      <c r="CM18" s="74"/>
      <c r="CN18" s="74"/>
      <c r="CO18" s="74"/>
      <c r="CP18" s="74"/>
      <c r="CQ18" s="74"/>
      <c r="CR18" s="74"/>
      <c r="CS18" s="74"/>
      <c r="CT18" s="74"/>
      <c r="CU18" s="74"/>
      <c r="CV18" s="74"/>
      <c r="CW18" s="74"/>
      <c r="CX18" s="74"/>
      <c r="CY18" s="74"/>
      <c r="CZ18" s="74"/>
      <c r="DA18" s="74"/>
      <c r="DB18" s="74"/>
      <c r="DE18" s="120"/>
      <c r="DF18" s="92">
        <v>0</v>
      </c>
    </row>
    <row r="19" spans="1:110" s="26" customFormat="1" x14ac:dyDescent="0.2">
      <c r="A19" s="26" t="s">
        <v>431</v>
      </c>
      <c r="B19" s="26">
        <f>+B17-B18</f>
        <v>6838.61</v>
      </c>
      <c r="C19" s="26">
        <f>+C17-C18</f>
        <v>7417.5</v>
      </c>
      <c r="D19" s="26">
        <f t="shared" ref="D19:U19" si="131">+D17-D18</f>
        <v>9136.82</v>
      </c>
      <c r="E19" s="26">
        <f t="shared" si="131"/>
        <v>11129.44</v>
      </c>
      <c r="F19" s="26">
        <f t="shared" si="131"/>
        <v>15998.61</v>
      </c>
      <c r="G19" s="26">
        <f t="shared" si="131"/>
        <v>20322.14</v>
      </c>
      <c r="H19" s="26">
        <f t="shared" si="131"/>
        <v>25212.38</v>
      </c>
      <c r="I19" s="26">
        <f t="shared" si="131"/>
        <v>131533.62999999998</v>
      </c>
      <c r="J19" s="26">
        <f t="shared" si="131"/>
        <v>147329.26</v>
      </c>
      <c r="K19" s="26">
        <f t="shared" si="131"/>
        <v>102393.12</v>
      </c>
      <c r="L19" s="26">
        <f t="shared" si="131"/>
        <v>118753.12</v>
      </c>
      <c r="M19" s="26">
        <f t="shared" si="131"/>
        <v>132899.70000000001</v>
      </c>
      <c r="N19" s="26">
        <f t="shared" si="131"/>
        <v>134711.54</v>
      </c>
      <c r="O19" s="26">
        <f t="shared" si="131"/>
        <v>148613.55000000002</v>
      </c>
      <c r="P19" s="26">
        <f t="shared" si="131"/>
        <v>139503.72999999998</v>
      </c>
      <c r="Q19" s="26">
        <f t="shared" si="131"/>
        <v>101964.72</v>
      </c>
      <c r="R19" s="26">
        <f t="shared" si="131"/>
        <v>112299.42</v>
      </c>
      <c r="S19" s="26">
        <f t="shared" si="131"/>
        <v>123249.07</v>
      </c>
      <c r="T19" s="26">
        <f t="shared" si="131"/>
        <v>157668.99</v>
      </c>
      <c r="U19" s="26">
        <f t="shared" si="131"/>
        <v>148971.71</v>
      </c>
      <c r="V19" s="26">
        <f>+V17-V18</f>
        <v>156477.4</v>
      </c>
      <c r="W19" s="26">
        <f>+W17-W18</f>
        <v>243959.17</v>
      </c>
      <c r="X19" s="26">
        <f>+X17-X18</f>
        <v>243352.69</v>
      </c>
      <c r="Y19" s="26">
        <f>+Y17-Y18</f>
        <v>229170.78</v>
      </c>
      <c r="Z19" s="26">
        <f>+Z17-Z18</f>
        <v>218542.51</v>
      </c>
      <c r="AA19" s="26">
        <f>+AA17-AA18</f>
        <v>232139.94</v>
      </c>
      <c r="AB19" s="27">
        <f t="shared" ref="AB19:AD19" si="132">+AB17-AB18</f>
        <v>257126.08820138761</v>
      </c>
      <c r="AC19" s="27">
        <f t="shared" si="132"/>
        <v>271513.85904956015</v>
      </c>
      <c r="AD19" s="27">
        <f t="shared" si="132"/>
        <v>290419.26080667082</v>
      </c>
      <c r="AE19" s="27">
        <f t="shared" ref="AE19" si="133">+AE17-AE18</f>
        <v>310793.9482856571</v>
      </c>
      <c r="AI19" s="26">
        <f t="shared" ref="AI19" si="134">+AI17-AI18</f>
        <v>33821.200000000004</v>
      </c>
      <c r="AJ19" s="26">
        <f t="shared" ref="AJ19" si="135">+AJ17-AJ18</f>
        <v>34132.730000000003</v>
      </c>
      <c r="AK19" s="26">
        <f t="shared" ref="AK19:AM19" si="136">+AK17-AK18</f>
        <v>32107.14</v>
      </c>
      <c r="AL19" s="26">
        <f t="shared" si="136"/>
        <v>34650.47</v>
      </c>
      <c r="AM19" s="26">
        <f t="shared" si="136"/>
        <v>32804.79</v>
      </c>
      <c r="AN19" s="26">
        <f t="shared" ref="AN19:AO19" si="137">+AN17-AN18</f>
        <v>36644.89</v>
      </c>
      <c r="AO19" s="26">
        <f t="shared" si="137"/>
        <v>36735.82</v>
      </c>
      <c r="AP19" s="26">
        <f t="shared" ref="AP19:AW19" si="138">+AP17-AP18</f>
        <v>42428.049999999996</v>
      </c>
      <c r="AQ19" s="26">
        <f t="shared" si="138"/>
        <v>36427.21</v>
      </c>
      <c r="AR19" s="26">
        <f t="shared" si="138"/>
        <v>35777.11</v>
      </c>
      <c r="AS19" s="26">
        <f t="shared" si="138"/>
        <v>33633.230000000003</v>
      </c>
      <c r="AT19" s="26">
        <f t="shared" si="138"/>
        <v>33666.18</v>
      </c>
      <c r="AU19" s="26">
        <f t="shared" si="138"/>
        <v>26937.84</v>
      </c>
      <c r="AV19" s="26">
        <f t="shared" si="138"/>
        <v>26385.309999999998</v>
      </c>
      <c r="AW19" s="26">
        <f t="shared" si="138"/>
        <v>24666.47</v>
      </c>
      <c r="AX19" s="26">
        <f t="shared" ref="AX19:CF19" si="139">+AX17-AX18</f>
        <v>25955.059999999998</v>
      </c>
      <c r="AY19" s="26">
        <f t="shared" si="139"/>
        <v>24794.36</v>
      </c>
      <c r="AZ19" s="26">
        <f t="shared" si="139"/>
        <v>25921.079999999998</v>
      </c>
      <c r="BA19" s="26">
        <f t="shared" si="139"/>
        <v>27683.61</v>
      </c>
      <c r="BB19" s="26">
        <f t="shared" si="139"/>
        <v>33855.600000000006</v>
      </c>
      <c r="BC19" s="26">
        <f t="shared" si="139"/>
        <v>29657.29</v>
      </c>
      <c r="BD19" s="26">
        <f t="shared" si="139"/>
        <v>32464.14</v>
      </c>
      <c r="BE19" s="26">
        <f t="shared" si="139"/>
        <v>33446.6</v>
      </c>
      <c r="BF19" s="26">
        <f t="shared" si="139"/>
        <v>33705.06</v>
      </c>
      <c r="BG19" s="26">
        <f t="shared" si="139"/>
        <v>35494.080000000002</v>
      </c>
      <c r="BH19" s="26">
        <f t="shared" si="139"/>
        <v>40897.159999999996</v>
      </c>
      <c r="BI19" s="26">
        <f t="shared" si="139"/>
        <v>38853.879999999997</v>
      </c>
      <c r="BJ19" s="26">
        <f t="shared" si="139"/>
        <v>42423.86</v>
      </c>
      <c r="BK19" s="26">
        <f t="shared" si="139"/>
        <v>35947.11</v>
      </c>
      <c r="BL19" s="26">
        <f t="shared" si="139"/>
        <v>34579.18</v>
      </c>
      <c r="BM19" s="26">
        <f t="shared" si="139"/>
        <v>35520.410000000003</v>
      </c>
      <c r="BN19" s="26">
        <f t="shared" si="139"/>
        <v>36009.369999999995</v>
      </c>
      <c r="BO19" s="26">
        <f t="shared" si="139"/>
        <v>25474.52</v>
      </c>
      <c r="BP19" s="26">
        <f t="shared" si="139"/>
        <v>38939.94</v>
      </c>
      <c r="BQ19" s="26">
        <f t="shared" si="139"/>
        <v>41935.210000000006</v>
      </c>
      <c r="BR19" s="26">
        <f t="shared" si="139"/>
        <v>50028.37</v>
      </c>
      <c r="BS19" s="26">
        <f t="shared" si="139"/>
        <v>53465.43</v>
      </c>
      <c r="BT19" s="26">
        <f t="shared" si="139"/>
        <v>60387.130000000005</v>
      </c>
      <c r="BU19" s="26">
        <f t="shared" si="139"/>
        <v>60783.11</v>
      </c>
      <c r="BV19" s="26">
        <f t="shared" si="139"/>
        <v>69323.5</v>
      </c>
      <c r="BW19" s="26">
        <f t="shared" si="139"/>
        <v>63430.07</v>
      </c>
      <c r="BX19" s="26">
        <f t="shared" si="139"/>
        <v>59877.520000000004</v>
      </c>
      <c r="BY19" s="26">
        <f t="shared" si="139"/>
        <v>57083.56</v>
      </c>
      <c r="BZ19" s="26">
        <f t="shared" si="139"/>
        <v>62961.54</v>
      </c>
      <c r="CA19" s="26">
        <f t="shared" si="139"/>
        <v>59489.66</v>
      </c>
      <c r="CB19" s="26">
        <f t="shared" si="139"/>
        <v>55681.93</v>
      </c>
      <c r="CC19" s="26">
        <f t="shared" si="139"/>
        <v>55311.880000000005</v>
      </c>
      <c r="CD19" s="26">
        <f t="shared" si="139"/>
        <v>58687.31</v>
      </c>
      <c r="CE19" s="26">
        <f t="shared" si="139"/>
        <v>54771.39</v>
      </c>
      <c r="CF19" s="26">
        <f t="shared" si="139"/>
        <v>53904.710000000006</v>
      </c>
      <c r="CG19" s="26">
        <f t="shared" ref="CG19:CH19" si="140">+CG17-CG18</f>
        <v>53648.299999999996</v>
      </c>
      <c r="CH19" s="26">
        <f t="shared" si="140"/>
        <v>56218.11</v>
      </c>
      <c r="CI19" s="26">
        <f t="shared" ref="CI19:CJ19" si="141">+CI17-CI18</f>
        <v>53178.12</v>
      </c>
      <c r="CJ19" s="26">
        <f t="shared" si="141"/>
        <v>58689.29</v>
      </c>
      <c r="CK19" s="26">
        <f t="shared" ref="CK19:CL19" si="142">+CK17-CK18</f>
        <v>57002.400000000001</v>
      </c>
      <c r="CL19" s="26">
        <f t="shared" si="142"/>
        <v>63270.13</v>
      </c>
      <c r="CM19" s="27">
        <f t="shared" ref="CM19:DB19" si="143">+CM17-CM18</f>
        <v>56994.297537271712</v>
      </c>
      <c r="CN19" s="27">
        <f t="shared" si="143"/>
        <v>61398.214906307869</v>
      </c>
      <c r="CO19" s="27">
        <f t="shared" si="143"/>
        <v>66625.689320645659</v>
      </c>
      <c r="CP19" s="27">
        <f t="shared" si="143"/>
        <v>72107.886437162349</v>
      </c>
      <c r="CQ19" s="27">
        <f t="shared" si="143"/>
        <v>60561.020089546953</v>
      </c>
      <c r="CR19" s="27">
        <f t="shared" si="143"/>
        <v>65096.282829830401</v>
      </c>
      <c r="CS19" s="27">
        <f t="shared" si="143"/>
        <v>70885.217231791583</v>
      </c>
      <c r="CT19" s="27">
        <f t="shared" si="143"/>
        <v>74971.338898391245</v>
      </c>
      <c r="CU19" s="27">
        <f t="shared" si="143"/>
        <v>64630.908245164435</v>
      </c>
      <c r="CV19" s="27">
        <f t="shared" si="143"/>
        <v>69545.765849847827</v>
      </c>
      <c r="CW19" s="27">
        <f t="shared" si="143"/>
        <v>75874.18356500956</v>
      </c>
      <c r="CX19" s="27">
        <f t="shared" si="143"/>
        <v>80368.403146649027</v>
      </c>
      <c r="CY19" s="27">
        <f t="shared" si="143"/>
        <v>69121.330566836259</v>
      </c>
      <c r="CZ19" s="27">
        <f t="shared" si="143"/>
        <v>74417.310632338442</v>
      </c>
      <c r="DA19" s="27">
        <f t="shared" si="143"/>
        <v>81221.259159153793</v>
      </c>
      <c r="DB19" s="27">
        <f t="shared" si="143"/>
        <v>86034.047927328618</v>
      </c>
      <c r="DE19" s="121"/>
      <c r="DF19" s="26">
        <v>62862.112375571451</v>
      </c>
    </row>
    <row r="20" spans="1:110" s="39" customFormat="1" x14ac:dyDescent="0.2">
      <c r="A20" s="39" t="s">
        <v>484</v>
      </c>
      <c r="C20" s="39">
        <f t="shared" ref="C20" si="144">C19/B19-1</f>
        <v>8.4650243251187085E-2</v>
      </c>
      <c r="D20" s="39">
        <f t="shared" ref="D20" si="145">D19/C19-1</f>
        <v>0.23179238287832815</v>
      </c>
      <c r="E20" s="39">
        <f t="shared" ref="E20" si="146">E19/D19-1</f>
        <v>0.21808681795197904</v>
      </c>
      <c r="F20" s="39">
        <f t="shared" ref="F20:R20" si="147">F19/E19-1</f>
        <v>0.43750359407122019</v>
      </c>
      <c r="G20" s="39">
        <f t="shared" si="147"/>
        <v>0.27024410245640085</v>
      </c>
      <c r="H20" s="39">
        <f t="shared" si="147"/>
        <v>0.24063607474409698</v>
      </c>
      <c r="I20" s="39">
        <f t="shared" si="147"/>
        <v>4.2170255247620405</v>
      </c>
      <c r="J20" s="39">
        <f t="shared" si="147"/>
        <v>0.12008814779915999</v>
      </c>
      <c r="K20" s="39">
        <f>K19/J19-1</f>
        <v>-0.30500485782661235</v>
      </c>
      <c r="L20" s="39">
        <f t="shared" si="147"/>
        <v>0.15977635997418571</v>
      </c>
      <c r="M20" s="39">
        <f t="shared" si="147"/>
        <v>0.11912596485886029</v>
      </c>
      <c r="N20" s="39">
        <f t="shared" si="147"/>
        <v>1.363313837427782E-2</v>
      </c>
      <c r="O20" s="39">
        <f t="shared" si="147"/>
        <v>0.10319835999202454</v>
      </c>
      <c r="P20" s="39">
        <f t="shared" si="147"/>
        <v>-6.129871737805892E-2</v>
      </c>
      <c r="Q20" s="39">
        <f t="shared" si="147"/>
        <v>-0.26908965086453229</v>
      </c>
      <c r="R20" s="39">
        <f t="shared" si="147"/>
        <v>0.10135564536439667</v>
      </c>
      <c r="S20" s="39">
        <f t="shared" ref="S20:AA20" si="148">S19/R19-1</f>
        <v>9.7504065470685575E-2</v>
      </c>
      <c r="T20" s="39">
        <f t="shared" si="148"/>
        <v>0.27927123506895413</v>
      </c>
      <c r="U20" s="39">
        <f t="shared" si="148"/>
        <v>-5.5161639584296207E-2</v>
      </c>
      <c r="V20" s="39">
        <f t="shared" si="148"/>
        <v>5.0383324458046497E-2</v>
      </c>
      <c r="W20" s="39">
        <f t="shared" si="148"/>
        <v>0.55906968035000593</v>
      </c>
      <c r="X20" s="39">
        <f t="shared" si="148"/>
        <v>-2.4859897662383723E-3</v>
      </c>
      <c r="Y20" s="39">
        <f t="shared" si="148"/>
        <v>-5.8277186087402622E-2</v>
      </c>
      <c r="Z20" s="39">
        <f t="shared" si="148"/>
        <v>-4.6377073028245563E-2</v>
      </c>
      <c r="AA20" s="39">
        <f t="shared" si="148"/>
        <v>6.2218696033096599E-2</v>
      </c>
      <c r="AB20" s="40">
        <f t="shared" ref="AB20" si="149">AB19/AA19-1</f>
        <v>0.10763399095126669</v>
      </c>
      <c r="AC20" s="40">
        <f t="shared" ref="AC20" si="150">AC19/AB19-1</f>
        <v>5.5956091226743609E-2</v>
      </c>
      <c r="AD20" s="40">
        <f t="shared" ref="AD20" si="151">AD19/AC19-1</f>
        <v>6.9629601314973089E-2</v>
      </c>
      <c r="AE20" s="40">
        <f t="shared" ref="AE20" si="152">AE19/AD19-1</f>
        <v>7.0156116444871408E-2</v>
      </c>
      <c r="AM20" s="39">
        <f t="shared" ref="AM20:CI20" si="153">+IF(AI19&lt;0,1-AM19/AI19,AM19/AI19-1)</f>
        <v>-3.0052452308019895E-2</v>
      </c>
      <c r="AN20" s="39">
        <f t="shared" si="153"/>
        <v>7.3599738432876372E-2</v>
      </c>
      <c r="AO20" s="39">
        <f t="shared" si="153"/>
        <v>0.14416357233936128</v>
      </c>
      <c r="AP20" s="39">
        <f t="shared" si="153"/>
        <v>0.22445813866305397</v>
      </c>
      <c r="AQ20" s="39">
        <f t="shared" si="153"/>
        <v>0.11042350827424885</v>
      </c>
      <c r="AR20" s="39">
        <f t="shared" si="153"/>
        <v>-2.3680791510084953E-2</v>
      </c>
      <c r="AS20" s="39">
        <f t="shared" si="153"/>
        <v>-8.4456805374155119E-2</v>
      </c>
      <c r="AT20" s="39">
        <f t="shared" si="153"/>
        <v>-0.20651125847169494</v>
      </c>
      <c r="AU20" s="39">
        <f t="shared" si="153"/>
        <v>-0.26050224543685885</v>
      </c>
      <c r="AV20" s="39">
        <f t="shared" si="153"/>
        <v>-0.26250862632560323</v>
      </c>
      <c r="AW20" s="39">
        <f t="shared" si="153"/>
        <v>-0.26660418877401904</v>
      </c>
      <c r="AX20" s="39">
        <f t="shared" si="153"/>
        <v>-0.22904647928574029</v>
      </c>
      <c r="AY20" s="39">
        <f t="shared" si="153"/>
        <v>-7.9571339053168266E-2</v>
      </c>
      <c r="AZ20" s="39">
        <f t="shared" si="153"/>
        <v>-1.7594259836249737E-2</v>
      </c>
      <c r="BA20" s="39">
        <f t="shared" si="153"/>
        <v>0.12231746172030289</v>
      </c>
      <c r="BB20" s="39">
        <f t="shared" si="153"/>
        <v>0.30439305476465894</v>
      </c>
      <c r="BC20" s="39">
        <f t="shared" si="153"/>
        <v>0.19613049096649404</v>
      </c>
      <c r="BD20" s="39">
        <f t="shared" si="153"/>
        <v>0.25242235277233815</v>
      </c>
      <c r="BE20" s="39">
        <f t="shared" si="153"/>
        <v>0.20817335600378706</v>
      </c>
      <c r="BF20" s="39">
        <f t="shared" si="153"/>
        <v>-4.4465317406872096E-3</v>
      </c>
      <c r="BG20" s="39">
        <f t="shared" si="153"/>
        <v>0.19680793491246162</v>
      </c>
      <c r="BH20" s="39">
        <f t="shared" si="153"/>
        <v>0.25976415823736576</v>
      </c>
      <c r="BI20" s="39">
        <f t="shared" si="153"/>
        <v>0.16166904857294906</v>
      </c>
      <c r="BJ20" s="39">
        <f t="shared" si="153"/>
        <v>0.25867926062140234</v>
      </c>
      <c r="BK20" s="39">
        <f t="shared" si="153"/>
        <v>1.2763536905309181E-2</v>
      </c>
      <c r="BL20" s="39">
        <f t="shared" si="153"/>
        <v>-0.15448456567644298</v>
      </c>
      <c r="BM20" s="39">
        <f t="shared" si="153"/>
        <v>-8.5795035141921328E-2</v>
      </c>
      <c r="BN20" s="39">
        <f t="shared" si="153"/>
        <v>-0.15120005581764617</v>
      </c>
      <c r="BO20" s="39">
        <f t="shared" si="153"/>
        <v>-0.29133329494359905</v>
      </c>
      <c r="BP20" s="39">
        <f t="shared" si="153"/>
        <v>0.12610941034460632</v>
      </c>
      <c r="BQ20" s="39">
        <f t="shared" si="153"/>
        <v>0.18059476227892657</v>
      </c>
      <c r="BR20" s="39">
        <f t="shared" si="153"/>
        <v>0.38931533653601846</v>
      </c>
      <c r="BS20" s="39">
        <f t="shared" si="153"/>
        <v>1.0987806639732565</v>
      </c>
      <c r="BT20" s="39">
        <f t="shared" si="153"/>
        <v>0.55077614397967745</v>
      </c>
      <c r="BU20" s="39">
        <f t="shared" si="153"/>
        <v>0.44945285834982096</v>
      </c>
      <c r="BV20" s="39">
        <f t="shared" si="153"/>
        <v>0.38568376303285512</v>
      </c>
      <c r="BW20" s="39">
        <f t="shared" si="153"/>
        <v>0.18637538312139257</v>
      </c>
      <c r="BX20" s="39">
        <f t="shared" si="153"/>
        <v>-8.4390498438988715E-3</v>
      </c>
      <c r="BY20" s="39">
        <f t="shared" si="153"/>
        <v>-6.0864769834909738E-2</v>
      </c>
      <c r="BZ20" s="39">
        <f t="shared" si="153"/>
        <v>-9.1772054209611431E-2</v>
      </c>
      <c r="CA20" s="39">
        <f t="shared" si="153"/>
        <v>-6.212211337619522E-2</v>
      </c>
      <c r="CB20" s="39">
        <f t="shared" si="153"/>
        <v>-7.0069535278014294E-2</v>
      </c>
      <c r="CC20" s="39">
        <f t="shared" si="153"/>
        <v>-3.1036606686758783E-2</v>
      </c>
      <c r="CD20" s="39">
        <f t="shared" si="153"/>
        <v>-6.7886363643583136E-2</v>
      </c>
      <c r="CE20" s="39">
        <f t="shared" si="153"/>
        <v>-7.9312438497715521E-2</v>
      </c>
      <c r="CF20" s="39">
        <f t="shared" si="153"/>
        <v>-3.1917356312900713E-2</v>
      </c>
      <c r="CG20" s="39">
        <f t="shared" si="153"/>
        <v>-3.0076359725975887E-2</v>
      </c>
      <c r="CH20" s="39">
        <f t="shared" si="153"/>
        <v>-4.2073831634130032E-2</v>
      </c>
      <c r="CI20" s="39">
        <f t="shared" si="153"/>
        <v>-2.9089457105251459E-2</v>
      </c>
      <c r="CJ20" s="39">
        <f>+IF(CF19&lt;0,1-CJ19/CF19,CJ19/CF19-1)</f>
        <v>8.8759961791835984E-2</v>
      </c>
      <c r="CK20" s="39">
        <f>+IF(CG19&lt;0,1-CK19/CG19,CK19/CG19-1)</f>
        <v>6.252015441309422E-2</v>
      </c>
      <c r="CL20" s="39">
        <f>+IF(CH19&lt;0,1-CL19/CH19,CL19/CH19-1)</f>
        <v>0.12544036076630816</v>
      </c>
      <c r="CM20" s="40">
        <f t="shared" ref="CM20" si="154">+AVERAGE(CI20:CL20)</f>
        <v>6.1907754966496725E-2</v>
      </c>
      <c r="CN20" s="40">
        <f t="shared" ref="CN20" si="155">+AVERAGE(CJ20:CM20)</f>
        <v>8.4657057984433765E-2</v>
      </c>
      <c r="CO20" s="40">
        <f t="shared" ref="CO20" si="156">+AVERAGE(CK20:CN20)</f>
        <v>8.3631332032583217E-2</v>
      </c>
      <c r="CP20" s="40">
        <f t="shared" ref="CP20" si="157">+AVERAGE(CL20:CO20)</f>
        <v>8.8909126437455466E-2</v>
      </c>
      <c r="CQ20" s="40">
        <f t="shared" ref="CQ20" si="158">+AVERAGE(CM20:CP20)</f>
        <v>7.9776317855242293E-2</v>
      </c>
      <c r="CR20" s="40">
        <f t="shared" ref="CR20" si="159">+AVERAGE(CN20:CQ20)</f>
        <v>8.4243458577428681E-2</v>
      </c>
      <c r="CS20" s="40">
        <f t="shared" ref="CS20" si="160">+AVERAGE(CO20:CR20)</f>
        <v>8.4140058725677425E-2</v>
      </c>
      <c r="CT20" s="40">
        <f t="shared" ref="CT20" si="161">+AVERAGE(CP20:CS20)</f>
        <v>8.4267240398950977E-2</v>
      </c>
      <c r="CU20" s="40">
        <f t="shared" ref="CU20" si="162">+AVERAGE(CQ20:CT20)</f>
        <v>8.3106768889324834E-2</v>
      </c>
      <c r="CV20" s="40">
        <f t="shared" ref="CV20" si="163">+AVERAGE(CR20:CU20)</f>
        <v>8.3939381647845479E-2</v>
      </c>
      <c r="CW20" s="40">
        <f t="shared" ref="CW20" si="164">+AVERAGE(CS20:CV20)</f>
        <v>8.3863362415449685E-2</v>
      </c>
      <c r="CX20" s="40">
        <f t="shared" ref="CX20" si="165">+AVERAGE(CT20:CW20)</f>
        <v>8.3794188337892733E-2</v>
      </c>
      <c r="CY20" s="40">
        <f t="shared" ref="CY20" si="166">+AVERAGE(CU20:CX20)</f>
        <v>8.3675925322628186E-2</v>
      </c>
      <c r="CZ20" s="40">
        <f t="shared" ref="CZ20" si="167">+AVERAGE(CV20:CY20)</f>
        <v>8.3818214430954011E-2</v>
      </c>
      <c r="DA20" s="40">
        <f t="shared" ref="DA20" si="168">+AVERAGE(CW20:CZ20)</f>
        <v>8.3787922626731154E-2</v>
      </c>
      <c r="DB20" s="40">
        <f t="shared" ref="DB20" si="169">+AVERAGE(CX20:DA20)</f>
        <v>8.3769062679551531E-2</v>
      </c>
      <c r="DE20" s="122"/>
      <c r="DF20" s="39">
        <v>2.0029206866387178E-2</v>
      </c>
    </row>
    <row r="21" spans="1:110" s="39" customFormat="1" x14ac:dyDescent="0.2">
      <c r="A21" s="39" t="s">
        <v>446</v>
      </c>
      <c r="AB21" s="40"/>
      <c r="AC21" s="40"/>
      <c r="AD21" s="40"/>
      <c r="AE21" s="40"/>
      <c r="AJ21" s="39">
        <f t="shared" ref="AJ21:AL21" si="170">+IF(AI19&lt;0,1-AJ19/AI19,AJ19/AI19-1)</f>
        <v>9.2110865374379625E-3</v>
      </c>
      <c r="AK21" s="39">
        <f t="shared" si="170"/>
        <v>-5.9344505991756447E-2</v>
      </c>
      <c r="AL21" s="39">
        <f t="shared" si="170"/>
        <v>7.921384464639325E-2</v>
      </c>
      <c r="AM21" s="39">
        <f t="shared" ref="AM21:CI21" si="171">+IF(AL19&lt;0,1-AM19/AL19,AM19/AL19-1)</f>
        <v>-5.326565555965046E-2</v>
      </c>
      <c r="AN21" s="39">
        <f t="shared" si="171"/>
        <v>0.1170591245973529</v>
      </c>
      <c r="AO21" s="39">
        <f t="shared" si="171"/>
        <v>2.4813828067160593E-3</v>
      </c>
      <c r="AP21" s="39">
        <f t="shared" si="171"/>
        <v>0.15495039990940707</v>
      </c>
      <c r="AQ21" s="39">
        <f t="shared" si="171"/>
        <v>-0.14143567757650888</v>
      </c>
      <c r="AR21" s="39">
        <f t="shared" si="171"/>
        <v>-1.7846549323980554E-2</v>
      </c>
      <c r="AS21" s="39">
        <f t="shared" si="171"/>
        <v>-5.9923230244142034E-2</v>
      </c>
      <c r="AT21" s="39">
        <f t="shared" si="171"/>
        <v>9.7968586424790338E-4</v>
      </c>
      <c r="AU21" s="39">
        <f t="shared" si="171"/>
        <v>-0.19985457215520142</v>
      </c>
      <c r="AV21" s="39">
        <f t="shared" si="171"/>
        <v>-2.0511295634690896E-2</v>
      </c>
      <c r="AW21" s="39">
        <f t="shared" si="171"/>
        <v>-6.5143824347714596E-2</v>
      </c>
      <c r="AX21" s="39">
        <f t="shared" si="171"/>
        <v>5.2240551647641409E-2</v>
      </c>
      <c r="AY21" s="39">
        <f t="shared" si="171"/>
        <v>-4.471960380750406E-2</v>
      </c>
      <c r="AZ21" s="39">
        <f t="shared" si="171"/>
        <v>4.5442592589604924E-2</v>
      </c>
      <c r="BA21" s="39">
        <f t="shared" si="171"/>
        <v>6.7996009425533188E-2</v>
      </c>
      <c r="BB21" s="39">
        <f t="shared" si="171"/>
        <v>0.22294744074201334</v>
      </c>
      <c r="BC21" s="39">
        <f t="shared" si="171"/>
        <v>-0.12400636822268707</v>
      </c>
      <c r="BD21" s="39">
        <f t="shared" si="171"/>
        <v>9.4642834864547609E-2</v>
      </c>
      <c r="BE21" s="39">
        <f t="shared" si="171"/>
        <v>3.0262930113041708E-2</v>
      </c>
      <c r="BF21" s="39">
        <f t="shared" si="171"/>
        <v>7.7275418129196805E-3</v>
      </c>
      <c r="BG21" s="39">
        <f t="shared" si="171"/>
        <v>5.3078677207517355E-2</v>
      </c>
      <c r="BH21" s="39">
        <f t="shared" si="171"/>
        <v>0.15222482171674812</v>
      </c>
      <c r="BI21" s="39">
        <f t="shared" si="171"/>
        <v>-4.9961415413686372E-2</v>
      </c>
      <c r="BJ21" s="39">
        <f t="shared" si="171"/>
        <v>9.1882200696558503E-2</v>
      </c>
      <c r="BK21" s="39">
        <f t="shared" si="171"/>
        <v>-0.15266762618960183</v>
      </c>
      <c r="BL21" s="39">
        <f t="shared" si="171"/>
        <v>-3.8053963169779159E-2</v>
      </c>
      <c r="BM21" s="39">
        <f t="shared" si="171"/>
        <v>2.7219558127173693E-2</v>
      </c>
      <c r="BN21" s="39">
        <f t="shared" si="171"/>
        <v>1.3765606872217839E-2</v>
      </c>
      <c r="BO21" s="39">
        <f t="shared" si="171"/>
        <v>-0.2925585757262622</v>
      </c>
      <c r="BP21" s="39">
        <f t="shared" si="171"/>
        <v>0.52858385555449128</v>
      </c>
      <c r="BQ21" s="39">
        <f t="shared" si="171"/>
        <v>7.692025205996722E-2</v>
      </c>
      <c r="BR21" s="39">
        <f t="shared" si="171"/>
        <v>0.1929919988477462</v>
      </c>
      <c r="BS21" s="39">
        <f t="shared" si="171"/>
        <v>6.8702218361301748E-2</v>
      </c>
      <c r="BT21" s="39">
        <f t="shared" si="171"/>
        <v>0.12946122382257097</v>
      </c>
      <c r="BU21" s="39">
        <f t="shared" si="171"/>
        <v>6.5573575031632192E-3</v>
      </c>
      <c r="BV21" s="39">
        <f t="shared" si="171"/>
        <v>0.14050597279408694</v>
      </c>
      <c r="BW21" s="39">
        <f t="shared" si="171"/>
        <v>-8.5013451427005227E-2</v>
      </c>
      <c r="BX21" s="39">
        <f t="shared" si="171"/>
        <v>-5.6007347934504792E-2</v>
      </c>
      <c r="BY21" s="39">
        <f t="shared" si="171"/>
        <v>-4.6661251167383067E-2</v>
      </c>
      <c r="BZ21" s="39">
        <f t="shared" si="171"/>
        <v>0.10297150352921225</v>
      </c>
      <c r="CA21" s="39">
        <f t="shared" si="171"/>
        <v>-5.5142869758268209E-2</v>
      </c>
      <c r="CB21" s="39">
        <f t="shared" si="171"/>
        <v>-6.400658534609216E-2</v>
      </c>
      <c r="CC21" s="39">
        <f t="shared" si="171"/>
        <v>-6.6457825725508846E-3</v>
      </c>
      <c r="CD21" s="39">
        <f t="shared" si="171"/>
        <v>6.1025407200044457E-2</v>
      </c>
      <c r="CE21" s="39">
        <f t="shared" si="171"/>
        <v>-6.6725157448858985E-2</v>
      </c>
      <c r="CF21" s="39">
        <f t="shared" si="171"/>
        <v>-1.582358965145847E-2</v>
      </c>
      <c r="CG21" s="39">
        <f t="shared" si="171"/>
        <v>-4.7567271950820222E-3</v>
      </c>
      <c r="CH21" s="39">
        <f t="shared" si="171"/>
        <v>4.7901051850664622E-2</v>
      </c>
      <c r="CI21" s="39">
        <f t="shared" si="171"/>
        <v>-5.4074923543320774E-2</v>
      </c>
      <c r="CJ21" s="39">
        <f>+IF(CI19&lt;0,1-CJ19/CI19,CJ19/CI19-1)</f>
        <v>0.10363604429791806</v>
      </c>
      <c r="CK21" s="39">
        <f>+IF(CJ19&lt;0,1-CK19/CJ19,CK19/CJ19-1)</f>
        <v>-2.8742722905661267E-2</v>
      </c>
      <c r="CL21" s="39">
        <f>+IF(CK19&lt;0,1-CL19/CK19,CL19/CK19-1)</f>
        <v>0.10995554573140764</v>
      </c>
      <c r="CM21" s="40">
        <f t="shared" ref="CM21" si="172">+CM19/CL19-1</f>
        <v>-9.9191078993014381E-2</v>
      </c>
      <c r="CN21" s="40">
        <f t="shared" ref="CN21" si="173">+CN19/CM19-1</f>
        <v>7.72694385110404E-2</v>
      </c>
      <c r="CO21" s="40">
        <f t="shared" ref="CO21" si="174">+CO19/CN19-1</f>
        <v>8.5140495083037671E-2</v>
      </c>
      <c r="CP21" s="40">
        <f t="shared" ref="CP21" si="175">+CP19/CO19-1</f>
        <v>8.2283533159902333E-2</v>
      </c>
      <c r="CQ21" s="40">
        <f t="shared" ref="CQ21" si="176">+CQ19/CP19-1</f>
        <v>-0.16013319649408653</v>
      </c>
      <c r="CR21" s="40">
        <f t="shared" ref="CR21" si="177">+CR19/CQ19-1</f>
        <v>7.4887489239406912E-2</v>
      </c>
      <c r="CS21" s="40">
        <f t="shared" ref="CS21" si="178">+CS19/CR19-1</f>
        <v>8.8928801312575079E-2</v>
      </c>
      <c r="CT21" s="40">
        <f t="shared" ref="CT21" si="179">+CT19/CS19-1</f>
        <v>5.7644200387200861E-2</v>
      </c>
      <c r="CU21" s="40">
        <f t="shared" ref="CU21" si="180">+CU19/CT19-1</f>
        <v>-0.13792511652007722</v>
      </c>
      <c r="CV21" s="40">
        <f t="shared" ref="CV21" si="181">+CV19/CU19-1</f>
        <v>7.6045002896135472E-2</v>
      </c>
      <c r="CW21" s="40">
        <f t="shared" ref="CW21" si="182">+CW19/CV19-1</f>
        <v>9.099644871012047E-2</v>
      </c>
      <c r="CX21" s="40">
        <f t="shared" ref="CX21" si="183">+CX19/CW19-1</f>
        <v>5.9232526407204E-2</v>
      </c>
      <c r="CY21" s="40">
        <f t="shared" ref="CY21" si="184">+CY19/CX19-1</f>
        <v>-0.13994395980831076</v>
      </c>
      <c r="CZ21" s="40">
        <f t="shared" ref="CZ21" si="185">+CZ19/CY19-1</f>
        <v>7.6618607050413789E-2</v>
      </c>
      <c r="DA21" s="40">
        <f t="shared" ref="DA21" si="186">+DA19/CZ19-1</f>
        <v>9.1429648142359321E-2</v>
      </c>
      <c r="DB21" s="40">
        <f t="shared" ref="DB21" si="187">+DB19/DA19-1</f>
        <v>5.9255283875175202E-2</v>
      </c>
      <c r="DE21" s="122"/>
      <c r="DF21" s="39">
        <v>0.10279764317943552</v>
      </c>
    </row>
    <row r="22" spans="1:110" s="23" customFormat="1" outlineLevel="1" x14ac:dyDescent="0.2">
      <c r="A22" s="23" t="s">
        <v>2</v>
      </c>
      <c r="B22" s="23">
        <f>'Annual Raw'!C11</f>
        <v>56.74</v>
      </c>
      <c r="C22" s="23">
        <f>'Annual Raw'!D11</f>
        <v>-32.51</v>
      </c>
      <c r="D22" s="23">
        <f>'Annual Raw'!E11</f>
        <v>-12.22</v>
      </c>
      <c r="E22" s="23">
        <f>'Annual Raw'!F11</f>
        <v>-123.99</v>
      </c>
      <c r="F22" s="23">
        <f>'Annual Raw'!G11</f>
        <v>-289.02</v>
      </c>
      <c r="G22" s="23">
        <f>'Annual Raw'!H11</f>
        <v>30.71</v>
      </c>
      <c r="H22" s="23">
        <f>'Annual Raw'!I11</f>
        <v>-445.62</v>
      </c>
      <c r="I22" s="23">
        <f>'Annual Raw'!J11</f>
        <v>-1613.55</v>
      </c>
      <c r="J22" s="23">
        <f>'Annual Raw'!K11</f>
        <v>1940.65</v>
      </c>
      <c r="K22" s="23">
        <f>'Annual Raw'!L11</f>
        <v>747.33</v>
      </c>
      <c r="L22" s="23">
        <f>'Annual Raw'!M11</f>
        <v>-1262.18</v>
      </c>
      <c r="M22" s="23">
        <f>'Annual Raw'!N11</f>
        <v>-691.23</v>
      </c>
      <c r="N22" s="23">
        <f>'Annual Raw'!O11</f>
        <v>1561.02</v>
      </c>
      <c r="O22" s="23">
        <f>'Annual Raw'!P11</f>
        <v>-441.01</v>
      </c>
      <c r="P22" s="23">
        <f>'Annual Raw'!Q11</f>
        <v>1235.75</v>
      </c>
      <c r="Q22" s="23">
        <f>'Annual Raw'!R11</f>
        <v>1925.19</v>
      </c>
      <c r="R22" s="23">
        <f>'Annual Raw'!S11</f>
        <v>-4538.13</v>
      </c>
      <c r="S22" s="23">
        <f>'Annual Raw'!T11</f>
        <v>99.31</v>
      </c>
      <c r="T22" s="23">
        <f>'Annual Raw'!U11</f>
        <v>-96.71</v>
      </c>
      <c r="U22" s="23">
        <f>'Annual Raw'!V11</f>
        <v>-490.05</v>
      </c>
      <c r="V22" s="23">
        <f>'Annual Raw'!W11</f>
        <v>1516.77</v>
      </c>
      <c r="W22" s="23">
        <f>'Annual Raw'!X11</f>
        <v>-7597.87</v>
      </c>
      <c r="X22" s="23">
        <f>'Annual Raw'!Y11</f>
        <v>-3358.89</v>
      </c>
      <c r="Y22" s="23">
        <f>'Annual Raw'!Z11</f>
        <v>4409.3500000000004</v>
      </c>
      <c r="Z22" s="23">
        <f>'Annual Raw'!AA11</f>
        <v>-96.65</v>
      </c>
      <c r="AA22" s="23">
        <f>'Annual Raw'!AB11</f>
        <v>989.62</v>
      </c>
      <c r="AB22" s="76">
        <f>+SUM(CM22:CP22)</f>
        <v>0</v>
      </c>
      <c r="AC22" s="76">
        <f>+SUM(CQ22:CT22)</f>
        <v>0</v>
      </c>
      <c r="AD22" s="76">
        <f>+SUM(CU22:CX22)</f>
        <v>0</v>
      </c>
      <c r="AE22" s="76">
        <f>+SUM(CY22:DB22)</f>
        <v>0</v>
      </c>
      <c r="AI22" s="23">
        <f>'QTR Raw'!C10</f>
        <v>-2673.01</v>
      </c>
      <c r="AJ22" s="23">
        <f>'QTR Raw'!D10</f>
        <v>1265.01</v>
      </c>
      <c r="AK22" s="23">
        <f>'QTR Raw'!E10</f>
        <v>202.63</v>
      </c>
      <c r="AL22" s="23">
        <f>'QTR Raw'!F10</f>
        <v>2624.29</v>
      </c>
      <c r="AM22" s="23">
        <f>'QTR Raw'!G10</f>
        <v>-1466.03</v>
      </c>
      <c r="AN22" s="23">
        <f>'QTR Raw'!H10</f>
        <v>184.54</v>
      </c>
      <c r="AO22" s="23">
        <f>'QTR Raw'!I10</f>
        <v>-1508.37</v>
      </c>
      <c r="AP22" s="23">
        <f>'QTR Raw'!J10</f>
        <v>2275.19</v>
      </c>
      <c r="AQ22" s="23">
        <f>'QTR Raw'!K10</f>
        <v>-592.64</v>
      </c>
      <c r="AR22" s="23">
        <f>'QTR Raw'!L10</f>
        <v>33.380000000000003</v>
      </c>
      <c r="AS22" s="23">
        <f>'QTR Raw'!M10</f>
        <v>-511.91</v>
      </c>
      <c r="AT22" s="23">
        <f>'QTR Raw'!N10</f>
        <v>2193.35</v>
      </c>
      <c r="AU22" s="23">
        <f>'QTR Raw'!O10</f>
        <v>-743.96</v>
      </c>
      <c r="AV22" s="23">
        <f>'QTR Raw'!P10</f>
        <v>265.25</v>
      </c>
      <c r="AW22" s="23">
        <f>'QTR Raw'!Q10</f>
        <v>911.86</v>
      </c>
      <c r="AX22" s="23">
        <f>'QTR Raw'!R10</f>
        <v>1773.33</v>
      </c>
      <c r="AY22" s="23">
        <f>'QTR Raw'!S10</f>
        <v>-1593.61</v>
      </c>
      <c r="AZ22" s="23">
        <f>'QTR Raw'!T10</f>
        <v>-1083.25</v>
      </c>
      <c r="BA22" s="23">
        <f>'QTR Raw'!U10</f>
        <v>-1565.96</v>
      </c>
      <c r="BB22" s="23">
        <f>'QTR Raw'!V10</f>
        <v>-295.31</v>
      </c>
      <c r="BC22" s="23">
        <f>'QTR Raw'!W10</f>
        <v>-1967.28</v>
      </c>
      <c r="BD22" s="23">
        <f>'QTR Raw'!X10</f>
        <v>1308.42</v>
      </c>
      <c r="BE22" s="23">
        <f>'QTR Raw'!Y10</f>
        <v>148</v>
      </c>
      <c r="BF22" s="23">
        <f>'QTR Raw'!Z10</f>
        <v>467.64</v>
      </c>
      <c r="BG22" s="23">
        <f>'QTR Raw'!AA10</f>
        <v>-1422.38</v>
      </c>
      <c r="BH22" s="23">
        <f>'QTR Raw'!AB10</f>
        <v>-176.52</v>
      </c>
      <c r="BI22" s="23">
        <f>'QTR Raw'!AC10</f>
        <v>-528.94000000000005</v>
      </c>
      <c r="BJ22" s="23">
        <f>'QTR Raw'!AD10</f>
        <v>2031.13</v>
      </c>
      <c r="BK22" s="23">
        <f>'QTR Raw'!AE10</f>
        <v>-2364.54</v>
      </c>
      <c r="BL22" s="23">
        <f>'QTR Raw'!AF10</f>
        <v>-16.32</v>
      </c>
      <c r="BM22" s="23">
        <f>'QTR Raw'!AG10</f>
        <v>3356.09</v>
      </c>
      <c r="BN22" s="23">
        <f>'QTR Raw'!AH10</f>
        <v>-1518.86</v>
      </c>
      <c r="BO22" s="23">
        <f>'QTR Raw'!AI10</f>
        <v>703.33</v>
      </c>
      <c r="BP22" s="23">
        <f>'QTR Raw'!AJ10</f>
        <v>3297.4</v>
      </c>
      <c r="BQ22" s="23">
        <f>'QTR Raw'!AK10</f>
        <v>-841.85</v>
      </c>
      <c r="BR22" s="23">
        <f>'QTR Raw'!AL10</f>
        <v>-1642.11</v>
      </c>
      <c r="BS22" s="23">
        <f>'QTR Raw'!AM10</f>
        <v>-3291.86</v>
      </c>
      <c r="BT22" s="23">
        <f>'QTR Raw'!AN10</f>
        <v>-3103.18</v>
      </c>
      <c r="BU22" s="23">
        <f>'QTR Raw'!AO10</f>
        <v>-3960.26</v>
      </c>
      <c r="BV22" s="23">
        <f>'QTR Raw'!AP10</f>
        <v>2757.43</v>
      </c>
      <c r="BW22" s="23">
        <f>'QTR Raw'!AQ10</f>
        <v>-8098.74</v>
      </c>
      <c r="BX22" s="23">
        <f>'QTR Raw'!AR10</f>
        <v>280.58999999999997</v>
      </c>
      <c r="BY22" s="23">
        <f>'QTR Raw'!AS10</f>
        <v>1791.28</v>
      </c>
      <c r="BZ22" s="23">
        <f>'QTR Raw'!AT10</f>
        <v>2667.98</v>
      </c>
      <c r="CA22" s="23">
        <f>'QTR Raw'!AU10</f>
        <v>1514.62</v>
      </c>
      <c r="CB22" s="23">
        <f>'QTR Raw'!AV10</f>
        <v>756.14</v>
      </c>
      <c r="CC22" s="23">
        <f>'QTR Raw'!AW10</f>
        <v>320.7</v>
      </c>
      <c r="CD22" s="23">
        <f>'QTR Raw'!AX10</f>
        <v>1817.89</v>
      </c>
      <c r="CE22" s="23">
        <f>'QTR Raw'!AY10</f>
        <v>-2570.0700000000002</v>
      </c>
      <c r="CF22" s="23">
        <f>'QTR Raw'!AZ10</f>
        <v>-746.59</v>
      </c>
      <c r="CG22" s="23">
        <f>'QTR Raw'!BA10</f>
        <v>501.45</v>
      </c>
      <c r="CH22" s="23">
        <f>'QTR Raw'!BB10</f>
        <v>2718.56</v>
      </c>
      <c r="CI22" s="23">
        <f>'QTR Raw'!BC10</f>
        <v>-1397.85</v>
      </c>
      <c r="CJ22" s="23">
        <f>'QTR Raw'!BD10</f>
        <v>979.14</v>
      </c>
      <c r="CK22" s="23">
        <f>'QTR Raw'!BE10</f>
        <v>-545.02</v>
      </c>
      <c r="CL22" s="23">
        <f>'QTR Raw'!BF10</f>
        <v>1953.35</v>
      </c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E22" s="123"/>
      <c r="DF22" s="23">
        <v>989.62</v>
      </c>
    </row>
    <row r="23" spans="1:110" s="23" customFormat="1" outlineLevel="1" x14ac:dyDescent="0.2">
      <c r="A23" s="23" t="s">
        <v>3</v>
      </c>
      <c r="B23" s="23">
        <v>0</v>
      </c>
      <c r="C23" s="23">
        <v>0</v>
      </c>
      <c r="D23" s="23">
        <v>0</v>
      </c>
      <c r="E23" s="23">
        <v>0</v>
      </c>
      <c r="F23" s="23">
        <v>0</v>
      </c>
      <c r="G23" s="23">
        <v>0</v>
      </c>
      <c r="H23" s="23">
        <v>0</v>
      </c>
      <c r="I23" s="23">
        <v>0</v>
      </c>
      <c r="J23" s="23">
        <v>0</v>
      </c>
      <c r="K23" s="23">
        <v>0</v>
      </c>
      <c r="L23" s="23">
        <v>0</v>
      </c>
      <c r="M23" s="23">
        <v>0</v>
      </c>
      <c r="N23" s="23">
        <v>0</v>
      </c>
      <c r="O23" s="23">
        <v>0</v>
      </c>
      <c r="P23" s="23">
        <v>0</v>
      </c>
      <c r="Q23" s="23">
        <v>0</v>
      </c>
      <c r="R23" s="23">
        <v>0</v>
      </c>
      <c r="S23" s="23">
        <v>0</v>
      </c>
      <c r="T23" s="23">
        <v>0</v>
      </c>
      <c r="U23" s="23">
        <v>0</v>
      </c>
      <c r="V23" s="23">
        <v>0</v>
      </c>
      <c r="W23" s="23">
        <v>0</v>
      </c>
      <c r="X23" s="23">
        <v>0</v>
      </c>
      <c r="Y23" s="23">
        <v>0</v>
      </c>
      <c r="Z23" s="23">
        <v>0</v>
      </c>
      <c r="AA23" s="23">
        <v>0</v>
      </c>
      <c r="AB23" s="76">
        <f>+SUM(CM23:CP23)</f>
        <v>0</v>
      </c>
      <c r="AC23" s="76">
        <f>+SUM(CQ23:CT23)</f>
        <v>0</v>
      </c>
      <c r="AD23" s="76">
        <f>+SUM(CU23:CX23)</f>
        <v>0</v>
      </c>
      <c r="AE23" s="76">
        <f>+SUM(CY23:DB23)</f>
        <v>0</v>
      </c>
      <c r="AI23" s="23">
        <f>'QTR Raw'!C12</f>
        <v>6138.14</v>
      </c>
      <c r="AJ23" s="23">
        <f>'QTR Raw'!D12</f>
        <v>4697.26</v>
      </c>
      <c r="AK23" s="23">
        <f>'QTR Raw'!E12</f>
        <v>3949.07</v>
      </c>
      <c r="AL23" s="23">
        <f>'QTR Raw'!F12</f>
        <v>3689.4</v>
      </c>
      <c r="AM23" s="23">
        <f>'QTR Raw'!G12</f>
        <v>4204.0600000000004</v>
      </c>
      <c r="AN23" s="23">
        <f>'QTR Raw'!H12</f>
        <v>3775.47</v>
      </c>
      <c r="AO23" s="23">
        <f>'QTR Raw'!I12</f>
        <v>4790.1499999999996</v>
      </c>
      <c r="AP23" s="23">
        <f>'QTR Raw'!J12</f>
        <v>4238.53</v>
      </c>
      <c r="AQ23" s="23">
        <f>'QTR Raw'!K12</f>
        <v>4128.8</v>
      </c>
      <c r="AR23" s="23">
        <f>'QTR Raw'!L12</f>
        <v>3667.32</v>
      </c>
      <c r="AS23" s="23">
        <f>'QTR Raw'!M12</f>
        <v>3548.77</v>
      </c>
      <c r="AT23" s="23">
        <f>'QTR Raw'!N12</f>
        <v>2459.33</v>
      </c>
      <c r="AU23" s="23">
        <f>'QTR Raw'!O12</f>
        <v>3113.81</v>
      </c>
      <c r="AV23" s="23">
        <f>'QTR Raw'!P12</f>
        <v>2360.61</v>
      </c>
      <c r="AW23" s="23">
        <f>'QTR Raw'!Q12</f>
        <v>2436.81</v>
      </c>
      <c r="AX23" s="23">
        <f>'QTR Raw'!R12</f>
        <v>2149.75</v>
      </c>
      <c r="AY23" s="23">
        <f>'QTR Raw'!S12</f>
        <v>2916.14</v>
      </c>
      <c r="AZ23" s="23">
        <f>'QTR Raw'!T12</f>
        <v>2790.91</v>
      </c>
      <c r="BA23" s="23">
        <f>'QTR Raw'!U12</f>
        <v>2933.09</v>
      </c>
      <c r="BB23" s="23">
        <f>'QTR Raw'!V12</f>
        <v>2784.8</v>
      </c>
      <c r="BC23" s="23">
        <f>'QTR Raw'!W12</f>
        <v>2757.7</v>
      </c>
      <c r="BD23" s="23">
        <f>'QTR Raw'!X12</f>
        <v>2626.61</v>
      </c>
      <c r="BE23" s="23">
        <f>'QTR Raw'!Y12</f>
        <v>2778.23</v>
      </c>
      <c r="BF23" s="23">
        <f>'QTR Raw'!Z12</f>
        <v>1349.65</v>
      </c>
      <c r="BG23" s="23">
        <f>'QTR Raw'!AA12</f>
        <v>1410.83</v>
      </c>
      <c r="BH23" s="23">
        <f>'QTR Raw'!AB12</f>
        <v>1972.46</v>
      </c>
      <c r="BI23" s="23">
        <f>'QTR Raw'!AC12</f>
        <v>1682.21</v>
      </c>
      <c r="BJ23" s="23">
        <f>'QTR Raw'!AD12</f>
        <v>1502.49</v>
      </c>
      <c r="BK23" s="23">
        <f>'QTR Raw'!AE12</f>
        <v>1635.42</v>
      </c>
      <c r="BL23" s="23">
        <f>'QTR Raw'!AF12</f>
        <v>1187.83</v>
      </c>
      <c r="BM23" s="23">
        <f>'QTR Raw'!AG12</f>
        <v>903.67</v>
      </c>
      <c r="BN23" s="23">
        <f>'QTR Raw'!AH12</f>
        <v>2429.44</v>
      </c>
      <c r="BO23" s="23">
        <f>'QTR Raw'!AI12</f>
        <v>1283.6500000000001</v>
      </c>
      <c r="BP23" s="23">
        <f>'QTR Raw'!AJ12</f>
        <v>1739.76</v>
      </c>
      <c r="BQ23" s="23">
        <f>'QTR Raw'!AK12</f>
        <v>2882.56</v>
      </c>
      <c r="BR23" s="23">
        <f>'QTR Raw'!AL12</f>
        <v>3738.13</v>
      </c>
      <c r="BS23" s="23">
        <f>'QTR Raw'!AM12</f>
        <v>3922.14</v>
      </c>
      <c r="BT23" s="23">
        <f>'QTR Raw'!AN12</f>
        <v>4399.49</v>
      </c>
      <c r="BU23" s="23">
        <f>'QTR Raw'!AO12</f>
        <v>3539.48</v>
      </c>
      <c r="BV23" s="23">
        <f>'QTR Raw'!AP12</f>
        <v>3451.81</v>
      </c>
      <c r="BW23" s="23">
        <f>'QTR Raw'!AQ12</f>
        <v>4999.5</v>
      </c>
      <c r="BX23" s="23">
        <f>'QTR Raw'!AR12</f>
        <v>3269.93</v>
      </c>
      <c r="BY23" s="23">
        <f>'QTR Raw'!AS12</f>
        <v>3535.93</v>
      </c>
      <c r="BZ23" s="23">
        <f>'QTR Raw'!AT12</f>
        <v>3308.75</v>
      </c>
      <c r="CA23" s="23">
        <f>'QTR Raw'!AU12</f>
        <v>3692.61</v>
      </c>
      <c r="CB23" s="23">
        <f>'QTR Raw'!AV12</f>
        <v>4673.5600000000004</v>
      </c>
      <c r="CC23" s="23">
        <f>'QTR Raw'!AW12</f>
        <v>3011.21</v>
      </c>
      <c r="CD23" s="23">
        <f>'QTR Raw'!AX12</f>
        <v>3595.41</v>
      </c>
      <c r="CE23" s="23">
        <f>'QTR Raw'!AY12</f>
        <v>4350.87</v>
      </c>
      <c r="CF23" s="23">
        <f>'QTR Raw'!AZ12</f>
        <v>4502.78</v>
      </c>
      <c r="CG23" s="23">
        <f>'QTR Raw'!BA12</f>
        <v>4025</v>
      </c>
      <c r="CH23" s="23">
        <f>'QTR Raw'!BB12</f>
        <v>5139.03</v>
      </c>
      <c r="CI23" s="23">
        <f>'QTR Raw'!BC12</f>
        <v>3948.43</v>
      </c>
      <c r="CJ23" s="23">
        <f>'QTR Raw'!BD12</f>
        <v>5587.57</v>
      </c>
      <c r="CK23" s="23">
        <f>'QTR Raw'!BE12</f>
        <v>4069.81</v>
      </c>
      <c r="CL23" s="23">
        <f>'QTR Raw'!BF12</f>
        <v>4553.33</v>
      </c>
      <c r="CM23" s="24"/>
      <c r="CN23" s="24"/>
      <c r="CO23" s="24"/>
      <c r="CP23" s="24"/>
      <c r="CQ23" s="24"/>
      <c r="CR23" s="24"/>
      <c r="CS23" s="24"/>
      <c r="CT23" s="24"/>
      <c r="CU23" s="24"/>
      <c r="CV23" s="24"/>
      <c r="CW23" s="24"/>
      <c r="CX23" s="24"/>
      <c r="CY23" s="24"/>
      <c r="CZ23" s="24"/>
      <c r="DA23" s="24"/>
      <c r="DB23" s="24"/>
      <c r="DE23" s="123"/>
      <c r="DF23" s="23">
        <v>18159.14</v>
      </c>
    </row>
    <row r="24" spans="1:110" s="23" customFormat="1" outlineLevel="1" x14ac:dyDescent="0.2">
      <c r="A24" s="23" t="s">
        <v>4</v>
      </c>
      <c r="B24" s="23">
        <f>'Annual Raw'!C12</f>
        <v>1247.24</v>
      </c>
      <c r="C24" s="23">
        <f>'Annual Raw'!D12</f>
        <v>1830.42</v>
      </c>
      <c r="D24" s="23">
        <f>'Annual Raw'!E12</f>
        <v>2023.42</v>
      </c>
      <c r="E24" s="23">
        <f>'Annual Raw'!F12</f>
        <v>2583.31</v>
      </c>
      <c r="F24" s="23">
        <f>'Annual Raw'!G12</f>
        <v>4171.1000000000004</v>
      </c>
      <c r="G24" s="23">
        <f>'Annual Raw'!H12</f>
        <v>6705.76</v>
      </c>
      <c r="H24" s="23">
        <f>'Annual Raw'!I12</f>
        <v>9171.39</v>
      </c>
      <c r="I24" s="23">
        <f>'Annual Raw'!J12</f>
        <v>60228.69</v>
      </c>
      <c r="J24" s="23">
        <f>'Annual Raw'!K12</f>
        <v>72937.649999999994</v>
      </c>
      <c r="K24" s="23">
        <f>'Annual Raw'!L12</f>
        <v>44115.1</v>
      </c>
      <c r="L24" s="23">
        <f>'Annual Raw'!M12</f>
        <v>54638.98</v>
      </c>
      <c r="M24" s="23">
        <f>'Annual Raw'!N12</f>
        <v>66530.97</v>
      </c>
      <c r="N24" s="23">
        <f>'Annual Raw'!O12</f>
        <v>59117.33</v>
      </c>
      <c r="O24" s="23">
        <f>'Annual Raw'!P12</f>
        <v>63251.19</v>
      </c>
      <c r="P24" s="23">
        <f>'Annual Raw'!Q12</f>
        <v>54545.26</v>
      </c>
      <c r="Q24" s="23">
        <f>'Annual Raw'!R12</f>
        <v>38696.269999999997</v>
      </c>
      <c r="R24" s="23">
        <f>'Annual Raw'!S12</f>
        <v>43843.03</v>
      </c>
      <c r="S24" s="23">
        <f>'Annual Raw'!T12</f>
        <v>46137.01</v>
      </c>
      <c r="T24" s="23">
        <f>'Annual Raw'!U12</f>
        <v>60877.05</v>
      </c>
      <c r="U24" s="23">
        <f>'Annual Raw'!V12</f>
        <v>64097.03</v>
      </c>
      <c r="V24" s="23">
        <f>'Annual Raw'!W12</f>
        <v>55100.81</v>
      </c>
      <c r="W24" s="23">
        <f>'Annual Raw'!X12</f>
        <v>91076.61</v>
      </c>
      <c r="X24" s="23">
        <f>'Annual Raw'!Y12</f>
        <v>116597.19</v>
      </c>
      <c r="Y24" s="23">
        <f>'Annual Raw'!Z12</f>
        <v>97506.39</v>
      </c>
      <c r="Z24" s="23">
        <f>'Annual Raw'!AA12</f>
        <v>95097.3</v>
      </c>
      <c r="AA24" s="23">
        <f>'Annual Raw'!AB12</f>
        <v>92628.07</v>
      </c>
      <c r="AB24" s="24">
        <f>+SUM(CM24:CP24)</f>
        <v>100094.4264080164</v>
      </c>
      <c r="AC24" s="24">
        <f>+SUM(CQ24:CT24)</f>
        <v>103130.46136484822</v>
      </c>
      <c r="AD24" s="24">
        <f>+SUM(CU24:CX24)</f>
        <v>110095.00364640147</v>
      </c>
      <c r="AE24" s="24">
        <f>+SUM(CY24:DB24)</f>
        <v>117768.36052973855</v>
      </c>
      <c r="AI24" s="23">
        <f>'QTR Raw'!C11</f>
        <v>11584.64</v>
      </c>
      <c r="AJ24" s="23">
        <f>'QTR Raw'!D11</f>
        <v>10534.88</v>
      </c>
      <c r="AK24" s="23">
        <f>'QTR Raw'!E11</f>
        <v>9769.2199999999993</v>
      </c>
      <c r="AL24" s="23">
        <f>'QTR Raw'!F11</f>
        <v>8754.7199999999993</v>
      </c>
      <c r="AM24" s="23">
        <f>'QTR Raw'!G11</f>
        <v>10440.58</v>
      </c>
      <c r="AN24" s="23">
        <f>'QTR Raw'!H11</f>
        <v>11567</v>
      </c>
      <c r="AO24" s="23">
        <f>'QTR Raw'!I11</f>
        <v>11632.73</v>
      </c>
      <c r="AP24" s="23">
        <f>'QTR Raw'!J11</f>
        <v>12602.67</v>
      </c>
      <c r="AQ24" s="23">
        <f>'QTR Raw'!K11</f>
        <v>11010.12</v>
      </c>
      <c r="AR24" s="23">
        <f>'QTR Raw'!L11</f>
        <v>10395.719999999999</v>
      </c>
      <c r="AS24" s="23">
        <f>'QTR Raw'!M11</f>
        <v>10553.44</v>
      </c>
      <c r="AT24" s="23">
        <f>'QTR Raw'!N11</f>
        <v>8781.76</v>
      </c>
      <c r="AU24" s="23">
        <f>'QTR Raw'!O11</f>
        <v>7763.78</v>
      </c>
      <c r="AV24" s="23">
        <f>'QTR Raw'!P11</f>
        <v>8045.45</v>
      </c>
      <c r="AW24" s="23">
        <f>'QTR Raw'!Q11</f>
        <v>6770.33</v>
      </c>
      <c r="AX24" s="23">
        <f>'QTR Raw'!R11</f>
        <v>6367.2</v>
      </c>
      <c r="AY24" s="23">
        <f>'QTR Raw'!S11</f>
        <v>6815.11</v>
      </c>
      <c r="AZ24" s="23">
        <f>'QTR Raw'!T11</f>
        <v>7634.04</v>
      </c>
      <c r="BA24" s="23">
        <f>'QTR Raw'!U11</f>
        <v>8011.3</v>
      </c>
      <c r="BB24" s="23">
        <f>'QTR Raw'!V11</f>
        <v>9957.64</v>
      </c>
      <c r="BC24" s="23">
        <f>'QTR Raw'!W11</f>
        <v>10279.43</v>
      </c>
      <c r="BD24" s="23">
        <f>'QTR Raw'!X11</f>
        <v>10354.59</v>
      </c>
      <c r="BE24" s="23">
        <f>'QTR Raw'!Y11</f>
        <v>10201.64</v>
      </c>
      <c r="BF24" s="23">
        <f>'QTR Raw'!Z11</f>
        <v>10248.18</v>
      </c>
      <c r="BG24" s="23">
        <f>'QTR Raw'!AA11</f>
        <v>12430.08</v>
      </c>
      <c r="BH24" s="23">
        <f>'QTR Raw'!AB11</f>
        <v>13930.57</v>
      </c>
      <c r="BI24" s="23">
        <f>'QTR Raw'!AC11</f>
        <v>13707.11</v>
      </c>
      <c r="BJ24" s="23">
        <f>'QTR Raw'!AD11</f>
        <v>14241.31</v>
      </c>
      <c r="BK24" s="23">
        <f>'QTR Raw'!AE11</f>
        <v>14491.23</v>
      </c>
      <c r="BL24" s="23">
        <f>'QTR Raw'!AF11</f>
        <v>13676.17</v>
      </c>
      <c r="BM24" s="23">
        <f>'QTR Raw'!AG11</f>
        <v>12850.01</v>
      </c>
      <c r="BN24" s="23">
        <f>'QTR Raw'!AH11</f>
        <v>12309.12</v>
      </c>
      <c r="BO24" s="23">
        <f>'QTR Raw'!AI11</f>
        <v>9095.9500000000007</v>
      </c>
      <c r="BP24" s="23">
        <f>'QTR Raw'!AJ11</f>
        <v>11319.01</v>
      </c>
      <c r="BQ24" s="23">
        <f>'QTR Raw'!AK11</f>
        <v>12243.98</v>
      </c>
      <c r="BR24" s="23">
        <f>'QTR Raw'!AL11</f>
        <v>12927.23</v>
      </c>
      <c r="BS24" s="23">
        <f>'QTR Raw'!AM11</f>
        <v>16034.08</v>
      </c>
      <c r="BT24" s="23">
        <f>'QTR Raw'!AN11</f>
        <v>17762.12</v>
      </c>
      <c r="BU24" s="23">
        <f>'QTR Raw'!AO11</f>
        <v>20546.54</v>
      </c>
      <c r="BV24" s="23">
        <f>'QTR Raw'!AP11</f>
        <v>21420.959999999999</v>
      </c>
      <c r="BW24" s="23">
        <f>'QTR Raw'!AQ11</f>
        <v>26319.86</v>
      </c>
      <c r="BX24" s="23">
        <f>'QTR Raw'!AR11</f>
        <v>27788.5</v>
      </c>
      <c r="BY24" s="23">
        <f>'QTR Raw'!AS11</f>
        <v>24695.38</v>
      </c>
      <c r="BZ24" s="23">
        <f>'QTR Raw'!AT11</f>
        <v>22679.34</v>
      </c>
      <c r="CA24" s="23">
        <f>'QTR Raw'!AU11</f>
        <v>22267.94</v>
      </c>
      <c r="CB24" s="23">
        <f>'QTR Raw'!AV11</f>
        <v>20473.43</v>
      </c>
      <c r="CC24" s="23">
        <f>'QTR Raw'!AW11</f>
        <v>19114.599999999999</v>
      </c>
      <c r="CD24" s="23">
        <f>'QTR Raw'!AX11</f>
        <v>20677.63</v>
      </c>
      <c r="CE24" s="23">
        <f>'QTR Raw'!AY11</f>
        <v>20642.169999999998</v>
      </c>
      <c r="CF24" s="23">
        <f>'QTR Raw'!AZ11</f>
        <v>20186.87</v>
      </c>
      <c r="CG24" s="23">
        <f>'QTR Raw'!BA11</f>
        <v>19403.990000000002</v>
      </c>
      <c r="CH24" s="23">
        <f>'QTR Raw'!BB11</f>
        <v>16846.59</v>
      </c>
      <c r="CI24" s="23">
        <f>'QTR Raw'!BC11</f>
        <v>18028.080000000002</v>
      </c>
      <c r="CJ24" s="23">
        <f>'QTR Raw'!BD11</f>
        <v>17859.37</v>
      </c>
      <c r="CK24" s="23">
        <f>'QTR Raw'!BE11</f>
        <v>18916.96</v>
      </c>
      <c r="CL24" s="23">
        <f>'QTR Raw'!BF11</f>
        <v>19664.52</v>
      </c>
      <c r="CM24" s="24">
        <f t="shared" ref="CM24:DB24" si="188">+CM19-CM25</f>
        <v>22266.532343242958</v>
      </c>
      <c r="CN24" s="24">
        <f t="shared" si="188"/>
        <v>24045.045557708741</v>
      </c>
      <c r="CO24" s="24">
        <f t="shared" si="188"/>
        <v>25875.58199218705</v>
      </c>
      <c r="CP24" s="24">
        <f t="shared" si="188"/>
        <v>27907.266514877658</v>
      </c>
      <c r="CQ24" s="24">
        <f t="shared" si="188"/>
        <v>23214.173582031472</v>
      </c>
      <c r="CR24" s="24">
        <f t="shared" si="188"/>
        <v>24831.628971599057</v>
      </c>
      <c r="CS24" s="24">
        <f t="shared" si="188"/>
        <v>26857.946644621617</v>
      </c>
      <c r="CT24" s="24">
        <f t="shared" si="188"/>
        <v>28226.712166596066</v>
      </c>
      <c r="CU24" s="24">
        <f t="shared" si="188"/>
        <v>24562.528621127974</v>
      </c>
      <c r="CV24" s="24">
        <f t="shared" si="188"/>
        <v>26373.433987356642</v>
      </c>
      <c r="CW24" s="24">
        <f t="shared" si="188"/>
        <v>28730.911740892283</v>
      </c>
      <c r="CX24" s="24">
        <f t="shared" si="188"/>
        <v>30428.12929702457</v>
      </c>
      <c r="CY24" s="24">
        <f t="shared" si="188"/>
        <v>26206.32454452254</v>
      </c>
      <c r="CZ24" s="24">
        <f t="shared" si="188"/>
        <v>28197.325032898058</v>
      </c>
      <c r="DA24" s="24">
        <f t="shared" si="188"/>
        <v>30768.979918696088</v>
      </c>
      <c r="DB24" s="24">
        <f t="shared" si="188"/>
        <v>32595.731033621865</v>
      </c>
      <c r="DE24" s="123"/>
      <c r="DF24" s="23">
        <v>24600.948829576671</v>
      </c>
    </row>
    <row r="25" spans="1:110" s="31" customFormat="1" x14ac:dyDescent="0.2">
      <c r="A25" s="31" t="s">
        <v>5</v>
      </c>
      <c r="B25" s="31">
        <f t="shared" ref="B25:T25" si="189">B19-B22-B24-B23</f>
        <v>5534.63</v>
      </c>
      <c r="C25" s="31">
        <f t="shared" si="189"/>
        <v>5619.59</v>
      </c>
      <c r="D25" s="31">
        <f t="shared" si="189"/>
        <v>7125.619999999999</v>
      </c>
      <c r="E25" s="31">
        <f t="shared" si="189"/>
        <v>8670.1200000000008</v>
      </c>
      <c r="F25" s="31">
        <f t="shared" si="189"/>
        <v>12116.53</v>
      </c>
      <c r="G25" s="31">
        <f t="shared" si="189"/>
        <v>13585.67</v>
      </c>
      <c r="H25" s="31">
        <f t="shared" si="189"/>
        <v>16486.61</v>
      </c>
      <c r="I25" s="31">
        <f t="shared" si="189"/>
        <v>72918.489999999962</v>
      </c>
      <c r="J25" s="31">
        <f t="shared" si="189"/>
        <v>72450.960000000021</v>
      </c>
      <c r="K25" s="31">
        <f t="shared" si="189"/>
        <v>57530.689999999995</v>
      </c>
      <c r="L25" s="31">
        <f t="shared" si="189"/>
        <v>65376.319999999985</v>
      </c>
      <c r="M25" s="31">
        <f t="shared" si="189"/>
        <v>67059.960000000021</v>
      </c>
      <c r="N25" s="31">
        <f t="shared" si="189"/>
        <v>74033.190000000017</v>
      </c>
      <c r="O25" s="31">
        <f t="shared" si="189"/>
        <v>85803.370000000024</v>
      </c>
      <c r="P25" s="31">
        <f t="shared" si="189"/>
        <v>83722.719999999972</v>
      </c>
      <c r="Q25" s="31">
        <f t="shared" si="189"/>
        <v>61343.26</v>
      </c>
      <c r="R25" s="31">
        <f t="shared" si="189"/>
        <v>72994.52</v>
      </c>
      <c r="S25" s="31">
        <f t="shared" si="189"/>
        <v>77012.75</v>
      </c>
      <c r="T25" s="31">
        <f t="shared" si="189"/>
        <v>96888.64999999998</v>
      </c>
      <c r="U25" s="31">
        <f t="shared" ref="U25:Z25" si="190">U19-U22-U24-U23</f>
        <v>85364.729999999981</v>
      </c>
      <c r="V25" s="31">
        <f t="shared" si="190"/>
        <v>99859.82</v>
      </c>
      <c r="W25" s="31">
        <f t="shared" si="190"/>
        <v>160480.43</v>
      </c>
      <c r="X25" s="31">
        <f t="shared" si="190"/>
        <v>130114.39000000001</v>
      </c>
      <c r="Y25" s="31">
        <f t="shared" si="190"/>
        <v>127255.03999999999</v>
      </c>
      <c r="Z25" s="31">
        <f t="shared" si="190"/>
        <v>123541.86</v>
      </c>
      <c r="AA25" s="31">
        <f t="shared" ref="AA25" si="191">AA19-AA22-AA24-AA23</f>
        <v>138522.25</v>
      </c>
      <c r="AB25" s="32">
        <f t="shared" ref="AA25:AD25" si="192">AB19-AB22-AB24-AB23</f>
        <v>157031.6617933712</v>
      </c>
      <c r="AC25" s="32">
        <f t="shared" si="192"/>
        <v>168383.39768471193</v>
      </c>
      <c r="AD25" s="32">
        <f t="shared" si="192"/>
        <v>180324.25716026936</v>
      </c>
      <c r="AE25" s="32">
        <f t="shared" ref="AE25" si="193">AE19-AE22-AE24-AE23</f>
        <v>193025.58775591856</v>
      </c>
      <c r="AI25" s="31">
        <f t="shared" ref="AI25" si="194">AI19-AI22-AI24-AI23</f>
        <v>18771.430000000008</v>
      </c>
      <c r="AJ25" s="31">
        <f t="shared" ref="AJ25" si="195">AJ19-AJ22-AJ24-AJ23</f>
        <v>17635.580000000002</v>
      </c>
      <c r="AK25" s="31">
        <f t="shared" ref="AK25:AM25" si="196">AK19-AK22-AK24-AK23</f>
        <v>18186.22</v>
      </c>
      <c r="AL25" s="31">
        <f t="shared" si="196"/>
        <v>19582.059999999998</v>
      </c>
      <c r="AM25" s="31">
        <f t="shared" si="196"/>
        <v>19626.179999999997</v>
      </c>
      <c r="AN25" s="31">
        <f t="shared" ref="AN25:AO25" si="197">AN19-AN22-AN24-AN23</f>
        <v>21117.879999999997</v>
      </c>
      <c r="AO25" s="31">
        <f t="shared" si="197"/>
        <v>21821.310000000005</v>
      </c>
      <c r="AP25" s="31">
        <f t="shared" ref="AP25:CD25" si="198">AP19-AP22-AP24-AP23</f>
        <v>23311.659999999996</v>
      </c>
      <c r="AQ25" s="31">
        <f t="shared" si="198"/>
        <v>21880.929999999997</v>
      </c>
      <c r="AR25" s="31">
        <f t="shared" si="198"/>
        <v>21680.690000000002</v>
      </c>
      <c r="AS25" s="31">
        <f t="shared" si="198"/>
        <v>20042.930000000004</v>
      </c>
      <c r="AT25" s="31">
        <f t="shared" si="198"/>
        <v>20231.739999999998</v>
      </c>
      <c r="AU25" s="31">
        <f t="shared" si="198"/>
        <v>16804.21</v>
      </c>
      <c r="AV25" s="31">
        <f t="shared" si="198"/>
        <v>15713.999999999996</v>
      </c>
      <c r="AW25" s="31">
        <f t="shared" si="198"/>
        <v>14547.47</v>
      </c>
      <c r="AX25" s="31">
        <f t="shared" si="198"/>
        <v>15664.779999999995</v>
      </c>
      <c r="AY25" s="31">
        <f t="shared" si="198"/>
        <v>16656.72</v>
      </c>
      <c r="AZ25" s="31">
        <f t="shared" si="198"/>
        <v>16579.379999999997</v>
      </c>
      <c r="BA25" s="31">
        <f t="shared" si="198"/>
        <v>18305.18</v>
      </c>
      <c r="BB25" s="31">
        <f t="shared" si="198"/>
        <v>21408.470000000005</v>
      </c>
      <c r="BC25" s="31">
        <f t="shared" si="198"/>
        <v>18587.439999999999</v>
      </c>
      <c r="BD25" s="31">
        <f t="shared" si="198"/>
        <v>18174.52</v>
      </c>
      <c r="BE25" s="31">
        <f t="shared" si="198"/>
        <v>20318.73</v>
      </c>
      <c r="BF25" s="31">
        <f t="shared" si="198"/>
        <v>21639.589999999997</v>
      </c>
      <c r="BG25" s="31">
        <f t="shared" si="198"/>
        <v>23075.549999999996</v>
      </c>
      <c r="BH25" s="31">
        <f t="shared" si="198"/>
        <v>25170.649999999994</v>
      </c>
      <c r="BI25" s="31">
        <f t="shared" si="198"/>
        <v>23993.5</v>
      </c>
      <c r="BJ25" s="31">
        <f t="shared" si="198"/>
        <v>24648.930000000004</v>
      </c>
      <c r="BK25" s="31">
        <f t="shared" si="198"/>
        <v>22185</v>
      </c>
      <c r="BL25" s="31">
        <f t="shared" si="198"/>
        <v>19731.5</v>
      </c>
      <c r="BM25" s="31">
        <f t="shared" si="198"/>
        <v>18410.640000000007</v>
      </c>
      <c r="BN25" s="31">
        <f t="shared" si="198"/>
        <v>22789.669999999995</v>
      </c>
      <c r="BO25" s="31">
        <f t="shared" si="198"/>
        <v>14391.589999999998</v>
      </c>
      <c r="BP25" s="31">
        <f t="shared" si="198"/>
        <v>22583.77</v>
      </c>
      <c r="BQ25" s="31">
        <f t="shared" si="198"/>
        <v>27650.520000000004</v>
      </c>
      <c r="BR25" s="31">
        <f t="shared" si="198"/>
        <v>35005.120000000003</v>
      </c>
      <c r="BS25" s="31">
        <f t="shared" si="198"/>
        <v>36801.07</v>
      </c>
      <c r="BT25" s="31">
        <f t="shared" si="198"/>
        <v>41328.700000000004</v>
      </c>
      <c r="BU25" s="31">
        <f t="shared" si="198"/>
        <v>40657.35</v>
      </c>
      <c r="BV25" s="31">
        <f t="shared" si="198"/>
        <v>41693.30000000001</v>
      </c>
      <c r="BW25" s="31">
        <f t="shared" si="198"/>
        <v>40209.449999999997</v>
      </c>
      <c r="BX25" s="31">
        <f t="shared" si="198"/>
        <v>28538.500000000007</v>
      </c>
      <c r="BY25" s="31">
        <f t="shared" si="198"/>
        <v>27060.969999999998</v>
      </c>
      <c r="BZ25" s="31">
        <f t="shared" si="198"/>
        <v>34305.47</v>
      </c>
      <c r="CA25" s="31">
        <f t="shared" si="198"/>
        <v>32014.490000000005</v>
      </c>
      <c r="CB25" s="31">
        <f t="shared" si="198"/>
        <v>29778.799999999999</v>
      </c>
      <c r="CC25" s="31">
        <f t="shared" si="198"/>
        <v>32865.37000000001</v>
      </c>
      <c r="CD25" s="31">
        <f t="shared" si="198"/>
        <v>32596.379999999994</v>
      </c>
      <c r="CE25" s="31">
        <f t="shared" ref="CE25:CF25" si="199">CE19-CE22-CE24-CE23</f>
        <v>32348.420000000002</v>
      </c>
      <c r="CF25" s="31">
        <f t="shared" si="199"/>
        <v>29961.650000000009</v>
      </c>
      <c r="CG25" s="31">
        <f t="shared" ref="CG25:CH25" si="200">CG19-CG22-CG24-CG23</f>
        <v>29717.86</v>
      </c>
      <c r="CH25" s="31">
        <f t="shared" si="200"/>
        <v>31513.930000000008</v>
      </c>
      <c r="CI25" s="31">
        <f t="shared" ref="CI25:CJ25" si="201">CI19-CI22-CI24-CI23</f>
        <v>32599.46</v>
      </c>
      <c r="CJ25" s="31">
        <f t="shared" si="201"/>
        <v>34263.21</v>
      </c>
      <c r="CK25" s="31">
        <f t="shared" ref="CK25:CL25" si="202">CK19-CK22-CK24-CK23</f>
        <v>34560.65</v>
      </c>
      <c r="CL25" s="31">
        <f t="shared" si="202"/>
        <v>37098.929999999993</v>
      </c>
      <c r="CM25" s="32">
        <f t="shared" ref="CM25:DB25" si="203">+CM26*CM19</f>
        <v>34727.765194028754</v>
      </c>
      <c r="CN25" s="32">
        <f t="shared" si="203"/>
        <v>37353.169348599127</v>
      </c>
      <c r="CO25" s="32">
        <f t="shared" si="203"/>
        <v>40750.107328458609</v>
      </c>
      <c r="CP25" s="32">
        <f t="shared" si="203"/>
        <v>44200.619922284692</v>
      </c>
      <c r="CQ25" s="32">
        <f t="shared" si="203"/>
        <v>37346.846507515482</v>
      </c>
      <c r="CR25" s="32">
        <f t="shared" si="203"/>
        <v>40264.653858231344</v>
      </c>
      <c r="CS25" s="32">
        <f t="shared" si="203"/>
        <v>44027.270587169965</v>
      </c>
      <c r="CT25" s="32">
        <f t="shared" si="203"/>
        <v>46744.626731795179</v>
      </c>
      <c r="CU25" s="32">
        <f t="shared" si="203"/>
        <v>40068.379624036461</v>
      </c>
      <c r="CV25" s="32">
        <f t="shared" si="203"/>
        <v>43172.331862491184</v>
      </c>
      <c r="CW25" s="32">
        <f t="shared" si="203"/>
        <v>47143.271824117277</v>
      </c>
      <c r="CX25" s="32">
        <f t="shared" si="203"/>
        <v>49940.273849624456</v>
      </c>
      <c r="CY25" s="32">
        <f t="shared" si="203"/>
        <v>42915.006022313719</v>
      </c>
      <c r="CZ25" s="32">
        <f t="shared" si="203"/>
        <v>46219.985599440384</v>
      </c>
      <c r="DA25" s="32">
        <f t="shared" si="203"/>
        <v>50452.279240457705</v>
      </c>
      <c r="DB25" s="32">
        <f t="shared" si="203"/>
        <v>53438.316893706753</v>
      </c>
      <c r="DE25" s="124"/>
      <c r="DF25" s="31">
        <v>38261.163545994779</v>
      </c>
    </row>
    <row r="26" spans="1:110" s="41" customFormat="1" x14ac:dyDescent="0.2">
      <c r="A26" s="41" t="s">
        <v>6</v>
      </c>
      <c r="B26" s="41">
        <f>B25/B19</f>
        <v>0.80932090000745771</v>
      </c>
      <c r="C26" s="41">
        <f t="shared" ref="C26:U26" si="204">C25/C19</f>
        <v>0.75761240310077527</v>
      </c>
      <c r="D26" s="41">
        <f t="shared" si="204"/>
        <v>0.77987965178256757</v>
      </c>
      <c r="E26" s="41">
        <f t="shared" si="204"/>
        <v>0.77902571917365115</v>
      </c>
      <c r="F26" s="41">
        <f t="shared" si="204"/>
        <v>0.75734891968739781</v>
      </c>
      <c r="G26" s="41">
        <f t="shared" si="204"/>
        <v>0.66851571734079185</v>
      </c>
      <c r="H26" s="41">
        <f t="shared" si="204"/>
        <v>0.65390930963280736</v>
      </c>
      <c r="I26" s="41">
        <f t="shared" si="204"/>
        <v>0.55437145618196637</v>
      </c>
      <c r="J26" s="41">
        <f t="shared" si="204"/>
        <v>0.49176219306334679</v>
      </c>
      <c r="K26" s="41">
        <f t="shared" si="204"/>
        <v>0.56186089456010324</v>
      </c>
      <c r="L26" s="41">
        <f t="shared" si="204"/>
        <v>0.55052296731235351</v>
      </c>
      <c r="M26" s="41">
        <f t="shared" si="204"/>
        <v>0.50459075528387209</v>
      </c>
      <c r="N26" s="41">
        <f t="shared" si="204"/>
        <v>0.54956828494425947</v>
      </c>
      <c r="O26" s="41">
        <f t="shared" si="204"/>
        <v>0.57735899586545114</v>
      </c>
      <c r="P26" s="41">
        <f t="shared" si="204"/>
        <v>0.60014682044702305</v>
      </c>
      <c r="Q26" s="41">
        <f t="shared" si="204"/>
        <v>0.60161259698452563</v>
      </c>
      <c r="R26" s="41">
        <f t="shared" si="204"/>
        <v>0.6499990828091543</v>
      </c>
      <c r="S26" s="41">
        <f t="shared" si="204"/>
        <v>0.62485461350742844</v>
      </c>
      <c r="T26" s="41">
        <f t="shared" si="204"/>
        <v>0.61450669532417246</v>
      </c>
      <c r="U26" s="41">
        <f t="shared" si="204"/>
        <v>0.57302644911574141</v>
      </c>
      <c r="V26" s="41">
        <f>V25/V19</f>
        <v>0.63817407497823975</v>
      </c>
      <c r="W26" s="41">
        <f>W25/W19</f>
        <v>0.65781675679581952</v>
      </c>
      <c r="X26" s="41">
        <f>X25/X19</f>
        <v>0.53467413900376448</v>
      </c>
      <c r="Y26" s="41">
        <f>Y25/Y19</f>
        <v>0.55528475314348535</v>
      </c>
      <c r="Z26" s="41">
        <f>Z25/Z19</f>
        <v>0.5652989891989435</v>
      </c>
      <c r="AA26" s="41">
        <f>AA25/AA19</f>
        <v>0.59671872922858515</v>
      </c>
      <c r="AB26" s="42">
        <f t="shared" ref="AA26:AD26" si="205">AB25/AB19</f>
        <v>0.61071851126354804</v>
      </c>
      <c r="AC26" s="42">
        <f t="shared" si="205"/>
        <v>0.6201650194731918</v>
      </c>
      <c r="AD26" s="42">
        <f t="shared" si="205"/>
        <v>0.62091011684073327</v>
      </c>
      <c r="AE26" s="42">
        <f t="shared" ref="AE26" si="206">AE25/AE19</f>
        <v>0.62107254282346835</v>
      </c>
      <c r="AI26" s="41">
        <f t="shared" ref="AI26" si="207">AI25/AI19</f>
        <v>0.5550196326564405</v>
      </c>
      <c r="AJ26" s="41">
        <f t="shared" ref="AJ26" si="208">AJ25/AJ19</f>
        <v>0.51667651547356452</v>
      </c>
      <c r="AK26" s="41">
        <f t="shared" ref="AK26:AM26" si="209">AK25/AK19</f>
        <v>0.56642292026010421</v>
      </c>
      <c r="AL26" s="41">
        <f t="shared" si="209"/>
        <v>0.56513115117919022</v>
      </c>
      <c r="AM26" s="41">
        <f t="shared" si="209"/>
        <v>0.5982717767740624</v>
      </c>
      <c r="AN26" s="41">
        <f t="shared" ref="AN26:AO26" si="210">AN25/AN19</f>
        <v>0.57628444238746512</v>
      </c>
      <c r="AO26" s="41">
        <f t="shared" si="210"/>
        <v>0.59400634040563149</v>
      </c>
      <c r="AP26" s="41">
        <f t="shared" ref="AP26:CD26" si="211">AP25/AP19</f>
        <v>0.54943981634791128</v>
      </c>
      <c r="AQ26" s="41">
        <f t="shared" si="211"/>
        <v>0.60067542916407812</v>
      </c>
      <c r="AR26" s="41">
        <f t="shared" si="211"/>
        <v>0.60599332925437532</v>
      </c>
      <c r="AS26" s="41">
        <f t="shared" si="211"/>
        <v>0.59592640968470767</v>
      </c>
      <c r="AT26" s="41">
        <f t="shared" si="211"/>
        <v>0.6009514592983225</v>
      </c>
      <c r="AU26" s="41">
        <f t="shared" si="211"/>
        <v>0.62381430730897502</v>
      </c>
      <c r="AV26" s="41">
        <f t="shared" si="211"/>
        <v>0.59555866502989718</v>
      </c>
      <c r="AW26" s="41">
        <f t="shared" si="211"/>
        <v>0.58976699949364453</v>
      </c>
      <c r="AX26" s="41">
        <f t="shared" si="211"/>
        <v>0.60353472502086281</v>
      </c>
      <c r="AY26" s="41">
        <f t="shared" si="211"/>
        <v>0.67179471460445039</v>
      </c>
      <c r="AZ26" s="41">
        <f t="shared" si="211"/>
        <v>0.63960992366058811</v>
      </c>
      <c r="BA26" s="41">
        <f t="shared" si="211"/>
        <v>0.66122806960508407</v>
      </c>
      <c r="BB26" s="41">
        <f t="shared" si="211"/>
        <v>0.63234649511454533</v>
      </c>
      <c r="BC26" s="41">
        <f t="shared" si="211"/>
        <v>0.62674101376086611</v>
      </c>
      <c r="BD26" s="41">
        <f t="shared" si="211"/>
        <v>0.55983371190488951</v>
      </c>
      <c r="BE26" s="41">
        <f t="shared" si="211"/>
        <v>0.60749762307678512</v>
      </c>
      <c r="BF26" s="41">
        <f t="shared" si="211"/>
        <v>0.64202793289790905</v>
      </c>
      <c r="BG26" s="41">
        <f t="shared" si="211"/>
        <v>0.65012390798690922</v>
      </c>
      <c r="BH26" s="41">
        <f t="shared" si="211"/>
        <v>0.61546205164368373</v>
      </c>
      <c r="BI26" s="41">
        <f t="shared" si="211"/>
        <v>0.61753163390631771</v>
      </c>
      <c r="BJ26" s="41">
        <f t="shared" si="211"/>
        <v>0.58101573029894038</v>
      </c>
      <c r="BK26" s="41">
        <f t="shared" si="211"/>
        <v>0.61715670606065409</v>
      </c>
      <c r="BL26" s="41">
        <f t="shared" si="211"/>
        <v>0.57061792674088863</v>
      </c>
      <c r="BM26" s="41">
        <f t="shared" si="211"/>
        <v>0.51831158480434225</v>
      </c>
      <c r="BN26" s="41">
        <f t="shared" si="211"/>
        <v>0.63288166385582412</v>
      </c>
      <c r="BO26" s="41">
        <f t="shared" si="211"/>
        <v>0.56494057591664137</v>
      </c>
      <c r="BP26" s="41">
        <f t="shared" si="211"/>
        <v>0.57996417046353943</v>
      </c>
      <c r="BQ26" s="41">
        <f t="shared" si="211"/>
        <v>0.65936285999283184</v>
      </c>
      <c r="BR26" s="41">
        <f t="shared" si="211"/>
        <v>0.69970538716332353</v>
      </c>
      <c r="BS26" s="41">
        <f t="shared" si="211"/>
        <v>0.6883152347226984</v>
      </c>
      <c r="BT26" s="41">
        <f t="shared" si="211"/>
        <v>0.68439583070101195</v>
      </c>
      <c r="BU26" s="41">
        <f t="shared" si="211"/>
        <v>0.66889223009484045</v>
      </c>
      <c r="BV26" s="41">
        <f t="shared" si="211"/>
        <v>0.60143097218115082</v>
      </c>
      <c r="BW26" s="41">
        <f t="shared" si="211"/>
        <v>0.63391779324853337</v>
      </c>
      <c r="BX26" s="41">
        <f t="shared" si="211"/>
        <v>0.47661459592848876</v>
      </c>
      <c r="BY26" s="41">
        <f t="shared" si="211"/>
        <v>0.4740589059266801</v>
      </c>
      <c r="BZ26" s="41">
        <f t="shared" si="211"/>
        <v>0.54486389627699705</v>
      </c>
      <c r="CA26" s="41">
        <f t="shared" si="211"/>
        <v>0.53815217636140467</v>
      </c>
      <c r="CB26" s="41">
        <f t="shared" si="211"/>
        <v>0.53480186480605107</v>
      </c>
      <c r="CC26" s="41">
        <f t="shared" si="211"/>
        <v>0.59418284100992425</v>
      </c>
      <c r="CD26" s="41">
        <f t="shared" si="211"/>
        <v>0.55542467357934777</v>
      </c>
      <c r="CE26" s="41">
        <f t="shared" ref="CE26:CF26" si="212">CE25/CE19</f>
        <v>0.59060797982304269</v>
      </c>
      <c r="CF26" s="41">
        <f t="shared" si="212"/>
        <v>0.5558261977478407</v>
      </c>
      <c r="CG26" s="41">
        <f t="shared" ref="CG26:CH26" si="213">CG25/CG19</f>
        <v>0.55393852181709402</v>
      </c>
      <c r="CH26" s="41">
        <f t="shared" si="213"/>
        <v>0.56056544768225058</v>
      </c>
      <c r="CI26" s="41">
        <f t="shared" ref="CI26:CJ26" si="214">CI25/CI19</f>
        <v>0.61302392788613058</v>
      </c>
      <c r="CJ26" s="41">
        <f t="shared" si="214"/>
        <v>0.58380685811670241</v>
      </c>
      <c r="CK26" s="41">
        <f t="shared" ref="CK26:CL26" si="215">CK25/CK19</f>
        <v>0.60630166449131973</v>
      </c>
      <c r="CL26" s="41">
        <f t="shared" si="215"/>
        <v>0.58635773310407291</v>
      </c>
      <c r="CM26" s="42">
        <f>AVERAGE(CI26:CL26)*1.02</f>
        <v>0.60931999681754745</v>
      </c>
      <c r="CN26" s="42">
        <f>AVERAGE(CJ26:CM26)*1.02</f>
        <v>0.60837549439505889</v>
      </c>
      <c r="CO26" s="42">
        <f t="shared" ref="CO26:CP26" si="216">AVERAGE(CK26:CN26)*1.015</f>
        <v>0.61162755303502958</v>
      </c>
      <c r="CP26" s="42">
        <f t="shared" si="216"/>
        <v>0.61297899725299609</v>
      </c>
      <c r="CQ26" s="42">
        <f>AVERAGE(CM26:CP26)*1.01</f>
        <v>0.61668126547890956</v>
      </c>
      <c r="CR26" s="42">
        <f t="shared" ref="CR26:CT26" si="217">AVERAGE(CN26:CQ26)*1.01</f>
        <v>0.61853998581590353</v>
      </c>
      <c r="CS26" s="42">
        <f t="shared" si="217"/>
        <v>0.62110651989966681</v>
      </c>
      <c r="CT26" s="42">
        <f t="shared" si="217"/>
        <v>0.62349995903298772</v>
      </c>
      <c r="CU26" s="42">
        <f t="shared" ref="CU26:DB26" si="218">AVERAGE(CQ26:CT26)</f>
        <v>0.6199569325568669</v>
      </c>
      <c r="CV26" s="42">
        <f t="shared" si="218"/>
        <v>0.62077584932635621</v>
      </c>
      <c r="CW26" s="42">
        <f t="shared" si="218"/>
        <v>0.62133481520396949</v>
      </c>
      <c r="CX26" s="42">
        <f t="shared" si="218"/>
        <v>0.62139188903004505</v>
      </c>
      <c r="CY26" s="42">
        <f t="shared" si="218"/>
        <v>0.62086487152930936</v>
      </c>
      <c r="CZ26" s="42">
        <f t="shared" si="218"/>
        <v>0.62109185627242003</v>
      </c>
      <c r="DA26" s="42">
        <f t="shared" si="218"/>
        <v>0.6211708580089359</v>
      </c>
      <c r="DB26" s="42">
        <f t="shared" si="218"/>
        <v>0.62112986871017761</v>
      </c>
      <c r="DE26" s="125"/>
      <c r="DF26" s="41">
        <v>0.60865220878042381</v>
      </c>
    </row>
    <row r="27" spans="1:110" s="39" customFormat="1" x14ac:dyDescent="0.2">
      <c r="A27" s="39" t="s">
        <v>447</v>
      </c>
      <c r="C27" s="39">
        <f t="shared" ref="C27:AE27" si="219">+IF(B25&lt;0,1-C25/B25,C25/B25-1)</f>
        <v>1.5350619643951013E-2</v>
      </c>
      <c r="D27" s="39">
        <f t="shared" si="219"/>
        <v>0.26799641966762677</v>
      </c>
      <c r="E27" s="39">
        <f t="shared" si="219"/>
        <v>0.21675306850491638</v>
      </c>
      <c r="F27" s="39">
        <f t="shared" si="219"/>
        <v>0.39750430213191978</v>
      </c>
      <c r="G27" s="39">
        <f t="shared" si="219"/>
        <v>0.1212508861860615</v>
      </c>
      <c r="H27" s="39">
        <f t="shared" si="219"/>
        <v>0.2135294026720802</v>
      </c>
      <c r="I27" s="39">
        <f t="shared" si="219"/>
        <v>3.4228916678443877</v>
      </c>
      <c r="J27" s="39">
        <f t="shared" si="219"/>
        <v>-6.4116796713692414E-3</v>
      </c>
      <c r="K27" s="39">
        <f t="shared" si="219"/>
        <v>-0.2059361256220763</v>
      </c>
      <c r="L27" s="39">
        <f t="shared" si="219"/>
        <v>0.13637295154985951</v>
      </c>
      <c r="M27" s="39">
        <f t="shared" si="219"/>
        <v>2.5753055540600034E-2</v>
      </c>
      <c r="N27" s="39">
        <f t="shared" si="219"/>
        <v>0.10398500088577434</v>
      </c>
      <c r="O27" s="39">
        <f t="shared" si="219"/>
        <v>0.15898517948503921</v>
      </c>
      <c r="P27" s="39">
        <f t="shared" si="219"/>
        <v>-2.4249047560719994E-2</v>
      </c>
      <c r="Q27" s="39">
        <f t="shared" si="219"/>
        <v>-0.26730450229041747</v>
      </c>
      <c r="R27" s="39">
        <f t="shared" si="219"/>
        <v>0.18993545501168341</v>
      </c>
      <c r="S27" s="39">
        <f t="shared" si="219"/>
        <v>5.504837897420245E-2</v>
      </c>
      <c r="T27" s="39">
        <f t="shared" si="219"/>
        <v>0.25808583643617422</v>
      </c>
      <c r="U27" s="39">
        <f t="shared" si="219"/>
        <v>-0.11893983454202328</v>
      </c>
      <c r="V27" s="39">
        <f t="shared" si="219"/>
        <v>0.16980186079192228</v>
      </c>
      <c r="W27" s="39">
        <f t="shared" si="219"/>
        <v>0.60705707260437669</v>
      </c>
      <c r="X27" s="39">
        <f t="shared" si="219"/>
        <v>-0.1892195827241987</v>
      </c>
      <c r="Y27" s="39">
        <f t="shared" si="219"/>
        <v>-2.1975663106901688E-2</v>
      </c>
      <c r="Z27" s="39">
        <f t="shared" si="219"/>
        <v>-2.9179040767265407E-2</v>
      </c>
      <c r="AA27" s="39">
        <f t="shared" si="219"/>
        <v>0.12125760450749246</v>
      </c>
      <c r="AB27" s="40">
        <f t="shared" si="219"/>
        <v>0.13362049629840111</v>
      </c>
      <c r="AC27" s="40">
        <f t="shared" si="219"/>
        <v>7.2289471828157925E-2</v>
      </c>
      <c r="AD27" s="40">
        <f t="shared" si="219"/>
        <v>7.0914707980391123E-2</v>
      </c>
      <c r="AE27" s="40">
        <f t="shared" si="219"/>
        <v>7.0436062211865602E-2</v>
      </c>
      <c r="AM27" s="39">
        <f>+IF(AI25&lt;0,1-AM25/AI25,AM25/AI25-1)</f>
        <v>4.553462362750138E-2</v>
      </c>
      <c r="AN27" s="39">
        <f t="shared" ref="AN27" si="220">+IF(AJ25&lt;0,1-AN25/AJ25,AN25/AJ25-1)</f>
        <v>0.19745877368365505</v>
      </c>
      <c r="AO27" s="39">
        <f t="shared" ref="AO27" si="221">+IF(AK25&lt;0,1-AO25/AK25,AO25/AK25-1)</f>
        <v>0.19988155867464497</v>
      </c>
      <c r="AP27" s="39">
        <f t="shared" ref="AP27" si="222">+IF(AL25&lt;0,1-AP25/AL25,AP25/AL25-1)</f>
        <v>0.19046004352963886</v>
      </c>
      <c r="AQ27" s="39">
        <f t="shared" ref="AQ27" si="223">+IF(AM25&lt;0,1-AQ25/AM25,AQ25/AM25-1)</f>
        <v>0.11488481202149381</v>
      </c>
      <c r="AR27" s="39">
        <f t="shared" ref="AR27" si="224">+IF(AN25&lt;0,1-AR25/AN25,AR25/AN25-1)</f>
        <v>2.6650875940198882E-2</v>
      </c>
      <c r="AS27" s="39">
        <f t="shared" ref="AS27" si="225">+IF(AO25&lt;0,1-AS25/AO25,AS25/AO25-1)</f>
        <v>-8.1497398643802788E-2</v>
      </c>
      <c r="AT27" s="39">
        <f t="shared" ref="AT27" si="226">+IF(AP25&lt;0,1-AT25/AP25,AT25/AP25-1)</f>
        <v>-0.13211929137607525</v>
      </c>
      <c r="AU27" s="39">
        <f t="shared" ref="AU27" si="227">+IF(AQ25&lt;0,1-AU25/AQ25,AU25/AQ25-1)</f>
        <v>-0.23201573242087969</v>
      </c>
      <c r="AV27" s="39">
        <f t="shared" ref="AV27" si="228">+IF(AR25&lt;0,1-AV25/AR25,AV25/AR25-1)</f>
        <v>-0.2752075695007864</v>
      </c>
      <c r="AW27" s="39">
        <f t="shared" ref="AW27" si="229">+IF(AS25&lt;0,1-AW25/AS25,AW25/AS25-1)</f>
        <v>-0.27418446305006317</v>
      </c>
      <c r="AX27" s="39">
        <f t="shared" ref="AX27" si="230">+IF(AT25&lt;0,1-AX25/AT25,AX25/AT25-1)</f>
        <v>-0.22573243823813494</v>
      </c>
      <c r="AY27" s="39">
        <f t="shared" ref="AY27" si="231">+IF(AU25&lt;0,1-AY25/AU25,AY25/AU25-1)</f>
        <v>-8.7769672004811561E-3</v>
      </c>
      <c r="AZ27" s="39">
        <f t="shared" ref="AZ27" si="232">+IF(AV25&lt;0,1-AZ25/AV25,AZ25/AV25-1)</f>
        <v>5.5070637647957277E-2</v>
      </c>
      <c r="BA27" s="39">
        <f t="shared" ref="BA27" si="233">+IF(AW25&lt;0,1-BA25/AW25,BA25/AW25-1)</f>
        <v>0.25830677086806175</v>
      </c>
      <c r="BB27" s="39">
        <f t="shared" ref="BB27" si="234">+IF(AX25&lt;0,1-BB25/AX25,BB25/AX25-1)</f>
        <v>0.36666266618490728</v>
      </c>
      <c r="BC27" s="39">
        <f t="shared" ref="BC27" si="235">+IF(AY25&lt;0,1-BC25/AY25,BC25/AY25-1)</f>
        <v>0.11591237650629882</v>
      </c>
      <c r="BD27" s="39">
        <f t="shared" ref="BD27" si="236">+IF(AZ25&lt;0,1-BD25/AZ25,BD25/AZ25-1)</f>
        <v>9.621228296836204E-2</v>
      </c>
      <c r="BE27" s="39">
        <f t="shared" ref="BE27" si="237">+IF(BA25&lt;0,1-BE25/BA25,BE25/BA25-1)</f>
        <v>0.10999891833896203</v>
      </c>
      <c r="BF27" s="39">
        <f t="shared" ref="BF27" si="238">+IF(BB25&lt;0,1-BF25/BB25,BF25/BB25-1)</f>
        <v>1.079572711174559E-2</v>
      </c>
      <c r="BG27" s="39">
        <f t="shared" ref="BG27" si="239">+IF(BC25&lt;0,1-BG25/BC25,BG25/BC25-1)</f>
        <v>0.24145928648592796</v>
      </c>
      <c r="BH27" s="39">
        <f t="shared" ref="BH27" si="240">+IF(BD25&lt;0,1-BH25/BD25,BH25/BD25-1)</f>
        <v>0.38494166558456522</v>
      </c>
      <c r="BI27" s="39">
        <f t="shared" ref="BI27" si="241">+IF(BE25&lt;0,1-BI25/BE25,BI25/BE25-1)</f>
        <v>0.18085628383270014</v>
      </c>
      <c r="BJ27" s="39">
        <f t="shared" ref="BJ27" si="242">+IF(BF25&lt;0,1-BJ25/BF25,BJ25/BF25-1)</f>
        <v>0.13906640560195482</v>
      </c>
      <c r="BK27" s="39">
        <f t="shared" ref="BK27" si="243">+IF(BG25&lt;0,1-BK25/BG25,BK25/BG25-1)</f>
        <v>-3.8592796271378016E-2</v>
      </c>
      <c r="BL27" s="39">
        <f t="shared" ref="BL27" si="244">+IF(BH25&lt;0,1-BL25/BH25,BL25/BH25-1)</f>
        <v>-0.21609096308597497</v>
      </c>
      <c r="BM27" s="39">
        <f t="shared" ref="BM27" si="245">+IF(BI25&lt;0,1-BM25/BI25,BM25/BI25-1)</f>
        <v>-0.23268218475837177</v>
      </c>
      <c r="BN27" s="39">
        <f t="shared" ref="BN27" si="246">+IF(BJ25&lt;0,1-BN25/BJ25,BN25/BJ25-1)</f>
        <v>-7.5429643396285773E-2</v>
      </c>
      <c r="BO27" s="39">
        <f t="shared" ref="BO27" si="247">+IF(BK25&lt;0,1-BO25/BK25,BO25/BK25-1)</f>
        <v>-0.35129186387198563</v>
      </c>
      <c r="BP27" s="39">
        <f t="shared" ref="BP27" si="248">+IF(BL25&lt;0,1-BP25/BL25,BP25/BL25-1)</f>
        <v>0.14455413932037597</v>
      </c>
      <c r="BQ27" s="39">
        <f t="shared" ref="BQ27" si="249">+IF(BM25&lt;0,1-BQ25/BM25,BQ25/BM25-1)</f>
        <v>0.50187717537250176</v>
      </c>
      <c r="BR27" s="39">
        <f t="shared" ref="BR27" si="250">+IF(BN25&lt;0,1-BR25/BN25,BR25/BN25-1)</f>
        <v>0.53600820020649764</v>
      </c>
      <c r="BS27" s="39">
        <f t="shared" ref="BS27" si="251">+IF(BO25&lt;0,1-BS25/BO25,BS25/BO25-1)</f>
        <v>1.5571232921449267</v>
      </c>
      <c r="BT27" s="39">
        <f t="shared" ref="BT27" si="252">+IF(BP25&lt;0,1-BT25/BP25,BT25/BP25-1)</f>
        <v>0.83001775168627745</v>
      </c>
      <c r="BU27" s="39">
        <f t="shared" ref="BU27" si="253">+IF(BQ25&lt;0,1-BU25/BQ25,BU25/BQ25-1)</f>
        <v>0.47040091831907649</v>
      </c>
      <c r="BV27" s="39">
        <f t="shared" ref="BV27" si="254">+IF(BR25&lt;0,1-BV25/BR25,BV25/BR25-1)</f>
        <v>0.19106290736897935</v>
      </c>
      <c r="BW27" s="39">
        <f t="shared" ref="BW27" si="255">+IF(BS25&lt;0,1-BW25/BS25,BW25/BS25-1)</f>
        <v>9.2616328818700078E-2</v>
      </c>
      <c r="BX27" s="39">
        <f t="shared" ref="BX27" si="256">+IF(BT25&lt;0,1-BX25/BT25,BX25/BT25-1)</f>
        <v>-0.30947501373137787</v>
      </c>
      <c r="BY27" s="39">
        <f t="shared" ref="BY27" si="257">+IF(BU25&lt;0,1-BY25/BU25,BY25/BU25-1)</f>
        <v>-0.33441382677424869</v>
      </c>
      <c r="BZ27" s="39">
        <f t="shared" ref="BZ27" si="258">+IF(BV25&lt;0,1-BZ25/BV25,BZ25/BV25-1)</f>
        <v>-0.17719465717513383</v>
      </c>
      <c r="CA27" s="39">
        <f t="shared" ref="CA27" si="259">+IF(BW25&lt;0,1-CA25/BW25,CA25/BW25-1)</f>
        <v>-0.20380681655680422</v>
      </c>
      <c r="CB27" s="39">
        <f t="shared" ref="CB27" si="260">+IF(BX25&lt;0,1-CB25/BX25,CB25/BX25-1)</f>
        <v>4.3460588328047889E-2</v>
      </c>
      <c r="CC27" s="39">
        <f t="shared" ref="CC27" si="261">+IF(BY25&lt;0,1-CC25/BY25,CC25/BY25-1)</f>
        <v>0.21449341985893389</v>
      </c>
      <c r="CD27" s="39">
        <f t="shared" ref="CD27" si="262">+IF(BZ25&lt;0,1-CD25/BZ25,CD25/BZ25-1)</f>
        <v>-4.9819751777194887E-2</v>
      </c>
      <c r="CE27" s="39">
        <f t="shared" ref="CE27" si="263">+IF(CA25&lt;0,1-CE25/CA25,CE25/CA25-1)</f>
        <v>1.0430589398737755E-2</v>
      </c>
      <c r="CF27" s="39">
        <f t="shared" ref="CF27" si="264">+IF(CB25&lt;0,1-CF25/CB25,CF25/CB25-1)</f>
        <v>6.1402742890919182E-3</v>
      </c>
      <c r="CG27" s="39">
        <f t="shared" ref="CG27" si="265">+IF(CC25&lt;0,1-CG25/CC25,CG25/CC25-1)</f>
        <v>-9.5769802682885041E-2</v>
      </c>
      <c r="CH27" s="39">
        <f t="shared" ref="CH27:CL27" si="266">+IF(CD25&lt;0,1-CH25/CD25,CH25/CD25-1)</f>
        <v>-3.3207675208105525E-2</v>
      </c>
      <c r="CI27" s="39">
        <f t="shared" si="266"/>
        <v>7.7605026767921803E-3</v>
      </c>
      <c r="CJ27" s="39">
        <f t="shared" si="266"/>
        <v>0.14356886219550624</v>
      </c>
      <c r="CK27" s="39">
        <f t="shared" si="266"/>
        <v>0.16295890753910269</v>
      </c>
      <c r="CL27" s="39">
        <f t="shared" si="266"/>
        <v>0.17722321525750617</v>
      </c>
      <c r="CM27" s="40">
        <f t="shared" ref="CM27" si="267">+CM25/CI25-1</f>
        <v>6.5286516832755881E-2</v>
      </c>
      <c r="CN27" s="40">
        <f t="shared" ref="CN27" si="268">+CN25/CJ25-1</f>
        <v>9.0183008206152548E-2</v>
      </c>
      <c r="CO27" s="40">
        <f t="shared" ref="CO27" si="269">+CO25/CK25-1</f>
        <v>0.17908972569840587</v>
      </c>
      <c r="CP27" s="40">
        <f t="shared" ref="CP27" si="270">+CP25/CL25-1</f>
        <v>0.19142573444260247</v>
      </c>
      <c r="CQ27" s="40">
        <f t="shared" ref="CQ27" si="271">+CQ25/CM25-1</f>
        <v>7.5417502360245914E-2</v>
      </c>
      <c r="CR27" s="40">
        <f t="shared" ref="CR27" si="272">+CR25/CN25-1</f>
        <v>7.794477845937875E-2</v>
      </c>
      <c r="CS27" s="40">
        <f t="shared" ref="CS27" si="273">+CS25/CO25-1</f>
        <v>8.0420972447910355E-2</v>
      </c>
      <c r="CT27" s="40">
        <f t="shared" ref="CT27" si="274">+CT25/CP25-1</f>
        <v>5.7555907903180215E-2</v>
      </c>
      <c r="CU27" s="40">
        <f t="shared" ref="CU27" si="275">+CU25/CQ25-1</f>
        <v>7.2871831788349661E-2</v>
      </c>
      <c r="CV27" s="40">
        <f t="shared" ref="CV27" si="276">+CV25/CR25-1</f>
        <v>7.2214156229867044E-2</v>
      </c>
      <c r="CW27" s="40">
        <f t="shared" ref="CW27" si="277">+CW25/CS25-1</f>
        <v>7.0774344977345693E-2</v>
      </c>
      <c r="CX27" s="40">
        <f t="shared" ref="CX27" si="278">+CX25/CT25-1</f>
        <v>6.8363945575281138E-2</v>
      </c>
      <c r="CY27" s="40">
        <f t="shared" ref="CY27" si="279">+CY25/CU25-1</f>
        <v>7.1044210546752584E-2</v>
      </c>
      <c r="CZ27" s="40">
        <f t="shared" ref="CZ27" si="280">+CZ25/CV25-1</f>
        <v>7.0592752475273413E-2</v>
      </c>
      <c r="DA27" s="40">
        <f t="shared" ref="DA27" si="281">+DA25/CW25-1</f>
        <v>7.0190448993139753E-2</v>
      </c>
      <c r="DB27" s="40">
        <f t="shared" ref="DB27" si="282">+DB25/CX25-1</f>
        <v>7.0044530685099637E-2</v>
      </c>
      <c r="DE27" s="122"/>
      <c r="DF27" s="39">
        <v>0.21410320915210423</v>
      </c>
    </row>
    <row r="28" spans="1:110" s="39" customFormat="1" x14ac:dyDescent="0.2">
      <c r="A28" s="39" t="s">
        <v>448</v>
      </c>
      <c r="AB28" s="40"/>
      <c r="AC28" s="40"/>
      <c r="AD28" s="40"/>
      <c r="AE28" s="40"/>
      <c r="AJ28" s="39">
        <f>+IF(AI25&lt;0,1-AJ25/AI25,AJ25/AI25-1)</f>
        <v>-6.050950833261004E-2</v>
      </c>
      <c r="AK28" s="39">
        <f t="shared" ref="AK28" si="283">+IF(AJ25&lt;0,1-AK25/AJ25,AK25/AJ25-1)</f>
        <v>3.1223243012137969E-2</v>
      </c>
      <c r="AL28" s="39">
        <f t="shared" ref="AL28" si="284">+IF(AK25&lt;0,1-AL25/AK25,AL25/AK25-1)</f>
        <v>7.6752618191135769E-2</v>
      </c>
      <c r="AM28" s="39">
        <f t="shared" ref="AM28" si="285">+IF(AL25&lt;0,1-AM25/AL25,AM25/AL25-1)</f>
        <v>2.2530826685240868E-3</v>
      </c>
      <c r="AN28" s="39">
        <f t="shared" ref="AN28" si="286">+IF(AM25&lt;0,1-AN25/AM25,AN25/AM25-1)</f>
        <v>7.6005621063294004E-2</v>
      </c>
      <c r="AO28" s="39">
        <f t="shared" ref="AO28" si="287">+IF(AN25&lt;0,1-AO25/AN25,AO25/AN25-1)</f>
        <v>3.3309688283104544E-2</v>
      </c>
      <c r="AP28" s="39">
        <f t="shared" ref="AP28" si="288">+IF(AO25&lt;0,1-AP25/AO25,AP25/AO25-1)</f>
        <v>6.8297916119609337E-2</v>
      </c>
      <c r="AQ28" s="39">
        <f t="shared" ref="AQ28" si="289">+IF(AP25&lt;0,1-AQ25/AP25,AQ25/AP25-1)</f>
        <v>-6.1374007685424337E-2</v>
      </c>
      <c r="AR28" s="39">
        <f t="shared" ref="AR28" si="290">+IF(AQ25&lt;0,1-AR25/AQ25,AR25/AQ25-1)</f>
        <v>-9.1513477717809488E-3</v>
      </c>
      <c r="AS28" s="39">
        <f t="shared" ref="AS28" si="291">+IF(AR25&lt;0,1-AS25/AR25,AS25/AR25-1)</f>
        <v>-7.5540031244393013E-2</v>
      </c>
      <c r="AT28" s="39">
        <f t="shared" ref="AT28" si="292">+IF(AS25&lt;0,1-AT25/AS25,AT25/AS25-1)</f>
        <v>9.420279370331297E-3</v>
      </c>
      <c r="AU28" s="39">
        <f t="shared" ref="AU28" si="293">+IF(AT25&lt;0,1-AU25/AT25,AU25/AT25-1)</f>
        <v>-0.16941350570934577</v>
      </c>
      <c r="AV28" s="39">
        <f t="shared" ref="AV28" si="294">+IF(AU25&lt;0,1-AV25/AU25,AV25/AU25-1)</f>
        <v>-6.4877194464958654E-2</v>
      </c>
      <c r="AW28" s="39">
        <f t="shared" ref="AW28" si="295">+IF(AV25&lt;0,1-AW25/AV25,AW25/AV25-1)</f>
        <v>-7.4235077001399863E-2</v>
      </c>
      <c r="AX28" s="39">
        <f t="shared" ref="AX28" si="296">+IF(AW25&lt;0,1-AX25/AW25,AX25/AW25-1)</f>
        <v>7.6804420287513553E-2</v>
      </c>
      <c r="AY28" s="39">
        <f t="shared" ref="AY28" si="297">+IF(AX25&lt;0,1-AY25/AX25,AY25/AX25-1)</f>
        <v>6.3322944848252405E-2</v>
      </c>
      <c r="AZ28" s="39">
        <f t="shared" ref="AZ28" si="298">+IF(AY25&lt;0,1-AZ25/AY25,AZ25/AY25-1)</f>
        <v>-4.6431710444795327E-3</v>
      </c>
      <c r="BA28" s="39">
        <f t="shared" ref="BA28" si="299">+IF(AZ25&lt;0,1-BA25/AZ25,BA25/AZ25-1)</f>
        <v>0.1040931566801655</v>
      </c>
      <c r="BB28" s="39">
        <f t="shared" ref="BB28" si="300">+IF(BA25&lt;0,1-BB25/BA25,BB25/BA25-1)</f>
        <v>0.16953070114579605</v>
      </c>
      <c r="BC28" s="39">
        <f t="shared" ref="BC28" si="301">+IF(BB25&lt;0,1-BC25/BB25,BC25/BB25-1)</f>
        <v>-0.13177167728473849</v>
      </c>
      <c r="BD28" s="39">
        <f t="shared" ref="BD28" si="302">+IF(BC25&lt;0,1-BD25/BC25,BD25/BC25-1)</f>
        <v>-2.2215001097515175E-2</v>
      </c>
      <c r="BE28" s="39">
        <f t="shared" ref="BE28" si="303">+IF(BD25&lt;0,1-BE25/BD25,BE25/BD25-1)</f>
        <v>0.11797890673316269</v>
      </c>
      <c r="BF28" s="39">
        <f t="shared" ref="BF28" si="304">+IF(BE25&lt;0,1-BF25/BE25,BF25/BE25-1)</f>
        <v>6.5007015694386272E-2</v>
      </c>
      <c r="BG28" s="39">
        <f t="shared" ref="BG28" si="305">+IF(BF25&lt;0,1-BG25/BF25,BG25/BF25-1)</f>
        <v>6.6358004010242277E-2</v>
      </c>
      <c r="BH28" s="39">
        <f t="shared" ref="BH28" si="306">+IF(BG25&lt;0,1-BH25/BG25,BH25/BG25-1)</f>
        <v>9.0793068854263526E-2</v>
      </c>
      <c r="BI28" s="39">
        <f t="shared" ref="BI28" si="307">+IF(BH25&lt;0,1-BI25/BH25,BI25/BH25-1)</f>
        <v>-4.6766770027790061E-2</v>
      </c>
      <c r="BJ28" s="39">
        <f t="shared" ref="BJ28" si="308">+IF(BI25&lt;0,1-BJ25/BI25,BJ25/BI25-1)</f>
        <v>2.7316981682539154E-2</v>
      </c>
      <c r="BK28" s="39">
        <f t="shared" ref="BK28" si="309">+IF(BJ25&lt;0,1-BK25/BJ25,BK25/BJ25-1)</f>
        <v>-9.9960931367000683E-2</v>
      </c>
      <c r="BL28" s="39">
        <f t="shared" ref="BL28" si="310">+IF(BK25&lt;0,1-BL25/BK25,BL25/BK25-1)</f>
        <v>-0.11059274284426412</v>
      </c>
      <c r="BM28" s="39">
        <f t="shared" ref="BM28" si="311">+IF(BL25&lt;0,1-BM25/BL25,BM25/BL25-1)</f>
        <v>-6.6941692218026705E-2</v>
      </c>
      <c r="BN28" s="39">
        <f t="shared" ref="BN28" si="312">+IF(BM25&lt;0,1-BN25/BM25,BN25/BM25-1)</f>
        <v>0.237853219659935</v>
      </c>
      <c r="BO28" s="39">
        <f t="shared" ref="BO28" si="313">+IF(BN25&lt;0,1-BO25/BN25,BO25/BN25-1)</f>
        <v>-0.3685038001866634</v>
      </c>
      <c r="BP28" s="39">
        <f t="shared" ref="BP28" si="314">+IF(BO25&lt;0,1-BP25/BO25,BP25/BO25-1)</f>
        <v>0.56923383726190102</v>
      </c>
      <c r="BQ28" s="39">
        <f t="shared" ref="BQ28" si="315">+IF(BP25&lt;0,1-BQ25/BP25,BQ25/BP25-1)</f>
        <v>0.22435359552457368</v>
      </c>
      <c r="BR28" s="39">
        <f t="shared" ref="BR28" si="316">+IF(BQ25&lt;0,1-BR25/BQ25,BR25/BQ25-1)</f>
        <v>0.26598414785689384</v>
      </c>
      <c r="BS28" s="39">
        <f t="shared" ref="BS28" si="317">+IF(BR25&lt;0,1-BS25/BR25,BS25/BR25-1)</f>
        <v>5.1305351902807272E-2</v>
      </c>
      <c r="BT28" s="39">
        <f t="shared" ref="BT28" si="318">+IF(BS25&lt;0,1-BT25/BS25,BT25/BS25-1)</f>
        <v>0.12302984668652317</v>
      </c>
      <c r="BU28" s="39">
        <f t="shared" ref="BU28" si="319">+IF(BT25&lt;0,1-BU25/BT25,BU25/BT25-1)</f>
        <v>-1.6244159627571308E-2</v>
      </c>
      <c r="BV28" s="39">
        <f t="shared" ref="BV28" si="320">+IF(BU25&lt;0,1-BV25/BU25,BV25/BU25-1)</f>
        <v>2.5480017758167106E-2</v>
      </c>
      <c r="BW28" s="39">
        <f t="shared" ref="BW28" si="321">+IF(BV25&lt;0,1-BW25/BV25,BW25/BV25-1)</f>
        <v>-3.5589651095020325E-2</v>
      </c>
      <c r="BX28" s="39">
        <f t="shared" ref="BX28" si="322">+IF(BW25&lt;0,1-BX25/BW25,BX25/BW25-1)</f>
        <v>-0.29025390797436901</v>
      </c>
      <c r="BY28" s="39">
        <f t="shared" ref="BY28" si="323">+IF(BX25&lt;0,1-BY25/BX25,BY25/BX25-1)</f>
        <v>-5.1773218634476592E-2</v>
      </c>
      <c r="BZ28" s="39">
        <f t="shared" ref="BZ28" si="324">+IF(BY25&lt;0,1-BZ25/BY25,BZ25/BY25-1)</f>
        <v>0.26771028532975727</v>
      </c>
      <c r="CA28" s="39">
        <f t="shared" ref="CA28" si="325">+IF(BZ25&lt;0,1-CA25/BZ25,CA25/BZ25-1)</f>
        <v>-6.6781769787733425E-2</v>
      </c>
      <c r="CB28" s="39">
        <f t="shared" ref="CB28" si="326">+IF(CA25&lt;0,1-CB25/CA25,CB25/CA25-1)</f>
        <v>-6.9833690931825121E-2</v>
      </c>
      <c r="CC28" s="39">
        <f t="shared" ref="CC28" si="327">+IF(CB25&lt;0,1-CC25/CB25,CC25/CB25-1)</f>
        <v>0.10364991201794593</v>
      </c>
      <c r="CD28" s="39">
        <f t="shared" ref="CD28" si="328">+IF(CC25&lt;0,1-CD25/CC25,CD25/CC25-1)</f>
        <v>-8.1846028205376786E-3</v>
      </c>
      <c r="CE28" s="39">
        <f t="shared" ref="CE28" si="329">+IF(CD25&lt;0,1-CE25/CD25,CE25/CD25-1)</f>
        <v>-7.606979670748415E-3</v>
      </c>
      <c r="CF28" s="39">
        <f t="shared" ref="CF28" si="330">+IF(CE25&lt;0,1-CF25/CE25,CF25/CE25-1)</f>
        <v>-7.3783201776160712E-2</v>
      </c>
      <c r="CG28" s="39">
        <f t="shared" ref="CG28" si="331">+IF(CF25&lt;0,1-CG25/CF25,CG25/CF25-1)</f>
        <v>-8.1367347926435407E-3</v>
      </c>
      <c r="CH28" s="39">
        <f t="shared" ref="CH28:CL28" si="332">+IF(CG25&lt;0,1-CH25/CG25,CH25/CG25-1)</f>
        <v>6.0437393540450302E-2</v>
      </c>
      <c r="CI28" s="39">
        <f t="shared" si="332"/>
        <v>3.4446037038223798E-2</v>
      </c>
      <c r="CJ28" s="39">
        <f t="shared" si="332"/>
        <v>5.103612145722658E-2</v>
      </c>
      <c r="CK28" s="39">
        <f t="shared" si="332"/>
        <v>8.6810313452827526E-3</v>
      </c>
      <c r="CL28" s="39">
        <f t="shared" si="332"/>
        <v>7.344422052247257E-2</v>
      </c>
      <c r="CM28" s="40">
        <f t="shared" ref="CM28" si="333">+CM25/CL25-1</f>
        <v>-6.3914641364892222E-2</v>
      </c>
      <c r="CN28" s="40">
        <f t="shared" ref="CN28" si="334">+CN25/CM25-1</f>
        <v>7.5599571118437403E-2</v>
      </c>
      <c r="CO28" s="40">
        <f t="shared" ref="CO28" si="335">+CO25/CN25-1</f>
        <v>9.0941091187135781E-2</v>
      </c>
      <c r="CP28" s="40">
        <f t="shared" ref="CP28" si="336">+CP25/CO25-1</f>
        <v>8.4674932657572421E-2</v>
      </c>
      <c r="CQ28" s="40">
        <f t="shared" ref="CQ28" si="337">+CQ25/CP25-1</f>
        <v>-0.15506057215531799</v>
      </c>
      <c r="CR28" s="40">
        <f t="shared" ref="CR28" si="338">+CR25/CQ25-1</f>
        <v>7.8127275086765202E-2</v>
      </c>
      <c r="CS28" s="40">
        <f t="shared" ref="CS28" si="339">+CS25/CR25-1</f>
        <v>9.3447139572750304E-2</v>
      </c>
      <c r="CT28" s="40">
        <f t="shared" ref="CT28" si="340">+CT25/CS25-1</f>
        <v>6.17198410981461E-2</v>
      </c>
      <c r="CU28" s="40">
        <f t="shared" ref="CU28" si="341">+CU25/CT25-1</f>
        <v>-0.14282384039698848</v>
      </c>
      <c r="CV28" s="40">
        <f t="shared" ref="CV28" si="342">+CV25/CU25-1</f>
        <v>7.7466377916433293E-2</v>
      </c>
      <c r="CW28" s="40">
        <f t="shared" ref="CW28" si="343">+CW25/CV25-1</f>
        <v>9.1978815836818661E-2</v>
      </c>
      <c r="CX28" s="40">
        <f t="shared" ref="CX28" si="344">+CX25/CW25-1</f>
        <v>5.9329824114505048E-2</v>
      </c>
      <c r="CY28" s="40">
        <f t="shared" ref="CY28" si="345">+CY25/CX25-1</f>
        <v>-0.14067339415207403</v>
      </c>
      <c r="CZ28" s="40">
        <f t="shared" ref="CZ28" si="346">+CZ25/CY25-1</f>
        <v>7.7012212823836856E-2</v>
      </c>
      <c r="DA28" s="40">
        <f t="shared" ref="DA28" si="347">+DA25/CZ25-1</f>
        <v>9.1568475976949726E-2</v>
      </c>
      <c r="DB28" s="40">
        <f t="shared" ref="DB28" si="348">+DB25/DA25-1</f>
        <v>5.9185386630749903E-2</v>
      </c>
      <c r="DE28" s="122"/>
      <c r="DF28" s="39">
        <v>0.1070730309179595</v>
      </c>
    </row>
    <row r="29" spans="1:110" s="23" customFormat="1" outlineLevel="1" x14ac:dyDescent="0.2">
      <c r="A29" s="23" t="s">
        <v>8</v>
      </c>
      <c r="B29" s="23">
        <f>'Annual Raw'!C14</f>
        <v>919.56</v>
      </c>
      <c r="C29" s="23">
        <f>'Annual Raw'!D14</f>
        <v>1177.6099999999999</v>
      </c>
      <c r="D29" s="23">
        <f>'Annual Raw'!E14</f>
        <v>1252.98</v>
      </c>
      <c r="E29" s="23">
        <f>'Annual Raw'!F14</f>
        <v>1397.07</v>
      </c>
      <c r="F29" s="23">
        <f>'Annual Raw'!G14</f>
        <v>1408.15</v>
      </c>
      <c r="G29" s="23">
        <f>'Annual Raw'!H14</f>
        <v>1665.57</v>
      </c>
      <c r="H29" s="23">
        <f>'Annual Raw'!I14</f>
        <v>1877</v>
      </c>
      <c r="I29" s="23">
        <f>'Annual Raw'!J14</f>
        <v>16887.490000000002</v>
      </c>
      <c r="J29" s="23">
        <f>'Annual Raw'!K14</f>
        <v>17964.66</v>
      </c>
      <c r="K29" s="23">
        <f>'Annual Raw'!L14</f>
        <v>16467.72</v>
      </c>
      <c r="L29" s="23">
        <f>'Annual Raw'!M14</f>
        <v>15840.2</v>
      </c>
      <c r="M29" s="23">
        <f>'Annual Raw'!N14</f>
        <v>17228.64</v>
      </c>
      <c r="N29" s="23">
        <f>'Annual Raw'!O14</f>
        <v>18912</v>
      </c>
      <c r="O29" s="23">
        <f>'Annual Raw'!P14</f>
        <v>20303.41</v>
      </c>
      <c r="P29" s="23">
        <f>'Annual Raw'!Q14</f>
        <v>21407.64</v>
      </c>
      <c r="Q29" s="23">
        <f>'Annual Raw'!R14</f>
        <v>17587.63</v>
      </c>
      <c r="R29" s="23">
        <f>'Annual Raw'!S14</f>
        <v>17252.22</v>
      </c>
      <c r="S29" s="23">
        <f>'Annual Raw'!T14</f>
        <v>16969.91</v>
      </c>
      <c r="T29" s="23">
        <f>'Annual Raw'!U14</f>
        <v>18758.87</v>
      </c>
      <c r="U29" s="23">
        <f>'Annual Raw'!V14</f>
        <v>19152.23</v>
      </c>
      <c r="V29" s="23">
        <f>'Annual Raw'!W14</f>
        <v>19908.810000000001</v>
      </c>
      <c r="W29" s="23">
        <f>'Annual Raw'!X14</f>
        <v>23264.1</v>
      </c>
      <c r="X29" s="23">
        <f>'Annual Raw'!Y14</f>
        <v>22419.32</v>
      </c>
      <c r="Y29" s="23">
        <f>'Annual Raw'!Z14</f>
        <v>24509.58</v>
      </c>
      <c r="Z29" s="23">
        <f>'Annual Raw'!AA14</f>
        <v>24888.99</v>
      </c>
      <c r="AA29" s="23">
        <f>'Annual Raw'!AB14</f>
        <v>25998.98</v>
      </c>
      <c r="AB29" s="76">
        <f t="shared" ref="AB29:AB34" si="349">+SUM(CM29:CP29)</f>
        <v>27818.908599999999</v>
      </c>
      <c r="AC29" s="76">
        <f t="shared" ref="AC29:AC34" si="350">+SUM(CQ29:CT29)</f>
        <v>29766.232202000003</v>
      </c>
      <c r="AD29" s="76">
        <f t="shared" ref="AD29:AD34" si="351">+SUM(CU29:CX29)</f>
        <v>31849.868456140008</v>
      </c>
      <c r="AE29" s="76">
        <f t="shared" ref="AE29:AE34" si="352">+SUM(CY29:DB29)</f>
        <v>34079.359248069806</v>
      </c>
      <c r="AI29" s="23">
        <f>'QTR Raw'!C16</f>
        <v>4782.4799999999996</v>
      </c>
      <c r="AJ29" s="23">
        <f>'QTR Raw'!D16</f>
        <v>4539.34</v>
      </c>
      <c r="AK29" s="23">
        <f>'QTR Raw'!E16</f>
        <v>4737.1499999999996</v>
      </c>
      <c r="AL29" s="23">
        <f>'QTR Raw'!F16</f>
        <v>4853.03</v>
      </c>
      <c r="AM29" s="23">
        <f>'QTR Raw'!G16</f>
        <v>4791.17</v>
      </c>
      <c r="AN29" s="23">
        <f>'QTR Raw'!H16</f>
        <v>5170.88</v>
      </c>
      <c r="AO29" s="23">
        <f>'QTR Raw'!I16</f>
        <v>4986.01</v>
      </c>
      <c r="AP29" s="23">
        <f>'QTR Raw'!J16</f>
        <v>5355.35</v>
      </c>
      <c r="AQ29" s="23">
        <f>'QTR Raw'!K16</f>
        <v>5634.28</v>
      </c>
      <c r="AR29" s="23">
        <f>'QTR Raw'!L16</f>
        <v>5399.31</v>
      </c>
      <c r="AS29" s="23">
        <f>'QTR Raw'!M16</f>
        <v>4950.12</v>
      </c>
      <c r="AT29" s="23">
        <f>'QTR Raw'!N16</f>
        <v>5426.06</v>
      </c>
      <c r="AU29" s="23">
        <f>'QTR Raw'!O16</f>
        <v>4619.25</v>
      </c>
      <c r="AV29" s="23">
        <f>'QTR Raw'!P16</f>
        <v>4735.63</v>
      </c>
      <c r="AW29" s="23">
        <f>'QTR Raw'!Q16</f>
        <v>4412.2700000000004</v>
      </c>
      <c r="AX29" s="23">
        <f>'QTR Raw'!R16</f>
        <v>4523.09</v>
      </c>
      <c r="AY29" s="23">
        <f>'QTR Raw'!S16</f>
        <v>4503.33</v>
      </c>
      <c r="AZ29" s="23">
        <f>'QTR Raw'!T16</f>
        <v>4352.74</v>
      </c>
      <c r="BA29" s="23">
        <f>'QTR Raw'!U16</f>
        <v>4179.21</v>
      </c>
      <c r="BB29" s="23">
        <f>'QTR Raw'!V16</f>
        <v>4216.9399999999996</v>
      </c>
      <c r="BC29" s="23">
        <f>'QTR Raw'!W16</f>
        <v>4303.8599999999997</v>
      </c>
      <c r="BD29" s="23">
        <f>'QTR Raw'!X16</f>
        <v>4294.1000000000004</v>
      </c>
      <c r="BE29" s="23">
        <f>'QTR Raw'!Y16</f>
        <v>4425.57</v>
      </c>
      <c r="BF29" s="23">
        <f>'QTR Raw'!Z16</f>
        <v>4415.66</v>
      </c>
      <c r="BG29" s="23">
        <f>'QTR Raw'!AA16</f>
        <v>4739.43</v>
      </c>
      <c r="BH29" s="23">
        <f>'QTR Raw'!AB16</f>
        <v>4755.28</v>
      </c>
      <c r="BI29" s="23">
        <f>'QTR Raw'!AC16</f>
        <v>4613.2</v>
      </c>
      <c r="BJ29" s="23">
        <f>'QTR Raw'!AD16</f>
        <v>4650.95</v>
      </c>
      <c r="BK29" s="23">
        <f>'QTR Raw'!AE16</f>
        <v>4899.3599999999997</v>
      </c>
      <c r="BL29" s="23">
        <f>'QTR Raw'!AF16</f>
        <v>4604.8</v>
      </c>
      <c r="BM29" s="23">
        <f>'QTR Raw'!AG16</f>
        <v>4294.42</v>
      </c>
      <c r="BN29" s="23">
        <f>'QTR Raw'!AH16</f>
        <v>4893.93</v>
      </c>
      <c r="BO29" s="23">
        <f>'QTR Raw'!AI16</f>
        <v>4678.82</v>
      </c>
      <c r="BP29" s="23">
        <f>'QTR Raw'!AJ16</f>
        <v>4375.28</v>
      </c>
      <c r="BQ29" s="23">
        <f>'QTR Raw'!AK16</f>
        <v>5463.54</v>
      </c>
      <c r="BR29" s="23">
        <f>'QTR Raw'!AL16</f>
        <v>5391.17</v>
      </c>
      <c r="BS29" s="23">
        <f>'QTR Raw'!AM16</f>
        <v>5662.57</v>
      </c>
      <c r="BT29" s="23">
        <f>'QTR Raw'!AN16</f>
        <v>5861.85</v>
      </c>
      <c r="BU29" s="23">
        <f>'QTR Raw'!AO16</f>
        <v>5683.44</v>
      </c>
      <c r="BV29" s="23">
        <f>'QTR Raw'!AP16</f>
        <v>6056.24</v>
      </c>
      <c r="BW29" s="23">
        <f>'QTR Raw'!AQ16</f>
        <v>5963.4</v>
      </c>
      <c r="BX29" s="23">
        <f>'QTR Raw'!AR16</f>
        <v>5318.25</v>
      </c>
      <c r="BY29" s="23">
        <f>'QTR Raw'!AS16</f>
        <v>5342.4</v>
      </c>
      <c r="BZ29" s="23">
        <f>'QTR Raw'!AT16</f>
        <v>5795.27</v>
      </c>
      <c r="CA29" s="23">
        <f>'QTR Raw'!AU16</f>
        <v>5925.38</v>
      </c>
      <c r="CB29" s="23">
        <f>'QTR Raw'!AV16</f>
        <v>5916.53</v>
      </c>
      <c r="CC29" s="23">
        <f>'QTR Raw'!AW16</f>
        <v>6527.07</v>
      </c>
      <c r="CD29" s="23">
        <f>'QTR Raw'!AX16</f>
        <v>6140.6</v>
      </c>
      <c r="CE29" s="23">
        <f>'QTR Raw'!AY16</f>
        <v>6466.93</v>
      </c>
      <c r="CF29" s="23">
        <f>'QTR Raw'!AZ16</f>
        <v>6326.57</v>
      </c>
      <c r="CG29" s="23">
        <f>'QTR Raw'!BA16</f>
        <v>6072.47</v>
      </c>
      <c r="CH29" s="23">
        <f>'QTR Raw'!BB16</f>
        <v>6023.02</v>
      </c>
      <c r="CI29" s="23">
        <f>'QTR Raw'!BC16</f>
        <v>6598.57</v>
      </c>
      <c r="CJ29" s="23">
        <f>'QTR Raw'!BD16</f>
        <v>6349.08</v>
      </c>
      <c r="CK29" s="23">
        <f>'QTR Raw'!BE16</f>
        <v>6353.18</v>
      </c>
      <c r="CL29" s="23">
        <f>'QTR Raw'!BF16</f>
        <v>6698.15</v>
      </c>
      <c r="CM29" s="24">
        <f t="shared" ref="CM29:DB29" si="353">CI29*107%</f>
        <v>7060.4699000000001</v>
      </c>
      <c r="CN29" s="24">
        <f t="shared" si="353"/>
        <v>6793.5156000000006</v>
      </c>
      <c r="CO29" s="24">
        <f t="shared" si="353"/>
        <v>6797.9026000000003</v>
      </c>
      <c r="CP29" s="24">
        <f t="shared" si="353"/>
        <v>7167.0204999999996</v>
      </c>
      <c r="CQ29" s="24">
        <f t="shared" si="353"/>
        <v>7554.7027930000004</v>
      </c>
      <c r="CR29" s="24">
        <f t="shared" si="353"/>
        <v>7269.0616920000011</v>
      </c>
      <c r="CS29" s="24">
        <f t="shared" si="353"/>
        <v>7273.7557820000011</v>
      </c>
      <c r="CT29" s="24">
        <f t="shared" si="353"/>
        <v>7668.7119350000003</v>
      </c>
      <c r="CU29" s="24">
        <f t="shared" si="353"/>
        <v>8083.5319885100007</v>
      </c>
      <c r="CV29" s="24">
        <f t="shared" si="353"/>
        <v>7777.8960104400021</v>
      </c>
      <c r="CW29" s="24">
        <f t="shared" si="353"/>
        <v>7782.9186867400012</v>
      </c>
      <c r="CX29" s="24">
        <f t="shared" si="353"/>
        <v>8205.521770450001</v>
      </c>
      <c r="CY29" s="24">
        <f t="shared" si="353"/>
        <v>8649.3792277057019</v>
      </c>
      <c r="CZ29" s="24">
        <f t="shared" si="353"/>
        <v>8322.3487311708031</v>
      </c>
      <c r="DA29" s="24">
        <f t="shared" si="353"/>
        <v>8327.722994811802</v>
      </c>
      <c r="DB29" s="24">
        <f t="shared" si="353"/>
        <v>8779.908294381501</v>
      </c>
      <c r="DE29" s="123"/>
      <c r="DF29" s="23">
        <v>6444.6314000000011</v>
      </c>
    </row>
    <row r="30" spans="1:110" s="23" customFormat="1" outlineLevel="1" x14ac:dyDescent="0.2">
      <c r="A30" s="23" t="s">
        <v>10</v>
      </c>
      <c r="B30" s="23">
        <f>'Annual Raw'!C17</f>
        <v>397.03</v>
      </c>
      <c r="C30" s="23">
        <f>'Annual Raw'!D17</f>
        <v>445.72</v>
      </c>
      <c r="D30" s="23">
        <f>'Annual Raw'!E17</f>
        <v>518.19000000000005</v>
      </c>
      <c r="E30" s="23">
        <f>'Annual Raw'!F17</f>
        <v>569.32000000000005</v>
      </c>
      <c r="F30" s="23">
        <f>'Annual Raw'!G17</f>
        <v>821.7</v>
      </c>
      <c r="G30" s="23">
        <f>'Annual Raw'!H17</f>
        <v>1064.75</v>
      </c>
      <c r="H30" s="23">
        <f>'Annual Raw'!I17</f>
        <v>1355.38</v>
      </c>
      <c r="I30" s="23">
        <f>'Annual Raw'!J17</f>
        <v>9604.1</v>
      </c>
      <c r="J30" s="23">
        <f>'Annual Raw'!K17</f>
        <v>5307.89</v>
      </c>
      <c r="K30" s="23">
        <f>'Annual Raw'!L17</f>
        <v>8052.51</v>
      </c>
      <c r="L30" s="23">
        <f>'Annual Raw'!M17</f>
        <v>7464.19</v>
      </c>
      <c r="M30" s="23">
        <f>'Annual Raw'!N17</f>
        <v>8760.77</v>
      </c>
      <c r="N30" s="23">
        <f>'Annual Raw'!O17</f>
        <v>10735.35</v>
      </c>
      <c r="O30" s="23">
        <f>'Annual Raw'!P17</f>
        <v>12123.91</v>
      </c>
      <c r="P30" s="23">
        <f>'Annual Raw'!Q17</f>
        <v>13340.06</v>
      </c>
      <c r="Q30" s="23">
        <f>'Annual Raw'!R17</f>
        <v>7773.44</v>
      </c>
      <c r="R30" s="23">
        <f>'Annual Raw'!S17</f>
        <v>9165.15</v>
      </c>
      <c r="S30" s="23">
        <f>'Annual Raw'!T17</f>
        <v>6425.15</v>
      </c>
      <c r="T30" s="23">
        <f>'Annual Raw'!U17</f>
        <v>12385.3</v>
      </c>
      <c r="U30" s="23">
        <f>'Annual Raw'!V17</f>
        <v>10586.57</v>
      </c>
      <c r="V30" s="23">
        <f>'Annual Raw'!W17</f>
        <v>9637.1200000000008</v>
      </c>
      <c r="W30" s="23">
        <f>'Annual Raw'!X17</f>
        <v>16563.490000000002</v>
      </c>
      <c r="X30" s="23">
        <f>'Annual Raw'!Y17</f>
        <v>12816.03</v>
      </c>
      <c r="Y30" s="23">
        <f>'Annual Raw'!Z17</f>
        <v>18395.580000000002</v>
      </c>
      <c r="Z30" s="23">
        <f>'Annual Raw'!AA17</f>
        <v>14879.32</v>
      </c>
      <c r="AA30" s="23">
        <f>'Annual Raw'!AB17</f>
        <v>20787.72</v>
      </c>
      <c r="AB30" s="76">
        <f t="shared" si="349"/>
        <v>0</v>
      </c>
      <c r="AC30" s="76">
        <f t="shared" si="350"/>
        <v>0</v>
      </c>
      <c r="AD30" s="76">
        <f t="shared" si="351"/>
        <v>0</v>
      </c>
      <c r="AE30" s="76">
        <f t="shared" si="352"/>
        <v>0</v>
      </c>
      <c r="AI30" s="23">
        <f>'QTR Raw'!C17</f>
        <v>0</v>
      </c>
      <c r="AJ30" s="23">
        <f>'QTR Raw'!D17</f>
        <v>0</v>
      </c>
      <c r="AK30" s="23">
        <f>'QTR Raw'!E17</f>
        <v>0</v>
      </c>
      <c r="AL30" s="23">
        <f>'QTR Raw'!F17</f>
        <v>0</v>
      </c>
      <c r="AM30" s="23">
        <f>'QTR Raw'!G17</f>
        <v>0</v>
      </c>
      <c r="AN30" s="23">
        <f>'QTR Raw'!H17</f>
        <v>0</v>
      </c>
      <c r="AO30" s="23">
        <f>'QTR Raw'!I17</f>
        <v>0</v>
      </c>
      <c r="AP30" s="23">
        <f>'QTR Raw'!J17</f>
        <v>0</v>
      </c>
      <c r="AQ30" s="23">
        <f>'QTR Raw'!K17</f>
        <v>0</v>
      </c>
      <c r="AR30" s="23">
        <f>'QTR Raw'!L17</f>
        <v>0</v>
      </c>
      <c r="AS30" s="23">
        <f>'QTR Raw'!M17</f>
        <v>0</v>
      </c>
      <c r="AT30" s="23">
        <f>'QTR Raw'!N17</f>
        <v>0</v>
      </c>
      <c r="AU30" s="23">
        <f>'QTR Raw'!O17</f>
        <v>0</v>
      </c>
      <c r="AV30" s="23">
        <f>'QTR Raw'!P17</f>
        <v>0</v>
      </c>
      <c r="AW30" s="23">
        <f>'QTR Raw'!Q17</f>
        <v>0</v>
      </c>
      <c r="AX30" s="23">
        <f>'QTR Raw'!R17</f>
        <v>0</v>
      </c>
      <c r="AY30" s="23">
        <f>'QTR Raw'!S17</f>
        <v>0</v>
      </c>
      <c r="AZ30" s="23">
        <f>'QTR Raw'!T17</f>
        <v>0</v>
      </c>
      <c r="BA30" s="23">
        <f>'QTR Raw'!U17</f>
        <v>0</v>
      </c>
      <c r="BB30" s="23">
        <f>'QTR Raw'!V17</f>
        <v>0</v>
      </c>
      <c r="BC30" s="23">
        <f>'QTR Raw'!W17</f>
        <v>0</v>
      </c>
      <c r="BD30" s="23">
        <f>'QTR Raw'!X17</f>
        <v>0</v>
      </c>
      <c r="BE30" s="23">
        <f>'QTR Raw'!Y17</f>
        <v>0</v>
      </c>
      <c r="BF30" s="23">
        <f>'QTR Raw'!Z17</f>
        <v>0</v>
      </c>
      <c r="BG30" s="23">
        <f>'QTR Raw'!AA17</f>
        <v>0</v>
      </c>
      <c r="BH30" s="23">
        <f>'QTR Raw'!AB17</f>
        <v>0</v>
      </c>
      <c r="BI30" s="23">
        <f>'QTR Raw'!AC17</f>
        <v>0</v>
      </c>
      <c r="BJ30" s="23">
        <f>'QTR Raw'!AD17</f>
        <v>0</v>
      </c>
      <c r="BK30" s="23">
        <f>'QTR Raw'!AE17</f>
        <v>0</v>
      </c>
      <c r="BL30" s="23">
        <f>'QTR Raw'!AF17</f>
        <v>0</v>
      </c>
      <c r="BM30" s="23">
        <f>'QTR Raw'!AG17</f>
        <v>0</v>
      </c>
      <c r="BN30" s="23">
        <f>'QTR Raw'!AH17</f>
        <v>0</v>
      </c>
      <c r="BO30" s="23">
        <f>'QTR Raw'!AI17</f>
        <v>0</v>
      </c>
      <c r="BP30" s="23">
        <f>'QTR Raw'!AJ17</f>
        <v>0</v>
      </c>
      <c r="BQ30" s="23">
        <f>'QTR Raw'!AK17</f>
        <v>0</v>
      </c>
      <c r="BR30" s="23">
        <f>'QTR Raw'!AL17</f>
        <v>0</v>
      </c>
      <c r="BS30" s="23">
        <f>'QTR Raw'!AM17</f>
        <v>0</v>
      </c>
      <c r="BT30" s="23">
        <f>'QTR Raw'!AN17</f>
        <v>0</v>
      </c>
      <c r="BU30" s="23">
        <f>'QTR Raw'!AO17</f>
        <v>0</v>
      </c>
      <c r="BV30" s="23">
        <f>'QTR Raw'!AP17</f>
        <v>0</v>
      </c>
      <c r="BW30" s="23">
        <f>'QTR Raw'!AQ17</f>
        <v>0</v>
      </c>
      <c r="BX30" s="23">
        <f>'QTR Raw'!AR17</f>
        <v>0</v>
      </c>
      <c r="BY30" s="23">
        <f>'QTR Raw'!AS17</f>
        <v>0</v>
      </c>
      <c r="BZ30" s="23">
        <f>'QTR Raw'!AT17</f>
        <v>0</v>
      </c>
      <c r="CA30" s="23">
        <f>'QTR Raw'!AU17</f>
        <v>0</v>
      </c>
      <c r="CB30" s="23">
        <f>'QTR Raw'!AV17</f>
        <v>0</v>
      </c>
      <c r="CC30" s="23">
        <f>'QTR Raw'!AW17</f>
        <v>0</v>
      </c>
      <c r="CD30" s="23">
        <f>'QTR Raw'!AX17</f>
        <v>0</v>
      </c>
      <c r="CE30" s="23">
        <f>'QTR Raw'!AY17</f>
        <v>0</v>
      </c>
      <c r="CF30" s="23">
        <f>'QTR Raw'!AZ17</f>
        <v>0</v>
      </c>
      <c r="CG30" s="23">
        <f>'QTR Raw'!BA17</f>
        <v>0</v>
      </c>
      <c r="CH30" s="23">
        <f>'QTR Raw'!BB17</f>
        <v>0</v>
      </c>
      <c r="CI30" s="23">
        <f>'QTR Raw'!BC17</f>
        <v>0</v>
      </c>
      <c r="CJ30" s="23">
        <f>'QTR Raw'!BD17</f>
        <v>0</v>
      </c>
      <c r="CK30" s="23">
        <f>'QTR Raw'!BE17</f>
        <v>0</v>
      </c>
      <c r="CL30" s="23">
        <f>'QTR Raw'!BF17</f>
        <v>0</v>
      </c>
      <c r="CM30" s="24"/>
      <c r="CN30" s="24"/>
      <c r="CO30" s="24"/>
      <c r="CP30" s="24"/>
      <c r="CQ30" s="24"/>
      <c r="CR30" s="24"/>
      <c r="CS30" s="24"/>
      <c r="CT30" s="24"/>
      <c r="CU30" s="24"/>
      <c r="CV30" s="24"/>
      <c r="CW30" s="24"/>
      <c r="CX30" s="24"/>
      <c r="CY30" s="24"/>
      <c r="CZ30" s="24"/>
      <c r="DA30" s="24"/>
      <c r="DB30" s="24"/>
      <c r="DE30" s="123"/>
      <c r="DF30" s="23">
        <v>0</v>
      </c>
    </row>
    <row r="31" spans="1:110" s="23" customFormat="1" outlineLevel="1" x14ac:dyDescent="0.2">
      <c r="A31" s="23" t="s">
        <v>12</v>
      </c>
      <c r="B31" s="23">
        <f>'Annual Raw'!C19-'Annual Raw'!C20</f>
        <v>-129.82</v>
      </c>
      <c r="C31" s="23">
        <f>'Annual Raw'!D19-'Annual Raw'!D20</f>
        <v>21.560000000000002</v>
      </c>
      <c r="D31" s="23">
        <f>'Annual Raw'!E19-'Annual Raw'!E20</f>
        <v>34.82</v>
      </c>
      <c r="E31" s="23">
        <f>'Annual Raw'!F19-'Annual Raw'!F20</f>
        <v>-27.009999999999991</v>
      </c>
      <c r="F31" s="23">
        <f>'Annual Raw'!G19-'Annual Raw'!G20</f>
        <v>-213.17000000000002</v>
      </c>
      <c r="G31" s="23">
        <f>'Annual Raw'!H19-'Annual Raw'!H20</f>
        <v>-149.53</v>
      </c>
      <c r="H31" s="23">
        <f>'Annual Raw'!I19-'Annual Raw'!I20</f>
        <v>-166.56000000000003</v>
      </c>
      <c r="I31" s="23">
        <f>'Annual Raw'!J19-'Annual Raw'!J20</f>
        <v>-351.48</v>
      </c>
      <c r="J31" s="23">
        <f>'Annual Raw'!K19-'Annual Raw'!K20</f>
        <v>-578.63</v>
      </c>
      <c r="K31" s="23">
        <f>'Annual Raw'!L19-'Annual Raw'!L20</f>
        <v>-657.77</v>
      </c>
      <c r="L31" s="23">
        <f>'Annual Raw'!M19-'Annual Raw'!M20</f>
        <v>-469.5</v>
      </c>
      <c r="M31" s="23">
        <f>'Annual Raw'!N19-'Annual Raw'!N20</f>
        <v>-620.57999999999993</v>
      </c>
      <c r="N31" s="23">
        <f>'Annual Raw'!O19-'Annual Raw'!O20</f>
        <v>-804.74</v>
      </c>
      <c r="O31" s="23">
        <f>'Annual Raw'!P19-'Annual Raw'!P20</f>
        <v>-1203.74</v>
      </c>
      <c r="P31" s="23">
        <f>'Annual Raw'!Q19-'Annual Raw'!Q20</f>
        <v>-624.5100000000001</v>
      </c>
      <c r="Q31" s="23">
        <f>'Annual Raw'!R19-'Annual Raw'!R20</f>
        <v>-990.66000000000008</v>
      </c>
      <c r="R31" s="23">
        <f>'Annual Raw'!S19-'Annual Raw'!S20</f>
        <v>-74.240000000000009</v>
      </c>
      <c r="S31" s="23">
        <f>'Annual Raw'!T19-'Annual Raw'!T20</f>
        <v>1061.9899999999998</v>
      </c>
      <c r="T31" s="23">
        <f>'Annual Raw'!U19-'Annual Raw'!U20</f>
        <v>-529.49</v>
      </c>
      <c r="U31" s="23">
        <f>'Annual Raw'!V19-'Annual Raw'!V20</f>
        <v>-1584.44</v>
      </c>
      <c r="V31" s="23">
        <f>'Annual Raw'!W19-'Annual Raw'!W20</f>
        <v>214.88999999999987</v>
      </c>
      <c r="W31" s="23">
        <f>'Annual Raw'!X19-'Annual Raw'!X20</f>
        <v>-1474.97</v>
      </c>
      <c r="X31" s="23">
        <f>'Annual Raw'!Y19-'Annual Raw'!Y20</f>
        <v>22.040000000000191</v>
      </c>
      <c r="Y31" s="23">
        <f>'Annual Raw'!Z19-'Annual Raw'!Z20</f>
        <v>-1730.9699999999998</v>
      </c>
      <c r="Z31" s="23">
        <f>'Annual Raw'!AA19-'Annual Raw'!AA20</f>
        <v>943.62999999999988</v>
      </c>
      <c r="AA31" s="23">
        <f>'Annual Raw'!AB19-'Annual Raw'!AB20</f>
        <v>-437.58000000000004</v>
      </c>
      <c r="AB31" s="76">
        <f t="shared" si="349"/>
        <v>0</v>
      </c>
      <c r="AC31" s="76">
        <f t="shared" si="350"/>
        <v>0</v>
      </c>
      <c r="AD31" s="76">
        <f t="shared" si="351"/>
        <v>0</v>
      </c>
      <c r="AE31" s="76">
        <f t="shared" si="352"/>
        <v>0</v>
      </c>
      <c r="AI31" s="23">
        <f>+'QTR Raw'!C21</f>
        <v>0</v>
      </c>
      <c r="AJ31" s="23">
        <f>+'QTR Raw'!D21</f>
        <v>0</v>
      </c>
      <c r="AK31" s="23">
        <f>+'QTR Raw'!E21</f>
        <v>0</v>
      </c>
      <c r="AL31" s="23">
        <f>+'QTR Raw'!F21</f>
        <v>0</v>
      </c>
      <c r="AM31" s="23">
        <f>+'QTR Raw'!G21</f>
        <v>0</v>
      </c>
      <c r="AN31" s="23">
        <f>+'QTR Raw'!H21</f>
        <v>0</v>
      </c>
      <c r="AO31" s="23">
        <f>+'QTR Raw'!I21</f>
        <v>0</v>
      </c>
      <c r="AP31" s="23">
        <f>+'QTR Raw'!J21</f>
        <v>0</v>
      </c>
      <c r="AQ31" s="23">
        <f>+'QTR Raw'!K21</f>
        <v>0</v>
      </c>
      <c r="AR31" s="23">
        <f>+'QTR Raw'!L21</f>
        <v>0</v>
      </c>
      <c r="AS31" s="23">
        <f>+'QTR Raw'!M21</f>
        <v>0</v>
      </c>
      <c r="AT31" s="23">
        <f>+'QTR Raw'!N21</f>
        <v>0</v>
      </c>
      <c r="AU31" s="23">
        <f>+'QTR Raw'!O21</f>
        <v>0</v>
      </c>
      <c r="AV31" s="23">
        <f>+'QTR Raw'!P21</f>
        <v>0</v>
      </c>
      <c r="AW31" s="23">
        <f>+'QTR Raw'!Q21</f>
        <v>0</v>
      </c>
      <c r="AX31" s="23">
        <f>+'QTR Raw'!R21</f>
        <v>0</v>
      </c>
      <c r="AY31" s="23">
        <f>+'QTR Raw'!S21</f>
        <v>0</v>
      </c>
      <c r="AZ31" s="23">
        <f>+'QTR Raw'!T21</f>
        <v>0</v>
      </c>
      <c r="BA31" s="23">
        <f>+'QTR Raw'!U21</f>
        <v>0</v>
      </c>
      <c r="BB31" s="23">
        <f>+'QTR Raw'!V21</f>
        <v>0</v>
      </c>
      <c r="BC31" s="23">
        <f>+'QTR Raw'!W21</f>
        <v>0</v>
      </c>
      <c r="BD31" s="23">
        <f>+'QTR Raw'!X21</f>
        <v>0</v>
      </c>
      <c r="BE31" s="23">
        <f>+'QTR Raw'!Y21</f>
        <v>0</v>
      </c>
      <c r="BF31" s="23">
        <f>+'QTR Raw'!Z21</f>
        <v>0</v>
      </c>
      <c r="BG31" s="23">
        <f>+'QTR Raw'!AA21</f>
        <v>0</v>
      </c>
      <c r="BH31" s="23">
        <f>+'QTR Raw'!AB21</f>
        <v>0</v>
      </c>
      <c r="BI31" s="23">
        <f>+'QTR Raw'!AC21</f>
        <v>0</v>
      </c>
      <c r="BJ31" s="23">
        <f>+'QTR Raw'!AD21</f>
        <v>0</v>
      </c>
      <c r="BK31" s="23">
        <f>+'QTR Raw'!AE21</f>
        <v>0</v>
      </c>
      <c r="BL31" s="23">
        <f>+'QTR Raw'!AF21</f>
        <v>0</v>
      </c>
      <c r="BM31" s="23">
        <f>+'QTR Raw'!AG21</f>
        <v>0</v>
      </c>
      <c r="BN31" s="23">
        <f>+'QTR Raw'!AH21</f>
        <v>0</v>
      </c>
      <c r="BO31" s="23">
        <f>+'QTR Raw'!AI21</f>
        <v>0</v>
      </c>
      <c r="BP31" s="23">
        <f>+'QTR Raw'!AJ21</f>
        <v>0</v>
      </c>
      <c r="BQ31" s="23">
        <f>+'QTR Raw'!AK21</f>
        <v>0</v>
      </c>
      <c r="BR31" s="23">
        <f>+'QTR Raw'!AL21</f>
        <v>0</v>
      </c>
      <c r="BS31" s="23">
        <f>+'QTR Raw'!AM21</f>
        <v>0</v>
      </c>
      <c r="BT31" s="23">
        <f>+'QTR Raw'!AN21</f>
        <v>0</v>
      </c>
      <c r="BU31" s="23">
        <f>+'QTR Raw'!AO21</f>
        <v>0</v>
      </c>
      <c r="BV31" s="23">
        <f>+'QTR Raw'!AP21</f>
        <v>0</v>
      </c>
      <c r="BW31" s="23">
        <f>+'QTR Raw'!AQ21</f>
        <v>0</v>
      </c>
      <c r="BX31" s="23">
        <f>+'QTR Raw'!AR21</f>
        <v>0</v>
      </c>
      <c r="BY31" s="23">
        <f>+'QTR Raw'!AS21</f>
        <v>0</v>
      </c>
      <c r="BZ31" s="23">
        <f>+'QTR Raw'!AT21</f>
        <v>0</v>
      </c>
      <c r="CA31" s="23">
        <f>+'QTR Raw'!AU21</f>
        <v>0</v>
      </c>
      <c r="CB31" s="23">
        <f>+'QTR Raw'!AV21</f>
        <v>0</v>
      </c>
      <c r="CC31" s="23">
        <f>+'QTR Raw'!AW21</f>
        <v>0</v>
      </c>
      <c r="CD31" s="23">
        <f>+'QTR Raw'!AX21</f>
        <v>0</v>
      </c>
      <c r="CE31" s="23">
        <f>+'QTR Raw'!AY21</f>
        <v>0</v>
      </c>
      <c r="CF31" s="23">
        <f>+'QTR Raw'!AZ21</f>
        <v>0</v>
      </c>
      <c r="CG31" s="23">
        <f>+'QTR Raw'!BA21</f>
        <v>0</v>
      </c>
      <c r="CH31" s="23">
        <f>+'QTR Raw'!BB21</f>
        <v>0</v>
      </c>
      <c r="CI31" s="23">
        <f>+'QTR Raw'!BC21</f>
        <v>0</v>
      </c>
      <c r="CJ31" s="23">
        <f>+'QTR Raw'!BD21</f>
        <v>0</v>
      </c>
      <c r="CK31" s="23">
        <f>+'QTR Raw'!BE21</f>
        <v>0</v>
      </c>
      <c r="CL31" s="23">
        <f>+'QTR Raw'!BF21</f>
        <v>0</v>
      </c>
      <c r="CM31" s="24"/>
      <c r="CN31" s="24"/>
      <c r="CO31" s="24"/>
      <c r="CP31" s="24"/>
      <c r="CQ31" s="24"/>
      <c r="CR31" s="24"/>
      <c r="CS31" s="24"/>
      <c r="CT31" s="24"/>
      <c r="CU31" s="24"/>
      <c r="CV31" s="24"/>
      <c r="CW31" s="24"/>
      <c r="CX31" s="24"/>
      <c r="CY31" s="24"/>
      <c r="CZ31" s="24"/>
      <c r="DA31" s="24"/>
      <c r="DB31" s="24"/>
      <c r="DE31" s="123"/>
      <c r="DF31" s="23">
        <v>0</v>
      </c>
    </row>
    <row r="32" spans="1:110" s="23" customFormat="1" outlineLevel="1" x14ac:dyDescent="0.2">
      <c r="A32" s="23" t="s">
        <v>9</v>
      </c>
      <c r="B32" s="23">
        <f>'Annual Raw'!C15+'Annual Raw'!C16</f>
        <v>1311.63</v>
      </c>
      <c r="C32" s="23">
        <f>'Annual Raw'!D15+'Annual Raw'!D16</f>
        <v>1164.3</v>
      </c>
      <c r="D32" s="23">
        <f>'Annual Raw'!E15+'Annual Raw'!E16</f>
        <v>1372.79</v>
      </c>
      <c r="E32" s="23">
        <f>'Annual Raw'!F15+'Annual Raw'!F16</f>
        <v>1627.38</v>
      </c>
      <c r="F32" s="23">
        <f>'Annual Raw'!G15+'Annual Raw'!G16</f>
        <v>2059.15</v>
      </c>
      <c r="G32" s="23">
        <f>'Annual Raw'!H15+'Annual Raw'!H16</f>
        <v>2276.88</v>
      </c>
      <c r="H32" s="23">
        <f>'Annual Raw'!I15+'Annual Raw'!I16</f>
        <v>2858.17</v>
      </c>
      <c r="I32" s="23">
        <f>'Annual Raw'!J15+'Annual Raw'!J16</f>
        <v>16928.349999999999</v>
      </c>
      <c r="J32" s="23">
        <f>'Annual Raw'!K15+'Annual Raw'!K16</f>
        <v>18259.7</v>
      </c>
      <c r="K32" s="23">
        <f>'Annual Raw'!L15+'Annual Raw'!L16</f>
        <v>14968.65</v>
      </c>
      <c r="L32" s="23">
        <f>'Annual Raw'!M15+'Annual Raw'!M16</f>
        <v>14286.86</v>
      </c>
      <c r="M32" s="23">
        <f>'Annual Raw'!N15+'Annual Raw'!N16</f>
        <v>16472.669999999998</v>
      </c>
      <c r="N32" s="23">
        <f>'Annual Raw'!O15+'Annual Raw'!O16</f>
        <v>18763.04</v>
      </c>
      <c r="O32" s="23">
        <f>'Annual Raw'!P15+'Annual Raw'!P16</f>
        <v>21799.67</v>
      </c>
      <c r="P32" s="23">
        <f>'Annual Raw'!Q15+'Annual Raw'!Q16</f>
        <v>21200.32</v>
      </c>
      <c r="Q32" s="23">
        <f>'Annual Raw'!R15+'Annual Raw'!R16</f>
        <v>17032</v>
      </c>
      <c r="R32" s="23">
        <f>'Annual Raw'!S15+'Annual Raw'!S16</f>
        <v>16987.599999999999</v>
      </c>
      <c r="S32" s="23">
        <f>'Annual Raw'!T15+'Annual Raw'!T16</f>
        <v>18606.240000000002</v>
      </c>
      <c r="T32" s="23">
        <f>'Annual Raw'!U15+'Annual Raw'!U16</f>
        <v>22925.54</v>
      </c>
      <c r="U32" s="23">
        <f>'Annual Raw'!V15+'Annual Raw'!V16</f>
        <v>23683.22</v>
      </c>
      <c r="V32" s="23">
        <f>'Annual Raw'!W15+'Annual Raw'!W16</f>
        <v>24228.6</v>
      </c>
      <c r="W32" s="23">
        <f>'Annual Raw'!X15+'Annual Raw'!X16</f>
        <v>38145.42</v>
      </c>
      <c r="X32" s="23">
        <f>'Annual Raw'!Y15+'Annual Raw'!Y16</f>
        <v>40068.629999999997</v>
      </c>
      <c r="Y32" s="23">
        <f>'Annual Raw'!Z15+'Annual Raw'!Z16</f>
        <v>34928.51</v>
      </c>
      <c r="Z32" s="23">
        <f>'Annual Raw'!AA15+'Annual Raw'!AA16</f>
        <v>30394.22</v>
      </c>
      <c r="AA32" s="23">
        <f>'Annual Raw'!AB15+'Annual Raw'!AB16</f>
        <v>29221.68</v>
      </c>
      <c r="AB32" s="76">
        <f t="shared" si="349"/>
        <v>85923.40980813402</v>
      </c>
      <c r="AC32" s="76">
        <f t="shared" si="350"/>
        <v>90652.390495505388</v>
      </c>
      <c r="AD32" s="76">
        <f t="shared" si="351"/>
        <v>96945.870030619975</v>
      </c>
      <c r="AE32" s="76">
        <f t="shared" si="352"/>
        <v>103752.49360321628</v>
      </c>
      <c r="AI32" s="23">
        <f>'QTR Raw'!C14</f>
        <v>7459.25</v>
      </c>
      <c r="AJ32" s="23">
        <f>'QTR Raw'!D14</f>
        <v>7617.48</v>
      </c>
      <c r="AK32" s="23">
        <f>'QTR Raw'!E14</f>
        <v>7894.86</v>
      </c>
      <c r="AL32" s="23">
        <f>'QTR Raw'!F14</f>
        <v>6982.21</v>
      </c>
      <c r="AM32" s="23">
        <f>'QTR Raw'!G14</f>
        <v>7698.27</v>
      </c>
      <c r="AN32" s="23">
        <f>'QTR Raw'!H14</f>
        <v>8523.7000000000007</v>
      </c>
      <c r="AO32" s="23">
        <f>'QTR Raw'!I14</f>
        <v>9190.56</v>
      </c>
      <c r="AP32" s="23">
        <f>'QTR Raw'!J14</f>
        <v>8706.39</v>
      </c>
      <c r="AQ32" s="23">
        <f>'QTR Raw'!K14</f>
        <v>8177.13</v>
      </c>
      <c r="AR32" s="23">
        <f>'QTR Raw'!L14</f>
        <v>8920.18</v>
      </c>
      <c r="AS32" s="23">
        <f>'QTR Raw'!M14</f>
        <v>8542.06</v>
      </c>
      <c r="AT32" s="23">
        <f>'QTR Raw'!N14</f>
        <v>9526.7099999999991</v>
      </c>
      <c r="AU32" s="23">
        <f>'QTR Raw'!O14</f>
        <v>6541.39</v>
      </c>
      <c r="AV32" s="23">
        <f>'QTR Raw'!P14</f>
        <v>6259.29</v>
      </c>
      <c r="AW32" s="23">
        <f>'QTR Raw'!Q14</f>
        <v>6479.33</v>
      </c>
      <c r="AX32" s="23">
        <f>'QTR Raw'!R14</f>
        <v>8895.9599999999991</v>
      </c>
      <c r="AY32" s="23">
        <f>'QTR Raw'!S14</f>
        <v>8878.02</v>
      </c>
      <c r="AZ32" s="23">
        <f>'QTR Raw'!T14</f>
        <v>9155.5499999999993</v>
      </c>
      <c r="BA32" s="23">
        <f>'QTR Raw'!U14</f>
        <v>10489.82</v>
      </c>
      <c r="BB32" s="23">
        <f>'QTR Raw'!V14</f>
        <v>10166.32</v>
      </c>
      <c r="BC32" s="23">
        <f>'QTR Raw'!W14</f>
        <v>9309.57</v>
      </c>
      <c r="BD32" s="23">
        <f>'QTR Raw'!X14</f>
        <v>9159.75</v>
      </c>
      <c r="BE32" s="23">
        <f>'QTR Raw'!Y14</f>
        <v>10196.219999999999</v>
      </c>
      <c r="BF32" s="23">
        <f>'QTR Raw'!Z14</f>
        <v>10824.65</v>
      </c>
      <c r="BG32" s="23">
        <f>'QTR Raw'!AA14</f>
        <v>11983.38</v>
      </c>
      <c r="BH32" s="23">
        <f>'QTR Raw'!AB14</f>
        <v>11613.83</v>
      </c>
      <c r="BI32" s="23">
        <f>'QTR Raw'!AC14</f>
        <v>12664.52</v>
      </c>
      <c r="BJ32" s="23">
        <f>'QTR Raw'!AD14</f>
        <v>12484.7</v>
      </c>
      <c r="BK32" s="23">
        <f>'QTR Raw'!AE14</f>
        <v>11908.74</v>
      </c>
      <c r="BL32" s="23">
        <f>'QTR Raw'!AF14</f>
        <v>11307.14</v>
      </c>
      <c r="BM32" s="23">
        <f>'QTR Raw'!AG14</f>
        <v>10496.48</v>
      </c>
      <c r="BN32" s="23">
        <f>'QTR Raw'!AH14</f>
        <v>13096.55</v>
      </c>
      <c r="BO32" s="23">
        <f>'QTR Raw'!AI14</f>
        <v>9173.5400000000009</v>
      </c>
      <c r="BP32" s="23">
        <f>'QTR Raw'!AJ14</f>
        <v>11995.78</v>
      </c>
      <c r="BQ32" s="23">
        <f>'QTR Raw'!AK14</f>
        <v>12618.74</v>
      </c>
      <c r="BR32" s="23">
        <f>'QTR Raw'!AL14</f>
        <v>15429.87</v>
      </c>
      <c r="BS32" s="23">
        <f>'QTR Raw'!AM14</f>
        <v>15027.95</v>
      </c>
      <c r="BT32" s="23">
        <f>'QTR Raw'!AN14</f>
        <v>19010.73</v>
      </c>
      <c r="BU32" s="23">
        <f>'QTR Raw'!AO14</f>
        <v>19080.240000000002</v>
      </c>
      <c r="BV32" s="23">
        <f>'QTR Raw'!AP14</f>
        <v>20607.45</v>
      </c>
      <c r="BW32" s="23">
        <f>'QTR Raw'!AQ14</f>
        <v>19273.25</v>
      </c>
      <c r="BX32" s="23">
        <f>'QTR Raw'!AR14</f>
        <v>17159.93</v>
      </c>
      <c r="BY32" s="23">
        <f>'QTR Raw'!AS14</f>
        <v>17670.73</v>
      </c>
      <c r="BZ32" s="23">
        <f>'QTR Raw'!AT14</f>
        <v>21291</v>
      </c>
      <c r="CA32" s="23">
        <f>'QTR Raw'!AU14</f>
        <v>20915.23</v>
      </c>
      <c r="CB32" s="23">
        <f>'QTR Raw'!AV14</f>
        <v>19594.45</v>
      </c>
      <c r="CC32" s="23">
        <f>'QTR Raw'!AW14</f>
        <v>20074.73</v>
      </c>
      <c r="CD32" s="23">
        <f>'QTR Raw'!AX14</f>
        <v>19855.150000000001</v>
      </c>
      <c r="CE32" s="23">
        <f>'QTR Raw'!AY14</f>
        <v>19187.02</v>
      </c>
      <c r="CF32" s="23">
        <f>'QTR Raw'!AZ14</f>
        <v>17493.810000000001</v>
      </c>
      <c r="CG32" s="23">
        <f>'QTR Raw'!BA14</f>
        <v>17741.900000000001</v>
      </c>
      <c r="CH32" s="23">
        <f>'QTR Raw'!BB14</f>
        <v>18931.689999999999</v>
      </c>
      <c r="CI32" s="23">
        <f>'QTR Raw'!BC14</f>
        <v>18573.349999999999</v>
      </c>
      <c r="CJ32" s="23">
        <f>'QTR Raw'!BD14</f>
        <v>19017.59</v>
      </c>
      <c r="CK32" s="23">
        <f>'QTR Raw'!BE14</f>
        <v>20007.77</v>
      </c>
      <c r="CL32" s="23">
        <f>'QTR Raw'!BF14</f>
        <v>20572.12</v>
      </c>
      <c r="CM32" s="24">
        <f t="shared" ref="CM32:DB32" si="354">CM35-CM29-CM30-CM31-CM33-CM34</f>
        <v>18445.08100063902</v>
      </c>
      <c r="CN32" s="24">
        <f t="shared" si="354"/>
        <v>20288.178042583822</v>
      </c>
      <c r="CO32" s="24">
        <f t="shared" si="354"/>
        <v>22736.427704746537</v>
      </c>
      <c r="CP32" s="24">
        <f t="shared" si="354"/>
        <v>24453.723060164641</v>
      </c>
      <c r="CQ32" s="24">
        <f t="shared" si="354"/>
        <v>19330.02764029245</v>
      </c>
      <c r="CR32" s="24">
        <f t="shared" si="354"/>
        <v>21570.520139204193</v>
      </c>
      <c r="CS32" s="24">
        <f t="shared" si="354"/>
        <v>24165.100127831804</v>
      </c>
      <c r="CT32" s="24">
        <f t="shared" si="354"/>
        <v>25586.742588176952</v>
      </c>
      <c r="CU32" s="24">
        <f t="shared" si="354"/>
        <v>20581.09933851962</v>
      </c>
      <c r="CV32" s="24">
        <f t="shared" si="354"/>
        <v>23059.318029034337</v>
      </c>
      <c r="CW32" s="24">
        <f t="shared" si="354"/>
        <v>25867.567279193765</v>
      </c>
      <c r="CX32" s="24">
        <f t="shared" si="354"/>
        <v>27437.885383872257</v>
      </c>
      <c r="CY32" s="24">
        <f t="shared" si="354"/>
        <v>22004.646859337176</v>
      </c>
      <c r="CZ32" s="24">
        <f t="shared" si="354"/>
        <v>24679.763480962909</v>
      </c>
      <c r="DA32" s="24">
        <f t="shared" si="354"/>
        <v>27693.073628456805</v>
      </c>
      <c r="DB32" s="24">
        <f t="shared" si="354"/>
        <v>29375.009634459391</v>
      </c>
      <c r="DE32" s="123"/>
      <c r="DF32" s="23">
        <v>22315.323227660872</v>
      </c>
    </row>
    <row r="33" spans="1:110" s="23" customFormat="1" outlineLevel="1" x14ac:dyDescent="0.2">
      <c r="A33" s="23" t="s">
        <v>7</v>
      </c>
      <c r="B33" s="23">
        <f>'Annual Raw'!C13</f>
        <v>688.45</v>
      </c>
      <c r="C33" s="23">
        <f>'Annual Raw'!D13</f>
        <v>838.17</v>
      </c>
      <c r="D33" s="23">
        <f>'Annual Raw'!E13</f>
        <v>821.59</v>
      </c>
      <c r="E33" s="23">
        <f>'Annual Raw'!F13</f>
        <v>758.36</v>
      </c>
      <c r="F33" s="23">
        <f>'Annual Raw'!G13</f>
        <v>842.66</v>
      </c>
      <c r="G33" s="23">
        <f>'Annual Raw'!H13</f>
        <v>1133.7</v>
      </c>
      <c r="H33" s="23">
        <f>'Annual Raw'!I13</f>
        <v>1600.71</v>
      </c>
      <c r="I33" s="23">
        <f>'Annual Raw'!J13</f>
        <v>5648.33</v>
      </c>
      <c r="J33" s="23">
        <f>'Annual Raw'!K13</f>
        <v>6981.12</v>
      </c>
      <c r="K33" s="23">
        <f>'Annual Raw'!L13</f>
        <v>4884.78</v>
      </c>
      <c r="L33" s="23">
        <f>'Annual Raw'!M13</f>
        <v>4889.1899999999996</v>
      </c>
      <c r="M33" s="23">
        <f>'Annual Raw'!N13</f>
        <v>5935.48</v>
      </c>
      <c r="N33" s="23">
        <f>'Annual Raw'!O13</f>
        <v>6544.38</v>
      </c>
      <c r="O33" s="23">
        <f>'Annual Raw'!P13</f>
        <v>7125.2</v>
      </c>
      <c r="P33" s="23">
        <f>'Annual Raw'!Q13</f>
        <v>6845.38</v>
      </c>
      <c r="Q33" s="23">
        <f>'Annual Raw'!R13</f>
        <v>4993.8900000000003</v>
      </c>
      <c r="R33" s="23">
        <f>'Annual Raw'!S13</f>
        <v>5220.83</v>
      </c>
      <c r="S33" s="23">
        <f>'Annual Raw'!T13</f>
        <v>4440.43</v>
      </c>
      <c r="T33" s="23">
        <f>'Annual Raw'!U13</f>
        <v>5316.56</v>
      </c>
      <c r="U33" s="23">
        <f>'Annual Raw'!V13</f>
        <v>6343.85</v>
      </c>
      <c r="V33" s="23">
        <f>'Annual Raw'!W13</f>
        <v>5708.42</v>
      </c>
      <c r="W33" s="23">
        <f>'Annual Raw'!X13</f>
        <v>8028.29</v>
      </c>
      <c r="X33" s="23">
        <f>'Annual Raw'!Y13</f>
        <v>9526.91</v>
      </c>
      <c r="Y33" s="23">
        <f>'Annual Raw'!Z13</f>
        <v>16612.61</v>
      </c>
      <c r="Z33" s="23">
        <f>'Annual Raw'!AA13</f>
        <v>13124.85</v>
      </c>
      <c r="AA33" s="23">
        <f>'Annual Raw'!AB13</f>
        <v>14333.15</v>
      </c>
      <c r="AB33" s="76">
        <f t="shared" si="349"/>
        <v>0</v>
      </c>
      <c r="AC33" s="76">
        <f t="shared" si="350"/>
        <v>0</v>
      </c>
      <c r="AD33" s="76">
        <f t="shared" si="351"/>
        <v>0</v>
      </c>
      <c r="AE33" s="76">
        <f t="shared" si="352"/>
        <v>0</v>
      </c>
      <c r="AI33" s="23">
        <f>'QTR Raw'!C15</f>
        <v>1390.61</v>
      </c>
      <c r="AJ33" s="23">
        <f>'QTR Raw'!D15</f>
        <v>1373.49</v>
      </c>
      <c r="AK33" s="23">
        <f>'QTR Raw'!E15</f>
        <v>1443.1</v>
      </c>
      <c r="AL33" s="23">
        <f>'QTR Raw'!F15</f>
        <v>1346.81</v>
      </c>
      <c r="AM33" s="23">
        <f>'QTR Raw'!G15</f>
        <v>1463.41</v>
      </c>
      <c r="AN33" s="23">
        <f>'QTR Raw'!H15</f>
        <v>1571.92</v>
      </c>
      <c r="AO33" s="23">
        <f>'QTR Raw'!I15</f>
        <v>1405.25</v>
      </c>
      <c r="AP33" s="23">
        <f>'QTR Raw'!J15</f>
        <v>1595.19</v>
      </c>
      <c r="AQ33" s="23">
        <f>'QTR Raw'!K15</f>
        <v>1606.67</v>
      </c>
      <c r="AR33" s="23">
        <f>'QTR Raw'!L15</f>
        <v>1527.9</v>
      </c>
      <c r="AS33" s="23">
        <f>'QTR Raw'!M15</f>
        <v>1343.53</v>
      </c>
      <c r="AT33" s="23">
        <f>'QTR Raw'!N15</f>
        <v>1435.18</v>
      </c>
      <c r="AU33" s="23">
        <f>'QTR Raw'!O15</f>
        <v>1249.9100000000001</v>
      </c>
      <c r="AV33" s="23">
        <f>'QTR Raw'!P15</f>
        <v>1188.1500000000001</v>
      </c>
      <c r="AW33" s="23">
        <f>'QTR Raw'!Q15</f>
        <v>1115.1300000000001</v>
      </c>
      <c r="AX33" s="23">
        <f>'QTR Raw'!R15</f>
        <v>0</v>
      </c>
      <c r="AY33" s="23">
        <f>'QTR Raw'!S15</f>
        <v>0</v>
      </c>
      <c r="AZ33" s="23">
        <f>'QTR Raw'!T15</f>
        <v>0</v>
      </c>
      <c r="BA33" s="23">
        <f>'QTR Raw'!U15</f>
        <v>0</v>
      </c>
      <c r="BB33" s="23">
        <f>'QTR Raw'!V15</f>
        <v>0</v>
      </c>
      <c r="BC33" s="23">
        <f>'QTR Raw'!W15</f>
        <v>0</v>
      </c>
      <c r="BD33" s="23">
        <f>'QTR Raw'!X15</f>
        <v>0</v>
      </c>
      <c r="BE33" s="23">
        <f>'QTR Raw'!Y15</f>
        <v>0</v>
      </c>
      <c r="BF33" s="23">
        <f>'QTR Raw'!Z15</f>
        <v>0</v>
      </c>
      <c r="BG33" s="23">
        <f>'QTR Raw'!AA15</f>
        <v>0</v>
      </c>
      <c r="BH33" s="23">
        <f>'QTR Raw'!AB15</f>
        <v>0</v>
      </c>
      <c r="BI33" s="23">
        <f>'QTR Raw'!AC15</f>
        <v>0</v>
      </c>
      <c r="BJ33" s="23">
        <f>'QTR Raw'!AD15</f>
        <v>0</v>
      </c>
      <c r="BK33" s="23">
        <f>'QTR Raw'!AE15</f>
        <v>0</v>
      </c>
      <c r="BL33" s="23">
        <f>'QTR Raw'!AF15</f>
        <v>0</v>
      </c>
      <c r="BM33" s="23">
        <f>'QTR Raw'!AG15</f>
        <v>0</v>
      </c>
      <c r="BN33" s="23">
        <f>'QTR Raw'!AH15</f>
        <v>0</v>
      </c>
      <c r="BO33" s="23">
        <f>'QTR Raw'!AI15</f>
        <v>0</v>
      </c>
      <c r="BP33" s="23">
        <f>'QTR Raw'!AJ15</f>
        <v>0</v>
      </c>
      <c r="BQ33" s="23">
        <f>'QTR Raw'!AK15</f>
        <v>0</v>
      </c>
      <c r="BR33" s="23">
        <f>'QTR Raw'!AL15</f>
        <v>0</v>
      </c>
      <c r="BS33" s="23">
        <f>'QTR Raw'!AM15</f>
        <v>0</v>
      </c>
      <c r="BT33" s="23">
        <f>'QTR Raw'!AN15</f>
        <v>0</v>
      </c>
      <c r="BU33" s="23">
        <f>'QTR Raw'!AO15</f>
        <v>0</v>
      </c>
      <c r="BV33" s="23">
        <f>'QTR Raw'!AP15</f>
        <v>0</v>
      </c>
      <c r="BW33" s="23">
        <f>'QTR Raw'!AQ15</f>
        <v>0</v>
      </c>
      <c r="BX33" s="23">
        <f>'QTR Raw'!AR15</f>
        <v>0</v>
      </c>
      <c r="BY33" s="23">
        <f>'QTR Raw'!AS15</f>
        <v>0</v>
      </c>
      <c r="BZ33" s="23">
        <f>'QTR Raw'!AT15</f>
        <v>0</v>
      </c>
      <c r="CA33" s="23">
        <f>'QTR Raw'!AU15</f>
        <v>0</v>
      </c>
      <c r="CB33" s="23">
        <f>'QTR Raw'!AV15</f>
        <v>0</v>
      </c>
      <c r="CC33" s="23">
        <f>'QTR Raw'!AW15</f>
        <v>0</v>
      </c>
      <c r="CD33" s="23">
        <f>'QTR Raw'!AX15</f>
        <v>0</v>
      </c>
      <c r="CE33" s="23">
        <f>'QTR Raw'!AY15</f>
        <v>0</v>
      </c>
      <c r="CF33" s="23">
        <f>'QTR Raw'!AZ15</f>
        <v>0</v>
      </c>
      <c r="CG33" s="23">
        <f>'QTR Raw'!BA15</f>
        <v>0</v>
      </c>
      <c r="CH33" s="23">
        <f>'QTR Raw'!BB15</f>
        <v>0</v>
      </c>
      <c r="CI33" s="23">
        <f>'QTR Raw'!BC15</f>
        <v>0</v>
      </c>
      <c r="CJ33" s="23">
        <f>'QTR Raw'!BD15</f>
        <v>0</v>
      </c>
      <c r="CK33" s="23">
        <f>'QTR Raw'!BE15</f>
        <v>0</v>
      </c>
      <c r="CL33" s="23">
        <f>'QTR Raw'!BF15</f>
        <v>0</v>
      </c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A33" s="24"/>
      <c r="DB33" s="24"/>
      <c r="DE33" s="123"/>
      <c r="DF33" s="23">
        <v>0</v>
      </c>
    </row>
    <row r="34" spans="1:110" s="23" customFormat="1" outlineLevel="1" x14ac:dyDescent="0.2">
      <c r="A34" s="23" t="s">
        <v>11</v>
      </c>
      <c r="B34" s="23">
        <f>'Annual Raw'!C18</f>
        <v>645.78</v>
      </c>
      <c r="C34" s="23">
        <f>'Annual Raw'!D18</f>
        <v>676.04</v>
      </c>
      <c r="D34" s="23">
        <f>'Annual Raw'!E18</f>
        <v>821.41</v>
      </c>
      <c r="E34" s="23">
        <f>'Annual Raw'!F18</f>
        <v>835.91</v>
      </c>
      <c r="F34" s="23">
        <f>'Annual Raw'!G18</f>
        <v>1078.81</v>
      </c>
      <c r="G34" s="23">
        <f>'Annual Raw'!H18</f>
        <v>1306.17</v>
      </c>
      <c r="H34" s="23">
        <f>'Annual Raw'!I18</f>
        <v>1574.23</v>
      </c>
      <c r="I34" s="23">
        <f>'Annual Raw'!J18</f>
        <v>6419.27</v>
      </c>
      <c r="J34" s="23">
        <f>'Annual Raw'!K18</f>
        <v>6403.56</v>
      </c>
      <c r="K34" s="23">
        <f>'Annual Raw'!L18</f>
        <v>5816.06</v>
      </c>
      <c r="L34" s="23">
        <f>'Annual Raw'!M18</f>
        <v>6618.71</v>
      </c>
      <c r="M34" s="23">
        <f>'Annual Raw'!N18</f>
        <v>6916.66</v>
      </c>
      <c r="N34" s="23">
        <f>'Annual Raw'!O18</f>
        <v>7705.44</v>
      </c>
      <c r="O34" s="23">
        <f>'Annual Raw'!P18</f>
        <v>9300.0300000000007</v>
      </c>
      <c r="P34" s="23">
        <f>'Annual Raw'!Q18</f>
        <v>9109.58</v>
      </c>
      <c r="Q34" s="23">
        <f>'Annual Raw'!R18</f>
        <v>7090.51</v>
      </c>
      <c r="R34" s="23">
        <f>'Annual Raw'!S18</f>
        <v>7503.09</v>
      </c>
      <c r="S34" s="23">
        <f>'Annual Raw'!T18</f>
        <v>8205.4</v>
      </c>
      <c r="T34" s="23">
        <f>'Annual Raw'!U18</f>
        <v>8648.5300000000007</v>
      </c>
      <c r="U34" s="23">
        <f>'Annual Raw'!V18</f>
        <v>9361.35</v>
      </c>
      <c r="V34" s="23">
        <f>'Annual Raw'!W18</f>
        <v>9657.7199999999993</v>
      </c>
      <c r="W34" s="23">
        <f>'Annual Raw'!X18</f>
        <v>12464.15</v>
      </c>
      <c r="X34" s="23">
        <f>'Annual Raw'!Y18</f>
        <v>13004.87</v>
      </c>
      <c r="Y34" s="23">
        <f>'Annual Raw'!Z18</f>
        <v>12261.7</v>
      </c>
      <c r="Z34" s="23">
        <f>'Annual Raw'!AA18</f>
        <v>14012.4</v>
      </c>
      <c r="AA34" s="23">
        <f>'Annual Raw'!AB18</f>
        <v>14265.86</v>
      </c>
      <c r="AB34" s="76">
        <f t="shared" si="349"/>
        <v>0</v>
      </c>
      <c r="AC34" s="76">
        <f t="shared" si="350"/>
        <v>0</v>
      </c>
      <c r="AD34" s="76">
        <f t="shared" si="351"/>
        <v>0</v>
      </c>
      <c r="AE34" s="76">
        <f t="shared" si="352"/>
        <v>0</v>
      </c>
      <c r="AI34" s="23">
        <f>'QTR Raw'!C18</f>
        <v>1735.81</v>
      </c>
      <c r="AJ34" s="23">
        <f>'QTR Raw'!D18</f>
        <v>1795.19</v>
      </c>
      <c r="AK34" s="23">
        <f>'QTR Raw'!E18</f>
        <v>1872.2</v>
      </c>
      <c r="AL34" s="23">
        <f>'QTR Raw'!F18</f>
        <v>2031.07</v>
      </c>
      <c r="AM34" s="23">
        <f>'QTR Raw'!G18</f>
        <v>1985.29</v>
      </c>
      <c r="AN34" s="23">
        <f>'QTR Raw'!H18</f>
        <v>2146.0300000000002</v>
      </c>
      <c r="AO34" s="23">
        <f>'QTR Raw'!I18</f>
        <v>2232.9499999999998</v>
      </c>
      <c r="AP34" s="23">
        <f>'QTR Raw'!J18</f>
        <v>2643.65</v>
      </c>
      <c r="AQ34" s="23">
        <f>'QTR Raw'!K18</f>
        <v>2190.2800000000002</v>
      </c>
      <c r="AR34" s="23">
        <f>'QTR Raw'!L18</f>
        <v>2190.48</v>
      </c>
      <c r="AS34" s="23">
        <f>'QTR Raw'!M18</f>
        <v>2129.83</v>
      </c>
      <c r="AT34" s="23">
        <f>'QTR Raw'!N18</f>
        <v>2300.8200000000002</v>
      </c>
      <c r="AU34" s="23">
        <f>'QTR Raw'!O18</f>
        <v>1710.9</v>
      </c>
      <c r="AV34" s="23">
        <f>'QTR Raw'!P18</f>
        <v>1746.88</v>
      </c>
      <c r="AW34" s="23">
        <f>'QTR Raw'!Q18</f>
        <v>1702.48</v>
      </c>
      <c r="AX34" s="23">
        <f>'QTR Raw'!R18</f>
        <v>0</v>
      </c>
      <c r="AY34" s="23">
        <f>'QTR Raw'!S18</f>
        <v>0</v>
      </c>
      <c r="AZ34" s="23">
        <f>'QTR Raw'!T18</f>
        <v>0</v>
      </c>
      <c r="BA34" s="23">
        <f>'QTR Raw'!U18</f>
        <v>0</v>
      </c>
      <c r="BB34" s="23">
        <f>'QTR Raw'!V18</f>
        <v>0</v>
      </c>
      <c r="BC34" s="23">
        <f>'QTR Raw'!W18</f>
        <v>0</v>
      </c>
      <c r="BD34" s="23">
        <f>'QTR Raw'!X18</f>
        <v>0</v>
      </c>
      <c r="BE34" s="23">
        <f>'QTR Raw'!Y18</f>
        <v>0</v>
      </c>
      <c r="BF34" s="23">
        <f>'QTR Raw'!Z18</f>
        <v>0</v>
      </c>
      <c r="BG34" s="23">
        <f>'QTR Raw'!AA18</f>
        <v>0</v>
      </c>
      <c r="BH34" s="23">
        <f>'QTR Raw'!AB18</f>
        <v>0</v>
      </c>
      <c r="BI34" s="23">
        <f>'QTR Raw'!AC18</f>
        <v>0</v>
      </c>
      <c r="BJ34" s="23">
        <f>'QTR Raw'!AD18</f>
        <v>0</v>
      </c>
      <c r="BK34" s="23">
        <f>'QTR Raw'!AE18</f>
        <v>0</v>
      </c>
      <c r="BL34" s="23">
        <f>'QTR Raw'!AF18</f>
        <v>0</v>
      </c>
      <c r="BM34" s="23">
        <f>'QTR Raw'!AG18</f>
        <v>0</v>
      </c>
      <c r="BN34" s="23">
        <f>'QTR Raw'!AH18</f>
        <v>0</v>
      </c>
      <c r="BO34" s="23">
        <f>'QTR Raw'!AI18</f>
        <v>0</v>
      </c>
      <c r="BP34" s="23">
        <f>'QTR Raw'!AJ18</f>
        <v>0</v>
      </c>
      <c r="BQ34" s="23">
        <f>'QTR Raw'!AK18</f>
        <v>0</v>
      </c>
      <c r="BR34" s="23">
        <f>'QTR Raw'!AL18</f>
        <v>0</v>
      </c>
      <c r="BS34" s="23">
        <f>'QTR Raw'!AM18</f>
        <v>0</v>
      </c>
      <c r="BT34" s="23">
        <f>'QTR Raw'!AN18</f>
        <v>0</v>
      </c>
      <c r="BU34" s="23">
        <f>'QTR Raw'!AO18</f>
        <v>0</v>
      </c>
      <c r="BV34" s="23">
        <f>'QTR Raw'!AP18</f>
        <v>0</v>
      </c>
      <c r="BW34" s="23">
        <f>'QTR Raw'!AQ18</f>
        <v>0</v>
      </c>
      <c r="BX34" s="23">
        <f>'QTR Raw'!AR18</f>
        <v>0</v>
      </c>
      <c r="BY34" s="23">
        <f>'QTR Raw'!AS18</f>
        <v>0</v>
      </c>
      <c r="BZ34" s="23">
        <f>'QTR Raw'!AT18</f>
        <v>0</v>
      </c>
      <c r="CA34" s="23">
        <f>'QTR Raw'!AU18</f>
        <v>0</v>
      </c>
      <c r="CB34" s="23">
        <f>'QTR Raw'!AV18</f>
        <v>0</v>
      </c>
      <c r="CC34" s="23">
        <f>'QTR Raw'!AW18</f>
        <v>0</v>
      </c>
      <c r="CD34" s="23">
        <f>'QTR Raw'!AX18</f>
        <v>0</v>
      </c>
      <c r="CE34" s="23">
        <f>'QTR Raw'!AY18</f>
        <v>0</v>
      </c>
      <c r="CF34" s="23">
        <f>'QTR Raw'!AZ18</f>
        <v>0</v>
      </c>
      <c r="CG34" s="23">
        <f>'QTR Raw'!BA18</f>
        <v>0</v>
      </c>
      <c r="CH34" s="23">
        <f>'QTR Raw'!BB18</f>
        <v>0</v>
      </c>
      <c r="CI34" s="23">
        <f>'QTR Raw'!BC18</f>
        <v>0</v>
      </c>
      <c r="CJ34" s="23">
        <f>'QTR Raw'!BD18</f>
        <v>0</v>
      </c>
      <c r="CK34" s="23">
        <f>'QTR Raw'!BE18</f>
        <v>0</v>
      </c>
      <c r="CL34" s="23">
        <f>'QTR Raw'!BF18</f>
        <v>0</v>
      </c>
      <c r="CM34" s="24"/>
      <c r="CN34" s="24"/>
      <c r="CO34" s="24"/>
      <c r="CP34" s="24"/>
      <c r="CQ34" s="24"/>
      <c r="CR34" s="24"/>
      <c r="CS34" s="24"/>
      <c r="CT34" s="24"/>
      <c r="CU34" s="24"/>
      <c r="CV34" s="24"/>
      <c r="CW34" s="24"/>
      <c r="CX34" s="24"/>
      <c r="CY34" s="24"/>
      <c r="CZ34" s="24"/>
      <c r="DA34" s="24"/>
      <c r="DB34" s="24"/>
      <c r="DE34" s="123"/>
      <c r="DF34" s="23">
        <v>0</v>
      </c>
    </row>
    <row r="35" spans="1:110" s="22" customFormat="1" x14ac:dyDescent="0.2">
      <c r="A35" s="33" t="s">
        <v>348</v>
      </c>
      <c r="B35" s="22">
        <f t="shared" ref="B35:E35" si="355">+SUM(B29:B34)</f>
        <v>3832.63</v>
      </c>
      <c r="C35" s="22">
        <f t="shared" si="355"/>
        <v>4323.3999999999996</v>
      </c>
      <c r="D35" s="22">
        <f t="shared" si="355"/>
        <v>4821.78</v>
      </c>
      <c r="E35" s="22">
        <f t="shared" si="355"/>
        <v>5161.03</v>
      </c>
      <c r="F35" s="22">
        <f t="shared" ref="F35:AE35" si="356">+SUM(F29:F34)</f>
        <v>5997.3000000000011</v>
      </c>
      <c r="G35" s="22">
        <f t="shared" si="356"/>
        <v>7297.54</v>
      </c>
      <c r="H35" s="22">
        <f t="shared" si="356"/>
        <v>9098.93</v>
      </c>
      <c r="I35" s="22">
        <f t="shared" si="356"/>
        <v>55136.060000000012</v>
      </c>
      <c r="J35" s="22">
        <f t="shared" si="356"/>
        <v>54338.299999999996</v>
      </c>
      <c r="K35" s="22">
        <f t="shared" si="356"/>
        <v>49531.95</v>
      </c>
      <c r="L35" s="22">
        <f t="shared" si="356"/>
        <v>48629.65</v>
      </c>
      <c r="M35" s="22">
        <f t="shared" si="356"/>
        <v>54693.64</v>
      </c>
      <c r="N35" s="22">
        <f t="shared" si="356"/>
        <v>61855.469999999994</v>
      </c>
      <c r="O35" s="22">
        <f t="shared" si="356"/>
        <v>69448.479999999996</v>
      </c>
      <c r="P35" s="22">
        <f t="shared" si="356"/>
        <v>71278.469999999987</v>
      </c>
      <c r="Q35" s="22">
        <f t="shared" si="356"/>
        <v>53486.810000000005</v>
      </c>
      <c r="R35" s="22">
        <f t="shared" si="356"/>
        <v>56054.649999999994</v>
      </c>
      <c r="S35" s="22">
        <f t="shared" si="356"/>
        <v>55709.119999999995</v>
      </c>
      <c r="T35" s="22">
        <f t="shared" si="356"/>
        <v>67505.31</v>
      </c>
      <c r="U35" s="22">
        <f t="shared" si="356"/>
        <v>67542.78</v>
      </c>
      <c r="V35" s="22">
        <f t="shared" si="356"/>
        <v>69355.56</v>
      </c>
      <c r="W35" s="22">
        <f t="shared" si="356"/>
        <v>96990.479999999981</v>
      </c>
      <c r="X35" s="22">
        <f t="shared" si="356"/>
        <v>97857.799999999988</v>
      </c>
      <c r="Y35" s="22">
        <f t="shared" si="356"/>
        <v>104977.01000000001</v>
      </c>
      <c r="Z35" s="22">
        <f t="shared" ref="Z35:AA35" si="357">+SUM(Z29:Z34)</f>
        <v>98243.41</v>
      </c>
      <c r="AA35" s="22">
        <f t="shared" si="357"/>
        <v>104169.80999999998</v>
      </c>
      <c r="AB35" s="21">
        <f t="shared" si="356"/>
        <v>113742.31840813402</v>
      </c>
      <c r="AC35" s="21">
        <f t="shared" si="356"/>
        <v>120418.62269750539</v>
      </c>
      <c r="AD35" s="21">
        <f t="shared" si="356"/>
        <v>128795.73848675998</v>
      </c>
      <c r="AE35" s="21">
        <f t="shared" si="356"/>
        <v>137831.85285128609</v>
      </c>
      <c r="AI35" s="22">
        <f t="shared" ref="AI35:BN35" si="358">+SUM(AI29:AI34)</f>
        <v>15368.15</v>
      </c>
      <c r="AJ35" s="22">
        <f t="shared" si="358"/>
        <v>15325.5</v>
      </c>
      <c r="AK35" s="22">
        <f t="shared" si="358"/>
        <v>15947.31</v>
      </c>
      <c r="AL35" s="22">
        <f t="shared" si="358"/>
        <v>15213.119999999999</v>
      </c>
      <c r="AM35" s="22">
        <f t="shared" si="358"/>
        <v>15938.14</v>
      </c>
      <c r="AN35" s="22">
        <f t="shared" si="358"/>
        <v>17412.530000000002</v>
      </c>
      <c r="AO35" s="22">
        <f t="shared" si="358"/>
        <v>17814.77</v>
      </c>
      <c r="AP35" s="22">
        <f t="shared" si="358"/>
        <v>18300.580000000002</v>
      </c>
      <c r="AQ35" s="22">
        <f t="shared" si="358"/>
        <v>17608.36</v>
      </c>
      <c r="AR35" s="22">
        <f t="shared" si="358"/>
        <v>18037.870000000003</v>
      </c>
      <c r="AS35" s="22">
        <f t="shared" si="358"/>
        <v>16965.54</v>
      </c>
      <c r="AT35" s="22">
        <f t="shared" si="358"/>
        <v>18688.77</v>
      </c>
      <c r="AU35" s="22">
        <f t="shared" si="358"/>
        <v>14121.449999999999</v>
      </c>
      <c r="AV35" s="22">
        <f t="shared" si="358"/>
        <v>13929.95</v>
      </c>
      <c r="AW35" s="22">
        <f t="shared" si="358"/>
        <v>13709.21</v>
      </c>
      <c r="AX35" s="22">
        <f t="shared" si="358"/>
        <v>13419.05</v>
      </c>
      <c r="AY35" s="22">
        <f t="shared" si="358"/>
        <v>13381.35</v>
      </c>
      <c r="AZ35" s="22">
        <f t="shared" si="358"/>
        <v>13508.289999999999</v>
      </c>
      <c r="BA35" s="22">
        <f t="shared" si="358"/>
        <v>14669.029999999999</v>
      </c>
      <c r="BB35" s="22">
        <f t="shared" si="358"/>
        <v>14383.259999999998</v>
      </c>
      <c r="BC35" s="22">
        <f t="shared" si="358"/>
        <v>13613.43</v>
      </c>
      <c r="BD35" s="22">
        <f t="shared" si="358"/>
        <v>13453.85</v>
      </c>
      <c r="BE35" s="22">
        <f t="shared" si="358"/>
        <v>14621.789999999999</v>
      </c>
      <c r="BF35" s="22">
        <f t="shared" si="358"/>
        <v>15240.31</v>
      </c>
      <c r="BG35" s="22">
        <f t="shared" si="358"/>
        <v>16722.809999999998</v>
      </c>
      <c r="BH35" s="22">
        <f t="shared" si="358"/>
        <v>16369.11</v>
      </c>
      <c r="BI35" s="22">
        <f t="shared" si="358"/>
        <v>17277.72</v>
      </c>
      <c r="BJ35" s="22">
        <f t="shared" si="358"/>
        <v>17135.650000000001</v>
      </c>
      <c r="BK35" s="22">
        <f t="shared" si="358"/>
        <v>16808.099999999999</v>
      </c>
      <c r="BL35" s="22">
        <f t="shared" si="358"/>
        <v>15911.939999999999</v>
      </c>
      <c r="BM35" s="22">
        <f t="shared" si="358"/>
        <v>14790.9</v>
      </c>
      <c r="BN35" s="22">
        <f t="shared" si="358"/>
        <v>17990.48</v>
      </c>
      <c r="BO35" s="22">
        <f t="shared" ref="BO35:CH35" si="359">+SUM(BO29:BO34)</f>
        <v>13852.36</v>
      </c>
      <c r="BP35" s="22">
        <f t="shared" si="359"/>
        <v>16371.060000000001</v>
      </c>
      <c r="BQ35" s="22">
        <f t="shared" si="359"/>
        <v>18082.28</v>
      </c>
      <c r="BR35" s="22">
        <f t="shared" si="359"/>
        <v>20821.04</v>
      </c>
      <c r="BS35" s="22">
        <f t="shared" si="359"/>
        <v>20690.52</v>
      </c>
      <c r="BT35" s="22">
        <f t="shared" si="359"/>
        <v>24872.58</v>
      </c>
      <c r="BU35" s="22">
        <f t="shared" si="359"/>
        <v>24763.68</v>
      </c>
      <c r="BV35" s="22">
        <f t="shared" si="359"/>
        <v>26663.690000000002</v>
      </c>
      <c r="BW35" s="22">
        <f t="shared" si="359"/>
        <v>25236.65</v>
      </c>
      <c r="BX35" s="22">
        <f t="shared" si="359"/>
        <v>22478.18</v>
      </c>
      <c r="BY35" s="22">
        <f t="shared" si="359"/>
        <v>23013.129999999997</v>
      </c>
      <c r="BZ35" s="22">
        <f t="shared" si="359"/>
        <v>27086.27</v>
      </c>
      <c r="CA35" s="22">
        <f t="shared" si="359"/>
        <v>26840.61</v>
      </c>
      <c r="CB35" s="22">
        <f t="shared" si="359"/>
        <v>25510.98</v>
      </c>
      <c r="CC35" s="22">
        <f t="shared" si="359"/>
        <v>26601.8</v>
      </c>
      <c r="CD35" s="22">
        <f t="shared" si="359"/>
        <v>25995.75</v>
      </c>
      <c r="CE35" s="22">
        <f t="shared" si="359"/>
        <v>25653.95</v>
      </c>
      <c r="CF35" s="22">
        <f t="shared" si="359"/>
        <v>23820.38</v>
      </c>
      <c r="CG35" s="22">
        <f t="shared" si="359"/>
        <v>23814.370000000003</v>
      </c>
      <c r="CH35" s="22">
        <f t="shared" si="359"/>
        <v>24954.71</v>
      </c>
      <c r="CI35" s="22">
        <f t="shared" ref="CI35:CJ35" si="360">+SUM(CI29:CI34)</f>
        <v>25171.919999999998</v>
      </c>
      <c r="CJ35" s="22">
        <f t="shared" si="360"/>
        <v>25366.67</v>
      </c>
      <c r="CK35" s="22">
        <f t="shared" ref="CK35:CL35" si="361">+SUM(CK29:CK34)</f>
        <v>26360.95</v>
      </c>
      <c r="CL35" s="22">
        <f t="shared" si="361"/>
        <v>27270.269999999997</v>
      </c>
      <c r="CM35" s="21">
        <f t="shared" ref="CM35:DB35" si="362">CM36*CM19</f>
        <v>25505.55090063902</v>
      </c>
      <c r="CN35" s="21">
        <f t="shared" si="362"/>
        <v>27081.693642583825</v>
      </c>
      <c r="CO35" s="21">
        <f t="shared" si="362"/>
        <v>29534.330304746538</v>
      </c>
      <c r="CP35" s="21">
        <f t="shared" si="362"/>
        <v>31620.743560164639</v>
      </c>
      <c r="CQ35" s="21">
        <f t="shared" si="362"/>
        <v>26884.73043329245</v>
      </c>
      <c r="CR35" s="21">
        <f t="shared" si="362"/>
        <v>28839.581831204192</v>
      </c>
      <c r="CS35" s="21">
        <f t="shared" si="362"/>
        <v>31438.855909831804</v>
      </c>
      <c r="CT35" s="21">
        <f t="shared" si="362"/>
        <v>33255.454523176952</v>
      </c>
      <c r="CU35" s="21">
        <f t="shared" si="362"/>
        <v>28664.63132702962</v>
      </c>
      <c r="CV35" s="21">
        <f t="shared" si="362"/>
        <v>30837.21403947434</v>
      </c>
      <c r="CW35" s="21">
        <f t="shared" si="362"/>
        <v>33650.485965933767</v>
      </c>
      <c r="CX35" s="21">
        <f t="shared" si="362"/>
        <v>35643.40715432226</v>
      </c>
      <c r="CY35" s="21">
        <f t="shared" si="362"/>
        <v>30654.026087042879</v>
      </c>
      <c r="CZ35" s="21">
        <f t="shared" si="362"/>
        <v>33002.11221213371</v>
      </c>
      <c r="DA35" s="21">
        <f t="shared" si="362"/>
        <v>36020.796623268609</v>
      </c>
      <c r="DB35" s="21">
        <f t="shared" si="362"/>
        <v>38154.917928840892</v>
      </c>
      <c r="DE35" s="126"/>
      <c r="DF35" s="22">
        <v>28759.954627660874</v>
      </c>
    </row>
    <row r="36" spans="1:110" s="44" customFormat="1" x14ac:dyDescent="0.2">
      <c r="A36" s="43" t="s">
        <v>349</v>
      </c>
      <c r="B36" s="44">
        <f t="shared" ref="B36:E36" si="363">B35/B19</f>
        <v>0.56043991395912329</v>
      </c>
      <c r="C36" s="44">
        <f t="shared" si="363"/>
        <v>0.58286484664644422</v>
      </c>
      <c r="D36" s="44">
        <f t="shared" si="363"/>
        <v>0.52773065464789715</v>
      </c>
      <c r="E36" s="44">
        <f t="shared" si="363"/>
        <v>0.46372773472879136</v>
      </c>
      <c r="F36" s="44">
        <f t="shared" ref="F36:AE36" si="364">F35/F19</f>
        <v>0.37486381629404059</v>
      </c>
      <c r="G36" s="44">
        <f t="shared" si="364"/>
        <v>0.35909308763742404</v>
      </c>
      <c r="H36" s="44">
        <f t="shared" si="364"/>
        <v>0.36089135575459358</v>
      </c>
      <c r="I36" s="44">
        <f t="shared" si="364"/>
        <v>0.41917842608008327</v>
      </c>
      <c r="J36" s="44">
        <f t="shared" si="364"/>
        <v>0.36882218779894771</v>
      </c>
      <c r="K36" s="44">
        <f t="shared" si="364"/>
        <v>0.48374295069825002</v>
      </c>
      <c r="L36" s="44">
        <f t="shared" si="364"/>
        <v>0.40950208297685148</v>
      </c>
      <c r="M36" s="44">
        <f t="shared" si="364"/>
        <v>0.4115407333500376</v>
      </c>
      <c r="N36" s="44">
        <f t="shared" si="364"/>
        <v>0.45916979347129422</v>
      </c>
      <c r="O36" s="44">
        <f t="shared" si="364"/>
        <v>0.46730920565453143</v>
      </c>
      <c r="P36" s="44">
        <f t="shared" si="364"/>
        <v>0.51094311241713752</v>
      </c>
      <c r="Q36" s="44">
        <f t="shared" si="364"/>
        <v>0.52456192690962133</v>
      </c>
      <c r="R36" s="44">
        <f t="shared" si="364"/>
        <v>0.49915351299231997</v>
      </c>
      <c r="S36" s="44">
        <f t="shared" si="364"/>
        <v>0.45200438429271711</v>
      </c>
      <c r="T36" s="44">
        <f t="shared" si="364"/>
        <v>0.4281457628415074</v>
      </c>
      <c r="U36" s="44">
        <f t="shared" si="364"/>
        <v>0.45339333219709971</v>
      </c>
      <c r="V36" s="44">
        <f t="shared" si="364"/>
        <v>0.44323052402455565</v>
      </c>
      <c r="W36" s="44">
        <f t="shared" si="364"/>
        <v>0.39756849476082401</v>
      </c>
      <c r="X36" s="44">
        <f t="shared" si="364"/>
        <v>0.40212335437919339</v>
      </c>
      <c r="Y36" s="44">
        <f t="shared" si="364"/>
        <v>0.45807327618294097</v>
      </c>
      <c r="Z36" s="44">
        <f t="shared" ref="Z36:AA36" si="365">Z35/Z19</f>
        <v>0.44953913085376385</v>
      </c>
      <c r="AA36" s="44">
        <f t="shared" si="365"/>
        <v>0.44873712813055772</v>
      </c>
      <c r="AB36" s="52">
        <f t="shared" si="364"/>
        <v>0.44236008568313057</v>
      </c>
      <c r="AC36" s="52">
        <f t="shared" si="364"/>
        <v>0.44350819924637824</v>
      </c>
      <c r="AD36" s="52">
        <f t="shared" si="364"/>
        <v>0.44348208217669832</v>
      </c>
      <c r="AE36" s="52">
        <f t="shared" si="364"/>
        <v>0.44348306526419878</v>
      </c>
      <c r="AI36" s="44">
        <f t="shared" ref="AI36:BN36" si="366">AI35/AI19</f>
        <v>0.45439398956867283</v>
      </c>
      <c r="AJ36" s="44">
        <f t="shared" si="366"/>
        <v>0.44899719418868628</v>
      </c>
      <c r="AK36" s="44">
        <f t="shared" si="366"/>
        <v>0.49669045576778248</v>
      </c>
      <c r="AL36" s="44">
        <f t="shared" si="366"/>
        <v>0.43904512694921594</v>
      </c>
      <c r="AM36" s="44">
        <f t="shared" si="366"/>
        <v>0.48584795086327331</v>
      </c>
      <c r="AN36" s="44">
        <f t="shared" si="366"/>
        <v>0.47516938923817215</v>
      </c>
      <c r="AO36" s="44">
        <f t="shared" si="366"/>
        <v>0.48494276158800864</v>
      </c>
      <c r="AP36" s="44">
        <f t="shared" si="366"/>
        <v>0.43133210222953927</v>
      </c>
      <c r="AQ36" s="44">
        <f t="shared" si="366"/>
        <v>0.48338481042056203</v>
      </c>
      <c r="AR36" s="44">
        <f t="shared" si="366"/>
        <v>0.50417347851740968</v>
      </c>
      <c r="AS36" s="44">
        <f t="shared" si="366"/>
        <v>0.50442791251390362</v>
      </c>
      <c r="AT36" s="44">
        <f t="shared" si="366"/>
        <v>0.55512000470501854</v>
      </c>
      <c r="AU36" s="44">
        <f t="shared" si="366"/>
        <v>0.52422354576313468</v>
      </c>
      <c r="AV36" s="44">
        <f t="shared" si="366"/>
        <v>0.52794338971192689</v>
      </c>
      <c r="AW36" s="44">
        <f t="shared" si="366"/>
        <v>0.55578321502833594</v>
      </c>
      <c r="AX36" s="44">
        <f t="shared" si="366"/>
        <v>0.5170109412191688</v>
      </c>
      <c r="AY36" s="44">
        <f t="shared" si="366"/>
        <v>0.5396933012185029</v>
      </c>
      <c r="AZ36" s="44">
        <f t="shared" si="366"/>
        <v>0.52113144976983983</v>
      </c>
      <c r="BA36" s="44">
        <f t="shared" si="366"/>
        <v>0.52988139913833487</v>
      </c>
      <c r="BB36" s="44">
        <f t="shared" si="366"/>
        <v>0.42484138517704595</v>
      </c>
      <c r="BC36" s="44">
        <f t="shared" si="366"/>
        <v>0.45902474568647372</v>
      </c>
      <c r="BD36" s="44">
        <f t="shared" si="366"/>
        <v>0.4144218821136183</v>
      </c>
      <c r="BE36" s="44">
        <f t="shared" si="366"/>
        <v>0.43716820244808141</v>
      </c>
      <c r="BF36" s="44">
        <f t="shared" si="366"/>
        <v>0.45216682598992558</v>
      </c>
      <c r="BG36" s="44">
        <f t="shared" si="366"/>
        <v>0.47114363860114128</v>
      </c>
      <c r="BH36" s="44">
        <f t="shared" si="366"/>
        <v>0.40025053084370654</v>
      </c>
      <c r="BI36" s="44">
        <f t="shared" si="366"/>
        <v>0.44468454630528542</v>
      </c>
      <c r="BJ36" s="44">
        <f t="shared" si="366"/>
        <v>0.40391539100873897</v>
      </c>
      <c r="BK36" s="44">
        <f t="shared" si="366"/>
        <v>0.46757861758566954</v>
      </c>
      <c r="BL36" s="44">
        <f t="shared" si="366"/>
        <v>0.4601595526556731</v>
      </c>
      <c r="BM36" s="44">
        <f t="shared" si="366"/>
        <v>0.41640566648864691</v>
      </c>
      <c r="BN36" s="44">
        <f t="shared" si="366"/>
        <v>0.49960551934121594</v>
      </c>
      <c r="BO36" s="44">
        <f t="shared" ref="BO36:CH36" si="367">BO35/BO19</f>
        <v>0.54377315058340647</v>
      </c>
      <c r="BP36" s="44">
        <f t="shared" si="367"/>
        <v>0.42041821327921924</v>
      </c>
      <c r="BQ36" s="44">
        <f t="shared" si="367"/>
        <v>0.43119564680849332</v>
      </c>
      <c r="BR36" s="44">
        <f t="shared" si="367"/>
        <v>0.41618465682571709</v>
      </c>
      <c r="BS36" s="44">
        <f t="shared" si="367"/>
        <v>0.38698875142311584</v>
      </c>
      <c r="BT36" s="44">
        <f t="shared" si="367"/>
        <v>0.41188544645191782</v>
      </c>
      <c r="BU36" s="44">
        <f t="shared" si="367"/>
        <v>0.40741054546238253</v>
      </c>
      <c r="BV36" s="44">
        <f t="shared" si="367"/>
        <v>0.38462700238735786</v>
      </c>
      <c r="BW36" s="44">
        <f t="shared" si="367"/>
        <v>0.39786571258710579</v>
      </c>
      <c r="BX36" s="44">
        <f t="shared" si="367"/>
        <v>0.37540265528699251</v>
      </c>
      <c r="BY36" s="44">
        <f t="shared" si="367"/>
        <v>0.40314812180599807</v>
      </c>
      <c r="BZ36" s="44">
        <f t="shared" si="367"/>
        <v>0.43020342259735073</v>
      </c>
      <c r="CA36" s="44">
        <f t="shared" si="367"/>
        <v>0.45118109600895345</v>
      </c>
      <c r="CB36" s="44">
        <f t="shared" si="367"/>
        <v>0.45815545545924863</v>
      </c>
      <c r="CC36" s="44">
        <f t="shared" si="367"/>
        <v>0.4809418880717849</v>
      </c>
      <c r="CD36" s="44">
        <f t="shared" si="367"/>
        <v>0.44295351073341072</v>
      </c>
      <c r="CE36" s="44">
        <f t="shared" si="367"/>
        <v>0.46838230689416505</v>
      </c>
      <c r="CF36" s="44">
        <f t="shared" si="367"/>
        <v>0.44189793433635016</v>
      </c>
      <c r="CG36" s="44">
        <f t="shared" si="367"/>
        <v>0.44389794271207111</v>
      </c>
      <c r="CH36" s="44">
        <f t="shared" si="367"/>
        <v>0.44389094546223629</v>
      </c>
      <c r="CI36" s="44">
        <f t="shared" ref="CI36:CJ36" si="368">CI35/CI19</f>
        <v>0.47335106995132581</v>
      </c>
      <c r="CJ36" s="44">
        <f t="shared" si="368"/>
        <v>0.43221974571510402</v>
      </c>
      <c r="CK36" s="44">
        <f t="shared" ref="CK36:CL36" si="369">CK35/CK19</f>
        <v>0.4624533352981629</v>
      </c>
      <c r="CL36" s="44">
        <f t="shared" si="369"/>
        <v>0.43101333915387874</v>
      </c>
      <c r="CM36" s="52">
        <f>AVERAGE(CI36:CL36)*0.995</f>
        <v>0.44751057566696972</v>
      </c>
      <c r="CN36" s="52">
        <f t="shared" ref="CN36:CP36" si="370">AVERAGE(CJ36:CM36)*0.995</f>
        <v>0.4410827527137362</v>
      </c>
      <c r="CO36" s="52">
        <f t="shared" si="370"/>
        <v>0.44328742570464597</v>
      </c>
      <c r="CP36" s="52">
        <f t="shared" si="370"/>
        <v>0.43851990569325866</v>
      </c>
      <c r="CQ36" s="52">
        <f>AVERAGE(CM36:CP36)*1.003</f>
        <v>0.44392796543948654</v>
      </c>
      <c r="CR36" s="52">
        <f t="shared" ref="CR36:CT36" si="371">AVERAGE(CN36:CQ36)*1.003</f>
        <v>0.44302962592494516</v>
      </c>
      <c r="CS36" s="52">
        <f t="shared" si="371"/>
        <v>0.44351780438265581</v>
      </c>
      <c r="CT36" s="52">
        <f t="shared" si="371"/>
        <v>0.44357557183616675</v>
      </c>
      <c r="CU36" s="52">
        <f t="shared" ref="CU36:DB36" si="372">AVERAGE(CQ36:CT36)</f>
        <v>0.44351274189581352</v>
      </c>
      <c r="CV36" s="52">
        <f t="shared" si="372"/>
        <v>0.44340893600989534</v>
      </c>
      <c r="CW36" s="52">
        <f t="shared" si="372"/>
        <v>0.44350376353113286</v>
      </c>
      <c r="CX36" s="52">
        <f t="shared" si="372"/>
        <v>0.44350025331825216</v>
      </c>
      <c r="CY36" s="52">
        <f t="shared" si="372"/>
        <v>0.44348142368877347</v>
      </c>
      <c r="CZ36" s="52">
        <f t="shared" si="372"/>
        <v>0.44347359413701343</v>
      </c>
      <c r="DA36" s="52">
        <f t="shared" si="372"/>
        <v>0.44348975866879298</v>
      </c>
      <c r="DB36" s="52">
        <f t="shared" si="372"/>
        <v>0.44348625745320797</v>
      </c>
      <c r="DE36" s="128"/>
      <c r="DF36" s="44">
        <v>0.45750856184777439</v>
      </c>
    </row>
    <row r="37" spans="1:110" s="26" customFormat="1" x14ac:dyDescent="0.2">
      <c r="A37" s="34" t="s">
        <v>13</v>
      </c>
      <c r="B37" s="26">
        <f t="shared" ref="B37:E37" si="373">B25-B35</f>
        <v>1702</v>
      </c>
      <c r="C37" s="26">
        <f t="shared" si="373"/>
        <v>1296.1900000000005</v>
      </c>
      <c r="D37" s="26">
        <f t="shared" si="373"/>
        <v>2303.8399999999992</v>
      </c>
      <c r="E37" s="26">
        <f t="shared" si="373"/>
        <v>3509.0900000000011</v>
      </c>
      <c r="F37" s="26">
        <f t="shared" ref="F37:AE37" si="374">F25-F35</f>
        <v>6119.23</v>
      </c>
      <c r="G37" s="26">
        <f t="shared" si="374"/>
        <v>6288.13</v>
      </c>
      <c r="H37" s="26">
        <f t="shared" si="374"/>
        <v>7387.68</v>
      </c>
      <c r="I37" s="26">
        <f t="shared" si="374"/>
        <v>17782.429999999949</v>
      </c>
      <c r="J37" s="26">
        <f t="shared" si="374"/>
        <v>18112.660000000025</v>
      </c>
      <c r="K37" s="26">
        <f t="shared" si="374"/>
        <v>7998.739999999998</v>
      </c>
      <c r="L37" s="26">
        <f t="shared" si="374"/>
        <v>16746.669999999984</v>
      </c>
      <c r="M37" s="26">
        <f t="shared" si="374"/>
        <v>12366.320000000022</v>
      </c>
      <c r="N37" s="26">
        <f t="shared" si="374"/>
        <v>12177.720000000023</v>
      </c>
      <c r="O37" s="26">
        <f t="shared" si="374"/>
        <v>16354.890000000029</v>
      </c>
      <c r="P37" s="26">
        <f t="shared" si="374"/>
        <v>12444.249999999985</v>
      </c>
      <c r="Q37" s="26">
        <f t="shared" si="374"/>
        <v>7856.4499999999971</v>
      </c>
      <c r="R37" s="26">
        <f t="shared" si="374"/>
        <v>16939.87000000001</v>
      </c>
      <c r="S37" s="26">
        <f t="shared" si="374"/>
        <v>21303.630000000005</v>
      </c>
      <c r="T37" s="26">
        <f t="shared" si="374"/>
        <v>29383.339999999982</v>
      </c>
      <c r="U37" s="26">
        <f t="shared" si="374"/>
        <v>17821.949999999983</v>
      </c>
      <c r="V37" s="26">
        <f t="shared" si="374"/>
        <v>30504.260000000009</v>
      </c>
      <c r="W37" s="26">
        <f t="shared" si="374"/>
        <v>63489.950000000012</v>
      </c>
      <c r="X37" s="26">
        <f t="shared" si="374"/>
        <v>32256.590000000026</v>
      </c>
      <c r="Y37" s="26">
        <f t="shared" si="374"/>
        <v>22278.029999999984</v>
      </c>
      <c r="Z37" s="26">
        <f t="shared" ref="Z37:AA37" si="375">Z25-Z35</f>
        <v>25298.449999999997</v>
      </c>
      <c r="AA37" s="26">
        <f t="shared" si="375"/>
        <v>34352.440000000017</v>
      </c>
      <c r="AB37" s="27">
        <f t="shared" si="374"/>
        <v>43289.343385237182</v>
      </c>
      <c r="AC37" s="27">
        <f t="shared" si="374"/>
        <v>47964.774987206547</v>
      </c>
      <c r="AD37" s="27">
        <f t="shared" si="374"/>
        <v>51528.518673509388</v>
      </c>
      <c r="AE37" s="27">
        <f t="shared" si="374"/>
        <v>55193.734904632467</v>
      </c>
      <c r="AI37" s="26">
        <f t="shared" ref="AI37:BN37" si="376">AI25-AI35</f>
        <v>3403.2800000000079</v>
      </c>
      <c r="AJ37" s="26">
        <f t="shared" si="376"/>
        <v>2310.0800000000017</v>
      </c>
      <c r="AK37" s="26">
        <f t="shared" si="376"/>
        <v>2238.9100000000017</v>
      </c>
      <c r="AL37" s="26">
        <f t="shared" si="376"/>
        <v>4368.9399999999987</v>
      </c>
      <c r="AM37" s="26">
        <f t="shared" si="376"/>
        <v>3688.0399999999972</v>
      </c>
      <c r="AN37" s="26">
        <f t="shared" si="376"/>
        <v>3705.3499999999949</v>
      </c>
      <c r="AO37" s="26">
        <f t="shared" si="376"/>
        <v>4006.5400000000045</v>
      </c>
      <c r="AP37" s="26">
        <f t="shared" si="376"/>
        <v>5011.0799999999945</v>
      </c>
      <c r="AQ37" s="26">
        <f t="shared" si="376"/>
        <v>4272.5699999999961</v>
      </c>
      <c r="AR37" s="26">
        <f t="shared" si="376"/>
        <v>3642.8199999999997</v>
      </c>
      <c r="AS37" s="26">
        <f t="shared" si="376"/>
        <v>3077.3900000000031</v>
      </c>
      <c r="AT37" s="26">
        <f t="shared" si="376"/>
        <v>1542.9699999999975</v>
      </c>
      <c r="AU37" s="26">
        <f t="shared" si="376"/>
        <v>2682.76</v>
      </c>
      <c r="AV37" s="26">
        <f t="shared" si="376"/>
        <v>1784.0499999999956</v>
      </c>
      <c r="AW37" s="26">
        <f t="shared" si="376"/>
        <v>838.26000000000022</v>
      </c>
      <c r="AX37" s="26">
        <f t="shared" si="376"/>
        <v>2245.7299999999959</v>
      </c>
      <c r="AY37" s="26">
        <f t="shared" si="376"/>
        <v>3275.3700000000008</v>
      </c>
      <c r="AZ37" s="26">
        <f t="shared" si="376"/>
        <v>3071.0899999999983</v>
      </c>
      <c r="BA37" s="26">
        <f t="shared" si="376"/>
        <v>3636.1500000000015</v>
      </c>
      <c r="BB37" s="26">
        <f t="shared" si="376"/>
        <v>7025.2100000000064</v>
      </c>
      <c r="BC37" s="26">
        <f t="shared" si="376"/>
        <v>4974.0099999999984</v>
      </c>
      <c r="BD37" s="26">
        <f t="shared" si="376"/>
        <v>4720.67</v>
      </c>
      <c r="BE37" s="26">
        <f t="shared" si="376"/>
        <v>5696.9400000000005</v>
      </c>
      <c r="BF37" s="26">
        <f t="shared" si="376"/>
        <v>6399.279999999997</v>
      </c>
      <c r="BG37" s="26">
        <f t="shared" si="376"/>
        <v>6352.739999999998</v>
      </c>
      <c r="BH37" s="26">
        <f t="shared" si="376"/>
        <v>8801.5399999999936</v>
      </c>
      <c r="BI37" s="26">
        <f t="shared" si="376"/>
        <v>6715.7799999999988</v>
      </c>
      <c r="BJ37" s="26">
        <f t="shared" si="376"/>
        <v>7513.2800000000025</v>
      </c>
      <c r="BK37" s="26">
        <f t="shared" si="376"/>
        <v>5376.9000000000015</v>
      </c>
      <c r="BL37" s="26">
        <f t="shared" si="376"/>
        <v>3819.5600000000013</v>
      </c>
      <c r="BM37" s="26">
        <f t="shared" si="376"/>
        <v>3619.7400000000071</v>
      </c>
      <c r="BN37" s="26">
        <f t="shared" si="376"/>
        <v>4799.1899999999951</v>
      </c>
      <c r="BO37" s="26">
        <f t="shared" ref="BO37:CT37" si="377">BO25-BO35</f>
        <v>539.22999999999774</v>
      </c>
      <c r="BP37" s="26">
        <f t="shared" si="377"/>
        <v>6212.7099999999991</v>
      </c>
      <c r="BQ37" s="26">
        <f t="shared" si="377"/>
        <v>9568.2400000000052</v>
      </c>
      <c r="BR37" s="26">
        <f t="shared" si="377"/>
        <v>14184.080000000002</v>
      </c>
      <c r="BS37" s="26">
        <f t="shared" si="377"/>
        <v>16110.55</v>
      </c>
      <c r="BT37" s="26">
        <f t="shared" si="377"/>
        <v>16456.120000000003</v>
      </c>
      <c r="BU37" s="26">
        <f t="shared" si="377"/>
        <v>15893.669999999998</v>
      </c>
      <c r="BV37" s="26">
        <f t="shared" si="377"/>
        <v>15029.610000000008</v>
      </c>
      <c r="BW37" s="26">
        <f t="shared" si="377"/>
        <v>14972.799999999996</v>
      </c>
      <c r="BX37" s="26">
        <f t="shared" si="377"/>
        <v>6060.320000000007</v>
      </c>
      <c r="BY37" s="26">
        <f t="shared" si="377"/>
        <v>4047.84</v>
      </c>
      <c r="BZ37" s="26">
        <f t="shared" si="377"/>
        <v>7219.2000000000007</v>
      </c>
      <c r="CA37" s="26">
        <f t="shared" si="377"/>
        <v>5173.8800000000047</v>
      </c>
      <c r="CB37" s="26">
        <f t="shared" si="377"/>
        <v>4267.82</v>
      </c>
      <c r="CC37" s="26">
        <f t="shared" si="377"/>
        <v>6263.5700000000106</v>
      </c>
      <c r="CD37" s="26">
        <f t="shared" si="377"/>
        <v>6600.6299999999937</v>
      </c>
      <c r="CE37" s="26">
        <f t="shared" si="377"/>
        <v>6694.4700000000012</v>
      </c>
      <c r="CF37" s="26">
        <f t="shared" si="377"/>
        <v>6141.2700000000077</v>
      </c>
      <c r="CG37" s="26">
        <f t="shared" si="377"/>
        <v>5903.489999999998</v>
      </c>
      <c r="CH37" s="26">
        <f t="shared" si="377"/>
        <v>6559.2200000000084</v>
      </c>
      <c r="CI37" s="26">
        <f t="shared" ref="CI37:CJ37" si="378">CI25-CI35</f>
        <v>7427.5400000000009</v>
      </c>
      <c r="CJ37" s="26">
        <f t="shared" si="378"/>
        <v>8896.5400000000009</v>
      </c>
      <c r="CK37" s="26">
        <f t="shared" ref="CK37:CL37" si="379">CK25-CK35</f>
        <v>8199.7000000000007</v>
      </c>
      <c r="CL37" s="26">
        <f t="shared" si="379"/>
        <v>9828.6599999999962</v>
      </c>
      <c r="CM37" s="27">
        <f t="shared" si="377"/>
        <v>9222.2142933897339</v>
      </c>
      <c r="CN37" s="27">
        <f t="shared" si="377"/>
        <v>10271.475706015302</v>
      </c>
      <c r="CO37" s="27">
        <f t="shared" si="377"/>
        <v>11215.777023712071</v>
      </c>
      <c r="CP37" s="27">
        <f t="shared" si="377"/>
        <v>12579.876362120052</v>
      </c>
      <c r="CQ37" s="27">
        <f t="shared" si="377"/>
        <v>10462.116074223031</v>
      </c>
      <c r="CR37" s="27">
        <f t="shared" si="377"/>
        <v>11425.072027027152</v>
      </c>
      <c r="CS37" s="27">
        <f t="shared" si="377"/>
        <v>12588.414677338162</v>
      </c>
      <c r="CT37" s="27">
        <f t="shared" si="377"/>
        <v>13489.172208618227</v>
      </c>
      <c r="CU37" s="27">
        <f t="shared" ref="CU37:DB37" si="380">CU25-CU35</f>
        <v>11403.748297006841</v>
      </c>
      <c r="CV37" s="27">
        <f t="shared" si="380"/>
        <v>12335.117823016844</v>
      </c>
      <c r="CW37" s="27">
        <f t="shared" si="380"/>
        <v>13492.78585818351</v>
      </c>
      <c r="CX37" s="27">
        <f t="shared" si="380"/>
        <v>14296.866695302197</v>
      </c>
      <c r="CY37" s="27">
        <f t="shared" si="380"/>
        <v>12260.97993527084</v>
      </c>
      <c r="CZ37" s="27">
        <f t="shared" si="380"/>
        <v>13217.873387306674</v>
      </c>
      <c r="DA37" s="27">
        <f t="shared" si="380"/>
        <v>14431.482617189096</v>
      </c>
      <c r="DB37" s="27">
        <f t="shared" si="380"/>
        <v>15283.398964865861</v>
      </c>
      <c r="DE37" s="121"/>
      <c r="DF37" s="26">
        <v>9501.2089183339049</v>
      </c>
    </row>
    <row r="38" spans="1:110" s="168" customFormat="1" x14ac:dyDescent="0.2">
      <c r="A38" s="165" t="s">
        <v>14</v>
      </c>
      <c r="B38" s="166">
        <f t="shared" ref="B38:E38" si="381">B37/B19</f>
        <v>0.24888098604833439</v>
      </c>
      <c r="C38" s="166">
        <f t="shared" si="381"/>
        <v>0.17474755645433104</v>
      </c>
      <c r="D38" s="166">
        <f t="shared" si="381"/>
        <v>0.25214899713467043</v>
      </c>
      <c r="E38" s="166">
        <f t="shared" si="381"/>
        <v>0.31529798444485985</v>
      </c>
      <c r="F38" s="166">
        <f t="shared" ref="F38:AE38" si="382">F37/F19</f>
        <v>0.38248510339335728</v>
      </c>
      <c r="G38" s="166">
        <f t="shared" si="382"/>
        <v>0.30942262970336787</v>
      </c>
      <c r="H38" s="166">
        <f t="shared" si="382"/>
        <v>0.29301795387821378</v>
      </c>
      <c r="I38" s="166">
        <f t="shared" si="382"/>
        <v>0.13519303010188308</v>
      </c>
      <c r="J38" s="166">
        <f t="shared" si="382"/>
        <v>0.1229400052643991</v>
      </c>
      <c r="K38" s="166">
        <f t="shared" si="382"/>
        <v>7.8117943861853195E-2</v>
      </c>
      <c r="L38" s="166">
        <f t="shared" si="382"/>
        <v>0.14102088433550197</v>
      </c>
      <c r="M38" s="166">
        <f t="shared" si="382"/>
        <v>9.3050021933834465E-2</v>
      </c>
      <c r="N38" s="166">
        <f t="shared" si="382"/>
        <v>9.0398491472965289E-2</v>
      </c>
      <c r="O38" s="166">
        <f t="shared" si="382"/>
        <v>0.11004979021091971</v>
      </c>
      <c r="P38" s="166">
        <f t="shared" si="382"/>
        <v>8.9203708029885559E-2</v>
      </c>
      <c r="Q38" s="166">
        <f t="shared" si="382"/>
        <v>7.7050670074904307E-2</v>
      </c>
      <c r="R38" s="166">
        <f t="shared" si="382"/>
        <v>0.15084556981683442</v>
      </c>
      <c r="S38" s="166">
        <f t="shared" si="382"/>
        <v>0.17285022921471135</v>
      </c>
      <c r="T38" s="166">
        <f t="shared" si="382"/>
        <v>0.186360932482665</v>
      </c>
      <c r="U38" s="166">
        <f t="shared" si="382"/>
        <v>0.11963311691864169</v>
      </c>
      <c r="V38" s="166">
        <f t="shared" si="382"/>
        <v>0.19494355095368412</v>
      </c>
      <c r="W38" s="166">
        <f t="shared" si="382"/>
        <v>0.26024826203499546</v>
      </c>
      <c r="X38" s="166">
        <f t="shared" si="382"/>
        <v>0.13255078462457112</v>
      </c>
      <c r="Y38" s="166">
        <f t="shared" si="382"/>
        <v>9.7211476960544385E-2</v>
      </c>
      <c r="Z38" s="166">
        <f t="shared" ref="Z38:AA38" si="383">Z37/Z19</f>
        <v>0.1157598583451796</v>
      </c>
      <c r="AA38" s="166">
        <f t="shared" si="383"/>
        <v>0.14798160109802741</v>
      </c>
      <c r="AB38" s="167">
        <f t="shared" si="382"/>
        <v>0.1683584255804175</v>
      </c>
      <c r="AC38" s="167">
        <f t="shared" si="382"/>
        <v>0.17665682022681356</v>
      </c>
      <c r="AD38" s="167">
        <f t="shared" si="382"/>
        <v>0.17742803466403492</v>
      </c>
      <c r="AE38" s="167">
        <f t="shared" si="382"/>
        <v>0.17758947755926952</v>
      </c>
      <c r="AI38" s="166">
        <f t="shared" ref="AI38:BN38" si="384">AI37/AI19</f>
        <v>0.10062564308776765</v>
      </c>
      <c r="AJ38" s="166">
        <f t="shared" si="384"/>
        <v>6.7679321284878219E-2</v>
      </c>
      <c r="AK38" s="166">
        <f t="shared" si="384"/>
        <v>6.9732464492321705E-2</v>
      </c>
      <c r="AL38" s="166">
        <f t="shared" si="384"/>
        <v>0.12608602422997434</v>
      </c>
      <c r="AM38" s="166">
        <f t="shared" si="384"/>
        <v>0.11242382591078916</v>
      </c>
      <c r="AN38" s="166">
        <f t="shared" si="384"/>
        <v>0.10111505314929298</v>
      </c>
      <c r="AO38" s="166">
        <f t="shared" si="384"/>
        <v>0.10906357881762281</v>
      </c>
      <c r="AP38" s="166">
        <f t="shared" si="384"/>
        <v>0.11810771411837204</v>
      </c>
      <c r="AQ38" s="166">
        <f t="shared" si="384"/>
        <v>0.11729061874351607</v>
      </c>
      <c r="AR38" s="166">
        <f t="shared" si="384"/>
        <v>0.1018198507369656</v>
      </c>
      <c r="AS38" s="166">
        <f t="shared" si="384"/>
        <v>9.1498497170804077E-2</v>
      </c>
      <c r="AT38" s="166">
        <f t="shared" si="384"/>
        <v>4.5831454593303948E-2</v>
      </c>
      <c r="AU38" s="166">
        <f t="shared" si="384"/>
        <v>9.9590761545840359E-2</v>
      </c>
      <c r="AV38" s="166">
        <f t="shared" si="384"/>
        <v>6.7615275317970333E-2</v>
      </c>
      <c r="AW38" s="166">
        <f t="shared" si="384"/>
        <v>3.3983784465308579E-2</v>
      </c>
      <c r="AX38" s="166">
        <f t="shared" si="384"/>
        <v>8.652378380169401E-2</v>
      </c>
      <c r="AY38" s="166">
        <f t="shared" si="384"/>
        <v>0.13210141338594747</v>
      </c>
      <c r="AZ38" s="166">
        <f t="shared" si="384"/>
        <v>0.11847847389074832</v>
      </c>
      <c r="BA38" s="166">
        <f t="shared" si="384"/>
        <v>0.13134667046674914</v>
      </c>
      <c r="BB38" s="166">
        <f t="shared" si="384"/>
        <v>0.2075051099374994</v>
      </c>
      <c r="BC38" s="166">
        <f t="shared" si="384"/>
        <v>0.16771626807439244</v>
      </c>
      <c r="BD38" s="166">
        <f t="shared" si="384"/>
        <v>0.14541182979127124</v>
      </c>
      <c r="BE38" s="166">
        <f t="shared" si="384"/>
        <v>0.17032942062870368</v>
      </c>
      <c r="BF38" s="166">
        <f t="shared" si="384"/>
        <v>0.18986110690798347</v>
      </c>
      <c r="BG38" s="166">
        <f t="shared" si="384"/>
        <v>0.17898026938576792</v>
      </c>
      <c r="BH38" s="166">
        <f t="shared" si="384"/>
        <v>0.21521152079997719</v>
      </c>
      <c r="BI38" s="166">
        <f t="shared" si="384"/>
        <v>0.17284708760103237</v>
      </c>
      <c r="BJ38" s="166">
        <f t="shared" si="384"/>
        <v>0.17710033929020136</v>
      </c>
      <c r="BK38" s="166">
        <f t="shared" si="384"/>
        <v>0.14957808847498455</v>
      </c>
      <c r="BL38" s="166">
        <f t="shared" si="384"/>
        <v>0.11045837408521547</v>
      </c>
      <c r="BM38" s="166">
        <f t="shared" si="384"/>
        <v>0.1019059183156953</v>
      </c>
      <c r="BN38" s="166">
        <f t="shared" si="384"/>
        <v>0.13327614451460817</v>
      </c>
      <c r="BO38" s="166">
        <f t="shared" ref="BO38:CT38" si="385">BO37/BO19</f>
        <v>2.1167425333234846E-2</v>
      </c>
      <c r="BP38" s="166">
        <f t="shared" si="385"/>
        <v>0.15954595718432024</v>
      </c>
      <c r="BQ38" s="166">
        <f t="shared" si="385"/>
        <v>0.2281672131843385</v>
      </c>
      <c r="BR38" s="166">
        <f t="shared" si="385"/>
        <v>0.28352073033760644</v>
      </c>
      <c r="BS38" s="166">
        <f t="shared" si="385"/>
        <v>0.30132648329958256</v>
      </c>
      <c r="BT38" s="166">
        <f t="shared" si="385"/>
        <v>0.27251038424909418</v>
      </c>
      <c r="BU38" s="166">
        <f t="shared" si="385"/>
        <v>0.26148168463245791</v>
      </c>
      <c r="BV38" s="166">
        <f t="shared" si="385"/>
        <v>0.21680396979379299</v>
      </c>
      <c r="BW38" s="166">
        <f t="shared" si="385"/>
        <v>0.23605208066142755</v>
      </c>
      <c r="BX38" s="166">
        <f t="shared" si="385"/>
        <v>0.10121194064149629</v>
      </c>
      <c r="BY38" s="166">
        <f t="shared" si="385"/>
        <v>7.0910784120682038E-2</v>
      </c>
      <c r="BZ38" s="166">
        <f t="shared" si="385"/>
        <v>0.11466047367964635</v>
      </c>
      <c r="CA38" s="166">
        <f t="shared" si="385"/>
        <v>8.6971080352451241E-2</v>
      </c>
      <c r="CB38" s="166">
        <f t="shared" si="385"/>
        <v>7.6646409346802447E-2</v>
      </c>
      <c r="CC38" s="166">
        <f t="shared" si="385"/>
        <v>0.11324095293813934</v>
      </c>
      <c r="CD38" s="166">
        <f t="shared" si="385"/>
        <v>0.11247116284593713</v>
      </c>
      <c r="CE38" s="166">
        <f t="shared" si="385"/>
        <v>0.12222567292887768</v>
      </c>
      <c r="CF38" s="166">
        <f t="shared" si="385"/>
        <v>0.11392826341149051</v>
      </c>
      <c r="CG38" s="166">
        <f t="shared" si="385"/>
        <v>0.11004057910502286</v>
      </c>
      <c r="CH38" s="166">
        <f t="shared" si="385"/>
        <v>0.1166745022200143</v>
      </c>
      <c r="CI38" s="166">
        <f t="shared" ref="CI38:CJ38" si="386">CI37/CI19</f>
        <v>0.13967285793480477</v>
      </c>
      <c r="CJ38" s="166">
        <f t="shared" si="386"/>
        <v>0.15158711240159833</v>
      </c>
      <c r="CK38" s="166">
        <f t="shared" ref="CK38:CL38" si="387">CK37/CK19</f>
        <v>0.14384832919315679</v>
      </c>
      <c r="CL38" s="166">
        <f t="shared" si="387"/>
        <v>0.15534439395019414</v>
      </c>
      <c r="CM38" s="167">
        <f t="shared" si="385"/>
        <v>0.16180942115057773</v>
      </c>
      <c r="CN38" s="167">
        <f t="shared" si="385"/>
        <v>0.16729274168132274</v>
      </c>
      <c r="CO38" s="167">
        <f t="shared" si="385"/>
        <v>0.16834012733038364</v>
      </c>
      <c r="CP38" s="167">
        <f t="shared" si="385"/>
        <v>0.17445909155973738</v>
      </c>
      <c r="CQ38" s="167">
        <f t="shared" si="385"/>
        <v>0.17275330003942305</v>
      </c>
      <c r="CR38" s="167">
        <f t="shared" si="385"/>
        <v>0.17551035989095845</v>
      </c>
      <c r="CS38" s="167">
        <f t="shared" si="385"/>
        <v>0.177588715517011</v>
      </c>
      <c r="CT38" s="167">
        <f t="shared" si="385"/>
        <v>0.17992438719682091</v>
      </c>
      <c r="CU38" s="167">
        <f t="shared" ref="CU38:DB38" si="388">CU37/CU19</f>
        <v>0.17644419066105338</v>
      </c>
      <c r="CV38" s="167">
        <f t="shared" si="388"/>
        <v>0.17736691331646087</v>
      </c>
      <c r="CW38" s="167">
        <f t="shared" si="388"/>
        <v>0.17783105167283667</v>
      </c>
      <c r="CX38" s="167">
        <f t="shared" si="388"/>
        <v>0.17789163571179287</v>
      </c>
      <c r="CY38" s="167">
        <f t="shared" si="388"/>
        <v>0.17738344784053592</v>
      </c>
      <c r="CZ38" s="167">
        <f t="shared" si="388"/>
        <v>0.17761826213540666</v>
      </c>
      <c r="DA38" s="167">
        <f t="shared" si="388"/>
        <v>0.1776810993401429</v>
      </c>
      <c r="DB38" s="167">
        <f t="shared" si="388"/>
        <v>0.17764361125696965</v>
      </c>
      <c r="DE38" s="169"/>
      <c r="DF38" s="168">
        <v>0.15114364693264945</v>
      </c>
    </row>
    <row r="39" spans="1:110" s="38" customFormat="1" x14ac:dyDescent="0.2">
      <c r="A39" s="39" t="s">
        <v>449</v>
      </c>
      <c r="B39" s="39"/>
      <c r="C39" s="39">
        <f t="shared" ref="C39:E39" si="389">+IF(B37&lt;0,1-C37/B37,C37/B37-1)</f>
        <v>-0.23843125734430048</v>
      </c>
      <c r="D39" s="39">
        <f t="shared" si="389"/>
        <v>0.77739374628719426</v>
      </c>
      <c r="E39" s="39">
        <f t="shared" si="389"/>
        <v>0.52314830891034192</v>
      </c>
      <c r="F39" s="39">
        <f t="shared" ref="F39:Y39" si="390">+IF(E37&lt;0,1-F37/E37,F37/E37-1)</f>
        <v>0.74382247249286793</v>
      </c>
      <c r="G39" s="39">
        <f t="shared" si="390"/>
        <v>2.7601511954935543E-2</v>
      </c>
      <c r="H39" s="39">
        <f t="shared" si="390"/>
        <v>0.1748612067498605</v>
      </c>
      <c r="I39" s="39">
        <f t="shared" si="390"/>
        <v>1.407038474866257</v>
      </c>
      <c r="J39" s="39">
        <f t="shared" si="390"/>
        <v>1.8570577811923172E-2</v>
      </c>
      <c r="K39" s="39">
        <f t="shared" si="390"/>
        <v>-0.55838954631732796</v>
      </c>
      <c r="L39" s="39">
        <f t="shared" si="390"/>
        <v>1.0936635020015637</v>
      </c>
      <c r="M39" s="39">
        <f t="shared" si="390"/>
        <v>-0.26156543360560436</v>
      </c>
      <c r="N39" s="39">
        <f t="shared" si="390"/>
        <v>-1.5251101378582987E-2</v>
      </c>
      <c r="O39" s="39">
        <f t="shared" si="390"/>
        <v>0.34301741212640779</v>
      </c>
      <c r="P39" s="39">
        <f t="shared" si="390"/>
        <v>-0.23911136057778659</v>
      </c>
      <c r="Q39" s="39">
        <f t="shared" si="390"/>
        <v>-0.36866826044156886</v>
      </c>
      <c r="R39" s="39">
        <f t="shared" si="390"/>
        <v>1.1561735898529255</v>
      </c>
      <c r="S39" s="39">
        <f t="shared" si="390"/>
        <v>0.25760292139195817</v>
      </c>
      <c r="T39" s="39">
        <f t="shared" si="390"/>
        <v>0.37926447276825481</v>
      </c>
      <c r="U39" s="39">
        <f t="shared" si="390"/>
        <v>-0.39346752275268937</v>
      </c>
      <c r="V39" s="39">
        <f t="shared" si="390"/>
        <v>0.71161180454439821</v>
      </c>
      <c r="W39" s="39">
        <f t="shared" si="390"/>
        <v>1.0813469987470601</v>
      </c>
      <c r="X39" s="39">
        <f t="shared" si="390"/>
        <v>-0.49194179551251782</v>
      </c>
      <c r="Y39" s="39">
        <f t="shared" si="390"/>
        <v>-0.30934950036566278</v>
      </c>
      <c r="Z39" s="39">
        <f t="shared" ref="Z39:AE39" si="391">+IF(Y37&lt;0,1-Z37/Y37,Z37/Y37-1)</f>
        <v>0.13557841514712088</v>
      </c>
      <c r="AA39" s="39">
        <f t="shared" si="391"/>
        <v>0.3578871432834827</v>
      </c>
      <c r="AB39" s="40">
        <f t="shared" si="391"/>
        <v>0.26015338023258794</v>
      </c>
      <c r="AC39" s="40">
        <f t="shared" si="391"/>
        <v>0.10800421619616918</v>
      </c>
      <c r="AD39" s="40">
        <f t="shared" si="391"/>
        <v>7.4299184917543837E-2</v>
      </c>
      <c r="AE39" s="40">
        <f t="shared" si="391"/>
        <v>7.1129858289664893E-2</v>
      </c>
      <c r="AI39" s="39"/>
      <c r="AJ39" s="39"/>
      <c r="AK39" s="39"/>
      <c r="AL39" s="39"/>
      <c r="AM39" s="39">
        <f>+IF(AI37&lt;0,1-AM37/AI37,AM37/AI37-1)</f>
        <v>8.3672222091625947E-2</v>
      </c>
      <c r="AN39" s="39">
        <f t="shared" ref="AN39" si="392">+IF(AJ37&lt;0,1-AN37/AJ37,AN37/AJ37-1)</f>
        <v>0.60399206953871376</v>
      </c>
      <c r="AO39" s="39">
        <f t="shared" ref="AO39" si="393">+IF(AK37&lt;0,1-AO37/AK37,AO37/AK37-1)</f>
        <v>0.78950471434760727</v>
      </c>
      <c r="AP39" s="39">
        <f t="shared" ref="AP39" si="394">+IF(AL37&lt;0,1-AP37/AL37,AP37/AL37-1)</f>
        <v>0.14697844328372467</v>
      </c>
      <c r="AQ39" s="39">
        <f t="shared" ref="AQ39" si="395">+IF(AM37&lt;0,1-AQ37/AM37,AQ37/AM37-1)</f>
        <v>0.1584934002884999</v>
      </c>
      <c r="AR39" s="39">
        <f t="shared" ref="AR39" si="396">+IF(AN37&lt;0,1-AR37/AN37,AR37/AN37-1)</f>
        <v>-1.6875598796333713E-2</v>
      </c>
      <c r="AS39" s="39">
        <f t="shared" ref="AS39" si="397">+IF(AO37&lt;0,1-AS37/AO37,AS37/AO37-1)</f>
        <v>-0.23190832988064525</v>
      </c>
      <c r="AT39" s="39">
        <f t="shared" ref="AT39" si="398">+IF(AP37&lt;0,1-AT37/AP37,AT37/AP37-1)</f>
        <v>-0.69208833225572142</v>
      </c>
      <c r="AU39" s="39">
        <f t="shared" ref="AU39" si="399">+IF(AQ37&lt;0,1-AU37/AQ37,AU37/AQ37-1)</f>
        <v>-0.37209688782161499</v>
      </c>
      <c r="AV39" s="39">
        <f t="shared" ref="AV39" si="400">+IF(AR37&lt;0,1-AV37/AR37,AV37/AR37-1)</f>
        <v>-0.5102557908433587</v>
      </c>
      <c r="AW39" s="39">
        <f t="shared" ref="AW39" si="401">+IF(AS37&lt;0,1-AW37/AS37,AW37/AS37-1)</f>
        <v>-0.72760683566268836</v>
      </c>
      <c r="AX39" s="39">
        <f t="shared" ref="AX39" si="402">+IF(AT37&lt;0,1-AX37/AT37,AX37/AT37-1)</f>
        <v>0.45545927658995278</v>
      </c>
      <c r="AY39" s="39">
        <f t="shared" ref="AY39" si="403">+IF(AU37&lt;0,1-AY37/AU37,AY37/AU37-1)</f>
        <v>0.22089564478373047</v>
      </c>
      <c r="AZ39" s="39">
        <f t="shared" ref="AZ39" si="404">+IF(AV37&lt;0,1-AZ37/AV37,AZ37/AV37-1)</f>
        <v>0.72141475855497661</v>
      </c>
      <c r="BA39" s="39">
        <f t="shared" ref="BA39" si="405">+IF(AW37&lt;0,1-BA37/AW37,BA37/AW37-1)</f>
        <v>3.3377353088540556</v>
      </c>
      <c r="BB39" s="39">
        <f t="shared" ref="BB39" si="406">+IF(AX37&lt;0,1-BB37/AX37,BB37/AX37-1)</f>
        <v>2.1282522832219453</v>
      </c>
      <c r="BC39" s="39">
        <f t="shared" ref="BC39" si="407">+IF(AY37&lt;0,1-BC37/AY37,BC37/AY37-1)</f>
        <v>0.51861011122407463</v>
      </c>
      <c r="BD39" s="39">
        <f t="shared" ref="BD39" si="408">+IF(AZ37&lt;0,1-BD37/AZ37,BD37/AZ37-1)</f>
        <v>0.5371317675483307</v>
      </c>
      <c r="BE39" s="39">
        <f t="shared" ref="BE39" si="409">+IF(BA37&lt;0,1-BE37/BA37,BE37/BA37-1)</f>
        <v>0.56675054659461188</v>
      </c>
      <c r="BF39" s="39">
        <f t="shared" ref="BF39" si="410">+IF(BB37&lt;0,1-BF37/BB37,BF37/BB37-1)</f>
        <v>-8.9097692453322885E-2</v>
      </c>
      <c r="BG39" s="39">
        <f t="shared" ref="BG39" si="411">+IF(BC37&lt;0,1-BG37/BC37,BG37/BC37-1)</f>
        <v>0.27718681707515658</v>
      </c>
      <c r="BH39" s="39">
        <f t="shared" ref="BH39" si="412">+IF(BD37&lt;0,1-BH37/BD37,BH37/BD37-1)</f>
        <v>0.864468391139392</v>
      </c>
      <c r="BI39" s="39">
        <f t="shared" ref="BI39" si="413">+IF(BE37&lt;0,1-BI37/BE37,BI37/BE37-1)</f>
        <v>0.1788398684205903</v>
      </c>
      <c r="BJ39" s="39">
        <f t="shared" ref="BJ39" si="414">+IF(BF37&lt;0,1-BJ37/BF37,BJ37/BF37-1)</f>
        <v>0.17408208423447724</v>
      </c>
      <c r="BK39" s="39">
        <f t="shared" ref="BK39" si="415">+IF(BG37&lt;0,1-BK37/BG37,BK37/BG37-1)</f>
        <v>-0.15360930873922074</v>
      </c>
      <c r="BL39" s="39">
        <f t="shared" ref="BL39" si="416">+IF(BH37&lt;0,1-BL37/BH37,BL37/BH37-1)</f>
        <v>-0.56603503477800432</v>
      </c>
      <c r="BM39" s="39">
        <f t="shared" ref="BM39" si="417">+IF(BI37&lt;0,1-BM37/BI37,BM37/BI37-1)</f>
        <v>-0.461009741236311</v>
      </c>
      <c r="BN39" s="39">
        <f t="shared" ref="BN39" si="418">+IF(BJ37&lt;0,1-BN37/BJ37,BN37/BJ37-1)</f>
        <v>-0.36123903275267344</v>
      </c>
      <c r="BO39" s="39">
        <f t="shared" ref="BO39" si="419">+IF(BK37&lt;0,1-BO37/BK37,BO37/BK37-1)</f>
        <v>-0.89971358961483427</v>
      </c>
      <c r="BP39" s="39">
        <f t="shared" ref="BP39" si="420">+IF(BL37&lt;0,1-BP37/BL37,BP37/BL37-1)</f>
        <v>0.62655122579564049</v>
      </c>
      <c r="BQ39" s="39">
        <f t="shared" ref="BQ39" si="421">+IF(BM37&lt;0,1-BQ37/BM37,BQ37/BM37-1)</f>
        <v>1.6433500748672518</v>
      </c>
      <c r="BR39" s="39">
        <f t="shared" ref="BR39" si="422">+IF(BN37&lt;0,1-BR37/BN37,BR37/BN37-1)</f>
        <v>1.9555154098920893</v>
      </c>
      <c r="BS39" s="39">
        <f t="shared" ref="BS39" si="423">+IF(BO37&lt;0,1-BS37/BO37,BS37/BO37-1)</f>
        <v>28.876954175398378</v>
      </c>
      <c r="BT39" s="39">
        <f t="shared" ref="BT39" si="424">+IF(BP37&lt;0,1-BT37/BP37,BT37/BP37-1)</f>
        <v>1.6487828982843244</v>
      </c>
      <c r="BU39" s="39">
        <f t="shared" ref="BU39" si="425">+IF(BQ37&lt;0,1-BU37/BQ37,BU37/BQ37-1)</f>
        <v>0.66108605135322573</v>
      </c>
      <c r="BV39" s="39">
        <f t="shared" ref="BV39" si="426">+IF(BR37&lt;0,1-BV37/BR37,BV37/BR37-1)</f>
        <v>5.9611197906385582E-2</v>
      </c>
      <c r="BW39" s="39">
        <f t="shared" ref="BW39" si="427">+IF(BS37&lt;0,1-BW37/BS37,BW37/BS37-1)</f>
        <v>-7.0621425091011991E-2</v>
      </c>
      <c r="BX39" s="39">
        <f t="shared" ref="BX39" si="428">+IF(BT37&lt;0,1-BX37/BT37,BX37/BT37-1)</f>
        <v>-0.63172849979217416</v>
      </c>
      <c r="BY39" s="39">
        <f t="shared" ref="BY39" si="429">+IF(BU37&lt;0,1-BY37/BU37,BY37/BU37-1)</f>
        <v>-0.74531747544777249</v>
      </c>
      <c r="BZ39" s="39">
        <f t="shared" ref="BZ39" si="430">+IF(BV37&lt;0,1-BZ37/BV37,BZ37/BV37-1)</f>
        <v>-0.51966817502250584</v>
      </c>
      <c r="CA39" s="39">
        <f t="shared" ref="CA39" si="431">+IF(BW37&lt;0,1-CA37/BW37,CA37/BW37-1)</f>
        <v>-0.65444806582603077</v>
      </c>
      <c r="CB39" s="39">
        <f t="shared" ref="CB39" si="432">+IF(BX37&lt;0,1-CB37/BX37,CB37/BX37-1)</f>
        <v>-0.29577646064894347</v>
      </c>
      <c r="CC39" s="39">
        <f t="shared" ref="CC39" si="433">+IF(BY37&lt;0,1-CC37/BY37,CC37/BY37-1)</f>
        <v>0.54738576623582214</v>
      </c>
      <c r="CD39" s="39">
        <f t="shared" ref="CD39" si="434">+IF(BZ37&lt;0,1-CD37/BZ37,CD37/BZ37-1)</f>
        <v>-8.5684009308511611E-2</v>
      </c>
      <c r="CE39" s="39">
        <f t="shared" ref="CE39" si="435">+IF(CA37&lt;0,1-CE37/CA37,CE37/CA37-1)</f>
        <v>0.293897423210433</v>
      </c>
      <c r="CF39" s="39">
        <f t="shared" ref="CF39" si="436">+IF(CB37&lt;0,1-CF37/CB37,CF37/CB37-1)</f>
        <v>0.43897118435173188</v>
      </c>
      <c r="CG39" s="39">
        <f t="shared" ref="CG39" si="437">+IF(CC37&lt;0,1-CG37/CC37,CG37/CC37-1)</f>
        <v>-5.7487982093280987E-2</v>
      </c>
      <c r="CH39" s="39">
        <f t="shared" ref="CH39:CL39" si="438">+IF(CD37&lt;0,1-CH37/CD37,CH37/CD37-1)</f>
        <v>-6.2736435764442211E-3</v>
      </c>
      <c r="CI39" s="39">
        <f t="shared" si="438"/>
        <v>0.10950381434228551</v>
      </c>
      <c r="CJ39" s="39">
        <f t="shared" si="438"/>
        <v>0.44864824376716705</v>
      </c>
      <c r="CK39" s="39">
        <f t="shared" si="438"/>
        <v>0.3889580570137332</v>
      </c>
      <c r="CL39" s="39">
        <f t="shared" si="438"/>
        <v>0.49844951076499688</v>
      </c>
      <c r="CM39" s="40">
        <f t="shared" ref="CM39" si="439">+CM37/CI37-1</f>
        <v>0.24162431887135338</v>
      </c>
      <c r="CN39" s="40">
        <f t="shared" ref="CN39" si="440">+CN37/CJ37-1</f>
        <v>0.15454724038955603</v>
      </c>
      <c r="CO39" s="40">
        <f t="shared" ref="CO39" si="441">+CO37/CK37-1</f>
        <v>0.36782772829640975</v>
      </c>
      <c r="CP39" s="40">
        <f t="shared" ref="CP39" si="442">+CP37/CL37-1</f>
        <v>0.27991774688717053</v>
      </c>
      <c r="CQ39" s="40">
        <f t="shared" ref="CQ39" si="443">+CQ37/CM37-1</f>
        <v>0.1344472966456689</v>
      </c>
      <c r="CR39" s="40">
        <f t="shared" ref="CR39" si="444">+CR37/CN37-1</f>
        <v>0.11231067025123442</v>
      </c>
      <c r="CS39" s="40">
        <f t="shared" ref="CS39" si="445">+CS37/CO37-1</f>
        <v>0.12238453481413725</v>
      </c>
      <c r="CT39" s="40">
        <f t="shared" ref="CT39" si="446">+CT37/CP37-1</f>
        <v>7.2281779273777769E-2</v>
      </c>
      <c r="CU39" s="40">
        <f t="shared" ref="CU39" si="447">+CU37/CQ37-1</f>
        <v>9.000399308356366E-2</v>
      </c>
      <c r="CV39" s="40">
        <f t="shared" ref="CV39" si="448">+CV37/CR37-1</f>
        <v>7.9653396830837275E-2</v>
      </c>
      <c r="CW39" s="40">
        <f t="shared" ref="CW39" si="449">+CW37/CS37-1</f>
        <v>7.1841546693993896E-2</v>
      </c>
      <c r="CX39" s="40">
        <f t="shared" ref="CX39" si="450">+CX37/CT37-1</f>
        <v>5.9877246297436626E-2</v>
      </c>
      <c r="CY39" s="40">
        <f t="shared" ref="CY39" si="451">+CY37/CU37-1</f>
        <v>7.517104165557531E-2</v>
      </c>
      <c r="CZ39" s="40">
        <f t="shared" ref="CZ39" si="452">+CZ37/CV37-1</f>
        <v>7.1564420944779439E-2</v>
      </c>
      <c r="DA39" s="40">
        <f t="shared" ref="DA39" si="453">+DA37/CW37-1</f>
        <v>6.9570270281600788E-2</v>
      </c>
      <c r="DB39" s="40">
        <f t="shared" ref="DB39" si="454">+DB37/CX37-1</f>
        <v>6.9003390084614091E-2</v>
      </c>
      <c r="DE39" s="122"/>
      <c r="DF39" s="38">
        <v>0.4485272514618952</v>
      </c>
    </row>
    <row r="40" spans="1:110" s="38" customFormat="1" x14ac:dyDescent="0.2">
      <c r="A40" s="39" t="s">
        <v>450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40"/>
      <c r="AC40" s="40"/>
      <c r="AD40" s="40"/>
      <c r="AE40" s="40"/>
      <c r="AI40" s="39"/>
      <c r="AJ40" s="39">
        <f>+IF(AI37&lt;0,1-AJ37/AI37,AJ37/AI37-1)</f>
        <v>-0.32121952939517273</v>
      </c>
      <c r="AK40" s="39">
        <f t="shared" ref="AK40:AM40" si="455">+IF(AJ37&lt;0,1-AK37/AJ37,AK37/AJ37-1)</f>
        <v>-3.0808456849979238E-2</v>
      </c>
      <c r="AL40" s="39">
        <f t="shared" si="455"/>
        <v>0.95136919304482781</v>
      </c>
      <c r="AM40" s="39">
        <f t="shared" si="455"/>
        <v>-0.15585016045081912</v>
      </c>
      <c r="AN40" s="39">
        <f t="shared" ref="AN40" si="456">+IF(AM37&lt;0,1-AN37/AM37,AN37/AM37-1)</f>
        <v>4.6935499614966236E-3</v>
      </c>
      <c r="AO40" s="39">
        <f t="shared" ref="AO40" si="457">+IF(AN37&lt;0,1-AO37/AN37,AO37/AN37-1)</f>
        <v>8.1285168742496694E-2</v>
      </c>
      <c r="AP40" s="39">
        <f t="shared" ref="AP40" si="458">+IF(AO37&lt;0,1-AP37/AO37,AP37/AO37-1)</f>
        <v>0.25072506451950782</v>
      </c>
      <c r="AQ40" s="39">
        <f t="shared" ref="AQ40" si="459">+IF(AP37&lt;0,1-AQ37/AP37,AQ37/AP37-1)</f>
        <v>-0.14737541607797111</v>
      </c>
      <c r="AR40" s="39">
        <f t="shared" ref="AR40" si="460">+IF(AQ37&lt;0,1-AR37/AQ37,AR37/AQ37-1)</f>
        <v>-0.14739372321576871</v>
      </c>
      <c r="AS40" s="39">
        <f t="shared" ref="AS40" si="461">+IF(AR37&lt;0,1-AS37/AR37,AS37/AR37-1)</f>
        <v>-0.15521766104281753</v>
      </c>
      <c r="AT40" s="39">
        <f t="shared" ref="AT40" si="462">+IF(AS37&lt;0,1-AT37/AS37,AT37/AS37-1)</f>
        <v>-0.49861083580566778</v>
      </c>
      <c r="AU40" s="39">
        <f t="shared" ref="AU40" si="463">+IF(AT37&lt;0,1-AU37/AT37,AU37/AT37-1)</f>
        <v>0.73869874333266661</v>
      </c>
      <c r="AV40" s="39">
        <f t="shared" ref="AV40" si="464">+IF(AU37&lt;0,1-AV37/AU37,AV37/AU37-1)</f>
        <v>-0.3349945578434167</v>
      </c>
      <c r="AW40" s="39">
        <f t="shared" ref="AW40" si="465">+IF(AV37&lt;0,1-AW37/AV37,AW37/AV37-1)</f>
        <v>-0.53013648720607476</v>
      </c>
      <c r="AX40" s="39">
        <f t="shared" ref="AX40" si="466">+IF(AW37&lt;0,1-AX37/AW37,AX37/AW37-1)</f>
        <v>1.6790375301219136</v>
      </c>
      <c r="AY40" s="39">
        <f t="shared" ref="AY40" si="467">+IF(AX37&lt;0,1-AY37/AX37,AY37/AX37-1)</f>
        <v>0.45848788589902023</v>
      </c>
      <c r="AZ40" s="39">
        <f t="shared" ref="AZ40" si="468">+IF(AY37&lt;0,1-AZ37/AY37,AZ37/AY37-1)</f>
        <v>-6.2368526303899219E-2</v>
      </c>
      <c r="BA40" s="39">
        <f t="shared" ref="BA40" si="469">+IF(AZ37&lt;0,1-BA37/AZ37,BA37/AZ37-1)</f>
        <v>0.18399330530853986</v>
      </c>
      <c r="BB40" s="39">
        <f t="shared" ref="BB40" si="470">+IF(BA37&lt;0,1-BB37/BA37,BB37/BA37-1)</f>
        <v>0.93204625771764182</v>
      </c>
      <c r="BC40" s="39">
        <f t="shared" ref="BC40" si="471">+IF(BB37&lt;0,1-BC37/BB37,BC37/BB37-1)</f>
        <v>-0.29197703698537214</v>
      </c>
      <c r="BD40" s="39">
        <f t="shared" ref="BD40" si="472">+IF(BC37&lt;0,1-BD37/BC37,BD37/BC37-1)</f>
        <v>-5.0932748426319674E-2</v>
      </c>
      <c r="BE40" s="39">
        <f t="shared" ref="BE40" si="473">+IF(BD37&lt;0,1-BE37/BD37,BE37/BD37-1)</f>
        <v>0.20680750825624328</v>
      </c>
      <c r="BF40" s="39">
        <f t="shared" ref="BF40" si="474">+IF(BE37&lt;0,1-BF37/BE37,BF37/BE37-1)</f>
        <v>0.12328372775560159</v>
      </c>
      <c r="BG40" s="39">
        <f t="shared" ref="BG40" si="475">+IF(BF37&lt;0,1-BG37/BF37,BG37/BF37-1)</f>
        <v>-7.2726931779824033E-3</v>
      </c>
      <c r="BH40" s="39">
        <f t="shared" ref="BH40" si="476">+IF(BG37&lt;0,1-BH37/BG37,BH37/BG37-1)</f>
        <v>0.38547146585567749</v>
      </c>
      <c r="BI40" s="39">
        <f t="shared" ref="BI40" si="477">+IF(BH37&lt;0,1-BI37/BH37,BI37/BH37-1)</f>
        <v>-0.23697671089377503</v>
      </c>
      <c r="BJ40" s="39">
        <f t="shared" ref="BJ40" si="478">+IF(BI37&lt;0,1-BJ37/BI37,BJ37/BI37-1)</f>
        <v>0.11875016751591083</v>
      </c>
      <c r="BK40" s="39">
        <f t="shared" ref="BK40" si="479">+IF(BJ37&lt;0,1-BK37/BJ37,BK37/BJ37-1)</f>
        <v>-0.28434718258869629</v>
      </c>
      <c r="BL40" s="39">
        <f t="shared" ref="BL40" si="480">+IF(BK37&lt;0,1-BL37/BK37,BL37/BK37-1)</f>
        <v>-0.28963529171083702</v>
      </c>
      <c r="BM40" s="39">
        <f t="shared" ref="BM40" si="481">+IF(BL37&lt;0,1-BM37/BL37,BM37/BL37-1)</f>
        <v>-5.2314926326591071E-2</v>
      </c>
      <c r="BN40" s="39">
        <f t="shared" ref="BN40" si="482">+IF(BM37&lt;0,1-BN37/BM37,BN37/BM37-1)</f>
        <v>0.32583831987932443</v>
      </c>
      <c r="BO40" s="39">
        <f t="shared" ref="BO40" si="483">+IF(BN37&lt;0,1-BO37/BN37,BO37/BN37-1)</f>
        <v>-0.88764145616239443</v>
      </c>
      <c r="BP40" s="39">
        <f t="shared" ref="BP40" si="484">+IF(BO37&lt;0,1-BP37/BO37,BP37/BO37-1)</f>
        <v>10.521447248854896</v>
      </c>
      <c r="BQ40" s="39">
        <f t="shared" ref="BQ40" si="485">+IF(BP37&lt;0,1-BQ37/BP37,BQ37/BP37-1)</f>
        <v>0.54010729617188091</v>
      </c>
      <c r="BR40" s="39">
        <f t="shared" ref="BR40" si="486">+IF(BQ37&lt;0,1-BR37/BQ37,BR37/BQ37-1)</f>
        <v>0.48241264851216048</v>
      </c>
      <c r="BS40" s="39">
        <f t="shared" ref="BS40" si="487">+IF(BR37&lt;0,1-BS37/BR37,BS37/BR37-1)</f>
        <v>0.13581917191668391</v>
      </c>
      <c r="BT40" s="39">
        <f t="shared" ref="BT40" si="488">+IF(BS37&lt;0,1-BT37/BS37,BT37/BS37-1)</f>
        <v>2.1449919462712463E-2</v>
      </c>
      <c r="BU40" s="39">
        <f t="shared" ref="BU40" si="489">+IF(BT37&lt;0,1-BU37/BT37,BU37/BT37-1)</f>
        <v>-3.4178773611276747E-2</v>
      </c>
      <c r="BV40" s="39">
        <f t="shared" ref="BV40" si="490">+IF(BU37&lt;0,1-BV37/BU37,BV37/BU37-1)</f>
        <v>-5.4365039666734671E-2</v>
      </c>
      <c r="BW40" s="39">
        <f t="shared" ref="BW40" si="491">+IF(BV37&lt;0,1-BW37/BV37,BW37/BV37-1)</f>
        <v>-3.7798718662701569E-3</v>
      </c>
      <c r="BX40" s="39">
        <f t="shared" ref="BX40" si="492">+IF(BW37&lt;0,1-BX37/BW37,BX37/BW37-1)</f>
        <v>-0.59524471040820637</v>
      </c>
      <c r="BY40" s="39">
        <f t="shared" ref="BY40" si="493">+IF(BX37&lt;0,1-BY37/BX37,BY37/BX37-1)</f>
        <v>-0.33207487393405044</v>
      </c>
      <c r="BZ40" s="39">
        <f t="shared" ref="BZ40" si="494">+IF(BY37&lt;0,1-BZ37/BY37,BZ37/BY37-1)</f>
        <v>0.7834697023597772</v>
      </c>
      <c r="CA40" s="39">
        <f t="shared" ref="CA40" si="495">+IF(BZ37&lt;0,1-CA37/BZ37,CA37/BZ37-1)</f>
        <v>-0.28331671099290723</v>
      </c>
      <c r="CB40" s="39">
        <f t="shared" ref="CB40" si="496">+IF(CA37&lt;0,1-CB37/CA37,CB37/CA37-1)</f>
        <v>-0.17512195876209036</v>
      </c>
      <c r="CC40" s="39">
        <f t="shared" ref="CC40" si="497">+IF(CB37&lt;0,1-CC37/CB37,CC37/CB37-1)</f>
        <v>0.46762750069122205</v>
      </c>
      <c r="CD40" s="39">
        <f t="shared" ref="CD40" si="498">+IF(CC37&lt;0,1-CD37/CC37,CD37/CC37-1)</f>
        <v>5.3812761731725223E-2</v>
      </c>
      <c r="CE40" s="39">
        <f t="shared" ref="CE40" si="499">+IF(CD37&lt;0,1-CE37/CD37,CE37/CD37-1)</f>
        <v>1.4216824757637969E-2</v>
      </c>
      <c r="CF40" s="39">
        <f t="shared" ref="CF40" si="500">+IF(CE37&lt;0,1-CF37/CE37,CF37/CE37-1)</f>
        <v>-8.2635369192780472E-2</v>
      </c>
      <c r="CG40" s="39">
        <f t="shared" ref="CG40" si="501">+IF(CF37&lt;0,1-CG37/CF37,CG37/CF37-1)</f>
        <v>-3.8718375840829267E-2</v>
      </c>
      <c r="CH40" s="39">
        <f t="shared" ref="CH40:CI40" si="502">+IF(CG37&lt;0,1-CH37/CG37,CH37/CG37-1)</f>
        <v>0.11107497429486801</v>
      </c>
      <c r="CI40" s="39">
        <f t="shared" si="502"/>
        <v>0.13238159415296202</v>
      </c>
      <c r="CJ40" s="39">
        <f>+IF(CI37&gt;1,CJ37/CI37-1,1-CJ37/CI37)</f>
        <v>0.19777746063972734</v>
      </c>
      <c r="CK40" s="39">
        <f>+IF(CJ37&gt;1,CK37/CJ37-1,1-CK37/CJ37)</f>
        <v>-7.8327079965919366E-2</v>
      </c>
      <c r="CL40" s="39">
        <f>+IF(CK37&gt;1,CL37/CK37-1,1-CL37/CK37)</f>
        <v>0.19866092661926604</v>
      </c>
      <c r="CM40" s="40">
        <f t="shared" ref="CM40" si="503">+CM37/CL37-1</f>
        <v>-6.1701768767081444E-2</v>
      </c>
      <c r="CN40" s="40">
        <f t="shared" ref="CN40" si="504">+CN37/CM37-1</f>
        <v>0.11377543171791782</v>
      </c>
      <c r="CO40" s="40">
        <f t="shared" ref="CO40" si="505">+CO37/CN37-1</f>
        <v>9.1934337842395575E-2</v>
      </c>
      <c r="CP40" s="40">
        <f t="shared" ref="CP40" si="506">+CP37/CO37-1</f>
        <v>0.12162325762397397</v>
      </c>
      <c r="CQ40" s="40">
        <f t="shared" ref="CQ40" si="507">+CQ37/CP37-1</f>
        <v>-0.16834507962843925</v>
      </c>
      <c r="CR40" s="40">
        <f t="shared" ref="CR40" si="508">+CR37/CQ37-1</f>
        <v>9.204217827182104E-2</v>
      </c>
      <c r="CS40" s="40">
        <f t="shared" ref="CS40" si="509">+CS37/CR37-1</f>
        <v>0.10182366006612531</v>
      </c>
      <c r="CT40" s="40">
        <f t="shared" ref="CT40" si="510">+CT37/CS37-1</f>
        <v>7.155448516496854E-2</v>
      </c>
      <c r="CU40" s="40">
        <f t="shared" ref="CU40" si="511">+CU37/CT37-1</f>
        <v>-0.15459984344176503</v>
      </c>
      <c r="CV40" s="40">
        <f t="shared" ref="CV40" si="512">+CV37/CU37-1</f>
        <v>8.1672227565252387E-2</v>
      </c>
      <c r="CW40" s="40">
        <f t="shared" ref="CW40" si="513">+CW37/CV37-1</f>
        <v>9.3851396620347138E-2</v>
      </c>
      <c r="CX40" s="40">
        <f t="shared" ref="CX40" si="514">+CX37/CW37-1</f>
        <v>5.9593389057679635E-2</v>
      </c>
      <c r="CY40" s="40">
        <f t="shared" ref="CY40" si="515">+CY37/CX37-1</f>
        <v>-0.14240090527670157</v>
      </c>
      <c r="CZ40" s="40">
        <f t="shared" ref="CZ40" si="516">+CZ37/CY37-1</f>
        <v>7.804379887150481E-2</v>
      </c>
      <c r="DA40" s="40">
        <f t="shared" ref="DA40" si="517">+DA37/CZ37-1</f>
        <v>9.1815770534454444E-2</v>
      </c>
      <c r="DB40" s="40">
        <f t="shared" ref="DB40" si="518">+DB37/DA37-1</f>
        <v>5.903179668193359E-2</v>
      </c>
      <c r="DE40" s="122"/>
      <c r="DF40" s="38">
        <v>0.15872640686048323</v>
      </c>
    </row>
    <row r="41" spans="1:110" s="23" customFormat="1" x14ac:dyDescent="0.2">
      <c r="A41" s="23" t="s">
        <v>15</v>
      </c>
      <c r="B41" s="23">
        <f>'Annual Raw'!C27</f>
        <v>492.25</v>
      </c>
      <c r="C41" s="23">
        <f>'Annual Raw'!D27</f>
        <v>547.32000000000005</v>
      </c>
      <c r="D41" s="23">
        <f>'Annual Raw'!E27</f>
        <v>569.69000000000005</v>
      </c>
      <c r="E41" s="23">
        <f>'Annual Raw'!F27</f>
        <v>640.54999999999995</v>
      </c>
      <c r="F41" s="23">
        <f>'Annual Raw'!G27</f>
        <v>645.46</v>
      </c>
      <c r="G41" s="23">
        <f>'Annual Raw'!H27</f>
        <v>860.37</v>
      </c>
      <c r="H41" s="23">
        <f>'Annual Raw'!I27</f>
        <v>1010.98</v>
      </c>
      <c r="I41" s="23">
        <f>'Annual Raw'!J27</f>
        <v>4136.95</v>
      </c>
      <c r="J41" s="23">
        <f>'Annual Raw'!K27</f>
        <v>4265.3900000000003</v>
      </c>
      <c r="K41" s="23">
        <f>'Annual Raw'!L27</f>
        <v>4491.7299999999996</v>
      </c>
      <c r="L41" s="23">
        <f>'Annual Raw'!M27</f>
        <v>4414.82</v>
      </c>
      <c r="M41" s="23">
        <f>'Annual Raw'!N27</f>
        <v>4516.6499999999996</v>
      </c>
      <c r="N41" s="23">
        <f>'Annual Raw'!O27</f>
        <v>5575.32</v>
      </c>
      <c r="O41" s="23">
        <f>'Annual Raw'!P27</f>
        <v>5841.22</v>
      </c>
      <c r="P41" s="23">
        <f>'Annual Raw'!Q27</f>
        <v>5943.6</v>
      </c>
      <c r="Q41" s="23">
        <f>'Annual Raw'!R27</f>
        <v>5306.35</v>
      </c>
      <c r="R41" s="23">
        <f>'Annual Raw'!S27</f>
        <v>5672.88</v>
      </c>
      <c r="S41" s="23">
        <f>'Annual Raw'!T27</f>
        <v>5741.7</v>
      </c>
      <c r="T41" s="23">
        <f>'Annual Raw'!U27</f>
        <v>7341.83</v>
      </c>
      <c r="U41" s="23">
        <f>'Annual Raw'!V27</f>
        <v>8707.67</v>
      </c>
      <c r="V41" s="23">
        <f>'Annual Raw'!W27</f>
        <v>9233.64</v>
      </c>
      <c r="W41" s="23">
        <f>'Annual Raw'!X27</f>
        <v>9100.8700000000008</v>
      </c>
      <c r="X41" s="23">
        <f>'Annual Raw'!Y27</f>
        <v>9335.2000000000007</v>
      </c>
      <c r="Y41" s="23">
        <f>'Annual Raw'!Z27</f>
        <v>9882.16</v>
      </c>
      <c r="Z41" s="23">
        <f>'Annual Raw'!AA27</f>
        <v>10421.33</v>
      </c>
      <c r="AA41" s="23">
        <f>'Annual Raw'!AB27</f>
        <v>11954.51</v>
      </c>
      <c r="AB41" s="76">
        <f>+SUM(CM41:CP41)</f>
        <v>12782.9220767856</v>
      </c>
      <c r="AC41" s="76">
        <f>+SUM(CQ41:CT41)</f>
        <v>13607.832172704522</v>
      </c>
      <c r="AD41" s="76">
        <f>+SUM(CU41:CX41)</f>
        <v>12746.411799399011</v>
      </c>
      <c r="AE41" s="76">
        <f>+SUM(CY41:DB41)</f>
        <v>11637.374471672094</v>
      </c>
      <c r="AI41" s="23">
        <f>'QTR Raw'!C28</f>
        <v>1307.98</v>
      </c>
      <c r="AJ41" s="23">
        <f>'QTR Raw'!D28</f>
        <v>1334.94</v>
      </c>
      <c r="AK41" s="23">
        <f>'QTR Raw'!E28</f>
        <v>1462.84</v>
      </c>
      <c r="AL41" s="23">
        <f>'QTR Raw'!F28</f>
        <v>1469.56</v>
      </c>
      <c r="AM41" s="23">
        <f>'QTR Raw'!G28</f>
        <v>1403.27</v>
      </c>
      <c r="AN41" s="23">
        <f>'QTR Raw'!H28</f>
        <v>1443.99</v>
      </c>
      <c r="AO41" s="23">
        <f>'QTR Raw'!I28</f>
        <v>1522.09</v>
      </c>
      <c r="AP41" s="23">
        <f>'QTR Raw'!J28</f>
        <v>1471.87</v>
      </c>
      <c r="AQ41" s="23">
        <f>'QTR Raw'!K28</f>
        <v>1550.28</v>
      </c>
      <c r="AR41" s="23">
        <f>'QTR Raw'!L28</f>
        <v>1429.51</v>
      </c>
      <c r="AS41" s="23">
        <f>'QTR Raw'!M28</f>
        <v>1451.09</v>
      </c>
      <c r="AT41" s="23">
        <f>'QTR Raw'!N28</f>
        <v>1512.72</v>
      </c>
      <c r="AU41" s="23">
        <f>'QTR Raw'!O28</f>
        <v>1337.09</v>
      </c>
      <c r="AV41" s="23">
        <f>'QTR Raw'!P28</f>
        <v>1316.4</v>
      </c>
      <c r="AW41" s="23">
        <f>'QTR Raw'!Q28</f>
        <v>1288.6099999999999</v>
      </c>
      <c r="AX41" s="23">
        <f>'QTR Raw'!R28</f>
        <v>1364.25</v>
      </c>
      <c r="AY41" s="23">
        <f>'QTR Raw'!S28</f>
        <v>1237.77</v>
      </c>
      <c r="AZ41" s="23">
        <f>'QTR Raw'!T28</f>
        <v>1466.91</v>
      </c>
      <c r="BA41" s="23">
        <f>'QTR Raw'!U28</f>
        <v>1378.98</v>
      </c>
      <c r="BB41" s="23">
        <f>'QTR Raw'!V28</f>
        <v>1589.22</v>
      </c>
      <c r="BC41" s="23">
        <f>'QTR Raw'!W28</f>
        <v>1501.13</v>
      </c>
      <c r="BD41" s="23">
        <f>'QTR Raw'!X28</f>
        <v>1473.28</v>
      </c>
      <c r="BE41" s="23">
        <f>'QTR Raw'!Y28</f>
        <v>1475.09</v>
      </c>
      <c r="BF41" s="23">
        <f>'QTR Raw'!Z28</f>
        <v>1461.85</v>
      </c>
      <c r="BG41" s="23">
        <f>'QTR Raw'!AA28</f>
        <v>1747.55</v>
      </c>
      <c r="BH41" s="23">
        <f>'QTR Raw'!AB28</f>
        <v>1847.54</v>
      </c>
      <c r="BI41" s="23">
        <f>'QTR Raw'!AC28</f>
        <v>1866.2</v>
      </c>
      <c r="BJ41" s="23">
        <f>'QTR Raw'!AD28</f>
        <v>1880.54</v>
      </c>
      <c r="BK41" s="23">
        <f>'QTR Raw'!AE28</f>
        <v>2070.7800000000002</v>
      </c>
      <c r="BL41" s="23">
        <f>'QTR Raw'!AF28</f>
        <v>2127.16</v>
      </c>
      <c r="BM41" s="23">
        <f>'QTR Raw'!AG28</f>
        <v>2018.67</v>
      </c>
      <c r="BN41" s="23">
        <f>'QTR Raw'!AH28</f>
        <v>2288.4899999999998</v>
      </c>
      <c r="BO41" s="23">
        <f>'QTR Raw'!AI28</f>
        <v>2174.65</v>
      </c>
      <c r="BP41" s="23">
        <f>'QTR Raw'!AJ28</f>
        <v>2325.0500000000002</v>
      </c>
      <c r="BQ41" s="23">
        <f>'QTR Raw'!AK28</f>
        <v>2341.5300000000002</v>
      </c>
      <c r="BR41" s="23">
        <f>'QTR Raw'!AL28</f>
        <v>2392.41</v>
      </c>
      <c r="BS41" s="23">
        <f>'QTR Raw'!AM28</f>
        <v>2324.54</v>
      </c>
      <c r="BT41" s="23">
        <f>'QTR Raw'!AN28</f>
        <v>2288.85</v>
      </c>
      <c r="BU41" s="23">
        <f>'QTR Raw'!AO28</f>
        <v>2244.09</v>
      </c>
      <c r="BV41" s="23">
        <f>'QTR Raw'!AP28</f>
        <v>2243.39</v>
      </c>
      <c r="BW41" s="23">
        <f>'QTR Raw'!AQ28</f>
        <v>2236.79</v>
      </c>
      <c r="BX41" s="23">
        <f>'QTR Raw'!AR28</f>
        <v>2347.8200000000002</v>
      </c>
      <c r="BY41" s="23">
        <f>'QTR Raw'!AS28</f>
        <v>2368.38</v>
      </c>
      <c r="BZ41" s="23">
        <f>'QTR Raw'!AT28</f>
        <v>2382.21</v>
      </c>
      <c r="CA41" s="23">
        <f>'QTR Raw'!AU28</f>
        <v>2412.3200000000002</v>
      </c>
      <c r="CB41" s="23">
        <f>'QTR Raw'!AV28</f>
        <v>2479.85</v>
      </c>
      <c r="CC41" s="23">
        <f>'QTR Raw'!AW28</f>
        <v>2422.04</v>
      </c>
      <c r="CD41" s="23">
        <f>'QTR Raw'!AX28</f>
        <v>2567.9499999999998</v>
      </c>
      <c r="CE41" s="23">
        <f>'QTR Raw'!AY28</f>
        <v>2535.4299999999998</v>
      </c>
      <c r="CF41" s="23">
        <f>'QTR Raw'!AZ28</f>
        <v>2596.7399999999998</v>
      </c>
      <c r="CG41" s="23">
        <f>'QTR Raw'!BA28</f>
        <v>2569.19</v>
      </c>
      <c r="CH41" s="23">
        <f>'QTR Raw'!BB28</f>
        <v>2719.97</v>
      </c>
      <c r="CI41" s="23">
        <f>'QTR Raw'!BC28</f>
        <v>2744.3</v>
      </c>
      <c r="CJ41" s="23">
        <f>'QTR Raw'!BD28</f>
        <v>2893</v>
      </c>
      <c r="CK41" s="23">
        <f>'QTR Raw'!BE28</f>
        <v>3048.81</v>
      </c>
      <c r="CL41" s="23">
        <f>'QTR Raw'!BF28</f>
        <v>3268.4</v>
      </c>
      <c r="CM41" s="24">
        <f t="shared" ref="CM41:DB41" si="519">CM42*CL148</f>
        <v>3265.7618000000002</v>
      </c>
      <c r="CN41" s="24">
        <f t="shared" si="519"/>
        <v>3218.4465640000003</v>
      </c>
      <c r="CO41" s="24">
        <f t="shared" si="519"/>
        <v>3172.0776327200001</v>
      </c>
      <c r="CP41" s="24">
        <f t="shared" si="519"/>
        <v>3126.6360800656003</v>
      </c>
      <c r="CQ41" s="24">
        <f t="shared" si="519"/>
        <v>3467.3662782723245</v>
      </c>
      <c r="CR41" s="24">
        <f t="shared" si="519"/>
        <v>3423.1005370111975</v>
      </c>
      <c r="CS41" s="24">
        <f t="shared" si="519"/>
        <v>3379.8307749284454</v>
      </c>
      <c r="CT41" s="24">
        <f t="shared" si="519"/>
        <v>3337.5345824925557</v>
      </c>
      <c r="CU41" s="24">
        <f t="shared" si="519"/>
        <v>3296.1900543864731</v>
      </c>
      <c r="CV41" s="24">
        <f t="shared" si="519"/>
        <v>3222.0257781627774</v>
      </c>
      <c r="CW41" s="24">
        <f t="shared" si="519"/>
        <v>3149.5301981541147</v>
      </c>
      <c r="CX41" s="24">
        <f t="shared" si="519"/>
        <v>3078.6657686956469</v>
      </c>
      <c r="CY41" s="24">
        <f t="shared" si="519"/>
        <v>3009.3957888999948</v>
      </c>
      <c r="CZ41" s="24">
        <f t="shared" si="519"/>
        <v>2941.6843836497451</v>
      </c>
      <c r="DA41" s="24">
        <f t="shared" si="519"/>
        <v>2875.4964850176252</v>
      </c>
      <c r="DB41" s="24">
        <f t="shared" si="519"/>
        <v>2810.7978141047288</v>
      </c>
      <c r="DE41" s="123"/>
      <c r="DF41" s="23">
        <v>3306.0677350105912</v>
      </c>
    </row>
    <row r="42" spans="1:110" s="46" customFormat="1" x14ac:dyDescent="0.2">
      <c r="A42" s="46" t="s">
        <v>483</v>
      </c>
      <c r="B42" s="46">
        <f t="shared" ref="B42:D42" si="520">+B41/B148</f>
        <v>6.5301687828083765E-2</v>
      </c>
      <c r="C42" s="46">
        <f t="shared" si="520"/>
        <v>7.0404634984666689E-2</v>
      </c>
      <c r="D42" s="46">
        <f t="shared" si="520"/>
        <v>7.4367305485680435E-2</v>
      </c>
      <c r="E42" s="46">
        <f t="shared" ref="E42:AE42" si="521">+E41/E148</f>
        <v>7.9896672541513711E-2</v>
      </c>
      <c r="F42" s="46">
        <f t="shared" si="521"/>
        <v>6.6630605111518984E-2</v>
      </c>
      <c r="G42" s="46">
        <f t="shared" si="521"/>
        <v>9.1230864337604134E-2</v>
      </c>
      <c r="H42" s="46">
        <f t="shared" si="521"/>
        <v>9.2800179178569073E-2</v>
      </c>
      <c r="I42" s="46">
        <f t="shared" si="521"/>
        <v>0.12491270045681095</v>
      </c>
      <c r="J42" s="46">
        <f t="shared" si="521"/>
        <v>8.237132805200835E-2</v>
      </c>
      <c r="K42" s="46">
        <f t="shared" si="521"/>
        <v>0.122976225448793</v>
      </c>
      <c r="L42" s="46">
        <f t="shared" si="521"/>
        <v>0.12073027428903649</v>
      </c>
      <c r="M42" s="46">
        <f t="shared" si="521"/>
        <v>0.10771301141412361</v>
      </c>
      <c r="N42" s="46">
        <f t="shared" si="521"/>
        <v>0.10148640378676373</v>
      </c>
      <c r="O42" s="46">
        <f t="shared" si="521"/>
        <v>9.8739091313400196E-2</v>
      </c>
      <c r="P42" s="46">
        <f t="shared" si="521"/>
        <v>0.10867239977752109</v>
      </c>
      <c r="Q42" s="46">
        <f t="shared" si="521"/>
        <v>7.7883144827262288E-2</v>
      </c>
      <c r="R42" s="46">
        <f t="shared" si="521"/>
        <v>6.4091778928509216E-2</v>
      </c>
      <c r="S42" s="46">
        <f t="shared" si="521"/>
        <v>6.2406092509312512E-2</v>
      </c>
      <c r="T42" s="46">
        <f t="shared" si="521"/>
        <v>6.0955725209346091E-2</v>
      </c>
      <c r="U42" s="46">
        <f t="shared" si="521"/>
        <v>6.6727419426154622E-2</v>
      </c>
      <c r="V42" s="46">
        <f t="shared" si="521"/>
        <v>7.0254930952475314E-2</v>
      </c>
      <c r="W42" s="46">
        <f t="shared" si="521"/>
        <v>7.0562163083343094E-2</v>
      </c>
      <c r="X42" s="46">
        <f t="shared" si="521"/>
        <v>6.3668715343579305E-2</v>
      </c>
      <c r="Y42" s="46">
        <f t="shared" si="521"/>
        <v>6.9072646584433184E-2</v>
      </c>
      <c r="Z42" s="46">
        <f t="shared" si="521"/>
        <v>7.1893290307724025E-2</v>
      </c>
      <c r="AA42" s="46">
        <f t="shared" ref="AA42" si="522">+AA41/AA148</f>
        <v>6.9352031709129777E-2</v>
      </c>
      <c r="AB42" s="110">
        <f t="shared" si="521"/>
        <v>8.2949340694109058E-2</v>
      </c>
      <c r="AC42" s="110">
        <f t="shared" si="521"/>
        <v>9.2887915694788714E-2</v>
      </c>
      <c r="AD42" s="110">
        <f t="shared" si="521"/>
        <v>9.5299616801586537E-2</v>
      </c>
      <c r="AE42" s="110">
        <f t="shared" si="521"/>
        <v>9.5299616801586551E-2</v>
      </c>
      <c r="AI42" s="46" t="e">
        <f t="shared" ref="AI42:BN42" si="523">+AI41/AH148</f>
        <v>#DIV/0!</v>
      </c>
      <c r="AJ42" s="46" t="e">
        <f t="shared" si="523"/>
        <v>#DIV/0!</v>
      </c>
      <c r="AK42" s="46">
        <f t="shared" si="523"/>
        <v>2.1658589828647455E-2</v>
      </c>
      <c r="AL42" s="46">
        <f t="shared" si="523"/>
        <v>2.1758085141633503E-2</v>
      </c>
      <c r="AM42" s="46">
        <f t="shared" si="523"/>
        <v>2.0274589081510992E-2</v>
      </c>
      <c r="AN42" s="46">
        <f t="shared" si="523"/>
        <v>2.0862915823619873E-2</v>
      </c>
      <c r="AO42" s="46">
        <f t="shared" si="523"/>
        <v>1.8773527191636531E-2</v>
      </c>
      <c r="AP42" s="46">
        <f t="shared" si="523"/>
        <v>1.8154111430699931E-2</v>
      </c>
      <c r="AQ42" s="46">
        <f t="shared" si="523"/>
        <v>1.8030583185179722E-2</v>
      </c>
      <c r="AR42" s="46">
        <f t="shared" si="523"/>
        <v>1.6625963676914018E-2</v>
      </c>
      <c r="AS42" s="46">
        <f t="shared" si="523"/>
        <v>1.6872713793151962E-2</v>
      </c>
      <c r="AT42" s="46">
        <f t="shared" si="523"/>
        <v>1.7589323618229635E-2</v>
      </c>
      <c r="AU42" s="46">
        <f t="shared" si="523"/>
        <v>1.6037842442462563E-2</v>
      </c>
      <c r="AV42" s="46">
        <f t="shared" si="523"/>
        <v>1.5789674435720647E-2</v>
      </c>
      <c r="AW42" s="46">
        <f t="shared" si="523"/>
        <v>1.6076129852103497E-2</v>
      </c>
      <c r="AX42" s="46">
        <f t="shared" si="523"/>
        <v>1.7019781121310713E-2</v>
      </c>
      <c r="AY42" s="46">
        <f t="shared" si="523"/>
        <v>1.8113273482083917E-2</v>
      </c>
      <c r="AZ42" s="46">
        <f t="shared" si="523"/>
        <v>2.1466461461825476E-2</v>
      </c>
      <c r="BA42" s="46">
        <f t="shared" si="523"/>
        <v>1.5353831905502753E-2</v>
      </c>
      <c r="BB42" s="46">
        <f t="shared" si="523"/>
        <v>1.7694685014186633E-2</v>
      </c>
      <c r="BC42" s="46">
        <f t="shared" si="523"/>
        <v>1.6908124410491457E-2</v>
      </c>
      <c r="BD42" s="46">
        <f t="shared" si="523"/>
        <v>1.6594433214637539E-2</v>
      </c>
      <c r="BE42" s="46">
        <f t="shared" si="523"/>
        <v>1.6269839168940994E-2</v>
      </c>
      <c r="BF42" s="46">
        <f t="shared" si="523"/>
        <v>1.612380559092421E-2</v>
      </c>
      <c r="BG42" s="46">
        <f t="shared" si="523"/>
        <v>1.8900595446357641E-2</v>
      </c>
      <c r="BH42" s="46">
        <f t="shared" si="523"/>
        <v>1.9982035484514663E-2</v>
      </c>
      <c r="BI42" s="46">
        <f t="shared" si="523"/>
        <v>1.5176389954664377E-2</v>
      </c>
      <c r="BJ42" s="46">
        <f t="shared" si="523"/>
        <v>1.529300630443926E-2</v>
      </c>
      <c r="BK42" s="46">
        <f t="shared" si="523"/>
        <v>1.7095518624248216E-2</v>
      </c>
      <c r="BL42" s="46">
        <f t="shared" si="523"/>
        <v>1.7560969005281018E-2</v>
      </c>
      <c r="BM42" s="46">
        <f t="shared" si="523"/>
        <v>1.6298596468706062E-2</v>
      </c>
      <c r="BN42" s="46">
        <f t="shared" si="523"/>
        <v>1.8477103752802156E-2</v>
      </c>
      <c r="BO42" s="46">
        <f t="shared" ref="BO42:CL42" si="524">+BO41/BN148</f>
        <v>1.7740497068390305E-2</v>
      </c>
      <c r="BP42" s="46">
        <f t="shared" si="524"/>
        <v>1.8967439684023122E-2</v>
      </c>
      <c r="BQ42" s="46">
        <f t="shared" si="524"/>
        <v>1.8889660384956909E-2</v>
      </c>
      <c r="BR42" s="46">
        <f t="shared" si="524"/>
        <v>1.9300121032647354E-2</v>
      </c>
      <c r="BS42" s="46">
        <f t="shared" si="524"/>
        <v>1.8920511614202391E-2</v>
      </c>
      <c r="BT42" s="46">
        <f t="shared" si="524"/>
        <v>1.8630014113832045E-2</v>
      </c>
      <c r="BU42" s="46">
        <f t="shared" si="524"/>
        <v>1.8519796158369267E-2</v>
      </c>
      <c r="BV42" s="46">
        <f t="shared" si="524"/>
        <v>1.8514019270048896E-2</v>
      </c>
      <c r="BW42" s="46">
        <f t="shared" si="524"/>
        <v>1.8416333173770505E-2</v>
      </c>
      <c r="BX42" s="46">
        <f t="shared" si="524"/>
        <v>1.9330484914561435E-2</v>
      </c>
      <c r="BY42" s="46">
        <f t="shared" si="524"/>
        <v>1.820833092760021E-2</v>
      </c>
      <c r="BZ42" s="46">
        <f t="shared" si="524"/>
        <v>1.8314657284320291E-2</v>
      </c>
      <c r="CA42" s="46">
        <f t="shared" si="524"/>
        <v>1.8178418914924003E-2</v>
      </c>
      <c r="CB42" s="46">
        <f t="shared" si="524"/>
        <v>1.8687301911095661E-2</v>
      </c>
      <c r="CC42" s="46">
        <f t="shared" si="524"/>
        <v>1.8797936079690755E-2</v>
      </c>
      <c r="CD42" s="46">
        <f t="shared" si="524"/>
        <v>1.9930372725405807E-2</v>
      </c>
      <c r="CE42" s="46">
        <f t="shared" si="524"/>
        <v>1.8578862101027979E-2</v>
      </c>
      <c r="CF42" s="46">
        <f t="shared" si="524"/>
        <v>1.9028123187082031E-2</v>
      </c>
      <c r="CG42" s="46">
        <f t="shared" si="524"/>
        <v>1.8877522229596003E-2</v>
      </c>
      <c r="CH42" s="46">
        <f t="shared" si="524"/>
        <v>1.9985401678674693E-2</v>
      </c>
      <c r="CI42" s="46">
        <f t="shared" si="524"/>
        <v>1.8932013149136152E-2</v>
      </c>
      <c r="CJ42" s="46">
        <f t="shared" si="524"/>
        <v>2.0342978539739796E-2</v>
      </c>
      <c r="CK42" s="46">
        <f t="shared" si="524"/>
        <v>2.0148391012054827E-2</v>
      </c>
      <c r="CL42" s="46">
        <f t="shared" si="524"/>
        <v>2.1896042968874044E-2</v>
      </c>
      <c r="CM42" s="47">
        <v>0.02</v>
      </c>
      <c r="CN42" s="47">
        <f t="shared" ref="CN42" si="525">CM42</f>
        <v>0.02</v>
      </c>
      <c r="CO42" s="47">
        <f t="shared" ref="CO42" si="526">CN42</f>
        <v>0.02</v>
      </c>
      <c r="CP42" s="47">
        <f t="shared" ref="CP42" si="527">CO42</f>
        <v>0.02</v>
      </c>
      <c r="CQ42" s="47">
        <f>CP42+0.25%</f>
        <v>2.2499999999999999E-2</v>
      </c>
      <c r="CR42" s="47">
        <f t="shared" ref="CR42" si="528">CQ42</f>
        <v>2.2499999999999999E-2</v>
      </c>
      <c r="CS42" s="47">
        <f t="shared" ref="CS42" si="529">CR42</f>
        <v>2.2499999999999999E-2</v>
      </c>
      <c r="CT42" s="47">
        <f t="shared" ref="CT42" si="530">CS42</f>
        <v>2.2499999999999999E-2</v>
      </c>
      <c r="CU42" s="47">
        <f t="shared" ref="CU42" si="531">CT42</f>
        <v>2.2499999999999999E-2</v>
      </c>
      <c r="CV42" s="47">
        <f t="shared" ref="CV42" si="532">CU42</f>
        <v>2.2499999999999999E-2</v>
      </c>
      <c r="CW42" s="47">
        <f t="shared" ref="CW42" si="533">CV42</f>
        <v>2.2499999999999999E-2</v>
      </c>
      <c r="CX42" s="47">
        <f t="shared" ref="CX42" si="534">CW42</f>
        <v>2.2499999999999999E-2</v>
      </c>
      <c r="CY42" s="47">
        <f t="shared" ref="CY42" si="535">CX42</f>
        <v>2.2499999999999999E-2</v>
      </c>
      <c r="CZ42" s="47">
        <f t="shared" ref="CZ42" si="536">CY42</f>
        <v>2.2499999999999999E-2</v>
      </c>
      <c r="DA42" s="47">
        <f t="shared" ref="DA42" si="537">CZ42</f>
        <v>2.2499999999999999E-2</v>
      </c>
      <c r="DB42" s="47">
        <f t="shared" ref="DB42" si="538">DA42</f>
        <v>2.2499999999999999E-2</v>
      </c>
      <c r="DE42" s="130"/>
      <c r="DF42" s="46">
        <v>2.2148391012054826E-2</v>
      </c>
    </row>
    <row r="43" spans="1:110" s="26" customFormat="1" x14ac:dyDescent="0.2">
      <c r="A43" s="34" t="s">
        <v>16</v>
      </c>
      <c r="B43" s="26">
        <f>B37-B41</f>
        <v>1209.75</v>
      </c>
      <c r="C43" s="26">
        <f t="shared" ref="C43:T43" si="539">C37-C41</f>
        <v>748.87000000000046</v>
      </c>
      <c r="D43" s="26">
        <f>D37-D41</f>
        <v>1734.1499999999992</v>
      </c>
      <c r="E43" s="26">
        <f t="shared" si="539"/>
        <v>2868.5400000000009</v>
      </c>
      <c r="F43" s="26">
        <f t="shared" si="539"/>
        <v>5473.7699999999995</v>
      </c>
      <c r="G43" s="26">
        <f t="shared" si="539"/>
        <v>5427.76</v>
      </c>
      <c r="H43" s="26">
        <f t="shared" si="539"/>
        <v>6376.7000000000007</v>
      </c>
      <c r="I43" s="26">
        <f t="shared" si="539"/>
        <v>13645.479999999949</v>
      </c>
      <c r="J43" s="26">
        <f t="shared" si="539"/>
        <v>13847.270000000026</v>
      </c>
      <c r="K43" s="26">
        <f t="shared" si="539"/>
        <v>3507.0099999999984</v>
      </c>
      <c r="L43" s="26">
        <f t="shared" si="539"/>
        <v>12331.849999999984</v>
      </c>
      <c r="M43" s="26">
        <f t="shared" si="539"/>
        <v>7849.6700000000219</v>
      </c>
      <c r="N43" s="26">
        <f t="shared" si="539"/>
        <v>6602.4000000000233</v>
      </c>
      <c r="O43" s="26">
        <f t="shared" si="539"/>
        <v>10513.670000000027</v>
      </c>
      <c r="P43" s="26">
        <f t="shared" si="539"/>
        <v>6500.6499999999851</v>
      </c>
      <c r="Q43" s="26">
        <f t="shared" si="539"/>
        <v>2550.0999999999967</v>
      </c>
      <c r="R43" s="26">
        <f t="shared" si="539"/>
        <v>11266.990000000009</v>
      </c>
      <c r="S43" s="26">
        <f t="shared" si="539"/>
        <v>15561.930000000004</v>
      </c>
      <c r="T43" s="26">
        <f t="shared" si="539"/>
        <v>22041.50999999998</v>
      </c>
      <c r="U43" s="26">
        <f t="shared" ref="U43:Z43" si="540">U37-U41</f>
        <v>9114.2799999999825</v>
      </c>
      <c r="V43" s="26">
        <f t="shared" si="540"/>
        <v>21270.62000000001</v>
      </c>
      <c r="W43" s="26">
        <f t="shared" si="540"/>
        <v>54389.080000000009</v>
      </c>
      <c r="X43" s="26">
        <f t="shared" si="540"/>
        <v>22921.390000000025</v>
      </c>
      <c r="Y43" s="26">
        <f t="shared" si="540"/>
        <v>12395.869999999984</v>
      </c>
      <c r="Z43" s="26">
        <f t="shared" si="540"/>
        <v>14877.119999999997</v>
      </c>
      <c r="AA43" s="26">
        <f t="shared" ref="AA43" si="541">AA37-AA41</f>
        <v>22397.930000000015</v>
      </c>
      <c r="AB43" s="27">
        <f t="shared" ref="AA43:AD43" si="542">AB37-AB41</f>
        <v>30506.42130845158</v>
      </c>
      <c r="AC43" s="27">
        <f t="shared" si="542"/>
        <v>34356.942814502021</v>
      </c>
      <c r="AD43" s="27">
        <f t="shared" si="542"/>
        <v>38782.106874110381</v>
      </c>
      <c r="AE43" s="27">
        <f t="shared" ref="AE43" si="543">AE37-AE41</f>
        <v>43556.36043296037</v>
      </c>
      <c r="AI43" s="26">
        <f t="shared" ref="AI43" si="544">AI37-AI41</f>
        <v>2095.3000000000079</v>
      </c>
      <c r="AJ43" s="26">
        <f t="shared" ref="AJ43" si="545">AJ37-AJ41</f>
        <v>975.14000000000169</v>
      </c>
      <c r="AK43" s="26">
        <f t="shared" ref="AK43:AM43" si="546">AK37-AK41</f>
        <v>776.07000000000176</v>
      </c>
      <c r="AL43" s="26">
        <f t="shared" si="546"/>
        <v>2899.3799999999987</v>
      </c>
      <c r="AM43" s="26">
        <f t="shared" si="546"/>
        <v>2284.7699999999973</v>
      </c>
      <c r="AN43" s="26">
        <f t="shared" ref="AN43:AO43" si="547">AN37-AN41</f>
        <v>2261.3599999999951</v>
      </c>
      <c r="AO43" s="26">
        <f t="shared" si="547"/>
        <v>2484.4500000000044</v>
      </c>
      <c r="AP43" s="26">
        <f t="shared" ref="AP43:CD43" si="548">AP37-AP41</f>
        <v>3539.2099999999946</v>
      </c>
      <c r="AQ43" s="26">
        <f t="shared" si="548"/>
        <v>2722.2899999999963</v>
      </c>
      <c r="AR43" s="26">
        <f t="shared" si="548"/>
        <v>2213.3099999999995</v>
      </c>
      <c r="AS43" s="26">
        <f t="shared" si="548"/>
        <v>1626.3000000000031</v>
      </c>
      <c r="AT43" s="26">
        <f t="shared" si="548"/>
        <v>30.249999999997499</v>
      </c>
      <c r="AU43" s="26">
        <f t="shared" si="548"/>
        <v>1345.6700000000003</v>
      </c>
      <c r="AV43" s="26">
        <f t="shared" si="548"/>
        <v>467.64999999999554</v>
      </c>
      <c r="AW43" s="26">
        <f t="shared" si="548"/>
        <v>-450.34999999999968</v>
      </c>
      <c r="AX43" s="26">
        <f t="shared" si="548"/>
        <v>881.47999999999593</v>
      </c>
      <c r="AY43" s="26">
        <f t="shared" si="548"/>
        <v>2037.6000000000008</v>
      </c>
      <c r="AZ43" s="26">
        <f t="shared" si="548"/>
        <v>1604.1799999999982</v>
      </c>
      <c r="BA43" s="26">
        <f t="shared" si="548"/>
        <v>2257.1700000000014</v>
      </c>
      <c r="BB43" s="26">
        <f t="shared" si="548"/>
        <v>5435.9900000000061</v>
      </c>
      <c r="BC43" s="26">
        <f t="shared" si="548"/>
        <v>3472.8799999999983</v>
      </c>
      <c r="BD43" s="26">
        <f t="shared" si="548"/>
        <v>3247.3900000000003</v>
      </c>
      <c r="BE43" s="26">
        <f t="shared" si="548"/>
        <v>4221.8500000000004</v>
      </c>
      <c r="BF43" s="26">
        <f t="shared" si="548"/>
        <v>4937.4299999999967</v>
      </c>
      <c r="BG43" s="26">
        <f t="shared" si="548"/>
        <v>4605.1899999999978</v>
      </c>
      <c r="BH43" s="26">
        <f t="shared" si="548"/>
        <v>6953.9999999999936</v>
      </c>
      <c r="BI43" s="26">
        <f t="shared" si="548"/>
        <v>4849.579999999999</v>
      </c>
      <c r="BJ43" s="26">
        <f t="shared" si="548"/>
        <v>5632.7400000000025</v>
      </c>
      <c r="BK43" s="26">
        <f t="shared" si="548"/>
        <v>3306.1200000000013</v>
      </c>
      <c r="BL43" s="26">
        <f t="shared" si="548"/>
        <v>1692.4000000000015</v>
      </c>
      <c r="BM43" s="26">
        <f t="shared" si="548"/>
        <v>1601.070000000007</v>
      </c>
      <c r="BN43" s="26">
        <f t="shared" si="548"/>
        <v>2510.6999999999953</v>
      </c>
      <c r="BO43" s="26">
        <f t="shared" si="548"/>
        <v>-1635.4200000000023</v>
      </c>
      <c r="BP43" s="26">
        <f t="shared" si="548"/>
        <v>3887.6599999999989</v>
      </c>
      <c r="BQ43" s="26">
        <f t="shared" si="548"/>
        <v>7226.7100000000046</v>
      </c>
      <c r="BR43" s="26">
        <f t="shared" si="548"/>
        <v>11791.670000000002</v>
      </c>
      <c r="BS43" s="26">
        <f t="shared" si="548"/>
        <v>13786.009999999998</v>
      </c>
      <c r="BT43" s="26">
        <f t="shared" si="548"/>
        <v>14167.270000000002</v>
      </c>
      <c r="BU43" s="26">
        <f t="shared" si="548"/>
        <v>13649.579999999998</v>
      </c>
      <c r="BV43" s="26">
        <f t="shared" si="548"/>
        <v>12786.220000000008</v>
      </c>
      <c r="BW43" s="26">
        <f t="shared" si="548"/>
        <v>12736.009999999995</v>
      </c>
      <c r="BX43" s="26">
        <f t="shared" si="548"/>
        <v>3712.5000000000068</v>
      </c>
      <c r="BY43" s="26">
        <f t="shared" si="548"/>
        <v>1679.46</v>
      </c>
      <c r="BZ43" s="26">
        <f t="shared" si="548"/>
        <v>4836.9900000000007</v>
      </c>
      <c r="CA43" s="26">
        <f t="shared" si="548"/>
        <v>2761.5600000000045</v>
      </c>
      <c r="CB43" s="26">
        <f t="shared" si="548"/>
        <v>1787.9699999999998</v>
      </c>
      <c r="CC43" s="26">
        <f t="shared" si="548"/>
        <v>3841.5300000000107</v>
      </c>
      <c r="CD43" s="26">
        <f t="shared" si="548"/>
        <v>4032.6799999999939</v>
      </c>
      <c r="CE43" s="26">
        <f t="shared" ref="CE43:CF43" si="549">CE37-CE41</f>
        <v>4159.0400000000009</v>
      </c>
      <c r="CF43" s="26">
        <f t="shared" si="549"/>
        <v>3544.5300000000079</v>
      </c>
      <c r="CG43" s="26">
        <f t="shared" ref="CG43:CH43" si="550">CG37-CG41</f>
        <v>3334.2999999999979</v>
      </c>
      <c r="CH43" s="26">
        <f t="shared" si="550"/>
        <v>3839.2500000000086</v>
      </c>
      <c r="CI43" s="26">
        <f t="shared" ref="CI43:CJ43" si="551">CI37-CI41</f>
        <v>4683.2400000000007</v>
      </c>
      <c r="CJ43" s="26">
        <f t="shared" si="551"/>
        <v>6003.5400000000009</v>
      </c>
      <c r="CK43" s="26">
        <f t="shared" ref="CK43:CL43" si="552">CK37-CK41</f>
        <v>5150.8900000000012</v>
      </c>
      <c r="CL43" s="26">
        <f t="shared" si="552"/>
        <v>6560.2599999999966</v>
      </c>
      <c r="CM43" s="27">
        <f t="shared" ref="CM43:DB43" si="553">CM37-CM41</f>
        <v>5956.4524933897337</v>
      </c>
      <c r="CN43" s="27">
        <f t="shared" si="553"/>
        <v>7053.0291420153026</v>
      </c>
      <c r="CO43" s="27">
        <f t="shared" si="553"/>
        <v>8043.6993909920711</v>
      </c>
      <c r="CP43" s="27">
        <f t="shared" si="553"/>
        <v>9453.2402820544521</v>
      </c>
      <c r="CQ43" s="27">
        <f t="shared" si="553"/>
        <v>6994.7497959507073</v>
      </c>
      <c r="CR43" s="27">
        <f t="shared" si="553"/>
        <v>8001.9714900159543</v>
      </c>
      <c r="CS43" s="27">
        <f t="shared" si="553"/>
        <v>9208.5839024097168</v>
      </c>
      <c r="CT43" s="27">
        <f t="shared" si="553"/>
        <v>10151.637626125672</v>
      </c>
      <c r="CU43" s="27">
        <f t="shared" si="553"/>
        <v>8107.5582426203682</v>
      </c>
      <c r="CV43" s="27">
        <f t="shared" si="553"/>
        <v>9113.0920448540674</v>
      </c>
      <c r="CW43" s="27">
        <f t="shared" si="553"/>
        <v>10343.255660029396</v>
      </c>
      <c r="CX43" s="27">
        <f t="shared" si="553"/>
        <v>11218.200926606551</v>
      </c>
      <c r="CY43" s="27">
        <f t="shared" si="553"/>
        <v>9251.5841463708457</v>
      </c>
      <c r="CZ43" s="27">
        <f t="shared" si="553"/>
        <v>10276.189003656929</v>
      </c>
      <c r="DA43" s="27">
        <f t="shared" si="553"/>
        <v>11555.986132171471</v>
      </c>
      <c r="DB43" s="27">
        <f t="shared" si="553"/>
        <v>12472.601150761133</v>
      </c>
      <c r="DE43" s="121"/>
      <c r="DF43" s="26">
        <v>6195.1411833233142</v>
      </c>
    </row>
    <row r="44" spans="1:110" s="23" customFormat="1" x14ac:dyDescent="0.2">
      <c r="A44" s="23" t="s">
        <v>17</v>
      </c>
      <c r="B44" s="23">
        <f>'Annual Raw'!C23</f>
        <v>90.92</v>
      </c>
      <c r="C44" s="23">
        <f>'Annual Raw'!D23</f>
        <v>143.87</v>
      </c>
      <c r="D44" s="23">
        <f>'Annual Raw'!E23</f>
        <v>131.93</v>
      </c>
      <c r="E44" s="23">
        <f>'Annual Raw'!F23</f>
        <v>291.48</v>
      </c>
      <c r="F44" s="23">
        <f>'Annual Raw'!G23</f>
        <v>304.95</v>
      </c>
      <c r="G44" s="23">
        <f>'Annual Raw'!H23</f>
        <v>348.98</v>
      </c>
      <c r="H44" s="23">
        <f>'Annual Raw'!I23</f>
        <v>723.42</v>
      </c>
      <c r="I44" s="23">
        <f>'Annual Raw'!J23</f>
        <v>929.82</v>
      </c>
      <c r="J44" s="23">
        <f>'Annual Raw'!K23</f>
        <v>781.19</v>
      </c>
      <c r="K44" s="23">
        <f>'Annual Raw'!L23</f>
        <v>1702.01</v>
      </c>
      <c r="L44" s="23">
        <f>'Annual Raw'!M23</f>
        <v>679.98</v>
      </c>
      <c r="M44" s="23">
        <f>'Annual Raw'!N23</f>
        <v>1623.5</v>
      </c>
      <c r="N44" s="23">
        <f>'Annual Raw'!O23</f>
        <v>622.64</v>
      </c>
      <c r="O44" s="23">
        <f>'Annual Raw'!P23</f>
        <v>572.92999999999995</v>
      </c>
      <c r="P44" s="23">
        <f>'Annual Raw'!Q23</f>
        <v>887.68</v>
      </c>
      <c r="Q44" s="23">
        <f>'Annual Raw'!R23</f>
        <v>524.1</v>
      </c>
      <c r="R44" s="23">
        <f>'Annual Raw'!S23</f>
        <v>595.41999999999996</v>
      </c>
      <c r="S44" s="23">
        <f>'Annual Raw'!T23</f>
        <v>1010.66</v>
      </c>
      <c r="T44" s="23">
        <f>'Annual Raw'!U23</f>
        <v>1420.58</v>
      </c>
      <c r="U44" s="23">
        <f>'Annual Raw'!V23</f>
        <v>1827.61</v>
      </c>
      <c r="V44" s="23">
        <f>'Annual Raw'!W23</f>
        <v>895.6</v>
      </c>
      <c r="W44" s="23">
        <f>'Annual Raw'!X23</f>
        <v>784.89</v>
      </c>
      <c r="X44" s="23">
        <f>'Annual Raw'!Y23</f>
        <v>1081.05</v>
      </c>
      <c r="Y44" s="23">
        <f>'Annual Raw'!Z23</f>
        <v>1836.72</v>
      </c>
      <c r="Z44" s="23">
        <f>'Annual Raw'!AA23</f>
        <v>1540.53</v>
      </c>
      <c r="AA44" s="23">
        <f>'Annual Raw'!AB23</f>
        <v>1401.78</v>
      </c>
      <c r="AB44" s="76">
        <f t="shared" ref="AB44:AB45" si="554">+SUM(CM44:CP44)</f>
        <v>0</v>
      </c>
      <c r="AC44" s="76">
        <f t="shared" ref="AC44:AC45" si="555">+SUM(CQ44:CT44)</f>
        <v>0</v>
      </c>
      <c r="AD44" s="76">
        <f t="shared" ref="AD44:AD45" si="556">+SUM(CU44:CX44)</f>
        <v>0</v>
      </c>
      <c r="AE44" s="76">
        <f t="shared" ref="AE44:AE45" si="557">+SUM(CY44:DB44)</f>
        <v>0</v>
      </c>
      <c r="AI44" s="23">
        <f>'QTR Raw'!C23</f>
        <v>289.38</v>
      </c>
      <c r="AJ44" s="23">
        <f>'QTR Raw'!D23</f>
        <v>201.77</v>
      </c>
      <c r="AK44" s="23">
        <f>'QTR Raw'!E23</f>
        <v>55.86</v>
      </c>
      <c r="AL44" s="23">
        <f>'QTR Raw'!F23</f>
        <v>-67.86</v>
      </c>
      <c r="AM44" s="23">
        <f>'QTR Raw'!G23</f>
        <v>183.63</v>
      </c>
      <c r="AN44" s="23">
        <f>'QTR Raw'!H23</f>
        <v>203.36</v>
      </c>
      <c r="AO44" s="23">
        <f>'QTR Raw'!I23</f>
        <v>18.12</v>
      </c>
      <c r="AP44" s="23">
        <f>'QTR Raw'!J23</f>
        <v>111.7</v>
      </c>
      <c r="AQ44" s="23">
        <f>'QTR Raw'!K23</f>
        <v>216.14</v>
      </c>
      <c r="AR44" s="23">
        <f>'QTR Raw'!L23</f>
        <v>321.52</v>
      </c>
      <c r="AS44" s="23">
        <f>'QTR Raw'!M23</f>
        <v>119.11</v>
      </c>
      <c r="AT44" s="23">
        <f>'QTR Raw'!N23</f>
        <v>139.41</v>
      </c>
      <c r="AU44" s="23">
        <f>'QTR Raw'!O23</f>
        <v>61.95</v>
      </c>
      <c r="AV44" s="23">
        <f>'QTR Raw'!P23</f>
        <v>126.33</v>
      </c>
      <c r="AW44" s="23">
        <f>'QTR Raw'!Q23</f>
        <v>98.39</v>
      </c>
      <c r="AX44" s="23">
        <f>'QTR Raw'!R23</f>
        <v>123.32</v>
      </c>
      <c r="AY44" s="23">
        <f>'QTR Raw'!S23</f>
        <v>136.38</v>
      </c>
      <c r="AZ44" s="23">
        <f>'QTR Raw'!T23</f>
        <v>108.85</v>
      </c>
      <c r="BA44" s="23">
        <f>'QTR Raw'!U23</f>
        <v>130.06</v>
      </c>
      <c r="BB44" s="23">
        <f>'QTR Raw'!V23</f>
        <v>152.16999999999999</v>
      </c>
      <c r="BC44" s="23">
        <f>'QTR Raw'!W23</f>
        <v>155.47</v>
      </c>
      <c r="BD44" s="23">
        <f>'QTR Raw'!X23</f>
        <v>211.41</v>
      </c>
      <c r="BE44" s="23">
        <f>'QTR Raw'!Y23</f>
        <v>225.88</v>
      </c>
      <c r="BF44" s="23">
        <f>'QTR Raw'!Z23</f>
        <v>278.68</v>
      </c>
      <c r="BG44" s="23">
        <f>'QTR Raw'!AA23</f>
        <v>352.84</v>
      </c>
      <c r="BH44" s="23">
        <f>'QTR Raw'!AB23</f>
        <v>360.5</v>
      </c>
      <c r="BI44" s="23">
        <f>'QTR Raw'!AC23</f>
        <v>217.37</v>
      </c>
      <c r="BJ44" s="23">
        <f>'QTR Raw'!AD23</f>
        <v>489.87</v>
      </c>
      <c r="BK44" s="23">
        <f>'QTR Raw'!AE23</f>
        <v>251.1</v>
      </c>
      <c r="BL44" s="23">
        <f>'QTR Raw'!AF23</f>
        <v>183.55</v>
      </c>
      <c r="BM44" s="23">
        <f>'QTR Raw'!AG23</f>
        <v>92.93</v>
      </c>
      <c r="BN44" s="23">
        <f>'QTR Raw'!AH23</f>
        <v>1313.31</v>
      </c>
      <c r="BO44" s="23">
        <f>'QTR Raw'!AI23</f>
        <v>187.91</v>
      </c>
      <c r="BP44" s="23">
        <f>'QTR Raw'!AJ23</f>
        <v>217.85</v>
      </c>
      <c r="BQ44" s="23">
        <f>'QTR Raw'!AK23</f>
        <v>217.66</v>
      </c>
      <c r="BR44" s="23">
        <f>'QTR Raw'!AL23</f>
        <v>272.18</v>
      </c>
      <c r="BS44" s="23">
        <f>'QTR Raw'!AM23</f>
        <v>162.22999999999999</v>
      </c>
      <c r="BT44" s="23">
        <f>'QTR Raw'!AN23</f>
        <v>270.85000000000002</v>
      </c>
      <c r="BU44" s="23">
        <f>'QTR Raw'!AO23</f>
        <v>59.61</v>
      </c>
      <c r="BV44" s="23">
        <f>'QTR Raw'!AP23</f>
        <v>292.2</v>
      </c>
      <c r="BW44" s="23">
        <f>'QTR Raw'!AQ23</f>
        <v>268.08</v>
      </c>
      <c r="BX44" s="23">
        <f>'QTR Raw'!AR23</f>
        <v>329.26</v>
      </c>
      <c r="BY44" s="23">
        <f>'QTR Raw'!AS23</f>
        <v>270.60000000000002</v>
      </c>
      <c r="BZ44" s="23">
        <f>'QTR Raw'!AT23</f>
        <v>169.54</v>
      </c>
      <c r="CA44" s="23">
        <f>'QTR Raw'!AU23</f>
        <v>1176.82</v>
      </c>
      <c r="CB44" s="23">
        <f>'QTR Raw'!AV23</f>
        <v>228.23</v>
      </c>
      <c r="CC44" s="23">
        <f>'QTR Raw'!AW23</f>
        <v>227.89</v>
      </c>
      <c r="CD44" s="23">
        <f>'QTR Raw'!AX23</f>
        <v>175.91</v>
      </c>
      <c r="CE44" s="23">
        <f>'QTR Raw'!AY23</f>
        <v>259.91000000000003</v>
      </c>
      <c r="CF44" s="23">
        <f>'QTR Raw'!AZ23</f>
        <v>598.59</v>
      </c>
      <c r="CG44" s="23">
        <f>'QTR Raw'!BA23</f>
        <v>221.03</v>
      </c>
      <c r="CH44" s="23">
        <f>'QTR Raw'!BB23</f>
        <v>461</v>
      </c>
      <c r="CI44" s="23">
        <f>'QTR Raw'!BC23</f>
        <v>288.67</v>
      </c>
      <c r="CJ44" s="23">
        <f>'QTR Raw'!BD23</f>
        <v>363.55</v>
      </c>
      <c r="CK44" s="23">
        <f>'QTR Raw'!BE23</f>
        <v>501.09</v>
      </c>
      <c r="CL44" s="23">
        <f>'QTR Raw'!BF23</f>
        <v>248.47</v>
      </c>
      <c r="CM44" s="24"/>
      <c r="CN44" s="24"/>
      <c r="CO44" s="24"/>
      <c r="CP44" s="24"/>
      <c r="CQ44" s="24"/>
      <c r="CR44" s="24"/>
      <c r="CS44" s="24"/>
      <c r="CT44" s="24"/>
      <c r="CU44" s="24"/>
      <c r="CV44" s="24"/>
      <c r="CW44" s="24"/>
      <c r="CX44" s="24"/>
      <c r="CY44" s="24"/>
      <c r="CZ44" s="24"/>
      <c r="DA44" s="24"/>
      <c r="DB44" s="24"/>
      <c r="DE44" s="123"/>
      <c r="DF44" s="23">
        <v>1401.78</v>
      </c>
    </row>
    <row r="45" spans="1:110" s="23" customFormat="1" x14ac:dyDescent="0.2">
      <c r="A45" s="23" t="s">
        <v>18</v>
      </c>
      <c r="B45" s="23">
        <f>'Annual Raw'!C25</f>
        <v>412.39</v>
      </c>
      <c r="C45" s="23">
        <f>'Annual Raw'!D25</f>
        <v>433.9</v>
      </c>
      <c r="D45" s="23">
        <f>'Annual Raw'!E25</f>
        <v>353.57</v>
      </c>
      <c r="E45" s="23">
        <f>'Annual Raw'!F25</f>
        <v>234.74</v>
      </c>
      <c r="F45" s="23">
        <f>'Annual Raw'!G25</f>
        <v>238.6</v>
      </c>
      <c r="G45" s="23">
        <f>'Annual Raw'!H25</f>
        <v>207.56</v>
      </c>
      <c r="H45" s="23">
        <f>'Annual Raw'!I25</f>
        <v>634.07000000000005</v>
      </c>
      <c r="I45" s="23">
        <f>'Annual Raw'!J25</f>
        <v>4539.37</v>
      </c>
      <c r="J45" s="23">
        <f>'Annual Raw'!K25</f>
        <v>3790.69</v>
      </c>
      <c r="K45" s="23">
        <f>'Annual Raw'!L25</f>
        <v>3494.3</v>
      </c>
      <c r="L45" s="23">
        <f>'Annual Raw'!M25</f>
        <v>3955.78</v>
      </c>
      <c r="M45" s="23">
        <f>'Annual Raw'!N25</f>
        <v>4250.1099999999997</v>
      </c>
      <c r="N45" s="23">
        <f>'Annual Raw'!O25</f>
        <v>3968.11</v>
      </c>
      <c r="O45" s="23">
        <f>'Annual Raw'!P25</f>
        <v>4336.83</v>
      </c>
      <c r="P45" s="23">
        <f>'Annual Raw'!Q25</f>
        <v>4847.75</v>
      </c>
      <c r="Q45" s="23">
        <f>'Annual Raw'!R25</f>
        <v>4221.41</v>
      </c>
      <c r="R45" s="23">
        <f>'Annual Raw'!S25</f>
        <v>5072.2</v>
      </c>
      <c r="S45" s="23">
        <f>'Annual Raw'!T25</f>
        <v>5454.74</v>
      </c>
      <c r="T45" s="23">
        <f>'Annual Raw'!U25</f>
        <v>7660.1</v>
      </c>
      <c r="U45" s="23">
        <f>'Annual Raw'!V25</f>
        <v>7580.72</v>
      </c>
      <c r="V45" s="23">
        <f>'Annual Raw'!W25</f>
        <v>7606.71</v>
      </c>
      <c r="W45" s="23">
        <f>'Annual Raw'!X25</f>
        <v>5462.2</v>
      </c>
      <c r="X45" s="23">
        <f>'Annual Raw'!Y25</f>
        <v>6298.7</v>
      </c>
      <c r="Y45" s="23">
        <f>'Annual Raw'!Z25</f>
        <v>7507.57</v>
      </c>
      <c r="Z45" s="23">
        <f>'Annual Raw'!AA25</f>
        <v>7340.95</v>
      </c>
      <c r="AA45" s="23">
        <f>'Annual Raw'!AB25</f>
        <v>7167.06</v>
      </c>
      <c r="AB45" s="76">
        <f t="shared" si="554"/>
        <v>5791.414490052528</v>
      </c>
      <c r="AC45" s="76">
        <f t="shared" si="555"/>
        <v>5212.0844814460961</v>
      </c>
      <c r="AD45" s="76">
        <f t="shared" si="556"/>
        <v>3590.741976014212</v>
      </c>
      <c r="AE45" s="76">
        <f t="shared" si="557"/>
        <v>346.29707297977257</v>
      </c>
      <c r="AI45" s="23">
        <f>'QTR Raw'!C25</f>
        <v>969.01</v>
      </c>
      <c r="AJ45" s="23">
        <f>'QTR Raw'!D25</f>
        <v>972.11</v>
      </c>
      <c r="AK45" s="23">
        <f>'QTR Raw'!E25</f>
        <v>1032.25</v>
      </c>
      <c r="AL45" s="23">
        <f>'QTR Raw'!F25</f>
        <v>994.74</v>
      </c>
      <c r="AM45" s="23">
        <f>'QTR Raw'!G25</f>
        <v>992.44</v>
      </c>
      <c r="AN45" s="23">
        <f>'QTR Raw'!H25</f>
        <v>1066.6199999999999</v>
      </c>
      <c r="AO45" s="23">
        <f>'QTR Raw'!I25</f>
        <v>1108.42</v>
      </c>
      <c r="AP45" s="23">
        <f>'QTR Raw'!J25</f>
        <v>1169.3499999999999</v>
      </c>
      <c r="AQ45" s="23">
        <f>'QTR Raw'!K25</f>
        <v>1252.3699999999999</v>
      </c>
      <c r="AR45" s="23">
        <f>'QTR Raw'!L25</f>
        <v>1232.78</v>
      </c>
      <c r="AS45" s="23">
        <f>'QTR Raw'!M25</f>
        <v>1167.4100000000001</v>
      </c>
      <c r="AT45" s="23">
        <f>'QTR Raw'!N25</f>
        <v>1195.19</v>
      </c>
      <c r="AU45" s="23">
        <f>'QTR Raw'!O25</f>
        <v>1146.95</v>
      </c>
      <c r="AV45" s="23">
        <f>'QTR Raw'!P25</f>
        <v>1100.06</v>
      </c>
      <c r="AW45" s="23">
        <f>'QTR Raw'!Q25</f>
        <v>987.55</v>
      </c>
      <c r="AX45" s="23">
        <f>'QTR Raw'!R25</f>
        <v>987.4</v>
      </c>
      <c r="AY45" s="23">
        <f>'QTR Raw'!S25</f>
        <v>1070.68</v>
      </c>
      <c r="AZ45" s="23">
        <f>'QTR Raw'!T25</f>
        <v>1351.02</v>
      </c>
      <c r="BA45" s="23">
        <f>'QTR Raw'!U25</f>
        <v>1387.38</v>
      </c>
      <c r="BB45" s="23">
        <f>'QTR Raw'!V25</f>
        <v>1263.1199999999999</v>
      </c>
      <c r="BC45" s="23">
        <f>'QTR Raw'!W25</f>
        <v>1343.71</v>
      </c>
      <c r="BD45" s="23">
        <f>'QTR Raw'!X25</f>
        <v>1349.93</v>
      </c>
      <c r="BE45" s="23">
        <f>'QTR Raw'!Y25</f>
        <v>1327.28</v>
      </c>
      <c r="BF45" s="23">
        <f>'QTR Raw'!Z25</f>
        <v>1469.59</v>
      </c>
      <c r="BG45" s="23">
        <f>'QTR Raw'!AA25</f>
        <v>1657.81</v>
      </c>
      <c r="BH45" s="23">
        <f>'QTR Raw'!AB25</f>
        <v>2138.5100000000002</v>
      </c>
      <c r="BI45" s="23">
        <f>'QTR Raw'!AC25</f>
        <v>1926.03</v>
      </c>
      <c r="BJ45" s="23">
        <f>'QTR Raw'!AD25</f>
        <v>1937.75</v>
      </c>
      <c r="BK45" s="23">
        <f>'QTR Raw'!AE25</f>
        <v>1806.43</v>
      </c>
      <c r="BL45" s="23">
        <f>'QTR Raw'!AF25</f>
        <v>1871.37</v>
      </c>
      <c r="BM45" s="23">
        <f>'QTR Raw'!AG25</f>
        <v>1930.58</v>
      </c>
      <c r="BN45" s="23">
        <f>'QTR Raw'!AH25</f>
        <v>1933.75</v>
      </c>
      <c r="BO45" s="23">
        <f>'QTR Raw'!AI25</f>
        <v>2006.43</v>
      </c>
      <c r="BP45" s="23">
        <f>'QTR Raw'!AJ25</f>
        <v>1948</v>
      </c>
      <c r="BQ45" s="23">
        <f>'QTR Raw'!AK25</f>
        <v>1786.01</v>
      </c>
      <c r="BR45" s="23">
        <f>'QTR Raw'!AL25</f>
        <v>1866.27</v>
      </c>
      <c r="BS45" s="23">
        <f>'QTR Raw'!AM25</f>
        <v>1811.43</v>
      </c>
      <c r="BT45" s="23">
        <f>'QTR Raw'!AN25</f>
        <v>1019.77</v>
      </c>
      <c r="BU45" s="23">
        <f>'QTR Raw'!AO25</f>
        <v>1532.49</v>
      </c>
      <c r="BV45" s="23">
        <f>'QTR Raw'!AP25</f>
        <v>1098.51</v>
      </c>
      <c r="BW45" s="23">
        <f>'QTR Raw'!AQ25</f>
        <v>1218.1099999999999</v>
      </c>
      <c r="BX45" s="23">
        <f>'QTR Raw'!AR25</f>
        <v>1519.07</v>
      </c>
      <c r="BY45" s="23">
        <f>'QTR Raw'!AS25</f>
        <v>1767.92</v>
      </c>
      <c r="BZ45" s="23">
        <f>'QTR Raw'!AT25</f>
        <v>1793.6</v>
      </c>
      <c r="CA45" s="23">
        <f>'QTR Raw'!AU25</f>
        <v>1825.15</v>
      </c>
      <c r="CB45" s="23">
        <f>'QTR Raw'!AV25</f>
        <v>1959.39</v>
      </c>
      <c r="CC45" s="23">
        <f>'QTR Raw'!AW25</f>
        <v>1880.78</v>
      </c>
      <c r="CD45" s="23">
        <f>'QTR Raw'!AX25</f>
        <v>1842.25</v>
      </c>
      <c r="CE45" s="23">
        <f>'QTR Raw'!AY25</f>
        <v>1776.71</v>
      </c>
      <c r="CF45" s="23">
        <f>'QTR Raw'!AZ25</f>
        <v>1971.4</v>
      </c>
      <c r="CG45" s="23">
        <f>'QTR Raw'!BA25</f>
        <v>1804.09</v>
      </c>
      <c r="CH45" s="23">
        <f>'QTR Raw'!BB25</f>
        <v>1788.75</v>
      </c>
      <c r="CI45" s="23">
        <f>'QTR Raw'!BC25</f>
        <v>1852.43</v>
      </c>
      <c r="CJ45" s="23">
        <f>'QTR Raw'!BD25</f>
        <v>1774.96</v>
      </c>
      <c r="CK45" s="23">
        <f>'QTR Raw'!BE25</f>
        <v>1747.29</v>
      </c>
      <c r="CL45" s="23">
        <f>'QTR Raw'!BF25</f>
        <v>1792.38</v>
      </c>
      <c r="CM45" s="24">
        <f t="shared" ref="CM45:DB45" si="558">CM46*CL182</f>
        <v>1477.9064000000001</v>
      </c>
      <c r="CN45" s="24">
        <f t="shared" si="558"/>
        <v>1492.9970721681195</v>
      </c>
      <c r="CO45" s="24">
        <f t="shared" si="558"/>
        <v>1434.8610011117516</v>
      </c>
      <c r="CP45" s="24">
        <f t="shared" si="558"/>
        <v>1385.650016772657</v>
      </c>
      <c r="CQ45" s="24">
        <f t="shared" si="558"/>
        <v>1316.7820569088328</v>
      </c>
      <c r="CR45" s="24">
        <f t="shared" si="558"/>
        <v>1365.9380028620994</v>
      </c>
      <c r="CS45" s="24">
        <f t="shared" si="558"/>
        <v>1306.3798909565492</v>
      </c>
      <c r="CT45" s="24">
        <f t="shared" si="558"/>
        <v>1222.9845307186138</v>
      </c>
      <c r="CU45" s="24">
        <f t="shared" si="558"/>
        <v>1136.7464922511283</v>
      </c>
      <c r="CV45" s="24">
        <f t="shared" si="558"/>
        <v>1034.4401207903454</v>
      </c>
      <c r="CW45" s="24">
        <f t="shared" si="558"/>
        <v>826.93541065364468</v>
      </c>
      <c r="CX45" s="24">
        <f t="shared" si="558"/>
        <v>592.61995231909327</v>
      </c>
      <c r="CY45" s="24">
        <f t="shared" si="558"/>
        <v>355.39124267595207</v>
      </c>
      <c r="CZ45" s="24">
        <f t="shared" si="558"/>
        <v>237.7239271295324</v>
      </c>
      <c r="DA45" s="24">
        <f t="shared" si="558"/>
        <v>6.4967927945349953</v>
      </c>
      <c r="DB45" s="24">
        <f t="shared" si="558"/>
        <v>-253.31488962024684</v>
      </c>
      <c r="DE45" s="123"/>
      <c r="DF45" s="23">
        <v>1417.6990362867953</v>
      </c>
    </row>
    <row r="46" spans="1:110" s="46" customFormat="1" x14ac:dyDescent="0.2">
      <c r="A46" s="46" t="s">
        <v>482</v>
      </c>
      <c r="B46" s="46">
        <f t="shared" ref="B46:D46" si="559">+B45/B142</f>
        <v>7.4232946619024895E-2</v>
      </c>
      <c r="C46" s="46">
        <f t="shared" si="559"/>
        <v>7.2293773638347852E-2</v>
      </c>
      <c r="D46" s="46">
        <f t="shared" si="559"/>
        <v>6.1187794629692434E-2</v>
      </c>
      <c r="E46" s="46">
        <f t="shared" ref="E46:AE46" si="560">+E45/E142</f>
        <v>4.6210844606831822E-2</v>
      </c>
      <c r="F46" s="46">
        <f t="shared" si="560"/>
        <v>4.923536609775675E-2</v>
      </c>
      <c r="G46" s="46">
        <f t="shared" si="560"/>
        <v>4.3422684984696626E-2</v>
      </c>
      <c r="H46" s="46">
        <f t="shared" si="560"/>
        <v>2.4346265507031804E-2</v>
      </c>
      <c r="I46" s="46">
        <f t="shared" si="560"/>
        <v>8.2979388093803133E-2</v>
      </c>
      <c r="J46" s="46">
        <f t="shared" si="560"/>
        <v>6.2200672727967865E-2</v>
      </c>
      <c r="K46" s="46">
        <f t="shared" si="560"/>
        <v>6.438617183367093E-2</v>
      </c>
      <c r="L46" s="46">
        <f t="shared" si="560"/>
        <v>6.3619432990022318E-2</v>
      </c>
      <c r="M46" s="46">
        <f t="shared" si="560"/>
        <v>6.836076888272602E-2</v>
      </c>
      <c r="N46" s="46">
        <f t="shared" si="560"/>
        <v>5.6060750763750042E-2</v>
      </c>
      <c r="O46" s="46">
        <f t="shared" si="560"/>
        <v>5.1700539974118914E-2</v>
      </c>
      <c r="P46" s="46">
        <f t="shared" si="560"/>
        <v>5.8423315865291155E-2</v>
      </c>
      <c r="Q46" s="46">
        <f t="shared" si="560"/>
        <v>5.0098662587006973E-2</v>
      </c>
      <c r="R46" s="46">
        <f t="shared" si="560"/>
        <v>5.9470398990543856E-2</v>
      </c>
      <c r="S46" s="46">
        <f t="shared" si="560"/>
        <v>5.7769768819888996E-2</v>
      </c>
      <c r="T46" s="46">
        <f t="shared" si="560"/>
        <v>7.4304096895933522E-2</v>
      </c>
      <c r="U46" s="46">
        <f t="shared" si="560"/>
        <v>6.391665654889582E-2</v>
      </c>
      <c r="V46" s="46">
        <f t="shared" si="560"/>
        <v>9.340035691666633E-2</v>
      </c>
      <c r="W46" s="46">
        <f t="shared" si="560"/>
        <v>7.9359360080710553E-2</v>
      </c>
      <c r="X46" s="46">
        <f t="shared" si="560"/>
        <v>8.0734243639584355E-2</v>
      </c>
      <c r="Y46" s="46">
        <f t="shared" si="560"/>
        <v>9.2033949085688169E-2</v>
      </c>
      <c r="Z46" s="46">
        <f t="shared" si="560"/>
        <v>8.2516137741852555E-2</v>
      </c>
      <c r="AA46" s="46">
        <f t="shared" ref="AA46" si="561">+AA45/AA142</f>
        <v>8.436163542259742E-2</v>
      </c>
      <c r="AB46" s="110">
        <f t="shared" si="560"/>
        <v>6.8169262960120228E-2</v>
      </c>
      <c r="AC46" s="110">
        <f t="shared" si="560"/>
        <v>6.1350117177131659E-2</v>
      </c>
      <c r="AD46" s="110">
        <f t="shared" si="560"/>
        <v>4.2265708041669521E-2</v>
      </c>
      <c r="AE46" s="110">
        <f t="shared" si="560"/>
        <v>4.0761745288350011E-3</v>
      </c>
      <c r="AI46" s="46" t="e">
        <f t="shared" ref="AI46:BN46" si="562">(AI45-AI44)/AH182</f>
        <v>#DIV/0!</v>
      </c>
      <c r="AJ46" s="46" t="e">
        <f t="shared" si="562"/>
        <v>#DIV/0!</v>
      </c>
      <c r="AK46" s="46">
        <f t="shared" si="562"/>
        <v>2.2271253138057185E-2</v>
      </c>
      <c r="AL46" s="46">
        <f t="shared" si="562"/>
        <v>2.5230233163937882E-2</v>
      </c>
      <c r="AM46" s="46">
        <f t="shared" si="562"/>
        <v>1.727821491415367E-2</v>
      </c>
      <c r="AN46" s="46">
        <f t="shared" si="562"/>
        <v>1.9323775112456771E-2</v>
      </c>
      <c r="AO46" s="46">
        <f t="shared" si="562"/>
        <v>2.0790278471126057E-2</v>
      </c>
      <c r="AP46" s="46">
        <f t="shared" si="562"/>
        <v>2.034573962396178E-2</v>
      </c>
      <c r="AQ46" s="46">
        <f t="shared" si="562"/>
        <v>1.8141379968973925E-2</v>
      </c>
      <c r="AR46" s="46">
        <f t="shared" si="562"/>
        <v>1.6888859797195874E-2</v>
      </c>
      <c r="AS46" s="46">
        <f t="shared" si="562"/>
        <v>2.4649445522679701E-2</v>
      </c>
      <c r="AT46" s="46">
        <f t="shared" si="562"/>
        <v>2.5652773555630705E-2</v>
      </c>
      <c r="AU46" s="46">
        <f t="shared" si="562"/>
        <v>1.6654082729194331E-2</v>
      </c>
      <c r="AV46" s="46">
        <f t="shared" si="562"/>
        <v>1.5802911066359854E-2</v>
      </c>
      <c r="AW46" s="46">
        <f t="shared" si="562"/>
        <v>1.3751376243413401E-2</v>
      </c>
      <c r="AX46" s="46">
        <f t="shared" si="562"/>
        <v>1.3184329230240618E-2</v>
      </c>
      <c r="AY46" s="46">
        <f t="shared" si="562"/>
        <v>1.3395940440756982E-2</v>
      </c>
      <c r="AZ46" s="46">
        <f t="shared" si="562"/>
        <v>1.7296969299274306E-2</v>
      </c>
      <c r="BA46" s="46">
        <f t="shared" si="562"/>
        <v>1.6976410685152613E-2</v>
      </c>
      <c r="BB46" s="46">
        <f t="shared" si="562"/>
        <v>1.4978980538076232E-2</v>
      </c>
      <c r="BC46" s="46">
        <f t="shared" si="562"/>
        <v>1.6559407627411656E-2</v>
      </c>
      <c r="BD46" s="46">
        <f t="shared" si="562"/>
        <v>1.6742958932952939E-2</v>
      </c>
      <c r="BE46" s="46">
        <f t="shared" si="562"/>
        <v>1.419363369007285E-2</v>
      </c>
      <c r="BF46" s="46">
        <f t="shared" si="562"/>
        <v>1.5480015996960007E-2</v>
      </c>
      <c r="BG46" s="46">
        <f t="shared" si="562"/>
        <v>1.9824157955230095E-2</v>
      </c>
      <c r="BH46" s="46">
        <f t="shared" si="562"/>
        <v>2.7372766990561317E-2</v>
      </c>
      <c r="BI46" s="46">
        <f t="shared" si="562"/>
        <v>1.6977932741488105E-2</v>
      </c>
      <c r="BJ46" s="46">
        <f t="shared" si="562"/>
        <v>1.4932133679811535E-2</v>
      </c>
      <c r="BK46" s="46">
        <f t="shared" si="562"/>
        <v>1.8238225824116678E-2</v>
      </c>
      <c r="BL46" s="46">
        <f t="shared" si="562"/>
        <v>2.0775478759070706E-2</v>
      </c>
      <c r="BM46" s="46">
        <f t="shared" si="562"/>
        <v>1.8711440396530006E-2</v>
      </c>
      <c r="BN46" s="46">
        <f t="shared" si="562"/>
        <v>6.2059563699569161E-3</v>
      </c>
      <c r="BO46" s="46">
        <f t="shared" ref="BO46:CL46" si="563">(BO45-BO44)/BN182</f>
        <v>1.7863152371161282E-2</v>
      </c>
      <c r="BP46" s="46">
        <f t="shared" si="563"/>
        <v>1.7116919271122907E-2</v>
      </c>
      <c r="BQ46" s="46">
        <f t="shared" si="563"/>
        <v>1.675785442619027E-2</v>
      </c>
      <c r="BR46" s="46">
        <f t="shared" si="563"/>
        <v>1.7558593735268729E-2</v>
      </c>
      <c r="BS46" s="46">
        <f t="shared" si="563"/>
        <v>2.4372686334965421E-2</v>
      </c>
      <c r="BT46" s="46">
        <f t="shared" si="563"/>
        <v>1.2499393921682252E-2</v>
      </c>
      <c r="BU46" s="46">
        <f t="shared" si="563"/>
        <v>2.3864129614978503E-2</v>
      </c>
      <c r="BV46" s="46">
        <f t="shared" si="563"/>
        <v>1.5409691909441615E-2</v>
      </c>
      <c r="BW46" s="46">
        <f t="shared" si="563"/>
        <v>2.1394503767903538E-2</v>
      </c>
      <c r="BX46" s="46">
        <f t="shared" si="563"/>
        <v>3.4413394931754056E-2</v>
      </c>
      <c r="BY46" s="46">
        <f t="shared" si="563"/>
        <v>2.2788066657819218E-2</v>
      </c>
      <c r="BZ46" s="46">
        <f t="shared" si="563"/>
        <v>2.4489145432729703E-2</v>
      </c>
      <c r="CA46" s="46">
        <f t="shared" si="563"/>
        <v>1.0623070018571082E-2</v>
      </c>
      <c r="CB46" s="46">
        <f t="shared" si="563"/>
        <v>2.9328432766511939E-2</v>
      </c>
      <c r="CC46" s="46">
        <f t="shared" si="563"/>
        <v>2.3150426721712233E-2</v>
      </c>
      <c r="CD46" s="46">
        <f t="shared" si="563"/>
        <v>2.3557958983730906E-2</v>
      </c>
      <c r="CE46" s="46">
        <f t="shared" si="563"/>
        <v>2.1018508010188321E-2</v>
      </c>
      <c r="CF46" s="46">
        <f t="shared" si="563"/>
        <v>1.9745750454881097E-2</v>
      </c>
      <c r="CG46" s="46">
        <f t="shared" si="563"/>
        <v>1.8920388342088212E-2</v>
      </c>
      <c r="CH46" s="46">
        <f t="shared" si="563"/>
        <v>1.5953673154693211E-2</v>
      </c>
      <c r="CI46" s="46">
        <f t="shared" si="563"/>
        <v>2.0341810475246698E-2</v>
      </c>
      <c r="CJ46" s="46">
        <f t="shared" si="563"/>
        <v>1.9305218679211408E-2</v>
      </c>
      <c r="CK46" s="46">
        <f t="shared" si="563"/>
        <v>1.5374091165079028E-2</v>
      </c>
      <c r="CL46" s="46">
        <f t="shared" si="563"/>
        <v>1.8920823393471477E-2</v>
      </c>
      <c r="CM46" s="47">
        <v>0.02</v>
      </c>
      <c r="CN46" s="47">
        <f t="shared" ref="CN46" si="564">+CM46</f>
        <v>0.02</v>
      </c>
      <c r="CO46" s="47">
        <f t="shared" ref="CO46" si="565">+CN46</f>
        <v>0.02</v>
      </c>
      <c r="CP46" s="47">
        <f t="shared" ref="CP46" si="566">+CO46</f>
        <v>0.02</v>
      </c>
      <c r="CQ46" s="47">
        <v>0.02</v>
      </c>
      <c r="CR46" s="47">
        <f t="shared" ref="CR46" si="567">+CQ46</f>
        <v>0.02</v>
      </c>
      <c r="CS46" s="47">
        <f t="shared" ref="CS46" si="568">+CR46</f>
        <v>0.02</v>
      </c>
      <c r="CT46" s="47">
        <f t="shared" ref="CT46" si="569">+CS46</f>
        <v>0.02</v>
      </c>
      <c r="CU46" s="47">
        <f t="shared" ref="CU46" si="570">+CT46</f>
        <v>0.02</v>
      </c>
      <c r="CV46" s="47">
        <f t="shared" ref="CV46" si="571">+CU46</f>
        <v>0.02</v>
      </c>
      <c r="CW46" s="47">
        <f t="shared" ref="CW46" si="572">+CV46</f>
        <v>0.02</v>
      </c>
      <c r="CX46" s="47">
        <f t="shared" ref="CX46" si="573">+CW46</f>
        <v>0.02</v>
      </c>
      <c r="CY46" s="47">
        <f t="shared" ref="CY46" si="574">+CX46</f>
        <v>0.02</v>
      </c>
      <c r="CZ46" s="47">
        <f t="shared" ref="CZ46" si="575">+CY46</f>
        <v>0.02</v>
      </c>
      <c r="DA46" s="47">
        <f t="shared" ref="DA46" si="576">+CZ46</f>
        <v>0.02</v>
      </c>
      <c r="DB46" s="47">
        <f t="shared" ref="DB46" si="577">+DA46</f>
        <v>0.02</v>
      </c>
      <c r="DE46" s="130"/>
      <c r="DF46" s="46">
        <v>1.7374091165079028E-2</v>
      </c>
    </row>
    <row r="47" spans="1:110" s="26" customFormat="1" x14ac:dyDescent="0.2">
      <c r="A47" s="26" t="s">
        <v>20</v>
      </c>
      <c r="B47" s="26">
        <f>B43+B44-B45</f>
        <v>888.28000000000009</v>
      </c>
      <c r="C47" s="26">
        <f t="shared" ref="C47:T47" si="578">C43+C44-C45</f>
        <v>458.84000000000049</v>
      </c>
      <c r="D47" s="26">
        <f>D43+D44-D45</f>
        <v>1512.5099999999993</v>
      </c>
      <c r="E47" s="26">
        <f t="shared" si="578"/>
        <v>2925.2800000000007</v>
      </c>
      <c r="F47" s="26">
        <f t="shared" si="578"/>
        <v>5540.119999999999</v>
      </c>
      <c r="G47" s="26">
        <f t="shared" si="578"/>
        <v>5569.1799999999994</v>
      </c>
      <c r="H47" s="26">
        <f t="shared" si="578"/>
        <v>6466.0500000000011</v>
      </c>
      <c r="I47" s="26">
        <f t="shared" si="578"/>
        <v>10035.929999999949</v>
      </c>
      <c r="J47" s="26">
        <f t="shared" si="578"/>
        <v>10837.770000000026</v>
      </c>
      <c r="K47" s="26">
        <f t="shared" si="578"/>
        <v>1714.7199999999984</v>
      </c>
      <c r="L47" s="26">
        <f t="shared" si="578"/>
        <v>9056.0499999999829</v>
      </c>
      <c r="M47" s="26">
        <f t="shared" si="578"/>
        <v>5223.0600000000222</v>
      </c>
      <c r="N47" s="26">
        <f t="shared" si="578"/>
        <v>3256.9300000000235</v>
      </c>
      <c r="O47" s="26">
        <f t="shared" si="578"/>
        <v>6749.7700000000277</v>
      </c>
      <c r="P47" s="26">
        <f t="shared" si="578"/>
        <v>2540.5799999999854</v>
      </c>
      <c r="Q47" s="26">
        <f t="shared" si="578"/>
        <v>-1147.2100000000032</v>
      </c>
      <c r="R47" s="26">
        <f t="shared" si="578"/>
        <v>6790.2100000000091</v>
      </c>
      <c r="S47" s="26">
        <f t="shared" si="578"/>
        <v>11117.850000000004</v>
      </c>
      <c r="T47" s="26">
        <f t="shared" si="578"/>
        <v>15801.989999999982</v>
      </c>
      <c r="U47" s="26">
        <f t="shared" ref="U47:Z47" si="579">U43+U44-U45</f>
        <v>3361.1699999999828</v>
      </c>
      <c r="V47" s="26">
        <f t="shared" si="579"/>
        <v>14559.510000000009</v>
      </c>
      <c r="W47" s="26">
        <f t="shared" si="579"/>
        <v>49711.770000000011</v>
      </c>
      <c r="X47" s="26">
        <f t="shared" si="579"/>
        <v>17703.740000000023</v>
      </c>
      <c r="Y47" s="26">
        <f t="shared" si="579"/>
        <v>6725.0199999999841</v>
      </c>
      <c r="Z47" s="26">
        <f t="shared" si="579"/>
        <v>9076.6999999999971</v>
      </c>
      <c r="AA47" s="26">
        <f t="shared" ref="AA47" si="580">AA43+AA44-AA45</f>
        <v>16632.650000000012</v>
      </c>
      <c r="AB47" s="27">
        <f t="shared" ref="AB47:AD47" si="581">AB43+AB44-AB45</f>
        <v>24715.006818399052</v>
      </c>
      <c r="AC47" s="27">
        <f t="shared" si="581"/>
        <v>29144.858333055927</v>
      </c>
      <c r="AD47" s="27">
        <f t="shared" si="581"/>
        <v>35191.364898096166</v>
      </c>
      <c r="AE47" s="27">
        <f t="shared" ref="AE47" si="582">AE43+AE44-AE45</f>
        <v>43210.063359980595</v>
      </c>
      <c r="AI47" s="26">
        <f>AI43+AI44-AI45</f>
        <v>1415.670000000008</v>
      </c>
      <c r="AJ47" s="26">
        <f t="shared" ref="AJ47" si="583">AJ43+AJ44-AJ45</f>
        <v>204.80000000000166</v>
      </c>
      <c r="AK47" s="26">
        <f t="shared" ref="AK47:AM47" si="584">AK43+AK44-AK45</f>
        <v>-200.31999999999823</v>
      </c>
      <c r="AL47" s="26">
        <f t="shared" si="584"/>
        <v>1836.7799999999986</v>
      </c>
      <c r="AM47" s="26">
        <f t="shared" si="584"/>
        <v>1475.9599999999973</v>
      </c>
      <c r="AN47" s="26">
        <f t="shared" ref="AN47:AO47" si="585">AN43+AN44-AN45</f>
        <v>1398.0999999999954</v>
      </c>
      <c r="AO47" s="26">
        <f t="shared" si="585"/>
        <v>1394.1500000000042</v>
      </c>
      <c r="AP47" s="26">
        <f t="shared" ref="AP47:CD47" si="586">AP43+AP44-AP45</f>
        <v>2481.5599999999945</v>
      </c>
      <c r="AQ47" s="26">
        <f t="shared" si="586"/>
        <v>1686.0599999999963</v>
      </c>
      <c r="AR47" s="26">
        <f t="shared" si="586"/>
        <v>1302.0499999999995</v>
      </c>
      <c r="AS47" s="26">
        <f t="shared" si="586"/>
        <v>578.00000000000296</v>
      </c>
      <c r="AT47" s="26">
        <f t="shared" si="586"/>
        <v>-1025.5300000000025</v>
      </c>
      <c r="AU47" s="26">
        <f t="shared" si="586"/>
        <v>260.6700000000003</v>
      </c>
      <c r="AV47" s="26">
        <f t="shared" si="586"/>
        <v>-506.08000000000436</v>
      </c>
      <c r="AW47" s="26">
        <f t="shared" si="586"/>
        <v>-1339.5099999999998</v>
      </c>
      <c r="AX47" s="26">
        <f t="shared" si="586"/>
        <v>17.399999999995885</v>
      </c>
      <c r="AY47" s="26">
        <f t="shared" si="586"/>
        <v>1103.3000000000009</v>
      </c>
      <c r="AZ47" s="26">
        <f t="shared" si="586"/>
        <v>362.00999999999817</v>
      </c>
      <c r="BA47" s="26">
        <f t="shared" si="586"/>
        <v>999.85000000000127</v>
      </c>
      <c r="BB47" s="26">
        <f t="shared" si="586"/>
        <v>4325.0400000000063</v>
      </c>
      <c r="BC47" s="26">
        <f t="shared" si="586"/>
        <v>2284.6399999999981</v>
      </c>
      <c r="BD47" s="26">
        <f t="shared" si="586"/>
        <v>2108.87</v>
      </c>
      <c r="BE47" s="26">
        <f t="shared" si="586"/>
        <v>3120.4500000000007</v>
      </c>
      <c r="BF47" s="26">
        <f t="shared" si="586"/>
        <v>3746.5199999999968</v>
      </c>
      <c r="BG47" s="26">
        <f t="shared" si="586"/>
        <v>3300.219999999998</v>
      </c>
      <c r="BH47" s="26">
        <f t="shared" si="586"/>
        <v>5175.9899999999934</v>
      </c>
      <c r="BI47" s="26">
        <f t="shared" si="586"/>
        <v>3140.9199999999992</v>
      </c>
      <c r="BJ47" s="26">
        <f t="shared" si="586"/>
        <v>4184.8600000000024</v>
      </c>
      <c r="BK47" s="26">
        <f t="shared" si="586"/>
        <v>1750.7900000000011</v>
      </c>
      <c r="BL47" s="26">
        <f t="shared" si="586"/>
        <v>4.5800000000015189</v>
      </c>
      <c r="BM47" s="26">
        <f t="shared" si="586"/>
        <v>-236.57999999999288</v>
      </c>
      <c r="BN47" s="26">
        <f t="shared" si="586"/>
        <v>1890.2599999999952</v>
      </c>
      <c r="BO47" s="26">
        <f t="shared" si="586"/>
        <v>-3453.9400000000023</v>
      </c>
      <c r="BP47" s="26">
        <f t="shared" si="586"/>
        <v>2157.5099999999993</v>
      </c>
      <c r="BQ47" s="26">
        <f t="shared" si="586"/>
        <v>5658.3600000000042</v>
      </c>
      <c r="BR47" s="26">
        <f t="shared" si="586"/>
        <v>10197.580000000002</v>
      </c>
      <c r="BS47" s="26">
        <f t="shared" si="586"/>
        <v>12136.809999999998</v>
      </c>
      <c r="BT47" s="26">
        <f t="shared" si="586"/>
        <v>13418.350000000002</v>
      </c>
      <c r="BU47" s="26">
        <f t="shared" si="586"/>
        <v>12176.699999999999</v>
      </c>
      <c r="BV47" s="26">
        <f t="shared" si="586"/>
        <v>11979.910000000009</v>
      </c>
      <c r="BW47" s="26">
        <f t="shared" si="586"/>
        <v>11785.979999999994</v>
      </c>
      <c r="BX47" s="26">
        <f t="shared" si="586"/>
        <v>2522.6900000000069</v>
      </c>
      <c r="BY47" s="26">
        <f t="shared" si="586"/>
        <v>182.13999999999987</v>
      </c>
      <c r="BZ47" s="26">
        <f t="shared" si="586"/>
        <v>3212.9300000000007</v>
      </c>
      <c r="CA47" s="26">
        <f t="shared" si="586"/>
        <v>2113.2300000000046</v>
      </c>
      <c r="CB47" s="26">
        <f t="shared" si="586"/>
        <v>56.809999999999718</v>
      </c>
      <c r="CC47" s="26">
        <f t="shared" si="586"/>
        <v>2188.6400000000103</v>
      </c>
      <c r="CD47" s="26">
        <f t="shared" si="586"/>
        <v>2366.3399999999938</v>
      </c>
      <c r="CE47" s="26">
        <f t="shared" ref="CE47:CF47" si="587">CE43+CE44-CE45</f>
        <v>2642.2400000000007</v>
      </c>
      <c r="CF47" s="26">
        <f t="shared" si="587"/>
        <v>2171.720000000008</v>
      </c>
      <c r="CG47" s="26">
        <f t="shared" ref="CG47:CH47" si="588">CG43+CG44-CG45</f>
        <v>1751.2399999999982</v>
      </c>
      <c r="CH47" s="26">
        <f t="shared" si="588"/>
        <v>2511.5000000000091</v>
      </c>
      <c r="CI47" s="26">
        <f t="shared" ref="CI47:CJ47" si="589">CI43+CI44-CI45</f>
        <v>3119.4800000000005</v>
      </c>
      <c r="CJ47" s="26">
        <f t="shared" si="589"/>
        <v>4592.130000000001</v>
      </c>
      <c r="CK47" s="26">
        <f t="shared" ref="CK47:CL47" si="590">CK43+CK44-CK45</f>
        <v>3904.6900000000014</v>
      </c>
      <c r="CL47" s="26">
        <f t="shared" si="590"/>
        <v>5016.3499999999967</v>
      </c>
      <c r="CM47" s="27">
        <f t="shared" ref="CM47:DB47" si="591">CM43+CM44-CM45</f>
        <v>4478.5460933897339</v>
      </c>
      <c r="CN47" s="27">
        <f t="shared" si="591"/>
        <v>5560.0320698471833</v>
      </c>
      <c r="CO47" s="27">
        <f t="shared" si="591"/>
        <v>6608.8383898803195</v>
      </c>
      <c r="CP47" s="27">
        <f t="shared" si="591"/>
        <v>8067.5902652817949</v>
      </c>
      <c r="CQ47" s="27">
        <f t="shared" si="591"/>
        <v>5677.9677390418747</v>
      </c>
      <c r="CR47" s="27">
        <f t="shared" si="591"/>
        <v>6636.0334871538544</v>
      </c>
      <c r="CS47" s="27">
        <f t="shared" si="591"/>
        <v>7902.2040114531674</v>
      </c>
      <c r="CT47" s="27">
        <f t="shared" si="591"/>
        <v>8928.6530954070586</v>
      </c>
      <c r="CU47" s="27">
        <f t="shared" si="591"/>
        <v>6970.8117503692401</v>
      </c>
      <c r="CV47" s="27">
        <f t="shared" si="591"/>
        <v>8078.6519240637217</v>
      </c>
      <c r="CW47" s="27">
        <f t="shared" si="591"/>
        <v>9516.3202493757508</v>
      </c>
      <c r="CX47" s="27">
        <f t="shared" si="591"/>
        <v>10625.580974287457</v>
      </c>
      <c r="CY47" s="27">
        <f t="shared" si="591"/>
        <v>8896.1929036948932</v>
      </c>
      <c r="CZ47" s="27">
        <f t="shared" si="591"/>
        <v>10038.465076527396</v>
      </c>
      <c r="DA47" s="27">
        <f t="shared" si="591"/>
        <v>11549.489339376936</v>
      </c>
      <c r="DB47" s="27">
        <f t="shared" si="591"/>
        <v>12725.91604038138</v>
      </c>
      <c r="DE47" s="121"/>
      <c r="DF47" s="26">
        <v>4777.4421470365187</v>
      </c>
    </row>
    <row r="48" spans="1:110" s="23" customFormat="1" x14ac:dyDescent="0.2">
      <c r="A48" s="23" t="s">
        <v>21</v>
      </c>
      <c r="B48" s="23">
        <f>'Annual Raw'!C30</f>
        <v>49</v>
      </c>
      <c r="C48" s="23">
        <f>'Annual Raw'!D30</f>
        <v>48.7</v>
      </c>
      <c r="D48" s="23">
        <f>'Annual Raw'!E30</f>
        <v>256.68</v>
      </c>
      <c r="E48" s="23">
        <f>'Annual Raw'!F30</f>
        <v>936.25</v>
      </c>
      <c r="F48" s="23">
        <f>'Annual Raw'!G30</f>
        <v>1871.24</v>
      </c>
      <c r="G48" s="23">
        <f>'Annual Raw'!H30</f>
        <v>1793.91</v>
      </c>
      <c r="H48" s="23">
        <f>'Annual Raw'!I30</f>
        <v>2147.41</v>
      </c>
      <c r="I48" s="23">
        <f>'Annual Raw'!J30</f>
        <v>4049.3</v>
      </c>
      <c r="J48" s="23">
        <f>'Annual Raw'!K30</f>
        <v>1894</v>
      </c>
      <c r="K48" s="23">
        <f>'Annual Raw'!L30</f>
        <v>2151.84</v>
      </c>
      <c r="L48" s="23">
        <f>'Annual Raw'!M30</f>
        <v>3245.9</v>
      </c>
      <c r="M48" s="23">
        <f>'Annual Raw'!N30</f>
        <v>3636.46</v>
      </c>
      <c r="N48" s="23">
        <f>'Annual Raw'!O30</f>
        <v>3229.44</v>
      </c>
      <c r="O48" s="23">
        <f>'Annual Raw'!P30</f>
        <v>3058.16</v>
      </c>
      <c r="P48" s="23">
        <f>'Annual Raw'!Q30</f>
        <v>2567.41</v>
      </c>
      <c r="Q48" s="23">
        <f>'Annual Raw'!R30</f>
        <v>689.96</v>
      </c>
      <c r="R48" s="23">
        <f>'Annual Raw'!S30</f>
        <v>2778.01</v>
      </c>
      <c r="S48" s="23">
        <f>'Annual Raw'!T30</f>
        <v>3392.33</v>
      </c>
      <c r="T48" s="23">
        <f>'Annual Raw'!U30</f>
        <v>6718.43</v>
      </c>
      <c r="U48" s="23">
        <f>'Annual Raw'!V30</f>
        <v>-2552.9</v>
      </c>
      <c r="V48" s="23">
        <f>'Annual Raw'!W30</f>
        <v>5653.9</v>
      </c>
      <c r="W48" s="23">
        <f>'Annual Raw'!X30</f>
        <v>8477.5499999999993</v>
      </c>
      <c r="X48" s="23">
        <f>'Annual Raw'!Y30</f>
        <v>10159.77</v>
      </c>
      <c r="Y48" s="23">
        <f>'Annual Raw'!Z30</f>
        <v>3762.57</v>
      </c>
      <c r="Z48" s="23">
        <f>'Annual Raw'!AA30</f>
        <v>5239.09</v>
      </c>
      <c r="AA48" s="23">
        <f>'Annual Raw'!AB30</f>
        <v>5082.87</v>
      </c>
      <c r="AB48" s="24">
        <f>+SUM(CM48:CP48)</f>
        <v>7681.4819601102872</v>
      </c>
      <c r="AC48" s="24">
        <f>+SUM(CQ48:CT48)</f>
        <v>8988.2799985205111</v>
      </c>
      <c r="AD48" s="24">
        <f>+SUM(CU48:CX48)</f>
        <v>10866.662061620937</v>
      </c>
      <c r="AE48" s="24">
        <f>+SUM(CY48:DB48)</f>
        <v>13346.690865939201</v>
      </c>
      <c r="AI48" s="23">
        <f>'QTR Raw'!C29</f>
        <v>898.63</v>
      </c>
      <c r="AJ48" s="23">
        <f>'QTR Raw'!D29</f>
        <v>660.75</v>
      </c>
      <c r="AK48" s="23">
        <f>'QTR Raw'!E29</f>
        <v>568.54</v>
      </c>
      <c r="AL48" s="23">
        <f>'QTR Raw'!F29</f>
        <v>1101.52</v>
      </c>
      <c r="AM48" s="23">
        <f>'QTR Raw'!G29</f>
        <v>351.39</v>
      </c>
      <c r="AN48" s="23">
        <f>'QTR Raw'!H29</f>
        <v>447.15</v>
      </c>
      <c r="AO48" s="23">
        <f>'QTR Raw'!I29</f>
        <v>895.09</v>
      </c>
      <c r="AP48" s="23">
        <f>'QTR Raw'!J29</f>
        <v>1364.53</v>
      </c>
      <c r="AQ48" s="23">
        <f>'QTR Raw'!K29</f>
        <v>1080.4100000000001</v>
      </c>
      <c r="AR48" s="23">
        <f>'QTR Raw'!L29</f>
        <v>1174.77</v>
      </c>
      <c r="AS48" s="23">
        <f>'QTR Raw'!M29</f>
        <v>446.68</v>
      </c>
      <c r="AT48" s="23">
        <f>'QTR Raw'!N29</f>
        <v>-134.44999999999999</v>
      </c>
      <c r="AU48" s="23">
        <f>'QTR Raw'!O29</f>
        <v>100.66</v>
      </c>
      <c r="AV48" s="23">
        <f>'QTR Raw'!P29</f>
        <v>-168.15</v>
      </c>
      <c r="AW48" s="23">
        <f>'QTR Raw'!Q29</f>
        <v>332.57</v>
      </c>
      <c r="AX48" s="23">
        <f>'QTR Raw'!R29</f>
        <v>424.88</v>
      </c>
      <c r="AY48" s="23">
        <f>'QTR Raw'!S29</f>
        <v>740.27</v>
      </c>
      <c r="AZ48" s="23">
        <f>'QTR Raw'!T29</f>
        <v>363.37</v>
      </c>
      <c r="BA48" s="23">
        <f>'QTR Raw'!U29</f>
        <v>698.4</v>
      </c>
      <c r="BB48" s="23">
        <f>'QTR Raw'!V29</f>
        <v>975.96</v>
      </c>
      <c r="BC48" s="23">
        <f>'QTR Raw'!W29</f>
        <v>740.53</v>
      </c>
      <c r="BD48" s="23">
        <f>'QTR Raw'!X29</f>
        <v>1137.97</v>
      </c>
      <c r="BE48" s="23">
        <f>'QTR Raw'!Y29</f>
        <v>950.82</v>
      </c>
      <c r="BF48" s="23">
        <f>'QTR Raw'!Z29</f>
        <v>583.96</v>
      </c>
      <c r="BG48" s="23">
        <f>'QTR Raw'!AA29</f>
        <v>1095.94</v>
      </c>
      <c r="BH48" s="23">
        <f>'QTR Raw'!AB29</f>
        <v>2316.7800000000002</v>
      </c>
      <c r="BI48" s="23">
        <f>'QTR Raw'!AC29</f>
        <v>1406.65</v>
      </c>
      <c r="BJ48" s="23">
        <f>'QTR Raw'!AD29</f>
        <v>1899.06</v>
      </c>
      <c r="BK48" s="23">
        <f>'QTR Raw'!AE29</f>
        <v>1123.82</v>
      </c>
      <c r="BL48" s="23">
        <f>'QTR Raw'!AF29</f>
        <v>-4049.99</v>
      </c>
      <c r="BM48" s="23">
        <f>'QTR Raw'!AG29</f>
        <v>621.04</v>
      </c>
      <c r="BN48" s="23">
        <f>'QTR Raw'!AH29</f>
        <v>-255.2</v>
      </c>
      <c r="BO48" s="23">
        <f>'QTR Raw'!AI29</f>
        <v>1267.55</v>
      </c>
      <c r="BP48" s="23">
        <f>'QTR Raw'!AJ29</f>
        <v>609.15</v>
      </c>
      <c r="BQ48" s="23">
        <f>'QTR Raw'!AK29</f>
        <v>1582.25</v>
      </c>
      <c r="BR48" s="23">
        <f>'QTR Raw'!AL29</f>
        <v>2194.9499999999998</v>
      </c>
      <c r="BS48" s="23">
        <f>'QTR Raw'!AM29</f>
        <v>2308.41</v>
      </c>
      <c r="BT48" s="23">
        <f>'QTR Raw'!AN29</f>
        <v>1571.87</v>
      </c>
      <c r="BU48" s="23">
        <f>'QTR Raw'!AO29</f>
        <v>2567.42</v>
      </c>
      <c r="BV48" s="23">
        <f>'QTR Raw'!AP29</f>
        <v>2029.85</v>
      </c>
      <c r="BW48" s="23">
        <f>'QTR Raw'!AQ29</f>
        <v>4192.26</v>
      </c>
      <c r="BX48" s="23">
        <f>'QTR Raw'!AR29</f>
        <v>1308.06</v>
      </c>
      <c r="BY48" s="23">
        <f>'QTR Raw'!AS29</f>
        <v>2904.92</v>
      </c>
      <c r="BZ48" s="23">
        <f>'QTR Raw'!AT29</f>
        <v>1754.53</v>
      </c>
      <c r="CA48" s="23">
        <f>'QTR Raw'!AU29</f>
        <v>1330.52</v>
      </c>
      <c r="CB48" s="23">
        <f>'QTR Raw'!AV29</f>
        <v>-228.03</v>
      </c>
      <c r="CC48" s="23">
        <f>'QTR Raw'!AW29</f>
        <v>1405.77</v>
      </c>
      <c r="CD48" s="23">
        <f>'QTR Raw'!AX29</f>
        <v>1254.31</v>
      </c>
      <c r="CE48" s="23">
        <f>'QTR Raw'!AY29</f>
        <v>1458.25</v>
      </c>
      <c r="CF48" s="23">
        <f>'QTR Raw'!AZ29</f>
        <v>1405.49</v>
      </c>
      <c r="CG48" s="23">
        <f>'QTR Raw'!BA29</f>
        <v>1376.54</v>
      </c>
      <c r="CH48" s="23">
        <f>'QTR Raw'!BB29</f>
        <v>998.81</v>
      </c>
      <c r="CI48" s="23">
        <f>'QTR Raw'!BC29</f>
        <v>1059.72</v>
      </c>
      <c r="CJ48" s="23">
        <f>'QTR Raw'!BD29</f>
        <v>1039.3800000000001</v>
      </c>
      <c r="CK48" s="23">
        <f>'QTR Raw'!BE29</f>
        <v>1138.4000000000001</v>
      </c>
      <c r="CL48" s="23">
        <f>'QTR Raw'!BF29</f>
        <v>1845.37</v>
      </c>
      <c r="CM48" s="24">
        <f t="shared" ref="CM48:DB48" si="592">+CM47*CM49</f>
        <v>1358.3576881425943</v>
      </c>
      <c r="CN48" s="24">
        <f t="shared" si="592"/>
        <v>1652.8037364389377</v>
      </c>
      <c r="CO48" s="24">
        <f t="shared" si="592"/>
        <v>2081.7614759981197</v>
      </c>
      <c r="CP48" s="24">
        <f t="shared" si="592"/>
        <v>2588.5590595306357</v>
      </c>
      <c r="CQ48" s="24">
        <f t="shared" si="592"/>
        <v>1737.5429701918902</v>
      </c>
      <c r="CR48" s="24">
        <f t="shared" si="592"/>
        <v>2035.1791002339337</v>
      </c>
      <c r="CS48" s="24">
        <f t="shared" si="592"/>
        <v>2441.9213998195955</v>
      </c>
      <c r="CT48" s="24">
        <f t="shared" si="592"/>
        <v>2773.6365282750917</v>
      </c>
      <c r="CU48" s="24">
        <f t="shared" si="592"/>
        <v>2147.64302945484</v>
      </c>
      <c r="CV48" s="24">
        <f t="shared" si="592"/>
        <v>2493.1509549424577</v>
      </c>
      <c r="CW48" s="24">
        <f t="shared" si="592"/>
        <v>2941.4060776875654</v>
      </c>
      <c r="CX48" s="24">
        <f t="shared" si="592"/>
        <v>3284.461999536074</v>
      </c>
      <c r="CY48" s="24">
        <f t="shared" si="592"/>
        <v>2746.4776349743524</v>
      </c>
      <c r="CZ48" s="24">
        <f t="shared" si="592"/>
        <v>3100.7173857012954</v>
      </c>
      <c r="DA48" s="24">
        <f t="shared" si="592"/>
        <v>3568.2387012322251</v>
      </c>
      <c r="DB48" s="24">
        <f t="shared" si="592"/>
        <v>3931.2571440313277</v>
      </c>
      <c r="DE48" s="123"/>
      <c r="DF48" s="23">
        <v>1440.6225451847629</v>
      </c>
    </row>
    <row r="49" spans="1:110" s="90" customFormat="1" x14ac:dyDescent="0.2">
      <c r="A49" s="90" t="s">
        <v>106</v>
      </c>
      <c r="B49" s="90">
        <f t="shared" ref="B49:E49" si="593">B48/B47</f>
        <v>5.5162786508758492E-2</v>
      </c>
      <c r="C49" s="90">
        <f t="shared" si="593"/>
        <v>0.10613721558713267</v>
      </c>
      <c r="D49" s="90">
        <f t="shared" si="593"/>
        <v>0.16970466310966548</v>
      </c>
      <c r="E49" s="90">
        <f t="shared" si="593"/>
        <v>0.32005483235792803</v>
      </c>
      <c r="F49" s="90">
        <f t="shared" ref="F49:T49" si="594">F48/F47</f>
        <v>0.33776163693205208</v>
      </c>
      <c r="G49" s="90">
        <f t="shared" si="594"/>
        <v>0.32211384799916687</v>
      </c>
      <c r="H49" s="90">
        <f t="shared" si="594"/>
        <v>0.33210538118325711</v>
      </c>
      <c r="I49" s="90">
        <f t="shared" si="594"/>
        <v>0.40348029529899276</v>
      </c>
      <c r="J49" s="90">
        <f t="shared" si="594"/>
        <v>0.17475919861742734</v>
      </c>
      <c r="K49" s="90">
        <f t="shared" si="594"/>
        <v>1.2549220864047788</v>
      </c>
      <c r="L49" s="90">
        <f t="shared" si="594"/>
        <v>0.35842337442924965</v>
      </c>
      <c r="M49" s="90">
        <f t="shared" si="594"/>
        <v>0.69623171091275704</v>
      </c>
      <c r="N49" s="90">
        <f t="shared" si="594"/>
        <v>0.99155953612757308</v>
      </c>
      <c r="O49" s="90">
        <f t="shared" si="594"/>
        <v>0.45307617889201962</v>
      </c>
      <c r="P49" s="90">
        <f t="shared" si="594"/>
        <v>1.0105605806548168</v>
      </c>
      <c r="Q49" s="90">
        <f t="shared" si="594"/>
        <v>-0.60142432510176702</v>
      </c>
      <c r="R49" s="90">
        <f t="shared" si="594"/>
        <v>0.40911989467188742</v>
      </c>
      <c r="S49" s="90">
        <f t="shared" si="594"/>
        <v>0.30512464190468469</v>
      </c>
      <c r="T49" s="90">
        <f t="shared" si="594"/>
        <v>0.42516353952888264</v>
      </c>
      <c r="U49" s="90">
        <f t="shared" ref="U49:Z49" si="595">U48/U47</f>
        <v>-0.75952718844926415</v>
      </c>
      <c r="V49" s="90">
        <f t="shared" si="595"/>
        <v>0.38833037650305513</v>
      </c>
      <c r="W49" s="90">
        <f t="shared" si="595"/>
        <v>0.17053406064599988</v>
      </c>
      <c r="X49" s="90">
        <f t="shared" si="595"/>
        <v>0.57387704518932081</v>
      </c>
      <c r="Y49" s="90">
        <f t="shared" si="595"/>
        <v>0.55948829891955842</v>
      </c>
      <c r="Z49" s="90">
        <f t="shared" si="595"/>
        <v>0.57720206683045616</v>
      </c>
      <c r="AA49" s="90">
        <f t="shared" ref="AA49" si="596">AA48/AA47</f>
        <v>0.3055959212753227</v>
      </c>
      <c r="AB49" s="91">
        <f t="shared" ref="AA49:AD49" si="597">AB48/AB47</f>
        <v>0.31080234031705056</v>
      </c>
      <c r="AC49" s="91">
        <f t="shared" si="597"/>
        <v>0.30840019518386391</v>
      </c>
      <c r="AD49" s="91">
        <f t="shared" si="597"/>
        <v>0.30878774077355597</v>
      </c>
      <c r="AE49" s="91">
        <f t="shared" ref="AE49" si="598">AE48/AE47</f>
        <v>0.30887922460906098</v>
      </c>
      <c r="AI49" s="90">
        <f t="shared" ref="AI49" si="599">AI48/AI47</f>
        <v>0.63477364074960607</v>
      </c>
      <c r="AJ49" s="90">
        <f t="shared" ref="AJ49" si="600">AJ48/AJ47</f>
        <v>3.2263183593749738</v>
      </c>
      <c r="AK49" s="90">
        <f t="shared" ref="AK49:AM49" si="601">AK48/AK47</f>
        <v>-2.8381589456869261</v>
      </c>
      <c r="AL49" s="90">
        <f t="shared" si="601"/>
        <v>0.59970165180370039</v>
      </c>
      <c r="AM49" s="90">
        <f t="shared" si="601"/>
        <v>0.23807555760318749</v>
      </c>
      <c r="AN49" s="90">
        <f t="shared" ref="AN49:AO49" si="602">AN48/AN47</f>
        <v>0.31982690794649987</v>
      </c>
      <c r="AO49" s="90">
        <f t="shared" si="602"/>
        <v>0.64203277983000206</v>
      </c>
      <c r="AP49" s="90">
        <f t="shared" ref="AP49:CD49" si="603">AP48/AP47</f>
        <v>0.54986782507777487</v>
      </c>
      <c r="AQ49" s="90">
        <f t="shared" si="603"/>
        <v>0.64078977023356376</v>
      </c>
      <c r="AR49" s="90">
        <f t="shared" si="603"/>
        <v>0.90224645750931254</v>
      </c>
      <c r="AS49" s="90">
        <f t="shared" si="603"/>
        <v>0.77280276816608606</v>
      </c>
      <c r="AT49" s="90">
        <f t="shared" si="603"/>
        <v>0.13110294189345964</v>
      </c>
      <c r="AU49" s="90">
        <f t="shared" si="603"/>
        <v>0.38615874477308426</v>
      </c>
      <c r="AV49" s="90">
        <f t="shared" si="603"/>
        <v>0.33225972178311441</v>
      </c>
      <c r="AW49" s="90">
        <f t="shared" si="603"/>
        <v>-0.24827735515225721</v>
      </c>
      <c r="AX49" s="90">
        <f t="shared" si="603"/>
        <v>24.418390804603476</v>
      </c>
      <c r="AY49" s="90">
        <f t="shared" si="603"/>
        <v>0.67095984772953809</v>
      </c>
      <c r="AZ49" s="90">
        <f t="shared" si="603"/>
        <v>1.0037568022982841</v>
      </c>
      <c r="BA49" s="90">
        <f t="shared" si="603"/>
        <v>0.6985047757163565</v>
      </c>
      <c r="BB49" s="90">
        <f t="shared" si="603"/>
        <v>0.22565340436157783</v>
      </c>
      <c r="BC49" s="90">
        <f t="shared" si="603"/>
        <v>0.32413421808249904</v>
      </c>
      <c r="BD49" s="90">
        <f t="shared" si="603"/>
        <v>0.53961126100707968</v>
      </c>
      <c r="BE49" s="90">
        <f t="shared" si="603"/>
        <v>0.30470605201172901</v>
      </c>
      <c r="BF49" s="90">
        <f t="shared" si="603"/>
        <v>0.15586731153176828</v>
      </c>
      <c r="BG49" s="90">
        <f t="shared" si="603"/>
        <v>0.33208089157692539</v>
      </c>
      <c r="BH49" s="90">
        <f t="shared" si="603"/>
        <v>0.44760132844151612</v>
      </c>
      <c r="BI49" s="90">
        <f t="shared" si="603"/>
        <v>0.44784649083707972</v>
      </c>
      <c r="BJ49" s="90">
        <f t="shared" si="603"/>
        <v>0.453792958426327</v>
      </c>
      <c r="BK49" s="90">
        <f t="shared" si="603"/>
        <v>0.64189308826301228</v>
      </c>
      <c r="BL49" s="90">
        <f t="shared" si="603"/>
        <v>-884.27729257612589</v>
      </c>
      <c r="BM49" s="90">
        <f t="shared" si="603"/>
        <v>-2.6250739707499311</v>
      </c>
      <c r="BN49" s="90">
        <f t="shared" si="603"/>
        <v>-0.135007882513517</v>
      </c>
      <c r="BO49" s="90">
        <f t="shared" si="603"/>
        <v>-0.36698668766683817</v>
      </c>
      <c r="BP49" s="90">
        <f t="shared" si="603"/>
        <v>0.28233936343284627</v>
      </c>
      <c r="BQ49" s="90">
        <f t="shared" si="603"/>
        <v>0.27963049364126685</v>
      </c>
      <c r="BR49" s="90">
        <f t="shared" si="603"/>
        <v>0.21524224374802645</v>
      </c>
      <c r="BS49" s="90">
        <f t="shared" si="603"/>
        <v>0.19019907207907188</v>
      </c>
      <c r="BT49" s="90">
        <f t="shared" si="603"/>
        <v>0.11714331493812574</v>
      </c>
      <c r="BU49" s="90">
        <f t="shared" si="603"/>
        <v>0.2108469453957148</v>
      </c>
      <c r="BV49" s="90">
        <f t="shared" si="603"/>
        <v>0.16943783384015393</v>
      </c>
      <c r="BW49" s="90">
        <f t="shared" si="603"/>
        <v>0.35569888969775976</v>
      </c>
      <c r="BX49" s="90">
        <f t="shared" si="603"/>
        <v>0.51851793125591983</v>
      </c>
      <c r="BY49" s="90">
        <f t="shared" si="603"/>
        <v>15.948830569891303</v>
      </c>
      <c r="BZ49" s="90">
        <f t="shared" si="603"/>
        <v>0.54608410391760775</v>
      </c>
      <c r="CA49" s="90">
        <f t="shared" si="603"/>
        <v>0.62961438177576368</v>
      </c>
      <c r="CB49" s="90">
        <f t="shared" si="603"/>
        <v>-4.0139060024643749</v>
      </c>
      <c r="CC49" s="90">
        <f t="shared" si="603"/>
        <v>0.64230298267416908</v>
      </c>
      <c r="CD49" s="90">
        <f t="shared" si="603"/>
        <v>0.5300633045124552</v>
      </c>
      <c r="CE49" s="90">
        <f t="shared" ref="CE49:CF49" si="604">CE48/CE47</f>
        <v>0.55189914617899949</v>
      </c>
      <c r="CF49" s="90">
        <f t="shared" si="604"/>
        <v>0.64717827344224621</v>
      </c>
      <c r="CG49" s="90">
        <f t="shared" ref="CG49:CH49" si="605">CG48/CG47</f>
        <v>0.78603732212603716</v>
      </c>
      <c r="CH49" s="90">
        <f t="shared" si="605"/>
        <v>0.39769460481783647</v>
      </c>
      <c r="CI49" s="90">
        <f t="shared" ref="CI49:CJ49" si="606">CI48/CI47</f>
        <v>0.33971046456460691</v>
      </c>
      <c r="CJ49" s="90">
        <f t="shared" si="606"/>
        <v>0.22633941112294292</v>
      </c>
      <c r="CK49" s="90">
        <f t="shared" ref="CK49:CL49" si="607">CK48/CK47</f>
        <v>0.29154683214288452</v>
      </c>
      <c r="CL49" s="90">
        <f t="shared" si="607"/>
        <v>0.3678710616284751</v>
      </c>
      <c r="CM49" s="91">
        <f>+AVERAGE(CI49:CL49)*0.99</f>
        <v>0.30330327294108006</v>
      </c>
      <c r="CN49" s="91">
        <f t="shared" ref="CN49:DB49" si="608">+AVERAGE(CJ49:CM49)</f>
        <v>0.29726514445884566</v>
      </c>
      <c r="CO49" s="91">
        <f t="shared" si="608"/>
        <v>0.31499657779282131</v>
      </c>
      <c r="CP49" s="91">
        <f t="shared" si="608"/>
        <v>0.32085901420530549</v>
      </c>
      <c r="CQ49" s="91">
        <f>+AVERAGE(CM49:CP49)*0.99</f>
        <v>0.306014942326018</v>
      </c>
      <c r="CR49" s="91">
        <f>+AVERAGE(CN49:CQ49)*0.99</f>
        <v>0.30668608049879009</v>
      </c>
      <c r="CS49" s="91">
        <f>+AVERAGE(CO49:CR49)*0.99</f>
        <v>0.30901776216867644</v>
      </c>
      <c r="CT49" s="91">
        <f t="shared" si="608"/>
        <v>0.31064444979969752</v>
      </c>
      <c r="CU49" s="91">
        <f t="shared" si="608"/>
        <v>0.30809080869829553</v>
      </c>
      <c r="CV49" s="91">
        <f t="shared" si="608"/>
        <v>0.30860977529136491</v>
      </c>
      <c r="CW49" s="91">
        <f t="shared" si="608"/>
        <v>0.30909069898950858</v>
      </c>
      <c r="CX49" s="91">
        <f t="shared" si="608"/>
        <v>0.30910893319471666</v>
      </c>
      <c r="CY49" s="91">
        <f t="shared" si="608"/>
        <v>0.30872505404347139</v>
      </c>
      <c r="CZ49" s="91">
        <f t="shared" si="608"/>
        <v>0.30888361537976539</v>
      </c>
      <c r="DA49" s="91">
        <f t="shared" si="608"/>
        <v>0.30895207540186553</v>
      </c>
      <c r="DB49" s="91">
        <f t="shared" si="608"/>
        <v>0.30891741950495477</v>
      </c>
      <c r="DE49" s="127"/>
      <c r="DF49" s="90">
        <v>0.30154683214288452</v>
      </c>
    </row>
    <row r="50" spans="1:110" s="26" customFormat="1" x14ac:dyDescent="0.2">
      <c r="A50" s="26" t="s">
        <v>22</v>
      </c>
      <c r="B50" s="26">
        <f t="shared" ref="B50:E50" si="609">B47-B48</f>
        <v>839.28000000000009</v>
      </c>
      <c r="C50" s="26">
        <f t="shared" si="609"/>
        <v>410.1400000000005</v>
      </c>
      <c r="D50" s="26">
        <f t="shared" si="609"/>
        <v>1255.8299999999992</v>
      </c>
      <c r="E50" s="26">
        <f t="shared" si="609"/>
        <v>1989.0300000000007</v>
      </c>
      <c r="F50" s="26">
        <f t="shared" ref="F50:T50" si="610">F47-F48</f>
        <v>3668.8799999999992</v>
      </c>
      <c r="G50" s="26">
        <f t="shared" si="610"/>
        <v>3775.2699999999995</v>
      </c>
      <c r="H50" s="26">
        <f t="shared" si="610"/>
        <v>4318.6400000000012</v>
      </c>
      <c r="I50" s="26">
        <f t="shared" si="610"/>
        <v>5986.6299999999492</v>
      </c>
      <c r="J50" s="26">
        <f t="shared" si="610"/>
        <v>8943.7700000000259</v>
      </c>
      <c r="K50" s="26">
        <f t="shared" si="610"/>
        <v>-437.12000000000171</v>
      </c>
      <c r="L50" s="26">
        <f t="shared" si="610"/>
        <v>5810.1499999999833</v>
      </c>
      <c r="M50" s="26">
        <f t="shared" si="610"/>
        <v>1586.6000000000222</v>
      </c>
      <c r="N50" s="26">
        <f t="shared" si="610"/>
        <v>27.490000000023429</v>
      </c>
      <c r="O50" s="26">
        <f t="shared" si="610"/>
        <v>3691.6100000000279</v>
      </c>
      <c r="P50" s="26">
        <f t="shared" si="610"/>
        <v>-26.830000000014479</v>
      </c>
      <c r="Q50" s="26">
        <f t="shared" si="610"/>
        <v>-1837.1700000000033</v>
      </c>
      <c r="R50" s="26">
        <f t="shared" si="610"/>
        <v>4012.2000000000089</v>
      </c>
      <c r="S50" s="26">
        <f t="shared" si="610"/>
        <v>7725.5200000000041</v>
      </c>
      <c r="T50" s="26">
        <f t="shared" si="610"/>
        <v>9083.5599999999813</v>
      </c>
      <c r="U50" s="26">
        <f t="shared" ref="U50:Z50" si="611">U47-U48</f>
        <v>5914.0699999999833</v>
      </c>
      <c r="V50" s="26">
        <f t="shared" si="611"/>
        <v>8905.6100000000097</v>
      </c>
      <c r="W50" s="26">
        <f t="shared" si="611"/>
        <v>41234.220000000016</v>
      </c>
      <c r="X50" s="26">
        <f t="shared" si="611"/>
        <v>7543.970000000023</v>
      </c>
      <c r="Y50" s="26">
        <f t="shared" si="611"/>
        <v>2962.4499999999839</v>
      </c>
      <c r="Z50" s="26">
        <f t="shared" si="611"/>
        <v>3837.6099999999969</v>
      </c>
      <c r="AA50" s="26">
        <f t="shared" ref="AA50" si="612">AA47-AA48</f>
        <v>11549.780000000013</v>
      </c>
      <c r="AB50" s="27">
        <f t="shared" ref="AA50:AD50" si="613">AB47-AB48</f>
        <v>17033.524858288765</v>
      </c>
      <c r="AC50" s="27">
        <f t="shared" si="613"/>
        <v>20156.578334535414</v>
      </c>
      <c r="AD50" s="27">
        <f t="shared" si="613"/>
        <v>24324.70283647523</v>
      </c>
      <c r="AE50" s="27">
        <f t="shared" ref="AE50" si="614">AE47-AE48</f>
        <v>29863.372494041396</v>
      </c>
      <c r="AI50" s="26">
        <f>AI47-AI48</f>
        <v>517.04000000000804</v>
      </c>
      <c r="AJ50" s="26">
        <f t="shared" ref="AJ50" si="615">AJ47-AJ48</f>
        <v>-455.94999999999834</v>
      </c>
      <c r="AK50" s="26">
        <f t="shared" ref="AK50:AM50" si="616">AK47-AK48</f>
        <v>-768.85999999999819</v>
      </c>
      <c r="AL50" s="26">
        <f t="shared" si="616"/>
        <v>735.25999999999863</v>
      </c>
      <c r="AM50" s="26">
        <f t="shared" si="616"/>
        <v>1124.5699999999974</v>
      </c>
      <c r="AN50" s="26">
        <f t="shared" ref="AN50:AO50" si="617">AN47-AN48</f>
        <v>950.94999999999538</v>
      </c>
      <c r="AO50" s="26">
        <f t="shared" si="617"/>
        <v>499.06000000000415</v>
      </c>
      <c r="AP50" s="26">
        <f t="shared" ref="AP50:CD50" si="618">AP47-AP48</f>
        <v>1117.0299999999945</v>
      </c>
      <c r="AQ50" s="26">
        <f t="shared" si="618"/>
        <v>605.64999999999623</v>
      </c>
      <c r="AR50" s="26">
        <f t="shared" si="618"/>
        <v>127.27999999999952</v>
      </c>
      <c r="AS50" s="26">
        <f t="shared" si="618"/>
        <v>131.32000000000295</v>
      </c>
      <c r="AT50" s="26">
        <f t="shared" si="618"/>
        <v>-891.08000000000243</v>
      </c>
      <c r="AU50" s="26">
        <f t="shared" si="618"/>
        <v>160.0100000000003</v>
      </c>
      <c r="AV50" s="26">
        <f t="shared" si="618"/>
        <v>-337.93000000000438</v>
      </c>
      <c r="AW50" s="26">
        <f t="shared" si="618"/>
        <v>-1672.0799999999997</v>
      </c>
      <c r="AX50" s="26">
        <f t="shared" si="618"/>
        <v>-407.48000000000411</v>
      </c>
      <c r="AY50" s="26">
        <f t="shared" si="618"/>
        <v>363.03000000000088</v>
      </c>
      <c r="AZ50" s="26">
        <f t="shared" si="618"/>
        <v>-1.3600000000018326</v>
      </c>
      <c r="BA50" s="26">
        <f t="shared" si="618"/>
        <v>301.4500000000013</v>
      </c>
      <c r="BB50" s="26">
        <f t="shared" si="618"/>
        <v>3349.0800000000063</v>
      </c>
      <c r="BC50" s="26">
        <f t="shared" si="618"/>
        <v>1544.1099999999981</v>
      </c>
      <c r="BD50" s="26">
        <f t="shared" si="618"/>
        <v>970.89999999999986</v>
      </c>
      <c r="BE50" s="26">
        <f t="shared" si="618"/>
        <v>2169.6300000000006</v>
      </c>
      <c r="BF50" s="26">
        <f t="shared" si="618"/>
        <v>3162.5599999999968</v>
      </c>
      <c r="BG50" s="26">
        <f t="shared" si="618"/>
        <v>2204.2799999999979</v>
      </c>
      <c r="BH50" s="26">
        <f t="shared" si="618"/>
        <v>2859.2099999999932</v>
      </c>
      <c r="BI50" s="26">
        <f t="shared" si="618"/>
        <v>1734.2699999999991</v>
      </c>
      <c r="BJ50" s="26">
        <f t="shared" si="618"/>
        <v>2285.8000000000025</v>
      </c>
      <c r="BK50" s="26">
        <f t="shared" si="618"/>
        <v>626.97000000000116</v>
      </c>
      <c r="BL50" s="26">
        <f t="shared" si="618"/>
        <v>4054.5700000000015</v>
      </c>
      <c r="BM50" s="26">
        <f t="shared" si="618"/>
        <v>-857.61999999999284</v>
      </c>
      <c r="BN50" s="26">
        <f t="shared" si="618"/>
        <v>2145.459999999995</v>
      </c>
      <c r="BO50" s="26">
        <f t="shared" si="618"/>
        <v>-4721.4900000000025</v>
      </c>
      <c r="BP50" s="26">
        <f t="shared" si="618"/>
        <v>1548.3599999999992</v>
      </c>
      <c r="BQ50" s="26">
        <f t="shared" si="618"/>
        <v>4076.1100000000042</v>
      </c>
      <c r="BR50" s="26">
        <f t="shared" si="618"/>
        <v>8002.6300000000019</v>
      </c>
      <c r="BS50" s="26">
        <f t="shared" si="618"/>
        <v>9828.3999999999978</v>
      </c>
      <c r="BT50" s="26">
        <f t="shared" si="618"/>
        <v>11846.480000000003</v>
      </c>
      <c r="BU50" s="26">
        <f t="shared" si="618"/>
        <v>9609.2799999999988</v>
      </c>
      <c r="BV50" s="26">
        <f t="shared" si="618"/>
        <v>9950.0600000000086</v>
      </c>
      <c r="BW50" s="26">
        <f t="shared" si="618"/>
        <v>7593.7199999999939</v>
      </c>
      <c r="BX50" s="26">
        <f t="shared" si="618"/>
        <v>1214.6300000000069</v>
      </c>
      <c r="BY50" s="26">
        <f t="shared" si="618"/>
        <v>-2722.78</v>
      </c>
      <c r="BZ50" s="26">
        <f t="shared" si="618"/>
        <v>1458.4000000000008</v>
      </c>
      <c r="CA50" s="26">
        <f t="shared" si="618"/>
        <v>782.71000000000458</v>
      </c>
      <c r="CB50" s="26">
        <f t="shared" si="618"/>
        <v>284.83999999999969</v>
      </c>
      <c r="CC50" s="26">
        <f t="shared" si="618"/>
        <v>782.87000000001035</v>
      </c>
      <c r="CD50" s="26">
        <f t="shared" si="618"/>
        <v>1112.0299999999938</v>
      </c>
      <c r="CE50" s="26">
        <f t="shared" ref="CE50:CF50" si="619">CE47-CE48</f>
        <v>1183.9900000000007</v>
      </c>
      <c r="CF50" s="26">
        <f t="shared" si="619"/>
        <v>766.23000000000798</v>
      </c>
      <c r="CG50" s="26">
        <f t="shared" ref="CG50:CH50" si="620">CG47-CG48</f>
        <v>374.69999999999823</v>
      </c>
      <c r="CH50" s="26">
        <f t="shared" si="620"/>
        <v>1512.6900000000091</v>
      </c>
      <c r="CI50" s="26">
        <f t="shared" ref="CI50:CJ50" si="621">CI47-CI48</f>
        <v>2059.7600000000002</v>
      </c>
      <c r="CJ50" s="26">
        <f t="shared" si="621"/>
        <v>3552.7500000000009</v>
      </c>
      <c r="CK50" s="26">
        <f t="shared" ref="CK50:CL50" si="622">CK47-CK48</f>
        <v>2766.2900000000013</v>
      </c>
      <c r="CL50" s="26">
        <f t="shared" si="622"/>
        <v>3170.9799999999968</v>
      </c>
      <c r="CM50" s="27">
        <f t="shared" ref="CM50:DB50" si="623">CM47-CM48</f>
        <v>3120.1884052471396</v>
      </c>
      <c r="CN50" s="27">
        <f t="shared" si="623"/>
        <v>3907.2283334082458</v>
      </c>
      <c r="CO50" s="27">
        <f t="shared" si="623"/>
        <v>4527.0769138821997</v>
      </c>
      <c r="CP50" s="27">
        <f t="shared" si="623"/>
        <v>5479.0312057511592</v>
      </c>
      <c r="CQ50" s="27">
        <f t="shared" si="623"/>
        <v>3940.4247688499845</v>
      </c>
      <c r="CR50" s="27">
        <f t="shared" si="623"/>
        <v>4600.8543869199202</v>
      </c>
      <c r="CS50" s="27">
        <f t="shared" si="623"/>
        <v>5460.2826116335718</v>
      </c>
      <c r="CT50" s="27">
        <f t="shared" si="623"/>
        <v>6155.0165671319664</v>
      </c>
      <c r="CU50" s="27">
        <f t="shared" si="623"/>
        <v>4823.1687209144002</v>
      </c>
      <c r="CV50" s="27">
        <f t="shared" si="623"/>
        <v>5585.5009691212636</v>
      </c>
      <c r="CW50" s="27">
        <f t="shared" si="623"/>
        <v>6574.9141716881859</v>
      </c>
      <c r="CX50" s="27">
        <f t="shared" si="623"/>
        <v>7341.1189747513836</v>
      </c>
      <c r="CY50" s="27">
        <f t="shared" si="623"/>
        <v>6149.7152687205407</v>
      </c>
      <c r="CZ50" s="27">
        <f t="shared" si="623"/>
        <v>6937.7476908261015</v>
      </c>
      <c r="DA50" s="27">
        <f t="shared" si="623"/>
        <v>7981.250638144711</v>
      </c>
      <c r="DB50" s="27">
        <f t="shared" si="623"/>
        <v>8794.6588963500526</v>
      </c>
      <c r="DE50" s="121"/>
      <c r="DF50" s="26">
        <v>3336.8196018517556</v>
      </c>
    </row>
    <row r="51" spans="1:110" s="45" customFormat="1" x14ac:dyDescent="0.2">
      <c r="A51" s="45" t="s">
        <v>107</v>
      </c>
      <c r="B51" s="45">
        <f t="shared" ref="B51:E51" si="624">+B50/B19</f>
        <v>0.12272669445983908</v>
      </c>
      <c r="C51" s="45">
        <f t="shared" si="624"/>
        <v>5.5293562521065119E-2</v>
      </c>
      <c r="D51" s="45">
        <f t="shared" si="624"/>
        <v>0.13744716433069704</v>
      </c>
      <c r="E51" s="45">
        <f t="shared" si="624"/>
        <v>0.17871788697364832</v>
      </c>
      <c r="F51" s="45">
        <f t="shared" ref="F51:AE51" si="625">+F50/F19</f>
        <v>0.22932492260265105</v>
      </c>
      <c r="G51" s="45">
        <f t="shared" si="625"/>
        <v>0.18577128196144696</v>
      </c>
      <c r="H51" s="45">
        <f t="shared" si="625"/>
        <v>0.17129045334077944</v>
      </c>
      <c r="I51" s="45">
        <f t="shared" si="625"/>
        <v>4.5514063589668668E-2</v>
      </c>
      <c r="J51" s="45">
        <f t="shared" si="625"/>
        <v>6.070599960931064E-2</v>
      </c>
      <c r="K51" s="45">
        <f t="shared" si="625"/>
        <v>-4.2690368259117577E-3</v>
      </c>
      <c r="L51" s="45">
        <f t="shared" si="625"/>
        <v>4.8926293473383974E-2</v>
      </c>
      <c r="M51" s="45">
        <f t="shared" si="625"/>
        <v>1.1938326422106462E-2</v>
      </c>
      <c r="N51" s="45">
        <f t="shared" si="625"/>
        <v>2.0406566505010206E-4</v>
      </c>
      <c r="O51" s="45">
        <f t="shared" si="625"/>
        <v>2.4840332526879463E-2</v>
      </c>
      <c r="P51" s="45">
        <f t="shared" si="625"/>
        <v>-1.9232460666115868E-4</v>
      </c>
      <c r="Q51" s="45">
        <f t="shared" si="625"/>
        <v>-1.8017702593602997E-2</v>
      </c>
      <c r="R51" s="45">
        <f t="shared" si="625"/>
        <v>3.5727700107444978E-2</v>
      </c>
      <c r="S51" s="45">
        <f t="shared" si="625"/>
        <v>6.268217683103007E-2</v>
      </c>
      <c r="T51" s="45">
        <f t="shared" si="625"/>
        <v>5.7611582340953552E-2</v>
      </c>
      <c r="U51" s="45">
        <f t="shared" si="625"/>
        <v>3.9699282501355349E-2</v>
      </c>
      <c r="V51" s="45">
        <f t="shared" si="625"/>
        <v>5.6913074987186715E-2</v>
      </c>
      <c r="W51" s="45">
        <f t="shared" si="625"/>
        <v>0.16902098822520184</v>
      </c>
      <c r="X51" s="45">
        <f t="shared" si="625"/>
        <v>3.1000150440087689E-2</v>
      </c>
      <c r="Y51" s="45">
        <f t="shared" si="625"/>
        <v>1.2926822520741885E-2</v>
      </c>
      <c r="Z51" s="45">
        <f t="shared" ref="Z51:AA51" si="626">+Z50/Z19</f>
        <v>1.7560016126839564E-2</v>
      </c>
      <c r="AA51" s="45">
        <f t="shared" si="626"/>
        <v>4.9753523671971368E-2</v>
      </c>
      <c r="AB51" s="48">
        <f t="shared" si="625"/>
        <v>6.624580561793357E-2</v>
      </c>
      <c r="AC51" s="48">
        <f t="shared" si="625"/>
        <v>7.4237751270207458E-2</v>
      </c>
      <c r="AD51" s="48">
        <f t="shared" si="625"/>
        <v>8.3757195610617369E-2</v>
      </c>
      <c r="AE51" s="48">
        <f t="shared" si="625"/>
        <v>9.6087368041649759E-2</v>
      </c>
      <c r="AI51" s="45">
        <f t="shared" ref="AI51:BN51" si="627">+AI50/AI19</f>
        <v>1.5287452840230623E-2</v>
      </c>
      <c r="AJ51" s="45">
        <f t="shared" si="627"/>
        <v>-1.3358146271921358E-2</v>
      </c>
      <c r="AK51" s="45">
        <f t="shared" si="627"/>
        <v>-2.3946698460217828E-2</v>
      </c>
      <c r="AL51" s="45">
        <f t="shared" si="627"/>
        <v>2.1219336996006075E-2</v>
      </c>
      <c r="AM51" s="45">
        <f t="shared" si="627"/>
        <v>3.428066450051951E-2</v>
      </c>
      <c r="AN51" s="45">
        <f t="shared" si="627"/>
        <v>2.5950412185709804E-2</v>
      </c>
      <c r="AO51" s="45">
        <f t="shared" si="627"/>
        <v>1.3585105763257882E-2</v>
      </c>
      <c r="AP51" s="45">
        <f t="shared" si="627"/>
        <v>2.6327629952354506E-2</v>
      </c>
      <c r="AQ51" s="45">
        <f t="shared" si="627"/>
        <v>1.6626307642007065E-2</v>
      </c>
      <c r="AR51" s="45">
        <f t="shared" si="627"/>
        <v>3.5575819287807071E-3</v>
      </c>
      <c r="AS51" s="45">
        <f t="shared" si="627"/>
        <v>3.9044718571485085E-3</v>
      </c>
      <c r="AT51" s="45">
        <f t="shared" si="627"/>
        <v>-2.6468105380533295E-2</v>
      </c>
      <c r="AU51" s="45">
        <f t="shared" si="627"/>
        <v>5.9399714305230231E-3</v>
      </c>
      <c r="AV51" s="45">
        <f t="shared" si="627"/>
        <v>-1.280750538841516E-2</v>
      </c>
      <c r="AW51" s="45">
        <f t="shared" si="627"/>
        <v>-6.778756749547056E-2</v>
      </c>
      <c r="AX51" s="45">
        <f t="shared" si="627"/>
        <v>-1.5699443576705434E-2</v>
      </c>
      <c r="AY51" s="45">
        <f t="shared" si="627"/>
        <v>1.4641636243081122E-2</v>
      </c>
      <c r="AZ51" s="45">
        <f t="shared" si="627"/>
        <v>-5.2466949679636528E-5</v>
      </c>
      <c r="BA51" s="45">
        <f t="shared" si="627"/>
        <v>1.0889114533834326E-2</v>
      </c>
      <c r="BB51" s="45">
        <f t="shared" si="627"/>
        <v>9.892248254350848E-2</v>
      </c>
      <c r="BC51" s="45">
        <f t="shared" si="627"/>
        <v>5.2065107769455603E-2</v>
      </c>
      <c r="BD51" s="45">
        <f t="shared" si="627"/>
        <v>2.9906844906410577E-2</v>
      </c>
      <c r="BE51" s="45">
        <f t="shared" si="627"/>
        <v>6.4868476915441356E-2</v>
      </c>
      <c r="BF51" s="45">
        <f t="shared" si="627"/>
        <v>9.3830421901043848E-2</v>
      </c>
      <c r="BG51" s="45">
        <f t="shared" si="627"/>
        <v>6.2102750655883963E-2</v>
      </c>
      <c r="BH51" s="45">
        <f t="shared" si="627"/>
        <v>6.9912189501666944E-2</v>
      </c>
      <c r="BI51" s="45">
        <f t="shared" si="627"/>
        <v>4.463569661511281E-2</v>
      </c>
      <c r="BJ51" s="45">
        <f t="shared" si="627"/>
        <v>5.3880057118800659E-2</v>
      </c>
      <c r="BK51" s="45">
        <f t="shared" si="627"/>
        <v>1.7441457741665497E-2</v>
      </c>
      <c r="BL51" s="45">
        <f t="shared" si="627"/>
        <v>0.11725466017412794</v>
      </c>
      <c r="BM51" s="45">
        <f t="shared" si="627"/>
        <v>-2.4144428513071577E-2</v>
      </c>
      <c r="BN51" s="45">
        <f t="shared" si="627"/>
        <v>5.9580603604006271E-2</v>
      </c>
      <c r="BO51" s="45">
        <f t="shared" ref="BO51:CT51" si="628">+BO50/BO19</f>
        <v>-0.18534166688911125</v>
      </c>
      <c r="BP51" s="45">
        <f t="shared" si="628"/>
        <v>3.976277313216197E-2</v>
      </c>
      <c r="BQ51" s="45">
        <f t="shared" si="628"/>
        <v>9.7200180945797188E-2</v>
      </c>
      <c r="BR51" s="45">
        <f t="shared" si="628"/>
        <v>0.15996183765331554</v>
      </c>
      <c r="BS51" s="45">
        <f t="shared" si="628"/>
        <v>0.18382719450680557</v>
      </c>
      <c r="BT51" s="45">
        <f t="shared" si="628"/>
        <v>0.19617557582219924</v>
      </c>
      <c r="BU51" s="45">
        <f t="shared" si="628"/>
        <v>0.15809128555613555</v>
      </c>
      <c r="BV51" s="45">
        <f t="shared" si="628"/>
        <v>0.14353083730625268</v>
      </c>
      <c r="BW51" s="45">
        <f t="shared" si="628"/>
        <v>0.11971798233866042</v>
      </c>
      <c r="BX51" s="45">
        <f t="shared" si="628"/>
        <v>2.0285242274563256E-2</v>
      </c>
      <c r="BY51" s="45">
        <f t="shared" si="628"/>
        <v>-4.7698146366484506E-2</v>
      </c>
      <c r="BZ51" s="45">
        <f t="shared" si="628"/>
        <v>2.3163347021054454E-2</v>
      </c>
      <c r="CA51" s="45">
        <f t="shared" si="628"/>
        <v>1.3157076372599953E-2</v>
      </c>
      <c r="CB51" s="45">
        <f t="shared" si="628"/>
        <v>5.115483604824755E-3</v>
      </c>
      <c r="CC51" s="45">
        <f t="shared" si="628"/>
        <v>1.415374057074195E-2</v>
      </c>
      <c r="CD51" s="45">
        <f t="shared" si="628"/>
        <v>1.8948389353677889E-2</v>
      </c>
      <c r="CE51" s="45">
        <f t="shared" si="628"/>
        <v>2.1616942714070261E-2</v>
      </c>
      <c r="CF51" s="45">
        <f t="shared" si="628"/>
        <v>1.4214527821409445E-2</v>
      </c>
      <c r="CG51" s="45">
        <f t="shared" si="628"/>
        <v>6.9843778833625341E-3</v>
      </c>
      <c r="CH51" s="45">
        <f t="shared" si="628"/>
        <v>2.6907521437487123E-2</v>
      </c>
      <c r="CI51" s="45">
        <f t="shared" ref="CI51:CJ51" si="629">+CI50/CI19</f>
        <v>3.8733223363293025E-2</v>
      </c>
      <c r="CJ51" s="45">
        <f t="shared" si="629"/>
        <v>6.0534894867530359E-2</v>
      </c>
      <c r="CK51" s="45">
        <f t="shared" ref="CK51:CL51" si="630">+CK50/CK19</f>
        <v>4.8529360167291223E-2</v>
      </c>
      <c r="CL51" s="45">
        <f t="shared" si="630"/>
        <v>5.0118120509630645E-2</v>
      </c>
      <c r="CM51" s="48">
        <f t="shared" si="628"/>
        <v>5.4745624388241237E-2</v>
      </c>
      <c r="CN51" s="48">
        <f t="shared" si="628"/>
        <v>6.363749075393442E-2</v>
      </c>
      <c r="CO51" s="48">
        <f t="shared" si="628"/>
        <v>6.7947918588804307E-2</v>
      </c>
      <c r="CP51" s="48">
        <f t="shared" si="628"/>
        <v>7.5983799782091827E-2</v>
      </c>
      <c r="CQ51" s="48">
        <f t="shared" si="628"/>
        <v>6.5065363215870198E-2</v>
      </c>
      <c r="CR51" s="48">
        <f t="shared" si="628"/>
        <v>7.0677682148873433E-2</v>
      </c>
      <c r="CS51" s="48">
        <f t="shared" si="628"/>
        <v>7.7029919987106552E-2</v>
      </c>
      <c r="CT51" s="48">
        <f t="shared" si="628"/>
        <v>8.209826124986068E-2</v>
      </c>
      <c r="CU51" s="48">
        <f t="shared" ref="CU51:DB51" si="631">+CU50/CU19</f>
        <v>7.4626349093202801E-2</v>
      </c>
      <c r="CV51" s="48">
        <f t="shared" si="631"/>
        <v>8.0314033512559058E-2</v>
      </c>
      <c r="CW51" s="48">
        <f t="shared" si="631"/>
        <v>8.6655484945742461E-2</v>
      </c>
      <c r="CX51" s="48">
        <f t="shared" si="631"/>
        <v>9.1343347476445069E-2</v>
      </c>
      <c r="CY51" s="48">
        <f t="shared" si="631"/>
        <v>8.8969862389644369E-2</v>
      </c>
      <c r="CZ51" s="48">
        <f t="shared" si="631"/>
        <v>9.3227605672318747E-2</v>
      </c>
      <c r="DA51" s="48">
        <f t="shared" si="631"/>
        <v>9.8265536889860061E-2</v>
      </c>
      <c r="DB51" s="48">
        <f t="shared" si="631"/>
        <v>0.10222300482454039</v>
      </c>
      <c r="DE51" s="129"/>
      <c r="DF51" s="45">
        <v>5.3081569736566178E-2</v>
      </c>
    </row>
    <row r="52" spans="1:110" s="39" customFormat="1" x14ac:dyDescent="0.2">
      <c r="A52" s="39" t="s">
        <v>451</v>
      </c>
      <c r="C52" s="39">
        <f t="shared" ref="C52:E52" si="632">+IF(B50&lt;0,1-C50/B50,C50/B50-1)</f>
        <v>-0.51131922600324031</v>
      </c>
      <c r="D52" s="39">
        <f t="shared" si="632"/>
        <v>2.0619544545764805</v>
      </c>
      <c r="E52" s="39">
        <f t="shared" si="632"/>
        <v>0.58383698430520203</v>
      </c>
      <c r="F52" s="39">
        <f t="shared" ref="F52:AE52" si="633">+IF(E50&lt;0,1-F50/E50,F50/E50-1)</f>
        <v>0.844557397324323</v>
      </c>
      <c r="G52" s="39">
        <f t="shared" si="633"/>
        <v>2.8997950328165656E-2</v>
      </c>
      <c r="H52" s="39">
        <f t="shared" si="633"/>
        <v>0.14392877860391495</v>
      </c>
      <c r="I52" s="39">
        <f t="shared" si="633"/>
        <v>0.38623038734415172</v>
      </c>
      <c r="J52" s="39">
        <f t="shared" si="633"/>
        <v>0.49395736833579185</v>
      </c>
      <c r="K52" s="39">
        <f t="shared" si="633"/>
        <v>-1.0488742443063719</v>
      </c>
      <c r="L52" s="39">
        <f t="shared" si="633"/>
        <v>14.291887811127289</v>
      </c>
      <c r="M52" s="39">
        <f t="shared" si="633"/>
        <v>-0.72692615509065572</v>
      </c>
      <c r="N52" s="39">
        <f t="shared" si="633"/>
        <v>-0.98267364174963878</v>
      </c>
      <c r="O52" s="39">
        <f t="shared" si="633"/>
        <v>133.28919607118522</v>
      </c>
      <c r="P52" s="39">
        <f t="shared" si="633"/>
        <v>-1.0072678316506929</v>
      </c>
      <c r="Q52" s="39">
        <f t="shared" si="633"/>
        <v>-67.474468878084679</v>
      </c>
      <c r="R52" s="39">
        <f t="shared" si="633"/>
        <v>3.1839024151276156</v>
      </c>
      <c r="S52" s="39">
        <f t="shared" si="633"/>
        <v>0.92550720303075296</v>
      </c>
      <c r="T52" s="39">
        <f t="shared" si="633"/>
        <v>0.17578622539323918</v>
      </c>
      <c r="U52" s="39">
        <f t="shared" si="633"/>
        <v>-0.34892597175556772</v>
      </c>
      <c r="V52" s="39">
        <f t="shared" si="633"/>
        <v>0.50583439154423848</v>
      </c>
      <c r="W52" s="39">
        <f t="shared" si="633"/>
        <v>3.6301398781217653</v>
      </c>
      <c r="X52" s="39">
        <f t="shared" si="633"/>
        <v>-0.81704589052490817</v>
      </c>
      <c r="Y52" s="39">
        <f t="shared" si="633"/>
        <v>-0.60730888378400572</v>
      </c>
      <c r="Z52" s="39">
        <f t="shared" ref="Z52:AA52" si="634">+IF(Y50&lt;0,1-Z50/Y50,Z50/Y50-1)</f>
        <v>0.29541764417965455</v>
      </c>
      <c r="AA52" s="39">
        <f t="shared" si="634"/>
        <v>2.0096283885022248</v>
      </c>
      <c r="AB52" s="40">
        <f t="shared" si="633"/>
        <v>0.47479214827371141</v>
      </c>
      <c r="AC52" s="40">
        <f t="shared" si="633"/>
        <v>0.18334745757140958</v>
      </c>
      <c r="AD52" s="40">
        <f t="shared" si="633"/>
        <v>0.20678730450982985</v>
      </c>
      <c r="AE52" s="40">
        <f t="shared" si="633"/>
        <v>0.22769732048939373</v>
      </c>
      <c r="AM52" s="39">
        <f>+IF(AI50&lt;0,1-AM50/AI50,AM50/AI50-1)</f>
        <v>1.1750154726906623</v>
      </c>
      <c r="AN52" s="39">
        <f t="shared" ref="AN52" si="635">+IF(AJ50&lt;0,1-AN50/AJ50,AN50/AJ50-1)</f>
        <v>3.0856453558504198</v>
      </c>
      <c r="AO52" s="39">
        <f t="shared" ref="AO52" si="636">+IF(AK50&lt;0,1-AO50/AK50,AO50/AK50-1)</f>
        <v>1.6490908617953923</v>
      </c>
      <c r="AP52" s="39">
        <f t="shared" ref="AP52" si="637">+IF(AL50&lt;0,1-AP50/AL50,AP50/AL50-1)</f>
        <v>0.51923129233195953</v>
      </c>
      <c r="AQ52" s="39">
        <f t="shared" ref="AQ52" si="638">+IF(AM50&lt;0,1-AQ50/AM50,AQ50/AM50-1)</f>
        <v>-0.4614385943071595</v>
      </c>
      <c r="AR52" s="39">
        <f t="shared" ref="AR52" si="639">+IF(AN50&lt;0,1-AR50/AN50,AR50/AN50-1)</f>
        <v>-0.86615489773384491</v>
      </c>
      <c r="AS52" s="39">
        <f t="shared" ref="AS52" si="640">+IF(AO50&lt;0,1-AS50/AO50,AS50/AO50-1)</f>
        <v>-0.73686530677673656</v>
      </c>
      <c r="AT52" s="39">
        <f t="shared" ref="AT52" si="641">+IF(AP50&lt;0,1-AT50/AP50,AT50/AP50-1)</f>
        <v>-1.7977225320716603</v>
      </c>
      <c r="AU52" s="39">
        <f t="shared" ref="AU52" si="642">+IF(AQ50&lt;0,1-AU50/AQ50,AU50/AQ50-1)</f>
        <v>-0.73580450755386562</v>
      </c>
      <c r="AV52" s="39">
        <f t="shared" ref="AV52" si="643">+IF(AR50&lt;0,1-AV50/AR50,AV50/AR50-1)</f>
        <v>-3.6550125707102898</v>
      </c>
      <c r="AW52" s="39">
        <f t="shared" ref="AW52" si="644">+IF(AS50&lt;0,1-AW50/AS50,AW50/AS50-1)</f>
        <v>-13.732866280840407</v>
      </c>
      <c r="AX52" s="39">
        <f t="shared" ref="AX52" si="645">+IF(AT50&lt;0,1-AX50/AT50,AX50/AT50-1)</f>
        <v>0.54271221439152151</v>
      </c>
      <c r="AY52" s="39">
        <f t="shared" ref="AY52" si="646">+IF(AU50&lt;0,1-AY50/AU50,AY50/AU50-1)</f>
        <v>1.2687957002687344</v>
      </c>
      <c r="AZ52" s="39">
        <f t="shared" ref="AZ52" si="647">+IF(AV50&lt;0,1-AZ50/AV50,AZ50/AV50-1)</f>
        <v>0.99597549788417183</v>
      </c>
      <c r="BA52" s="39">
        <f t="shared" ref="BA52" si="648">+IF(AW50&lt;0,1-BA50/AW50,BA50/AW50-1)</f>
        <v>1.1802844361513811</v>
      </c>
      <c r="BB52" s="39">
        <f t="shared" ref="BB52" si="649">+IF(AX50&lt;0,1-BB50/AX50,BB50/AX50-1)</f>
        <v>9.219004613723305</v>
      </c>
      <c r="BC52" s="39">
        <f t="shared" ref="BC52" si="650">+IF(AY50&lt;0,1-BC50/AY50,BC50/AY50-1)</f>
        <v>3.2533950362228863</v>
      </c>
      <c r="BD52" s="39">
        <f t="shared" ref="BD52" si="651">+IF(AZ50&lt;0,1-BD50/AZ50,BD50/AZ50-1)</f>
        <v>714.89705882256737</v>
      </c>
      <c r="BE52" s="39">
        <f t="shared" ref="BE52" si="652">+IF(BA50&lt;0,1-BE50/BA50,BE50/BA50-1)</f>
        <v>6.1973129872283668</v>
      </c>
      <c r="BF52" s="39">
        <f t="shared" ref="BF52" si="653">+IF(BB50&lt;0,1-BF50/BB50,BF50/BB50-1)</f>
        <v>-5.5692906708710854E-2</v>
      </c>
      <c r="BG52" s="39">
        <f t="shared" ref="BG52" si="654">+IF(BC50&lt;0,1-BG50/BC50,BG50/BC50-1)</f>
        <v>0.4275407840115022</v>
      </c>
      <c r="BH52" s="39">
        <f t="shared" ref="BH52" si="655">+IF(BD50&lt;0,1-BH50/BD50,BH50/BD50-1)</f>
        <v>1.9449067875167305</v>
      </c>
      <c r="BI52" s="39">
        <f t="shared" ref="BI52" si="656">+IF(BE50&lt;0,1-BI50/BE50,BI50/BE50-1)</f>
        <v>-0.2006609421883</v>
      </c>
      <c r="BJ52" s="39">
        <f t="shared" ref="BJ52" si="657">+IF(BF50&lt;0,1-BJ50/BF50,BJ50/BF50-1)</f>
        <v>-0.27723110391581351</v>
      </c>
      <c r="BK52" s="39">
        <f t="shared" ref="BK52" si="658">+IF(BG50&lt;0,1-BK50/BG50,BK50/BG50-1)</f>
        <v>-0.71556698785998063</v>
      </c>
      <c r="BL52" s="39">
        <f t="shared" ref="BL52" si="659">+IF(BH50&lt;0,1-BL50/BH50,BL50/BH50-1)</f>
        <v>0.41807352380553064</v>
      </c>
      <c r="BM52" s="39">
        <f t="shared" ref="BM52" si="660">+IF(BI50&lt;0,1-BM50/BI50,BM50/BI50-1)</f>
        <v>-1.4945135417207203</v>
      </c>
      <c r="BN52" s="39">
        <f t="shared" ref="BN52" si="661">+IF(BJ50&lt;0,1-BN50/BJ50,BN50/BJ50-1)</f>
        <v>-6.1396447633216944E-2</v>
      </c>
      <c r="BO52" s="39">
        <f t="shared" ref="BO52" si="662">+IF(BK50&lt;0,1-BO50/BK50,BO50/BK50-1)</f>
        <v>-8.5306473993970897</v>
      </c>
      <c r="BP52" s="39">
        <f t="shared" ref="BP52" si="663">+IF(BL50&lt;0,1-BP50/BL50,BP50/BL50-1)</f>
        <v>-0.61811980062004146</v>
      </c>
      <c r="BQ52" s="39">
        <f t="shared" ref="BQ52" si="664">+IF(BM50&lt;0,1-BQ50/BM50,BQ50/BM50-1)</f>
        <v>5.7528159324643058</v>
      </c>
      <c r="BR52" s="39">
        <f t="shared" ref="BR52" si="665">+IF(BN50&lt;0,1-BR50/BN50,BR50/BN50-1)</f>
        <v>2.7300299236527459</v>
      </c>
      <c r="BS52" s="39">
        <f t="shared" ref="BS52" si="666">+IF(BO50&lt;0,1-BS50/BO50,BS50/BO50-1)</f>
        <v>3.0816310105496343</v>
      </c>
      <c r="BT52" s="39">
        <f t="shared" ref="BT52" si="667">+IF(BP50&lt;0,1-BT50/BP50,BT50/BP50-1)</f>
        <v>6.6509855589139537</v>
      </c>
      <c r="BU52" s="39">
        <f t="shared" ref="BU52" si="668">+IF(BQ50&lt;0,1-BU50/BQ50,BU50/BQ50-1)</f>
        <v>1.3574633658071025</v>
      </c>
      <c r="BV52" s="39">
        <f t="shared" ref="BV52" si="669">+IF(BR50&lt;0,1-BV50/BR50,BV50/BR50-1)</f>
        <v>0.2433487490987345</v>
      </c>
      <c r="BW52" s="39">
        <f t="shared" ref="BW52" si="670">+IF(BS50&lt;0,1-BW50/BS50,BW50/BS50-1)</f>
        <v>-0.22736966342436249</v>
      </c>
      <c r="BX52" s="39">
        <f t="shared" ref="BX52" si="671">+IF(BT50&lt;0,1-BX50/BT50,BX50/BT50-1)</f>
        <v>-0.89746912162937797</v>
      </c>
      <c r="BY52" s="39">
        <f t="shared" ref="BY52" si="672">+IF(BU50&lt;0,1-BY50/BU50,BY50/BU50-1)</f>
        <v>-1.2833490126211329</v>
      </c>
      <c r="BZ52" s="39">
        <f t="shared" ref="BZ52" si="673">+IF(BV50&lt;0,1-BZ50/BV50,BZ50/BV50-1)</f>
        <v>-0.85342801952953051</v>
      </c>
      <c r="CA52" s="39">
        <f t="shared" ref="CA52" si="674">+IF(BW50&lt;0,1-CA50/BW50,CA50/BW50-1)</f>
        <v>-0.89692667098602463</v>
      </c>
      <c r="CB52" s="39">
        <f t="shared" ref="CB52" si="675">+IF(BX50&lt;0,1-CB50/BX50,CB50/BX50-1)</f>
        <v>-0.76549237216271782</v>
      </c>
      <c r="CC52" s="39">
        <f t="shared" ref="CC52" si="676">+IF(BY50&lt;0,1-CC50/BY50,CC50/BY50-1)</f>
        <v>1.287525984471757</v>
      </c>
      <c r="CD52" s="39">
        <f t="shared" ref="CD52" si="677">+IF(BZ50&lt;0,1-CD50/BZ50,CD50/BZ50-1)</f>
        <v>-0.2375000000000046</v>
      </c>
      <c r="CE52" s="39">
        <f t="shared" ref="CE52" si="678">+IF(CA50&lt;0,1-CE50/CA50,CE50/CA50-1)</f>
        <v>0.51268030304965273</v>
      </c>
      <c r="CF52" s="39">
        <f t="shared" ref="CF52" si="679">+IF(CB50&lt;0,1-CF50/CB50,CF50/CB50-1)</f>
        <v>1.690036511725912</v>
      </c>
      <c r="CG52" s="39">
        <f t="shared" ref="CG52" si="680">+IF(CC50&lt;0,1-CG50/CC50,CG50/CC50-1)</f>
        <v>-0.52137647374405294</v>
      </c>
      <c r="CH52" s="39">
        <f t="shared" ref="CH52:CL52" si="681">+IF(CD50&lt;0,1-CH50/CD50,CH50/CD50-1)</f>
        <v>0.36029603517892284</v>
      </c>
      <c r="CI52" s="39">
        <f t="shared" si="681"/>
        <v>0.73967685537884531</v>
      </c>
      <c r="CJ52" s="39">
        <f t="shared" si="681"/>
        <v>3.6366626208840218</v>
      </c>
      <c r="CK52" s="39">
        <f t="shared" si="681"/>
        <v>6.3826794769149036</v>
      </c>
      <c r="CL52" s="39">
        <f t="shared" si="681"/>
        <v>1.0962523716028914</v>
      </c>
      <c r="CM52" s="40">
        <f t="shared" ref="CM52" si="682">+CM50/CI50-1</f>
        <v>0.51483105082492098</v>
      </c>
      <c r="CN52" s="40">
        <f t="shared" ref="CN52" si="683">+CN50/CJ50-1</f>
        <v>9.9775760582153206E-2</v>
      </c>
      <c r="CO52" s="40">
        <f t="shared" ref="CO52" si="684">+CO50/CK50-1</f>
        <v>0.63651566317421437</v>
      </c>
      <c r="CP52" s="40">
        <f t="shared" ref="CP52" si="685">+CP50/CL50-1</f>
        <v>0.72786684424094905</v>
      </c>
      <c r="CQ52" s="40">
        <f t="shared" ref="CQ52" si="686">+CQ50/CM50-1</f>
        <v>0.26288039601181601</v>
      </c>
      <c r="CR52" s="40">
        <f t="shared" ref="CR52" si="687">+CR50/CN50-1</f>
        <v>0.17752380826605796</v>
      </c>
      <c r="CS52" s="40">
        <f t="shared" ref="CS52" si="688">+CS50/CO50-1</f>
        <v>0.20613868849670158</v>
      </c>
      <c r="CT52" s="40">
        <f t="shared" ref="CT52" si="689">+CT50/CP50-1</f>
        <v>0.12337680440134147</v>
      </c>
      <c r="CU52" s="40">
        <f t="shared" ref="CU52" si="690">+CU50/CQ50-1</f>
        <v>0.22402253661653981</v>
      </c>
      <c r="CV52" s="40">
        <f t="shared" ref="CV52" si="691">+CV50/CR50-1</f>
        <v>0.21401385468765577</v>
      </c>
      <c r="CW52" s="40">
        <f t="shared" ref="CW52" si="692">+CW50/CS50-1</f>
        <v>0.20413440829597396</v>
      </c>
      <c r="CX52" s="40">
        <f t="shared" ref="CX52" si="693">+CX50/CT50-1</f>
        <v>0.19270499026001842</v>
      </c>
      <c r="CY52" s="40">
        <f t="shared" ref="CY52" si="694">+CY50/CU50-1</f>
        <v>0.27503631420852459</v>
      </c>
      <c r="CZ52" s="40">
        <f t="shared" ref="CZ52" si="695">+CZ50/CV50-1</f>
        <v>0.24209945163031277</v>
      </c>
      <c r="DA52" s="40">
        <f t="shared" ref="DA52" si="696">+DA50/CW50-1</f>
        <v>0.2138942699073183</v>
      </c>
      <c r="DB52" s="40">
        <f t="shared" ref="DB52" si="697">+DB50/CX50-1</f>
        <v>0.19799977722713513</v>
      </c>
      <c r="DE52" s="122"/>
      <c r="DF52" s="39">
        <v>1.205884617371527</v>
      </c>
    </row>
    <row r="53" spans="1:110" s="39" customFormat="1" x14ac:dyDescent="0.2">
      <c r="A53" s="39" t="s">
        <v>452</v>
      </c>
      <c r="AB53" s="40"/>
      <c r="AC53" s="40"/>
      <c r="AD53" s="40"/>
      <c r="AE53" s="40"/>
      <c r="AJ53" s="39">
        <f>+IF(AI50&lt;0,1-AJ50/AI50,AJ50/AI50-1)</f>
        <v>-1.8818466656351371</v>
      </c>
      <c r="AK53" s="39">
        <f t="shared" ref="AK53:AM53" si="698">+IF(AJ50&lt;0,1-AK50/AJ50,AK50/AJ50-1)</f>
        <v>-0.68628139050334691</v>
      </c>
      <c r="AL53" s="39">
        <f t="shared" si="698"/>
        <v>1.9562989360871945</v>
      </c>
      <c r="AM53" s="39">
        <f t="shared" si="698"/>
        <v>0.52948616815820193</v>
      </c>
      <c r="AN53" s="39">
        <f t="shared" ref="AN53" si="699">+IF(AM50&lt;0,1-AN50/AM50,AN50/AM50-1)</f>
        <v>-0.1543878993748744</v>
      </c>
      <c r="AO53" s="39">
        <f t="shared" ref="AO53" si="700">+IF(AN50&lt;0,1-AO50/AN50,AO50/AN50-1)</f>
        <v>-0.47519848572479462</v>
      </c>
      <c r="AP53" s="39">
        <f t="shared" ref="AP53" si="701">+IF(AO50&lt;0,1-AP50/AO50,AP50/AO50-1)</f>
        <v>1.2382679437341908</v>
      </c>
      <c r="AQ53" s="39">
        <f t="shared" ref="AQ53" si="702">+IF(AP50&lt;0,1-AQ50/AP50,AQ50/AP50-1)</f>
        <v>-0.45780328191722763</v>
      </c>
      <c r="AR53" s="39">
        <f t="shared" ref="AR53" si="703">+IF(AQ50&lt;0,1-AR50/AQ50,AR50/AQ50-1)</f>
        <v>-0.7898456204078258</v>
      </c>
      <c r="AS53" s="39">
        <f t="shared" ref="AS53" si="704">+IF(AR50&lt;0,1-AS50/AR50,AS50/AR50-1)</f>
        <v>3.1741043368977317E-2</v>
      </c>
      <c r="AT53" s="39">
        <f t="shared" ref="AT53" si="705">+IF(AS50&lt;0,1-AT50/AS50,AT50/AS50-1)</f>
        <v>-7.7855619859882914</v>
      </c>
      <c r="AU53" s="39">
        <f t="shared" ref="AU53" si="706">+IF(AT50&lt;0,1-AU50/AT50,AU50/AT50-1)</f>
        <v>1.1795686133680476</v>
      </c>
      <c r="AV53" s="39">
        <f t="shared" ref="AV53" si="707">+IF(AU50&lt;0,1-AV50/AU50,AV50/AU50-1)</f>
        <v>-3.1119305043435017</v>
      </c>
      <c r="AW53" s="39">
        <f t="shared" ref="AW53" si="708">+IF(AV50&lt;0,1-AW50/AV50,AW50/AV50-1)</f>
        <v>-3.9480069836947829</v>
      </c>
      <c r="AX53" s="39">
        <f t="shared" ref="AX53" si="709">+IF(AW50&lt;0,1-AX50/AW50,AX50/AW50-1)</f>
        <v>0.75630352614707186</v>
      </c>
      <c r="AY53" s="39">
        <f t="shared" ref="AY53" si="710">+IF(AX50&lt;0,1-AY50/AX50,AY50/AX50-1)</f>
        <v>1.8909148915284117</v>
      </c>
      <c r="AZ53" s="39">
        <f t="shared" ref="AZ53" si="711">+IF(AY50&lt;0,1-AZ50/AY50,AZ50/AY50-1)</f>
        <v>-1.0037462468666551</v>
      </c>
      <c r="BA53" s="39">
        <f t="shared" ref="BA53" si="712">+IF(AZ50&lt;0,1-BA50/AZ50,BA50/AZ50-1)</f>
        <v>222.65441176440814</v>
      </c>
      <c r="BB53" s="39">
        <f t="shared" ref="BB53" si="713">+IF(BA50&lt;0,1-BB50/BA50,BB50/BA50-1)</f>
        <v>10.109902139658292</v>
      </c>
      <c r="BC53" s="39">
        <f t="shared" ref="BC53" si="714">+IF(BB50&lt;0,1-BC50/BB50,BC50/BB50-1)</f>
        <v>-0.5389450237080049</v>
      </c>
      <c r="BD53" s="39">
        <f t="shared" ref="BD53" si="715">+IF(BC50&lt;0,1-BD50/BC50,BD50/BC50-1)</f>
        <v>-0.37122355272616514</v>
      </c>
      <c r="BE53" s="39">
        <f t="shared" ref="BE53" si="716">+IF(BD50&lt;0,1-BE50/BD50,BE50/BD50-1)</f>
        <v>1.2346585642187669</v>
      </c>
      <c r="BF53" s="39">
        <f t="shared" ref="BF53" si="717">+IF(BE50&lt;0,1-BF50/BE50,BF50/BE50-1)</f>
        <v>0.4576494609679973</v>
      </c>
      <c r="BG53" s="39">
        <f t="shared" ref="BG53" si="718">+IF(BF50&lt;0,1-BG50/BF50,BG50/BF50-1)</f>
        <v>-0.30300768997268035</v>
      </c>
      <c r="BH53" s="39">
        <f t="shared" ref="BH53" si="719">+IF(BG50&lt;0,1-BH50/BG50,BH50/BG50-1)</f>
        <v>0.29711742609831604</v>
      </c>
      <c r="BI53" s="39">
        <f t="shared" ref="BI53" si="720">+IF(BH50&lt;0,1-BI50/BH50,BI50/BH50-1)</f>
        <v>-0.39344434301782549</v>
      </c>
      <c r="BJ53" s="39">
        <f t="shared" ref="BJ53" si="721">+IF(BI50&lt;0,1-BJ50/BI50,BJ50/BI50-1)</f>
        <v>0.31801853229312838</v>
      </c>
      <c r="BK53" s="39">
        <f t="shared" ref="BK53" si="722">+IF(BJ50&lt;0,1-BK50/BJ50,BK50/BJ50-1)</f>
        <v>-0.72571091084084327</v>
      </c>
      <c r="BL53" s="39">
        <f t="shared" ref="BL53" si="723">+IF(BK50&lt;0,1-BL50/BK50,BL50/BK50-1)</f>
        <v>5.4669282421806367</v>
      </c>
      <c r="BM53" s="39">
        <f t="shared" ref="BM53" si="724">+IF(BL50&lt;0,1-BM50/BL50,BM50/BL50-1)</f>
        <v>-1.2115193473043979</v>
      </c>
      <c r="BN53" s="39">
        <f t="shared" ref="BN53" si="725">+IF(BM50&lt;0,1-BN50/BM50,BN50/BM50-1)</f>
        <v>3.5016440847928139</v>
      </c>
      <c r="BO53" s="39">
        <f t="shared" ref="BO53" si="726">+IF(BN50&lt;0,1-BO50/BN50,BO50/BN50-1)</f>
        <v>-3.2006888965536593</v>
      </c>
      <c r="BP53" s="39">
        <f t="shared" ref="BP53" si="727">+IF(BO50&lt;0,1-BP50/BO50,BP50/BO50-1)</f>
        <v>1.3279388498122411</v>
      </c>
      <c r="BQ53" s="39">
        <f t="shared" ref="BQ53" si="728">+IF(BP50&lt;0,1-BQ50/BP50,BQ50/BP50-1)</f>
        <v>1.6325337776744466</v>
      </c>
      <c r="BR53" s="39">
        <f t="shared" ref="BR53" si="729">+IF(BQ50&lt;0,1-BR50/BQ50,BR50/BQ50-1)</f>
        <v>0.96330079413950886</v>
      </c>
      <c r="BS53" s="39">
        <f t="shared" ref="BS53" si="730">+IF(BR50&lt;0,1-BS50/BR50,BS50/BR50-1)</f>
        <v>0.22814624692132401</v>
      </c>
      <c r="BT53" s="39">
        <f t="shared" ref="BT53" si="731">+IF(BS50&lt;0,1-BT50/BS50,BT50/BS50-1)</f>
        <v>0.20533148833991355</v>
      </c>
      <c r="BU53" s="39">
        <f t="shared" ref="BU53" si="732">+IF(BT50&lt;0,1-BU50/BT50,BU50/BT50-1)</f>
        <v>-0.1888493459660594</v>
      </c>
      <c r="BV53" s="39">
        <f t="shared" ref="BV53" si="733">+IF(BU50&lt;0,1-BV50/BU50,BV50/BU50-1)</f>
        <v>3.546363515268669E-2</v>
      </c>
      <c r="BW53" s="39">
        <f t="shared" ref="BW53" si="734">+IF(BV50&lt;0,1-BW50/BV50,BW50/BV50-1)</f>
        <v>-0.23681666241208721</v>
      </c>
      <c r="BX53" s="39">
        <f t="shared" ref="BX53" si="735">+IF(BW50&lt;0,1-BX50/BW50,BX50/BW50-1)</f>
        <v>-0.84004809237106348</v>
      </c>
      <c r="BY53" s="39">
        <f t="shared" ref="BY53" si="736">+IF(BX50&lt;0,1-BY50/BX50,BY50/BX50-1)</f>
        <v>-3.2416538369709169</v>
      </c>
      <c r="BZ53" s="39">
        <f t="shared" ref="BZ53" si="737">+IF(BY50&lt;0,1-BZ50/BY50,BZ50/BY50-1)</f>
        <v>1.5356290262158532</v>
      </c>
      <c r="CA53" s="39">
        <f t="shared" ref="CA53" si="738">+IF(BZ50&lt;0,1-CA50/BZ50,CA50/BZ50-1)</f>
        <v>-0.46330910586944307</v>
      </c>
      <c r="CB53" s="39">
        <f t="shared" ref="CB53" si="739">+IF(CA50&lt;0,1-CB50/CA50,CB50/CA50-1)</f>
        <v>-0.63608488456772239</v>
      </c>
      <c r="CC53" s="39">
        <f t="shared" ref="CC53" si="740">+IF(CB50&lt;0,1-CC50/CB50,CC50/CB50-1)</f>
        <v>1.7484552731358347</v>
      </c>
      <c r="CD53" s="39">
        <f t="shared" ref="CD53" si="741">+IF(CC50&lt;0,1-CD50/CC50,CD50/CC50-1)</f>
        <v>0.42045294876541339</v>
      </c>
      <c r="CE53" s="39">
        <f t="shared" ref="CE53" si="742">+IF(CD50&lt;0,1-CE50/CD50,CE50/CD50-1)</f>
        <v>6.4710484429383541E-2</v>
      </c>
      <c r="CF53" s="39">
        <f t="shared" ref="CF53" si="743">+IF(CE50&lt;0,1-CF50/CE50,CF50/CE50-1)</f>
        <v>-0.35284081791230704</v>
      </c>
      <c r="CG53" s="39">
        <f t="shared" ref="CG53" si="744">+IF(CF50&lt;0,1-CG50/CF50,CG50/CF50-1)</f>
        <v>-0.5109823421166042</v>
      </c>
      <c r="CH53" s="39">
        <f t="shared" ref="CH53:CL53" si="745">+IF(CG50&lt;0,1-CH50/CG50,CH50/CG50-1)</f>
        <v>3.0370696557246228</v>
      </c>
      <c r="CI53" s="39">
        <f t="shared" si="745"/>
        <v>0.36165374267033412</v>
      </c>
      <c r="CJ53" s="39">
        <f t="shared" si="745"/>
        <v>0.72483687419893617</v>
      </c>
      <c r="CK53" s="39">
        <f t="shared" si="745"/>
        <v>-0.22136654704102443</v>
      </c>
      <c r="CL53" s="39">
        <f t="shared" si="745"/>
        <v>0.14629341103065663</v>
      </c>
      <c r="CM53" s="40">
        <f t="shared" ref="CM53" si="746">+CM50/CL50-1</f>
        <v>-1.601763327200334E-2</v>
      </c>
      <c r="CN53" s="40">
        <f t="shared" ref="CN53" si="747">+CN50/CM50-1</f>
        <v>0.2522411553217625</v>
      </c>
      <c r="CO53" s="40">
        <f t="shared" ref="CO53" si="748">+CO50/CN50-1</f>
        <v>0.15864150430473178</v>
      </c>
      <c r="CP53" s="40">
        <f t="shared" ref="CP53" si="749">+CP50/CO50-1</f>
        <v>0.21028012335063462</v>
      </c>
      <c r="CQ53" s="40">
        <f t="shared" ref="CQ53" si="750">+CQ50/CP50-1</f>
        <v>-0.28081724288887966</v>
      </c>
      <c r="CR53" s="40">
        <f t="shared" ref="CR53" si="751">+CR50/CQ50-1</f>
        <v>0.16760366123236059</v>
      </c>
      <c r="CS53" s="40">
        <f t="shared" ref="CS53" si="752">+CS50/CR50-1</f>
        <v>0.18679752768463564</v>
      </c>
      <c r="CT53" s="40">
        <f t="shared" ref="CT53" si="753">+CT50/CS50-1</f>
        <v>0.12723406550756322</v>
      </c>
      <c r="CU53" s="40">
        <f t="shared" ref="CU53" si="754">+CU50/CT50-1</f>
        <v>-0.21638412044732536</v>
      </c>
      <c r="CV53" s="40">
        <f t="shared" ref="CV53" si="755">+CV50/CU50-1</f>
        <v>0.15805630951727045</v>
      </c>
      <c r="CW53" s="40">
        <f t="shared" ref="CW53" si="756">+CW50/CV50-1</f>
        <v>0.17713956331522773</v>
      </c>
      <c r="CX53" s="40">
        <f t="shared" ref="CX53" si="757">+CX50/CW50-1</f>
        <v>0.11653457110702714</v>
      </c>
      <c r="CY53" s="40">
        <f t="shared" ref="CY53" si="758">+CY50/CX50-1</f>
        <v>-0.16229183999448682</v>
      </c>
      <c r="CZ53" s="40">
        <f t="shared" ref="CZ53" si="759">+CZ50/CY50-1</f>
        <v>0.12814128584354978</v>
      </c>
      <c r="DA53" s="40">
        <f t="shared" ref="DA53" si="760">+DA50/CZ50-1</f>
        <v>0.15040946915645992</v>
      </c>
      <c r="DB53" s="40">
        <f t="shared" ref="DB53" si="761">+DB50/DA50-1</f>
        <v>0.10191488716289987</v>
      </c>
      <c r="DE53" s="122"/>
      <c r="DF53" s="39">
        <v>0.20624359768923495</v>
      </c>
    </row>
    <row r="54" spans="1:110" s="75" customFormat="1" x14ac:dyDescent="0.2">
      <c r="A54" s="23" t="s">
        <v>23</v>
      </c>
      <c r="B54" s="75">
        <f>'Annual Raw'!C32</f>
        <v>0</v>
      </c>
      <c r="C54" s="75">
        <f>'Annual Raw'!D32</f>
        <v>-1.1499999999999999</v>
      </c>
      <c r="D54" s="75">
        <f>'Annual Raw'!E32</f>
        <v>-6.76</v>
      </c>
      <c r="E54" s="75">
        <f>'Annual Raw'!F32</f>
        <v>-19.28</v>
      </c>
      <c r="F54" s="75">
        <f>'Annual Raw'!G32</f>
        <v>-25.96</v>
      </c>
      <c r="G54" s="75">
        <f>'Annual Raw'!H32</f>
        <v>-18.64</v>
      </c>
      <c r="H54" s="75">
        <f>'Annual Raw'!I32</f>
        <v>-67.52</v>
      </c>
      <c r="I54" s="75">
        <f>'Annual Raw'!J32</f>
        <v>-139.94</v>
      </c>
      <c r="J54" s="75">
        <f>'Annual Raw'!K32</f>
        <v>40.94</v>
      </c>
      <c r="K54" s="75">
        <f>'Annual Raw'!L32</f>
        <v>-15.24</v>
      </c>
      <c r="L54" s="75">
        <f>'Annual Raw'!M32</f>
        <v>60.28</v>
      </c>
      <c r="M54" s="75">
        <f>'Annual Raw'!N32</f>
        <v>173.14</v>
      </c>
      <c r="N54" s="75">
        <f>'Annual Raw'!O32</f>
        <v>214.46</v>
      </c>
      <c r="O54" s="75">
        <f>'Annual Raw'!P32</f>
        <v>-69.92</v>
      </c>
      <c r="P54" s="75">
        <f>'Annual Raw'!Q32</f>
        <v>13.29</v>
      </c>
      <c r="Q54" s="75">
        <f>'Annual Raw'!R32</f>
        <v>114.31</v>
      </c>
      <c r="R54" s="75">
        <f>'Annual Raw'!S32</f>
        <v>-72.23</v>
      </c>
      <c r="S54" s="75">
        <f>'Annual Raw'!T32</f>
        <v>-4328.4799999999996</v>
      </c>
      <c r="T54" s="75">
        <f>'Annual Raw'!U32</f>
        <v>1120</v>
      </c>
      <c r="U54" s="75">
        <f>'Annual Raw'!V32</f>
        <v>384.08</v>
      </c>
      <c r="V54" s="75">
        <f>'Annual Raw'!W32</f>
        <v>-699.57</v>
      </c>
      <c r="W54" s="75">
        <f>'Annual Raw'!X32</f>
        <v>-1595.39</v>
      </c>
      <c r="X54" s="75">
        <f>'Annual Raw'!Y32</f>
        <v>685.05</v>
      </c>
      <c r="Y54" s="75">
        <f>'Annual Raw'!Z32</f>
        <v>472.17</v>
      </c>
      <c r="Z54" s="75">
        <f>'Annual Raw'!AA32</f>
        <v>246.73</v>
      </c>
      <c r="AA54" s="75">
        <f>'Annual Raw'!AB32</f>
        <v>-91.95</v>
      </c>
      <c r="AB54" s="76">
        <f t="shared" ref="AB54:AB55" si="762">+SUM(CM54:CP54)</f>
        <v>-157.04</v>
      </c>
      <c r="AC54" s="76">
        <f t="shared" ref="AC54:AC55" si="763">+SUM(CQ54:CT54)</f>
        <v>-157.04</v>
      </c>
      <c r="AD54" s="76">
        <f t="shared" ref="AD54:AD55" si="764">+SUM(CU54:CX54)</f>
        <v>-157.04</v>
      </c>
      <c r="AE54" s="76">
        <f t="shared" ref="AE54:AE55" si="765">+SUM(CY54:DB54)</f>
        <v>-157.04</v>
      </c>
      <c r="AI54" s="75">
        <f>'QTR Raw'!C34</f>
        <v>39.89</v>
      </c>
      <c r="AJ54" s="75">
        <f>'QTR Raw'!D34</f>
        <v>27.51</v>
      </c>
      <c r="AK54" s="75">
        <f>'QTR Raw'!E34</f>
        <v>7.99</v>
      </c>
      <c r="AL54" s="75">
        <f>'QTR Raw'!F34</f>
        <v>139.07</v>
      </c>
      <c r="AM54" s="75">
        <f>'QTR Raw'!G34</f>
        <v>2.92</v>
      </c>
      <c r="AN54" s="75">
        <f>'QTR Raw'!H34</f>
        <v>-37.479999999999997</v>
      </c>
      <c r="AO54" s="75">
        <f>'QTR Raw'!I34</f>
        <v>2.74</v>
      </c>
      <c r="AP54" s="75">
        <f>'QTR Raw'!J34</f>
        <v>-38.1</v>
      </c>
      <c r="AQ54" s="75">
        <f>'QTR Raw'!K34</f>
        <v>-14.4</v>
      </c>
      <c r="AR54" s="75">
        <f>'QTR Raw'!L34</f>
        <v>-3.34</v>
      </c>
      <c r="AS54" s="75">
        <f>'QTR Raw'!M34</f>
        <v>15.63</v>
      </c>
      <c r="AT54" s="75">
        <f>'QTR Raw'!N34</f>
        <v>15.4</v>
      </c>
      <c r="AU54" s="75">
        <f>'QTR Raw'!O34</f>
        <v>-2.21</v>
      </c>
      <c r="AV54" s="75">
        <f>'QTR Raw'!P34</f>
        <v>19.28</v>
      </c>
      <c r="AW54" s="75">
        <f>'QTR Raw'!Q34</f>
        <v>-46.06</v>
      </c>
      <c r="AX54" s="75">
        <f>'QTR Raw'!R34</f>
        <v>50.8</v>
      </c>
      <c r="AY54" s="75">
        <f>'QTR Raw'!S34</f>
        <v>-23.61</v>
      </c>
      <c r="AZ54" s="75">
        <f>'QTR Raw'!T34</f>
        <v>-10.23</v>
      </c>
      <c r="BA54" s="75">
        <f>'QTR Raw'!U34</f>
        <v>-30</v>
      </c>
      <c r="BB54" s="75">
        <f>'QTR Raw'!V34</f>
        <v>-8.39</v>
      </c>
      <c r="BC54" s="75">
        <f>'QTR Raw'!W34</f>
        <v>-14.82</v>
      </c>
      <c r="BD54" s="75">
        <f>'QTR Raw'!X34</f>
        <v>-11.98</v>
      </c>
      <c r="BE54" s="75">
        <f>'QTR Raw'!Y34</f>
        <v>150.5</v>
      </c>
      <c r="BF54" s="75">
        <f>'QTR Raw'!Z34</f>
        <v>-4452.18</v>
      </c>
      <c r="BG54" s="75">
        <f>'QTR Raw'!AA34</f>
        <v>17.260000000000002</v>
      </c>
      <c r="BH54" s="75">
        <f>'QTR Raw'!AB34</f>
        <v>482.53</v>
      </c>
      <c r="BI54" s="75">
        <f>'QTR Raw'!AC34</f>
        <v>532.91</v>
      </c>
      <c r="BJ54" s="75">
        <f>'QTR Raw'!AD34</f>
        <v>87.3</v>
      </c>
      <c r="BK54" s="75">
        <f>'QTR Raw'!AE34</f>
        <v>3.04</v>
      </c>
      <c r="BL54" s="75">
        <f>'QTR Raw'!AF34</f>
        <v>103.12</v>
      </c>
      <c r="BM54" s="75">
        <f>'QTR Raw'!AG34</f>
        <v>143.91</v>
      </c>
      <c r="BN54" s="75">
        <f>'QTR Raw'!AH34</f>
        <v>134.01</v>
      </c>
      <c r="BO54" s="75">
        <f>'QTR Raw'!AI34</f>
        <v>231.57</v>
      </c>
      <c r="BP54" s="75">
        <f>'QTR Raw'!AJ34</f>
        <v>-99.66</v>
      </c>
      <c r="BQ54" s="75">
        <f>'QTR Raw'!AK34</f>
        <v>-313.72000000000003</v>
      </c>
      <c r="BR54" s="75">
        <f>'QTR Raw'!AL34</f>
        <v>-517.76</v>
      </c>
      <c r="BS54" s="75">
        <f>'QTR Raw'!AM34</f>
        <v>-861.39</v>
      </c>
      <c r="BT54" s="75">
        <f>'QTR Raw'!AN34</f>
        <v>-629.59</v>
      </c>
      <c r="BU54" s="75">
        <f>'QTR Raw'!AO34</f>
        <v>-25.49</v>
      </c>
      <c r="BV54" s="75">
        <f>'QTR Raw'!AP34</f>
        <v>-78.92</v>
      </c>
      <c r="BW54" s="75">
        <f>'QTR Raw'!AQ34</f>
        <v>50.96</v>
      </c>
      <c r="BX54" s="75">
        <f>'QTR Raw'!AR34</f>
        <v>217.36</v>
      </c>
      <c r="BY54" s="75">
        <f>'QTR Raw'!AS34</f>
        <v>278.11</v>
      </c>
      <c r="BZ54" s="75">
        <f>'QTR Raw'!AT34</f>
        <v>138.62</v>
      </c>
      <c r="CA54" s="75">
        <f>'QTR Raw'!AU34</f>
        <v>109.1</v>
      </c>
      <c r="CB54" s="75">
        <f>'QTR Raw'!AV34</f>
        <v>314.92</v>
      </c>
      <c r="CC54" s="75">
        <f>'QTR Raw'!AW34</f>
        <v>-8.77</v>
      </c>
      <c r="CD54" s="75">
        <f>'QTR Raw'!AX34</f>
        <v>56.92</v>
      </c>
      <c r="CE54" s="75">
        <f>'QTR Raw'!AY34</f>
        <v>41.04</v>
      </c>
      <c r="CF54" s="75">
        <f>'QTR Raw'!AZ34</f>
        <v>74.61</v>
      </c>
      <c r="CG54" s="75">
        <f>'QTR Raw'!BA34</f>
        <v>31.15</v>
      </c>
      <c r="CH54" s="75">
        <f>'QTR Raw'!BB34</f>
        <v>99.93</v>
      </c>
      <c r="CI54" s="75">
        <f>'QTR Raw'!BC34</f>
        <v>70.319999999999993</v>
      </c>
      <c r="CJ54" s="75">
        <f>'QTR Raw'!BD34</f>
        <v>-81.34</v>
      </c>
      <c r="CK54" s="75">
        <f>'QTR Raw'!BE34</f>
        <v>-41.67</v>
      </c>
      <c r="CL54" s="75">
        <f>'QTR Raw'!BF34</f>
        <v>-39.26</v>
      </c>
      <c r="CM54" s="76">
        <f t="shared" ref="CM54:CM55" si="766">+CL54</f>
        <v>-39.26</v>
      </c>
      <c r="CN54" s="76">
        <f t="shared" ref="CN54:CN55" si="767">+CM54</f>
        <v>-39.26</v>
      </c>
      <c r="CO54" s="76">
        <f t="shared" ref="CO54:CO55" si="768">+CN54</f>
        <v>-39.26</v>
      </c>
      <c r="CP54" s="76">
        <f t="shared" ref="CP54:CP55" si="769">+CO54</f>
        <v>-39.26</v>
      </c>
      <c r="CQ54" s="76">
        <f t="shared" ref="CQ54:CQ55" si="770">+CP54</f>
        <v>-39.26</v>
      </c>
      <c r="CR54" s="76">
        <f t="shared" ref="CR54:CR55" si="771">+CQ54</f>
        <v>-39.26</v>
      </c>
      <c r="CS54" s="76">
        <f t="shared" ref="CS54:CS55" si="772">+CR54</f>
        <v>-39.26</v>
      </c>
      <c r="CT54" s="76">
        <f t="shared" ref="CT54:CT55" si="773">+CS54</f>
        <v>-39.26</v>
      </c>
      <c r="CU54" s="76">
        <f t="shared" ref="CU54:CU55" si="774">+CT54</f>
        <v>-39.26</v>
      </c>
      <c r="CV54" s="76">
        <f t="shared" ref="CV54:CV55" si="775">+CU54</f>
        <v>-39.26</v>
      </c>
      <c r="CW54" s="76">
        <f t="shared" ref="CW54:CW55" si="776">+CV54</f>
        <v>-39.26</v>
      </c>
      <c r="CX54" s="76">
        <f t="shared" ref="CX54:CX55" si="777">+CW54</f>
        <v>-39.26</v>
      </c>
      <c r="CY54" s="76">
        <f t="shared" ref="CY54:CY55" si="778">+CX54</f>
        <v>-39.26</v>
      </c>
      <c r="CZ54" s="76">
        <f t="shared" ref="CZ54:CZ55" si="779">+CY54</f>
        <v>-39.26</v>
      </c>
      <c r="DA54" s="76">
        <f t="shared" ref="DA54:DA55" si="780">+CZ54</f>
        <v>-39.26</v>
      </c>
      <c r="DB54" s="76">
        <f t="shared" ref="DB54:DB55" si="781">+DA54</f>
        <v>-39.26</v>
      </c>
      <c r="DE54" s="131"/>
      <c r="DF54" s="75">
        <v>-41.67</v>
      </c>
    </row>
    <row r="55" spans="1:110" s="75" customFormat="1" x14ac:dyDescent="0.2">
      <c r="A55" s="23" t="s">
        <v>24</v>
      </c>
      <c r="B55" s="75">
        <f>'Annual Raw'!C33+'Annual Raw'!C28</f>
        <v>0</v>
      </c>
      <c r="C55" s="75">
        <f>'Annual Raw'!D33+'Annual Raw'!D28</f>
        <v>0</v>
      </c>
      <c r="D55" s="75">
        <f>'Annual Raw'!E33+'Annual Raw'!E28</f>
        <v>26.56</v>
      </c>
      <c r="E55" s="75">
        <f>'Annual Raw'!F33+'Annual Raw'!F28</f>
        <v>29.44</v>
      </c>
      <c r="F55" s="75">
        <f>'Annual Raw'!G33+'Annual Raw'!G28</f>
        <v>58.02</v>
      </c>
      <c r="G55" s="75">
        <f>'Annual Raw'!H33+'Annual Raw'!H28</f>
        <v>32.19</v>
      </c>
      <c r="H55" s="75">
        <f>'Annual Raw'!I33+'Annual Raw'!I28</f>
        <v>79.180000000000007</v>
      </c>
      <c r="I55" s="75">
        <f>'Annual Raw'!J33+'Annual Raw'!J28</f>
        <v>168.16</v>
      </c>
      <c r="J55" s="75">
        <f>'Annual Raw'!K33+'Annual Raw'!K28</f>
        <v>60.72</v>
      </c>
      <c r="K55" s="75">
        <f>'Annual Raw'!L33+'Annual Raw'!L28</f>
        <v>126.86</v>
      </c>
      <c r="L55" s="75">
        <f>'Annual Raw'!M33+'Annual Raw'!M28</f>
        <v>66.36</v>
      </c>
      <c r="M55" s="75">
        <f>'Annual Raw'!N33+'Annual Raw'!N28</f>
        <v>268.11</v>
      </c>
      <c r="N55" s="75">
        <f>'Annual Raw'!O33+'Annual Raw'!O28</f>
        <v>90.31</v>
      </c>
      <c r="O55" s="75">
        <f>'Annual Raw'!P33+'Annual Raw'!P28</f>
        <v>0.84</v>
      </c>
      <c r="P55" s="75">
        <f>'Annual Raw'!Q33+'Annual Raw'!Q28</f>
        <v>16.690000000000001</v>
      </c>
      <c r="Q55" s="75">
        <f>'Annual Raw'!R33+'Annual Raw'!R28</f>
        <v>-110.42</v>
      </c>
      <c r="R55" s="75">
        <f>'Annual Raw'!S33+'Annual Raw'!S28</f>
        <v>7.65</v>
      </c>
      <c r="S55" s="75">
        <f>'Annual Raw'!T33+'Annual Raw'!T28</f>
        <v>239.12</v>
      </c>
      <c r="T55" s="75">
        <f>'Annual Raw'!U33+'Annual Raw'!U28</f>
        <v>224.7</v>
      </c>
      <c r="U55" s="75">
        <f>'Annual Raw'!V33+'Annual Raw'!V28</f>
        <v>187.97</v>
      </c>
      <c r="V55" s="75">
        <f>'Annual Raw'!W33+'Annual Raw'!W28</f>
        <v>327.33999999999997</v>
      </c>
      <c r="W55" s="75">
        <f>'Annual Raw'!X33+'Annual Raw'!X28</f>
        <v>649.16</v>
      </c>
      <c r="X55" s="75">
        <f>'Annual Raw'!Y33+'Annual Raw'!Y28</f>
        <v>418.12</v>
      </c>
      <c r="Y55" s="75">
        <f>'Annual Raw'!Z33+'Annual Raw'!Z28</f>
        <v>-57.98</v>
      </c>
      <c r="Z55" s="75">
        <f>'Annual Raw'!AA33+'Annual Raw'!AA28</f>
        <v>190.81</v>
      </c>
      <c r="AA55" s="75">
        <f>'Annual Raw'!AB33+'Annual Raw'!AB28</f>
        <v>368.5</v>
      </c>
      <c r="AB55" s="76">
        <f t="shared" si="762"/>
        <v>536.28</v>
      </c>
      <c r="AC55" s="76">
        <f t="shared" si="763"/>
        <v>536.28</v>
      </c>
      <c r="AD55" s="76">
        <f t="shared" si="764"/>
        <v>536.28</v>
      </c>
      <c r="AE55" s="76">
        <f t="shared" si="765"/>
        <v>536.28</v>
      </c>
      <c r="AI55" s="75">
        <f>'QTR Raw'!C35</f>
        <v>40.950000000000003</v>
      </c>
      <c r="AJ55" s="75">
        <f>'QTR Raw'!D35</f>
        <v>21.83</v>
      </c>
      <c r="AK55" s="75">
        <f>'QTR Raw'!E35</f>
        <v>17.59</v>
      </c>
      <c r="AL55" s="75">
        <f>'QTR Raw'!F35</f>
        <v>9.94</v>
      </c>
      <c r="AM55" s="75">
        <f>'QTR Raw'!G35</f>
        <v>-6.24</v>
      </c>
      <c r="AN55" s="75">
        <f>'QTR Raw'!H35</f>
        <v>3.3</v>
      </c>
      <c r="AO55" s="75">
        <f>'QTR Raw'!I35</f>
        <v>1</v>
      </c>
      <c r="AP55" s="75">
        <f>'QTR Raw'!J35</f>
        <v>2.78</v>
      </c>
      <c r="AQ55" s="75">
        <f>'QTR Raw'!K35</f>
        <v>8.56</v>
      </c>
      <c r="AR55" s="75">
        <f>'QTR Raw'!L35</f>
        <v>-14.62</v>
      </c>
      <c r="AS55" s="75">
        <f>'QTR Raw'!M35</f>
        <v>10.16</v>
      </c>
      <c r="AT55" s="75">
        <f>'QTR Raw'!N35</f>
        <v>12.59</v>
      </c>
      <c r="AU55" s="75">
        <f>'QTR Raw'!O35</f>
        <v>6.28</v>
      </c>
      <c r="AV55" s="75">
        <f>'QTR Raw'!P35</f>
        <v>-62.51</v>
      </c>
      <c r="AW55" s="75">
        <f>'QTR Raw'!Q35</f>
        <v>-8.36</v>
      </c>
      <c r="AX55" s="75">
        <f>'QTR Raw'!R35</f>
        <v>-45.83</v>
      </c>
      <c r="AY55" s="75">
        <f>'QTR Raw'!S35</f>
        <v>14.2</v>
      </c>
      <c r="AZ55" s="75">
        <f>'QTR Raw'!T35</f>
        <v>-9.06</v>
      </c>
      <c r="BA55" s="75">
        <f>'QTR Raw'!U35</f>
        <v>-0.25</v>
      </c>
      <c r="BB55" s="75">
        <f>'QTR Raw'!V35</f>
        <v>2.76</v>
      </c>
      <c r="BC55" s="75">
        <f>'QTR Raw'!W35</f>
        <v>5.9</v>
      </c>
      <c r="BD55" s="75">
        <f>'QTR Raw'!X35</f>
        <v>61.6</v>
      </c>
      <c r="BE55" s="75">
        <f>'QTR Raw'!Y35</f>
        <v>89.83</v>
      </c>
      <c r="BF55" s="75">
        <f>'QTR Raw'!Z35</f>
        <v>63.84</v>
      </c>
      <c r="BG55" s="75">
        <f>'QTR Raw'!AA35</f>
        <v>47.21</v>
      </c>
      <c r="BH55" s="75">
        <f>'QTR Raw'!AB35</f>
        <v>71.34</v>
      </c>
      <c r="BI55" s="75">
        <f>'QTR Raw'!AC35</f>
        <v>50</v>
      </c>
      <c r="BJ55" s="75">
        <f>'QTR Raw'!AD35</f>
        <v>56.15</v>
      </c>
      <c r="BK55" s="75">
        <f>'QTR Raw'!AE35</f>
        <v>52.22</v>
      </c>
      <c r="BL55" s="75">
        <f>'QTR Raw'!AF35</f>
        <v>22.44</v>
      </c>
      <c r="BM55" s="75">
        <f>'QTR Raw'!AG35</f>
        <v>20.48</v>
      </c>
      <c r="BN55" s="75">
        <f>'QTR Raw'!AH35</f>
        <v>92.83</v>
      </c>
      <c r="BO55" s="75">
        <f>'QTR Raw'!AI35</f>
        <v>15</v>
      </c>
      <c r="BP55" s="75">
        <f>'QTR Raw'!AJ35</f>
        <v>73.55</v>
      </c>
      <c r="BQ55" s="75">
        <f>'QTR Raw'!AK35</f>
        <v>88.38</v>
      </c>
      <c r="BR55" s="75">
        <f>'QTR Raw'!AL35</f>
        <v>150.41</v>
      </c>
      <c r="BS55" s="75">
        <f>'QTR Raw'!AM35</f>
        <v>122.27</v>
      </c>
      <c r="BT55" s="75">
        <f>'QTR Raw'!AN35</f>
        <v>185.26</v>
      </c>
      <c r="BU55" s="75">
        <f>'QTR Raw'!AO35</f>
        <v>182.28</v>
      </c>
      <c r="BV55" s="75">
        <f>'QTR Raw'!AP35</f>
        <v>159.35</v>
      </c>
      <c r="BW55" s="75">
        <f>'QTR Raw'!AQ35</f>
        <v>159.52000000000001</v>
      </c>
      <c r="BX55" s="75">
        <f>'QTR Raw'!AR35</f>
        <v>101.86</v>
      </c>
      <c r="BY55" s="75">
        <f>'QTR Raw'!AS35</f>
        <v>60.49</v>
      </c>
      <c r="BZ55" s="75">
        <f>'QTR Raw'!AT35</f>
        <v>96.25</v>
      </c>
      <c r="CA55" s="75">
        <f>'QTR Raw'!AU35</f>
        <v>-271.27999999999997</v>
      </c>
      <c r="CB55" s="75">
        <f>'QTR Raw'!AV35</f>
        <v>102.9</v>
      </c>
      <c r="CC55" s="75">
        <f>'QTR Raw'!AW35</f>
        <v>73.400000000000006</v>
      </c>
      <c r="CD55" s="75">
        <f>'QTR Raw'!AX35</f>
        <v>37</v>
      </c>
      <c r="CE55" s="75">
        <f>'QTR Raw'!AY35</f>
        <v>92.51</v>
      </c>
      <c r="CF55" s="75">
        <f>'QTR Raw'!AZ35</f>
        <v>-25.48</v>
      </c>
      <c r="CG55" s="75">
        <f>'QTR Raw'!BA35</f>
        <v>46.98</v>
      </c>
      <c r="CH55" s="75">
        <f>'QTR Raw'!BB35</f>
        <v>76.8</v>
      </c>
      <c r="CI55" s="75">
        <f>'QTR Raw'!BC35</f>
        <v>79.72</v>
      </c>
      <c r="CJ55" s="75">
        <f>'QTR Raw'!BD35</f>
        <v>50.75</v>
      </c>
      <c r="CK55" s="75">
        <f>'QTR Raw'!BE35</f>
        <v>103.96</v>
      </c>
      <c r="CL55" s="75">
        <f>'QTR Raw'!BF35</f>
        <v>134.07</v>
      </c>
      <c r="CM55" s="76">
        <f t="shared" si="766"/>
        <v>134.07</v>
      </c>
      <c r="CN55" s="76">
        <f t="shared" si="767"/>
        <v>134.07</v>
      </c>
      <c r="CO55" s="76">
        <f t="shared" si="768"/>
        <v>134.07</v>
      </c>
      <c r="CP55" s="76">
        <f t="shared" si="769"/>
        <v>134.07</v>
      </c>
      <c r="CQ55" s="76">
        <f t="shared" si="770"/>
        <v>134.07</v>
      </c>
      <c r="CR55" s="76">
        <f t="shared" si="771"/>
        <v>134.07</v>
      </c>
      <c r="CS55" s="76">
        <f t="shared" si="772"/>
        <v>134.07</v>
      </c>
      <c r="CT55" s="76">
        <f t="shared" si="773"/>
        <v>134.07</v>
      </c>
      <c r="CU55" s="76">
        <f t="shared" si="774"/>
        <v>134.07</v>
      </c>
      <c r="CV55" s="76">
        <f t="shared" si="775"/>
        <v>134.07</v>
      </c>
      <c r="CW55" s="76">
        <f t="shared" si="776"/>
        <v>134.07</v>
      </c>
      <c r="CX55" s="76">
        <f t="shared" si="777"/>
        <v>134.07</v>
      </c>
      <c r="CY55" s="76">
        <f t="shared" si="778"/>
        <v>134.07</v>
      </c>
      <c r="CZ55" s="76">
        <f t="shared" si="779"/>
        <v>134.07</v>
      </c>
      <c r="DA55" s="76">
        <f t="shared" si="780"/>
        <v>134.07</v>
      </c>
      <c r="DB55" s="76">
        <f t="shared" si="781"/>
        <v>134.07</v>
      </c>
      <c r="DE55" s="131"/>
      <c r="DF55" s="75">
        <v>103.96</v>
      </c>
    </row>
    <row r="56" spans="1:110" s="23" customFormat="1" x14ac:dyDescent="0.2">
      <c r="A56" s="23" t="s">
        <v>19</v>
      </c>
      <c r="B56" s="75">
        <f>'Annual Raw'!C29+'Annual Raw'!C31+'Annual Raw'!C34+'Annual Raw'!C36</f>
        <v>-285.83999999999997</v>
      </c>
      <c r="C56" s="75">
        <f>'Annual Raw'!D29+'Annual Raw'!D31+'Annual Raw'!D34+'Annual Raw'!D36</f>
        <v>-216.57</v>
      </c>
      <c r="D56" s="75">
        <f>'Annual Raw'!E29+'Annual Raw'!E31+'Annual Raw'!E34+'Annual Raw'!E36</f>
        <v>-233.55</v>
      </c>
      <c r="E56" s="75">
        <f>'Annual Raw'!F29+'Annual Raw'!F31+'Annual Raw'!F34+'Annual Raw'!F36</f>
        <v>-210.41</v>
      </c>
      <c r="F56" s="75">
        <f>'Annual Raw'!G29+'Annual Raw'!G31+'Annual Raw'!G34+'Annual Raw'!G36</f>
        <v>-97.68</v>
      </c>
      <c r="G56" s="75">
        <f>'Annual Raw'!H29+'Annual Raw'!H31+'Annual Raw'!H34+'Annual Raw'!H36</f>
        <v>-54.2</v>
      </c>
      <c r="H56" s="75">
        <f>'Annual Raw'!I29+'Annual Raw'!I31+'Annual Raw'!I34+'Annual Raw'!I36</f>
        <v>-153.03</v>
      </c>
      <c r="I56" s="75">
        <f>'Annual Raw'!J29+'Annual Raw'!J31+'Annual Raw'!J34+'Annual Raw'!J36</f>
        <v>6335.13</v>
      </c>
      <c r="J56" s="75">
        <f>'Annual Raw'!K29+'Annual Raw'!K31+'Annual Raw'!K34+'Annual Raw'!K36</f>
        <v>-4094.53</v>
      </c>
      <c r="K56" s="75">
        <f>'Annual Raw'!L29+'Annual Raw'!L31+'Annual Raw'!L34+'Annual Raw'!L36</f>
        <v>-1683.72</v>
      </c>
      <c r="L56" s="75">
        <f>'Annual Raw'!M29+'Annual Raw'!M31+'Annual Raw'!M34+'Annual Raw'!M36</f>
        <v>3045.9</v>
      </c>
      <c r="M56" s="75">
        <f>'Annual Raw'!N29+'Annual Raw'!N31+'Annual Raw'!N34+'Annual Raw'!N36</f>
        <v>3361.92</v>
      </c>
      <c r="N56" s="75">
        <f>'Annual Raw'!O29+'Annual Raw'!O31+'Annual Raw'!O34+'Annual Raw'!O36</f>
        <v>-7389.88</v>
      </c>
      <c r="O56" s="75">
        <f>'Annual Raw'!P29+'Annual Raw'!P31+'Annual Raw'!P34+'Annual Raw'!P36</f>
        <v>-27.64</v>
      </c>
      <c r="P56" s="75">
        <f>'Annual Raw'!Q29+'Annual Raw'!Q31+'Annual Raw'!Q34+'Annual Raw'!Q36</f>
        <v>-3928.67</v>
      </c>
      <c r="Q56" s="75">
        <f>'Annual Raw'!R29+'Annual Raw'!R31+'Annual Raw'!R34+'Annual Raw'!R36</f>
        <v>1450.5</v>
      </c>
      <c r="R56" s="75">
        <f>'Annual Raw'!S29+'Annual Raw'!S31+'Annual Raw'!S34+'Annual Raw'!S36</f>
        <v>-8188.42</v>
      </c>
      <c r="S56" s="75">
        <f>'Annual Raw'!T29+'Annual Raw'!T31+'Annual Raw'!T34+'Annual Raw'!T36</f>
        <v>9798.17</v>
      </c>
      <c r="T56" s="75">
        <f>'Annual Raw'!U29+'Annual Raw'!U31+'Annual Raw'!U34+'Annual Raw'!U36</f>
        <v>-209.93</v>
      </c>
      <c r="U56" s="75">
        <f>'Annual Raw'!V29+'Annual Raw'!V31+'Annual Raw'!V34+'Annual Raw'!V36</f>
        <v>-4929.58</v>
      </c>
      <c r="V56" s="75">
        <f>'Annual Raw'!W29+'Annual Raw'!W31+'Annual Raw'!W34+'Annual Raw'!W36</f>
        <v>-1043.1600000000001</v>
      </c>
      <c r="W56" s="75">
        <f>'Annual Raw'!X29+'Annual Raw'!X31+'Annual Raw'!X34+'Annual Raw'!X36</f>
        <v>-134.06</v>
      </c>
      <c r="X56" s="75">
        <f>'Annual Raw'!Y29+'Annual Raw'!Y31+'Annual Raw'!Y34+'Annual Raw'!Y36</f>
        <v>113.26</v>
      </c>
      <c r="Y56" s="75">
        <f>'Annual Raw'!Z29+'Annual Raw'!Z31+'Annual Raw'!Z34+'Annual Raw'!Z36</f>
        <v>-7814.08</v>
      </c>
      <c r="Z56" s="75">
        <f>'Annual Raw'!AA29+'Annual Raw'!AA31+'Annual Raw'!AA34+'Annual Raw'!AA36</f>
        <v>-854.64</v>
      </c>
      <c r="AA56" s="75">
        <f>'Annual Raw'!AB29+'Annual Raw'!AB31+'Annual Raw'!AB34+'Annual Raw'!AB36</f>
        <v>-1032.46</v>
      </c>
      <c r="AB56" s="76">
        <f>+SUM(CM56:CP56)</f>
        <v>0</v>
      </c>
      <c r="AC56" s="76">
        <f>+SUM(CQ56:CT56)</f>
        <v>0</v>
      </c>
      <c r="AD56" s="76">
        <f>+SUM(CU56:CX56)</f>
        <v>0</v>
      </c>
      <c r="AE56" s="76">
        <f>+SUM(CY56:DB56)</f>
        <v>0</v>
      </c>
      <c r="AI56" s="75">
        <f>'QTR Raw'!C26+'QTR Raw'!C31+'QTR Raw'!C32+'QTR Raw'!C33+'QTR Raw'!C36+'QTR Raw'!C37+'QTR Raw'!C39</f>
        <v>0</v>
      </c>
      <c r="AJ56" s="75">
        <f>'QTR Raw'!D26+'QTR Raw'!D31+'QTR Raw'!D32+'QTR Raw'!D33+'QTR Raw'!D36+'QTR Raw'!D37+'QTR Raw'!D39</f>
        <v>42.68</v>
      </c>
      <c r="AK56" s="75">
        <f>'QTR Raw'!E26+'QTR Raw'!E31+'QTR Raw'!E32+'QTR Raw'!E33+'QTR Raw'!E36+'QTR Raw'!E37+'QTR Raw'!E39</f>
        <v>-19.78</v>
      </c>
      <c r="AL56" s="75">
        <f>'QTR Raw'!F26+'QTR Raw'!F31+'QTR Raw'!F32+'QTR Raw'!F33+'QTR Raw'!F36+'QTR Raw'!F37+'QTR Raw'!F39</f>
        <v>-7412.78</v>
      </c>
      <c r="AM56" s="75">
        <f>'QTR Raw'!G26+'QTR Raw'!G31+'QTR Raw'!G32+'QTR Raw'!G33+'QTR Raw'!G36+'QTR Raw'!G37+'QTR Raw'!G39</f>
        <v>17.760000000000002</v>
      </c>
      <c r="AN56" s="75">
        <f>'QTR Raw'!H26+'QTR Raw'!H31+'QTR Raw'!H32+'QTR Raw'!H33+'QTR Raw'!H36+'QTR Raw'!H37+'QTR Raw'!H39</f>
        <v>0</v>
      </c>
      <c r="AO56" s="75">
        <f>'QTR Raw'!I26+'QTR Raw'!I31+'QTR Raw'!I32+'QTR Raw'!I33+'QTR Raw'!I36+'QTR Raw'!I37+'QTR Raw'!I39</f>
        <v>0.44</v>
      </c>
      <c r="AP56" s="75">
        <f>'QTR Raw'!J26+'QTR Raw'!J31+'QTR Raw'!J32+'QTR Raw'!J33+'QTR Raw'!J36+'QTR Raw'!J37+'QTR Raw'!J39</f>
        <v>-45.84</v>
      </c>
      <c r="AQ56" s="75">
        <f>'QTR Raw'!K26+'QTR Raw'!K31+'QTR Raw'!K32+'QTR Raw'!K33+'QTR Raw'!K36+'QTR Raw'!K37+'QTR Raw'!K39</f>
        <v>-262.48</v>
      </c>
      <c r="AR56" s="75">
        <f>'QTR Raw'!L26+'QTR Raw'!L31+'QTR Raw'!L32+'QTR Raw'!L33+'QTR Raw'!L36+'QTR Raw'!L37+'QTR Raw'!L39</f>
        <v>1145.01</v>
      </c>
      <c r="AS56" s="75">
        <f>'QTR Raw'!M26+'QTR Raw'!M31+'QTR Raw'!M32+'QTR Raw'!M33+'QTR Raw'!M36+'QTR Raw'!M37+'QTR Raw'!M39</f>
        <v>0</v>
      </c>
      <c r="AT56" s="75">
        <f>'QTR Raw'!N26+'QTR Raw'!N31+'QTR Raw'!N32+'QTR Raw'!N33+'QTR Raw'!N36+'QTR Raw'!N37+'QTR Raw'!N39</f>
        <v>-4811.2</v>
      </c>
      <c r="AU56" s="75">
        <f>'QTR Raw'!O26+'QTR Raw'!O31+'QTR Raw'!O32+'QTR Raw'!O33+'QTR Raw'!O36+'QTR Raw'!O37+'QTR Raw'!O39</f>
        <v>-483.20000000000005</v>
      </c>
      <c r="AV56" s="75">
        <f>'QTR Raw'!P26+'QTR Raw'!P31+'QTR Raw'!P32+'QTR Raw'!P33+'QTR Raw'!P36+'QTR Raw'!P37+'QTR Raw'!P39</f>
        <v>6009.87</v>
      </c>
      <c r="AW56" s="75">
        <f>'QTR Raw'!Q26+'QTR Raw'!Q31+'QTR Raw'!Q32+'QTR Raw'!Q33+'QTR Raw'!Q36+'QTR Raw'!Q37+'QTR Raw'!Q39</f>
        <v>-1067.28</v>
      </c>
      <c r="AX56" s="75">
        <f>'QTR Raw'!R26+'QTR Raw'!R31+'QTR Raw'!R32+'QTR Raw'!R33+'QTR Raw'!R36+'QTR Raw'!R37+'QTR Raw'!R39</f>
        <v>-2588.5699999999997</v>
      </c>
      <c r="AY56" s="75">
        <f>'QTR Raw'!S26+'QTR Raw'!S31+'QTR Raw'!S32+'QTR Raw'!S33+'QTR Raw'!S36+'QTR Raw'!S37+'QTR Raw'!S39</f>
        <v>-3560.3</v>
      </c>
      <c r="AZ56" s="75">
        <f>'QTR Raw'!T26+'QTR Raw'!T31+'QTR Raw'!T32+'QTR Raw'!T33+'QTR Raw'!T36+'QTR Raw'!T37+'QTR Raw'!T39</f>
        <v>-38.96</v>
      </c>
      <c r="BA56" s="75">
        <f>'QTR Raw'!U26+'QTR Raw'!U31+'QTR Raw'!U32+'QTR Raw'!U33+'QTR Raw'!U36+'QTR Raw'!U37+'QTR Raw'!U39</f>
        <v>-69.3</v>
      </c>
      <c r="BB56" s="75">
        <f>'QTR Raw'!V26+'QTR Raw'!V31+'QTR Raw'!V32+'QTR Raw'!V33+'QTR Raw'!V36+'QTR Raw'!V37+'QTR Raw'!V39</f>
        <v>-4519.8600000000006</v>
      </c>
      <c r="BC56" s="75">
        <f>'QTR Raw'!W26+'QTR Raw'!W31+'QTR Raw'!W32+'QTR Raw'!W33+'QTR Raw'!W36+'QTR Raw'!W37+'QTR Raw'!W39</f>
        <v>-628.91999999999996</v>
      </c>
      <c r="BD56" s="75">
        <f>'QTR Raw'!X26+'QTR Raw'!X31+'QTR Raw'!X32+'QTR Raw'!X33+'QTR Raw'!X36+'QTR Raw'!X37+'QTR Raw'!X39</f>
        <v>-14.719999999999999</v>
      </c>
      <c r="BE56" s="75">
        <f>'QTR Raw'!Y26+'QTR Raw'!Y31+'QTR Raw'!Y32+'QTR Raw'!Y33+'QTR Raw'!Y36+'QTR Raw'!Y37+'QTR Raw'!Y39</f>
        <v>-1123.54</v>
      </c>
      <c r="BF56" s="75">
        <f>'QTR Raw'!Z26+'QTR Raw'!Z31+'QTR Raw'!Z32+'QTR Raw'!Z33+'QTR Raw'!Z36+'QTR Raw'!Z37+'QTR Raw'!Z39</f>
        <v>11461.619999999999</v>
      </c>
      <c r="BG56" s="75">
        <f>'QTR Raw'!AA26+'QTR Raw'!AA31+'QTR Raw'!AA32+'QTR Raw'!AA33+'QTR Raw'!AA36+'QTR Raw'!AA37+'QTR Raw'!AA39</f>
        <v>-317.69</v>
      </c>
      <c r="BH56" s="75">
        <f>'QTR Raw'!AB26+'QTR Raw'!AB31+'QTR Raw'!AB32+'QTR Raw'!AB33+'QTR Raw'!AB36+'QTR Raw'!AB37+'QTR Raw'!AB39</f>
        <v>185.65</v>
      </c>
      <c r="BI56" s="75">
        <f>'QTR Raw'!AC26+'QTR Raw'!AC31+'QTR Raw'!AC32+'QTR Raw'!AC33+'QTR Raw'!AC36+'QTR Raw'!AC37+'QTR Raw'!AC39</f>
        <v>-31.200000000000003</v>
      </c>
      <c r="BJ56" s="75">
        <f>'QTR Raw'!AD26+'QTR Raw'!AD31+'QTR Raw'!AD32+'QTR Raw'!AD33+'QTR Raw'!AD36+'QTR Raw'!AD37+'QTR Raw'!AD39</f>
        <v>-46.699999999999996</v>
      </c>
      <c r="BK56" s="75">
        <f>'QTR Raw'!AE26+'QTR Raw'!AE31+'QTR Raw'!AE32+'QTR Raw'!AE33+'QTR Raw'!AE36+'QTR Raw'!AE37+'QTR Raw'!AE39</f>
        <v>34.840000000000003</v>
      </c>
      <c r="BL56" s="75">
        <f>'QTR Raw'!AF26+'QTR Raw'!AF31+'QTR Raw'!AF32+'QTR Raw'!AF33+'QTR Raw'!AF36+'QTR Raw'!AF37+'QTR Raw'!AF39</f>
        <v>-774.7</v>
      </c>
      <c r="BM56" s="75">
        <f>'QTR Raw'!AG26+'QTR Raw'!AG31+'QTR Raw'!AG32+'QTR Raw'!AG33+'QTR Raw'!AG36+'QTR Raw'!AG37+'QTR Raw'!AG39</f>
        <v>-391.39</v>
      </c>
      <c r="BN56" s="75">
        <f>'QTR Raw'!AH26+'QTR Raw'!AH31+'QTR Raw'!AH32+'QTR Raw'!AH33+'QTR Raw'!AH36+'QTR Raw'!AH37+'QTR Raw'!AH39</f>
        <v>-3853.64</v>
      </c>
      <c r="BO56" s="75">
        <f>'QTR Raw'!AI26+'QTR Raw'!AI31+'QTR Raw'!AI32+'QTR Raw'!AI33+'QTR Raw'!AI36+'QTR Raw'!AI37+'QTR Raw'!AI39</f>
        <v>58.36</v>
      </c>
      <c r="BP56" s="75">
        <f>'QTR Raw'!AJ26+'QTR Raw'!AJ31+'QTR Raw'!AJ32+'QTR Raw'!AJ33+'QTR Raw'!AJ36+'QTR Raw'!AJ37+'QTR Raw'!AJ39</f>
        <v>43.16</v>
      </c>
      <c r="BQ56" s="75">
        <f>'QTR Raw'!AK26+'QTR Raw'!AK31+'QTR Raw'!AK32+'QTR Raw'!AK33+'QTR Raw'!AK36+'QTR Raw'!AK37+'QTR Raw'!AK39</f>
        <v>-153.55000000000001</v>
      </c>
      <c r="BR56" s="75">
        <f>'QTR Raw'!AL26+'QTR Raw'!AL31+'QTR Raw'!AL32+'QTR Raw'!AL33+'QTR Raw'!AL36+'QTR Raw'!AL37+'QTR Raw'!AL39</f>
        <v>-991.13</v>
      </c>
      <c r="BS56" s="75">
        <f>'QTR Raw'!AM26+'QTR Raw'!AM31+'QTR Raw'!AM32+'QTR Raw'!AM33+'QTR Raw'!AM36+'QTR Raw'!AM37+'QTR Raw'!AM39</f>
        <v>-182.33</v>
      </c>
      <c r="BT56" s="75">
        <f>'QTR Raw'!AN26+'QTR Raw'!AN31+'QTR Raw'!AN32+'QTR Raw'!AN33+'QTR Raw'!AN36+'QTR Raw'!AN37+'QTR Raw'!AN39</f>
        <v>515.96</v>
      </c>
      <c r="BU56" s="75">
        <f>'QTR Raw'!AO26+'QTR Raw'!AO31+'QTR Raw'!AO32+'QTR Raw'!AO33+'QTR Raw'!AO36+'QTR Raw'!AO37+'QTR Raw'!AO39</f>
        <v>-193.4</v>
      </c>
      <c r="BV56" s="75">
        <f>'QTR Raw'!AP26+'QTR Raw'!AP31+'QTR Raw'!AP32+'QTR Raw'!AP33+'QTR Raw'!AP36+'QTR Raw'!AP37+'QTR Raw'!AP39</f>
        <v>-274.29000000000002</v>
      </c>
      <c r="BW56" s="75">
        <f>'QTR Raw'!AQ26+'QTR Raw'!AQ31+'QTR Raw'!AQ32+'QTR Raw'!AQ33+'QTR Raw'!AQ36+'QTR Raw'!AQ37+'QTR Raw'!AQ39</f>
        <v>-39.24</v>
      </c>
      <c r="BX56" s="75">
        <f>'QTR Raw'!AR26+'QTR Raw'!AR31+'QTR Raw'!AR32+'QTR Raw'!AR33+'QTR Raw'!AR36+'QTR Raw'!AR37+'QTR Raw'!AR39</f>
        <v>-19.43</v>
      </c>
      <c r="BY56" s="75">
        <f>'QTR Raw'!AS26+'QTR Raw'!AS31+'QTR Raw'!AS32+'QTR Raw'!AS33+'QTR Raw'!AS36+'QTR Raw'!AS37+'QTR Raw'!AS39</f>
        <v>160.34</v>
      </c>
      <c r="BZ56" s="75">
        <f>'QTR Raw'!AT26+'QTR Raw'!AT31+'QTR Raw'!AT32+'QTR Raw'!AT33+'QTR Raw'!AT36+'QTR Raw'!AT37+'QTR Raw'!AT39</f>
        <v>11.59</v>
      </c>
      <c r="CA56" s="75">
        <f>'QTR Raw'!AU26+'QTR Raw'!AU31+'QTR Raw'!AU32+'QTR Raw'!AU33+'QTR Raw'!AU36+'QTR Raw'!AU37+'QTR Raw'!AU39</f>
        <v>13.42</v>
      </c>
      <c r="CB56" s="75">
        <f>'QTR Raw'!AV26+'QTR Raw'!AV31+'QTR Raw'!AV32+'QTR Raw'!AV33+'QTR Raw'!AV36+'QTR Raw'!AV37+'QTR Raw'!AV39</f>
        <v>-6898.9</v>
      </c>
      <c r="CC56" s="75">
        <f>'QTR Raw'!AW26+'QTR Raw'!AW31+'QTR Raw'!AW32+'QTR Raw'!AW33+'QTR Raw'!AW36+'QTR Raw'!AW37+'QTR Raw'!AW39</f>
        <v>-334.13</v>
      </c>
      <c r="CD56" s="75">
        <f>'QTR Raw'!AX26+'QTR Raw'!AX31+'QTR Raw'!AX32+'QTR Raw'!AX33+'QTR Raw'!AX36+'QTR Raw'!AX37+'QTR Raw'!AX39</f>
        <v>-594.47</v>
      </c>
      <c r="CE56" s="75">
        <f>'QTR Raw'!AY26+'QTR Raw'!AY31+'QTR Raw'!AY32+'QTR Raw'!AY33+'QTR Raw'!AY36+'QTR Raw'!AY37+'QTR Raw'!AY39</f>
        <v>-357.93</v>
      </c>
      <c r="CF56" s="75">
        <f>'QTR Raw'!AZ26+'QTR Raw'!AZ31+'QTR Raw'!AZ32+'QTR Raw'!AZ33+'QTR Raw'!AZ36+'QTR Raw'!AZ37+'QTR Raw'!AZ39</f>
        <v>18.09</v>
      </c>
      <c r="CG56" s="75">
        <f>'QTR Raw'!BA26+'QTR Raw'!BA31+'QTR Raw'!BA32+'QTR Raw'!BA33+'QTR Raw'!BA36+'QTR Raw'!BA37+'QTR Raw'!BA39</f>
        <v>-126.19</v>
      </c>
      <c r="CH56" s="75">
        <f>'QTR Raw'!BB26+'QTR Raw'!BB31+'QTR Raw'!BB32+'QTR Raw'!BB33+'QTR Raw'!BB36+'QTR Raw'!BB37+'QTR Raw'!BB39</f>
        <v>-388.61</v>
      </c>
      <c r="CI56" s="75">
        <f>'QTR Raw'!BC26+'QTR Raw'!BC31+'QTR Raw'!BC32+'QTR Raw'!BC33+'QTR Raw'!BC36+'QTR Raw'!BC37+'QTR Raw'!BC39</f>
        <v>-132.12</v>
      </c>
      <c r="CJ56" s="75">
        <f>'QTR Raw'!BD26+'QTR Raw'!BD31+'QTR Raw'!BD32+'QTR Raw'!BD33+'QTR Raw'!BD36+'QTR Raw'!BD37+'QTR Raw'!BD39</f>
        <v>-420.41</v>
      </c>
      <c r="CK56" s="75">
        <f>'QTR Raw'!BE26+'QTR Raw'!BE31+'QTR Raw'!BE32+'QTR Raw'!BE33+'QTR Raw'!BE36+'QTR Raw'!BE37+'QTR Raw'!BE39</f>
        <v>-139.88</v>
      </c>
      <c r="CL56" s="75">
        <f>'QTR Raw'!BF26+'QTR Raw'!BF31+'QTR Raw'!BF32+'QTR Raw'!BF33+'QTR Raw'!BF36+'QTR Raw'!BF37+'QTR Raw'!BF39</f>
        <v>-340.05</v>
      </c>
      <c r="CM56" s="24"/>
      <c r="CN56" s="24"/>
      <c r="CO56" s="24"/>
      <c r="CP56" s="24"/>
      <c r="CQ56" s="24"/>
      <c r="CR56" s="24"/>
      <c r="CS56" s="24"/>
      <c r="CT56" s="24"/>
      <c r="CU56" s="24"/>
      <c r="CV56" s="24"/>
      <c r="CW56" s="24"/>
      <c r="CX56" s="24"/>
      <c r="CY56" s="24"/>
      <c r="CZ56" s="24"/>
      <c r="DA56" s="24"/>
      <c r="DB56" s="24"/>
      <c r="DE56" s="123"/>
      <c r="DF56" s="23">
        <v>-1032.46</v>
      </c>
    </row>
    <row r="57" spans="1:110" s="26" customFormat="1" x14ac:dyDescent="0.2">
      <c r="A57" s="35" t="s">
        <v>25</v>
      </c>
      <c r="B57" s="26">
        <f>B50+B54+B55+B56</f>
        <v>553.44000000000005</v>
      </c>
      <c r="C57" s="26">
        <f>C50+C54+C55+C56</f>
        <v>192.42000000000053</v>
      </c>
      <c r="D57" s="26">
        <f>D50+D54+D55+D56</f>
        <v>1042.0799999999992</v>
      </c>
      <c r="E57" s="26">
        <f t="shared" ref="E57:U57" si="782">E50+E54+E55+E56</f>
        <v>1788.7800000000007</v>
      </c>
      <c r="F57" s="26">
        <f t="shared" si="782"/>
        <v>3603.2599999999993</v>
      </c>
      <c r="G57" s="26">
        <f t="shared" si="782"/>
        <v>3734.62</v>
      </c>
      <c r="H57" s="26">
        <f t="shared" si="782"/>
        <v>4177.2700000000013</v>
      </c>
      <c r="I57" s="26">
        <f t="shared" si="782"/>
        <v>12349.979999999949</v>
      </c>
      <c r="J57" s="26">
        <f t="shared" si="782"/>
        <v>4950.9000000000251</v>
      </c>
      <c r="K57" s="26">
        <f t="shared" si="782"/>
        <v>-2009.2200000000016</v>
      </c>
      <c r="L57" s="26">
        <f t="shared" si="782"/>
        <v>8982.6899999999823</v>
      </c>
      <c r="M57" s="26">
        <f t="shared" si="782"/>
        <v>5389.7700000000223</v>
      </c>
      <c r="N57" s="26">
        <f t="shared" si="782"/>
        <v>-7057.6199999999772</v>
      </c>
      <c r="O57" s="26">
        <f t="shared" si="782"/>
        <v>3594.8900000000281</v>
      </c>
      <c r="P57" s="26">
        <f t="shared" si="782"/>
        <v>-3925.5200000000145</v>
      </c>
      <c r="Q57" s="26">
        <f t="shared" si="782"/>
        <v>-382.78000000000338</v>
      </c>
      <c r="R57" s="26">
        <f t="shared" si="782"/>
        <v>-4240.7999999999911</v>
      </c>
      <c r="S57" s="26">
        <f t="shared" si="782"/>
        <v>13434.330000000005</v>
      </c>
      <c r="T57" s="26">
        <f t="shared" si="782"/>
        <v>10218.329999999982</v>
      </c>
      <c r="U57" s="26">
        <f t="shared" si="782"/>
        <v>1556.5399999999836</v>
      </c>
      <c r="V57" s="26">
        <f>V50+V54+V55+V56</f>
        <v>7490.2200000000103</v>
      </c>
      <c r="W57" s="26">
        <f>W50+W54+W55+W56</f>
        <v>40153.930000000022</v>
      </c>
      <c r="X57" s="26">
        <f>X50+X54+X55+X56</f>
        <v>8760.4000000000233</v>
      </c>
      <c r="Y57" s="26">
        <f>Y50+Y54+Y55+Y56</f>
        <v>-4437.440000000016</v>
      </c>
      <c r="Z57" s="26">
        <f>Z50+Z54+Z55+Z56</f>
        <v>3420.509999999997</v>
      </c>
      <c r="AA57" s="26">
        <f>AA50+AA54+AA55+AA56</f>
        <v>10793.870000000014</v>
      </c>
      <c r="AB57" s="27">
        <f t="shared" ref="AA57:AD57" si="783">AB50+AB54+AB55+AB56</f>
        <v>17412.764858288763</v>
      </c>
      <c r="AC57" s="27">
        <f t="shared" si="783"/>
        <v>20535.818334535412</v>
      </c>
      <c r="AD57" s="27">
        <f t="shared" si="783"/>
        <v>24703.942836475228</v>
      </c>
      <c r="AE57" s="27">
        <f t="shared" ref="AE57" si="784">AE50+AE54+AE55+AE56</f>
        <v>30242.612494041394</v>
      </c>
      <c r="AI57" s="26">
        <f t="shared" ref="AI57" si="785">AI50+AI54+AI55+AI56</f>
        <v>597.88000000000807</v>
      </c>
      <c r="AJ57" s="26">
        <f t="shared" ref="AJ57" si="786">AJ50+AJ54+AJ55+AJ56</f>
        <v>-363.92999999999836</v>
      </c>
      <c r="AK57" s="26">
        <f t="shared" ref="AK57:AM57" si="787">AK50+AK54+AK55+AK56</f>
        <v>-763.05999999999813</v>
      </c>
      <c r="AL57" s="26">
        <f t="shared" si="787"/>
        <v>-6528.5100000000011</v>
      </c>
      <c r="AM57" s="26">
        <f t="shared" si="787"/>
        <v>1139.0099999999975</v>
      </c>
      <c r="AN57" s="26">
        <f t="shared" ref="AN57:AO57" si="788">AN50+AN54+AN55+AN56</f>
        <v>916.76999999999532</v>
      </c>
      <c r="AO57" s="26">
        <f t="shared" si="788"/>
        <v>503.24000000000416</v>
      </c>
      <c r="AP57" s="26">
        <f t="shared" ref="AP57:CD57" si="789">AP50+AP54+AP55+AP56</f>
        <v>1035.8699999999947</v>
      </c>
      <c r="AQ57" s="26">
        <f t="shared" si="789"/>
        <v>337.32999999999618</v>
      </c>
      <c r="AR57" s="26">
        <f t="shared" si="789"/>
        <v>1254.3299999999995</v>
      </c>
      <c r="AS57" s="26">
        <f t="shared" si="789"/>
        <v>157.11000000000294</v>
      </c>
      <c r="AT57" s="26">
        <f t="shared" si="789"/>
        <v>-5674.2900000000027</v>
      </c>
      <c r="AU57" s="26">
        <f t="shared" si="789"/>
        <v>-319.11999999999978</v>
      </c>
      <c r="AV57" s="26">
        <f t="shared" si="789"/>
        <v>5628.7099999999955</v>
      </c>
      <c r="AW57" s="26">
        <f t="shared" si="789"/>
        <v>-2793.7799999999997</v>
      </c>
      <c r="AX57" s="26">
        <f t="shared" si="789"/>
        <v>-2991.0800000000036</v>
      </c>
      <c r="AY57" s="26">
        <f t="shared" si="789"/>
        <v>-3206.6799999999994</v>
      </c>
      <c r="AZ57" s="26">
        <f t="shared" si="789"/>
        <v>-59.610000000001833</v>
      </c>
      <c r="BA57" s="26">
        <f t="shared" si="789"/>
        <v>201.90000000000128</v>
      </c>
      <c r="BB57" s="26">
        <f t="shared" si="789"/>
        <v>-1176.4099999999939</v>
      </c>
      <c r="BC57" s="26">
        <f t="shared" si="789"/>
        <v>906.26999999999828</v>
      </c>
      <c r="BD57" s="26">
        <f t="shared" si="789"/>
        <v>1005.7999999999998</v>
      </c>
      <c r="BE57" s="26">
        <f t="shared" si="789"/>
        <v>1286.4200000000005</v>
      </c>
      <c r="BF57" s="26">
        <f t="shared" si="789"/>
        <v>10235.839999999995</v>
      </c>
      <c r="BG57" s="26">
        <f t="shared" si="789"/>
        <v>1951.0599999999981</v>
      </c>
      <c r="BH57" s="26">
        <f t="shared" si="789"/>
        <v>3598.7299999999937</v>
      </c>
      <c r="BI57" s="26">
        <f t="shared" si="789"/>
        <v>2285.9799999999991</v>
      </c>
      <c r="BJ57" s="26">
        <f t="shared" si="789"/>
        <v>2382.5500000000029</v>
      </c>
      <c r="BK57" s="26">
        <f t="shared" si="789"/>
        <v>717.07000000000119</v>
      </c>
      <c r="BL57" s="26">
        <f t="shared" si="789"/>
        <v>3405.4300000000012</v>
      </c>
      <c r="BM57" s="26">
        <f t="shared" si="789"/>
        <v>-1084.6199999999928</v>
      </c>
      <c r="BN57" s="26">
        <f t="shared" si="789"/>
        <v>-1481.3400000000051</v>
      </c>
      <c r="BO57" s="26">
        <f t="shared" si="789"/>
        <v>-4416.5600000000031</v>
      </c>
      <c r="BP57" s="26">
        <f t="shared" si="789"/>
        <v>1565.4099999999992</v>
      </c>
      <c r="BQ57" s="26">
        <f t="shared" si="789"/>
        <v>3697.2200000000039</v>
      </c>
      <c r="BR57" s="26">
        <f t="shared" si="789"/>
        <v>6644.1500000000015</v>
      </c>
      <c r="BS57" s="26">
        <f t="shared" si="789"/>
        <v>8906.9499999999989</v>
      </c>
      <c r="BT57" s="26">
        <f t="shared" si="789"/>
        <v>11918.110000000004</v>
      </c>
      <c r="BU57" s="26">
        <f t="shared" si="789"/>
        <v>9572.67</v>
      </c>
      <c r="BV57" s="26">
        <f t="shared" si="789"/>
        <v>9756.200000000008</v>
      </c>
      <c r="BW57" s="26">
        <f t="shared" si="789"/>
        <v>7764.9599999999946</v>
      </c>
      <c r="BX57" s="26">
        <f t="shared" si="789"/>
        <v>1514.4200000000069</v>
      </c>
      <c r="BY57" s="26">
        <f t="shared" si="789"/>
        <v>-2223.84</v>
      </c>
      <c r="BZ57" s="26">
        <f t="shared" si="789"/>
        <v>1704.8600000000008</v>
      </c>
      <c r="CA57" s="26">
        <f t="shared" si="789"/>
        <v>633.95000000000459</v>
      </c>
      <c r="CB57" s="26">
        <f t="shared" si="789"/>
        <v>-6196.24</v>
      </c>
      <c r="CC57" s="26">
        <f t="shared" si="789"/>
        <v>513.37000000001035</v>
      </c>
      <c r="CD57" s="26">
        <f t="shared" si="789"/>
        <v>611.47999999999388</v>
      </c>
      <c r="CE57" s="26">
        <f t="shared" ref="CE57:CF57" si="790">CE50+CE54+CE55+CE56</f>
        <v>959.61000000000058</v>
      </c>
      <c r="CF57" s="26">
        <f t="shared" si="790"/>
        <v>833.450000000008</v>
      </c>
      <c r="CG57" s="26">
        <f t="shared" ref="CG57:CH57" si="791">CG50+CG54+CG55+CG56</f>
        <v>326.63999999999822</v>
      </c>
      <c r="CH57" s="26">
        <f t="shared" si="791"/>
        <v>1300.810000000009</v>
      </c>
      <c r="CI57" s="26">
        <f t="shared" ref="CI57:CJ57" si="792">CI50+CI54+CI55+CI56</f>
        <v>2077.6800000000003</v>
      </c>
      <c r="CJ57" s="26">
        <f t="shared" si="792"/>
        <v>3101.7500000000009</v>
      </c>
      <c r="CK57" s="26">
        <f t="shared" ref="CK57:CL57" si="793">CK50+CK54+CK55+CK56</f>
        <v>2688.7000000000012</v>
      </c>
      <c r="CL57" s="26">
        <f t="shared" si="793"/>
        <v>2925.7399999999966</v>
      </c>
      <c r="CM57" s="27">
        <f t="shared" ref="CM57:DB57" si="794">CM50+CM54+CM55+CM56</f>
        <v>3214.9984052471395</v>
      </c>
      <c r="CN57" s="27">
        <f t="shared" si="794"/>
        <v>4002.0383334082458</v>
      </c>
      <c r="CO57" s="27">
        <f t="shared" si="794"/>
        <v>4621.8869138821992</v>
      </c>
      <c r="CP57" s="27">
        <f t="shared" si="794"/>
        <v>5573.8412057511587</v>
      </c>
      <c r="CQ57" s="27">
        <f t="shared" si="794"/>
        <v>4035.2347688499844</v>
      </c>
      <c r="CR57" s="27">
        <f t="shared" si="794"/>
        <v>4695.6643869199197</v>
      </c>
      <c r="CS57" s="27">
        <f t="shared" si="794"/>
        <v>5555.0926116335713</v>
      </c>
      <c r="CT57" s="27">
        <f t="shared" si="794"/>
        <v>6249.8265671319659</v>
      </c>
      <c r="CU57" s="27">
        <f t="shared" si="794"/>
        <v>4917.9787209143997</v>
      </c>
      <c r="CV57" s="27">
        <f t="shared" si="794"/>
        <v>5680.310969121263</v>
      </c>
      <c r="CW57" s="27">
        <f t="shared" si="794"/>
        <v>6669.7241716881854</v>
      </c>
      <c r="CX57" s="27">
        <f t="shared" si="794"/>
        <v>7435.9289747513831</v>
      </c>
      <c r="CY57" s="27">
        <f t="shared" si="794"/>
        <v>6244.5252687205402</v>
      </c>
      <c r="CZ57" s="27">
        <f t="shared" si="794"/>
        <v>7032.557690826101</v>
      </c>
      <c r="DA57" s="27">
        <f t="shared" si="794"/>
        <v>8076.0606381447105</v>
      </c>
      <c r="DB57" s="27">
        <f t="shared" si="794"/>
        <v>8889.4688963500521</v>
      </c>
      <c r="DE57" s="121"/>
      <c r="DF57" s="26">
        <v>3399.1096018517555</v>
      </c>
    </row>
    <row r="58" spans="1:110" s="25" customFormat="1" x14ac:dyDescent="0.2">
      <c r="A58" s="151" t="s">
        <v>486</v>
      </c>
      <c r="AB58" s="17"/>
      <c r="AC58" s="17"/>
      <c r="AD58" s="17"/>
      <c r="AE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E58" s="119"/>
    </row>
    <row r="59" spans="1:110" s="1" customFormat="1" x14ac:dyDescent="0.2">
      <c r="AB59" s="20"/>
      <c r="AC59" s="20"/>
      <c r="AD59" s="20"/>
      <c r="AE59" s="20"/>
      <c r="BV59" s="183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E59" s="119"/>
      <c r="DF59" s="183"/>
    </row>
    <row r="60" spans="1:110" s="22" customFormat="1" x14ac:dyDescent="0.2">
      <c r="A60" s="22" t="s">
        <v>434</v>
      </c>
      <c r="B60" s="22">
        <f>'Annual Raw'!C35</f>
        <v>553.44000000000005</v>
      </c>
      <c r="C60" s="22">
        <f>'Annual Raw'!D35</f>
        <v>192.42</v>
      </c>
      <c r="D60" s="22">
        <f>'Annual Raw'!E35</f>
        <v>1042.08</v>
      </c>
      <c r="E60" s="22">
        <f>'Annual Raw'!F35</f>
        <v>1788.78</v>
      </c>
      <c r="F60" s="22">
        <f>'Annual Raw'!G35</f>
        <v>3603.26</v>
      </c>
      <c r="G60" s="22">
        <f>'Annual Raw'!H35</f>
        <v>3734.62</v>
      </c>
      <c r="H60" s="22">
        <f>'Annual Raw'!I35</f>
        <v>4177.2700000000004</v>
      </c>
      <c r="I60" s="22">
        <f>'Annual Raw'!J35</f>
        <v>12349.98</v>
      </c>
      <c r="J60" s="22">
        <f>'Annual Raw'!K35</f>
        <v>4950.8999999999996</v>
      </c>
      <c r="K60" s="22">
        <f>'Annual Raw'!L35</f>
        <v>-2009.22</v>
      </c>
      <c r="L60" s="22">
        <f>'Annual Raw'!M35</f>
        <v>8982.69</v>
      </c>
      <c r="M60" s="22">
        <f>'Annual Raw'!N35</f>
        <v>5389.77</v>
      </c>
      <c r="N60" s="22">
        <f>'Annual Raw'!O35</f>
        <v>-7057.62</v>
      </c>
      <c r="O60" s="22">
        <f>'Annual Raw'!P35</f>
        <v>3594.89</v>
      </c>
      <c r="P60" s="22">
        <f>'Annual Raw'!Q35</f>
        <v>-3925.52</v>
      </c>
      <c r="Q60" s="22">
        <f>'Annual Raw'!R35</f>
        <v>-382.78</v>
      </c>
      <c r="R60" s="22">
        <f>'Annual Raw'!S35</f>
        <v>-4240.8</v>
      </c>
      <c r="S60" s="22">
        <f>'Annual Raw'!T35</f>
        <v>13434.33</v>
      </c>
      <c r="T60" s="22">
        <f>'Annual Raw'!U35</f>
        <v>10218.33</v>
      </c>
      <c r="U60" s="22">
        <f>'Annual Raw'!V35</f>
        <v>1556.54</v>
      </c>
      <c r="V60" s="22">
        <f>'Annual Raw'!W35</f>
        <v>7490.22</v>
      </c>
      <c r="W60" s="22">
        <f>'Annual Raw'!X35</f>
        <v>40153.93</v>
      </c>
      <c r="X60" s="22">
        <f>'Annual Raw'!Y35</f>
        <v>8760.4</v>
      </c>
      <c r="Y60" s="22">
        <f>'Annual Raw'!Z35</f>
        <v>-4437.4399999999996</v>
      </c>
      <c r="Z60" s="22">
        <f>'Annual Raw'!AA35</f>
        <v>3420.51</v>
      </c>
      <c r="AA60" s="22">
        <f>'Annual Raw'!AB35</f>
        <v>10793.87</v>
      </c>
      <c r="AB60" s="21">
        <f t="shared" ref="AA60:AD60" si="795">+AB57</f>
        <v>17412.764858288763</v>
      </c>
      <c r="AC60" s="21">
        <f t="shared" si="795"/>
        <v>20535.818334535412</v>
      </c>
      <c r="AD60" s="21">
        <f t="shared" si="795"/>
        <v>24703.942836475228</v>
      </c>
      <c r="AE60" s="21">
        <f t="shared" ref="AE60" si="796">+AE57</f>
        <v>30242.612494041394</v>
      </c>
      <c r="AI60" s="22">
        <f>'QTR Raw'!C42</f>
        <v>597.88</v>
      </c>
      <c r="AJ60" s="22">
        <f>'QTR Raw'!D42</f>
        <v>-363.93</v>
      </c>
      <c r="AK60" s="22">
        <f>'QTR Raw'!E42</f>
        <v>-763.06</v>
      </c>
      <c r="AL60" s="22">
        <f>'QTR Raw'!F42</f>
        <v>-6528.51</v>
      </c>
      <c r="AM60" s="22">
        <f>'QTR Raw'!G42</f>
        <v>1139.01</v>
      </c>
      <c r="AN60" s="22">
        <f>'QTR Raw'!H42</f>
        <v>916.77</v>
      </c>
      <c r="AO60" s="22">
        <f>'QTR Raw'!I42</f>
        <v>503.24</v>
      </c>
      <c r="AP60" s="22">
        <f>'QTR Raw'!J42</f>
        <v>1035.8699999999999</v>
      </c>
      <c r="AQ60" s="22">
        <f>'QTR Raw'!K42</f>
        <v>337.33</v>
      </c>
      <c r="AR60" s="22">
        <f>'QTR Raw'!L42</f>
        <v>1254.33</v>
      </c>
      <c r="AS60" s="22">
        <f>'QTR Raw'!M42</f>
        <v>157.11000000000001</v>
      </c>
      <c r="AT60" s="22">
        <f>'QTR Raw'!N42</f>
        <v>-5674.29</v>
      </c>
      <c r="AU60" s="22">
        <f>'QTR Raw'!O42</f>
        <v>-319.12</v>
      </c>
      <c r="AV60" s="22">
        <f>'QTR Raw'!P42</f>
        <v>5628.71</v>
      </c>
      <c r="AW60" s="22">
        <f>'QTR Raw'!Q42</f>
        <v>-2793.78</v>
      </c>
      <c r="AX60" s="22">
        <f>'QTR Raw'!R42</f>
        <v>-2991.08</v>
      </c>
      <c r="AY60" s="22">
        <f>'QTR Raw'!S42</f>
        <v>-3206.68</v>
      </c>
      <c r="AZ60" s="22">
        <f>'QTR Raw'!T42</f>
        <v>-59.61</v>
      </c>
      <c r="BA60" s="22">
        <f>'QTR Raw'!U42</f>
        <v>201.9</v>
      </c>
      <c r="BB60" s="22">
        <f>'QTR Raw'!V42</f>
        <v>-1176.4100000000001</v>
      </c>
      <c r="BC60" s="22">
        <f>'QTR Raw'!W42</f>
        <v>906.27</v>
      </c>
      <c r="BD60" s="22">
        <f>'QTR Raw'!X42</f>
        <v>1005.8</v>
      </c>
      <c r="BE60" s="22">
        <f>'QTR Raw'!Y42</f>
        <v>1286.42</v>
      </c>
      <c r="BF60" s="22">
        <f>'QTR Raw'!Z42</f>
        <v>10235.84</v>
      </c>
      <c r="BG60" s="22">
        <f>'QTR Raw'!AA42</f>
        <v>1951.06</v>
      </c>
      <c r="BH60" s="22">
        <f>'QTR Raw'!AB42</f>
        <v>3598.73</v>
      </c>
      <c r="BI60" s="22">
        <f>'QTR Raw'!AC42</f>
        <v>2285.98</v>
      </c>
      <c r="BJ60" s="22">
        <f>'QTR Raw'!AD42</f>
        <v>2382.5500000000002</v>
      </c>
      <c r="BK60" s="22">
        <f>'QTR Raw'!AE42</f>
        <v>717.07</v>
      </c>
      <c r="BL60" s="22">
        <f>'QTR Raw'!AF42</f>
        <v>3405.43</v>
      </c>
      <c r="BM60" s="22">
        <f>'QTR Raw'!AG42</f>
        <v>-1084.6199999999999</v>
      </c>
      <c r="BN60" s="22">
        <f>'QTR Raw'!AH42</f>
        <v>-1481.34</v>
      </c>
      <c r="BO60" s="22">
        <f>'QTR Raw'!AI42</f>
        <v>-4416.5600000000004</v>
      </c>
      <c r="BP60" s="22">
        <f>'QTR Raw'!AJ42</f>
        <v>1565.41</v>
      </c>
      <c r="BQ60" s="22">
        <f>'QTR Raw'!AK42</f>
        <v>3697.22</v>
      </c>
      <c r="BR60" s="22">
        <f>'QTR Raw'!AL42</f>
        <v>6644.15</v>
      </c>
      <c r="BS60" s="22">
        <f>'QTR Raw'!AM42</f>
        <v>8906.9500000000007</v>
      </c>
      <c r="BT60" s="22">
        <f>'QTR Raw'!AN42</f>
        <v>11918.11</v>
      </c>
      <c r="BU60" s="22">
        <f>'QTR Raw'!AO42</f>
        <v>9572.67</v>
      </c>
      <c r="BV60" s="22">
        <f>'QTR Raw'!AP42</f>
        <v>9756.2000000000007</v>
      </c>
      <c r="BW60" s="22">
        <f>'QTR Raw'!AQ42</f>
        <v>7764.96</v>
      </c>
      <c r="BX60" s="22">
        <f>'QTR Raw'!AR42</f>
        <v>1514.42</v>
      </c>
      <c r="BY60" s="22">
        <f>'QTR Raw'!AS42</f>
        <v>-2223.84</v>
      </c>
      <c r="BZ60" s="22">
        <f>'QTR Raw'!AT42</f>
        <v>1704.86</v>
      </c>
      <c r="CA60" s="22">
        <f>'QTR Raw'!AU42</f>
        <v>633.95000000000005</v>
      </c>
      <c r="CB60" s="22">
        <f>'QTR Raw'!AV42</f>
        <v>-6196.24</v>
      </c>
      <c r="CC60" s="22">
        <f>'QTR Raw'!AW42</f>
        <v>513.37</v>
      </c>
      <c r="CD60" s="22">
        <f>'QTR Raw'!AX42</f>
        <v>611.48</v>
      </c>
      <c r="CE60" s="22">
        <f>'QTR Raw'!AY42</f>
        <v>959.61</v>
      </c>
      <c r="CF60" s="22">
        <f>'QTR Raw'!AZ42</f>
        <v>833.45</v>
      </c>
      <c r="CG60" s="22">
        <f>'QTR Raw'!BA42</f>
        <v>326.64</v>
      </c>
      <c r="CH60" s="22">
        <f>'QTR Raw'!BB42</f>
        <v>1300.81</v>
      </c>
      <c r="CI60" s="22">
        <f>'QTR Raw'!BC42</f>
        <v>2077.6799999999998</v>
      </c>
      <c r="CJ60" s="22">
        <f>'QTR Raw'!BD42</f>
        <v>3101.75</v>
      </c>
      <c r="CK60" s="22">
        <f>'QTR Raw'!BE42</f>
        <v>2688.7</v>
      </c>
      <c r="CL60" s="22">
        <f>'QTR Raw'!BF42</f>
        <v>2925.74</v>
      </c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E60" s="119"/>
      <c r="DF60" s="22">
        <v>10793.869999999995</v>
      </c>
    </row>
    <row r="61" spans="1:110" s="25" customFormat="1" x14ac:dyDescent="0.2">
      <c r="A61" s="36" t="s">
        <v>435</v>
      </c>
      <c r="B61" s="25">
        <f t="shared" ref="B61:V61" si="797">B60-B57</f>
        <v>0</v>
      </c>
      <c r="C61" s="25">
        <f>C60-C57</f>
        <v>-5.4001247917767614E-13</v>
      </c>
      <c r="D61" s="25">
        <f t="shared" si="797"/>
        <v>0</v>
      </c>
      <c r="E61" s="25">
        <f t="shared" si="797"/>
        <v>0</v>
      </c>
      <c r="F61" s="25">
        <f t="shared" si="797"/>
        <v>0</v>
      </c>
      <c r="G61" s="25">
        <f t="shared" si="797"/>
        <v>0</v>
      </c>
      <c r="H61" s="25">
        <f t="shared" si="797"/>
        <v>0</v>
      </c>
      <c r="I61" s="25">
        <f t="shared" si="797"/>
        <v>5.0931703299283981E-11</v>
      </c>
      <c r="J61" s="25">
        <f t="shared" si="797"/>
        <v>-2.5465851649641991E-11</v>
      </c>
      <c r="K61" s="25">
        <f t="shared" si="797"/>
        <v>0</v>
      </c>
      <c r="L61" s="25">
        <f t="shared" si="797"/>
        <v>1.8189894035458565E-11</v>
      </c>
      <c r="M61" s="25">
        <f t="shared" si="797"/>
        <v>-2.1827872842550278E-11</v>
      </c>
      <c r="N61" s="25">
        <f t="shared" si="797"/>
        <v>-2.2737367544323206E-11</v>
      </c>
      <c r="O61" s="25">
        <f t="shared" si="797"/>
        <v>-2.8194335754960775E-11</v>
      </c>
      <c r="P61" s="25">
        <f t="shared" si="797"/>
        <v>1.4551915228366852E-11</v>
      </c>
      <c r="Q61" s="25">
        <f t="shared" si="797"/>
        <v>3.4106051316484809E-12</v>
      </c>
      <c r="R61" s="25">
        <f t="shared" si="797"/>
        <v>-9.0949470177292824E-12</v>
      </c>
      <c r="S61" s="25">
        <f t="shared" si="797"/>
        <v>0</v>
      </c>
      <c r="T61" s="25">
        <f t="shared" si="797"/>
        <v>1.8189894035458565E-11</v>
      </c>
      <c r="U61" s="25">
        <f t="shared" si="797"/>
        <v>1.6370904631912708E-11</v>
      </c>
      <c r="V61" s="25">
        <f t="shared" si="797"/>
        <v>-1.0004441719502211E-11</v>
      </c>
      <c r="W61" s="25">
        <f t="shared" ref="W61" si="798">W60-W57</f>
        <v>0</v>
      </c>
      <c r="X61" s="25">
        <f t="shared" ref="X61:Y61" si="799">X60-X57</f>
        <v>-2.3646862246096134E-11</v>
      </c>
      <c r="Y61" s="25">
        <f t="shared" si="799"/>
        <v>1.6370904631912708E-11</v>
      </c>
      <c r="Z61" s="25">
        <f t="shared" ref="Z61:AA61" si="800">Z60-Z57</f>
        <v>0</v>
      </c>
      <c r="AA61" s="25">
        <f t="shared" si="800"/>
        <v>0</v>
      </c>
      <c r="AB61" s="17">
        <f t="shared" ref="AA61:AD61" si="801">AB60-AB57</f>
        <v>0</v>
      </c>
      <c r="AC61" s="17">
        <f t="shared" si="801"/>
        <v>0</v>
      </c>
      <c r="AD61" s="17">
        <f t="shared" si="801"/>
        <v>0</v>
      </c>
      <c r="AE61" s="17">
        <f t="shared" ref="AE61" si="802">AE60-AE57</f>
        <v>0</v>
      </c>
      <c r="AI61" s="25">
        <f t="shared" ref="AI61" si="803">AI60-AI57</f>
        <v>-8.0717654782347381E-12</v>
      </c>
      <c r="AJ61" s="25">
        <f t="shared" ref="AJ61" si="804">AJ60-AJ57</f>
        <v>-1.6484591469634324E-12</v>
      </c>
      <c r="AK61" s="25">
        <f t="shared" ref="AK61:AM61" si="805">AK60-AK57</f>
        <v>-1.8189894035458565E-12</v>
      </c>
      <c r="AL61" s="25">
        <f t="shared" si="805"/>
        <v>0</v>
      </c>
      <c r="AM61" s="25">
        <f t="shared" si="805"/>
        <v>2.5011104298755527E-12</v>
      </c>
      <c r="AN61" s="25">
        <f t="shared" ref="AN61:AO61" si="806">AN60-AN57</f>
        <v>4.6611603465862572E-12</v>
      </c>
      <c r="AO61" s="25">
        <f t="shared" si="806"/>
        <v>-4.1495695768389851E-12</v>
      </c>
      <c r="AP61" s="25">
        <f t="shared" ref="AP61:CD61" si="807">AP60-AP57</f>
        <v>5.2295945351943374E-12</v>
      </c>
      <c r="AQ61" s="25">
        <f t="shared" si="807"/>
        <v>3.808509063674137E-12</v>
      </c>
      <c r="AR61" s="25">
        <f t="shared" si="807"/>
        <v>0</v>
      </c>
      <c r="AS61" s="25">
        <f t="shared" si="807"/>
        <v>-2.9274360713316128E-12</v>
      </c>
      <c r="AT61" s="25">
        <f t="shared" si="807"/>
        <v>0</v>
      </c>
      <c r="AU61" s="25">
        <f t="shared" si="807"/>
        <v>0</v>
      </c>
      <c r="AV61" s="25">
        <f t="shared" si="807"/>
        <v>0</v>
      </c>
      <c r="AW61" s="25">
        <f t="shared" si="807"/>
        <v>0</v>
      </c>
      <c r="AX61" s="25">
        <f t="shared" si="807"/>
        <v>3.637978807091713E-12</v>
      </c>
      <c r="AY61" s="25">
        <f t="shared" si="807"/>
        <v>0</v>
      </c>
      <c r="AZ61" s="25">
        <f t="shared" si="807"/>
        <v>1.8332002582610585E-12</v>
      </c>
      <c r="BA61" s="25">
        <f t="shared" si="807"/>
        <v>-1.2789769243681803E-12</v>
      </c>
      <c r="BB61" s="25">
        <f t="shared" si="807"/>
        <v>-6.1390892369672656E-12</v>
      </c>
      <c r="BC61" s="25">
        <f t="shared" si="807"/>
        <v>1.7053025658242404E-12</v>
      </c>
      <c r="BD61" s="25">
        <f t="shared" si="807"/>
        <v>0</v>
      </c>
      <c r="BE61" s="25">
        <f t="shared" si="807"/>
        <v>0</v>
      </c>
      <c r="BF61" s="25">
        <f t="shared" si="807"/>
        <v>0</v>
      </c>
      <c r="BG61" s="25">
        <f t="shared" si="807"/>
        <v>1.8189894035458565E-12</v>
      </c>
      <c r="BH61" s="25">
        <f t="shared" si="807"/>
        <v>6.3664629124104977E-12</v>
      </c>
      <c r="BI61" s="25">
        <f t="shared" si="807"/>
        <v>0</v>
      </c>
      <c r="BJ61" s="25">
        <f t="shared" si="807"/>
        <v>0</v>
      </c>
      <c r="BK61" s="25">
        <f t="shared" si="807"/>
        <v>-1.1368683772161603E-12</v>
      </c>
      <c r="BL61" s="25">
        <f t="shared" si="807"/>
        <v>0</v>
      </c>
      <c r="BM61" s="25">
        <f t="shared" si="807"/>
        <v>-7.0485839387401938E-12</v>
      </c>
      <c r="BN61" s="25">
        <f t="shared" si="807"/>
        <v>5.2295945351943374E-12</v>
      </c>
      <c r="BO61" s="25">
        <f t="shared" si="807"/>
        <v>0</v>
      </c>
      <c r="BP61" s="25">
        <f t="shared" si="807"/>
        <v>0</v>
      </c>
      <c r="BQ61" s="25">
        <f t="shared" si="807"/>
        <v>-4.0927261579781771E-12</v>
      </c>
      <c r="BR61" s="25">
        <f t="shared" si="807"/>
        <v>0</v>
      </c>
      <c r="BS61" s="25">
        <f t="shared" si="807"/>
        <v>0</v>
      </c>
      <c r="BT61" s="25">
        <f t="shared" si="807"/>
        <v>0</v>
      </c>
      <c r="BU61" s="25">
        <f t="shared" si="807"/>
        <v>0</v>
      </c>
      <c r="BV61" s="25">
        <f t="shared" si="807"/>
        <v>0</v>
      </c>
      <c r="BW61" s="25">
        <f t="shared" si="807"/>
        <v>0</v>
      </c>
      <c r="BX61" s="25">
        <f t="shared" si="807"/>
        <v>-6.8212102632969618E-12</v>
      </c>
      <c r="BY61" s="25">
        <f t="shared" si="807"/>
        <v>0</v>
      </c>
      <c r="BZ61" s="25">
        <f t="shared" si="807"/>
        <v>0</v>
      </c>
      <c r="CA61" s="25">
        <f t="shared" si="807"/>
        <v>-4.5474735088646412E-12</v>
      </c>
      <c r="CB61" s="25">
        <f t="shared" si="807"/>
        <v>0</v>
      </c>
      <c r="CC61" s="25">
        <f t="shared" si="807"/>
        <v>-1.0345502232667059E-11</v>
      </c>
      <c r="CD61" s="25">
        <f t="shared" si="807"/>
        <v>6.1390892369672656E-12</v>
      </c>
      <c r="CE61" s="25">
        <f t="shared" ref="CE61:CF61" si="808">CE60-CE57</f>
        <v>0</v>
      </c>
      <c r="CF61" s="25">
        <f t="shared" si="808"/>
        <v>-7.9580786405131221E-12</v>
      </c>
      <c r="CG61" s="25">
        <f t="shared" ref="CG61:CH61" si="809">CG60-CG57</f>
        <v>1.7621459846850485E-12</v>
      </c>
      <c r="CH61" s="25">
        <f t="shared" si="809"/>
        <v>-9.0949470177292824E-12</v>
      </c>
      <c r="CI61" s="25">
        <f t="shared" ref="CI61:CJ61" si="810">CI60-CI57</f>
        <v>0</v>
      </c>
      <c r="CJ61" s="25">
        <f t="shared" si="810"/>
        <v>0</v>
      </c>
      <c r="CK61" s="25">
        <f t="shared" ref="CK61:CL61" si="811">CK60-CK57</f>
        <v>0</v>
      </c>
      <c r="CL61" s="25">
        <f t="shared" si="811"/>
        <v>0</v>
      </c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E61" s="119"/>
      <c r="DF61" s="25">
        <v>0</v>
      </c>
    </row>
    <row r="62" spans="1:110" s="1" customFormat="1" x14ac:dyDescent="0.2">
      <c r="A62" s="150" t="s">
        <v>487</v>
      </c>
      <c r="AB62" s="20"/>
      <c r="AC62" s="20"/>
      <c r="AD62" s="20"/>
      <c r="AE62" s="20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E62" s="119"/>
      <c r="DF62" s="183"/>
    </row>
    <row r="63" spans="1:110" s="38" customFormat="1" x14ac:dyDescent="0.2">
      <c r="A63" s="38" t="s">
        <v>350</v>
      </c>
      <c r="B63" s="39">
        <f t="shared" ref="B63:AE63" si="812">(B57-B56)/B134</f>
        <v>0.1716870242593225</v>
      </c>
      <c r="C63" s="39">
        <f t="shared" si="812"/>
        <v>0.11623822313168791</v>
      </c>
      <c r="D63" s="39">
        <f t="shared" si="812"/>
        <v>0.38721163186012608</v>
      </c>
      <c r="E63" s="39">
        <f t="shared" si="812"/>
        <v>0.42931659465541994</v>
      </c>
      <c r="F63" s="39">
        <f t="shared" si="812"/>
        <v>0.5044104258323383</v>
      </c>
      <c r="G63" s="39">
        <f t="shared" si="812"/>
        <v>0.36849630027310282</v>
      </c>
      <c r="H63" s="39">
        <f t="shared" si="812"/>
        <v>0.29579238862104729</v>
      </c>
      <c r="I63" s="39">
        <f t="shared" si="812"/>
        <v>0.17591683766463034</v>
      </c>
      <c r="J63" s="39">
        <f t="shared" si="812"/>
        <v>0.32617607117332076</v>
      </c>
      <c r="K63" s="39">
        <f t="shared" si="812"/>
        <v>-1.4256712809360882E-2</v>
      </c>
      <c r="L63" s="39">
        <f t="shared" si="812"/>
        <v>0.16685107965207585</v>
      </c>
      <c r="M63" s="39">
        <f t="shared" si="812"/>
        <v>4.7092485754514864E-2</v>
      </c>
      <c r="N63" s="39">
        <f t="shared" si="812"/>
        <v>9.6162862716276127E-3</v>
      </c>
      <c r="O63" s="39">
        <f t="shared" si="812"/>
        <v>8.8605294504683449E-2</v>
      </c>
      <c r="P63" s="39">
        <f t="shared" si="812"/>
        <v>9.9900701873329681E-5</v>
      </c>
      <c r="Q63" s="39">
        <f t="shared" si="812"/>
        <v>-4.4220654621414036E-2</v>
      </c>
      <c r="R63" s="39">
        <f t="shared" si="812"/>
        <v>0.11106190806294815</v>
      </c>
      <c r="S63" s="39">
        <f t="shared" si="812"/>
        <v>6.2055150197233261E-2</v>
      </c>
      <c r="T63" s="39">
        <f t="shared" si="812"/>
        <v>0.15646282795159408</v>
      </c>
      <c r="U63" s="39">
        <f t="shared" si="812"/>
        <v>9.0967766366110897E-2</v>
      </c>
      <c r="V63" s="39">
        <f t="shared" si="812"/>
        <v>0.11615766520013893</v>
      </c>
      <c r="W63" s="39">
        <f t="shared" si="812"/>
        <v>0.35203530070504957</v>
      </c>
      <c r="X63" s="39">
        <f t="shared" si="812"/>
        <v>8.3885951101112827E-2</v>
      </c>
      <c r="Y63" s="39">
        <f t="shared" si="812"/>
        <v>3.6688348094262316E-2</v>
      </c>
      <c r="Z63" s="39">
        <f t="shared" si="812"/>
        <v>4.689226006511156E-2</v>
      </c>
      <c r="AA63" s="39">
        <f t="shared" ref="AA63" si="813">(AA57-AA56)/AA134</f>
        <v>0.11575415505788782</v>
      </c>
      <c r="AB63" s="40">
        <f t="shared" si="812"/>
        <v>0.14561552474060338</v>
      </c>
      <c r="AC63" s="40">
        <f t="shared" si="812"/>
        <v>0.14656273485652849</v>
      </c>
      <c r="AD63" s="40">
        <f t="shared" si="812"/>
        <v>0.14988421582612377</v>
      </c>
      <c r="AE63" s="40">
        <f t="shared" si="812"/>
        <v>0.15504039864795957</v>
      </c>
      <c r="AF63" s="39"/>
      <c r="AG63" s="39"/>
      <c r="AH63" s="39"/>
      <c r="AI63" s="39"/>
      <c r="AJ63" s="39"/>
      <c r="AK63" s="39"/>
      <c r="AL63" s="39">
        <f t="shared" ref="AL63:BQ63" si="814">(SUM(AI57:AL57)-SUM(AI56:AL56))/AL134</f>
        <v>9.1108890013151152E-3</v>
      </c>
      <c r="AM63" s="39">
        <f t="shared" si="814"/>
        <v>2.2751603006424769E-2</v>
      </c>
      <c r="AN63" s="39">
        <f t="shared" si="814"/>
        <v>5.0746427854467459E-2</v>
      </c>
      <c r="AO63" s="39">
        <f t="shared" si="814"/>
        <v>7.8842062665937934E-2</v>
      </c>
      <c r="AP63" s="39">
        <f t="shared" si="814"/>
        <v>8.4585270586564898E-2</v>
      </c>
      <c r="AQ63" s="39">
        <f t="shared" si="814"/>
        <v>7.1843878354074422E-2</v>
      </c>
      <c r="AR63" s="39">
        <f t="shared" si="814"/>
        <v>5.1727190287834478E-2</v>
      </c>
      <c r="AS63" s="39">
        <f t="shared" si="814"/>
        <v>4.3775928015065621E-2</v>
      </c>
      <c r="AT63" s="39">
        <f t="shared" si="814"/>
        <v>9.3626251730852107E-5</v>
      </c>
      <c r="AU63" s="39">
        <f t="shared" si="814"/>
        <v>-1.2980532202420469E-2</v>
      </c>
      <c r="AV63" s="39">
        <f t="shared" si="814"/>
        <v>-2.472063216429941E-2</v>
      </c>
      <c r="AW63" s="39">
        <f t="shared" si="814"/>
        <v>-8.124470993357262E-2</v>
      </c>
      <c r="AX63" s="39">
        <f t="shared" si="814"/>
        <v>-5.3646311500244293E-2</v>
      </c>
      <c r="AY63" s="39">
        <f t="shared" si="814"/>
        <v>-5.3214156784296245E-2</v>
      </c>
      <c r="AZ63" s="39">
        <f t="shared" si="814"/>
        <v>-4.7964953248565236E-2</v>
      </c>
      <c r="BA63" s="39">
        <f t="shared" si="814"/>
        <v>5.3566391140374208E-3</v>
      </c>
      <c r="BB63" s="39">
        <f t="shared" si="814"/>
        <v>0.10438104122443256</v>
      </c>
      <c r="BC63" s="39">
        <f t="shared" si="814"/>
        <v>0.13244962826905943</v>
      </c>
      <c r="BD63" s="39">
        <f t="shared" si="814"/>
        <v>0.16647111274185145</v>
      </c>
      <c r="BE63" s="39">
        <f t="shared" si="814"/>
        <v>0.21665375558607414</v>
      </c>
      <c r="BF63" s="39">
        <f t="shared" si="814"/>
        <v>6.1439985332825527E-2</v>
      </c>
      <c r="BG63" s="39">
        <f t="shared" si="814"/>
        <v>7.1208697379630634E-2</v>
      </c>
      <c r="BH63" s="39">
        <f t="shared" si="814"/>
        <v>0.10357280398747155</v>
      </c>
      <c r="BI63" s="39">
        <f t="shared" si="814"/>
        <v>9.876736736669578E-2</v>
      </c>
      <c r="BJ63" s="39">
        <f t="shared" si="814"/>
        <v>0.15129848235214227</v>
      </c>
      <c r="BK63" s="39">
        <f t="shared" si="814"/>
        <v>0.12695960707703588</v>
      </c>
      <c r="BL63" s="39">
        <f t="shared" si="814"/>
        <v>0.13227178626152181</v>
      </c>
      <c r="BM63" s="39">
        <f t="shared" si="814"/>
        <v>9.2208083128387963E-2</v>
      </c>
      <c r="BN63" s="39">
        <f t="shared" si="814"/>
        <v>8.890675394114686E-2</v>
      </c>
      <c r="BO63" s="39">
        <f t="shared" si="814"/>
        <v>2.0015691209943821E-2</v>
      </c>
      <c r="BP63" s="39">
        <f t="shared" si="814"/>
        <v>-1.957402820313775E-2</v>
      </c>
      <c r="BQ63" s="39">
        <f t="shared" si="814"/>
        <v>4.7560440544868285E-2</v>
      </c>
      <c r="BR63" s="39">
        <f t="shared" ref="BR63:CW63" si="815">(SUM(BO57:BR57)-SUM(BO56:BR56))/BR134</f>
        <v>0.1149450617244871</v>
      </c>
      <c r="BS63" s="39">
        <f t="shared" si="815"/>
        <v>0.26576930237659857</v>
      </c>
      <c r="BT63" s="39">
        <f t="shared" si="815"/>
        <v>0.34941016271471365</v>
      </c>
      <c r="BU63" s="39">
        <f t="shared" si="815"/>
        <v>0.37483783196409032</v>
      </c>
      <c r="BV63" s="39">
        <f t="shared" si="815"/>
        <v>0.35203530070504946</v>
      </c>
      <c r="BW63" s="39">
        <f t="shared" si="815"/>
        <v>0.31915185585231742</v>
      </c>
      <c r="BX63" s="39">
        <f t="shared" si="815"/>
        <v>0.27102300624026393</v>
      </c>
      <c r="BY63" s="39">
        <f t="shared" si="815"/>
        <v>0.16133354585645462</v>
      </c>
      <c r="BZ63" s="39">
        <f t="shared" si="815"/>
        <v>8.3885951101112619E-2</v>
      </c>
      <c r="CA63" s="39">
        <f t="shared" si="815"/>
        <v>1.4110352255027181E-2</v>
      </c>
      <c r="CB63" s="39">
        <f t="shared" si="815"/>
        <v>7.0885641128381315E-3</v>
      </c>
      <c r="CC63" s="39">
        <f t="shared" si="815"/>
        <v>4.3071406532296921E-2</v>
      </c>
      <c r="CD63" s="39">
        <f t="shared" si="815"/>
        <v>3.6688348094262579E-2</v>
      </c>
      <c r="CE63" s="39">
        <f t="shared" si="815"/>
        <v>4.3804868995090882E-2</v>
      </c>
      <c r="CF63" s="39">
        <f t="shared" si="815"/>
        <v>4.6439108177436399E-2</v>
      </c>
      <c r="CG63" s="39">
        <f t="shared" si="815"/>
        <v>4.1909186446627826E-2</v>
      </c>
      <c r="CH63" s="39">
        <f t="shared" si="815"/>
        <v>4.6892260065111768E-2</v>
      </c>
      <c r="CI63" s="39">
        <f t="shared" si="815"/>
        <v>5.5416183051286039E-2</v>
      </c>
      <c r="CJ63" s="39">
        <f t="shared" si="815"/>
        <v>8.2932426725141298E-2</v>
      </c>
      <c r="CK63" s="39">
        <f t="shared" si="815"/>
        <v>0.10498135933467176</v>
      </c>
      <c r="CL63" s="39">
        <f t="shared" si="815"/>
        <v>0.11575415505788766</v>
      </c>
      <c r="CM63" s="40">
        <f t="shared" si="815"/>
        <v>0.12176130130933621</v>
      </c>
      <c r="CN63" s="40">
        <f t="shared" si="815"/>
        <v>0.12169351246083765</v>
      </c>
      <c r="CO63" s="40">
        <f t="shared" si="815"/>
        <v>0.1324898483360514</v>
      </c>
      <c r="CP63" s="40">
        <f t="shared" si="815"/>
        <v>0.14561552474060324</v>
      </c>
      <c r="CQ63" s="40">
        <f t="shared" si="815"/>
        <v>0.14749751570199807</v>
      </c>
      <c r="CR63" s="40">
        <f t="shared" si="815"/>
        <v>0.14750552140187365</v>
      </c>
      <c r="CS63" s="40">
        <f t="shared" si="815"/>
        <v>0.1483556141809744</v>
      </c>
      <c r="CT63" s="40">
        <f t="shared" si="815"/>
        <v>0.14656273485652871</v>
      </c>
      <c r="CU63" s="40">
        <f t="shared" si="815"/>
        <v>0.14767937856854685</v>
      </c>
      <c r="CV63" s="40">
        <f t="shared" si="815"/>
        <v>0.14864664957479704</v>
      </c>
      <c r="CW63" s="40">
        <f t="shared" si="815"/>
        <v>0.14942944334641528</v>
      </c>
      <c r="CX63" s="40">
        <f t="shared" ref="CX63:DB63" si="816">(SUM(CU57:CX57)-SUM(CU56:CX56))/CX134</f>
        <v>0.14988421582612377</v>
      </c>
      <c r="CY63" s="40">
        <f t="shared" si="816"/>
        <v>0.15216750847348928</v>
      </c>
      <c r="CZ63" s="40">
        <f t="shared" si="816"/>
        <v>0.1537515864166171</v>
      </c>
      <c r="DA63" s="40">
        <f t="shared" si="816"/>
        <v>0.15463586635358567</v>
      </c>
      <c r="DB63" s="40">
        <f t="shared" si="816"/>
        <v>0.15504039864795963</v>
      </c>
      <c r="DE63" s="122"/>
      <c r="DF63" s="38">
        <v>0.11837122411190577</v>
      </c>
    </row>
    <row r="64" spans="1:110" s="38" customFormat="1" x14ac:dyDescent="0.2">
      <c r="A64" s="38" t="s">
        <v>351</v>
      </c>
      <c r="B64" s="39">
        <f t="shared" ref="B64:AE64" si="817">+B43/B143</f>
        <v>0.11583449670521592</v>
      </c>
      <c r="C64" s="39">
        <f t="shared" si="817"/>
        <v>7.8464346484941494E-2</v>
      </c>
      <c r="D64" s="39">
        <f t="shared" si="817"/>
        <v>0.19048618106045703</v>
      </c>
      <c r="E64" s="39">
        <f t="shared" si="817"/>
        <v>0.29315387681270516</v>
      </c>
      <c r="F64" s="39">
        <f t="shared" si="817"/>
        <v>0.44586329162590538</v>
      </c>
      <c r="G64" s="39">
        <f t="shared" si="817"/>
        <v>0.3574327972921359</v>
      </c>
      <c r="H64" s="39">
        <f t="shared" si="817"/>
        <v>0.1544672868580598</v>
      </c>
      <c r="I64" s="39">
        <f t="shared" si="817"/>
        <v>0.1520744758685961</v>
      </c>
      <c r="J64" s="39">
        <f t="shared" si="817"/>
        <v>0.15459799777893249</v>
      </c>
      <c r="K64" s="39">
        <f t="shared" si="817"/>
        <v>4.4969513270200066E-2</v>
      </c>
      <c r="L64" s="39">
        <f t="shared" si="817"/>
        <v>0.12500726058542652</v>
      </c>
      <c r="M64" s="39">
        <f t="shared" si="817"/>
        <v>7.3827876753615324E-2</v>
      </c>
      <c r="N64" s="39">
        <f t="shared" si="817"/>
        <v>6.1702666118896535E-2</v>
      </c>
      <c r="O64" s="39">
        <f t="shared" si="817"/>
        <v>8.3108553501368185E-2</v>
      </c>
      <c r="P64" s="39">
        <f t="shared" si="817"/>
        <v>5.593811969474595E-2</v>
      </c>
      <c r="Q64" s="39">
        <f t="shared" si="817"/>
        <v>2.015882635014174E-2</v>
      </c>
      <c r="R64" s="39">
        <f t="shared" si="817"/>
        <v>9.2023874446228948E-2</v>
      </c>
      <c r="S64" s="39">
        <f t="shared" si="817"/>
        <v>0.10108156198931646</v>
      </c>
      <c r="T64" s="39">
        <f t="shared" si="817"/>
        <v>0.12806956606217001</v>
      </c>
      <c r="U64" s="39">
        <f t="shared" si="817"/>
        <v>4.7349098218047392E-2</v>
      </c>
      <c r="V64" s="39">
        <f t="shared" si="817"/>
        <v>0.134474867556864</v>
      </c>
      <c r="W64" s="39">
        <f t="shared" si="817"/>
        <v>0.29252899818713934</v>
      </c>
      <c r="X64" s="39">
        <f t="shared" si="817"/>
        <v>0.12512159995711639</v>
      </c>
      <c r="Y64" s="39">
        <f t="shared" si="817"/>
        <v>7.123790549166327E-2</v>
      </c>
      <c r="Z64" s="39">
        <f t="shared" si="817"/>
        <v>8.2505553149602021E-2</v>
      </c>
      <c r="AA64" s="39">
        <f t="shared" ref="AA64" si="818">+AA43/AA143</f>
        <v>0.11867280388926729</v>
      </c>
      <c r="AB64" s="40">
        <f t="shared" si="817"/>
        <v>0.14798195383116203</v>
      </c>
      <c r="AC64" s="40">
        <f t="shared" si="817"/>
        <v>0.15156220603244155</v>
      </c>
      <c r="AD64" s="40">
        <f t="shared" si="817"/>
        <v>0.15427107155196981</v>
      </c>
      <c r="AE64" s="40">
        <f t="shared" si="817"/>
        <v>0.15465701253577829</v>
      </c>
      <c r="AF64" s="39"/>
      <c r="AG64" s="39"/>
      <c r="AH64" s="39"/>
      <c r="AI64" s="39"/>
      <c r="AJ64" s="39"/>
      <c r="AK64" s="39"/>
      <c r="AL64" s="39">
        <f t="shared" ref="AL64:BQ64" si="819">+SUM(AI43:AL43)/AL143</f>
        <v>7.060580791955548E-2</v>
      </c>
      <c r="AM64" s="39">
        <f t="shared" si="819"/>
        <v>7.1733724995345555E-2</v>
      </c>
      <c r="AN64" s="39">
        <f t="shared" si="819"/>
        <v>7.4720504046537323E-2</v>
      </c>
      <c r="AO64" s="39">
        <f t="shared" si="819"/>
        <v>8.9835965019018943E-2</v>
      </c>
      <c r="AP64" s="39">
        <f t="shared" si="819"/>
        <v>9.3573348576855564E-2</v>
      </c>
      <c r="AQ64" s="39">
        <f t="shared" si="819"/>
        <v>9.7156528201697095E-2</v>
      </c>
      <c r="AR64" s="39">
        <f t="shared" si="819"/>
        <v>0.10639543835647554</v>
      </c>
      <c r="AS64" s="39">
        <f t="shared" si="819"/>
        <v>9.7914941428580926E-2</v>
      </c>
      <c r="AT64" s="39">
        <f t="shared" si="819"/>
        <v>5.9591667155568726E-2</v>
      </c>
      <c r="AU64" s="39">
        <f t="shared" si="819"/>
        <v>4.7283711242742589E-2</v>
      </c>
      <c r="AV64" s="39">
        <f t="shared" si="819"/>
        <v>3.1316736706269208E-2</v>
      </c>
      <c r="AW64" s="39">
        <f t="shared" si="819"/>
        <v>1.2899535430807872E-2</v>
      </c>
      <c r="AX64" s="39">
        <f t="shared" si="819"/>
        <v>1.7940043829194768E-2</v>
      </c>
      <c r="AY64" s="39">
        <f t="shared" si="819"/>
        <v>2.408809523672796E-2</v>
      </c>
      <c r="AZ64" s="39">
        <f t="shared" si="819"/>
        <v>3.3641935181717507E-2</v>
      </c>
      <c r="BA64" s="39">
        <f t="shared" si="819"/>
        <v>5.59126057283202E-2</v>
      </c>
      <c r="BB64" s="39">
        <f t="shared" si="819"/>
        <v>9.3083769512690998E-2</v>
      </c>
      <c r="BC64" s="39">
        <f t="shared" si="819"/>
        <v>0.1040957253341807</v>
      </c>
      <c r="BD64" s="39">
        <f t="shared" si="819"/>
        <v>0.11856659866407823</v>
      </c>
      <c r="BE64" s="39">
        <f t="shared" si="819"/>
        <v>0.13331749293164816</v>
      </c>
      <c r="BF64" s="39">
        <f t="shared" si="819"/>
        <v>0.10552512798607026</v>
      </c>
      <c r="BG64" s="39">
        <f t="shared" si="819"/>
        <v>0.1116027392623137</v>
      </c>
      <c r="BH64" s="39">
        <f t="shared" si="819"/>
        <v>0.11344229489246382</v>
      </c>
      <c r="BI64" s="39">
        <f t="shared" si="819"/>
        <v>0.11543452042776016</v>
      </c>
      <c r="BJ64" s="39">
        <f t="shared" si="819"/>
        <v>0.13569488227089893</v>
      </c>
      <c r="BK64" s="39">
        <f t="shared" si="819"/>
        <v>0.12713612912471126</v>
      </c>
      <c r="BL64" s="39">
        <f t="shared" si="819"/>
        <v>8.6947247283256576E-2</v>
      </c>
      <c r="BM64" s="39">
        <f t="shared" si="819"/>
        <v>6.9123256291123175E-2</v>
      </c>
      <c r="BN64" s="39">
        <f t="shared" si="819"/>
        <v>4.8087500630105695E-2</v>
      </c>
      <c r="BO64" s="39">
        <f t="shared" si="819"/>
        <v>2.2529425253352348E-2</v>
      </c>
      <c r="BP64" s="39">
        <f t="shared" si="819"/>
        <v>3.5570929854169472E-2</v>
      </c>
      <c r="BQ64" s="39">
        <f t="shared" si="819"/>
        <v>6.5657986708551705E-2</v>
      </c>
      <c r="BR64" s="39">
        <f t="shared" ref="BR64:CW64" si="820">+SUM(BO43:BR43)/BR143</f>
        <v>0.13447486755686394</v>
      </c>
      <c r="BS64" s="39">
        <f t="shared" si="820"/>
        <v>0.21960454477605598</v>
      </c>
      <c r="BT64" s="39">
        <f t="shared" si="820"/>
        <v>0.28098680850345992</v>
      </c>
      <c r="BU64" s="39">
        <f t="shared" si="820"/>
        <v>0.30210872558446916</v>
      </c>
      <c r="BV64" s="39">
        <f t="shared" si="820"/>
        <v>0.29252899818713934</v>
      </c>
      <c r="BW64" s="39">
        <f t="shared" si="820"/>
        <v>0.27538077185388565</v>
      </c>
      <c r="BX64" s="39">
        <f t="shared" si="820"/>
        <v>0.22403519130463043</v>
      </c>
      <c r="BY64" s="39">
        <f t="shared" si="820"/>
        <v>0.16339950706655978</v>
      </c>
      <c r="BZ64" s="39">
        <f t="shared" si="820"/>
        <v>0.12535943667252192</v>
      </c>
      <c r="CA64" s="39">
        <f t="shared" si="820"/>
        <v>7.0667094025323687E-2</v>
      </c>
      <c r="CB64" s="39">
        <f t="shared" si="820"/>
        <v>6.3310067537535458E-2</v>
      </c>
      <c r="CC64" s="39">
        <f t="shared" si="820"/>
        <v>7.5457956990952563E-2</v>
      </c>
      <c r="CD64" s="39">
        <f t="shared" si="820"/>
        <v>7.1398071774953956E-2</v>
      </c>
      <c r="CE64" s="39">
        <f t="shared" si="820"/>
        <v>7.8993625457066688E-2</v>
      </c>
      <c r="CF64" s="39">
        <f t="shared" si="820"/>
        <v>8.4378907921746613E-2</v>
      </c>
      <c r="CG64" s="39">
        <f t="shared" si="820"/>
        <v>8.1487261821345261E-2</v>
      </c>
      <c r="CH64" s="39">
        <f t="shared" si="820"/>
        <v>8.2505553149602132E-2</v>
      </c>
      <c r="CI64" s="39">
        <f t="shared" si="820"/>
        <v>8.443971403268323E-2</v>
      </c>
      <c r="CJ64" s="39">
        <f t="shared" si="820"/>
        <v>9.6294576596634124E-2</v>
      </c>
      <c r="CK64" s="39">
        <f t="shared" si="820"/>
        <v>0.10457287226130184</v>
      </c>
      <c r="CL64" s="39">
        <f t="shared" si="820"/>
        <v>0.11867280388926719</v>
      </c>
      <c r="CM64" s="40">
        <f t="shared" si="820"/>
        <v>0.12331813380924965</v>
      </c>
      <c r="CN64" s="40">
        <f t="shared" si="820"/>
        <v>0.12615535883668716</v>
      </c>
      <c r="CO64" s="40">
        <f t="shared" si="820"/>
        <v>0.13767087570077788</v>
      </c>
      <c r="CP64" s="40">
        <f t="shared" si="820"/>
        <v>0.14798195383116192</v>
      </c>
      <c r="CQ64" s="40">
        <f t="shared" si="820"/>
        <v>0.15008084630162608</v>
      </c>
      <c r="CR64" s="40">
        <f t="shared" si="820"/>
        <v>0.1512173526775015</v>
      </c>
      <c r="CS64" s="40">
        <f t="shared" si="820"/>
        <v>0.15269106254006826</v>
      </c>
      <c r="CT64" s="40">
        <f t="shared" si="820"/>
        <v>0.15156220603244167</v>
      </c>
      <c r="CU64" s="40">
        <f t="shared" si="820"/>
        <v>0.15314866261931045</v>
      </c>
      <c r="CV64" s="40">
        <f t="shared" si="820"/>
        <v>0.15416511892693091</v>
      </c>
      <c r="CW64" s="40">
        <f t="shared" si="820"/>
        <v>0.15460140274718204</v>
      </c>
      <c r="CX64" s="40">
        <f t="shared" ref="CX64:DB64" si="821">+SUM(CU43:CX43)/CX143</f>
        <v>0.15427107155196981</v>
      </c>
      <c r="CY64" s="40">
        <f t="shared" si="821"/>
        <v>0.1549723624353288</v>
      </c>
      <c r="CZ64" s="40">
        <f t="shared" si="821"/>
        <v>0.15524910654011667</v>
      </c>
      <c r="DA64" s="40">
        <f t="shared" si="821"/>
        <v>0.15509852228997589</v>
      </c>
      <c r="DB64" s="40">
        <f t="shared" si="821"/>
        <v>0.15465701253577832</v>
      </c>
      <c r="DE64" s="122"/>
      <c r="DF64" s="38">
        <v>0.11501553805795937</v>
      </c>
    </row>
    <row r="65" spans="1:110" s="1" customFormat="1" x14ac:dyDescent="0.2">
      <c r="A65" s="150" t="s">
        <v>488</v>
      </c>
      <c r="AB65" s="20"/>
      <c r="AC65" s="20"/>
      <c r="AD65" s="20"/>
      <c r="AE65" s="20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E65" s="119"/>
      <c r="DF65" s="183"/>
    </row>
    <row r="66" spans="1:110" s="8" customFormat="1" x14ac:dyDescent="0.2">
      <c r="A66" s="12" t="s">
        <v>26</v>
      </c>
      <c r="AB66" s="58"/>
      <c r="AC66" s="58"/>
      <c r="AD66" s="58"/>
      <c r="AE66" s="58"/>
      <c r="CM66" s="54"/>
      <c r="CN66" s="54"/>
      <c r="CO66" s="54"/>
      <c r="CP66" s="54"/>
      <c r="CQ66" s="54"/>
      <c r="CR66" s="54"/>
      <c r="CS66" s="54"/>
      <c r="CT66" s="54"/>
      <c r="CU66" s="54"/>
      <c r="CV66" s="54"/>
      <c r="CW66" s="54"/>
      <c r="CX66" s="54"/>
      <c r="CY66" s="54"/>
      <c r="CZ66" s="54"/>
      <c r="DA66" s="54"/>
      <c r="DB66" s="54"/>
      <c r="DE66" s="132"/>
      <c r="DF66" s="190"/>
    </row>
    <row r="67" spans="1:110" s="9" customFormat="1" x14ac:dyDescent="0.2">
      <c r="A67" s="9" t="s">
        <v>453</v>
      </c>
      <c r="N67" s="9">
        <f>N19-SUM(AI19:AL19)</f>
        <v>0</v>
      </c>
      <c r="O67" s="9">
        <f>O19-SUM(AM19:AP19)</f>
        <v>0</v>
      </c>
      <c r="P67" s="9">
        <f>P19-SUM(AQ19:AT19)</f>
        <v>0</v>
      </c>
      <c r="Q67" s="9">
        <f>Q19-SUM(AU19:AX19)</f>
        <v>-1979.9599999999919</v>
      </c>
      <c r="R67" s="9">
        <f>R19-SUM(AY19:BB19)</f>
        <v>44.769999999989523</v>
      </c>
      <c r="S67" s="9">
        <f>S19-SUM(BC19:BF19)</f>
        <v>-6024.0199999999895</v>
      </c>
      <c r="T67" s="9">
        <f>T19-SUM(BG19:BJ19)</f>
        <v>1.0000000009313226E-2</v>
      </c>
      <c r="U67" s="9">
        <f>U19-SUM(BK19:BN19)</f>
        <v>6915.6399999999849</v>
      </c>
      <c r="V67" s="9">
        <f>V19-SUM(BO19:BR19)</f>
        <v>99.35999999998603</v>
      </c>
      <c r="W67" s="9">
        <f>W19-SUM(BS19:BV19)</f>
        <v>0</v>
      </c>
      <c r="X67" s="9">
        <f>X19-SUM(BW19:BZ19)</f>
        <v>0</v>
      </c>
      <c r="Y67" s="9">
        <f>Y19-SUM(CA19:CD19)</f>
        <v>0</v>
      </c>
      <c r="Z67" s="9">
        <f>Z19-SUM(CE19:CH19)</f>
        <v>0</v>
      </c>
      <c r="AA67" s="9">
        <f>AA19-SUM(CF19:CI19)</f>
        <v>15190.700000000012</v>
      </c>
      <c r="AB67" s="15">
        <f>AB19-SUM(CM19:CP19)</f>
        <v>0</v>
      </c>
      <c r="AC67" s="15">
        <f>AC19-SUM(CQ19:CT19)</f>
        <v>0</v>
      </c>
      <c r="AD67" s="15">
        <f>AD19-SUM(CU19:CX19)</f>
        <v>0</v>
      </c>
      <c r="AE67" s="15">
        <f>AE19-SUM(CY19:DB19)</f>
        <v>0</v>
      </c>
      <c r="CM67" s="59"/>
      <c r="CN67" s="59"/>
      <c r="CO67" s="59"/>
      <c r="CP67" s="59"/>
      <c r="CQ67" s="59"/>
      <c r="CR67" s="59"/>
      <c r="CS67" s="59"/>
      <c r="CT67" s="59"/>
      <c r="CU67" s="59"/>
      <c r="CV67" s="59"/>
      <c r="CW67" s="59"/>
      <c r="CX67" s="59"/>
      <c r="CY67" s="59"/>
      <c r="CZ67" s="59"/>
      <c r="DA67" s="59"/>
      <c r="DB67" s="59"/>
      <c r="DE67" s="133"/>
      <c r="DF67" s="9">
        <v>0</v>
      </c>
    </row>
    <row r="68" spans="1:110" s="9" customFormat="1" x14ac:dyDescent="0.2">
      <c r="A68" s="9" t="s">
        <v>454</v>
      </c>
      <c r="N68" s="9">
        <f>N25-SUM(AI25:AL25)</f>
        <v>-142.09999999999127</v>
      </c>
      <c r="O68" s="9">
        <f>O25-SUM(AM25:AP25)</f>
        <v>-73.659999999974389</v>
      </c>
      <c r="P68" s="9">
        <f>P25-SUM(AQ25:AT25)</f>
        <v>-113.57000000003609</v>
      </c>
      <c r="Q68" s="9">
        <f>Q25-SUM(AU25:AX25)</f>
        <v>-1387.1999999999898</v>
      </c>
      <c r="R68" s="9">
        <f>R25-SUM(AY25:BB25)</f>
        <v>44.770000000004075</v>
      </c>
      <c r="S68" s="9">
        <f>S25-SUM(BC25:BF25)</f>
        <v>-1707.5299999999988</v>
      </c>
      <c r="T68" s="9">
        <f>T25-SUM(BG25:BJ25)</f>
        <v>1.9999999989522621E-2</v>
      </c>
      <c r="U68" s="9">
        <f>U25-SUM(BK25:BN25)</f>
        <v>2247.9199999999837</v>
      </c>
      <c r="V68" s="9">
        <f>V25-SUM(BO25:BR25)</f>
        <v>228.82000000000698</v>
      </c>
      <c r="W68" s="9">
        <f>W25-SUM(BS25:BV25)</f>
        <v>9.9999999802093953E-3</v>
      </c>
      <c r="X68" s="9">
        <f>X25-SUM(BW25:BZ25)</f>
        <v>0</v>
      </c>
      <c r="Y68" s="9">
        <f>Y25-SUM(CA25:CD25)</f>
        <v>0</v>
      </c>
      <c r="Z68" s="9">
        <f>Z25-SUM(CE25:CH25)</f>
        <v>0</v>
      </c>
      <c r="AA68" s="9">
        <f>AA25-SUM(CF25:CI25)</f>
        <v>14729.349999999977</v>
      </c>
      <c r="AB68" s="15">
        <f>AB25-SUM(CM25:CP25)</f>
        <v>0</v>
      </c>
      <c r="AC68" s="15">
        <f>AC25-SUM(CQ25:CT25)</f>
        <v>0</v>
      </c>
      <c r="AD68" s="15">
        <f>AD25-SUM(CU25:CX25)</f>
        <v>0</v>
      </c>
      <c r="AE68" s="15">
        <f>AE25-SUM(CY25:DB25)</f>
        <v>0</v>
      </c>
      <c r="CM68" s="59"/>
      <c r="CN68" s="59"/>
      <c r="CO68" s="59"/>
      <c r="CP68" s="59"/>
      <c r="CQ68" s="59"/>
      <c r="CR68" s="59"/>
      <c r="CS68" s="59"/>
      <c r="CT68" s="59"/>
      <c r="CU68" s="59"/>
      <c r="CV68" s="59"/>
      <c r="CW68" s="59"/>
      <c r="CX68" s="59"/>
      <c r="CY68" s="59"/>
      <c r="CZ68" s="59"/>
      <c r="DA68" s="59"/>
      <c r="DB68" s="59"/>
      <c r="DE68" s="133"/>
      <c r="DF68" s="9">
        <v>0</v>
      </c>
    </row>
    <row r="69" spans="1:110" s="9" customFormat="1" x14ac:dyDescent="0.2">
      <c r="A69" s="9" t="s">
        <v>455</v>
      </c>
      <c r="N69" s="9">
        <f>N37-SUM(AI37:AL37)</f>
        <v>-143.48999999998705</v>
      </c>
      <c r="O69" s="9">
        <f>O37-SUM(AM37:AP37)</f>
        <v>-56.119999999962602</v>
      </c>
      <c r="P69" s="9">
        <f>P37-SUM(AQ37:AT37)</f>
        <v>-91.500000000010914</v>
      </c>
      <c r="Q69" s="9">
        <f>Q37-SUM(AU37:AX37)</f>
        <v>305.65000000000509</v>
      </c>
      <c r="R69" s="9">
        <f>R37-SUM(AY37:BB37)</f>
        <v>-67.94999999999709</v>
      </c>
      <c r="S69" s="9">
        <f>S37-SUM(BC37:BF37)</f>
        <v>-487.26999999998952</v>
      </c>
      <c r="T69" s="9">
        <f>T37-SUM(BG37:BJ37)</f>
        <v>0</v>
      </c>
      <c r="U69" s="9">
        <f>U37-SUM(BK37:BN37)</f>
        <v>206.55999999997584</v>
      </c>
      <c r="V69" s="9">
        <f>V37-SUM(BO37:BR37)</f>
        <v>0</v>
      </c>
      <c r="W69" s="9">
        <f>W37-SUM(BS37:BV37)</f>
        <v>0</v>
      </c>
      <c r="X69" s="9">
        <f>X37-SUM(BW37:BZ37)</f>
        <v>-43.569999999977881</v>
      </c>
      <c r="Y69" s="9">
        <f>Y37-SUM(CA37:CD37)</f>
        <v>-27.870000000024447</v>
      </c>
      <c r="Z69" s="9">
        <f>Z37-SUM(CE37:CH37)</f>
        <v>0</v>
      </c>
      <c r="AA69" s="9">
        <f>AA37-SUM(CF37:CI37)</f>
        <v>8320.9200000000019</v>
      </c>
      <c r="AB69" s="15">
        <f>AB37-SUM(CM37:CP37)</f>
        <v>0</v>
      </c>
      <c r="AC69" s="15">
        <f>AC37-SUM(CQ37:CT37)</f>
        <v>0</v>
      </c>
      <c r="AD69" s="15">
        <f>AD37-SUM(CU37:CX37)</f>
        <v>0</v>
      </c>
      <c r="AE69" s="15">
        <f>AE37-SUM(CY37:DB37)</f>
        <v>0</v>
      </c>
      <c r="CM69" s="59"/>
      <c r="CN69" s="59"/>
      <c r="CO69" s="59"/>
      <c r="CP69" s="59"/>
      <c r="CQ69" s="59"/>
      <c r="CR69" s="59"/>
      <c r="CS69" s="59"/>
      <c r="CT69" s="59"/>
      <c r="CU69" s="59"/>
      <c r="CV69" s="59"/>
      <c r="CW69" s="59"/>
      <c r="CX69" s="59"/>
      <c r="CY69" s="59"/>
      <c r="CZ69" s="59"/>
      <c r="DA69" s="59"/>
      <c r="DB69" s="59"/>
      <c r="DE69" s="133"/>
      <c r="DF69" s="9">
        <v>0</v>
      </c>
    </row>
    <row r="70" spans="1:110" s="9" customFormat="1" x14ac:dyDescent="0.2">
      <c r="A70" s="9" t="s">
        <v>456</v>
      </c>
      <c r="N70" s="9">
        <f>N57-SUM(AI57:AL57)</f>
        <v>1.2732925824820995E-11</v>
      </c>
      <c r="O70" s="9">
        <f>O57-SUM(AM57:AP57)</f>
        <v>3.5925040720030665E-11</v>
      </c>
      <c r="P70" s="9">
        <f>P57-SUM(AQ57:AT57)</f>
        <v>-1.0459189070388675E-11</v>
      </c>
      <c r="Q70" s="9">
        <f>Q57-SUM(AU57:AX57)</f>
        <v>92.490000000004329</v>
      </c>
      <c r="R70" s="9">
        <f>R57-SUM(AY57:BB57)</f>
        <v>0</v>
      </c>
      <c r="S70" s="9">
        <f>S57-SUM(BC57:BF57)</f>
        <v>0</v>
      </c>
      <c r="T70" s="9">
        <f>T57-SUM(BG57:BJ57)</f>
        <v>9.9999999874853529E-3</v>
      </c>
      <c r="U70" s="9">
        <f>U57-SUM(BK57:BN57)</f>
        <v>-2.1373125491663814E-11</v>
      </c>
      <c r="V70" s="9">
        <f>V57-SUM(BO57:BR57)</f>
        <v>9.0949470177292824E-12</v>
      </c>
      <c r="W70" s="9">
        <f>W50-SUM(BS50:BV50)</f>
        <v>0</v>
      </c>
      <c r="X70" s="9">
        <f>X50-SUM(BW50:BZ50)</f>
        <v>2.2737367544323206E-11</v>
      </c>
      <c r="Y70" s="9">
        <f>Y50-SUM(CA50:CD50)</f>
        <v>-2.4556356947869062E-11</v>
      </c>
      <c r="Z70" s="9">
        <f>Z50-SUM(CE50:CH50)</f>
        <v>-1.9099388737231493E-11</v>
      </c>
      <c r="AA70" s="9">
        <f>AA50-SUM(CF50:CI50)</f>
        <v>6836.3999999999978</v>
      </c>
      <c r="AB70" s="15">
        <f>AB50-SUM(CM50:CP50)</f>
        <v>0</v>
      </c>
      <c r="AC70" s="15">
        <f>AC50-SUM(CQ50:CT50)</f>
        <v>-2.9103830456733704E-11</v>
      </c>
      <c r="AD70" s="15">
        <f>AD50-SUM(CU50:CX50)</f>
        <v>0</v>
      </c>
      <c r="AE70" s="15">
        <f>AE50-SUM(CY50:DB50)</f>
        <v>0</v>
      </c>
      <c r="CM70" s="59"/>
      <c r="CN70" s="59"/>
      <c r="CO70" s="59"/>
      <c r="CP70" s="59"/>
      <c r="CQ70" s="59"/>
      <c r="CR70" s="59"/>
      <c r="CS70" s="59"/>
      <c r="CT70" s="59"/>
      <c r="CU70" s="59"/>
      <c r="CV70" s="59"/>
      <c r="CW70" s="59"/>
      <c r="CX70" s="59"/>
      <c r="CY70" s="59"/>
      <c r="CZ70" s="59"/>
      <c r="DA70" s="59"/>
      <c r="DB70" s="59"/>
      <c r="DE70" s="133"/>
      <c r="DF70" s="9">
        <v>0</v>
      </c>
    </row>
    <row r="71" spans="1:110" s="8" customFormat="1" x14ac:dyDescent="0.2">
      <c r="A71" s="149" t="s">
        <v>489</v>
      </c>
      <c r="AB71" s="58"/>
      <c r="AC71" s="58"/>
      <c r="AD71" s="58"/>
      <c r="AE71" s="58"/>
      <c r="CM71" s="54"/>
      <c r="CN71" s="54"/>
      <c r="CO71" s="54"/>
      <c r="CP71" s="54"/>
      <c r="CQ71" s="54"/>
      <c r="CR71" s="54"/>
      <c r="CS71" s="54"/>
      <c r="CT71" s="54"/>
      <c r="CU71" s="54"/>
      <c r="CV71" s="54"/>
      <c r="CW71" s="54"/>
      <c r="CX71" s="54"/>
      <c r="CY71" s="54"/>
      <c r="CZ71" s="54"/>
      <c r="DA71" s="54"/>
      <c r="DB71" s="54"/>
      <c r="DE71" s="132"/>
      <c r="DF71" s="190"/>
    </row>
    <row r="72" spans="1:110" s="3" customFormat="1" x14ac:dyDescent="0.2">
      <c r="A72" s="3" t="s">
        <v>27</v>
      </c>
      <c r="B72" s="3">
        <f>'Annual Raw'!C104</f>
        <v>367.77</v>
      </c>
      <c r="C72" s="3">
        <f>'Annual Raw'!D104</f>
        <v>367.77</v>
      </c>
      <c r="D72" s="3">
        <f>'Annual Raw'!E104</f>
        <v>367.77</v>
      </c>
      <c r="E72" s="3">
        <f t="shared" ref="E72:Y72" ca="1" si="822">+F72</f>
        <v>0</v>
      </c>
      <c r="F72" s="3">
        <f t="shared" ca="1" si="822"/>
        <v>0</v>
      </c>
      <c r="G72" s="3">
        <f t="shared" ca="1" si="822"/>
        <v>0</v>
      </c>
      <c r="H72" s="3">
        <f t="shared" ca="1" si="822"/>
        <v>0</v>
      </c>
      <c r="I72" s="3">
        <f t="shared" ca="1" si="822"/>
        <v>0</v>
      </c>
      <c r="J72" s="3">
        <f t="shared" ca="1" si="822"/>
        <v>0</v>
      </c>
      <c r="K72" s="3">
        <f t="shared" ca="1" si="822"/>
        <v>0</v>
      </c>
      <c r="L72" s="3">
        <f t="shared" ca="1" si="822"/>
        <v>0</v>
      </c>
      <c r="M72" s="3">
        <f t="shared" ca="1" si="822"/>
        <v>0</v>
      </c>
      <c r="N72" s="3">
        <f t="shared" ca="1" si="822"/>
        <v>0</v>
      </c>
      <c r="O72" s="3">
        <f t="shared" ca="1" si="822"/>
        <v>0</v>
      </c>
      <c r="P72" s="3">
        <f t="shared" ca="1" si="822"/>
        <v>0</v>
      </c>
      <c r="Q72" s="3">
        <f t="shared" ca="1" si="822"/>
        <v>0</v>
      </c>
      <c r="R72" s="3">
        <f t="shared" ca="1" si="822"/>
        <v>0</v>
      </c>
      <c r="S72" s="3">
        <f t="shared" ca="1" si="822"/>
        <v>0</v>
      </c>
      <c r="T72" s="3">
        <f t="shared" ca="1" si="822"/>
        <v>0</v>
      </c>
      <c r="U72" s="3">
        <f t="shared" ca="1" si="822"/>
        <v>0</v>
      </c>
      <c r="V72" s="3">
        <f t="shared" ca="1" si="822"/>
        <v>0</v>
      </c>
      <c r="W72" s="3">
        <f t="shared" ca="1" si="822"/>
        <v>0</v>
      </c>
      <c r="X72" s="3">
        <f t="shared" ca="1" si="822"/>
        <v>0</v>
      </c>
      <c r="Y72" s="3">
        <f t="shared" ca="1" si="822"/>
        <v>0</v>
      </c>
      <c r="Z72" s="3">
        <f ca="1">+AA72</f>
        <v>0</v>
      </c>
      <c r="AA72" s="3">
        <f ca="1">+AB72</f>
        <v>0</v>
      </c>
      <c r="AB72" s="37">
        <f t="shared" ref="AB72:AB73" ca="1" si="823">AA72</f>
        <v>0</v>
      </c>
      <c r="AC72" s="37">
        <f t="shared" ref="AC72:AC73" ca="1" si="824">AB72</f>
        <v>0</v>
      </c>
      <c r="AD72" s="37">
        <f t="shared" ref="AD72:AD73" ca="1" si="825">AC72</f>
        <v>0</v>
      </c>
      <c r="AE72" s="37">
        <f t="shared" ref="AE72:AE73" ca="1" si="826">AD72</f>
        <v>0</v>
      </c>
      <c r="AI72" s="3">
        <f t="shared" ref="AI72:CH72" si="827">+AJ72</f>
        <v>1247.44</v>
      </c>
      <c r="AJ72" s="3">
        <f t="shared" si="827"/>
        <v>1247.44</v>
      </c>
      <c r="AK72" s="3">
        <f t="shared" si="827"/>
        <v>1247.44</v>
      </c>
      <c r="AL72" s="3">
        <f t="shared" si="827"/>
        <v>1247.44</v>
      </c>
      <c r="AM72" s="3">
        <f t="shared" si="827"/>
        <v>1247.44</v>
      </c>
      <c r="AN72" s="3">
        <f t="shared" si="827"/>
        <v>1247.44</v>
      </c>
      <c r="AO72" s="3">
        <f t="shared" si="827"/>
        <v>1247.44</v>
      </c>
      <c r="AP72" s="3">
        <f t="shared" si="827"/>
        <v>1247.44</v>
      </c>
      <c r="AQ72" s="3">
        <f t="shared" si="827"/>
        <v>1247.44</v>
      </c>
      <c r="AR72" s="3">
        <f t="shared" si="827"/>
        <v>1247.44</v>
      </c>
      <c r="AS72" s="3">
        <f t="shared" si="827"/>
        <v>1247.44</v>
      </c>
      <c r="AT72" s="3">
        <f t="shared" si="827"/>
        <v>1247.44</v>
      </c>
      <c r="AU72" s="3">
        <f t="shared" si="827"/>
        <v>1247.44</v>
      </c>
      <c r="AV72" s="3">
        <f t="shared" si="827"/>
        <v>1247.44</v>
      </c>
      <c r="AW72" s="3">
        <f t="shared" si="827"/>
        <v>1247.44</v>
      </c>
      <c r="AX72" s="3">
        <f t="shared" si="827"/>
        <v>1247.44</v>
      </c>
      <c r="AY72" s="3">
        <f t="shared" si="827"/>
        <v>1247.44</v>
      </c>
      <c r="AZ72" s="3">
        <f t="shared" si="827"/>
        <v>1247.44</v>
      </c>
      <c r="BA72" s="3">
        <f t="shared" si="827"/>
        <v>1247.44</v>
      </c>
      <c r="BB72" s="3">
        <f t="shared" si="827"/>
        <v>1247.44</v>
      </c>
      <c r="BC72" s="3">
        <f t="shared" si="827"/>
        <v>1247.44</v>
      </c>
      <c r="BD72" s="3">
        <f t="shared" si="827"/>
        <v>1247.44</v>
      </c>
      <c r="BE72" s="3">
        <f t="shared" si="827"/>
        <v>1247.44</v>
      </c>
      <c r="BF72" s="3">
        <f t="shared" si="827"/>
        <v>1247.44</v>
      </c>
      <c r="BG72" s="3">
        <f t="shared" si="827"/>
        <v>1247.44</v>
      </c>
      <c r="BH72" s="3">
        <f t="shared" si="827"/>
        <v>1247.44</v>
      </c>
      <c r="BI72" s="3">
        <f t="shared" si="827"/>
        <v>1247.44</v>
      </c>
      <c r="BJ72" s="3">
        <f t="shared" si="827"/>
        <v>1247.44</v>
      </c>
      <c r="BK72" s="3">
        <f t="shared" si="827"/>
        <v>1247.44</v>
      </c>
      <c r="BL72" s="3">
        <f t="shared" si="827"/>
        <v>1247.44</v>
      </c>
      <c r="BM72" s="3">
        <f t="shared" si="827"/>
        <v>1247.44</v>
      </c>
      <c r="BN72" s="3">
        <f t="shared" si="827"/>
        <v>1247.44</v>
      </c>
      <c r="BO72" s="3">
        <f t="shared" si="827"/>
        <v>1247.44</v>
      </c>
      <c r="BP72" s="3">
        <f t="shared" si="827"/>
        <v>1247.44</v>
      </c>
      <c r="BQ72" s="3">
        <f t="shared" si="827"/>
        <v>1247.44</v>
      </c>
      <c r="BR72" s="3">
        <f t="shared" si="827"/>
        <v>1247.44</v>
      </c>
      <c r="BS72" s="3">
        <f t="shared" si="827"/>
        <v>1247.44</v>
      </c>
      <c r="BT72" s="3">
        <f t="shared" si="827"/>
        <v>1247.44</v>
      </c>
      <c r="BU72" s="3">
        <f t="shared" si="827"/>
        <v>1247.44</v>
      </c>
      <c r="BV72" s="3">
        <f t="shared" si="827"/>
        <v>1247.44</v>
      </c>
      <c r="BW72" s="3">
        <f t="shared" si="827"/>
        <v>1247.44</v>
      </c>
      <c r="BX72" s="3">
        <f t="shared" si="827"/>
        <v>1247.44</v>
      </c>
      <c r="BY72" s="3">
        <f t="shared" si="827"/>
        <v>1247.44</v>
      </c>
      <c r="BZ72" s="3">
        <f t="shared" si="827"/>
        <v>1247.44</v>
      </c>
      <c r="CA72" s="3">
        <f t="shared" si="827"/>
        <v>1247.44</v>
      </c>
      <c r="CB72" s="3">
        <f t="shared" si="827"/>
        <v>1247.44</v>
      </c>
      <c r="CC72" s="3">
        <f t="shared" si="827"/>
        <v>1247.44</v>
      </c>
      <c r="CD72" s="3">
        <f t="shared" si="827"/>
        <v>1247.44</v>
      </c>
      <c r="CE72" s="3">
        <f t="shared" si="827"/>
        <v>1247.44</v>
      </c>
      <c r="CF72" s="3">
        <f t="shared" si="827"/>
        <v>1247.44</v>
      </c>
      <c r="CG72" s="3">
        <f t="shared" si="827"/>
        <v>1247.44</v>
      </c>
      <c r="CH72" s="3">
        <f t="shared" si="827"/>
        <v>1247.44</v>
      </c>
      <c r="CI72" s="3">
        <f>+CJ72</f>
        <v>1247.44</v>
      </c>
      <c r="CJ72" s="3">
        <f>'QTR Raw'!BD45</f>
        <v>1247.44</v>
      </c>
      <c r="CK72" s="3">
        <f>'QTR Raw'!BE45</f>
        <v>1247.44</v>
      </c>
      <c r="CL72" s="3">
        <f>'QTR Raw'!BF45</f>
        <v>1247.44</v>
      </c>
      <c r="CM72" s="37">
        <f t="shared" ref="CM72:CM73" si="828">+CL72</f>
        <v>1247.44</v>
      </c>
      <c r="CN72" s="37">
        <f t="shared" ref="CN72:CN73" si="829">+CM72</f>
        <v>1247.44</v>
      </c>
      <c r="CO72" s="37">
        <f t="shared" ref="CO72:CO73" si="830">+CN72</f>
        <v>1247.44</v>
      </c>
      <c r="CP72" s="37">
        <f t="shared" ref="CP72:CP73" si="831">+CO72</f>
        <v>1247.44</v>
      </c>
      <c r="CQ72" s="37">
        <f t="shared" ref="CQ72:CQ73" si="832">+CP72</f>
        <v>1247.44</v>
      </c>
      <c r="CR72" s="37">
        <f t="shared" ref="CR72:CR73" si="833">+CQ72</f>
        <v>1247.44</v>
      </c>
      <c r="CS72" s="37">
        <f t="shared" ref="CS72:CS73" si="834">+CR72</f>
        <v>1247.44</v>
      </c>
      <c r="CT72" s="37">
        <f t="shared" ref="CT72:CT73" si="835">+CS72</f>
        <v>1247.44</v>
      </c>
      <c r="CU72" s="37">
        <f t="shared" ref="CU72:CU73" si="836">+CT72</f>
        <v>1247.44</v>
      </c>
      <c r="CV72" s="37">
        <f t="shared" ref="CV72:CV73" si="837">+CU72</f>
        <v>1247.44</v>
      </c>
      <c r="CW72" s="37">
        <f t="shared" ref="CW72:CW73" si="838">+CV72</f>
        <v>1247.44</v>
      </c>
      <c r="CX72" s="37">
        <f t="shared" ref="CX72:CX73" si="839">+CW72</f>
        <v>1247.44</v>
      </c>
      <c r="CY72" s="37">
        <f t="shared" ref="CY72:CY73" si="840">+CX72</f>
        <v>1247.44</v>
      </c>
      <c r="CZ72" s="37">
        <f t="shared" ref="CZ72:CZ73" si="841">+CY72</f>
        <v>1247.44</v>
      </c>
      <c r="DA72" s="37">
        <f t="shared" ref="DA72:DA73" si="842">+CZ72</f>
        <v>1247.44</v>
      </c>
      <c r="DB72" s="37">
        <f t="shared" ref="DB72:DB73" si="843">+DA72</f>
        <v>1247.44</v>
      </c>
      <c r="DE72" s="134"/>
      <c r="DF72" s="3">
        <v>1247.44</v>
      </c>
    </row>
    <row r="73" spans="1:110" s="3" customFormat="1" x14ac:dyDescent="0.2">
      <c r="A73" s="3" t="s">
        <v>28</v>
      </c>
      <c r="B73" s="3">
        <f>'Annual Raw'!C105</f>
        <v>10</v>
      </c>
      <c r="C73" s="3">
        <f>'Annual Raw'!D105</f>
        <v>10</v>
      </c>
      <c r="D73" s="3">
        <f>'Annual Raw'!E105</f>
        <v>10</v>
      </c>
      <c r="E73" s="3">
        <f t="shared" ref="E73:Y73" ca="1" si="844">+F73</f>
        <v>0</v>
      </c>
      <c r="F73" s="3">
        <f t="shared" ca="1" si="844"/>
        <v>0</v>
      </c>
      <c r="G73" s="3">
        <f t="shared" ca="1" si="844"/>
        <v>0</v>
      </c>
      <c r="H73" s="3">
        <f t="shared" ca="1" si="844"/>
        <v>0</v>
      </c>
      <c r="I73" s="3">
        <f t="shared" ca="1" si="844"/>
        <v>0</v>
      </c>
      <c r="J73" s="3">
        <f t="shared" ca="1" si="844"/>
        <v>0</v>
      </c>
      <c r="K73" s="3">
        <f t="shared" ca="1" si="844"/>
        <v>0</v>
      </c>
      <c r="L73" s="3">
        <f t="shared" ca="1" si="844"/>
        <v>0</v>
      </c>
      <c r="M73" s="3">
        <f t="shared" ca="1" si="844"/>
        <v>0</v>
      </c>
      <c r="N73" s="3">
        <f t="shared" ca="1" si="844"/>
        <v>0</v>
      </c>
      <c r="O73" s="3">
        <f t="shared" ca="1" si="844"/>
        <v>0</v>
      </c>
      <c r="P73" s="3">
        <f t="shared" ca="1" si="844"/>
        <v>0</v>
      </c>
      <c r="Q73" s="3">
        <f t="shared" ca="1" si="844"/>
        <v>0</v>
      </c>
      <c r="R73" s="3">
        <f t="shared" ca="1" si="844"/>
        <v>0</v>
      </c>
      <c r="S73" s="3">
        <f t="shared" ca="1" si="844"/>
        <v>0</v>
      </c>
      <c r="T73" s="3">
        <f t="shared" ca="1" si="844"/>
        <v>0</v>
      </c>
      <c r="U73" s="3">
        <f t="shared" ca="1" si="844"/>
        <v>0</v>
      </c>
      <c r="V73" s="3">
        <f t="shared" ca="1" si="844"/>
        <v>0</v>
      </c>
      <c r="W73" s="3">
        <f t="shared" ca="1" si="844"/>
        <v>0</v>
      </c>
      <c r="X73" s="3">
        <f t="shared" ca="1" si="844"/>
        <v>0</v>
      </c>
      <c r="Y73" s="3">
        <f t="shared" ca="1" si="844"/>
        <v>0</v>
      </c>
      <c r="Z73" s="3">
        <f ca="1">+AA73</f>
        <v>0</v>
      </c>
      <c r="AA73" s="3">
        <f ca="1">+AB73</f>
        <v>0</v>
      </c>
      <c r="AB73" s="37">
        <f t="shared" ca="1" si="823"/>
        <v>0</v>
      </c>
      <c r="AC73" s="37">
        <f t="shared" ca="1" si="824"/>
        <v>0</v>
      </c>
      <c r="AD73" s="37">
        <f t="shared" ca="1" si="825"/>
        <v>0</v>
      </c>
      <c r="AE73" s="37">
        <f t="shared" ca="1" si="826"/>
        <v>0</v>
      </c>
      <c r="AI73" s="3">
        <f t="shared" ref="AI73:CH73" si="845">AJ73</f>
        <v>1</v>
      </c>
      <c r="AJ73" s="3">
        <f t="shared" si="845"/>
        <v>1</v>
      </c>
      <c r="AK73" s="3">
        <f t="shared" si="845"/>
        <v>1</v>
      </c>
      <c r="AL73" s="3">
        <f t="shared" si="845"/>
        <v>1</v>
      </c>
      <c r="AM73" s="3">
        <f t="shared" si="845"/>
        <v>1</v>
      </c>
      <c r="AN73" s="3">
        <f t="shared" si="845"/>
        <v>1</v>
      </c>
      <c r="AO73" s="3">
        <f t="shared" si="845"/>
        <v>1</v>
      </c>
      <c r="AP73" s="3">
        <f t="shared" si="845"/>
        <v>1</v>
      </c>
      <c r="AQ73" s="3">
        <f t="shared" si="845"/>
        <v>1</v>
      </c>
      <c r="AR73" s="3">
        <f t="shared" si="845"/>
        <v>1</v>
      </c>
      <c r="AS73" s="3">
        <f t="shared" si="845"/>
        <v>1</v>
      </c>
      <c r="AT73" s="3">
        <f t="shared" si="845"/>
        <v>1</v>
      </c>
      <c r="AU73" s="3">
        <f t="shared" si="845"/>
        <v>1</v>
      </c>
      <c r="AV73" s="3">
        <f t="shared" si="845"/>
        <v>1</v>
      </c>
      <c r="AW73" s="3">
        <f t="shared" si="845"/>
        <v>1</v>
      </c>
      <c r="AX73" s="3">
        <f t="shared" si="845"/>
        <v>1</v>
      </c>
      <c r="AY73" s="3">
        <f t="shared" si="845"/>
        <v>1</v>
      </c>
      <c r="AZ73" s="3">
        <f t="shared" si="845"/>
        <v>1</v>
      </c>
      <c r="BA73" s="3">
        <f t="shared" si="845"/>
        <v>1</v>
      </c>
      <c r="BB73" s="3">
        <f t="shared" si="845"/>
        <v>1</v>
      </c>
      <c r="BC73" s="3">
        <f t="shared" si="845"/>
        <v>1</v>
      </c>
      <c r="BD73" s="3">
        <f t="shared" si="845"/>
        <v>1</v>
      </c>
      <c r="BE73" s="3">
        <f t="shared" si="845"/>
        <v>1</v>
      </c>
      <c r="BF73" s="3">
        <f t="shared" si="845"/>
        <v>1</v>
      </c>
      <c r="BG73" s="3">
        <f t="shared" si="845"/>
        <v>1</v>
      </c>
      <c r="BH73" s="3">
        <f t="shared" si="845"/>
        <v>1</v>
      </c>
      <c r="BI73" s="3">
        <f t="shared" si="845"/>
        <v>1</v>
      </c>
      <c r="BJ73" s="3">
        <f t="shared" si="845"/>
        <v>1</v>
      </c>
      <c r="BK73" s="3">
        <f t="shared" si="845"/>
        <v>1</v>
      </c>
      <c r="BL73" s="3">
        <f t="shared" si="845"/>
        <v>1</v>
      </c>
      <c r="BM73" s="3">
        <f t="shared" si="845"/>
        <v>1</v>
      </c>
      <c r="BN73" s="3">
        <f t="shared" si="845"/>
        <v>1</v>
      </c>
      <c r="BO73" s="3">
        <f t="shared" si="845"/>
        <v>1</v>
      </c>
      <c r="BP73" s="3">
        <f t="shared" si="845"/>
        <v>1</v>
      </c>
      <c r="BQ73" s="3">
        <f t="shared" si="845"/>
        <v>1</v>
      </c>
      <c r="BR73" s="3">
        <f t="shared" si="845"/>
        <v>1</v>
      </c>
      <c r="BS73" s="3">
        <f t="shared" si="845"/>
        <v>1</v>
      </c>
      <c r="BT73" s="3">
        <f t="shared" si="845"/>
        <v>1</v>
      </c>
      <c r="BU73" s="3">
        <f t="shared" si="845"/>
        <v>1</v>
      </c>
      <c r="BV73" s="3">
        <f t="shared" si="845"/>
        <v>1</v>
      </c>
      <c r="BW73" s="3">
        <f t="shared" si="845"/>
        <v>1</v>
      </c>
      <c r="BX73" s="3">
        <f t="shared" si="845"/>
        <v>1</v>
      </c>
      <c r="BY73" s="3">
        <f t="shared" si="845"/>
        <v>1</v>
      </c>
      <c r="BZ73" s="3">
        <f t="shared" si="845"/>
        <v>1</v>
      </c>
      <c r="CA73" s="3">
        <f t="shared" si="845"/>
        <v>1</v>
      </c>
      <c r="CB73" s="3">
        <f t="shared" si="845"/>
        <v>1</v>
      </c>
      <c r="CC73" s="3">
        <f t="shared" si="845"/>
        <v>1</v>
      </c>
      <c r="CD73" s="3">
        <f t="shared" si="845"/>
        <v>1</v>
      </c>
      <c r="CE73" s="3">
        <f t="shared" si="845"/>
        <v>1</v>
      </c>
      <c r="CF73" s="3">
        <f t="shared" si="845"/>
        <v>1</v>
      </c>
      <c r="CG73" s="3">
        <f t="shared" si="845"/>
        <v>1</v>
      </c>
      <c r="CH73" s="3">
        <f t="shared" si="845"/>
        <v>1</v>
      </c>
      <c r="CI73" s="3">
        <f>CJ73</f>
        <v>1</v>
      </c>
      <c r="CJ73" s="3">
        <f>'QTR Raw'!BD46</f>
        <v>1</v>
      </c>
      <c r="CK73" s="3">
        <f>'QTR Raw'!BE46</f>
        <v>1</v>
      </c>
      <c r="CL73" s="3">
        <f>'QTR Raw'!BF46</f>
        <v>1</v>
      </c>
      <c r="CM73" s="37">
        <f t="shared" si="828"/>
        <v>1</v>
      </c>
      <c r="CN73" s="37">
        <f t="shared" si="829"/>
        <v>1</v>
      </c>
      <c r="CO73" s="37">
        <f t="shared" si="830"/>
        <v>1</v>
      </c>
      <c r="CP73" s="37">
        <f t="shared" si="831"/>
        <v>1</v>
      </c>
      <c r="CQ73" s="37">
        <f t="shared" si="832"/>
        <v>1</v>
      </c>
      <c r="CR73" s="37">
        <f t="shared" si="833"/>
        <v>1</v>
      </c>
      <c r="CS73" s="37">
        <f t="shared" si="834"/>
        <v>1</v>
      </c>
      <c r="CT73" s="37">
        <f t="shared" si="835"/>
        <v>1</v>
      </c>
      <c r="CU73" s="37">
        <f t="shared" si="836"/>
        <v>1</v>
      </c>
      <c r="CV73" s="37">
        <f t="shared" si="837"/>
        <v>1</v>
      </c>
      <c r="CW73" s="37">
        <f t="shared" si="838"/>
        <v>1</v>
      </c>
      <c r="CX73" s="37">
        <f t="shared" si="839"/>
        <v>1</v>
      </c>
      <c r="CY73" s="37">
        <f t="shared" si="840"/>
        <v>1</v>
      </c>
      <c r="CZ73" s="37">
        <f t="shared" si="841"/>
        <v>1</v>
      </c>
      <c r="DA73" s="37">
        <f t="shared" si="842"/>
        <v>1</v>
      </c>
      <c r="DB73" s="37">
        <f t="shared" si="843"/>
        <v>1</v>
      </c>
      <c r="DE73" s="134"/>
      <c r="DF73" s="3">
        <v>1</v>
      </c>
    </row>
    <row r="74" spans="1:110" s="3" customFormat="1" x14ac:dyDescent="0.2">
      <c r="A74" s="3" t="s">
        <v>29</v>
      </c>
      <c r="B74" s="3">
        <f>B72/B73</f>
        <v>36.777000000000001</v>
      </c>
      <c r="C74" s="3">
        <f t="shared" ref="C74:W74" si="846">C72/C73</f>
        <v>36.777000000000001</v>
      </c>
      <c r="D74" s="3">
        <f t="shared" si="846"/>
        <v>36.777000000000001</v>
      </c>
      <c r="E74" s="3" t="e">
        <f t="shared" ca="1" si="846"/>
        <v>#DIV/0!</v>
      </c>
      <c r="F74" s="3" t="e">
        <f t="shared" ca="1" si="846"/>
        <v>#DIV/0!</v>
      </c>
      <c r="G74" s="3" t="e">
        <f t="shared" ca="1" si="846"/>
        <v>#DIV/0!</v>
      </c>
      <c r="H74" s="3" t="e">
        <f t="shared" ca="1" si="846"/>
        <v>#DIV/0!</v>
      </c>
      <c r="I74" s="3" t="e">
        <f t="shared" ca="1" si="846"/>
        <v>#DIV/0!</v>
      </c>
      <c r="J74" s="3" t="e">
        <f t="shared" ca="1" si="846"/>
        <v>#DIV/0!</v>
      </c>
      <c r="K74" s="3" t="e">
        <f t="shared" ca="1" si="846"/>
        <v>#DIV/0!</v>
      </c>
      <c r="L74" s="3" t="e">
        <f t="shared" ca="1" si="846"/>
        <v>#DIV/0!</v>
      </c>
      <c r="M74" s="3" t="e">
        <f t="shared" ca="1" si="846"/>
        <v>#DIV/0!</v>
      </c>
      <c r="N74" s="3" t="e">
        <f t="shared" ca="1" si="846"/>
        <v>#DIV/0!</v>
      </c>
      <c r="O74" s="3" t="e">
        <f t="shared" ca="1" si="846"/>
        <v>#DIV/0!</v>
      </c>
      <c r="P74" s="3" t="e">
        <f t="shared" ca="1" si="846"/>
        <v>#DIV/0!</v>
      </c>
      <c r="Q74" s="3" t="e">
        <f t="shared" ca="1" si="846"/>
        <v>#DIV/0!</v>
      </c>
      <c r="R74" s="3" t="e">
        <f t="shared" ca="1" si="846"/>
        <v>#DIV/0!</v>
      </c>
      <c r="S74" s="3" t="e">
        <f t="shared" ca="1" si="846"/>
        <v>#DIV/0!</v>
      </c>
      <c r="T74" s="3" t="e">
        <f t="shared" ca="1" si="846"/>
        <v>#DIV/0!</v>
      </c>
      <c r="U74" s="3" t="e">
        <f t="shared" ca="1" si="846"/>
        <v>#DIV/0!</v>
      </c>
      <c r="V74" s="3" t="e">
        <f ca="1">V72/V73</f>
        <v>#DIV/0!</v>
      </c>
      <c r="W74" s="3" t="e">
        <f t="shared" ca="1" si="846"/>
        <v>#DIV/0!</v>
      </c>
      <c r="X74" s="3" t="e">
        <f t="shared" ref="X74:Y74" ca="1" si="847">X72/X73</f>
        <v>#DIV/0!</v>
      </c>
      <c r="Y74" s="3" t="e">
        <f t="shared" ca="1" si="847"/>
        <v>#DIV/0!</v>
      </c>
      <c r="Z74" s="3" t="e">
        <f t="shared" ref="Z74:AA74" ca="1" si="848">Z72/Z73</f>
        <v>#DIV/0!</v>
      </c>
      <c r="AA74" s="3" t="e">
        <f t="shared" ca="1" si="848"/>
        <v>#DIV/0!</v>
      </c>
      <c r="AB74" s="37" t="e">
        <f t="shared" ref="AA74:AD74" ca="1" si="849">AB72/AB73</f>
        <v>#DIV/0!</v>
      </c>
      <c r="AC74" s="37" t="e">
        <f t="shared" ca="1" si="849"/>
        <v>#DIV/0!</v>
      </c>
      <c r="AD74" s="37" t="e">
        <f t="shared" ca="1" si="849"/>
        <v>#DIV/0!</v>
      </c>
      <c r="AE74" s="37" t="e">
        <f t="shared" ref="AE74" ca="1" si="850">AE72/AE73</f>
        <v>#DIV/0!</v>
      </c>
      <c r="AI74" s="3">
        <f t="shared" ref="AI74" si="851">AI72/AI73</f>
        <v>1247.44</v>
      </c>
      <c r="AJ74" s="3">
        <f t="shared" ref="AJ74" si="852">AJ72/AJ73</f>
        <v>1247.44</v>
      </c>
      <c r="AK74" s="3">
        <f t="shared" ref="AK74:AM74" si="853">AK72/AK73</f>
        <v>1247.44</v>
      </c>
      <c r="AL74" s="3">
        <f t="shared" si="853"/>
        <v>1247.44</v>
      </c>
      <c r="AM74" s="3">
        <f t="shared" si="853"/>
        <v>1247.44</v>
      </c>
      <c r="AN74" s="3">
        <f t="shared" ref="AN74:AO74" si="854">AN72/AN73</f>
        <v>1247.44</v>
      </c>
      <c r="AO74" s="3">
        <f t="shared" si="854"/>
        <v>1247.44</v>
      </c>
      <c r="AP74" s="3">
        <f t="shared" ref="AP74:CD74" si="855">AP72/AP73</f>
        <v>1247.44</v>
      </c>
      <c r="AQ74" s="3">
        <f t="shared" si="855"/>
        <v>1247.44</v>
      </c>
      <c r="AR74" s="3">
        <f t="shared" si="855"/>
        <v>1247.44</v>
      </c>
      <c r="AS74" s="3">
        <f t="shared" si="855"/>
        <v>1247.44</v>
      </c>
      <c r="AT74" s="3">
        <f t="shared" si="855"/>
        <v>1247.44</v>
      </c>
      <c r="AU74" s="3">
        <f t="shared" si="855"/>
        <v>1247.44</v>
      </c>
      <c r="AV74" s="3">
        <f t="shared" si="855"/>
        <v>1247.44</v>
      </c>
      <c r="AW74" s="3">
        <f t="shared" si="855"/>
        <v>1247.44</v>
      </c>
      <c r="AX74" s="3">
        <f t="shared" si="855"/>
        <v>1247.44</v>
      </c>
      <c r="AY74" s="3">
        <f t="shared" si="855"/>
        <v>1247.44</v>
      </c>
      <c r="AZ74" s="3">
        <f t="shared" si="855"/>
        <v>1247.44</v>
      </c>
      <c r="BA74" s="3">
        <f t="shared" si="855"/>
        <v>1247.44</v>
      </c>
      <c r="BB74" s="3">
        <f t="shared" si="855"/>
        <v>1247.44</v>
      </c>
      <c r="BC74" s="3">
        <f t="shared" si="855"/>
        <v>1247.44</v>
      </c>
      <c r="BD74" s="3">
        <f t="shared" si="855"/>
        <v>1247.44</v>
      </c>
      <c r="BE74" s="3">
        <f t="shared" si="855"/>
        <v>1247.44</v>
      </c>
      <c r="BF74" s="3">
        <f t="shared" si="855"/>
        <v>1247.44</v>
      </c>
      <c r="BG74" s="3">
        <f t="shared" si="855"/>
        <v>1247.44</v>
      </c>
      <c r="BH74" s="3">
        <f t="shared" si="855"/>
        <v>1247.44</v>
      </c>
      <c r="BI74" s="3">
        <f t="shared" si="855"/>
        <v>1247.44</v>
      </c>
      <c r="BJ74" s="3">
        <f t="shared" si="855"/>
        <v>1247.44</v>
      </c>
      <c r="BK74" s="3">
        <f t="shared" si="855"/>
        <v>1247.44</v>
      </c>
      <c r="BL74" s="3">
        <f t="shared" si="855"/>
        <v>1247.44</v>
      </c>
      <c r="BM74" s="3">
        <f t="shared" si="855"/>
        <v>1247.44</v>
      </c>
      <c r="BN74" s="3">
        <f t="shared" si="855"/>
        <v>1247.44</v>
      </c>
      <c r="BO74" s="3">
        <f t="shared" si="855"/>
        <v>1247.44</v>
      </c>
      <c r="BP74" s="3">
        <f t="shared" si="855"/>
        <v>1247.44</v>
      </c>
      <c r="BQ74" s="3">
        <f t="shared" si="855"/>
        <v>1247.44</v>
      </c>
      <c r="BR74" s="3">
        <f t="shared" si="855"/>
        <v>1247.44</v>
      </c>
      <c r="BS74" s="3">
        <f t="shared" si="855"/>
        <v>1247.44</v>
      </c>
      <c r="BT74" s="3">
        <f t="shared" si="855"/>
        <v>1247.44</v>
      </c>
      <c r="BU74" s="3">
        <f t="shared" si="855"/>
        <v>1247.44</v>
      </c>
      <c r="BV74" s="3">
        <f t="shared" si="855"/>
        <v>1247.44</v>
      </c>
      <c r="BW74" s="3">
        <f t="shared" si="855"/>
        <v>1247.44</v>
      </c>
      <c r="BX74" s="3">
        <f t="shared" si="855"/>
        <v>1247.44</v>
      </c>
      <c r="BY74" s="3">
        <f t="shared" si="855"/>
        <v>1247.44</v>
      </c>
      <c r="BZ74" s="3">
        <f t="shared" si="855"/>
        <v>1247.44</v>
      </c>
      <c r="CA74" s="3">
        <f t="shared" si="855"/>
        <v>1247.44</v>
      </c>
      <c r="CB74" s="3">
        <f t="shared" si="855"/>
        <v>1247.44</v>
      </c>
      <c r="CC74" s="3">
        <f t="shared" si="855"/>
        <v>1247.44</v>
      </c>
      <c r="CD74" s="3">
        <f t="shared" si="855"/>
        <v>1247.44</v>
      </c>
      <c r="CE74" s="3">
        <f t="shared" ref="CE74:CF74" si="856">CE72/CE73</f>
        <v>1247.44</v>
      </c>
      <c r="CF74" s="3">
        <f t="shared" si="856"/>
        <v>1247.44</v>
      </c>
      <c r="CG74" s="3">
        <f t="shared" ref="CG74:CH74" si="857">CG72/CG73</f>
        <v>1247.44</v>
      </c>
      <c r="CH74" s="3">
        <f t="shared" si="857"/>
        <v>1247.44</v>
      </c>
      <c r="CI74" s="3">
        <f t="shared" ref="CI74:CJ74" si="858">CI72/CI73</f>
        <v>1247.44</v>
      </c>
      <c r="CJ74" s="3">
        <f t="shared" si="858"/>
        <v>1247.44</v>
      </c>
      <c r="CK74" s="3">
        <f t="shared" ref="CK74:CL74" si="859">CK72/CK73</f>
        <v>1247.44</v>
      </c>
      <c r="CL74" s="3">
        <f t="shared" si="859"/>
        <v>1247.44</v>
      </c>
      <c r="CM74" s="37">
        <f t="shared" ref="CM74:DB74" si="860">CM72/CM73</f>
        <v>1247.44</v>
      </c>
      <c r="CN74" s="37">
        <f t="shared" si="860"/>
        <v>1247.44</v>
      </c>
      <c r="CO74" s="37">
        <f t="shared" si="860"/>
        <v>1247.44</v>
      </c>
      <c r="CP74" s="37">
        <f t="shared" si="860"/>
        <v>1247.44</v>
      </c>
      <c r="CQ74" s="37">
        <f t="shared" si="860"/>
        <v>1247.44</v>
      </c>
      <c r="CR74" s="37">
        <f t="shared" si="860"/>
        <v>1247.44</v>
      </c>
      <c r="CS74" s="37">
        <f t="shared" si="860"/>
        <v>1247.44</v>
      </c>
      <c r="CT74" s="37">
        <f t="shared" si="860"/>
        <v>1247.44</v>
      </c>
      <c r="CU74" s="37">
        <f t="shared" si="860"/>
        <v>1247.44</v>
      </c>
      <c r="CV74" s="37">
        <f t="shared" si="860"/>
        <v>1247.44</v>
      </c>
      <c r="CW74" s="37">
        <f t="shared" si="860"/>
        <v>1247.44</v>
      </c>
      <c r="CX74" s="37">
        <f t="shared" si="860"/>
        <v>1247.44</v>
      </c>
      <c r="CY74" s="37">
        <f t="shared" si="860"/>
        <v>1247.44</v>
      </c>
      <c r="CZ74" s="37">
        <f t="shared" si="860"/>
        <v>1247.44</v>
      </c>
      <c r="DA74" s="37">
        <f t="shared" si="860"/>
        <v>1247.44</v>
      </c>
      <c r="DB74" s="37">
        <f t="shared" si="860"/>
        <v>1247.44</v>
      </c>
      <c r="DE74" s="134"/>
      <c r="DF74" s="3">
        <v>1247.44</v>
      </c>
    </row>
    <row r="75" spans="1:110" s="53" customFormat="1" x14ac:dyDescent="0.2">
      <c r="A75" s="53" t="s">
        <v>30</v>
      </c>
      <c r="B75" s="53">
        <f t="shared" ref="B75:AE75" si="861">(B57-B56)/B74</f>
        <v>22.820784729586425</v>
      </c>
      <c r="C75" s="53">
        <f t="shared" si="861"/>
        <v>11.120809201403064</v>
      </c>
      <c r="D75" s="53">
        <f t="shared" si="861"/>
        <v>34.685537156374885</v>
      </c>
      <c r="E75" s="53" t="e">
        <f t="shared" ca="1" si="861"/>
        <v>#DIV/0!</v>
      </c>
      <c r="F75" s="53" t="e">
        <f t="shared" ca="1" si="861"/>
        <v>#DIV/0!</v>
      </c>
      <c r="G75" s="53" t="e">
        <f t="shared" ca="1" si="861"/>
        <v>#DIV/0!</v>
      </c>
      <c r="H75" s="53" t="e">
        <f t="shared" ca="1" si="861"/>
        <v>#DIV/0!</v>
      </c>
      <c r="I75" s="53" t="e">
        <f t="shared" ca="1" si="861"/>
        <v>#DIV/0!</v>
      </c>
      <c r="J75" s="53" t="e">
        <f t="shared" ca="1" si="861"/>
        <v>#DIV/0!</v>
      </c>
      <c r="K75" s="53" t="e">
        <f t="shared" ca="1" si="861"/>
        <v>#DIV/0!</v>
      </c>
      <c r="L75" s="53" t="e">
        <f t="shared" ca="1" si="861"/>
        <v>#DIV/0!</v>
      </c>
      <c r="M75" s="53" t="e">
        <f t="shared" ca="1" si="861"/>
        <v>#DIV/0!</v>
      </c>
      <c r="N75" s="53" t="e">
        <f t="shared" ca="1" si="861"/>
        <v>#DIV/0!</v>
      </c>
      <c r="O75" s="53" t="e">
        <f t="shared" ca="1" si="861"/>
        <v>#DIV/0!</v>
      </c>
      <c r="P75" s="53" t="e">
        <f t="shared" ca="1" si="861"/>
        <v>#DIV/0!</v>
      </c>
      <c r="Q75" s="53" t="e">
        <f t="shared" ca="1" si="861"/>
        <v>#DIV/0!</v>
      </c>
      <c r="R75" s="53" t="e">
        <f t="shared" ca="1" si="861"/>
        <v>#DIV/0!</v>
      </c>
      <c r="S75" s="53" t="e">
        <f t="shared" ca="1" si="861"/>
        <v>#DIV/0!</v>
      </c>
      <c r="T75" s="53" t="e">
        <f t="shared" ca="1" si="861"/>
        <v>#DIV/0!</v>
      </c>
      <c r="U75" s="53" t="e">
        <f t="shared" ca="1" si="861"/>
        <v>#DIV/0!</v>
      </c>
      <c r="V75" s="53" t="e">
        <f t="shared" ca="1" si="861"/>
        <v>#DIV/0!</v>
      </c>
      <c r="W75" s="53" t="e">
        <f t="shared" ca="1" si="861"/>
        <v>#DIV/0!</v>
      </c>
      <c r="X75" s="53" t="e">
        <f t="shared" ca="1" si="861"/>
        <v>#DIV/0!</v>
      </c>
      <c r="Y75" s="53" t="e">
        <f t="shared" ca="1" si="861"/>
        <v>#DIV/0!</v>
      </c>
      <c r="Z75" s="53" t="e">
        <f t="shared" ca="1" si="861"/>
        <v>#DIV/0!</v>
      </c>
      <c r="AA75" s="53" t="e">
        <f t="shared" ref="AA75" ca="1" si="862">(AA57-AA56)/AA74</f>
        <v>#DIV/0!</v>
      </c>
      <c r="AB75" s="54" t="e">
        <f t="shared" ca="1" si="861"/>
        <v>#DIV/0!</v>
      </c>
      <c r="AC75" s="54" t="e">
        <f t="shared" ca="1" si="861"/>
        <v>#DIV/0!</v>
      </c>
      <c r="AD75" s="54" t="e">
        <f t="shared" ca="1" si="861"/>
        <v>#DIV/0!</v>
      </c>
      <c r="AE75" s="54" t="e">
        <f t="shared" ca="1" si="861"/>
        <v>#DIV/0!</v>
      </c>
      <c r="AI75" s="53">
        <f t="shared" ref="AI75:BN75" si="863">(AI57-AI56)/AI74</f>
        <v>0.47928557686141859</v>
      </c>
      <c r="AJ75" s="53">
        <f t="shared" si="863"/>
        <v>-0.32595555698069512</v>
      </c>
      <c r="AK75" s="53">
        <f t="shared" si="863"/>
        <v>-0.59584428910408371</v>
      </c>
      <c r="AL75" s="53">
        <f t="shared" si="863"/>
        <v>0.70886776117488504</v>
      </c>
      <c r="AM75" s="53">
        <f t="shared" si="863"/>
        <v>0.89884082601166981</v>
      </c>
      <c r="AN75" s="53">
        <f t="shared" si="863"/>
        <v>0.73492111845058306</v>
      </c>
      <c r="AO75" s="53">
        <f t="shared" si="863"/>
        <v>0.40306547809915039</v>
      </c>
      <c r="AP75" s="53">
        <f t="shared" si="863"/>
        <v>0.86714391072916897</v>
      </c>
      <c r="AQ75" s="53">
        <f t="shared" si="863"/>
        <v>0.48083274546270455</v>
      </c>
      <c r="AR75" s="53">
        <f t="shared" si="863"/>
        <v>8.7635477457833219E-2</v>
      </c>
      <c r="AS75" s="53">
        <f t="shared" si="863"/>
        <v>0.12594593727955086</v>
      </c>
      <c r="AT75" s="53">
        <f t="shared" si="863"/>
        <v>-0.69188898864875492</v>
      </c>
      <c r="AU75" s="53">
        <f t="shared" si="863"/>
        <v>0.13153338036298359</v>
      </c>
      <c r="AV75" s="53">
        <f t="shared" si="863"/>
        <v>-0.30555377412942059</v>
      </c>
      <c r="AW75" s="53">
        <f t="shared" si="863"/>
        <v>-1.3840345026614504</v>
      </c>
      <c r="AX75" s="53">
        <f t="shared" si="863"/>
        <v>-0.3226688257551496</v>
      </c>
      <c r="AY75" s="53">
        <f t="shared" si="863"/>
        <v>0.28347655999487015</v>
      </c>
      <c r="AZ75" s="53">
        <f t="shared" si="863"/>
        <v>-1.6553902392100486E-2</v>
      </c>
      <c r="BA75" s="53">
        <f t="shared" si="863"/>
        <v>0.2174052459436937</v>
      </c>
      <c r="BB75" s="53">
        <f t="shared" si="863"/>
        <v>2.680249150259737</v>
      </c>
      <c r="BC75" s="53">
        <f t="shared" si="863"/>
        <v>1.2306724171102403</v>
      </c>
      <c r="BD75" s="53">
        <f t="shared" si="863"/>
        <v>0.81809145129224636</v>
      </c>
      <c r="BE75" s="53">
        <f t="shared" si="863"/>
        <v>1.9319245815430004</v>
      </c>
      <c r="BF75" s="53">
        <f t="shared" si="863"/>
        <v>-0.98263643942795187</v>
      </c>
      <c r="BG75" s="53">
        <f t="shared" si="863"/>
        <v>1.818724748284485</v>
      </c>
      <c r="BH75" s="53">
        <f t="shared" si="863"/>
        <v>2.7360674661707125</v>
      </c>
      <c r="BI75" s="53">
        <f t="shared" si="863"/>
        <v>1.8575482588340912</v>
      </c>
      <c r="BJ75" s="53">
        <f t="shared" si="863"/>
        <v>1.9473882511383334</v>
      </c>
      <c r="BK75" s="53">
        <f t="shared" si="863"/>
        <v>0.54690405951388532</v>
      </c>
      <c r="BL75" s="53">
        <f t="shared" si="863"/>
        <v>3.3509667799653697</v>
      </c>
      <c r="BM75" s="53">
        <f t="shared" si="863"/>
        <v>-0.55572211889950041</v>
      </c>
      <c r="BN75" s="53">
        <f t="shared" si="863"/>
        <v>1.9017347527736761</v>
      </c>
      <c r="BO75" s="53">
        <f t="shared" ref="BO75:CT75" si="864">(BO57-BO56)/BO74</f>
        <v>-3.5872827550824109</v>
      </c>
      <c r="BP75" s="53">
        <f t="shared" si="864"/>
        <v>1.2202991727057004</v>
      </c>
      <c r="BQ75" s="53">
        <f t="shared" si="864"/>
        <v>3.0869380491246101</v>
      </c>
      <c r="BR75" s="53">
        <f t="shared" si="864"/>
        <v>6.1207593150772794</v>
      </c>
      <c r="BS75" s="53">
        <f t="shared" si="864"/>
        <v>7.2863464375040072</v>
      </c>
      <c r="BT75" s="53">
        <f t="shared" si="864"/>
        <v>9.1404396203424643</v>
      </c>
      <c r="BU75" s="53">
        <f t="shared" si="864"/>
        <v>7.8288895658308206</v>
      </c>
      <c r="BV75" s="53">
        <f t="shared" si="864"/>
        <v>8.0408596806259283</v>
      </c>
      <c r="BW75" s="53">
        <f t="shared" si="864"/>
        <v>6.2561726415699308</v>
      </c>
      <c r="BX75" s="53">
        <f t="shared" si="864"/>
        <v>1.2295982171487261</v>
      </c>
      <c r="BY75" s="53">
        <f t="shared" si="864"/>
        <v>-1.9112582569101522</v>
      </c>
      <c r="BZ75" s="53">
        <f t="shared" si="864"/>
        <v>1.3573959468992502</v>
      </c>
      <c r="CA75" s="53">
        <f t="shared" si="864"/>
        <v>0.4974427627781734</v>
      </c>
      <c r="CB75" s="53">
        <f t="shared" si="864"/>
        <v>0.56328160071827083</v>
      </c>
      <c r="CC75" s="53">
        <f t="shared" si="864"/>
        <v>0.67939139357404787</v>
      </c>
      <c r="CD75" s="53">
        <f t="shared" si="864"/>
        <v>0.9667398832809545</v>
      </c>
      <c r="CE75" s="53">
        <f t="shared" si="864"/>
        <v>1.0561950875392809</v>
      </c>
      <c r="CF75" s="53">
        <f t="shared" si="864"/>
        <v>0.65362662733278387</v>
      </c>
      <c r="CG75" s="53">
        <f t="shared" si="864"/>
        <v>0.36300743923555295</v>
      </c>
      <c r="CH75" s="53">
        <f t="shared" si="864"/>
        <v>1.3543096261142893</v>
      </c>
      <c r="CI75" s="53">
        <f t="shared" si="864"/>
        <v>1.7714679663951773</v>
      </c>
      <c r="CJ75" s="53">
        <f t="shared" si="864"/>
        <v>2.8235105496055928</v>
      </c>
      <c r="CK75" s="53">
        <f t="shared" ref="CK75:CL75" si="865">(CK57-CK56)/CK74</f>
        <v>2.2675078560892716</v>
      </c>
      <c r="CL75" s="53">
        <f t="shared" si="865"/>
        <v>2.6179936509972395</v>
      </c>
      <c r="CM75" s="54">
        <f t="shared" si="864"/>
        <v>2.5772769874680459</v>
      </c>
      <c r="CN75" s="54">
        <f t="shared" si="864"/>
        <v>3.2082010625026016</v>
      </c>
      <c r="CO75" s="54">
        <f t="shared" si="864"/>
        <v>3.7050975709310259</v>
      </c>
      <c r="CP75" s="54">
        <f t="shared" si="864"/>
        <v>4.4682238871217521</v>
      </c>
      <c r="CQ75" s="54">
        <f t="shared" si="864"/>
        <v>3.2348127115131664</v>
      </c>
      <c r="CR75" s="54">
        <f t="shared" si="864"/>
        <v>3.764240674437183</v>
      </c>
      <c r="CS75" s="54">
        <f t="shared" si="864"/>
        <v>4.4531942310921337</v>
      </c>
      <c r="CT75" s="54">
        <f t="shared" si="864"/>
        <v>5.0101219835278377</v>
      </c>
      <c r="CU75" s="54">
        <f t="shared" ref="CU75:DB75" si="866">(CU57-CU56)/CU74</f>
        <v>3.9424571289315713</v>
      </c>
      <c r="CV75" s="54">
        <f t="shared" si="866"/>
        <v>4.5535744958645408</v>
      </c>
      <c r="CW75" s="54">
        <f t="shared" si="866"/>
        <v>5.3467294392421163</v>
      </c>
      <c r="CX75" s="54">
        <f t="shared" si="866"/>
        <v>5.9609512078748335</v>
      </c>
      <c r="CY75" s="54">
        <f t="shared" si="866"/>
        <v>5.005872241326669</v>
      </c>
      <c r="CZ75" s="54">
        <f t="shared" si="866"/>
        <v>5.6375919409559581</v>
      </c>
      <c r="DA75" s="54">
        <f t="shared" si="866"/>
        <v>6.474107482640215</v>
      </c>
      <c r="DB75" s="54">
        <f t="shared" si="866"/>
        <v>7.1261695122411108</v>
      </c>
      <c r="DE75" s="132"/>
      <c r="DF75" s="53">
        <v>2.7248682115787175</v>
      </c>
    </row>
    <row r="76" spans="1:110" s="3" customFormat="1" x14ac:dyDescent="0.2">
      <c r="A76" s="3" t="s">
        <v>31</v>
      </c>
      <c r="B76" s="3">
        <f>'Annual Raw'!C110</f>
        <v>0.28068914014670499</v>
      </c>
      <c r="C76" s="3">
        <f>'Annual Raw'!D110</f>
        <v>0.22455131211736401</v>
      </c>
      <c r="D76" s="3">
        <f>'Annual Raw'!E110</f>
        <v>0.44910262423472902</v>
      </c>
      <c r="E76" s="3">
        <f>'Annual Raw'!F110</f>
        <v>0.56137828029341097</v>
      </c>
      <c r="F76" s="3">
        <f>'Annual Raw'!G110</f>
        <v>1.09468764657215</v>
      </c>
      <c r="G76" s="3">
        <f>'Annual Raw'!H110</f>
        <v>1.09468764657215</v>
      </c>
      <c r="H76" s="3">
        <f>'Annual Raw'!I110</f>
        <v>1.3052045016821801</v>
      </c>
      <c r="I76" s="3">
        <f>'Annual Raw'!J110</f>
        <v>1.52443538401001</v>
      </c>
      <c r="J76" s="3">
        <f>'Annual Raw'!K110</f>
        <v>1.52443538401001</v>
      </c>
      <c r="K76" s="3">
        <f>'Annual Raw'!L110</f>
        <v>0.762217692005007</v>
      </c>
      <c r="L76" s="3">
        <f>'Annual Raw'!M110</f>
        <v>1.1433265380075099</v>
      </c>
      <c r="M76" s="3">
        <f>'Annual Raw'!N110</f>
        <v>1.1433265380075099</v>
      </c>
      <c r="N76" s="3">
        <f>'Annual Raw'!O110</f>
        <v>0.762217692005007</v>
      </c>
      <c r="O76" s="3">
        <f>'Annual Raw'!P110</f>
        <v>0.95277211500625802</v>
      </c>
      <c r="P76" s="3">
        <f>'Annual Raw'!Q110</f>
        <v>0.762217692005007</v>
      </c>
      <c r="Q76" s="3">
        <f>'Annual Raw'!R110</f>
        <v>0.762217692005007</v>
      </c>
      <c r="R76" s="3">
        <f>'Annual Raw'!S110</f>
        <v>0.95277211500625802</v>
      </c>
      <c r="S76" s="3">
        <f>'Annual Raw'!T110</f>
        <v>1</v>
      </c>
      <c r="T76" s="3">
        <f>'Annual Raw'!U110</f>
        <v>1.3</v>
      </c>
      <c r="U76" s="3">
        <f>'Annual Raw'!V110</f>
        <v>1</v>
      </c>
      <c r="V76" s="3">
        <f>'Annual Raw'!W110</f>
        <v>2.5</v>
      </c>
      <c r="W76" s="3">
        <f>'Annual Raw'!X110</f>
        <v>5.0999999999999996</v>
      </c>
      <c r="X76" s="3">
        <f>'Annual Raw'!Y110</f>
        <v>3.6</v>
      </c>
      <c r="Y76" s="3">
        <f>'Annual Raw'!Z110</f>
        <v>3.6</v>
      </c>
      <c r="Z76" s="3">
        <f>'Annual Raw'!AA110</f>
        <v>3.6</v>
      </c>
      <c r="AA76" s="3">
        <f>'Annual Raw'!AB110</f>
        <v>4</v>
      </c>
      <c r="AB76" s="37"/>
      <c r="AC76" s="37"/>
      <c r="AD76" s="37"/>
      <c r="AE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E76" s="134"/>
    </row>
    <row r="77" spans="1:110" s="3" customFormat="1" x14ac:dyDescent="0.2">
      <c r="A77" s="3" t="s">
        <v>32</v>
      </c>
      <c r="B77" s="3">
        <f>B76/B75</f>
        <v>1.2299714644904406E-2</v>
      </c>
      <c r="C77" s="3">
        <f t="shared" ref="C77:U77" si="867">C76/C75</f>
        <v>2.0191993950317334E-2</v>
      </c>
      <c r="D77" s="3">
        <f t="shared" si="867"/>
        <v>1.2947835353104458E-2</v>
      </c>
      <c r="E77" s="3" t="e">
        <f t="shared" ca="1" si="867"/>
        <v>#DIV/0!</v>
      </c>
      <c r="F77" s="3" t="e">
        <f t="shared" ca="1" si="867"/>
        <v>#DIV/0!</v>
      </c>
      <c r="G77" s="3" t="e">
        <f t="shared" ca="1" si="867"/>
        <v>#DIV/0!</v>
      </c>
      <c r="H77" s="3" t="e">
        <f t="shared" ca="1" si="867"/>
        <v>#DIV/0!</v>
      </c>
      <c r="I77" s="3" t="e">
        <f t="shared" ca="1" si="867"/>
        <v>#DIV/0!</v>
      </c>
      <c r="J77" s="3" t="e">
        <f t="shared" ca="1" si="867"/>
        <v>#DIV/0!</v>
      </c>
      <c r="K77" s="3" t="e">
        <f t="shared" ca="1" si="867"/>
        <v>#DIV/0!</v>
      </c>
      <c r="L77" s="3" t="e">
        <f t="shared" ca="1" si="867"/>
        <v>#DIV/0!</v>
      </c>
      <c r="M77" s="3" t="e">
        <f t="shared" ca="1" si="867"/>
        <v>#DIV/0!</v>
      </c>
      <c r="N77" s="3" t="e">
        <f t="shared" ca="1" si="867"/>
        <v>#DIV/0!</v>
      </c>
      <c r="O77" s="3" t="e">
        <f t="shared" ca="1" si="867"/>
        <v>#DIV/0!</v>
      </c>
      <c r="P77" s="3" t="e">
        <f t="shared" ca="1" si="867"/>
        <v>#DIV/0!</v>
      </c>
      <c r="Q77" s="3" t="e">
        <f t="shared" ca="1" si="867"/>
        <v>#DIV/0!</v>
      </c>
      <c r="R77" s="3" t="e">
        <f t="shared" ca="1" si="867"/>
        <v>#DIV/0!</v>
      </c>
      <c r="S77" s="3" t="e">
        <f t="shared" ca="1" si="867"/>
        <v>#DIV/0!</v>
      </c>
      <c r="T77" s="3" t="e">
        <f t="shared" ca="1" si="867"/>
        <v>#DIV/0!</v>
      </c>
      <c r="U77" s="3" t="e">
        <f t="shared" ca="1" si="867"/>
        <v>#DIV/0!</v>
      </c>
      <c r="V77" s="3" t="e">
        <f ca="1">V76/V75</f>
        <v>#DIV/0!</v>
      </c>
      <c r="W77" s="3" t="e">
        <f t="shared" ref="W77" ca="1" si="868">W76/W75</f>
        <v>#DIV/0!</v>
      </c>
      <c r="X77" s="3" t="e">
        <f t="shared" ref="X77:Y77" ca="1" si="869">X76/X75</f>
        <v>#DIV/0!</v>
      </c>
      <c r="Y77" s="3" t="e">
        <f t="shared" ca="1" si="869"/>
        <v>#DIV/0!</v>
      </c>
      <c r="Z77" s="3" t="e">
        <f t="shared" ref="Z77:AA77" ca="1" si="870">Z76/Z75</f>
        <v>#DIV/0!</v>
      </c>
      <c r="AA77" s="3" t="e">
        <f t="shared" ca="1" si="870"/>
        <v>#DIV/0!</v>
      </c>
      <c r="AB77" s="37" t="e">
        <f t="shared" ref="AA77:AD77" ca="1" si="871">AB76/AB75</f>
        <v>#DIV/0!</v>
      </c>
      <c r="AC77" s="37" t="e">
        <f t="shared" ca="1" si="871"/>
        <v>#DIV/0!</v>
      </c>
      <c r="AD77" s="37" t="e">
        <f t="shared" ca="1" si="871"/>
        <v>#DIV/0!</v>
      </c>
      <c r="AE77" s="37" t="e">
        <f t="shared" ref="AE77" ca="1" si="872">AE76/AE75</f>
        <v>#DIV/0!</v>
      </c>
      <c r="CM77" s="37"/>
      <c r="CN77" s="37"/>
      <c r="CO77" s="37"/>
      <c r="CP77" s="37"/>
      <c r="CQ77" s="37"/>
      <c r="CR77" s="37"/>
      <c r="CS77" s="37"/>
      <c r="CT77" s="37"/>
      <c r="CU77" s="37"/>
      <c r="CV77" s="37"/>
      <c r="CW77" s="37"/>
      <c r="CX77" s="37"/>
      <c r="CY77" s="37"/>
      <c r="CZ77" s="37"/>
      <c r="DA77" s="37"/>
      <c r="DB77" s="37"/>
      <c r="DE77" s="134"/>
      <c r="DF77" s="3">
        <v>0</v>
      </c>
    </row>
    <row r="78" spans="1:110" s="3" customFormat="1" x14ac:dyDescent="0.2">
      <c r="A78" s="3" t="s">
        <v>33</v>
      </c>
      <c r="B78" s="3">
        <f>+B75</f>
        <v>22.820784729586425</v>
      </c>
      <c r="C78" s="3">
        <f t="shared" ref="C78:U78" si="873">+C75</f>
        <v>11.120809201403064</v>
      </c>
      <c r="D78" s="3">
        <f t="shared" si="873"/>
        <v>34.685537156374885</v>
      </c>
      <c r="E78" s="3" t="e">
        <f t="shared" ca="1" si="873"/>
        <v>#DIV/0!</v>
      </c>
      <c r="F78" s="3" t="e">
        <f t="shared" ca="1" si="873"/>
        <v>#DIV/0!</v>
      </c>
      <c r="G78" s="3" t="e">
        <f t="shared" ca="1" si="873"/>
        <v>#DIV/0!</v>
      </c>
      <c r="H78" s="3" t="e">
        <f t="shared" ca="1" si="873"/>
        <v>#DIV/0!</v>
      </c>
      <c r="I78" s="3" t="e">
        <f t="shared" ca="1" si="873"/>
        <v>#DIV/0!</v>
      </c>
      <c r="J78" s="3" t="e">
        <f t="shared" ca="1" si="873"/>
        <v>#DIV/0!</v>
      </c>
      <c r="K78" s="3" t="e">
        <f t="shared" ca="1" si="873"/>
        <v>#DIV/0!</v>
      </c>
      <c r="L78" s="3" t="e">
        <f t="shared" ca="1" si="873"/>
        <v>#DIV/0!</v>
      </c>
      <c r="M78" s="3" t="e">
        <f t="shared" ca="1" si="873"/>
        <v>#DIV/0!</v>
      </c>
      <c r="N78" s="3" t="e">
        <f t="shared" ca="1" si="873"/>
        <v>#DIV/0!</v>
      </c>
      <c r="O78" s="3" t="e">
        <f t="shared" ca="1" si="873"/>
        <v>#DIV/0!</v>
      </c>
      <c r="P78" s="3" t="e">
        <f t="shared" ca="1" si="873"/>
        <v>#DIV/0!</v>
      </c>
      <c r="Q78" s="3" t="e">
        <f t="shared" ca="1" si="873"/>
        <v>#DIV/0!</v>
      </c>
      <c r="R78" s="3" t="e">
        <f t="shared" ca="1" si="873"/>
        <v>#DIV/0!</v>
      </c>
      <c r="S78" s="3" t="e">
        <f t="shared" ca="1" si="873"/>
        <v>#DIV/0!</v>
      </c>
      <c r="T78" s="3" t="e">
        <f ca="1">+T75</f>
        <v>#DIV/0!</v>
      </c>
      <c r="U78" s="3" t="e">
        <f t="shared" ca="1" si="873"/>
        <v>#DIV/0!</v>
      </c>
      <c r="V78" s="3" t="e">
        <f ca="1">+V75</f>
        <v>#DIV/0!</v>
      </c>
      <c r="W78" s="3" t="e">
        <f t="shared" ref="W78" ca="1" si="874">+W75</f>
        <v>#DIV/0!</v>
      </c>
      <c r="X78" s="3" t="e">
        <f t="shared" ref="X78:Y78" ca="1" si="875">+X75</f>
        <v>#DIV/0!</v>
      </c>
      <c r="Y78" s="3" t="e">
        <f t="shared" ca="1" si="875"/>
        <v>#DIV/0!</v>
      </c>
      <c r="Z78" s="3" t="e">
        <f t="shared" ref="Z78:AA78" ca="1" si="876">+Z75</f>
        <v>#DIV/0!</v>
      </c>
      <c r="AA78" s="3" t="e">
        <f t="shared" ca="1" si="876"/>
        <v>#DIV/0!</v>
      </c>
      <c r="AB78" s="37" t="e">
        <f t="shared" ref="AA78:AD78" ca="1" si="877">+AB75</f>
        <v>#DIV/0!</v>
      </c>
      <c r="AC78" s="37" t="e">
        <f t="shared" ca="1" si="877"/>
        <v>#DIV/0!</v>
      </c>
      <c r="AD78" s="37" t="e">
        <f t="shared" ca="1" si="877"/>
        <v>#DIV/0!</v>
      </c>
      <c r="AE78" s="37" t="e">
        <f t="shared" ref="AE78" ca="1" si="878">+AE75</f>
        <v>#DIV/0!</v>
      </c>
      <c r="AL78" s="3">
        <f>SUM(AI75:AL75)</f>
        <v>0.2663534919515248</v>
      </c>
      <c r="AM78" s="3">
        <f t="shared" ref="AM78" si="879">SUM(AJ75:AM75)</f>
        <v>0.68590874110177602</v>
      </c>
      <c r="AN78" s="3">
        <f t="shared" ref="AN78" si="880">SUM(AK75:AN75)</f>
        <v>1.7467854165330543</v>
      </c>
      <c r="AO78" s="3">
        <f t="shared" ref="AO78" si="881">SUM(AL75:AO75)</f>
        <v>2.745695183736288</v>
      </c>
      <c r="AP78" s="3">
        <f t="shared" ref="AP78" si="882">SUM(AM75:AP75)</f>
        <v>2.9039713332905723</v>
      </c>
      <c r="AQ78" s="3">
        <f t="shared" ref="AQ78" si="883">SUM(AN75:AQ75)</f>
        <v>2.4859632527416067</v>
      </c>
      <c r="AR78" s="3">
        <f t="shared" ref="AR78" si="884">SUM(AO75:AR75)</f>
        <v>1.838677611748857</v>
      </c>
      <c r="AS78" s="3">
        <f t="shared" ref="AS78" si="885">SUM(AP75:AS75)</f>
        <v>1.5615580709292576</v>
      </c>
      <c r="AT78" s="3">
        <f t="shared" ref="AT78" si="886">SUM(AQ75:AT75)</f>
        <v>2.5251715513336936E-3</v>
      </c>
      <c r="AU78" s="3">
        <f t="shared" ref="AU78" si="887">SUM(AR75:AU75)</f>
        <v>-0.34677419354838723</v>
      </c>
      <c r="AV78" s="3">
        <f t="shared" ref="AV78" si="888">SUM(AS75:AV75)</f>
        <v>-0.73996344513564116</v>
      </c>
      <c r="AW78" s="3">
        <f t="shared" ref="AW78" si="889">SUM(AT75:AW75)</f>
        <v>-2.2499438850766422</v>
      </c>
      <c r="AX78" s="3">
        <f t="shared" ref="AX78" si="890">SUM(AU75:AX75)</f>
        <v>-1.8807237221830371</v>
      </c>
      <c r="AY78" s="3">
        <f t="shared" ref="AY78" si="891">SUM(AV75:AY75)</f>
        <v>-1.7287805425511504</v>
      </c>
      <c r="AZ78" s="3">
        <f t="shared" ref="AZ78" si="892">SUM(AW75:AZ75)</f>
        <v>-1.4397806708138303</v>
      </c>
      <c r="BA78" s="3">
        <f t="shared" ref="BA78" si="893">SUM(AX75:BA75)</f>
        <v>0.16165907779131378</v>
      </c>
      <c r="BB78" s="3">
        <f t="shared" ref="BB78" si="894">SUM(AY75:BB75)</f>
        <v>3.1645770538062004</v>
      </c>
      <c r="BC78" s="3">
        <f t="shared" ref="BC78" si="895">SUM(AZ75:BC75)</f>
        <v>4.1117729109215704</v>
      </c>
      <c r="BD78" s="3">
        <f t="shared" ref="BD78" si="896">SUM(BA75:BD75)</f>
        <v>4.9464182646059172</v>
      </c>
      <c r="BE78" s="3">
        <f t="shared" ref="BE78" si="897">SUM(BB75:BE75)</f>
        <v>6.6609376002052247</v>
      </c>
      <c r="BF78" s="3">
        <f t="shared" ref="BF78" si="898">SUM(BC75:BF75)</f>
        <v>2.9980520105175357</v>
      </c>
      <c r="BG78" s="3">
        <f t="shared" ref="BG78" si="899">SUM(BD75:BG75)</f>
        <v>3.5861043416917804</v>
      </c>
      <c r="BH78" s="3">
        <f t="shared" ref="BH78" si="900">SUM(BE75:BH75)</f>
        <v>5.5040803565702454</v>
      </c>
      <c r="BI78" s="3">
        <f t="shared" ref="BI78" si="901">SUM(BF75:BI75)</f>
        <v>5.4297040338613369</v>
      </c>
      <c r="BJ78" s="3">
        <f t="shared" ref="BJ78" si="902">SUM(BG75:BJ75)</f>
        <v>8.3597287244276224</v>
      </c>
      <c r="BK78" s="3">
        <f t="shared" ref="BK78" si="903">SUM(BH75:BK75)</f>
        <v>7.0879080356570219</v>
      </c>
      <c r="BL78" s="3">
        <f t="shared" ref="BL78" si="904">SUM(BI75:BL75)</f>
        <v>7.70280734945168</v>
      </c>
      <c r="BM78" s="3">
        <f t="shared" ref="BM78" si="905">SUM(BJ75:BM75)</f>
        <v>5.2895369717180882</v>
      </c>
      <c r="BN78" s="3">
        <f t="shared" ref="BN78" si="906">SUM(BK75:BN75)</f>
        <v>5.2438834733534314</v>
      </c>
      <c r="BO78" s="3">
        <f t="shared" ref="BO78" si="907">SUM(BL75:BO75)</f>
        <v>1.1096966587571346</v>
      </c>
      <c r="BP78" s="3">
        <f t="shared" ref="BP78" si="908">SUM(BM75:BP75)</f>
        <v>-1.0209709485025347</v>
      </c>
      <c r="BQ78" s="3">
        <f t="shared" ref="BQ78" si="909">SUM(BN75:BQ75)</f>
        <v>2.621689219521576</v>
      </c>
      <c r="BR78" s="3">
        <f t="shared" ref="BR78" si="910">SUM(BO75:BR75)</f>
        <v>6.8407137818251789</v>
      </c>
      <c r="BS78" s="3">
        <f t="shared" ref="BS78" si="911">SUM(BP75:BS75)</f>
        <v>17.714342974411597</v>
      </c>
      <c r="BT78" s="3">
        <f t="shared" ref="BT78" si="912">SUM(BQ75:BT75)</f>
        <v>25.634483422048362</v>
      </c>
      <c r="BU78" s="3">
        <f t="shared" ref="BU78" si="913">SUM(BR75:BU75)</f>
        <v>30.376434938754571</v>
      </c>
      <c r="BV78" s="3">
        <f t="shared" ref="BV78" si="914">SUM(BS75:BV75)</f>
        <v>32.29653530430322</v>
      </c>
      <c r="BW78" s="3">
        <f t="shared" ref="BW78" si="915">SUM(BT75:BW75)</f>
        <v>31.266361508369144</v>
      </c>
      <c r="BX78" s="3">
        <f t="shared" ref="BX78" si="916">SUM(BU75:BX75)</f>
        <v>23.355520105175408</v>
      </c>
      <c r="BY78" s="3">
        <f t="shared" ref="BY78" si="917">SUM(BV75:BY75)</f>
        <v>13.615372282434434</v>
      </c>
      <c r="BZ78" s="3">
        <f t="shared" ref="BZ78" si="918">SUM(BW75:BZ75)</f>
        <v>6.9319085487077547</v>
      </c>
      <c r="CA78" s="3">
        <f t="shared" ref="CA78" si="919">SUM(BX75:CA75)</f>
        <v>1.1731786699159976</v>
      </c>
      <c r="CB78" s="3">
        <f t="shared" ref="CB78" si="920">SUM(BY75:CB75)</f>
        <v>0.50686205348554236</v>
      </c>
      <c r="CC78" s="3">
        <f t="shared" ref="CC78" si="921">SUM(BZ75:CC75)</f>
        <v>3.0975117039697424</v>
      </c>
      <c r="CD78" s="3">
        <f t="shared" ref="CD78" si="922">SUM(CA75:CD75)</f>
        <v>2.7068556403514465</v>
      </c>
      <c r="CE78" s="3">
        <f t="shared" ref="CE78" si="923">SUM(CB75:CE75)</f>
        <v>3.265607965112554</v>
      </c>
      <c r="CF78" s="3">
        <f t="shared" ref="CF78" si="924">SUM(CC75:CF75)</f>
        <v>3.3559529917270674</v>
      </c>
      <c r="CG78" s="3">
        <f t="shared" ref="CG78" si="925">SUM(CD75:CG75)</f>
        <v>3.0395690373885724</v>
      </c>
      <c r="CH78" s="3">
        <f t="shared" ref="CH78:CL78" si="926">SUM(CE75:CH75)</f>
        <v>3.4271387802219069</v>
      </c>
      <c r="CI78" s="3">
        <f t="shared" si="926"/>
        <v>4.142411659077804</v>
      </c>
      <c r="CJ78" s="3">
        <f t="shared" si="926"/>
        <v>6.3122955813506127</v>
      </c>
      <c r="CK78" s="3">
        <f t="shared" si="926"/>
        <v>8.216795998204331</v>
      </c>
      <c r="CL78" s="3">
        <f t="shared" si="926"/>
        <v>9.4804800230872814</v>
      </c>
      <c r="CM78" s="37">
        <f t="shared" ref="CM78" si="927">SUM(CJ75:CM75)</f>
        <v>10.286289044160149</v>
      </c>
      <c r="CN78" s="37">
        <f t="shared" ref="CN78" si="928">SUM(CK75:CN75)</f>
        <v>10.670979557057159</v>
      </c>
      <c r="CO78" s="37">
        <f t="shared" ref="CO78" si="929">SUM(CL75:CO75)</f>
        <v>12.108569271898912</v>
      </c>
      <c r="CP78" s="37">
        <f t="shared" ref="CP78" si="930">SUM(CM75:CP75)</f>
        <v>13.958799508023425</v>
      </c>
      <c r="CQ78" s="37">
        <f t="shared" ref="CQ78" si="931">SUM(CN75:CQ75)</f>
        <v>14.616335232068545</v>
      </c>
      <c r="CR78" s="37">
        <f t="shared" ref="CR78" si="932">SUM(CO75:CR75)</f>
        <v>15.172374844003127</v>
      </c>
      <c r="CS78" s="37">
        <f t="shared" ref="CS78" si="933">SUM(CP75:CS75)</f>
        <v>15.920471504164235</v>
      </c>
      <c r="CT78" s="37">
        <f t="shared" ref="CT78" si="934">SUM(CQ75:CT75)</f>
        <v>16.46236960057032</v>
      </c>
      <c r="CU78" s="37">
        <f t="shared" ref="CU78" si="935">SUM(CR75:CU75)</f>
        <v>17.170014017988727</v>
      </c>
      <c r="CV78" s="37">
        <f t="shared" ref="CV78" si="936">SUM(CS75:CV75)</f>
        <v>17.959347839416086</v>
      </c>
      <c r="CW78" s="37">
        <f t="shared" ref="CW78" si="937">SUM(CT75:CW75)</f>
        <v>18.852883047566067</v>
      </c>
      <c r="CX78" s="37">
        <f t="shared" ref="CX78" si="938">SUM(CU75:CX75)</f>
        <v>19.803712271913064</v>
      </c>
      <c r="CY78" s="37">
        <f t="shared" ref="CY78" si="939">SUM(CV75:CY75)</f>
        <v>20.867127384308159</v>
      </c>
      <c r="CZ78" s="37">
        <f t="shared" ref="CZ78" si="940">SUM(CW75:CZ75)</f>
        <v>21.951144829399574</v>
      </c>
      <c r="DA78" s="37">
        <f t="shared" ref="DA78" si="941">SUM(CX75:DA75)</f>
        <v>23.078522872797674</v>
      </c>
      <c r="DB78" s="37">
        <f t="shared" ref="DB78" si="942">SUM(CY75:DB75)</f>
        <v>24.243741177163955</v>
      </c>
      <c r="DE78" s="134"/>
      <c r="DF78" s="3">
        <v>9.587354583668759</v>
      </c>
    </row>
    <row r="79" spans="1:110" s="97" customFormat="1" x14ac:dyDescent="0.2">
      <c r="A79" s="97" t="s">
        <v>425</v>
      </c>
      <c r="C79" s="101">
        <f t="shared" ref="C79:AA79" si="943">+C78/B78-1</f>
        <v>-0.51268944809836947</v>
      </c>
      <c r="D79" s="101">
        <f t="shared" si="943"/>
        <v>2.1189760140834681</v>
      </c>
      <c r="E79" s="101" t="e">
        <f t="shared" ca="1" si="943"/>
        <v>#DIV/0!</v>
      </c>
      <c r="F79" s="101" t="e">
        <f t="shared" ca="1" si="943"/>
        <v>#DIV/0!</v>
      </c>
      <c r="G79" s="101" t="e">
        <f t="shared" ca="1" si="943"/>
        <v>#DIV/0!</v>
      </c>
      <c r="H79" s="101" t="e">
        <f t="shared" ca="1" si="943"/>
        <v>#DIV/0!</v>
      </c>
      <c r="I79" s="101" t="e">
        <f t="shared" ca="1" si="943"/>
        <v>#DIV/0!</v>
      </c>
      <c r="J79" s="101" t="e">
        <f t="shared" ca="1" si="943"/>
        <v>#DIV/0!</v>
      </c>
      <c r="K79" s="101" t="e">
        <f t="shared" ca="1" si="943"/>
        <v>#DIV/0!</v>
      </c>
      <c r="L79" s="101" t="e">
        <f t="shared" ca="1" si="943"/>
        <v>#DIV/0!</v>
      </c>
      <c r="M79" s="101" t="e">
        <f t="shared" ca="1" si="943"/>
        <v>#DIV/0!</v>
      </c>
      <c r="N79" s="101" t="e">
        <f t="shared" ca="1" si="943"/>
        <v>#DIV/0!</v>
      </c>
      <c r="O79" s="101" t="e">
        <f t="shared" ca="1" si="943"/>
        <v>#DIV/0!</v>
      </c>
      <c r="P79" s="101" t="e">
        <f t="shared" ca="1" si="943"/>
        <v>#DIV/0!</v>
      </c>
      <c r="Q79" s="101" t="e">
        <f t="shared" ca="1" si="943"/>
        <v>#DIV/0!</v>
      </c>
      <c r="R79" s="101" t="e">
        <f t="shared" ca="1" si="943"/>
        <v>#DIV/0!</v>
      </c>
      <c r="S79" s="101" t="e">
        <f t="shared" ca="1" si="943"/>
        <v>#DIV/0!</v>
      </c>
      <c r="T79" s="101" t="e">
        <f t="shared" ca="1" si="943"/>
        <v>#DIV/0!</v>
      </c>
      <c r="U79" s="101" t="e">
        <f t="shared" ca="1" si="943"/>
        <v>#DIV/0!</v>
      </c>
      <c r="V79" s="101" t="e">
        <f t="shared" ca="1" si="943"/>
        <v>#DIV/0!</v>
      </c>
      <c r="W79" s="101" t="e">
        <f t="shared" ca="1" si="943"/>
        <v>#DIV/0!</v>
      </c>
      <c r="X79" s="101" t="e">
        <f t="shared" ca="1" si="943"/>
        <v>#DIV/0!</v>
      </c>
      <c r="Y79" s="101" t="e">
        <f t="shared" ca="1" si="943"/>
        <v>#DIV/0!</v>
      </c>
      <c r="Z79" s="101" t="e">
        <f t="shared" ca="1" si="943"/>
        <v>#DIV/0!</v>
      </c>
      <c r="AA79" s="101" t="e">
        <f t="shared" ca="1" si="943"/>
        <v>#DIV/0!</v>
      </c>
      <c r="AB79" s="174" t="e">
        <f t="shared" ref="AB79" ca="1" si="944">+AB78/AA78-1</f>
        <v>#DIV/0!</v>
      </c>
      <c r="AC79" s="174" t="e">
        <f t="shared" ref="AC79" ca="1" si="945">+AC78/AB78-1</f>
        <v>#DIV/0!</v>
      </c>
      <c r="AD79" s="174" t="e">
        <f t="shared" ref="AD79" ca="1" si="946">+AD78/AC78-1</f>
        <v>#DIV/0!</v>
      </c>
      <c r="AE79" s="174" t="e">
        <f t="shared" ref="AE79" ca="1" si="947">+AE78/AD78-1</f>
        <v>#DIV/0!</v>
      </c>
      <c r="AL79" s="176"/>
      <c r="AM79" s="176"/>
      <c r="AN79" s="176"/>
      <c r="AO79" s="176"/>
      <c r="AP79" s="176">
        <f t="shared" ref="AP79:CL79" si="948">+IF(AL78&lt;0,1-AP78/AL78,AP78/AL78-1)</f>
        <v>9.9026966833199346</v>
      </c>
      <c r="AQ79" s="176">
        <f t="shared" si="948"/>
        <v>2.6243352851115453</v>
      </c>
      <c r="AR79" s="176">
        <f t="shared" si="948"/>
        <v>5.2606458896471864E-2</v>
      </c>
      <c r="AS79" s="176">
        <f t="shared" si="948"/>
        <v>-0.43127041917146824</v>
      </c>
      <c r="AT79" s="176">
        <f t="shared" si="948"/>
        <v>-0.99913044198391854</v>
      </c>
      <c r="AU79" s="176">
        <f t="shared" si="948"/>
        <v>-1.1394928879845478</v>
      </c>
      <c r="AV79" s="176">
        <f t="shared" si="948"/>
        <v>-1.4024432779337674</v>
      </c>
      <c r="AW79" s="176">
        <f t="shared" si="948"/>
        <v>-2.4408326702430845</v>
      </c>
      <c r="AX79" s="176">
        <f t="shared" si="948"/>
        <v>-745.79047619149469</v>
      </c>
      <c r="AY79" s="176">
        <f t="shared" si="948"/>
        <v>-3.9853206343335481</v>
      </c>
      <c r="AZ79" s="176">
        <f t="shared" si="948"/>
        <v>-0.94574567200398274</v>
      </c>
      <c r="BA79" s="176">
        <f t="shared" si="948"/>
        <v>1.071850270961672</v>
      </c>
      <c r="BB79" s="176">
        <f t="shared" si="948"/>
        <v>2.6826379209663713</v>
      </c>
      <c r="BC79" s="176">
        <f t="shared" si="948"/>
        <v>3.3784238714613557</v>
      </c>
      <c r="BD79" s="176">
        <f t="shared" si="948"/>
        <v>4.435535956882914</v>
      </c>
      <c r="BE79" s="176">
        <f t="shared" si="948"/>
        <v>40.203610036696176</v>
      </c>
      <c r="BF79" s="176">
        <f t="shared" si="948"/>
        <v>-5.2621579584664069E-2</v>
      </c>
      <c r="BG79" s="176">
        <f t="shared" si="948"/>
        <v>-0.1278447474162604</v>
      </c>
      <c r="BH79" s="176">
        <f t="shared" si="948"/>
        <v>0.11274058563843625</v>
      </c>
      <c r="BI79" s="176">
        <f t="shared" si="948"/>
        <v>-0.1848438823846591</v>
      </c>
      <c r="BJ79" s="176">
        <f t="shared" si="948"/>
        <v>1.7883868242114094</v>
      </c>
      <c r="BK79" s="176">
        <f t="shared" si="948"/>
        <v>0.9764924163676818</v>
      </c>
      <c r="BL79" s="176">
        <f t="shared" si="948"/>
        <v>0.39947218253396399</v>
      </c>
      <c r="BM79" s="176">
        <f t="shared" si="948"/>
        <v>-2.5814862333033761E-2</v>
      </c>
      <c r="BN79" s="176">
        <f t="shared" si="948"/>
        <v>-0.37272085659544274</v>
      </c>
      <c r="BO79" s="176">
        <f t="shared" si="948"/>
        <v>-0.8434380563101832</v>
      </c>
      <c r="BP79" s="176">
        <f t="shared" si="948"/>
        <v>-1.1325453048718934</v>
      </c>
      <c r="BQ79" s="176">
        <f t="shared" si="948"/>
        <v>-0.50436319217747561</v>
      </c>
      <c r="BR79" s="176">
        <f t="shared" si="948"/>
        <v>0.30451292760145643</v>
      </c>
      <c r="BS79" s="176">
        <f t="shared" si="948"/>
        <v>14.963229982373509</v>
      </c>
      <c r="BT79" s="176">
        <f t="shared" si="948"/>
        <v>26.107945979899469</v>
      </c>
      <c r="BU79" s="176">
        <f t="shared" si="948"/>
        <v>10.586588796477514</v>
      </c>
      <c r="BV79" s="176">
        <f t="shared" si="948"/>
        <v>3.7212230089366702</v>
      </c>
      <c r="BW79" s="176">
        <f t="shared" si="948"/>
        <v>0.76503083143040995</v>
      </c>
      <c r="BX79" s="176">
        <f t="shared" si="948"/>
        <v>-8.8902252460168696E-2</v>
      </c>
      <c r="BY79" s="176">
        <f t="shared" si="948"/>
        <v>-0.55177846544909059</v>
      </c>
      <c r="BZ79" s="176">
        <f t="shared" si="948"/>
        <v>-0.78536680534323011</v>
      </c>
      <c r="CA79" s="176">
        <f t="shared" si="948"/>
        <v>-0.96247792792896703</v>
      </c>
      <c r="CB79" s="176">
        <f t="shared" si="948"/>
        <v>-0.97829797618708458</v>
      </c>
      <c r="CC79" s="176">
        <f t="shared" si="948"/>
        <v>-0.77249893431368544</v>
      </c>
      <c r="CD79" s="176">
        <f t="shared" si="948"/>
        <v>-0.60950788353143259</v>
      </c>
      <c r="CE79" s="176">
        <f t="shared" si="948"/>
        <v>1.7835555221493919</v>
      </c>
      <c r="CF79" s="176">
        <f t="shared" si="948"/>
        <v>5.62103814765607</v>
      </c>
      <c r="CG79" s="176">
        <f t="shared" si="948"/>
        <v>-1.8706197786730328E-2</v>
      </c>
      <c r="CH79" s="176">
        <f t="shared" si="948"/>
        <v>0.26609588229719616</v>
      </c>
      <c r="CI79" s="176">
        <f t="shared" si="948"/>
        <v>0.26849631166153465</v>
      </c>
      <c r="CJ79" s="176">
        <f t="shared" si="948"/>
        <v>0.88092491072174672</v>
      </c>
      <c r="CK79" s="176">
        <f t="shared" si="948"/>
        <v>1.7032766478183836</v>
      </c>
      <c r="CL79" s="176">
        <f t="shared" si="948"/>
        <v>1.7662959194414127</v>
      </c>
      <c r="CM79" s="102">
        <f t="shared" ref="CM79:DB79" si="949">+IF(CI78&lt;0,1-CM78/CI78,CM78/CI78-1)</f>
        <v>1.4831643715608203</v>
      </c>
      <c r="CN79" s="102">
        <f t="shared" si="949"/>
        <v>0.69050695100275039</v>
      </c>
      <c r="CO79" s="102">
        <f t="shared" si="949"/>
        <v>0.47363635102357105</v>
      </c>
      <c r="CP79" s="102">
        <f t="shared" si="949"/>
        <v>0.47237265138794071</v>
      </c>
      <c r="CQ79" s="102">
        <f t="shared" si="949"/>
        <v>0.42095319014651844</v>
      </c>
      <c r="CR79" s="102">
        <f t="shared" si="949"/>
        <v>0.42183524604065137</v>
      </c>
      <c r="CS79" s="102">
        <f t="shared" si="949"/>
        <v>0.31481029233667068</v>
      </c>
      <c r="CT79" s="102">
        <f t="shared" si="949"/>
        <v>0.17935425543635453</v>
      </c>
      <c r="CU79" s="102">
        <f t="shared" si="949"/>
        <v>0.17471402683193515</v>
      </c>
      <c r="CV79" s="102">
        <f t="shared" si="949"/>
        <v>0.18368732805955612</v>
      </c>
      <c r="CW79" s="102">
        <f t="shared" si="949"/>
        <v>0.18419124977767254</v>
      </c>
      <c r="CX79" s="102">
        <f t="shared" si="949"/>
        <v>0.20296851257834647</v>
      </c>
      <c r="CY79" s="102">
        <f t="shared" si="949"/>
        <v>0.21532384088015477</v>
      </c>
      <c r="CZ79" s="102">
        <f t="shared" si="949"/>
        <v>0.2222684824458121</v>
      </c>
      <c r="DA79" s="102">
        <f t="shared" si="949"/>
        <v>0.22413759288540969</v>
      </c>
      <c r="DB79" s="102">
        <f t="shared" si="949"/>
        <v>0.22420184883962557</v>
      </c>
      <c r="DE79" s="135"/>
      <c r="DF79" s="176">
        <v>1.7974806970168795</v>
      </c>
    </row>
    <row r="80" spans="1:110" s="144" customFormat="1" x14ac:dyDescent="0.2">
      <c r="A80" s="144" t="s">
        <v>424</v>
      </c>
      <c r="AB80" s="145"/>
      <c r="AC80" s="145"/>
      <c r="AD80" s="145"/>
      <c r="AE80" s="145"/>
      <c r="CM80" s="145"/>
      <c r="CN80" s="145"/>
      <c r="CO80" s="145"/>
      <c r="CP80" s="145">
        <v>14.2</v>
      </c>
      <c r="CQ80" s="145"/>
      <c r="CR80" s="145"/>
      <c r="CS80" s="145"/>
      <c r="CT80" s="145">
        <v>16.399999999999999</v>
      </c>
      <c r="CU80" s="145"/>
      <c r="CV80" s="145"/>
      <c r="CW80" s="145"/>
      <c r="CX80" s="145"/>
      <c r="CY80" s="145"/>
      <c r="CZ80" s="145"/>
      <c r="DA80" s="145"/>
      <c r="DB80" s="145"/>
      <c r="DE80" s="146"/>
      <c r="DF80" s="144">
        <v>9.4</v>
      </c>
    </row>
    <row r="81" spans="1:110" s="144" customFormat="1" x14ac:dyDescent="0.2">
      <c r="A81" s="144" t="s">
        <v>436</v>
      </c>
      <c r="AB81" s="145"/>
      <c r="AC81" s="145"/>
      <c r="AD81" s="145"/>
      <c r="AE81" s="145"/>
      <c r="CM81" s="145"/>
      <c r="CN81" s="145"/>
      <c r="CO81" s="145"/>
      <c r="CP81" s="145">
        <f>CP80/CP78-1</f>
        <v>1.7279458153828697E-2</v>
      </c>
      <c r="CQ81" s="145"/>
      <c r="CR81" s="145"/>
      <c r="CS81" s="145"/>
      <c r="CT81" s="145">
        <f>CT80/CT78-1</f>
        <v>-3.7886162249789468E-3</v>
      </c>
      <c r="CU81" s="145"/>
      <c r="CV81" s="145"/>
      <c r="CW81" s="145"/>
      <c r="CX81" s="145"/>
      <c r="CY81" s="145"/>
      <c r="CZ81" s="145"/>
      <c r="DA81" s="145"/>
      <c r="DB81" s="145"/>
      <c r="DE81" s="146"/>
      <c r="DF81" s="144">
        <v>-1.9541843585080376E-2</v>
      </c>
    </row>
    <row r="82" spans="1:110" s="3" customFormat="1" x14ac:dyDescent="0.2">
      <c r="A82" s="3" t="s">
        <v>34</v>
      </c>
      <c r="B82" s="3">
        <f>'Annual Raw'!C112</f>
        <v>26.22</v>
      </c>
      <c r="C82" s="3">
        <f>'Annual Raw'!D112</f>
        <v>26.41</v>
      </c>
      <c r="D82" s="3">
        <f>'Annual Raw'!E112</f>
        <v>26.41</v>
      </c>
      <c r="E82" s="3">
        <f>'Annual Raw'!F112</f>
        <v>26.29</v>
      </c>
      <c r="F82" s="3">
        <f>'Annual Raw'!G112</f>
        <v>26.56</v>
      </c>
      <c r="G82" s="3">
        <f>'Annual Raw'!H112</f>
        <v>26.79</v>
      </c>
      <c r="H82" s="3">
        <f>'Annual Raw'!I112</f>
        <v>30.52</v>
      </c>
      <c r="I82" s="3">
        <f>'Annual Raw'!J112</f>
        <v>33.94</v>
      </c>
      <c r="J82" s="3">
        <f>'Annual Raw'!K112</f>
        <v>33.950000000000003</v>
      </c>
      <c r="K82" s="3">
        <f>'Annual Raw'!L112</f>
        <v>31.32</v>
      </c>
      <c r="L82" s="3">
        <f>'Annual Raw'!M112</f>
        <v>30.6</v>
      </c>
      <c r="M82" s="3">
        <f>'Annual Raw'!N112</f>
        <v>31.35</v>
      </c>
      <c r="N82" s="3">
        <f>'Annual Raw'!O112</f>
        <v>31.35</v>
      </c>
      <c r="O82" s="3">
        <f>'Annual Raw'!P112</f>
        <v>31.35</v>
      </c>
      <c r="P82" s="3">
        <f>'Annual Raw'!Q112</f>
        <v>31.35</v>
      </c>
      <c r="Q82" s="3">
        <f>'Annual Raw'!R112</f>
        <v>31.35</v>
      </c>
      <c r="R82" s="3">
        <f>'Annual Raw'!S112</f>
        <v>31.35</v>
      </c>
      <c r="S82" s="3">
        <f>'Annual Raw'!T112</f>
        <v>33.21</v>
      </c>
      <c r="T82" s="3">
        <f>'Annual Raw'!U112</f>
        <v>33.119999999999997</v>
      </c>
      <c r="U82" s="3">
        <f>'Annual Raw'!V112</f>
        <v>34.409999999999997</v>
      </c>
      <c r="V82" s="3">
        <f>'Annual Raw'!W112</f>
        <v>34.409999999999997</v>
      </c>
      <c r="W82" s="3">
        <f>'Annual Raw'!X112</f>
        <v>33.92</v>
      </c>
      <c r="X82" s="3">
        <f>'Annual Raw'!Y112</f>
        <v>33.9</v>
      </c>
      <c r="Y82" s="3">
        <f>'Annual Raw'!Z112</f>
        <v>33.19</v>
      </c>
      <c r="Z82" s="3">
        <f>'Annual Raw'!AA112</f>
        <v>33.19</v>
      </c>
      <c r="AA82" s="3">
        <f>'Annual Raw'!AB112</f>
        <v>33.19</v>
      </c>
      <c r="AB82" s="37"/>
      <c r="AC82" s="37"/>
      <c r="AD82" s="37"/>
      <c r="AE82" s="37"/>
      <c r="AI82" s="3">
        <f>'QTR Raw'!C49</f>
        <v>31.35</v>
      </c>
      <c r="AJ82" s="3">
        <f>'QTR Raw'!D49</f>
        <v>31.35</v>
      </c>
      <c r="AK82" s="3">
        <f>'QTR Raw'!E49</f>
        <v>31.35</v>
      </c>
      <c r="AL82" s="3">
        <f>'QTR Raw'!F49</f>
        <v>31.35</v>
      </c>
      <c r="AM82" s="3">
        <f>'QTR Raw'!G49</f>
        <v>31.35</v>
      </c>
      <c r="AN82" s="3">
        <f>'QTR Raw'!H49</f>
        <v>31.35</v>
      </c>
      <c r="AO82" s="3">
        <f>'QTR Raw'!I49</f>
        <v>31.35</v>
      </c>
      <c r="AP82" s="3">
        <f>'QTR Raw'!J49</f>
        <v>31.35</v>
      </c>
      <c r="AQ82" s="3">
        <f>'QTR Raw'!K49</f>
        <v>31.35</v>
      </c>
      <c r="AR82" s="3">
        <f>'QTR Raw'!L49</f>
        <v>31.35</v>
      </c>
      <c r="AS82" s="3">
        <f>'QTR Raw'!M49</f>
        <v>31.35</v>
      </c>
      <c r="AT82" s="3">
        <f>'QTR Raw'!N49</f>
        <v>31.35</v>
      </c>
      <c r="AU82" s="3">
        <f>'QTR Raw'!O49</f>
        <v>31.35</v>
      </c>
      <c r="AV82" s="3">
        <f>'QTR Raw'!P49</f>
        <v>31.35</v>
      </c>
      <c r="AW82" s="3">
        <f>'QTR Raw'!Q49</f>
        <v>31.35</v>
      </c>
      <c r="AX82" s="3">
        <f>'QTR Raw'!R49</f>
        <v>31.35</v>
      </c>
      <c r="AY82" s="3">
        <f>'QTR Raw'!S49</f>
        <v>31.35</v>
      </c>
      <c r="AZ82" s="3">
        <f>'QTR Raw'!T49</f>
        <v>31.35</v>
      </c>
      <c r="BA82" s="3">
        <f>'QTR Raw'!U49</f>
        <v>31.35</v>
      </c>
      <c r="BB82" s="3">
        <f>'QTR Raw'!V49</f>
        <v>31.35</v>
      </c>
      <c r="BC82" s="3">
        <f>'QTR Raw'!W49</f>
        <v>31.35</v>
      </c>
      <c r="BD82" s="3">
        <f>'QTR Raw'!X49</f>
        <v>31.35</v>
      </c>
      <c r="BE82" s="3">
        <f>'QTR Raw'!Y49</f>
        <v>31.35</v>
      </c>
      <c r="BF82" s="3">
        <f>'QTR Raw'!Z49</f>
        <v>33.21</v>
      </c>
      <c r="BG82" s="3">
        <f>'QTR Raw'!AA49</f>
        <v>33.119999999999997</v>
      </c>
      <c r="BH82" s="3">
        <f>'QTR Raw'!AB49</f>
        <v>33.119999999999997</v>
      </c>
      <c r="BI82" s="3">
        <f>'QTR Raw'!AC49</f>
        <v>33.119999999999997</v>
      </c>
      <c r="BJ82" s="3">
        <f>'QTR Raw'!AD49</f>
        <v>33.119999999999997</v>
      </c>
      <c r="BK82" s="3">
        <f>'QTR Raw'!AE49</f>
        <v>33.119999999999997</v>
      </c>
      <c r="BL82" s="3">
        <f>'QTR Raw'!AF49</f>
        <v>33.119999999999997</v>
      </c>
      <c r="BM82" s="3">
        <f>'QTR Raw'!AG49</f>
        <v>33.119999999999997</v>
      </c>
      <c r="BN82" s="3">
        <f>'QTR Raw'!AH49</f>
        <v>34.409999999999997</v>
      </c>
      <c r="BO82" s="3">
        <f>'QTR Raw'!AI49</f>
        <v>34.409999999999997</v>
      </c>
      <c r="BP82" s="3">
        <f>'QTR Raw'!AJ49</f>
        <v>34.409999999999997</v>
      </c>
      <c r="BQ82" s="3">
        <f>'QTR Raw'!AK49</f>
        <v>34.409999999999997</v>
      </c>
      <c r="BR82" s="3">
        <f>'QTR Raw'!AL49</f>
        <v>34.409999999999997</v>
      </c>
      <c r="BS82" s="3">
        <f>'QTR Raw'!AM49</f>
        <v>34.409999999999997</v>
      </c>
      <c r="BT82" s="3">
        <f>'QTR Raw'!AN49</f>
        <v>34.409999999999997</v>
      </c>
      <c r="BU82" s="3">
        <f>'QTR Raw'!AO49</f>
        <v>33.92</v>
      </c>
      <c r="BV82" s="3">
        <f>'QTR Raw'!AP49</f>
        <v>33.92</v>
      </c>
      <c r="BW82" s="3">
        <f>'QTR Raw'!AQ49</f>
        <v>33.92</v>
      </c>
      <c r="BX82" s="3">
        <f>'QTR Raw'!AR49</f>
        <v>33.92</v>
      </c>
      <c r="BY82" s="3">
        <f>'QTR Raw'!AS49</f>
        <v>33.9</v>
      </c>
      <c r="BZ82" s="3">
        <f>'QTR Raw'!AT49</f>
        <v>33.9</v>
      </c>
      <c r="CA82" s="3">
        <f>'QTR Raw'!AU49</f>
        <v>33.9</v>
      </c>
      <c r="CB82" s="3">
        <f>'QTR Raw'!AV49</f>
        <v>33.9</v>
      </c>
      <c r="CC82" s="3">
        <f>'QTR Raw'!AW49</f>
        <v>33.700000000000003</v>
      </c>
      <c r="CD82" s="3">
        <f>'QTR Raw'!AX49</f>
        <v>33.19</v>
      </c>
      <c r="CE82" s="3">
        <f>'QTR Raw'!AY49</f>
        <v>33.19</v>
      </c>
      <c r="CF82" s="3">
        <f>'QTR Raw'!AZ49</f>
        <v>33.19</v>
      </c>
      <c r="CG82" s="3">
        <f>'QTR Raw'!BA49</f>
        <v>33.19</v>
      </c>
      <c r="CH82" s="3">
        <f>'QTR Raw'!BB49</f>
        <v>33.19</v>
      </c>
      <c r="CI82" s="3">
        <f>'QTR Raw'!BC49</f>
        <v>33.19</v>
      </c>
      <c r="CJ82" s="3">
        <f>'QTR Raw'!BD49</f>
        <v>33.19</v>
      </c>
      <c r="CK82" s="3">
        <f>'QTR Raw'!BE49</f>
        <v>33.19</v>
      </c>
      <c r="CL82" s="3">
        <f>'QTR Raw'!BF49</f>
        <v>33.19</v>
      </c>
      <c r="CM82" s="37"/>
      <c r="CN82" s="37"/>
      <c r="CO82" s="37"/>
      <c r="CP82" s="37"/>
      <c r="CQ82" s="37"/>
      <c r="CR82" s="37"/>
      <c r="CS82" s="37"/>
      <c r="CT82" s="37"/>
      <c r="CU82" s="37"/>
      <c r="CV82" s="37"/>
      <c r="CW82" s="37"/>
      <c r="CX82" s="37"/>
      <c r="CY82" s="37"/>
      <c r="CZ82" s="37"/>
      <c r="DA82" s="37"/>
      <c r="DB82" s="37"/>
      <c r="DE82" s="134"/>
    </row>
    <row r="83" spans="1:110" s="3" customFormat="1" x14ac:dyDescent="0.2">
      <c r="A83" s="3" t="s">
        <v>35</v>
      </c>
      <c r="B83" s="3">
        <f>'Annual Raw'!C113</f>
        <v>0</v>
      </c>
      <c r="C83" s="3">
        <f>'Annual Raw'!D113</f>
        <v>0</v>
      </c>
      <c r="D83" s="3">
        <f>'Annual Raw'!E113</f>
        <v>0</v>
      </c>
      <c r="E83" s="3">
        <f>'Annual Raw'!F113</f>
        <v>0</v>
      </c>
      <c r="F83" s="3">
        <f>'Annual Raw'!G113</f>
        <v>0</v>
      </c>
      <c r="G83" s="3">
        <f>'Annual Raw'!H113</f>
        <v>0</v>
      </c>
      <c r="H83" s="3">
        <f>'Annual Raw'!I113</f>
        <v>0</v>
      </c>
      <c r="I83" s="3">
        <f>'Annual Raw'!J113</f>
        <v>0</v>
      </c>
      <c r="J83" s="3">
        <f>'Annual Raw'!K113</f>
        <v>39.869999999999997</v>
      </c>
      <c r="K83" s="3">
        <f>'Annual Raw'!L113</f>
        <v>35.06</v>
      </c>
      <c r="L83" s="3">
        <f>'Annual Raw'!M113</f>
        <v>0</v>
      </c>
      <c r="M83" s="3">
        <f>'Annual Raw'!N113</f>
        <v>3.28</v>
      </c>
      <c r="N83" s="3">
        <f>'Annual Raw'!O113</f>
        <v>6.57</v>
      </c>
      <c r="O83" s="3">
        <f>'Annual Raw'!P113</f>
        <v>7.36</v>
      </c>
      <c r="P83" s="3">
        <f>'Annual Raw'!Q113</f>
        <v>9</v>
      </c>
      <c r="Q83" s="3">
        <f>'Annual Raw'!R113</f>
        <v>9</v>
      </c>
      <c r="R83" s="3">
        <f>'Annual Raw'!S113</f>
        <v>5.71</v>
      </c>
      <c r="S83" s="3">
        <f>'Annual Raw'!T113</f>
        <v>3.5</v>
      </c>
      <c r="T83" s="3">
        <f>'Annual Raw'!U113</f>
        <v>3.51</v>
      </c>
      <c r="U83" s="3">
        <f>'Annual Raw'!V113</f>
        <v>3.37</v>
      </c>
      <c r="V83" s="3">
        <f>'Annual Raw'!W113</f>
        <v>1.55</v>
      </c>
      <c r="W83" s="3">
        <f>'Annual Raw'!X113</f>
        <v>1.55</v>
      </c>
      <c r="X83" s="3">
        <f>'Annual Raw'!Y113</f>
        <v>1.55</v>
      </c>
      <c r="Y83" s="3">
        <f>'Annual Raw'!Z113</f>
        <v>0</v>
      </c>
      <c r="Z83" s="3">
        <f>'Annual Raw'!AA113</f>
        <v>0</v>
      </c>
      <c r="AA83" s="3">
        <f>'Annual Raw'!AB113</f>
        <v>0</v>
      </c>
      <c r="AB83" s="37"/>
      <c r="AC83" s="37"/>
      <c r="AD83" s="37"/>
      <c r="AE83" s="37"/>
      <c r="AI83" s="3">
        <f>'QTR Raw'!C50</f>
        <v>3.28</v>
      </c>
      <c r="AJ83" s="3">
        <f>'QTR Raw'!D50</f>
        <v>3.28</v>
      </c>
      <c r="AK83" s="3">
        <f>'QTR Raw'!E50</f>
        <v>6.57</v>
      </c>
      <c r="AL83" s="3">
        <f>'QTR Raw'!F50</f>
        <v>6.57</v>
      </c>
      <c r="AM83" s="3">
        <f>'QTR Raw'!G50</f>
        <v>6.57</v>
      </c>
      <c r="AN83" s="3">
        <f>'QTR Raw'!H50</f>
        <v>6.57</v>
      </c>
      <c r="AO83" s="3">
        <f>'QTR Raw'!I50</f>
        <v>6.57</v>
      </c>
      <c r="AP83" s="3">
        <f>'QTR Raw'!J50</f>
        <v>7.36</v>
      </c>
      <c r="AQ83" s="3">
        <f>'QTR Raw'!K50</f>
        <v>9</v>
      </c>
      <c r="AR83" s="3">
        <f>'QTR Raw'!L50</f>
        <v>9</v>
      </c>
      <c r="AS83" s="3">
        <f>'QTR Raw'!M50</f>
        <v>9</v>
      </c>
      <c r="AT83" s="3">
        <f>'QTR Raw'!N50</f>
        <v>9</v>
      </c>
      <c r="AU83" s="3">
        <f>'QTR Raw'!O50</f>
        <v>9</v>
      </c>
      <c r="AV83" s="3">
        <f>'QTR Raw'!P50</f>
        <v>9</v>
      </c>
      <c r="AW83" s="3">
        <f>'QTR Raw'!Q50</f>
        <v>9</v>
      </c>
      <c r="AX83" s="3">
        <f>'QTR Raw'!R50</f>
        <v>9</v>
      </c>
      <c r="AY83" s="3">
        <f>'QTR Raw'!S50</f>
        <v>5.71</v>
      </c>
      <c r="AZ83" s="3">
        <f>'QTR Raw'!T50</f>
        <v>5.71</v>
      </c>
      <c r="BA83" s="3">
        <f>'QTR Raw'!U50</f>
        <v>5.71</v>
      </c>
      <c r="BB83" s="3">
        <f>'QTR Raw'!V50</f>
        <v>5.71</v>
      </c>
      <c r="BC83" s="3">
        <f>'QTR Raw'!W50</f>
        <v>5.71</v>
      </c>
      <c r="BD83" s="3">
        <f>'QTR Raw'!X50</f>
        <v>5.71</v>
      </c>
      <c r="BE83" s="3">
        <f>'QTR Raw'!Y50</f>
        <v>4.59</v>
      </c>
      <c r="BF83" s="3">
        <f>'QTR Raw'!Z50</f>
        <v>3.5</v>
      </c>
      <c r="BG83" s="3">
        <f>'QTR Raw'!AA50</f>
        <v>3.51</v>
      </c>
      <c r="BH83" s="3">
        <f>'QTR Raw'!AB50</f>
        <v>3.51</v>
      </c>
      <c r="BI83" s="3">
        <f>'QTR Raw'!AC50</f>
        <v>3.51</v>
      </c>
      <c r="BJ83" s="3">
        <f>'QTR Raw'!AD50</f>
        <v>3.51</v>
      </c>
      <c r="BK83" s="3">
        <f>'QTR Raw'!AE50</f>
        <v>3.51</v>
      </c>
      <c r="BL83" s="3">
        <f>'QTR Raw'!AF50</f>
        <v>3.51</v>
      </c>
      <c r="BM83" s="3">
        <f>'QTR Raw'!AG50</f>
        <v>3.51</v>
      </c>
      <c r="BN83" s="3">
        <f>'QTR Raw'!AH50</f>
        <v>3.37</v>
      </c>
      <c r="BO83" s="3">
        <f>'QTR Raw'!AI50</f>
        <v>3.37</v>
      </c>
      <c r="BP83" s="3">
        <f>'QTR Raw'!AJ50</f>
        <v>3.37</v>
      </c>
      <c r="BQ83" s="3">
        <f>'QTR Raw'!AK50</f>
        <v>3.37</v>
      </c>
      <c r="BR83" s="3">
        <f>'QTR Raw'!AL50</f>
        <v>1.55</v>
      </c>
      <c r="BS83" s="3">
        <f>'QTR Raw'!AM50</f>
        <v>1.55</v>
      </c>
      <c r="BT83" s="3">
        <f>'QTR Raw'!AN50</f>
        <v>1.55</v>
      </c>
      <c r="BU83" s="3">
        <f>'QTR Raw'!AO50</f>
        <v>1.55</v>
      </c>
      <c r="BV83" s="3">
        <f>'QTR Raw'!AP50</f>
        <v>1.55</v>
      </c>
      <c r="BW83" s="3">
        <f>'QTR Raw'!AQ50</f>
        <v>1.55</v>
      </c>
      <c r="BX83" s="3">
        <f>'QTR Raw'!AR50</f>
        <v>1.55</v>
      </c>
      <c r="BY83" s="3">
        <f>'QTR Raw'!AS50</f>
        <v>1.55</v>
      </c>
      <c r="BZ83" s="3">
        <f>'QTR Raw'!AT50</f>
        <v>1.55</v>
      </c>
      <c r="CA83" s="3">
        <f>'QTR Raw'!AU50</f>
        <v>1.55</v>
      </c>
      <c r="CB83" s="3">
        <f>'QTR Raw'!AV50</f>
        <v>1.55</v>
      </c>
      <c r="CC83" s="3">
        <f>'QTR Raw'!AW50</f>
        <v>0</v>
      </c>
      <c r="CD83" s="3">
        <f>'QTR Raw'!AX50</f>
        <v>0</v>
      </c>
      <c r="CE83" s="3">
        <f>'QTR Raw'!AY50</f>
        <v>0</v>
      </c>
      <c r="CF83" s="3">
        <f>'QTR Raw'!AZ50</f>
        <v>0</v>
      </c>
      <c r="CG83" s="3">
        <f>'QTR Raw'!BA50</f>
        <v>0</v>
      </c>
      <c r="CH83" s="3">
        <f>'QTR Raw'!BB50</f>
        <v>0</v>
      </c>
      <c r="CI83" s="3">
        <f>'QTR Raw'!BC50</f>
        <v>0</v>
      </c>
      <c r="CJ83" s="3">
        <f>'QTR Raw'!BD50</f>
        <v>0</v>
      </c>
      <c r="CK83" s="3">
        <f>'QTR Raw'!BE50</f>
        <v>0</v>
      </c>
      <c r="CL83" s="3">
        <f>'QTR Raw'!BF50</f>
        <v>0</v>
      </c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E83" s="134"/>
    </row>
    <row r="84" spans="1:110" s="3" customFormat="1" x14ac:dyDescent="0.2">
      <c r="AB84" s="37"/>
      <c r="AC84" s="37"/>
      <c r="AD84" s="37"/>
      <c r="AE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E84" s="134"/>
    </row>
    <row r="85" spans="1:110" s="13" customFormat="1" x14ac:dyDescent="0.2">
      <c r="A85" s="13" t="s">
        <v>36</v>
      </c>
      <c r="AB85" s="37"/>
      <c r="AC85" s="37"/>
      <c r="AD85" s="37"/>
      <c r="AE85" s="37"/>
      <c r="CM85" s="37"/>
      <c r="CN85" s="37"/>
      <c r="CO85" s="37"/>
      <c r="CP85" s="37"/>
      <c r="CQ85" s="37"/>
      <c r="CR85" s="37"/>
      <c r="CS85" s="37"/>
      <c r="CT85" s="37"/>
      <c r="CU85" s="37"/>
      <c r="CV85" s="37"/>
      <c r="CW85" s="37"/>
      <c r="CX85" s="37"/>
      <c r="CY85" s="37"/>
      <c r="CZ85" s="37"/>
      <c r="DA85" s="37"/>
      <c r="DB85" s="37"/>
      <c r="DE85" s="134"/>
    </row>
    <row r="86" spans="1:110" s="13" customFormat="1" x14ac:dyDescent="0.2">
      <c r="A86" s="13" t="s">
        <v>457</v>
      </c>
      <c r="B86" s="13">
        <f>'Annual Raw'!C106</f>
        <v>6.8684632593898796</v>
      </c>
      <c r="C86" s="13">
        <f>'Annual Raw'!D106</f>
        <v>5.4818589070651598</v>
      </c>
      <c r="D86" s="13">
        <f>'Annual Raw'!E106</f>
        <v>7.5084344989243696</v>
      </c>
      <c r="E86" s="13">
        <f>'Annual Raw'!F106</f>
        <v>21.528857049252299</v>
      </c>
      <c r="F86" s="13">
        <f>'Annual Raw'!G106</f>
        <v>33.758482885444302</v>
      </c>
      <c r="G86" s="13">
        <f>'Annual Raw'!H106</f>
        <v>45.1684964324078</v>
      </c>
      <c r="H86" s="13">
        <f>'Annual Raw'!I106</f>
        <v>37.859351222987598</v>
      </c>
      <c r="I86" s="13">
        <f>'Annual Raw'!J106</f>
        <v>66.041399151658794</v>
      </c>
      <c r="J86" s="13">
        <f>'Annual Raw'!K106</f>
        <v>19.627105569128901</v>
      </c>
      <c r="K86" s="13">
        <f>'Annual Raw'!L106</f>
        <v>60.277127855870901</v>
      </c>
      <c r="L86" s="13">
        <f>'Annual Raw'!M106</f>
        <v>59.119509736138298</v>
      </c>
      <c r="M86" s="13">
        <f>'Annual Raw'!N106</f>
        <v>44.818400289894399</v>
      </c>
      <c r="N86" s="13">
        <f>'Annual Raw'!O106</f>
        <v>29.755073151645401</v>
      </c>
      <c r="O86" s="13">
        <f>'Annual Raw'!P106</f>
        <v>37.524929749521498</v>
      </c>
      <c r="P86" s="13">
        <f>'Annual Raw'!Q106</f>
        <v>30.188584463973299</v>
      </c>
      <c r="Q86" s="13">
        <f>'Annual Raw'!R106</f>
        <v>30.441069074449899</v>
      </c>
      <c r="R86" s="13">
        <f>'Annual Raw'!S106</f>
        <v>45.985546130777003</v>
      </c>
      <c r="S86" s="13">
        <f>'Annual Raw'!T106</f>
        <v>57.09</v>
      </c>
      <c r="T86" s="13">
        <f>'Annual Raw'!U106</f>
        <v>52.085000000000001</v>
      </c>
      <c r="U86" s="13">
        <f>'Annual Raw'!V106</f>
        <v>26.975000000000001</v>
      </c>
      <c r="V86" s="13">
        <f>'Annual Raw'!W106</f>
        <v>81.194999999999993</v>
      </c>
      <c r="W86" s="13">
        <f>'Annual Raw'!X106</f>
        <v>130.70500000000001</v>
      </c>
      <c r="X86" s="13">
        <f>'Annual Raw'!Y106</f>
        <v>104.5</v>
      </c>
      <c r="Y86" s="13">
        <f>'Annual Raw'!Z106</f>
        <v>155.9</v>
      </c>
      <c r="Z86" s="13">
        <f>'Annual Raw'!AA106</f>
        <v>154.25</v>
      </c>
      <c r="AA86" s="13">
        <f>'Annual Raw'!AB106</f>
        <v>191.8</v>
      </c>
      <c r="AB86" s="37">
        <f>+CP86</f>
        <v>210</v>
      </c>
      <c r="AC86" s="37">
        <f>+CT86</f>
        <v>210</v>
      </c>
      <c r="AD86" s="37">
        <f>+CX86</f>
        <v>210</v>
      </c>
      <c r="AE86" s="37">
        <f>+DB86</f>
        <v>210</v>
      </c>
      <c r="AJ86" s="13">
        <f>'QTR Share Price'!HP21</f>
        <v>38.182342508875799</v>
      </c>
      <c r="AK86" s="13">
        <f>'QTR Share Price'!HQ21</f>
        <v>40.807229685717999</v>
      </c>
      <c r="AL86" s="13">
        <f>'QTR Share Price'!HR21</f>
        <v>29.755073151645401</v>
      </c>
      <c r="AM86" s="13">
        <f>'QTR Share Price'!HS21</f>
        <v>26.086900508871299</v>
      </c>
      <c r="AN86" s="13">
        <f>'QTR Share Price'!HT21</f>
        <v>25.877290643569999</v>
      </c>
      <c r="AO86" s="13">
        <f>'QTR Share Price'!HU21</f>
        <v>40.345135209939997</v>
      </c>
      <c r="AP86" s="13">
        <f>'QTR Share Price'!HV21</f>
        <v>37.524929749521498</v>
      </c>
      <c r="AQ86" s="13">
        <f>'QTR Share Price'!HW21</f>
        <v>50.334950835780603</v>
      </c>
      <c r="AR86" s="13">
        <f>'QTR Share Price'!HX21</f>
        <v>43.7608232422374</v>
      </c>
      <c r="AS86" s="13">
        <f>'QTR Share Price'!HY21</f>
        <v>38.048954412774897</v>
      </c>
      <c r="AT86" s="13">
        <f>'QTR Share Price'!HZ21</f>
        <v>30.188584463973299</v>
      </c>
      <c r="AU86" s="13">
        <f>'QTR Share Price'!IA21</f>
        <v>29.030966344240699</v>
      </c>
      <c r="AV86" s="13">
        <f>'QTR Share Price'!IB21</f>
        <v>20.1892411169826</v>
      </c>
      <c r="AW86" s="13">
        <f>'QTR Share Price'!IC21</f>
        <v>24.7292002449874</v>
      </c>
      <c r="AX86" s="13">
        <f>'QTR Share Price'!ID21</f>
        <v>30.441069074449899</v>
      </c>
      <c r="AY86" s="13">
        <f>'QTR Share Price'!IE21</f>
        <v>30.669734382051399</v>
      </c>
      <c r="AZ86" s="13">
        <f>'QTR Share Price'!IF21</f>
        <v>35.6717879858343</v>
      </c>
      <c r="BA86" s="13">
        <f>'QTR Share Price'!IG21</f>
        <v>37.262917417894798</v>
      </c>
      <c r="BB86" s="13">
        <f>'QTR Share Price'!IH21</f>
        <v>45.985546130777003</v>
      </c>
      <c r="BC86" s="13">
        <f>'QTR Share Price'!II21</f>
        <v>51.864150080365697</v>
      </c>
      <c r="BD86" s="13">
        <f>'QTR Share Price'!IJ21</f>
        <v>62.030228547482402</v>
      </c>
      <c r="BE86" s="13">
        <f>'QTR Share Price'!IK21</f>
        <v>69.785793563633405</v>
      </c>
      <c r="BF86" s="13">
        <f>'QTR Share Price'!IL21</f>
        <v>57.09</v>
      </c>
      <c r="BG86" s="13">
        <f>'QTR Share Price'!IM21</f>
        <v>56.784999999999997</v>
      </c>
      <c r="BH86" s="13">
        <f>'QTR Share Price'!IN21</f>
        <v>58.034999999999997</v>
      </c>
      <c r="BI86" s="13">
        <f>'QTR Share Price'!IO21</f>
        <v>52.185000000000002</v>
      </c>
      <c r="BJ86" s="13">
        <f>'QTR Share Price'!IP21</f>
        <v>52.085000000000001</v>
      </c>
      <c r="BK86" s="13">
        <f>'QTR Share Price'!IQ21</f>
        <v>50.44</v>
      </c>
      <c r="BL86" s="13">
        <f>'QTR Share Price'!IR21</f>
        <v>35.979999999999997</v>
      </c>
      <c r="BM86" s="13">
        <f>'QTR Share Price'!IS21</f>
        <v>47.2</v>
      </c>
      <c r="BN86" s="13">
        <f>'QTR Share Price'!IT21</f>
        <v>26.975000000000001</v>
      </c>
      <c r="BO86" s="13">
        <f>'QTR Share Price'!IU21</f>
        <v>32.664999999999999</v>
      </c>
      <c r="BP86" s="13">
        <f>'QTR Share Price'!IV21</f>
        <v>35.975000000000001</v>
      </c>
      <c r="BQ86" s="13">
        <f>'QTR Share Price'!IW21</f>
        <v>64.355000000000004</v>
      </c>
      <c r="BR86" s="13">
        <f>'QTR Share Price'!IX21</f>
        <v>81.194999999999993</v>
      </c>
      <c r="BS86" s="13">
        <f>'QTR Share Price'!IY21</f>
        <v>116.685</v>
      </c>
      <c r="BT86" s="13">
        <f>'QTR Share Price'!IZ21</f>
        <v>128.85499999999999</v>
      </c>
      <c r="BU86" s="13">
        <f>'QTR Share Price'!JA21</f>
        <v>111.15</v>
      </c>
      <c r="BV86" s="13">
        <f>'QTR Share Price'!JB21</f>
        <v>130.70500000000001</v>
      </c>
      <c r="BW86" s="13">
        <f>'QTR Share Price'!JC21</f>
        <v>86.694999999999993</v>
      </c>
      <c r="BX86" s="13">
        <f>'QTR Share Price'!JD21</f>
        <v>99.3</v>
      </c>
      <c r="BY86" s="13">
        <f>'QTR Share Price'!JE21</f>
        <v>112.65</v>
      </c>
      <c r="BZ86" s="13">
        <f>'QTR Share Price'!JF21</f>
        <v>104.5</v>
      </c>
      <c r="CA86" s="13">
        <f>'QTR Share Price'!JG21</f>
        <v>112</v>
      </c>
      <c r="CB86" s="13">
        <f>'QTR Share Price'!JH21</f>
        <v>129</v>
      </c>
      <c r="CC86" s="13">
        <f>'QTR Share Price'!JI21</f>
        <v>139.5</v>
      </c>
      <c r="CD86" s="13">
        <f>'QTR Share Price'!JJ21</f>
        <v>155.9</v>
      </c>
      <c r="CE86" s="13">
        <f>'QTR Share Price'!JK21</f>
        <v>174</v>
      </c>
      <c r="CF86" s="13">
        <f>'QTR Share Price'!JL21</f>
        <v>168.45</v>
      </c>
      <c r="CG86" s="13">
        <f>'QTR Share Price'!JM21</f>
        <v>138.1</v>
      </c>
      <c r="CH86" s="13">
        <f>'QTR Share Price'!JN21</f>
        <v>154.25</v>
      </c>
      <c r="CI86" s="13">
        <f>'QTR Share Price'!JO21</f>
        <v>159.75</v>
      </c>
      <c r="CJ86" s="13">
        <f>'QTR Share Price'!JP21</f>
        <v>168.7</v>
      </c>
      <c r="CK86" s="13">
        <f>'QTR Share Price'!JQ21</f>
        <v>180.05</v>
      </c>
      <c r="CL86" s="13">
        <f>'QTR Share Price'!JR21</f>
        <v>191.8</v>
      </c>
      <c r="CM86" s="37">
        <v>210</v>
      </c>
      <c r="CN86" s="37">
        <f t="shared" ref="CN86" si="950">+CM86</f>
        <v>210</v>
      </c>
      <c r="CO86" s="37">
        <f t="shared" ref="CO86" si="951">+CN86</f>
        <v>210</v>
      </c>
      <c r="CP86" s="37">
        <f t="shared" ref="CP86" si="952">+CO86</f>
        <v>210</v>
      </c>
      <c r="CQ86" s="37">
        <f t="shared" ref="CQ86" si="953">+CP86</f>
        <v>210</v>
      </c>
      <c r="CR86" s="37">
        <f t="shared" ref="CR86" si="954">+CQ86</f>
        <v>210</v>
      </c>
      <c r="CS86" s="37">
        <f t="shared" ref="CS86" si="955">+CR86</f>
        <v>210</v>
      </c>
      <c r="CT86" s="37">
        <f t="shared" ref="CT86" si="956">+CS86</f>
        <v>210</v>
      </c>
      <c r="CU86" s="37">
        <f t="shared" ref="CU86" si="957">+CT86</f>
        <v>210</v>
      </c>
      <c r="CV86" s="37">
        <f t="shared" ref="CV86" si="958">+CU86</f>
        <v>210</v>
      </c>
      <c r="CW86" s="37">
        <f t="shared" ref="CW86" si="959">+CV86</f>
        <v>210</v>
      </c>
      <c r="CX86" s="37">
        <f t="shared" ref="CX86" si="960">+CW86</f>
        <v>210</v>
      </c>
      <c r="CY86" s="37">
        <f t="shared" ref="CY86" si="961">+CX86</f>
        <v>210</v>
      </c>
      <c r="CZ86" s="37">
        <f t="shared" ref="CZ86" si="962">+CY86</f>
        <v>210</v>
      </c>
      <c r="DA86" s="37">
        <f t="shared" ref="DA86" si="963">+CZ86</f>
        <v>210</v>
      </c>
      <c r="DB86" s="37">
        <f t="shared" ref="DB86" si="964">+DA86</f>
        <v>210</v>
      </c>
      <c r="DE86" s="134"/>
      <c r="DF86" s="13">
        <v>191.8</v>
      </c>
    </row>
    <row r="87" spans="1:110" s="13" customFormat="1" x14ac:dyDescent="0.2">
      <c r="A87" s="13" t="s">
        <v>458</v>
      </c>
      <c r="B87" s="13">
        <f>'Annual Raw'!C107</f>
        <v>9.4816791541557102</v>
      </c>
      <c r="C87" s="13">
        <f>'Annual Raw'!D107</f>
        <v>8.38979839898502</v>
      </c>
      <c r="D87" s="13">
        <f>'Annual Raw'!E107</f>
        <v>9.1785348827972708</v>
      </c>
      <c r="E87" s="13">
        <f>'Annual Raw'!F107</f>
        <v>26.185489884286099</v>
      </c>
      <c r="F87" s="13">
        <f>'Annual Raw'!G107</f>
        <v>37.598310322651201</v>
      </c>
      <c r="G87" s="13">
        <f>'Annual Raw'!H107</f>
        <v>45.5853198055257</v>
      </c>
      <c r="H87" s="13">
        <f>'Annual Raw'!I107</f>
        <v>57.176377847883899</v>
      </c>
      <c r="I87" s="13">
        <f>'Annual Raw'!J107</f>
        <v>92.399839713306903</v>
      </c>
      <c r="J87" s="13">
        <f>'Annual Raw'!K107</f>
        <v>88.131420638078893</v>
      </c>
      <c r="K87" s="13">
        <f>'Annual Raw'!L107</f>
        <v>70.2193048759612</v>
      </c>
      <c r="L87" s="13">
        <f>'Annual Raw'!M107</f>
        <v>68.008873569146701</v>
      </c>
      <c r="M87" s="13">
        <f>'Annual Raw'!N107</f>
        <v>61.153678201676698</v>
      </c>
      <c r="N87" s="13">
        <f>'Annual Raw'!O107</f>
        <v>45.923615943301598</v>
      </c>
      <c r="O87" s="13">
        <f>'Annual Raw'!P107</f>
        <v>41.4836978873725</v>
      </c>
      <c r="P87" s="13">
        <f>'Annual Raw'!Q107</f>
        <v>55.127394574262098</v>
      </c>
      <c r="Q87" s="13">
        <f>'Annual Raw'!R107</f>
        <v>36.605504658540397</v>
      </c>
      <c r="R87" s="13">
        <f>'Annual Raw'!S107</f>
        <v>48.443698187493197</v>
      </c>
      <c r="S87" s="13">
        <f>'Annual Raw'!T107</f>
        <v>75.511953974820997</v>
      </c>
      <c r="T87" s="13">
        <f>'Annual Raw'!U107</f>
        <v>64.67</v>
      </c>
      <c r="U87" s="13">
        <f>'Annual Raw'!V107</f>
        <v>56.034999999999997</v>
      </c>
      <c r="V87" s="13">
        <f>'Annual Raw'!W107</f>
        <v>82.35</v>
      </c>
      <c r="W87" s="13">
        <f>'Annual Raw'!X107</f>
        <v>153.46</v>
      </c>
      <c r="X87" s="13">
        <f>'Annual Raw'!Y107</f>
        <v>138.625</v>
      </c>
      <c r="Y87" s="13">
        <f>'Annual Raw'!Z107</f>
        <v>159.5</v>
      </c>
      <c r="Z87" s="13">
        <f>'Annual Raw'!AA107</f>
        <v>184.6</v>
      </c>
      <c r="AA87" s="13">
        <f>'Annual Raw'!AB107</f>
        <v>216.5</v>
      </c>
      <c r="AB87" s="37">
        <f>+MAX(CM87:CP87)</f>
        <v>294.6922621945032</v>
      </c>
      <c r="AC87" s="37">
        <f>+MAX(CQ87:CT87)</f>
        <v>339.43686532580165</v>
      </c>
      <c r="AD87" s="37">
        <f>+MAX(CU87:CX87)</f>
        <v>399.36040433545315</v>
      </c>
      <c r="AE87" s="37">
        <f>+MAX(CY87:DB87)</f>
        <v>463.71393711940539</v>
      </c>
      <c r="AJ87" s="13">
        <f>'QTR Share Price'!HP19</f>
        <v>43.341603511634702</v>
      </c>
      <c r="AK87" s="13">
        <f>'QTR Share Price'!HQ19</f>
        <v>41.612322122898298</v>
      </c>
      <c r="AL87" s="13">
        <f>'QTR Share Price'!HR19</f>
        <v>42.693718473430401</v>
      </c>
      <c r="AM87" s="13">
        <f>'QTR Share Price'!HS19</f>
        <v>31.150884300129601</v>
      </c>
      <c r="AN87" s="13">
        <f>'QTR Share Price'!HT19</f>
        <v>30.321972560074201</v>
      </c>
      <c r="AO87" s="13">
        <f>'QTR Share Price'!HU19</f>
        <v>41.1359360653952</v>
      </c>
      <c r="AP87" s="13">
        <f>'QTR Share Price'!HV19</f>
        <v>41.4836978873725</v>
      </c>
      <c r="AQ87" s="13">
        <f>'QTR Share Price'!HW19</f>
        <v>55.127394574262098</v>
      </c>
      <c r="AR87" s="13">
        <f>'QTR Share Price'!HX19</f>
        <v>54.679591680209199</v>
      </c>
      <c r="AS87" s="13">
        <f>'QTR Share Price'!HY19</f>
        <v>47.190802856259999</v>
      </c>
      <c r="AT87" s="13">
        <f>'QTR Share Price'!HZ19</f>
        <v>40.130761484063598</v>
      </c>
      <c r="AU87" s="13">
        <f>'QTR Share Price'!IA19</f>
        <v>36.605504658540397</v>
      </c>
      <c r="AV87" s="13">
        <f>'QTR Share Price'!IB19</f>
        <v>29.564518728644199</v>
      </c>
      <c r="AW87" s="13">
        <f>'QTR Share Price'!IC19</f>
        <v>25.367557562041601</v>
      </c>
      <c r="AX87" s="13">
        <f>'QTR Share Price'!ID19</f>
        <v>31.0460793674789</v>
      </c>
      <c r="AY87" s="13">
        <f>'QTR Share Price'!IE19</f>
        <v>34.695196567952898</v>
      </c>
      <c r="AZ87" s="13">
        <f>'QTR Share Price'!IF19</f>
        <v>38.920740898005597</v>
      </c>
      <c r="BA87" s="13">
        <f>'QTR Share Price'!IG19</f>
        <v>42.0077225506259</v>
      </c>
      <c r="BB87" s="13">
        <f>'QTR Share Price'!IH19</f>
        <v>48.443698187493197</v>
      </c>
      <c r="BC87" s="13">
        <f>'QTR Share Price'!II19</f>
        <v>52.097579248542203</v>
      </c>
      <c r="BD87" s="13">
        <f>'QTR Share Price'!IJ19</f>
        <v>66.365341670760898</v>
      </c>
      <c r="BE87" s="13">
        <f>'QTR Share Price'!IK19</f>
        <v>70.919592380490798</v>
      </c>
      <c r="BF87" s="13">
        <f>'QTR Share Price'!IL19</f>
        <v>75.511953974820997</v>
      </c>
      <c r="BG87" s="13">
        <f>'QTR Share Price'!IM19</f>
        <v>63.63</v>
      </c>
      <c r="BH87" s="13">
        <f>'QTR Share Price'!IN19</f>
        <v>64.67</v>
      </c>
      <c r="BI87" s="13">
        <f>'QTR Share Price'!IO19</f>
        <v>61</v>
      </c>
      <c r="BJ87" s="13">
        <f>'QTR Share Price'!IP19</f>
        <v>53.18</v>
      </c>
      <c r="BK87" s="13">
        <f>'QTR Share Price'!IQ19</f>
        <v>56.034999999999997</v>
      </c>
      <c r="BL87" s="13">
        <f>'QTR Share Price'!IR19</f>
        <v>51.475000000000001</v>
      </c>
      <c r="BM87" s="13">
        <f>'QTR Share Price'!IS19</f>
        <v>47.6</v>
      </c>
      <c r="BN87" s="13">
        <f>'QTR Share Price'!IT19</f>
        <v>50.594999999999999</v>
      </c>
      <c r="BO87" s="13">
        <f>'QTR Share Price'!IU19</f>
        <v>35.045000000000002</v>
      </c>
      <c r="BP87" s="13">
        <f>'QTR Share Price'!IV19</f>
        <v>44.375</v>
      </c>
      <c r="BQ87" s="13">
        <f>'QTR Share Price'!IW19</f>
        <v>65.33</v>
      </c>
      <c r="BR87" s="13">
        <f>'QTR Share Price'!IX19</f>
        <v>82.35</v>
      </c>
      <c r="BS87" s="13">
        <f>'QTR Share Price'!IY19</f>
        <v>124.68</v>
      </c>
      <c r="BT87" s="13">
        <f>'QTR Share Price'!IZ19</f>
        <v>153.46</v>
      </c>
      <c r="BU87" s="13">
        <f>'QTR Share Price'!JA19</f>
        <v>142.62</v>
      </c>
      <c r="BV87" s="13">
        <f>'QTR Share Price'!JB19</f>
        <v>136.62</v>
      </c>
      <c r="BW87" s="13">
        <f>'QTR Share Price'!JC19</f>
        <v>138.625</v>
      </c>
      <c r="BX87" s="13">
        <f>'QTR Share Price'!JD19</f>
        <v>113.8</v>
      </c>
      <c r="BY87" s="13">
        <f>'QTR Share Price'!JE19</f>
        <v>116.05</v>
      </c>
      <c r="BZ87" s="13">
        <f>'QTR Share Price'!JF19</f>
        <v>124.3</v>
      </c>
      <c r="CA87" s="13">
        <f>'QTR Share Price'!JG19</f>
        <v>115.5</v>
      </c>
      <c r="CB87" s="13">
        <f>'QTR Share Price'!JH19</f>
        <v>134.85</v>
      </c>
      <c r="CC87" s="13">
        <f>'QTR Share Price'!JI19</f>
        <v>141.19999999999999</v>
      </c>
      <c r="CD87" s="13">
        <f>'QTR Share Price'!JJ19</f>
        <v>159.5</v>
      </c>
      <c r="CE87" s="13">
        <f>'QTR Share Price'!JK19</f>
        <v>184.6</v>
      </c>
      <c r="CF87" s="13">
        <f>'QTR Share Price'!JL19</f>
        <v>178.15</v>
      </c>
      <c r="CG87" s="13">
        <f>'QTR Share Price'!JM19</f>
        <v>169.95</v>
      </c>
      <c r="CH87" s="13">
        <f>'QTR Share Price'!JN19</f>
        <v>160.1</v>
      </c>
      <c r="CI87" s="13">
        <f>'QTR Share Price'!JO19</f>
        <v>165.6</v>
      </c>
      <c r="CJ87" s="13">
        <f>'QTR Share Price'!JP19</f>
        <v>174.35</v>
      </c>
      <c r="CK87" s="13">
        <f>'QTR Share Price'!JQ19</f>
        <v>187</v>
      </c>
      <c r="CL87" s="13">
        <f>'QTR Share Price'!JR19</f>
        <v>216.5</v>
      </c>
      <c r="CM87" s="37">
        <f t="shared" ref="CM87:DB87" si="965">+CM116/CM74</f>
        <v>230.30049061340043</v>
      </c>
      <c r="CN87" s="37">
        <f t="shared" si="965"/>
        <v>243.66693596448823</v>
      </c>
      <c r="CO87" s="37">
        <f t="shared" si="965"/>
        <v>269.84863455837461</v>
      </c>
      <c r="CP87" s="37">
        <f t="shared" si="965"/>
        <v>294.6922621945032</v>
      </c>
      <c r="CQ87" s="37">
        <f t="shared" si="965"/>
        <v>302.67433933914026</v>
      </c>
      <c r="CR87" s="37">
        <f t="shared" si="965"/>
        <v>314.32115277458098</v>
      </c>
      <c r="CS87" s="37">
        <f t="shared" si="965"/>
        <v>328.68159734680358</v>
      </c>
      <c r="CT87" s="37">
        <f t="shared" si="965"/>
        <v>339.43686532580165</v>
      </c>
      <c r="CU87" s="37">
        <f t="shared" si="965"/>
        <v>351.09574083010222</v>
      </c>
      <c r="CV87" s="37">
        <f t="shared" si="965"/>
        <v>366.71764986655364</v>
      </c>
      <c r="CW87" s="37">
        <f t="shared" si="965"/>
        <v>383.36864110187491</v>
      </c>
      <c r="CX87" s="37">
        <f t="shared" si="965"/>
        <v>399.36040433545315</v>
      </c>
      <c r="CY87" s="37">
        <f t="shared" si="965"/>
        <v>410.95751830776129</v>
      </c>
      <c r="CZ87" s="37">
        <f t="shared" si="965"/>
        <v>427.31122046766859</v>
      </c>
      <c r="DA87" s="37">
        <f t="shared" si="965"/>
        <v>445.25967556517395</v>
      </c>
      <c r="DB87" s="37">
        <f t="shared" si="965"/>
        <v>463.71393711940539</v>
      </c>
      <c r="DE87" s="134"/>
      <c r="DF87" s="13">
        <v>216.5</v>
      </c>
    </row>
    <row r="88" spans="1:110" s="13" customFormat="1" x14ac:dyDescent="0.2">
      <c r="A88" s="13" t="s">
        <v>459</v>
      </c>
      <c r="B88" s="13">
        <f>'Annual Raw'!C108</f>
        <v>4.7717153824939897</v>
      </c>
      <c r="C88" s="13">
        <f>'Annual Raw'!D108</f>
        <v>3.7556206951629201</v>
      </c>
      <c r="D88" s="13">
        <f>'Annual Raw'!E108</f>
        <v>5.4734382328607598</v>
      </c>
      <c r="E88" s="13">
        <f>'Annual Raw'!F108</f>
        <v>7.0537180918867097</v>
      </c>
      <c r="F88" s="13">
        <f>'Annual Raw'!G108</f>
        <v>14.584607722022801</v>
      </c>
      <c r="G88" s="13">
        <f>'Annual Raw'!H108</f>
        <v>27.708228469582</v>
      </c>
      <c r="H88" s="13">
        <f>'Annual Raw'!I108</f>
        <v>31.733310739285798</v>
      </c>
      <c r="I88" s="13">
        <f>'Annual Raw'!J108</f>
        <v>35.455248737631102</v>
      </c>
      <c r="J88" s="13">
        <f>'Annual Raw'!K108</f>
        <v>13.9438199031166</v>
      </c>
      <c r="K88" s="13">
        <f>'Annual Raw'!L108</f>
        <v>19.369857098077201</v>
      </c>
      <c r="L88" s="13">
        <f>'Annual Raw'!M108</f>
        <v>42.746120939755798</v>
      </c>
      <c r="M88" s="13">
        <f>'Annual Raw'!N108</f>
        <v>31.665381242233</v>
      </c>
      <c r="N88" s="13">
        <f>'Annual Raw'!O108</f>
        <v>28.664149079963298</v>
      </c>
      <c r="O88" s="13">
        <f>'Annual Raw'!P108</f>
        <v>18.617167127222299</v>
      </c>
      <c r="P88" s="13">
        <f>'Annual Raw'!Q108</f>
        <v>29.6597959401448</v>
      </c>
      <c r="Q88" s="13">
        <f>'Annual Raw'!R108</f>
        <v>19.0554423001252</v>
      </c>
      <c r="R88" s="13">
        <f>'Annual Raw'!S108</f>
        <v>28.335442700286102</v>
      </c>
      <c r="S88" s="13">
        <f>'Annual Raw'!T108</f>
        <v>40.802465825143003</v>
      </c>
      <c r="T88" s="13">
        <f>'Annual Raw'!U108</f>
        <v>44.21</v>
      </c>
      <c r="U88" s="13">
        <f>'Annual Raw'!V108</f>
        <v>25.09</v>
      </c>
      <c r="V88" s="13">
        <f>'Annual Raw'!W108</f>
        <v>25.105</v>
      </c>
      <c r="W88" s="13">
        <f>'Annual Raw'!X108</f>
        <v>81.864999999999995</v>
      </c>
      <c r="X88" s="13">
        <f>'Annual Raw'!Y108</f>
        <v>82.71</v>
      </c>
      <c r="Y88" s="13">
        <f>'Annual Raw'!Z108</f>
        <v>103.25</v>
      </c>
      <c r="Z88" s="13">
        <f>'Annual Raw'!AA108</f>
        <v>122.6</v>
      </c>
      <c r="AA88" s="13">
        <f>'Annual Raw'!AB108</f>
        <v>124.2</v>
      </c>
      <c r="AB88" s="37">
        <f>+MIN(CM88:CP88)</f>
        <v>188.9999531256544</v>
      </c>
      <c r="AC88" s="37">
        <f>+MIN(CQ88:CT88)</f>
        <v>251.79664701893637</v>
      </c>
      <c r="AD88" s="37">
        <f>+MIN(CU88:CX88)</f>
        <v>295.21684305771333</v>
      </c>
      <c r="AE88" s="37">
        <f>+MIN(CY88:DB88)</f>
        <v>351.10323431113392</v>
      </c>
      <c r="AJ88" s="13">
        <f>+'QTR Share Price'!HP20</f>
        <v>33.1135948570425</v>
      </c>
      <c r="AK88" s="13">
        <f>+'QTR Share Price'!HQ20</f>
        <v>34.218810510449799</v>
      </c>
      <c r="AL88" s="13">
        <f>+'QTR Share Price'!HR20</f>
        <v>28.664149079963298</v>
      </c>
      <c r="AM88" s="13">
        <f>+'QTR Share Price'!HS20</f>
        <v>24.919754667988698</v>
      </c>
      <c r="AN88" s="13">
        <f>+'QTR Share Price'!HT20</f>
        <v>18.617167127222299</v>
      </c>
      <c r="AO88" s="13">
        <f>+'QTR Share Price'!HU20</f>
        <v>25.6295698936683</v>
      </c>
      <c r="AP88" s="13">
        <f>+'QTR Share Price'!HV20</f>
        <v>31.6510896605079</v>
      </c>
      <c r="AQ88" s="13">
        <f>+'QTR Share Price'!HW20</f>
        <v>36.800822942116703</v>
      </c>
      <c r="AR88" s="13">
        <f>+'QTR Share Price'!HX20</f>
        <v>42.979550107932297</v>
      </c>
      <c r="AS88" s="13">
        <f>+'QTR Share Price'!HY20</f>
        <v>36.877044711317197</v>
      </c>
      <c r="AT88" s="13">
        <f>+'QTR Share Price'!HZ20</f>
        <v>29.6597959401448</v>
      </c>
      <c r="AU88" s="13">
        <f>+'QTR Share Price'!IA20</f>
        <v>27.396962167005</v>
      </c>
      <c r="AV88" s="13">
        <f>+'QTR Share Price'!IB20</f>
        <v>19.0554423001252</v>
      </c>
      <c r="AW88" s="13">
        <f>+'QTR Share Price'!IC20</f>
        <v>20.046325299731699</v>
      </c>
      <c r="AX88" s="13">
        <f>+'QTR Share Price'!ID20</f>
        <v>20.1320747900822</v>
      </c>
      <c r="AY88" s="13">
        <f>+'QTR Share Price'!IE20</f>
        <v>28.335442700286102</v>
      </c>
      <c r="AZ88" s="13">
        <f>+'QTR Share Price'!IF20</f>
        <v>29.726489988195301</v>
      </c>
      <c r="BA88" s="13">
        <f>+'QTR Share Price'!IG20</f>
        <v>34.8762232698041</v>
      </c>
      <c r="BB88" s="13">
        <f>+'QTR Share Price'!IH20</f>
        <v>37.058071413168399</v>
      </c>
      <c r="BC88" s="13">
        <f>+'QTR Share Price'!II20</f>
        <v>40.802465825143003</v>
      </c>
      <c r="BD88" s="13">
        <f>+'QTR Share Price'!IJ20</f>
        <v>51.635484772764201</v>
      </c>
      <c r="BE88" s="13">
        <f>+'QTR Share Price'!IK20</f>
        <v>62.335115624284398</v>
      </c>
      <c r="BF88" s="13">
        <f>+'QTR Share Price'!IL20</f>
        <v>55.41</v>
      </c>
      <c r="BG88" s="13">
        <f>+'QTR Share Price'!IM20</f>
        <v>53.66</v>
      </c>
      <c r="BH88" s="13">
        <f>+'QTR Share Price'!IN20</f>
        <v>49.35</v>
      </c>
      <c r="BI88" s="13">
        <f>+'QTR Share Price'!IO20</f>
        <v>48.69</v>
      </c>
      <c r="BJ88" s="13">
        <f>+'QTR Share Price'!IP20</f>
        <v>44.21</v>
      </c>
      <c r="BK88" s="13">
        <f>+'QTR Share Price'!IQ20</f>
        <v>45.55</v>
      </c>
      <c r="BL88" s="13">
        <f>+'QTR Share Price'!IR20</f>
        <v>32.244999999999997</v>
      </c>
      <c r="BM88" s="13">
        <f>+'QTR Share Price'!IS20</f>
        <v>32.03</v>
      </c>
      <c r="BN88" s="13">
        <f>+'QTR Share Price'!IT20</f>
        <v>25.09</v>
      </c>
      <c r="BO88" s="13">
        <f>+'QTR Share Price'!IU20</f>
        <v>25.105</v>
      </c>
      <c r="BP88" s="13">
        <f>+'QTR Share Price'!IV20</f>
        <v>32.049999999999997</v>
      </c>
      <c r="BQ88" s="13">
        <f>+'QTR Share Price'!IW20</f>
        <v>36.174999999999997</v>
      </c>
      <c r="BR88" s="13">
        <f>+'QTR Share Price'!IX20</f>
        <v>59.63</v>
      </c>
      <c r="BS88" s="13">
        <f>+'QTR Share Price'!IY20</f>
        <v>81.864999999999995</v>
      </c>
      <c r="BT88" s="13">
        <f>+'QTR Share Price'!IZ20</f>
        <v>113.05</v>
      </c>
      <c r="BU88" s="13">
        <f>+'QTR Share Price'!JA20</f>
        <v>106.38</v>
      </c>
      <c r="BV88" s="13">
        <f>+'QTR Share Price'!JB20</f>
        <v>106.17</v>
      </c>
      <c r="BW88" s="13">
        <f>+'QTR Share Price'!JC20</f>
        <v>82.71</v>
      </c>
      <c r="BX88" s="13">
        <f>+'QTR Share Price'!JD20</f>
        <v>83.83</v>
      </c>
      <c r="BY88" s="13">
        <f>+'QTR Share Price'!JE20</f>
        <v>98</v>
      </c>
      <c r="BZ88" s="13">
        <f>+'QTR Share Price'!JF20</f>
        <v>101.65</v>
      </c>
      <c r="CA88" s="13">
        <f>+'QTR Share Price'!JG20</f>
        <v>103.25</v>
      </c>
      <c r="CB88" s="13">
        <f>+'QTR Share Price'!JH20</f>
        <v>111.3</v>
      </c>
      <c r="CC88" s="13">
        <f>+'QTR Share Price'!JI20</f>
        <v>114.25</v>
      </c>
      <c r="CD88" s="13">
        <f>+'QTR Share Price'!JJ20</f>
        <v>128.1</v>
      </c>
      <c r="CE88" s="13">
        <f>+'QTR Share Price'!JK20</f>
        <v>148.15</v>
      </c>
      <c r="CF88" s="13">
        <f>+'QTR Share Price'!JL20</f>
        <v>142.35</v>
      </c>
      <c r="CG88" s="13">
        <f>+'QTR Share Price'!JM20</f>
        <v>136.05000000000001</v>
      </c>
      <c r="CH88" s="13">
        <f>+'QTR Share Price'!JN20</f>
        <v>122.6</v>
      </c>
      <c r="CI88" s="13">
        <f>+'QTR Share Price'!JO20</f>
        <v>124.2</v>
      </c>
      <c r="CJ88" s="13">
        <f>+'QTR Share Price'!JP20</f>
        <v>152.55000000000001</v>
      </c>
      <c r="CK88" s="13">
        <f>+'QTR Share Price'!JQ20</f>
        <v>160</v>
      </c>
      <c r="CL88" s="13">
        <f>+'QTR Share Price'!JR20</f>
        <v>177.25</v>
      </c>
      <c r="CM88" s="37">
        <f t="shared" ref="CM88:DB88" si="966">+CM117/CM74</f>
        <v>188.9999531256544</v>
      </c>
      <c r="CN88" s="37">
        <f t="shared" si="966"/>
        <v>200.79544088359592</v>
      </c>
      <c r="CO88" s="37">
        <f t="shared" si="966"/>
        <v>223.53106626752401</v>
      </c>
      <c r="CP88" s="37">
        <f t="shared" si="966"/>
        <v>245.23124202037417</v>
      </c>
      <c r="CQ88" s="37">
        <f t="shared" si="966"/>
        <v>251.79664701893637</v>
      </c>
      <c r="CR88" s="37">
        <f t="shared" si="966"/>
        <v>262.12539816827126</v>
      </c>
      <c r="CS88" s="37">
        <f t="shared" si="966"/>
        <v>274.91751082855905</v>
      </c>
      <c r="CT88" s="37">
        <f t="shared" si="966"/>
        <v>284.63384643550285</v>
      </c>
      <c r="CU88" s="37">
        <f t="shared" si="966"/>
        <v>295.21684305771333</v>
      </c>
      <c r="CV88" s="37">
        <f t="shared" si="966"/>
        <v>309.79896285379073</v>
      </c>
      <c r="CW88" s="37">
        <f t="shared" si="966"/>
        <v>325.41664848263457</v>
      </c>
      <c r="CX88" s="37">
        <f t="shared" si="966"/>
        <v>340.48556581058443</v>
      </c>
      <c r="CY88" s="37">
        <f t="shared" si="966"/>
        <v>351.10323431113392</v>
      </c>
      <c r="CZ88" s="37">
        <f t="shared" si="966"/>
        <v>366.44832817717975</v>
      </c>
      <c r="DA88" s="37">
        <f t="shared" si="966"/>
        <v>383.32425835968724</v>
      </c>
      <c r="DB88" s="37">
        <f t="shared" si="966"/>
        <v>400.65133967343576</v>
      </c>
      <c r="DE88" s="134"/>
      <c r="DF88" s="13">
        <v>177.25</v>
      </c>
    </row>
    <row r="89" spans="1:110" s="14" customFormat="1" x14ac:dyDescent="0.2">
      <c r="AB89" s="16"/>
      <c r="AC89" s="16"/>
      <c r="AD89" s="16"/>
      <c r="AE89" s="16"/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E89" s="134"/>
    </row>
    <row r="90" spans="1:110" s="51" customFormat="1" x14ac:dyDescent="0.2">
      <c r="A90" s="51" t="s">
        <v>346</v>
      </c>
      <c r="AB90" s="48">
        <f t="shared" ref="AB90:AD90" si="967">+AB87/AB86-1</f>
        <v>0.40329648664049134</v>
      </c>
      <c r="AC90" s="48">
        <f t="shared" si="967"/>
        <v>0.61636602536096019</v>
      </c>
      <c r="AD90" s="48">
        <f t="shared" si="967"/>
        <v>0.90171621112120559</v>
      </c>
      <c r="AE90" s="48">
        <f t="shared" ref="AE90" si="968">+AE87/AE86-1</f>
        <v>1.2081616053305018</v>
      </c>
      <c r="CM90" s="48">
        <f t="shared" ref="CM90:DB90" si="969">+CM87/CM86-1</f>
        <v>9.6669002920954483E-2</v>
      </c>
      <c r="CN90" s="48">
        <f t="shared" si="969"/>
        <v>0.16031874268803925</v>
      </c>
      <c r="CO90" s="48">
        <f t="shared" si="969"/>
        <v>0.28499349789702189</v>
      </c>
      <c r="CP90" s="48">
        <f t="shared" si="969"/>
        <v>0.40329648664049134</v>
      </c>
      <c r="CQ90" s="48">
        <f t="shared" si="969"/>
        <v>0.44130637780542981</v>
      </c>
      <c r="CR90" s="48">
        <f t="shared" si="969"/>
        <v>0.49676739416467131</v>
      </c>
      <c r="CS90" s="48">
        <f t="shared" si="969"/>
        <v>0.56515046355620746</v>
      </c>
      <c r="CT90" s="48">
        <f t="shared" si="969"/>
        <v>0.61636602536096019</v>
      </c>
      <c r="CU90" s="48">
        <f t="shared" si="969"/>
        <v>0.6718844801433439</v>
      </c>
      <c r="CV90" s="48">
        <f t="shared" si="969"/>
        <v>0.74627452317406506</v>
      </c>
      <c r="CW90" s="48">
        <f t="shared" si="969"/>
        <v>0.82556495762797577</v>
      </c>
      <c r="CX90" s="48">
        <f t="shared" si="969"/>
        <v>0.90171621112120559</v>
      </c>
      <c r="CY90" s="48">
        <f t="shared" si="969"/>
        <v>0.95694056337029187</v>
      </c>
      <c r="CZ90" s="48">
        <f t="shared" si="969"/>
        <v>1.0348153355603267</v>
      </c>
      <c r="DA90" s="48">
        <f t="shared" si="969"/>
        <v>1.120284169357971</v>
      </c>
      <c r="DB90" s="48">
        <f t="shared" si="969"/>
        <v>1.2081616053305018</v>
      </c>
      <c r="DE90" s="129"/>
      <c r="DF90" s="51">
        <v>0.12877997914494266</v>
      </c>
    </row>
    <row r="91" spans="1:110" s="51" customFormat="1" x14ac:dyDescent="0.2">
      <c r="A91" s="51" t="s">
        <v>347</v>
      </c>
      <c r="AB91" s="48">
        <f t="shared" ref="AB91:AD91" si="970">+AB88/AB86-1</f>
        <v>-0.10000022321116953</v>
      </c>
      <c r="AC91" s="48">
        <f t="shared" si="970"/>
        <v>0.19903165247112553</v>
      </c>
      <c r="AD91" s="48">
        <f t="shared" si="970"/>
        <v>0.40579449075101581</v>
      </c>
      <c r="AE91" s="48">
        <f t="shared" ref="AE91" si="971">+AE88/AE86-1</f>
        <v>0.67192016338635208</v>
      </c>
      <c r="CM91" s="48">
        <f t="shared" ref="CM91:DB91" si="972">+CM88/CM86-1</f>
        <v>-0.10000022321116953</v>
      </c>
      <c r="CN91" s="48">
        <f t="shared" si="972"/>
        <v>-4.3831233887638543E-2</v>
      </c>
      <c r="CO91" s="48">
        <f t="shared" si="972"/>
        <v>6.443364889297154E-2</v>
      </c>
      <c r="CP91" s="48">
        <f t="shared" si="972"/>
        <v>0.16776781914463879</v>
      </c>
      <c r="CQ91" s="48">
        <f t="shared" si="972"/>
        <v>0.19903165247112553</v>
      </c>
      <c r="CR91" s="48">
        <f t="shared" si="972"/>
        <v>0.24821618175367277</v>
      </c>
      <c r="CS91" s="48">
        <f t="shared" si="972"/>
        <v>0.30913100394551929</v>
      </c>
      <c r="CT91" s="48">
        <f t="shared" si="972"/>
        <v>0.35539926874048966</v>
      </c>
      <c r="CU91" s="48">
        <f t="shared" si="972"/>
        <v>0.40579449075101581</v>
      </c>
      <c r="CV91" s="48">
        <f t="shared" si="972"/>
        <v>0.47523315644662256</v>
      </c>
      <c r="CW91" s="48">
        <f t="shared" si="972"/>
        <v>0.54960308801254554</v>
      </c>
      <c r="CX91" s="48">
        <f t="shared" si="972"/>
        <v>0.62135983719325916</v>
      </c>
      <c r="CY91" s="48">
        <f t="shared" si="972"/>
        <v>0.67192016338635208</v>
      </c>
      <c r="CZ91" s="48">
        <f t="shared" si="972"/>
        <v>0.74499203893895127</v>
      </c>
      <c r="DA91" s="48">
        <f t="shared" si="972"/>
        <v>0.82535361123660578</v>
      </c>
      <c r="DB91" s="48">
        <f t="shared" si="972"/>
        <v>0.90786352225445599</v>
      </c>
      <c r="DE91" s="129"/>
      <c r="DF91" s="51">
        <v>-0.35245046923879042</v>
      </c>
    </row>
    <row r="92" spans="1:110" s="14" customFormat="1" x14ac:dyDescent="0.2">
      <c r="AB92" s="16"/>
      <c r="AC92" s="16"/>
      <c r="AD92" s="16"/>
      <c r="AE92" s="16"/>
      <c r="CM92" s="37"/>
      <c r="CN92" s="37"/>
      <c r="CO92" s="37"/>
      <c r="CP92" s="37"/>
      <c r="CQ92" s="37"/>
      <c r="CR92" s="37"/>
      <c r="CS92" s="37"/>
      <c r="CT92" s="37"/>
      <c r="CU92" s="37"/>
      <c r="CV92" s="37"/>
      <c r="CW92" s="37"/>
      <c r="CX92" s="37"/>
      <c r="CY92" s="37"/>
      <c r="CZ92" s="37"/>
      <c r="DA92" s="37"/>
      <c r="DB92" s="37"/>
      <c r="DE92" s="134"/>
    </row>
    <row r="93" spans="1:110" s="13" customFormat="1" x14ac:dyDescent="0.2">
      <c r="A93" s="13" t="s">
        <v>40</v>
      </c>
      <c r="AB93" s="37"/>
      <c r="AC93" s="37"/>
      <c r="AD93" s="37"/>
      <c r="AE93" s="37"/>
      <c r="CM93" s="37"/>
      <c r="CN93" s="37"/>
      <c r="CO93" s="37"/>
      <c r="CP93" s="37"/>
      <c r="CQ93" s="37"/>
      <c r="CR93" s="37"/>
      <c r="CS93" s="37"/>
      <c r="CT93" s="37"/>
      <c r="CU93" s="37"/>
      <c r="CV93" s="37"/>
      <c r="CW93" s="37"/>
      <c r="CX93" s="37"/>
      <c r="CY93" s="37"/>
      <c r="CZ93" s="37"/>
      <c r="DA93" s="37"/>
      <c r="DB93" s="37"/>
      <c r="DE93" s="134"/>
    </row>
    <row r="94" spans="1:110" s="13" customFormat="1" hidden="1" outlineLevel="1" x14ac:dyDescent="0.2">
      <c r="A94" s="13" t="s">
        <v>460</v>
      </c>
      <c r="B94" s="13">
        <f t="shared" ref="B94:D94" si="973">+B86/B78</f>
        <v>0.3009740173608112</v>
      </c>
      <c r="C94" s="13">
        <f t="shared" si="973"/>
        <v>0.49293705231212287</v>
      </c>
      <c r="D94" s="13">
        <f t="shared" si="973"/>
        <v>0.21647162230971498</v>
      </c>
      <c r="E94" s="13" t="e">
        <f t="shared" ref="E94:AE94" ca="1" si="974">+E86/E78</f>
        <v>#DIV/0!</v>
      </c>
      <c r="F94" s="13" t="e">
        <f t="shared" ca="1" si="974"/>
        <v>#DIV/0!</v>
      </c>
      <c r="G94" s="13" t="e">
        <f t="shared" ca="1" si="974"/>
        <v>#DIV/0!</v>
      </c>
      <c r="H94" s="13" t="e">
        <f t="shared" ca="1" si="974"/>
        <v>#DIV/0!</v>
      </c>
      <c r="I94" s="13" t="e">
        <f t="shared" ca="1" si="974"/>
        <v>#DIV/0!</v>
      </c>
      <c r="J94" s="13" t="e">
        <f t="shared" ca="1" si="974"/>
        <v>#DIV/0!</v>
      </c>
      <c r="K94" s="13" t="e">
        <f t="shared" ca="1" si="974"/>
        <v>#DIV/0!</v>
      </c>
      <c r="L94" s="13" t="e">
        <f t="shared" ca="1" si="974"/>
        <v>#DIV/0!</v>
      </c>
      <c r="M94" s="13" t="e">
        <f t="shared" ca="1" si="974"/>
        <v>#DIV/0!</v>
      </c>
      <c r="N94" s="13" t="e">
        <f t="shared" ca="1" si="974"/>
        <v>#DIV/0!</v>
      </c>
      <c r="O94" s="13" t="e">
        <f t="shared" ca="1" si="974"/>
        <v>#DIV/0!</v>
      </c>
      <c r="P94" s="13" t="e">
        <f t="shared" ca="1" si="974"/>
        <v>#DIV/0!</v>
      </c>
      <c r="Q94" s="13" t="e">
        <f t="shared" ca="1" si="974"/>
        <v>#DIV/0!</v>
      </c>
      <c r="R94" s="13" t="e">
        <f t="shared" ca="1" si="974"/>
        <v>#DIV/0!</v>
      </c>
      <c r="S94" s="13" t="e">
        <f t="shared" ca="1" si="974"/>
        <v>#DIV/0!</v>
      </c>
      <c r="T94" s="13" t="e">
        <f t="shared" ca="1" si="974"/>
        <v>#DIV/0!</v>
      </c>
      <c r="U94" s="13" t="e">
        <f t="shared" ca="1" si="974"/>
        <v>#DIV/0!</v>
      </c>
      <c r="V94" s="13" t="e">
        <f t="shared" ca="1" si="974"/>
        <v>#DIV/0!</v>
      </c>
      <c r="W94" s="13" t="e">
        <f t="shared" ca="1" si="974"/>
        <v>#DIV/0!</v>
      </c>
      <c r="X94" s="13" t="e">
        <f t="shared" ca="1" si="974"/>
        <v>#DIV/0!</v>
      </c>
      <c r="Y94" s="13" t="e">
        <f t="shared" ca="1" si="974"/>
        <v>#DIV/0!</v>
      </c>
      <c r="Z94" s="13" t="e">
        <f t="shared" ref="Z94:AA94" ca="1" si="975">+Z86/Z78</f>
        <v>#DIV/0!</v>
      </c>
      <c r="AA94" s="13" t="e">
        <f t="shared" ca="1" si="975"/>
        <v>#DIV/0!</v>
      </c>
      <c r="AB94" s="37" t="e">
        <f t="shared" ca="1" si="974"/>
        <v>#DIV/0!</v>
      </c>
      <c r="AC94" s="37" t="e">
        <f t="shared" ca="1" si="974"/>
        <v>#DIV/0!</v>
      </c>
      <c r="AD94" s="37" t="e">
        <f t="shared" ca="1" si="974"/>
        <v>#DIV/0!</v>
      </c>
      <c r="AE94" s="37" t="e">
        <f t="shared" ca="1" si="974"/>
        <v>#DIV/0!</v>
      </c>
      <c r="AL94" s="13">
        <f t="shared" ref="AL94:BQ94" si="976">+AL86/AL78</f>
        <v>111.71272031628065</v>
      </c>
      <c r="AM94" s="13">
        <f t="shared" si="976"/>
        <v>38.03261125812142</v>
      </c>
      <c r="AN94" s="13">
        <f t="shared" si="976"/>
        <v>14.814235565883157</v>
      </c>
      <c r="AO94" s="13">
        <f t="shared" si="976"/>
        <v>14.693960002886822</v>
      </c>
      <c r="AP94" s="13">
        <f t="shared" si="976"/>
        <v>12.921935323308077</v>
      </c>
      <c r="AQ94" s="13">
        <f t="shared" si="976"/>
        <v>20.247664876087558</v>
      </c>
      <c r="AR94" s="13">
        <f t="shared" si="976"/>
        <v>23.800161030195131</v>
      </c>
      <c r="AS94" s="13">
        <f t="shared" si="976"/>
        <v>24.36601950392571</v>
      </c>
      <c r="AT94" s="13">
        <f t="shared" si="976"/>
        <v>11955.06279485404</v>
      </c>
      <c r="AU94" s="13">
        <f t="shared" si="976"/>
        <v>-83.717205271763845</v>
      </c>
      <c r="AV94" s="13">
        <f t="shared" si="976"/>
        <v>-27.284106059160468</v>
      </c>
      <c r="AW94" s="13">
        <f t="shared" si="976"/>
        <v>-10.991029780347176</v>
      </c>
      <c r="AX94" s="13">
        <f t="shared" si="976"/>
        <v>-16.185827144837436</v>
      </c>
      <c r="AY94" s="13">
        <f t="shared" si="976"/>
        <v>-17.740675364608318</v>
      </c>
      <c r="AZ94" s="13">
        <f t="shared" si="976"/>
        <v>-24.775848647607528</v>
      </c>
      <c r="BA94" s="13">
        <f t="shared" si="976"/>
        <v>230.50309284825698</v>
      </c>
      <c r="BB94" s="13">
        <f t="shared" si="976"/>
        <v>14.531340317805759</v>
      </c>
      <c r="BC94" s="13">
        <f t="shared" si="976"/>
        <v>12.613573561566511</v>
      </c>
      <c r="BD94" s="13">
        <f t="shared" si="976"/>
        <v>12.540433345748284</v>
      </c>
      <c r="BE94" s="13">
        <f t="shared" si="976"/>
        <v>10.47687243932195</v>
      </c>
      <c r="BF94" s="13">
        <f t="shared" si="976"/>
        <v>19.042364775434599</v>
      </c>
      <c r="BG94" s="13">
        <f t="shared" si="976"/>
        <v>15.834731672422869</v>
      </c>
      <c r="BH94" s="13">
        <f t="shared" si="976"/>
        <v>10.543995770469332</v>
      </c>
      <c r="BI94" s="13">
        <f t="shared" si="976"/>
        <v>9.6110210933336298</v>
      </c>
      <c r="BJ94" s="13">
        <f t="shared" si="976"/>
        <v>6.2304653317044307</v>
      </c>
      <c r="BK94" s="13">
        <f t="shared" si="976"/>
        <v>7.1163451537819515</v>
      </c>
      <c r="BL94" s="13">
        <f t="shared" si="976"/>
        <v>4.6710242600785303</v>
      </c>
      <c r="BM94" s="13">
        <f t="shared" si="976"/>
        <v>8.9232763193389744</v>
      </c>
      <c r="BN94" s="13">
        <f t="shared" si="976"/>
        <v>5.1440883721143509</v>
      </c>
      <c r="BO94" s="13">
        <f t="shared" si="976"/>
        <v>29.435972202155632</v>
      </c>
      <c r="BP94" s="13">
        <f t="shared" si="976"/>
        <v>-35.236066268844169</v>
      </c>
      <c r="BQ94" s="13">
        <f t="shared" si="976"/>
        <v>24.547150562622349</v>
      </c>
      <c r="BR94" s="13">
        <f t="shared" ref="BR94:DB94" si="977">+BR86/BR78</f>
        <v>11.869375417478183</v>
      </c>
      <c r="BS94" s="13">
        <f t="shared" si="977"/>
        <v>6.5870351595061534</v>
      </c>
      <c r="BT94" s="13">
        <f t="shared" si="977"/>
        <v>5.0266275266218585</v>
      </c>
      <c r="BU94" s="13">
        <f t="shared" si="977"/>
        <v>3.6590864011561042</v>
      </c>
      <c r="BV94" s="13">
        <f t="shared" si="977"/>
        <v>4.0470285362958043</v>
      </c>
      <c r="BW94" s="13">
        <f t="shared" si="977"/>
        <v>2.7727882560557657</v>
      </c>
      <c r="BX94" s="13">
        <f t="shared" si="977"/>
        <v>4.2516715343023277</v>
      </c>
      <c r="BY94" s="13">
        <f t="shared" si="977"/>
        <v>8.2737363079915838</v>
      </c>
      <c r="BZ94" s="13">
        <f t="shared" si="977"/>
        <v>15.075213307521327</v>
      </c>
      <c r="CA94" s="13">
        <f t="shared" si="977"/>
        <v>95.467129493600041</v>
      </c>
      <c r="CB94" s="13">
        <f t="shared" si="977"/>
        <v>254.50711710001698</v>
      </c>
      <c r="CC94" s="13">
        <f t="shared" si="977"/>
        <v>45.036149442540633</v>
      </c>
      <c r="CD94" s="13">
        <f t="shared" si="977"/>
        <v>57.594501042456265</v>
      </c>
      <c r="CE94" s="13">
        <f t="shared" si="977"/>
        <v>53.282574595264634</v>
      </c>
      <c r="CF94" s="13">
        <f t="shared" si="977"/>
        <v>50.19438604034525</v>
      </c>
      <c r="CG94" s="13">
        <f t="shared" si="977"/>
        <v>45.434072495569232</v>
      </c>
      <c r="CH94" s="13">
        <f t="shared" si="977"/>
        <v>45.008390348876482</v>
      </c>
      <c r="CI94" s="13">
        <f t="shared" ref="CI94:CJ94" si="978">+CI86/CI78</f>
        <v>38.564491689260073</v>
      </c>
      <c r="CJ94" s="13">
        <f t="shared" si="978"/>
        <v>26.725617935005513</v>
      </c>
      <c r="CK94" s="13">
        <f t="shared" ref="CK94:CL94" si="979">+CK86/CK78</f>
        <v>21.912433999742415</v>
      </c>
      <c r="CL94" s="13">
        <f t="shared" si="979"/>
        <v>20.231043104665609</v>
      </c>
      <c r="CM94" s="37">
        <f t="shared" si="977"/>
        <v>20.4155258615082</v>
      </c>
      <c r="CN94" s="37">
        <f t="shared" si="977"/>
        <v>19.679542902049544</v>
      </c>
      <c r="CO94" s="37">
        <f t="shared" si="977"/>
        <v>17.343089450490215</v>
      </c>
      <c r="CP94" s="37">
        <f t="shared" si="977"/>
        <v>15.044273676922819</v>
      </c>
      <c r="CQ94" s="37">
        <f t="shared" si="977"/>
        <v>14.367486559781115</v>
      </c>
      <c r="CR94" s="37">
        <f t="shared" si="977"/>
        <v>13.840944621995177</v>
      </c>
      <c r="CS94" s="37">
        <f t="shared" si="977"/>
        <v>13.19056410766926</v>
      </c>
      <c r="CT94" s="37">
        <f t="shared" si="977"/>
        <v>12.756365280046003</v>
      </c>
      <c r="CU94" s="37">
        <f t="shared" si="977"/>
        <v>12.230624842821131</v>
      </c>
      <c r="CV94" s="37">
        <f t="shared" si="977"/>
        <v>11.693074931101048</v>
      </c>
      <c r="CW94" s="37">
        <f t="shared" si="977"/>
        <v>11.138879898112522</v>
      </c>
      <c r="CX94" s="37">
        <f t="shared" si="977"/>
        <v>10.604072464627549</v>
      </c>
      <c r="CY94" s="37">
        <f t="shared" si="977"/>
        <v>10.063675566475796</v>
      </c>
      <c r="CZ94" s="37">
        <f t="shared" si="977"/>
        <v>9.5666992146461141</v>
      </c>
      <c r="DA94" s="37">
        <f t="shared" si="977"/>
        <v>9.099369190890636</v>
      </c>
      <c r="DB94" s="37">
        <f t="shared" si="977"/>
        <v>8.6620294477407835</v>
      </c>
      <c r="DE94" s="134"/>
      <c r="DF94" s="13">
        <v>20.005518553232083</v>
      </c>
    </row>
    <row r="95" spans="1:110" s="13" customFormat="1" hidden="1" outlineLevel="1" x14ac:dyDescent="0.2">
      <c r="A95" s="13" t="s">
        <v>461</v>
      </c>
      <c r="B95" s="13">
        <f t="shared" ref="B95:D95" si="980">+B87/B78</f>
        <v>0.41548436070487155</v>
      </c>
      <c r="C95" s="13">
        <f t="shared" si="980"/>
        <v>0.75442337396873205</v>
      </c>
      <c r="D95" s="13">
        <f t="shared" si="980"/>
        <v>0.26462138502907229</v>
      </c>
      <c r="E95" s="13" t="e">
        <f t="shared" ref="E95:AE95" ca="1" si="981">+E87/E78</f>
        <v>#DIV/0!</v>
      </c>
      <c r="F95" s="13" t="e">
        <f t="shared" ca="1" si="981"/>
        <v>#DIV/0!</v>
      </c>
      <c r="G95" s="13" t="e">
        <f t="shared" ca="1" si="981"/>
        <v>#DIV/0!</v>
      </c>
      <c r="H95" s="13" t="e">
        <f t="shared" ca="1" si="981"/>
        <v>#DIV/0!</v>
      </c>
      <c r="I95" s="13" t="e">
        <f t="shared" ca="1" si="981"/>
        <v>#DIV/0!</v>
      </c>
      <c r="J95" s="13" t="e">
        <f t="shared" ca="1" si="981"/>
        <v>#DIV/0!</v>
      </c>
      <c r="K95" s="13" t="e">
        <f t="shared" ca="1" si="981"/>
        <v>#DIV/0!</v>
      </c>
      <c r="L95" s="13" t="e">
        <f t="shared" ca="1" si="981"/>
        <v>#DIV/0!</v>
      </c>
      <c r="M95" s="13" t="e">
        <f t="shared" ca="1" si="981"/>
        <v>#DIV/0!</v>
      </c>
      <c r="N95" s="13" t="e">
        <f t="shared" ca="1" si="981"/>
        <v>#DIV/0!</v>
      </c>
      <c r="O95" s="13" t="e">
        <f t="shared" ca="1" si="981"/>
        <v>#DIV/0!</v>
      </c>
      <c r="P95" s="13" t="e">
        <f t="shared" ca="1" si="981"/>
        <v>#DIV/0!</v>
      </c>
      <c r="Q95" s="13" t="e">
        <f t="shared" ca="1" si="981"/>
        <v>#DIV/0!</v>
      </c>
      <c r="R95" s="13" t="e">
        <f t="shared" ca="1" si="981"/>
        <v>#DIV/0!</v>
      </c>
      <c r="S95" s="13" t="e">
        <f t="shared" ca="1" si="981"/>
        <v>#DIV/0!</v>
      </c>
      <c r="T95" s="13" t="e">
        <f t="shared" ca="1" si="981"/>
        <v>#DIV/0!</v>
      </c>
      <c r="U95" s="13" t="e">
        <f t="shared" ca="1" si="981"/>
        <v>#DIV/0!</v>
      </c>
      <c r="V95" s="13" t="e">
        <f t="shared" ca="1" si="981"/>
        <v>#DIV/0!</v>
      </c>
      <c r="W95" s="13" t="e">
        <f t="shared" ca="1" si="981"/>
        <v>#DIV/0!</v>
      </c>
      <c r="X95" s="13" t="e">
        <f t="shared" ca="1" si="981"/>
        <v>#DIV/0!</v>
      </c>
      <c r="Y95" s="13" t="e">
        <f t="shared" ca="1" si="981"/>
        <v>#DIV/0!</v>
      </c>
      <c r="Z95" s="13" t="e">
        <f t="shared" ref="Z95:AA95" ca="1" si="982">+Z87/Z78</f>
        <v>#DIV/0!</v>
      </c>
      <c r="AA95" s="13" t="e">
        <f t="shared" ca="1" si="982"/>
        <v>#DIV/0!</v>
      </c>
      <c r="AB95" s="60" t="e">
        <f t="shared" ca="1" si="981"/>
        <v>#DIV/0!</v>
      </c>
      <c r="AC95" s="60" t="e">
        <f t="shared" ca="1" si="981"/>
        <v>#DIV/0!</v>
      </c>
      <c r="AD95" s="60" t="e">
        <f t="shared" ca="1" si="981"/>
        <v>#DIV/0!</v>
      </c>
      <c r="AE95" s="60" t="e">
        <f t="shared" ca="1" si="981"/>
        <v>#DIV/0!</v>
      </c>
      <c r="AL95" s="13">
        <f t="shared" ref="AL95:BQ95" si="983">+AL87/AL78</f>
        <v>160.28968931708422</v>
      </c>
      <c r="AM95" s="13">
        <f t="shared" si="983"/>
        <v>45.415493976781661</v>
      </c>
      <c r="AN95" s="13">
        <f t="shared" si="983"/>
        <v>17.358727793970232</v>
      </c>
      <c r="AO95" s="13">
        <f t="shared" si="983"/>
        <v>14.981974805163269</v>
      </c>
      <c r="AP95" s="13">
        <f t="shared" si="983"/>
        <v>14.285160949011898</v>
      </c>
      <c r="AQ95" s="13">
        <f t="shared" si="983"/>
        <v>22.17546639656306</v>
      </c>
      <c r="AR95" s="13">
        <f t="shared" si="983"/>
        <v>29.738542162484233</v>
      </c>
      <c r="AS95" s="13">
        <f t="shared" si="983"/>
        <v>30.220331689731864</v>
      </c>
      <c r="AT95" s="13">
        <f t="shared" si="983"/>
        <v>15892.291144682091</v>
      </c>
      <c r="AU95" s="13">
        <f t="shared" si="983"/>
        <v>-105.56005994555831</v>
      </c>
      <c r="AV95" s="13">
        <f t="shared" si="983"/>
        <v>-39.954026003574796</v>
      </c>
      <c r="AW95" s="13">
        <f t="shared" si="983"/>
        <v>-11.274751219485404</v>
      </c>
      <c r="AX95" s="13">
        <f t="shared" si="983"/>
        <v>-16.507517293099475</v>
      </c>
      <c r="AY95" s="13">
        <f t="shared" si="983"/>
        <v>-20.069173451451171</v>
      </c>
      <c r="AZ95" s="13">
        <f t="shared" si="983"/>
        <v>-27.032409648898678</v>
      </c>
      <c r="BA95" s="13">
        <f t="shared" si="983"/>
        <v>259.8537807128518</v>
      </c>
      <c r="BB95" s="13">
        <f t="shared" si="983"/>
        <v>15.308111436006103</v>
      </c>
      <c r="BC95" s="13">
        <f t="shared" si="983"/>
        <v>12.670344490611859</v>
      </c>
      <c r="BD95" s="13">
        <f t="shared" si="983"/>
        <v>13.416847933309224</v>
      </c>
      <c r="BE95" s="13">
        <f t="shared" si="983"/>
        <v>10.647088538752525</v>
      </c>
      <c r="BF95" s="13">
        <f t="shared" si="983"/>
        <v>25.187005999200736</v>
      </c>
      <c r="BG95" s="13">
        <f t="shared" si="983"/>
        <v>17.743488180263576</v>
      </c>
      <c r="BH95" s="13">
        <f t="shared" si="983"/>
        <v>11.749465089622671</v>
      </c>
      <c r="BI95" s="13">
        <f t="shared" si="983"/>
        <v>11.23449816409603</v>
      </c>
      <c r="BJ95" s="13">
        <f t="shared" si="983"/>
        <v>6.3614504433146131</v>
      </c>
      <c r="BK95" s="13">
        <f t="shared" si="983"/>
        <v>7.9057176981001511</v>
      </c>
      <c r="BL95" s="13">
        <f t="shared" si="983"/>
        <v>6.6826285099372527</v>
      </c>
      <c r="BM95" s="13">
        <f t="shared" si="983"/>
        <v>8.998897305096083</v>
      </c>
      <c r="BN95" s="13">
        <f t="shared" si="983"/>
        <v>9.6483837326089184</v>
      </c>
      <c r="BO95" s="13">
        <f t="shared" si="983"/>
        <v>31.580702459040079</v>
      </c>
      <c r="BP95" s="13">
        <f t="shared" si="983"/>
        <v>-43.463528580401949</v>
      </c>
      <c r="BQ95" s="13">
        <f t="shared" si="983"/>
        <v>24.919048189823915</v>
      </c>
      <c r="BR95" s="13">
        <f t="shared" ref="BR95:CH95" si="984">+BR87/BR78</f>
        <v>12.038217447248332</v>
      </c>
      <c r="BS95" s="13">
        <f t="shared" si="984"/>
        <v>7.0383643457790397</v>
      </c>
      <c r="BT95" s="13">
        <f t="shared" si="984"/>
        <v>5.9864674264513642</v>
      </c>
      <c r="BU95" s="13">
        <f t="shared" si="984"/>
        <v>4.6950868424011114</v>
      </c>
      <c r="BV95" s="13">
        <f t="shared" si="984"/>
        <v>4.2301751167035135</v>
      </c>
      <c r="BW95" s="13">
        <f t="shared" si="984"/>
        <v>4.4336786665405219</v>
      </c>
      <c r="BX95" s="13">
        <f t="shared" si="984"/>
        <v>4.8725097744572503</v>
      </c>
      <c r="BY95" s="13">
        <f t="shared" si="984"/>
        <v>8.5234540483126775</v>
      </c>
      <c r="BZ95" s="13">
        <f t="shared" si="984"/>
        <v>17.931569513156948</v>
      </c>
      <c r="CA95" s="13">
        <f t="shared" si="984"/>
        <v>98.450477290275046</v>
      </c>
      <c r="CB95" s="13">
        <f t="shared" si="984"/>
        <v>266.04871892199446</v>
      </c>
      <c r="CC95" s="13">
        <f t="shared" si="984"/>
        <v>45.584977070155823</v>
      </c>
      <c r="CD95" s="13">
        <f t="shared" si="984"/>
        <v>58.924457448824718</v>
      </c>
      <c r="CE95" s="13">
        <f t="shared" si="984"/>
        <v>56.528524541872706</v>
      </c>
      <c r="CF95" s="13">
        <f t="shared" si="984"/>
        <v>53.084772176239284</v>
      </c>
      <c r="CG95" s="13">
        <f t="shared" si="984"/>
        <v>55.912531648240339</v>
      </c>
      <c r="CH95" s="13">
        <f t="shared" si="984"/>
        <v>46.715353613323337</v>
      </c>
      <c r="CI95" s="13">
        <f t="shared" ref="CI95:CJ95" si="985">+CI87/CI78</f>
        <v>39.976712511683679</v>
      </c>
      <c r="CJ95" s="13">
        <f t="shared" si="985"/>
        <v>27.620696425419155</v>
      </c>
      <c r="CK95" s="13">
        <f t="shared" ref="CK95:CL95" si="986">+CK87/CK78</f>
        <v>22.758262471268157</v>
      </c>
      <c r="CL95" s="13">
        <f t="shared" si="986"/>
        <v>22.836396413764881</v>
      </c>
      <c r="CM95" s="60">
        <f t="shared" ref="CM95:DB95" si="987">+CM87/CM78</f>
        <v>22.389074390647156</v>
      </c>
      <c r="CN95" s="60">
        <f t="shared" si="987"/>
        <v>22.834542476781454</v>
      </c>
      <c r="CO95" s="60">
        <f t="shared" si="987"/>
        <v>22.285757177326364</v>
      </c>
      <c r="CP95" s="60">
        <f t="shared" si="987"/>
        <v>21.111576394883819</v>
      </c>
      <c r="CQ95" s="60">
        <f t="shared" si="987"/>
        <v>20.707950011646314</v>
      </c>
      <c r="CR95" s="60">
        <f t="shared" si="987"/>
        <v>20.716674614641246</v>
      </c>
      <c r="CS95" s="60">
        <f t="shared" si="987"/>
        <v>20.645217527686416</v>
      </c>
      <c r="CT95" s="60">
        <f t="shared" si="987"/>
        <v>20.618955445760509</v>
      </c>
      <c r="CU95" s="60">
        <f t="shared" si="987"/>
        <v>20.448191857168275</v>
      </c>
      <c r="CV95" s="60">
        <f t="shared" si="987"/>
        <v>20.419318849747093</v>
      </c>
      <c r="CW95" s="60">
        <f t="shared" si="987"/>
        <v>20.334748809220898</v>
      </c>
      <c r="CX95" s="60">
        <f t="shared" si="987"/>
        <v>20.165936509886205</v>
      </c>
      <c r="CY95" s="60">
        <f t="shared" si="987"/>
        <v>19.694014932634985</v>
      </c>
      <c r="CZ95" s="60">
        <f t="shared" si="987"/>
        <v>19.466466272654845</v>
      </c>
      <c r="DA95" s="60">
        <f t="shared" si="987"/>
        <v>19.293248446589065</v>
      </c>
      <c r="DB95" s="60">
        <f t="shared" si="987"/>
        <v>19.127160850743369</v>
      </c>
      <c r="DE95" s="136"/>
      <c r="DF95" s="13">
        <v>22.581828815301073</v>
      </c>
    </row>
    <row r="96" spans="1:110" s="13" customFormat="1" hidden="1" outlineLevel="1" x14ac:dyDescent="0.2">
      <c r="A96" s="13" t="s">
        <v>462</v>
      </c>
      <c r="B96" s="13">
        <f t="shared" ref="B96:D96" si="988">+B88/B78</f>
        <v>0.20909514896337511</v>
      </c>
      <c r="C96" s="13">
        <f t="shared" si="988"/>
        <v>0.33771109881905803</v>
      </c>
      <c r="D96" s="13">
        <f t="shared" si="988"/>
        <v>0.15780174336596059</v>
      </c>
      <c r="E96" s="13" t="e">
        <f t="shared" ref="E96:AE96" ca="1" si="989">+E88/E78</f>
        <v>#DIV/0!</v>
      </c>
      <c r="F96" s="13" t="e">
        <f t="shared" ca="1" si="989"/>
        <v>#DIV/0!</v>
      </c>
      <c r="G96" s="13" t="e">
        <f t="shared" ca="1" si="989"/>
        <v>#DIV/0!</v>
      </c>
      <c r="H96" s="13" t="e">
        <f t="shared" ca="1" si="989"/>
        <v>#DIV/0!</v>
      </c>
      <c r="I96" s="13" t="e">
        <f t="shared" ca="1" si="989"/>
        <v>#DIV/0!</v>
      </c>
      <c r="J96" s="13" t="e">
        <f t="shared" ca="1" si="989"/>
        <v>#DIV/0!</v>
      </c>
      <c r="K96" s="13" t="e">
        <f t="shared" ca="1" si="989"/>
        <v>#DIV/0!</v>
      </c>
      <c r="L96" s="13" t="e">
        <f t="shared" ca="1" si="989"/>
        <v>#DIV/0!</v>
      </c>
      <c r="M96" s="13" t="e">
        <f t="shared" ca="1" si="989"/>
        <v>#DIV/0!</v>
      </c>
      <c r="N96" s="13" t="e">
        <f t="shared" ca="1" si="989"/>
        <v>#DIV/0!</v>
      </c>
      <c r="O96" s="13" t="e">
        <f t="shared" ca="1" si="989"/>
        <v>#DIV/0!</v>
      </c>
      <c r="P96" s="13" t="e">
        <f t="shared" ca="1" si="989"/>
        <v>#DIV/0!</v>
      </c>
      <c r="Q96" s="13" t="e">
        <f t="shared" ca="1" si="989"/>
        <v>#DIV/0!</v>
      </c>
      <c r="R96" s="13" t="e">
        <f t="shared" ca="1" si="989"/>
        <v>#DIV/0!</v>
      </c>
      <c r="S96" s="13" t="e">
        <f t="shared" ca="1" si="989"/>
        <v>#DIV/0!</v>
      </c>
      <c r="T96" s="13" t="e">
        <f t="shared" ca="1" si="989"/>
        <v>#DIV/0!</v>
      </c>
      <c r="U96" s="13" t="e">
        <f t="shared" ca="1" si="989"/>
        <v>#DIV/0!</v>
      </c>
      <c r="V96" s="13" t="e">
        <f t="shared" ca="1" si="989"/>
        <v>#DIV/0!</v>
      </c>
      <c r="W96" s="13" t="e">
        <f t="shared" ca="1" si="989"/>
        <v>#DIV/0!</v>
      </c>
      <c r="X96" s="13" t="e">
        <f t="shared" ca="1" si="989"/>
        <v>#DIV/0!</v>
      </c>
      <c r="Y96" s="13" t="e">
        <f t="shared" ca="1" si="989"/>
        <v>#DIV/0!</v>
      </c>
      <c r="Z96" s="13" t="e">
        <f t="shared" ref="Z96:AA96" ca="1" si="990">+Z88/Z78</f>
        <v>#DIV/0!</v>
      </c>
      <c r="AA96" s="13" t="e">
        <f t="shared" ca="1" si="990"/>
        <v>#DIV/0!</v>
      </c>
      <c r="AB96" s="60" t="e">
        <f t="shared" ca="1" si="989"/>
        <v>#DIV/0!</v>
      </c>
      <c r="AC96" s="60" t="e">
        <f t="shared" ca="1" si="989"/>
        <v>#DIV/0!</v>
      </c>
      <c r="AD96" s="60" t="e">
        <f t="shared" ca="1" si="989"/>
        <v>#DIV/0!</v>
      </c>
      <c r="AE96" s="60" t="e">
        <f t="shared" ca="1" si="989"/>
        <v>#DIV/0!</v>
      </c>
      <c r="AL96" s="13">
        <f t="shared" ref="AL96:BQ96" si="991">+AL88/AL78</f>
        <v>107.61694494765645</v>
      </c>
      <c r="AM96" s="13">
        <f t="shared" si="991"/>
        <v>36.331006116003223</v>
      </c>
      <c r="AN96" s="13">
        <f t="shared" si="991"/>
        <v>10.657958871773079</v>
      </c>
      <c r="AO96" s="13">
        <f t="shared" si="991"/>
        <v>9.334455640043803</v>
      </c>
      <c r="AP96" s="13">
        <f t="shared" si="991"/>
        <v>10.899243149429838</v>
      </c>
      <c r="AQ96" s="13">
        <f t="shared" si="991"/>
        <v>14.803446069257651</v>
      </c>
      <c r="AR96" s="13">
        <f t="shared" si="991"/>
        <v>23.375250687396104</v>
      </c>
      <c r="AS96" s="13">
        <f t="shared" si="991"/>
        <v>23.615544882920858</v>
      </c>
      <c r="AT96" s="13">
        <f t="shared" si="991"/>
        <v>11745.655824642763</v>
      </c>
      <c r="AU96" s="13">
        <f t="shared" si="991"/>
        <v>-79.005193225781824</v>
      </c>
      <c r="AV96" s="13">
        <f t="shared" si="991"/>
        <v>-25.751869805720183</v>
      </c>
      <c r="AW96" s="13">
        <f t="shared" si="991"/>
        <v>-8.9097001186093312</v>
      </c>
      <c r="AX96" s="13">
        <f t="shared" si="991"/>
        <v>-10.704429657915961</v>
      </c>
      <c r="AY96" s="13">
        <f t="shared" si="991"/>
        <v>-16.390422036143274</v>
      </c>
      <c r="AZ96" s="13">
        <f t="shared" si="991"/>
        <v>-20.646540539672976</v>
      </c>
      <c r="BA96" s="13">
        <f t="shared" si="991"/>
        <v>215.73934322962012</v>
      </c>
      <c r="BB96" s="13">
        <f t="shared" si="991"/>
        <v>11.710276217985193</v>
      </c>
      <c r="BC96" s="13">
        <f t="shared" si="991"/>
        <v>9.9233266790499766</v>
      </c>
      <c r="BD96" s="13">
        <f t="shared" si="991"/>
        <v>10.438964521508781</v>
      </c>
      <c r="BE96" s="13">
        <f t="shared" si="991"/>
        <v>9.3583095002066745</v>
      </c>
      <c r="BF96" s="13">
        <f t="shared" si="991"/>
        <v>18.482000914465424</v>
      </c>
      <c r="BG96" s="13">
        <f t="shared" si="991"/>
        <v>14.963312521655563</v>
      </c>
      <c r="BH96" s="13">
        <f t="shared" si="991"/>
        <v>8.9660754936273204</v>
      </c>
      <c r="BI96" s="13">
        <f t="shared" si="991"/>
        <v>8.9673396001612407</v>
      </c>
      <c r="BJ96" s="13">
        <f t="shared" si="991"/>
        <v>5.2884491180695568</v>
      </c>
      <c r="BK96" s="13">
        <f t="shared" si="991"/>
        <v>6.4264377826084038</v>
      </c>
      <c r="BL96" s="13">
        <f t="shared" si="991"/>
        <v>4.1861361107902226</v>
      </c>
      <c r="BM96" s="13">
        <f t="shared" si="991"/>
        <v>6.0553504345005784</v>
      </c>
      <c r="BN96" s="13">
        <f t="shared" si="991"/>
        <v>4.7846219557497331</v>
      </c>
      <c r="BO96" s="13">
        <f t="shared" si="991"/>
        <v>22.623299621463865</v>
      </c>
      <c r="BP96" s="13">
        <f t="shared" si="991"/>
        <v>-31.391686557788898</v>
      </c>
      <c r="BQ96" s="13">
        <f t="shared" si="991"/>
        <v>13.798355552837595</v>
      </c>
      <c r="BR96" s="13">
        <f t="shared" ref="BR96:CH96" si="992">+BR88/BR78</f>
        <v>8.7169266105575982</v>
      </c>
      <c r="BS96" s="13">
        <f t="shared" si="992"/>
        <v>4.6213963519987251</v>
      </c>
      <c r="BT96" s="13">
        <f t="shared" si="992"/>
        <v>4.41007521543286</v>
      </c>
      <c r="BU96" s="13">
        <f t="shared" si="992"/>
        <v>3.5020567823210644</v>
      </c>
      <c r="BV96" s="13">
        <f t="shared" si="992"/>
        <v>3.2873495252555407</v>
      </c>
      <c r="BW96" s="13">
        <f t="shared" si="992"/>
        <v>2.6453349865433111</v>
      </c>
      <c r="BX96" s="13">
        <f t="shared" si="992"/>
        <v>3.5893013567025593</v>
      </c>
      <c r="BY96" s="13">
        <f t="shared" si="992"/>
        <v>7.1977466327845105</v>
      </c>
      <c r="BZ96" s="13">
        <f t="shared" si="992"/>
        <v>14.66407112640711</v>
      </c>
      <c r="CA96" s="13">
        <f t="shared" si="992"/>
        <v>88.008760001912535</v>
      </c>
      <c r="CB96" s="13">
        <f t="shared" si="992"/>
        <v>219.5863731258286</v>
      </c>
      <c r="CC96" s="13">
        <f t="shared" si="992"/>
        <v>36.884444973550302</v>
      </c>
      <c r="CD96" s="13">
        <f t="shared" si="992"/>
        <v>47.324282126610946</v>
      </c>
      <c r="CE96" s="13">
        <f t="shared" si="992"/>
        <v>45.366743829243994</v>
      </c>
      <c r="CF96" s="13">
        <f t="shared" si="992"/>
        <v>42.417161489125242</v>
      </c>
      <c r="CG96" s="13">
        <f t="shared" si="992"/>
        <v>44.759634779306268</v>
      </c>
      <c r="CH96" s="13">
        <f t="shared" si="992"/>
        <v>35.773281405330678</v>
      </c>
      <c r="CI96" s="13">
        <f t="shared" ref="CI96:CJ96" si="993">+CI88/CI78</f>
        <v>29.982534383762761</v>
      </c>
      <c r="CJ96" s="13">
        <f t="shared" si="993"/>
        <v>24.167119241168297</v>
      </c>
      <c r="CK96" s="13">
        <f t="shared" ref="CK96:CL96" si="994">+CK88/CK78</f>
        <v>19.472310135844413</v>
      </c>
      <c r="CL96" s="13">
        <f t="shared" si="994"/>
        <v>18.696310689791343</v>
      </c>
      <c r="CM96" s="60">
        <f t="shared" ref="CM96:DB96" si="995">+CM88/CM78</f>
        <v>18.373968718383978</v>
      </c>
      <c r="CN96" s="60">
        <f t="shared" si="995"/>
        <v>18.816964254307994</v>
      </c>
      <c r="CO96" s="60">
        <f t="shared" si="995"/>
        <v>18.4605679868625</v>
      </c>
      <c r="CP96" s="60">
        <f t="shared" si="995"/>
        <v>17.568218662315257</v>
      </c>
      <c r="CQ96" s="60">
        <f t="shared" si="995"/>
        <v>17.227071151631037</v>
      </c>
      <c r="CR96" s="60">
        <f t="shared" si="995"/>
        <v>17.27649104793085</v>
      </c>
      <c r="CS96" s="60">
        <f t="shared" si="995"/>
        <v>17.268176432880793</v>
      </c>
      <c r="CT96" s="60">
        <f t="shared" si="995"/>
        <v>17.289968172360926</v>
      </c>
      <c r="CU96" s="60">
        <f t="shared" si="995"/>
        <v>17.193745022480456</v>
      </c>
      <c r="CV96" s="60">
        <f t="shared" si="995"/>
        <v>17.250011839175073</v>
      </c>
      <c r="CW96" s="60">
        <f t="shared" si="995"/>
        <v>17.260842687116032</v>
      </c>
      <c r="CX96" s="60">
        <f t="shared" si="995"/>
        <v>17.193017204834046</v>
      </c>
      <c r="CY96" s="60">
        <f t="shared" si="995"/>
        <v>16.825662097369452</v>
      </c>
      <c r="CZ96" s="60">
        <f t="shared" si="995"/>
        <v>16.693813968480985</v>
      </c>
      <c r="DA96" s="60">
        <f t="shared" si="995"/>
        <v>16.609566412567336</v>
      </c>
      <c r="DB96" s="60">
        <f t="shared" si="995"/>
        <v>16.525970012038552</v>
      </c>
      <c r="DE96" s="136"/>
      <c r="DF96" s="13">
        <v>18.487894491972817</v>
      </c>
    </row>
    <row r="97" spans="1:110" s="13" customFormat="1" hidden="1" outlineLevel="1" x14ac:dyDescent="0.2">
      <c r="AB97" s="60"/>
      <c r="AC97" s="60"/>
      <c r="AD97" s="60"/>
      <c r="AE97" s="60"/>
      <c r="CM97" s="60"/>
      <c r="CN97" s="60"/>
      <c r="CO97" s="60"/>
      <c r="CP97" s="60"/>
      <c r="CQ97" s="60"/>
      <c r="CR97" s="60"/>
      <c r="CS97" s="60"/>
      <c r="CT97" s="60"/>
      <c r="CU97" s="60"/>
      <c r="CV97" s="60"/>
      <c r="CW97" s="60"/>
      <c r="CX97" s="60"/>
      <c r="CY97" s="60"/>
      <c r="CZ97" s="60"/>
      <c r="DA97" s="60"/>
      <c r="DB97" s="60"/>
      <c r="DE97" s="136"/>
    </row>
    <row r="98" spans="1:110" s="13" customFormat="1" hidden="1" outlineLevel="1" x14ac:dyDescent="0.2">
      <c r="A98" s="13" t="s">
        <v>463</v>
      </c>
      <c r="B98" s="13">
        <f t="shared" ref="B98:AD98" si="996">+B87/C78</f>
        <v>0.85260694455215069</v>
      </c>
      <c r="C98" s="13">
        <f t="shared" si="996"/>
        <v>0.24188174919018232</v>
      </c>
      <c r="D98" s="13" t="e">
        <f t="shared" ca="1" si="996"/>
        <v>#DIV/0!</v>
      </c>
      <c r="E98" s="13" t="e">
        <f t="shared" ca="1" si="996"/>
        <v>#DIV/0!</v>
      </c>
      <c r="F98" s="13" t="e">
        <f t="shared" ca="1" si="996"/>
        <v>#DIV/0!</v>
      </c>
      <c r="G98" s="13" t="e">
        <f t="shared" ca="1" si="996"/>
        <v>#DIV/0!</v>
      </c>
      <c r="H98" s="13" t="e">
        <f t="shared" ca="1" si="996"/>
        <v>#DIV/0!</v>
      </c>
      <c r="I98" s="13" t="e">
        <f t="shared" ca="1" si="996"/>
        <v>#DIV/0!</v>
      </c>
      <c r="J98" s="13" t="e">
        <f t="shared" ca="1" si="996"/>
        <v>#DIV/0!</v>
      </c>
      <c r="K98" s="13" t="e">
        <f t="shared" ca="1" si="996"/>
        <v>#DIV/0!</v>
      </c>
      <c r="L98" s="13" t="e">
        <f t="shared" ca="1" si="996"/>
        <v>#DIV/0!</v>
      </c>
      <c r="M98" s="13" t="e">
        <f t="shared" ca="1" si="996"/>
        <v>#DIV/0!</v>
      </c>
      <c r="N98" s="13" t="e">
        <f t="shared" ca="1" si="996"/>
        <v>#DIV/0!</v>
      </c>
      <c r="O98" s="13" t="e">
        <f t="shared" ca="1" si="996"/>
        <v>#DIV/0!</v>
      </c>
      <c r="P98" s="13" t="e">
        <f t="shared" ca="1" si="996"/>
        <v>#DIV/0!</v>
      </c>
      <c r="Q98" s="13" t="e">
        <f t="shared" ca="1" si="996"/>
        <v>#DIV/0!</v>
      </c>
      <c r="R98" s="13" t="e">
        <f t="shared" ca="1" si="996"/>
        <v>#DIV/0!</v>
      </c>
      <c r="S98" s="13" t="e">
        <f t="shared" ca="1" si="996"/>
        <v>#DIV/0!</v>
      </c>
      <c r="T98" s="13" t="e">
        <f t="shared" ca="1" si="996"/>
        <v>#DIV/0!</v>
      </c>
      <c r="U98" s="13" t="e">
        <f t="shared" ca="1" si="996"/>
        <v>#DIV/0!</v>
      </c>
      <c r="V98" s="13" t="e">
        <f t="shared" ca="1" si="996"/>
        <v>#DIV/0!</v>
      </c>
      <c r="W98" s="13" t="e">
        <f t="shared" ca="1" si="996"/>
        <v>#DIV/0!</v>
      </c>
      <c r="X98" s="13" t="e">
        <f t="shared" ca="1" si="996"/>
        <v>#DIV/0!</v>
      </c>
      <c r="Y98" s="13" t="e">
        <f t="shared" ca="1" si="996"/>
        <v>#DIV/0!</v>
      </c>
      <c r="Z98" s="13" t="e">
        <f t="shared" ref="Z98:AA98" ca="1" si="997">+Z87/AA78</f>
        <v>#DIV/0!</v>
      </c>
      <c r="AA98" s="13" t="e">
        <f t="shared" ca="1" si="997"/>
        <v>#DIV/0!</v>
      </c>
      <c r="AB98" s="37" t="e">
        <f t="shared" ca="1" si="996"/>
        <v>#DIV/0!</v>
      </c>
      <c r="AC98" s="37" t="e">
        <f t="shared" ca="1" si="996"/>
        <v>#DIV/0!</v>
      </c>
      <c r="AD98" s="37" t="e">
        <f t="shared" ca="1" si="996"/>
        <v>#DIV/0!</v>
      </c>
      <c r="AE98" s="37"/>
      <c r="AL98" s="13">
        <f t="shared" ref="AL98:BQ98" si="998">+AL87/AP78</f>
        <v>14.701838817758899</v>
      </c>
      <c r="AM98" s="13">
        <f t="shared" si="998"/>
        <v>12.530709883090719</v>
      </c>
      <c r="AN98" s="13">
        <f t="shared" si="998"/>
        <v>16.49118495070676</v>
      </c>
      <c r="AO98" s="13">
        <f t="shared" si="998"/>
        <v>26.342879481206793</v>
      </c>
      <c r="AP98" s="13">
        <f t="shared" si="998"/>
        <v>16428.071140537952</v>
      </c>
      <c r="AQ98" s="13">
        <f t="shared" si="998"/>
        <v>-158.97202156298832</v>
      </c>
      <c r="AR98" s="13">
        <f t="shared" si="998"/>
        <v>-73.894990407513973</v>
      </c>
      <c r="AS98" s="13">
        <f t="shared" si="998"/>
        <v>-20.974213254501894</v>
      </c>
      <c r="AT98" s="13">
        <f t="shared" si="998"/>
        <v>-21.337935503616709</v>
      </c>
      <c r="AU98" s="13">
        <f t="shared" si="998"/>
        <v>-21.174176685562347</v>
      </c>
      <c r="AV98" s="13">
        <f t="shared" si="998"/>
        <v>-20.534043363655503</v>
      </c>
      <c r="AW98" s="13">
        <f t="shared" si="998"/>
        <v>156.92009325197725</v>
      </c>
      <c r="AX98" s="13">
        <f t="shared" si="998"/>
        <v>9.8104987932394234</v>
      </c>
      <c r="AY98" s="13">
        <f t="shared" si="998"/>
        <v>8.4380138007613539</v>
      </c>
      <c r="AZ98" s="13">
        <f t="shared" si="998"/>
        <v>7.8684694289811388</v>
      </c>
      <c r="BA98" s="13">
        <f t="shared" si="998"/>
        <v>6.3065780032726373</v>
      </c>
      <c r="BB98" s="13">
        <f t="shared" si="998"/>
        <v>16.158391521410149</v>
      </c>
      <c r="BC98" s="13">
        <f t="shared" si="998"/>
        <v>14.527625045055062</v>
      </c>
      <c r="BD98" s="13">
        <f t="shared" si="998"/>
        <v>12.057480518346773</v>
      </c>
      <c r="BE98" s="13">
        <f t="shared" si="998"/>
        <v>13.061410334378078</v>
      </c>
      <c r="BF98" s="13">
        <f t="shared" si="998"/>
        <v>9.0328234879405347</v>
      </c>
      <c r="BG98" s="13">
        <f t="shared" si="998"/>
        <v>8.9772609463748143</v>
      </c>
      <c r="BH98" s="13">
        <f t="shared" si="998"/>
        <v>8.3956403251606044</v>
      </c>
      <c r="BI98" s="13">
        <f t="shared" si="998"/>
        <v>11.532200327959266</v>
      </c>
      <c r="BJ98" s="13">
        <f t="shared" si="998"/>
        <v>10.141339003856947</v>
      </c>
      <c r="BK98" s="13">
        <f t="shared" si="998"/>
        <v>50.495781489294068</v>
      </c>
      <c r="BL98" s="13">
        <f t="shared" si="998"/>
        <v>-50.417693153266256</v>
      </c>
      <c r="BM98" s="13">
        <f t="shared" si="998"/>
        <v>18.156232876712359</v>
      </c>
      <c r="BN98" s="13">
        <f t="shared" si="998"/>
        <v>7.3961580053859066</v>
      </c>
      <c r="BO98" s="13">
        <f t="shared" si="998"/>
        <v>1.9783403793537571</v>
      </c>
      <c r="BP98" s="13">
        <f t="shared" si="998"/>
        <v>1.7310666756730044</v>
      </c>
      <c r="BQ98" s="13">
        <f t="shared" si="998"/>
        <v>2.1506802931851396</v>
      </c>
      <c r="BR98" s="13">
        <f t="shared" ref="BR98:CL98" si="999">+BR87/BV78</f>
        <v>2.549809111846979</v>
      </c>
      <c r="BS98" s="13">
        <f t="shared" si="999"/>
        <v>3.9876721813833886</v>
      </c>
      <c r="BT98" s="13">
        <f t="shared" si="999"/>
        <v>6.5706094023568511</v>
      </c>
      <c r="BU98" s="13">
        <f t="shared" si="999"/>
        <v>10.474924742527826</v>
      </c>
      <c r="BV98" s="13">
        <f t="shared" si="999"/>
        <v>19.708857818885779</v>
      </c>
      <c r="BW98" s="13">
        <f t="shared" si="999"/>
        <v>118.16188237544915</v>
      </c>
      <c r="BX98" s="13">
        <f t="shared" si="999"/>
        <v>224.51868159675917</v>
      </c>
      <c r="BY98" s="13">
        <f t="shared" si="999"/>
        <v>37.465556579260507</v>
      </c>
      <c r="BZ98" s="13">
        <f t="shared" si="999"/>
        <v>45.920439253222021</v>
      </c>
      <c r="CA98" s="13">
        <f t="shared" si="999"/>
        <v>35.36860555030497</v>
      </c>
      <c r="CB98" s="13">
        <f t="shared" si="999"/>
        <v>40.18232684797006</v>
      </c>
      <c r="CC98" s="13">
        <f t="shared" si="999"/>
        <v>46.453953920162029</v>
      </c>
      <c r="CD98" s="13">
        <f t="shared" si="999"/>
        <v>46.540280457995458</v>
      </c>
      <c r="CE98" s="13">
        <f t="shared" si="999"/>
        <v>44.563412618700525</v>
      </c>
      <c r="CF98" s="13">
        <f t="shared" si="999"/>
        <v>28.222696118086738</v>
      </c>
      <c r="CG98" s="13">
        <f t="shared" si="999"/>
        <v>20.683244422417236</v>
      </c>
      <c r="CH98" s="13">
        <f t="shared" si="999"/>
        <v>16.887330558169779</v>
      </c>
      <c r="CI98" s="13">
        <f t="shared" si="999"/>
        <v>16.099100393646467</v>
      </c>
      <c r="CJ98" s="13">
        <f t="shared" si="999"/>
        <v>16.338706214153991</v>
      </c>
      <c r="CK98" s="13">
        <f t="shared" si="999"/>
        <v>15.443608224960334</v>
      </c>
      <c r="CL98" s="13">
        <f t="shared" si="999"/>
        <v>15.509929766922811</v>
      </c>
      <c r="CM98" s="37"/>
      <c r="CN98" s="37"/>
      <c r="CO98" s="37"/>
      <c r="CP98" s="37"/>
      <c r="CQ98" s="37"/>
      <c r="CR98" s="37"/>
      <c r="CS98" s="37"/>
      <c r="CT98" s="37"/>
      <c r="CU98" s="37"/>
      <c r="CV98" s="37"/>
      <c r="CW98" s="37"/>
      <c r="CX98" s="37"/>
      <c r="CY98" s="37"/>
      <c r="CZ98" s="37"/>
      <c r="DA98" s="37"/>
      <c r="DB98" s="37"/>
      <c r="DE98" s="134"/>
      <c r="DF98" s="13">
        <v>15.263610369672461</v>
      </c>
    </row>
    <row r="99" spans="1:110" s="98" customFormat="1" hidden="1" outlineLevel="1" x14ac:dyDescent="0.2">
      <c r="A99" s="98" t="s">
        <v>426</v>
      </c>
      <c r="AB99" s="99"/>
      <c r="AC99" s="99"/>
      <c r="AD99" s="99"/>
      <c r="AE99" s="99"/>
      <c r="AL99" s="175"/>
      <c r="AM99" s="175"/>
      <c r="AN99" s="175"/>
      <c r="AO99" s="175">
        <f t="shared" ref="AO99:CI99" si="1000">+CORREL(AL78:AO78,AL95:AO95)</f>
        <v>-0.77993638548815791</v>
      </c>
      <c r="AP99" s="175">
        <f t="shared" si="1000"/>
        <v>-0.90688546646290213</v>
      </c>
      <c r="AQ99" s="175">
        <f t="shared" si="1000"/>
        <v>-0.34855846971604271</v>
      </c>
      <c r="AR99" s="175">
        <f t="shared" si="1000"/>
        <v>-0.98195373046085555</v>
      </c>
      <c r="AS99" s="175">
        <f t="shared" si="1000"/>
        <v>-0.97545242591068348</v>
      </c>
      <c r="AT99" s="175">
        <f t="shared" si="1000"/>
        <v>-0.93012958178748206</v>
      </c>
      <c r="AU99" s="175">
        <f t="shared" si="1000"/>
        <v>-0.45603143903482807</v>
      </c>
      <c r="AV99" s="175">
        <f t="shared" si="1000"/>
        <v>-7.1777444565440732E-2</v>
      </c>
      <c r="AW99" s="175">
        <f t="shared" si="1000"/>
        <v>0.55849438507824234</v>
      </c>
      <c r="AX99" s="175">
        <f t="shared" si="1000"/>
        <v>-0.87868506652693612</v>
      </c>
      <c r="AY99" s="175">
        <f t="shared" si="1000"/>
        <v>-0.99776005893135211</v>
      </c>
      <c r="AZ99" s="175">
        <f t="shared" si="1000"/>
        <v>-0.98892885414669762</v>
      </c>
      <c r="BA99" s="175">
        <f t="shared" si="1000"/>
        <v>0.97438304993664826</v>
      </c>
      <c r="BB99" s="175">
        <f t="shared" si="1000"/>
        <v>0.16883136627752873</v>
      </c>
      <c r="BC99" s="175">
        <f t="shared" si="1000"/>
        <v>-0.20611611366562951</v>
      </c>
      <c r="BD99" s="175">
        <f t="shared" si="1000"/>
        <v>-0.93945436469495525</v>
      </c>
      <c r="BE99" s="175">
        <f t="shared" si="1000"/>
        <v>-0.91613530102978369</v>
      </c>
      <c r="BF99" s="175">
        <f t="shared" si="1000"/>
        <v>-0.81620975837255438</v>
      </c>
      <c r="BG99" s="175">
        <f t="shared" si="1000"/>
        <v>-0.91276537798706214</v>
      </c>
      <c r="BH99" s="175">
        <f t="shared" si="1000"/>
        <v>-0.92662313636995797</v>
      </c>
      <c r="BI99" s="175">
        <f t="shared" si="1000"/>
        <v>-0.95477772854095544</v>
      </c>
      <c r="BJ99" s="175">
        <f t="shared" si="1000"/>
        <v>-0.97445668625286763</v>
      </c>
      <c r="BK99" s="175">
        <f t="shared" si="1000"/>
        <v>-0.98585759908157533</v>
      </c>
      <c r="BL99" s="175">
        <f t="shared" si="1000"/>
        <v>-0.98520457177851595</v>
      </c>
      <c r="BM99" s="175">
        <f t="shared" si="1000"/>
        <v>-0.97127376809561505</v>
      </c>
      <c r="BN99" s="175">
        <f t="shared" si="1000"/>
        <v>-0.96215343257634955</v>
      </c>
      <c r="BO99" s="175">
        <f t="shared" si="1000"/>
        <v>-0.94729428133843918</v>
      </c>
      <c r="BP99" s="175">
        <f t="shared" si="1000"/>
        <v>0.53193423522162775</v>
      </c>
      <c r="BQ99" s="175">
        <f t="shared" si="1000"/>
        <v>0.55869153106162994</v>
      </c>
      <c r="BR99" s="175">
        <f t="shared" si="1000"/>
        <v>0.49138822510933905</v>
      </c>
      <c r="BS99" s="175">
        <f t="shared" si="1000"/>
        <v>0.42864953024389735</v>
      </c>
      <c r="BT99" s="175">
        <f t="shared" si="1000"/>
        <v>-0.85930456296864988</v>
      </c>
      <c r="BU99" s="175">
        <f t="shared" si="1000"/>
        <v>-0.97070359418477881</v>
      </c>
      <c r="BV99" s="175">
        <f t="shared" si="1000"/>
        <v>-0.98421697773145012</v>
      </c>
      <c r="BW99" s="175">
        <f t="shared" si="1000"/>
        <v>-0.99923735494527333</v>
      </c>
      <c r="BX99" s="175">
        <f t="shared" si="1000"/>
        <v>-0.85580306630022573</v>
      </c>
      <c r="BY99" s="175">
        <f t="shared" si="1000"/>
        <v>-0.93912644232717091</v>
      </c>
      <c r="BZ99" s="175">
        <f t="shared" si="1000"/>
        <v>-0.89035516305171736</v>
      </c>
      <c r="CA99" s="175">
        <f t="shared" si="1000"/>
        <v>-0.78325854425701336</v>
      </c>
      <c r="CB99" s="175">
        <f t="shared" si="1000"/>
        <v>-0.77096572548094799</v>
      </c>
      <c r="CC99" s="175">
        <f t="shared" si="1000"/>
        <v>-0.76561732360354406</v>
      </c>
      <c r="CD99" s="175">
        <f t="shared" si="1000"/>
        <v>-0.86885947067293912</v>
      </c>
      <c r="CE99" s="175">
        <f t="shared" si="1000"/>
        <v>-0.98551250838068616</v>
      </c>
      <c r="CF99" s="175">
        <f t="shared" si="1000"/>
        <v>-0.343113957737959</v>
      </c>
      <c r="CG99" s="175">
        <f t="shared" si="1000"/>
        <v>-0.8640440316247372</v>
      </c>
      <c r="CH99" s="175">
        <f t="shared" si="1000"/>
        <v>-0.73497081746246018</v>
      </c>
      <c r="CI99" s="175">
        <f t="shared" si="1000"/>
        <v>-0.94864129508116424</v>
      </c>
      <c r="CJ99" s="175">
        <f>+CORREL(CG78:CJ78,CG95:CJ95)</f>
        <v>-0.96001000567523986</v>
      </c>
      <c r="CK99" s="175">
        <f>+CORREL(CH78:CK78,CH95:CK95)</f>
        <v>-0.97722392593720464</v>
      </c>
      <c r="CL99" s="175">
        <f>+CORREL(CI78:CL78,CI95:CL95)</f>
        <v>-0.93883421527454169</v>
      </c>
      <c r="CM99" s="99"/>
      <c r="CN99" s="99"/>
      <c r="CO99" s="99"/>
      <c r="CP99" s="99"/>
      <c r="CQ99" s="99"/>
      <c r="CR99" s="99"/>
      <c r="CS99" s="99"/>
      <c r="CT99" s="99"/>
      <c r="CU99" s="99"/>
      <c r="CV99" s="99"/>
      <c r="CW99" s="99"/>
      <c r="CX99" s="99"/>
      <c r="CY99" s="99"/>
      <c r="CZ99" s="99"/>
      <c r="DA99" s="99"/>
      <c r="DB99" s="99"/>
      <c r="DE99" s="137"/>
      <c r="DF99" s="175">
        <v>-0.93847391803037183</v>
      </c>
    </row>
    <row r="100" spans="1:110" s="4" customFormat="1" hidden="1" outlineLevel="1" x14ac:dyDescent="0.2">
      <c r="A100" s="3"/>
      <c r="AB100" s="17"/>
      <c r="AC100" s="17"/>
      <c r="AD100" s="17"/>
      <c r="AE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E100" s="119"/>
    </row>
    <row r="101" spans="1:110" s="162" customFormat="1" hidden="1" outlineLevel="1" x14ac:dyDescent="0.2">
      <c r="A101" s="49" t="s">
        <v>505</v>
      </c>
      <c r="E101" s="162" t="e">
        <f t="shared" ref="E101:AE101" ca="1" si="1001">+E$134/E$74</f>
        <v>#DIV/0!</v>
      </c>
      <c r="F101" s="162" t="e">
        <f t="shared" ca="1" si="1001"/>
        <v>#DIV/0!</v>
      </c>
      <c r="G101" s="162" t="e">
        <f t="shared" ca="1" si="1001"/>
        <v>#DIV/0!</v>
      </c>
      <c r="H101" s="162" t="e">
        <f t="shared" ca="1" si="1001"/>
        <v>#DIV/0!</v>
      </c>
      <c r="I101" s="162" t="e">
        <f t="shared" ca="1" si="1001"/>
        <v>#DIV/0!</v>
      </c>
      <c r="J101" s="162" t="e">
        <f t="shared" ca="1" si="1001"/>
        <v>#DIV/0!</v>
      </c>
      <c r="K101" s="162" t="e">
        <f t="shared" ca="1" si="1001"/>
        <v>#DIV/0!</v>
      </c>
      <c r="L101" s="162" t="e">
        <f t="shared" ca="1" si="1001"/>
        <v>#DIV/0!</v>
      </c>
      <c r="M101" s="162" t="e">
        <f t="shared" ca="1" si="1001"/>
        <v>#DIV/0!</v>
      </c>
      <c r="N101" s="162" t="e">
        <f t="shared" ca="1" si="1001"/>
        <v>#DIV/0!</v>
      </c>
      <c r="O101" s="162" t="e">
        <f t="shared" ca="1" si="1001"/>
        <v>#DIV/0!</v>
      </c>
      <c r="P101" s="162" t="e">
        <f t="shared" ca="1" si="1001"/>
        <v>#DIV/0!</v>
      </c>
      <c r="Q101" s="162" t="e">
        <f t="shared" ca="1" si="1001"/>
        <v>#DIV/0!</v>
      </c>
      <c r="R101" s="162" t="e">
        <f t="shared" ca="1" si="1001"/>
        <v>#DIV/0!</v>
      </c>
      <c r="S101" s="162" t="e">
        <f t="shared" ca="1" si="1001"/>
        <v>#DIV/0!</v>
      </c>
      <c r="T101" s="162" t="e">
        <f t="shared" ca="1" si="1001"/>
        <v>#DIV/0!</v>
      </c>
      <c r="U101" s="162" t="e">
        <f t="shared" ca="1" si="1001"/>
        <v>#DIV/0!</v>
      </c>
      <c r="V101" s="162" t="e">
        <f t="shared" ca="1" si="1001"/>
        <v>#DIV/0!</v>
      </c>
      <c r="W101" s="162" t="e">
        <f t="shared" ca="1" si="1001"/>
        <v>#DIV/0!</v>
      </c>
      <c r="X101" s="162" t="e">
        <f t="shared" ca="1" si="1001"/>
        <v>#DIV/0!</v>
      </c>
      <c r="Y101" s="162" t="e">
        <f t="shared" ca="1" si="1001"/>
        <v>#DIV/0!</v>
      </c>
      <c r="Z101" s="162" t="e">
        <f t="shared" ca="1" si="1001"/>
        <v>#DIV/0!</v>
      </c>
      <c r="AA101" s="162" t="e">
        <f t="shared" ca="1" si="1001"/>
        <v>#DIV/0!</v>
      </c>
      <c r="AB101" s="21" t="e">
        <f t="shared" ca="1" si="1001"/>
        <v>#DIV/0!</v>
      </c>
      <c r="AC101" s="21" t="e">
        <f t="shared" ca="1" si="1001"/>
        <v>#DIV/0!</v>
      </c>
      <c r="AD101" s="21" t="e">
        <f t="shared" ca="1" si="1001"/>
        <v>#DIV/0!</v>
      </c>
      <c r="AE101" s="21" t="e">
        <f t="shared" ca="1" si="1001"/>
        <v>#DIV/0!</v>
      </c>
      <c r="AL101" s="162">
        <f t="shared" ref="AL101:BQ101" si="1002">+AL$134/AL$74</f>
        <v>29.234632527416149</v>
      </c>
      <c r="AM101" s="162">
        <f t="shared" si="1002"/>
        <v>30.147710511126785</v>
      </c>
      <c r="AN101" s="162">
        <f t="shared" si="1002"/>
        <v>34.421839928172894</v>
      </c>
      <c r="AO101" s="162">
        <f t="shared" si="1002"/>
        <v>34.825258128647469</v>
      </c>
      <c r="AP101" s="162">
        <f t="shared" si="1002"/>
        <v>34.331879689604314</v>
      </c>
      <c r="AQ101" s="162">
        <f t="shared" si="1002"/>
        <v>34.602297505290828</v>
      </c>
      <c r="AR101" s="162">
        <f t="shared" si="1002"/>
        <v>35.545669531199891</v>
      </c>
      <c r="AS101" s="162">
        <f t="shared" si="1002"/>
        <v>35.671615468479445</v>
      </c>
      <c r="AT101" s="162">
        <f t="shared" si="1002"/>
        <v>26.970764124927854</v>
      </c>
      <c r="AU101" s="162">
        <f t="shared" si="1002"/>
        <v>26.714944205733342</v>
      </c>
      <c r="AV101" s="162">
        <f t="shared" si="1002"/>
        <v>29.933030847175012</v>
      </c>
      <c r="AW101" s="162">
        <f t="shared" si="1002"/>
        <v>27.6934201244148</v>
      </c>
      <c r="AX101" s="162">
        <f t="shared" si="1002"/>
        <v>35.057838453152051</v>
      </c>
      <c r="AY101" s="162">
        <f t="shared" si="1002"/>
        <v>32.487229846726088</v>
      </c>
      <c r="AZ101" s="162">
        <f t="shared" si="1002"/>
        <v>30.017347527736799</v>
      </c>
      <c r="BA101" s="162">
        <f t="shared" si="1002"/>
        <v>30.179198999551076</v>
      </c>
      <c r="BB101" s="162">
        <f t="shared" si="1002"/>
        <v>30.317546334893862</v>
      </c>
      <c r="BC101" s="162">
        <f t="shared" si="1002"/>
        <v>31.044050214839988</v>
      </c>
      <c r="BD101" s="162">
        <f t="shared" si="1002"/>
        <v>29.713372987879175</v>
      </c>
      <c r="BE101" s="162">
        <f t="shared" si="1002"/>
        <v>30.744620983774769</v>
      </c>
      <c r="BF101" s="162">
        <f t="shared" si="1002"/>
        <v>48.796431090874101</v>
      </c>
      <c r="BG101" s="162">
        <f t="shared" si="1002"/>
        <v>50.360482267684212</v>
      </c>
      <c r="BH101" s="162">
        <f t="shared" si="1002"/>
        <v>53.142139100878587</v>
      </c>
      <c r="BI101" s="162">
        <f t="shared" si="1002"/>
        <v>54.974676136728007</v>
      </c>
      <c r="BJ101" s="162">
        <f t="shared" si="1002"/>
        <v>55.253222599884566</v>
      </c>
      <c r="BK101" s="162">
        <f t="shared" si="1002"/>
        <v>55.828055858398002</v>
      </c>
      <c r="BL101" s="162">
        <f t="shared" si="1002"/>
        <v>58.234696658757137</v>
      </c>
      <c r="BM101" s="162">
        <f t="shared" si="1002"/>
        <v>57.365219970499588</v>
      </c>
      <c r="BN101" s="162">
        <f t="shared" si="1002"/>
        <v>58.98183479766562</v>
      </c>
      <c r="BO101" s="162">
        <f t="shared" si="1002"/>
        <v>55.441335855832747</v>
      </c>
      <c r="BP101" s="162">
        <f t="shared" si="1002"/>
        <v>52.159470595780157</v>
      </c>
      <c r="BQ101" s="162">
        <f t="shared" si="1002"/>
        <v>55.123316552299109</v>
      </c>
      <c r="BR101" s="162">
        <f t="shared" ref="BR101:DB101" si="1003">+BR$134/BR$74</f>
        <v>59.512898415955881</v>
      </c>
      <c r="BS101" s="162">
        <f t="shared" si="1003"/>
        <v>66.653081510934385</v>
      </c>
      <c r="BT101" s="162">
        <f t="shared" si="1003"/>
        <v>73.365019560058997</v>
      </c>
      <c r="BU101" s="162">
        <f t="shared" si="1003"/>
        <v>81.038871609055334</v>
      </c>
      <c r="BV101" s="162">
        <f t="shared" si="1003"/>
        <v>91.742320271916881</v>
      </c>
      <c r="BW101" s="162">
        <f t="shared" si="1003"/>
        <v>97.967036490733022</v>
      </c>
      <c r="BX101" s="162">
        <f t="shared" si="1003"/>
        <v>86.175415250432891</v>
      </c>
      <c r="BY101" s="162">
        <f t="shared" si="1003"/>
        <v>84.392692233694603</v>
      </c>
      <c r="BZ101" s="162">
        <f t="shared" si="1003"/>
        <v>82.634916308600012</v>
      </c>
      <c r="CA101" s="162">
        <f t="shared" si="1003"/>
        <v>83.143117103828658</v>
      </c>
      <c r="CB101" s="162">
        <f t="shared" si="1003"/>
        <v>71.504192586416977</v>
      </c>
      <c r="CC101" s="162">
        <f t="shared" si="1003"/>
        <v>71.91573141794396</v>
      </c>
      <c r="CD101" s="162">
        <f t="shared" si="1003"/>
        <v>73.77970884371193</v>
      </c>
      <c r="CE101" s="162">
        <f t="shared" si="1003"/>
        <v>74.548972295260697</v>
      </c>
      <c r="CF101" s="162">
        <f t="shared" si="1003"/>
        <v>72.265664080035918</v>
      </c>
      <c r="CG101" s="162">
        <f t="shared" si="1003"/>
        <v>72.527512345283142</v>
      </c>
      <c r="CH101" s="162">
        <f t="shared" si="1003"/>
        <v>73.085382864105682</v>
      </c>
      <c r="CI101" s="162">
        <f t="shared" si="1003"/>
        <v>74.750937920861915</v>
      </c>
      <c r="CJ101" s="162">
        <f t="shared" si="1003"/>
        <v>76.113720900404033</v>
      </c>
      <c r="CK101" s="162">
        <f t="shared" si="1003"/>
        <v>78.269095106778678</v>
      </c>
      <c r="CL101" s="162">
        <f t="shared" si="1003"/>
        <v>81.901854999038036</v>
      </c>
      <c r="CM101" s="21">
        <f t="shared" si="1003"/>
        <v>84.479131986506076</v>
      </c>
      <c r="CN101" s="21">
        <f t="shared" si="1003"/>
        <v>87.687333049008686</v>
      </c>
      <c r="CO101" s="21">
        <f t="shared" si="1003"/>
        <v>91.392430619939717</v>
      </c>
      <c r="CP101" s="21">
        <f t="shared" si="1003"/>
        <v>95.860654507061469</v>
      </c>
      <c r="CQ101" s="21">
        <f t="shared" si="1003"/>
        <v>99.095467218574626</v>
      </c>
      <c r="CR101" s="21">
        <f t="shared" si="1003"/>
        <v>102.85970789301182</v>
      </c>
      <c r="CS101" s="21">
        <f t="shared" si="1003"/>
        <v>107.31290212410396</v>
      </c>
      <c r="CT101" s="21">
        <f t="shared" si="1003"/>
        <v>112.3230241076318</v>
      </c>
      <c r="CU101" s="21">
        <f t="shared" si="1003"/>
        <v>116.26548123656336</v>
      </c>
      <c r="CV101" s="21">
        <f t="shared" si="1003"/>
        <v>120.8190557324279</v>
      </c>
      <c r="CW101" s="21">
        <f t="shared" si="1003"/>
        <v>126.16578517167002</v>
      </c>
      <c r="CX101" s="21">
        <f t="shared" si="1003"/>
        <v>132.12673637954487</v>
      </c>
      <c r="CY101" s="21">
        <f t="shared" si="1003"/>
        <v>137.13260862087154</v>
      </c>
      <c r="CZ101" s="21">
        <f t="shared" si="1003"/>
        <v>142.77020056182749</v>
      </c>
      <c r="DA101" s="21">
        <f t="shared" si="1003"/>
        <v>149.24430804446769</v>
      </c>
      <c r="DB101" s="21">
        <f t="shared" si="1003"/>
        <v>156.37047755670881</v>
      </c>
      <c r="DE101" s="22"/>
      <c r="DF101" s="162">
        <v>80.993963318357402</v>
      </c>
    </row>
    <row r="102" spans="1:110" s="162" customFormat="1" hidden="1" outlineLevel="1" x14ac:dyDescent="0.2">
      <c r="A102" s="49" t="s">
        <v>501</v>
      </c>
      <c r="AB102" s="21"/>
      <c r="AC102" s="21"/>
      <c r="AD102" s="21"/>
      <c r="AE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E102" s="22"/>
    </row>
    <row r="103" spans="1:110" s="162" customFormat="1" hidden="1" outlineLevel="1" x14ac:dyDescent="0.2">
      <c r="A103" s="49" t="s">
        <v>502</v>
      </c>
      <c r="E103" s="162" t="e">
        <f t="shared" ref="E103:AE105" ca="1" si="1004">+E86/E$101</f>
        <v>#DIV/0!</v>
      </c>
      <c r="F103" s="162" t="e">
        <f t="shared" ca="1" si="1004"/>
        <v>#DIV/0!</v>
      </c>
      <c r="G103" s="162" t="e">
        <f t="shared" ca="1" si="1004"/>
        <v>#DIV/0!</v>
      </c>
      <c r="H103" s="162" t="e">
        <f t="shared" ca="1" si="1004"/>
        <v>#DIV/0!</v>
      </c>
      <c r="I103" s="162" t="e">
        <f t="shared" ca="1" si="1004"/>
        <v>#DIV/0!</v>
      </c>
      <c r="J103" s="162" t="e">
        <f t="shared" ca="1" si="1004"/>
        <v>#DIV/0!</v>
      </c>
      <c r="K103" s="162" t="e">
        <f t="shared" ca="1" si="1004"/>
        <v>#DIV/0!</v>
      </c>
      <c r="L103" s="162" t="e">
        <f t="shared" ca="1" si="1004"/>
        <v>#DIV/0!</v>
      </c>
      <c r="M103" s="162" t="e">
        <f t="shared" ca="1" si="1004"/>
        <v>#DIV/0!</v>
      </c>
      <c r="N103" s="162" t="e">
        <f t="shared" ca="1" si="1004"/>
        <v>#DIV/0!</v>
      </c>
      <c r="O103" s="162" t="e">
        <f t="shared" ca="1" si="1004"/>
        <v>#DIV/0!</v>
      </c>
      <c r="P103" s="162" t="e">
        <f t="shared" ca="1" si="1004"/>
        <v>#DIV/0!</v>
      </c>
      <c r="Q103" s="162" t="e">
        <f t="shared" ca="1" si="1004"/>
        <v>#DIV/0!</v>
      </c>
      <c r="R103" s="162" t="e">
        <f t="shared" ca="1" si="1004"/>
        <v>#DIV/0!</v>
      </c>
      <c r="S103" s="162" t="e">
        <f t="shared" ca="1" si="1004"/>
        <v>#DIV/0!</v>
      </c>
      <c r="T103" s="162" t="e">
        <f t="shared" ca="1" si="1004"/>
        <v>#DIV/0!</v>
      </c>
      <c r="U103" s="162" t="e">
        <f t="shared" ca="1" si="1004"/>
        <v>#DIV/0!</v>
      </c>
      <c r="V103" s="162" t="e">
        <f t="shared" ca="1" si="1004"/>
        <v>#DIV/0!</v>
      </c>
      <c r="W103" s="162" t="e">
        <f t="shared" ca="1" si="1004"/>
        <v>#DIV/0!</v>
      </c>
      <c r="X103" s="162" t="e">
        <f t="shared" ca="1" si="1004"/>
        <v>#DIV/0!</v>
      </c>
      <c r="Y103" s="162" t="e">
        <f t="shared" ca="1" si="1004"/>
        <v>#DIV/0!</v>
      </c>
      <c r="Z103" s="162" t="e">
        <f t="shared" ca="1" si="1004"/>
        <v>#DIV/0!</v>
      </c>
      <c r="AA103" s="162" t="e">
        <f t="shared" ref="AA103" ca="1" si="1005">+AA86/AA$101</f>
        <v>#DIV/0!</v>
      </c>
      <c r="AB103" s="21" t="e">
        <f t="shared" ca="1" si="1004"/>
        <v>#DIV/0!</v>
      </c>
      <c r="AC103" s="21" t="e">
        <f t="shared" ca="1" si="1004"/>
        <v>#DIV/0!</v>
      </c>
      <c r="AD103" s="21" t="e">
        <f t="shared" ca="1" si="1004"/>
        <v>#DIV/0!</v>
      </c>
      <c r="AE103" s="21" t="e">
        <f t="shared" ca="1" si="1004"/>
        <v>#DIV/0!</v>
      </c>
      <c r="AL103" s="162">
        <f t="shared" ref="AL103:CI105" si="1006">+AL86/AL$101</f>
        <v>1.0178021948365927</v>
      </c>
      <c r="AM103" s="162">
        <f t="shared" si="1006"/>
        <v>0.8653028726424602</v>
      </c>
      <c r="AN103" s="162">
        <f t="shared" si="1006"/>
        <v>0.75176953636317612</v>
      </c>
      <c r="AO103" s="162">
        <f t="shared" si="1006"/>
        <v>1.1585021153583881</v>
      </c>
      <c r="AP103" s="162">
        <f t="shared" si="1006"/>
        <v>1.0930053958241046</v>
      </c>
      <c r="AQ103" s="162">
        <f t="shared" si="1006"/>
        <v>1.4546707723116996</v>
      </c>
      <c r="AR103" s="162">
        <f t="shared" si="1006"/>
        <v>1.2311154584900064</v>
      </c>
      <c r="AS103" s="162">
        <f t="shared" si="1006"/>
        <v>1.066645115817537</v>
      </c>
      <c r="AT103" s="162">
        <f t="shared" si="1006"/>
        <v>1.1193077186890437</v>
      </c>
      <c r="AU103" s="162">
        <f t="shared" si="1006"/>
        <v>1.0866938789267735</v>
      </c>
      <c r="AV103" s="162">
        <f t="shared" si="1006"/>
        <v>0.67448034982023874</v>
      </c>
      <c r="AW103" s="162">
        <f t="shared" si="1006"/>
        <v>0.89296302637556446</v>
      </c>
      <c r="AX103" s="162">
        <f t="shared" si="1006"/>
        <v>0.86830992490105852</v>
      </c>
      <c r="AY103" s="162">
        <f t="shared" si="1006"/>
        <v>0.94405508031156904</v>
      </c>
      <c r="AZ103" s="162">
        <f t="shared" si="1006"/>
        <v>1.188372422076023</v>
      </c>
      <c r="BA103" s="162">
        <f t="shared" si="1006"/>
        <v>1.2347218830575686</v>
      </c>
      <c r="BB103" s="162">
        <f t="shared" si="1006"/>
        <v>1.5167964327591417</v>
      </c>
      <c r="BC103" s="162">
        <f t="shared" si="1006"/>
        <v>1.6706631293739203</v>
      </c>
      <c r="BD103" s="162">
        <f t="shared" si="1006"/>
        <v>2.0876198933317358</v>
      </c>
      <c r="BE103" s="162">
        <f t="shared" si="1006"/>
        <v>2.2698537607753337</v>
      </c>
      <c r="BF103" s="162">
        <f t="shared" si="1006"/>
        <v>1.1699626125050151</v>
      </c>
      <c r="BG103" s="162">
        <f t="shared" si="1006"/>
        <v>1.1275706157492127</v>
      </c>
      <c r="BH103" s="162">
        <f t="shared" si="1006"/>
        <v>1.0920712071795491</v>
      </c>
      <c r="BI103" s="162">
        <f t="shared" si="1006"/>
        <v>0.94925525109434428</v>
      </c>
      <c r="BJ103" s="162">
        <f t="shared" si="1006"/>
        <v>0.94265994903451689</v>
      </c>
      <c r="BK103" s="162">
        <f t="shared" si="1006"/>
        <v>0.90348838454872504</v>
      </c>
      <c r="BL103" s="162">
        <f t="shared" si="1006"/>
        <v>0.61784472255149026</v>
      </c>
      <c r="BM103" s="162">
        <f t="shared" si="1006"/>
        <v>0.82279820463118403</v>
      </c>
      <c r="BN103" s="162">
        <f t="shared" si="1006"/>
        <v>0.45734419915108537</v>
      </c>
      <c r="BO103" s="162">
        <f t="shared" si="1006"/>
        <v>0.58918133006283713</v>
      </c>
      <c r="BP103" s="162">
        <f t="shared" si="1006"/>
        <v>0.6897117549139864</v>
      </c>
      <c r="BQ103" s="162">
        <f t="shared" si="1006"/>
        <v>1.1674732948795306</v>
      </c>
      <c r="BR103" s="162">
        <f t="shared" si="1006"/>
        <v>1.3643260899931395</v>
      </c>
      <c r="BS103" s="162">
        <f t="shared" si="1006"/>
        <v>1.7506317390720776</v>
      </c>
      <c r="BT103" s="162">
        <f t="shared" si="1006"/>
        <v>1.756354741983202</v>
      </c>
      <c r="BU103" s="162">
        <f t="shared" si="1006"/>
        <v>1.3715640135786396</v>
      </c>
      <c r="BV103" s="162">
        <f t="shared" si="1006"/>
        <v>1.4246969077368097</v>
      </c>
      <c r="BW103" s="162">
        <f t="shared" si="1006"/>
        <v>0.88494051780570826</v>
      </c>
      <c r="BX103" s="162">
        <f t="shared" si="1006"/>
        <v>1.1523008007727724</v>
      </c>
      <c r="BY103" s="162">
        <f t="shared" si="1006"/>
        <v>1.3348312160495739</v>
      </c>
      <c r="BZ103" s="162">
        <f t="shared" si="1006"/>
        <v>1.2645986063535763</v>
      </c>
      <c r="CA103" s="162">
        <f t="shared" si="1006"/>
        <v>1.347074825930991</v>
      </c>
      <c r="CB103" s="162">
        <f t="shared" si="1006"/>
        <v>1.8040900167370744</v>
      </c>
      <c r="CC103" s="162">
        <f t="shared" si="1006"/>
        <v>1.9397703012889449</v>
      </c>
      <c r="CD103" s="162">
        <f t="shared" si="1006"/>
        <v>2.1130471025610045</v>
      </c>
      <c r="CE103" s="162">
        <f t="shared" si="1006"/>
        <v>2.3340361998667243</v>
      </c>
      <c r="CF103" s="162">
        <f t="shared" si="1006"/>
        <v>2.330982523227596</v>
      </c>
      <c r="CG103" s="162">
        <f t="shared" si="1006"/>
        <v>1.9041050152464161</v>
      </c>
      <c r="CH103" s="162">
        <f t="shared" si="1006"/>
        <v>2.1105451453515829</v>
      </c>
      <c r="CI103" s="162">
        <f t="shared" si="1006"/>
        <v>2.1370969307318357</v>
      </c>
      <c r="CJ103" s="162">
        <f>+CJ86/CJ$101</f>
        <v>2.2164203510789666</v>
      </c>
      <c r="CK103" s="162">
        <f>+CK86/CK$101</f>
        <v>2.3003971076242373</v>
      </c>
      <c r="CL103" s="162">
        <f>+CL86/CL$101</f>
        <v>2.3418273005202721</v>
      </c>
      <c r="CM103" s="21">
        <f t="shared" ref="CM103:DB103" si="1007">+CM86/CM$101</f>
        <v>2.485820995811646</v>
      </c>
      <c r="CN103" s="21">
        <f t="shared" si="1007"/>
        <v>2.3948726993741554</v>
      </c>
      <c r="CO103" s="21">
        <f t="shared" si="1007"/>
        <v>2.2977832909740212</v>
      </c>
      <c r="CP103" s="21">
        <f t="shared" si="1007"/>
        <v>2.1906798058063601</v>
      </c>
      <c r="CQ103" s="21">
        <f t="shared" si="1007"/>
        <v>2.119168574449561</v>
      </c>
      <c r="CR103" s="21">
        <f t="shared" si="1007"/>
        <v>2.0416157531618575</v>
      </c>
      <c r="CS103" s="21">
        <f t="shared" si="1007"/>
        <v>1.9568942395867897</v>
      </c>
      <c r="CT103" s="21">
        <f t="shared" si="1007"/>
        <v>1.8696077822724106</v>
      </c>
      <c r="CU103" s="21">
        <f t="shared" si="1007"/>
        <v>1.8062110762928563</v>
      </c>
      <c r="CV103" s="21">
        <f t="shared" si="1007"/>
        <v>1.7381364117352218</v>
      </c>
      <c r="CW103" s="21">
        <f t="shared" si="1007"/>
        <v>1.6644766226775292</v>
      </c>
      <c r="CX103" s="21">
        <f t="shared" si="1007"/>
        <v>1.5893830859240918</v>
      </c>
      <c r="CY103" s="21">
        <f t="shared" si="1007"/>
        <v>1.5313644370361528</v>
      </c>
      <c r="CZ103" s="21">
        <f t="shared" si="1007"/>
        <v>1.4708951810224449</v>
      </c>
      <c r="DA103" s="21">
        <f t="shared" si="1007"/>
        <v>1.4070888381044993</v>
      </c>
      <c r="DB103" s="21">
        <f t="shared" si="1007"/>
        <v>1.3429644986780966</v>
      </c>
      <c r="DE103" s="22"/>
      <c r="DF103" s="162">
        <v>2.3680777201395236</v>
      </c>
    </row>
    <row r="104" spans="1:110" s="162" customFormat="1" hidden="1" outlineLevel="1" x14ac:dyDescent="0.2">
      <c r="A104" s="49" t="s">
        <v>503</v>
      </c>
      <c r="E104" s="162" t="e">
        <f t="shared" ca="1" si="1004"/>
        <v>#DIV/0!</v>
      </c>
      <c r="F104" s="162" t="e">
        <f t="shared" ca="1" si="1004"/>
        <v>#DIV/0!</v>
      </c>
      <c r="G104" s="162" t="e">
        <f t="shared" ca="1" si="1004"/>
        <v>#DIV/0!</v>
      </c>
      <c r="H104" s="162" t="e">
        <f t="shared" ca="1" si="1004"/>
        <v>#DIV/0!</v>
      </c>
      <c r="I104" s="162" t="e">
        <f t="shared" ca="1" si="1004"/>
        <v>#DIV/0!</v>
      </c>
      <c r="J104" s="162" t="e">
        <f t="shared" ca="1" si="1004"/>
        <v>#DIV/0!</v>
      </c>
      <c r="K104" s="162" t="e">
        <f t="shared" ca="1" si="1004"/>
        <v>#DIV/0!</v>
      </c>
      <c r="L104" s="162" t="e">
        <f t="shared" ca="1" si="1004"/>
        <v>#DIV/0!</v>
      </c>
      <c r="M104" s="162" t="e">
        <f t="shared" ca="1" si="1004"/>
        <v>#DIV/0!</v>
      </c>
      <c r="N104" s="162" t="e">
        <f t="shared" ca="1" si="1004"/>
        <v>#DIV/0!</v>
      </c>
      <c r="O104" s="162" t="e">
        <f t="shared" ca="1" si="1004"/>
        <v>#DIV/0!</v>
      </c>
      <c r="P104" s="162" t="e">
        <f t="shared" ca="1" si="1004"/>
        <v>#DIV/0!</v>
      </c>
      <c r="Q104" s="162" t="e">
        <f t="shared" ca="1" si="1004"/>
        <v>#DIV/0!</v>
      </c>
      <c r="R104" s="162" t="e">
        <f t="shared" ca="1" si="1004"/>
        <v>#DIV/0!</v>
      </c>
      <c r="S104" s="162" t="e">
        <f t="shared" ca="1" si="1004"/>
        <v>#DIV/0!</v>
      </c>
      <c r="T104" s="162" t="e">
        <f t="shared" ca="1" si="1004"/>
        <v>#DIV/0!</v>
      </c>
      <c r="U104" s="162" t="e">
        <f t="shared" ca="1" si="1004"/>
        <v>#DIV/0!</v>
      </c>
      <c r="V104" s="162" t="e">
        <f t="shared" ca="1" si="1004"/>
        <v>#DIV/0!</v>
      </c>
      <c r="W104" s="162" t="e">
        <f t="shared" ca="1" si="1004"/>
        <v>#DIV/0!</v>
      </c>
      <c r="X104" s="162" t="e">
        <f t="shared" ca="1" si="1004"/>
        <v>#DIV/0!</v>
      </c>
      <c r="Y104" s="162" t="e">
        <f t="shared" ca="1" si="1004"/>
        <v>#DIV/0!</v>
      </c>
      <c r="Z104" s="162" t="e">
        <f t="shared" ca="1" si="1004"/>
        <v>#DIV/0!</v>
      </c>
      <c r="AA104" s="162" t="e">
        <f t="shared" ref="AA104" ca="1" si="1008">+AA87/AA$101</f>
        <v>#DIV/0!</v>
      </c>
      <c r="AB104" s="21" t="e">
        <f t="shared" ca="1" si="1004"/>
        <v>#DIV/0!</v>
      </c>
      <c r="AC104" s="21" t="e">
        <f t="shared" ca="1" si="1004"/>
        <v>#DIV/0!</v>
      </c>
      <c r="AD104" s="21" t="e">
        <f t="shared" ca="1" si="1004"/>
        <v>#DIV/0!</v>
      </c>
      <c r="AE104" s="21" t="e">
        <f t="shared" ca="1" si="1004"/>
        <v>#DIV/0!</v>
      </c>
      <c r="AL104" s="162">
        <f t="shared" si="1006"/>
        <v>1.460381567423239</v>
      </c>
      <c r="AM104" s="162">
        <f t="shared" si="1006"/>
        <v>1.033275289300412</v>
      </c>
      <c r="AN104" s="162">
        <f t="shared" si="1006"/>
        <v>0.88089342764205014</v>
      </c>
      <c r="AO104" s="162">
        <f t="shared" si="1006"/>
        <v>1.1812097964481856</v>
      </c>
      <c r="AP104" s="162">
        <f t="shared" si="1006"/>
        <v>1.2083142042448016</v>
      </c>
      <c r="AQ104" s="162">
        <f t="shared" si="1006"/>
        <v>1.5931715102395412</v>
      </c>
      <c r="AR104" s="162">
        <f t="shared" si="1006"/>
        <v>1.5382912293216107</v>
      </c>
      <c r="AS104" s="162">
        <f t="shared" si="1006"/>
        <v>1.3229230646411085</v>
      </c>
      <c r="AT104" s="162">
        <f t="shared" si="1006"/>
        <v>1.4879356512918578</v>
      </c>
      <c r="AU104" s="162">
        <f t="shared" si="1006"/>
        <v>1.3702257574127528</v>
      </c>
      <c r="AV104" s="162">
        <f t="shared" si="1006"/>
        <v>0.98768878031722629</v>
      </c>
      <c r="AW104" s="162">
        <f t="shared" si="1006"/>
        <v>0.91601389240028552</v>
      </c>
      <c r="AX104" s="162">
        <f t="shared" si="1006"/>
        <v>0.88556741480128376</v>
      </c>
      <c r="AY104" s="162">
        <f t="shared" si="1006"/>
        <v>1.0679641425767583</v>
      </c>
      <c r="AZ104" s="162">
        <f t="shared" si="1006"/>
        <v>1.2966082650054884</v>
      </c>
      <c r="BA104" s="162">
        <f t="shared" si="1006"/>
        <v>1.3919429256969602</v>
      </c>
      <c r="BB104" s="162">
        <f t="shared" si="1006"/>
        <v>1.5978766108699605</v>
      </c>
      <c r="BC104" s="162">
        <f t="shared" si="1006"/>
        <v>1.6781824178224656</v>
      </c>
      <c r="BD104" s="162">
        <f t="shared" si="1006"/>
        <v>2.2335176049461962</v>
      </c>
      <c r="BE104" s="162">
        <f t="shared" si="1006"/>
        <v>2.3067317179781806</v>
      </c>
      <c r="BF104" s="162">
        <f t="shared" si="1006"/>
        <v>1.5474892791686814</v>
      </c>
      <c r="BG104" s="162">
        <f t="shared" si="1006"/>
        <v>1.2634906802874424</v>
      </c>
      <c r="BH104" s="162">
        <f t="shared" si="1006"/>
        <v>1.2169250446851287</v>
      </c>
      <c r="BI104" s="162">
        <f t="shared" si="1006"/>
        <v>1.1096018073537415</v>
      </c>
      <c r="BJ104" s="162">
        <f t="shared" si="1006"/>
        <v>0.96247779763186336</v>
      </c>
      <c r="BK104" s="162">
        <f t="shared" si="1006"/>
        <v>1.003706812612764</v>
      </c>
      <c r="BL104" s="162">
        <f t="shared" si="1006"/>
        <v>0.88392320993157203</v>
      </c>
      <c r="BM104" s="162">
        <f t="shared" si="1006"/>
        <v>0.8297710707721262</v>
      </c>
      <c r="BN104" s="162">
        <f t="shared" si="1006"/>
        <v>0.85780647844482527</v>
      </c>
      <c r="BO104" s="162">
        <f t="shared" si="1006"/>
        <v>0.63210958861325972</v>
      </c>
      <c r="BP104" s="162">
        <f t="shared" si="1006"/>
        <v>0.8507563342406711</v>
      </c>
      <c r="BQ104" s="162">
        <f t="shared" si="1006"/>
        <v>1.1851609098668281</v>
      </c>
      <c r="BR104" s="162">
        <f t="shared" si="1006"/>
        <v>1.383733647526757</v>
      </c>
      <c r="BS104" s="162">
        <f t="shared" si="1006"/>
        <v>1.8705811820500204</v>
      </c>
      <c r="BT104" s="162">
        <f t="shared" si="1006"/>
        <v>2.0917325575627039</v>
      </c>
      <c r="BU104" s="162">
        <f t="shared" si="1006"/>
        <v>1.7598961728887592</v>
      </c>
      <c r="BV104" s="162">
        <f t="shared" si="1006"/>
        <v>1.4891709692437392</v>
      </c>
      <c r="BW104" s="162">
        <f t="shared" si="1006"/>
        <v>1.4150167746792355</v>
      </c>
      <c r="BX104" s="162">
        <f t="shared" si="1006"/>
        <v>1.3205622470084741</v>
      </c>
      <c r="BY104" s="162">
        <f t="shared" si="1006"/>
        <v>1.3751190645588376</v>
      </c>
      <c r="BZ104" s="162">
        <f t="shared" si="1006"/>
        <v>1.5042067633468856</v>
      </c>
      <c r="CA104" s="162">
        <f t="shared" si="1006"/>
        <v>1.3891709142413347</v>
      </c>
      <c r="CB104" s="162">
        <f t="shared" si="1006"/>
        <v>1.8859034012170115</v>
      </c>
      <c r="CC104" s="162">
        <f t="shared" si="1006"/>
        <v>1.9634090791541148</v>
      </c>
      <c r="CD104" s="162">
        <f t="shared" si="1006"/>
        <v>2.1618410061480446</v>
      </c>
      <c r="CE104" s="162">
        <f t="shared" si="1006"/>
        <v>2.4762246120425133</v>
      </c>
      <c r="CF104" s="162">
        <f t="shared" si="1006"/>
        <v>2.4652094776669413</v>
      </c>
      <c r="CG104" s="162">
        <f t="shared" si="1006"/>
        <v>2.3432487135490834</v>
      </c>
      <c r="CH104" s="162">
        <f t="shared" si="1006"/>
        <v>2.1905885106696168</v>
      </c>
      <c r="CI104" s="162">
        <f t="shared" si="1006"/>
        <v>2.2153568183361001</v>
      </c>
      <c r="CJ104" s="162">
        <f t="shared" ref="CJ104:CL105" si="1009">+CJ87/CJ$101</f>
        <v>2.2906513823984462</v>
      </c>
      <c r="CK104" s="162">
        <f t="shared" ref="CK104" si="1010">+CK87/CK$101</f>
        <v>2.3891933303289772</v>
      </c>
      <c r="CL104" s="162">
        <f t="shared" si="1009"/>
        <v>2.6434077714423303</v>
      </c>
      <c r="CM104" s="94">
        <f t="shared" ref="CM104:DB104" si="1011">+CM87/CM$101</f>
        <v>2.7261228329167317</v>
      </c>
      <c r="CN104" s="94">
        <f t="shared" si="1011"/>
        <v>2.7788156794357302</v>
      </c>
      <c r="CO104" s="94">
        <f t="shared" si="1011"/>
        <v>2.9526365884780383</v>
      </c>
      <c r="CP104" s="94">
        <f t="shared" si="1011"/>
        <v>3.0741732748423392</v>
      </c>
      <c r="CQ104" s="94">
        <f t="shared" si="1011"/>
        <v>3.0543711819989934</v>
      </c>
      <c r="CR104" s="94">
        <f t="shared" si="1011"/>
        <v>3.0558238907456166</v>
      </c>
      <c r="CS104" s="94">
        <f t="shared" si="1011"/>
        <v>3.0628339262197359</v>
      </c>
      <c r="CT104" s="94">
        <f t="shared" si="1011"/>
        <v>3.0219705000155761</v>
      </c>
      <c r="CU104" s="94">
        <f t="shared" si="1011"/>
        <v>3.0197762663170318</v>
      </c>
      <c r="CV104" s="94">
        <f t="shared" si="1011"/>
        <v>3.0352633336144046</v>
      </c>
      <c r="CW104" s="94">
        <f t="shared" si="1011"/>
        <v>3.0386101951510596</v>
      </c>
      <c r="CX104" s="94">
        <f t="shared" si="1011"/>
        <v>3.0225555801836936</v>
      </c>
      <c r="CY104" s="94">
        <f t="shared" si="1011"/>
        <v>2.9967891841387586</v>
      </c>
      <c r="CZ104" s="94">
        <f t="shared" si="1011"/>
        <v>2.9930000713462532</v>
      </c>
      <c r="DA104" s="94">
        <f t="shared" si="1011"/>
        <v>2.9834281883132707</v>
      </c>
      <c r="DB104" s="94">
        <f t="shared" si="1011"/>
        <v>2.9654826433028982</v>
      </c>
      <c r="DC104" s="94"/>
      <c r="DE104" s="22"/>
      <c r="DF104" s="162">
        <v>2.6730387195526948</v>
      </c>
    </row>
    <row r="105" spans="1:110" s="162" customFormat="1" hidden="1" outlineLevel="1" x14ac:dyDescent="0.2">
      <c r="A105" s="49" t="s">
        <v>504</v>
      </c>
      <c r="E105" s="162" t="e">
        <f t="shared" ca="1" si="1004"/>
        <v>#DIV/0!</v>
      </c>
      <c r="F105" s="162" t="e">
        <f t="shared" ca="1" si="1004"/>
        <v>#DIV/0!</v>
      </c>
      <c r="G105" s="162" t="e">
        <f t="shared" ca="1" si="1004"/>
        <v>#DIV/0!</v>
      </c>
      <c r="H105" s="162" t="e">
        <f t="shared" ca="1" si="1004"/>
        <v>#DIV/0!</v>
      </c>
      <c r="I105" s="162" t="e">
        <f t="shared" ca="1" si="1004"/>
        <v>#DIV/0!</v>
      </c>
      <c r="J105" s="162" t="e">
        <f t="shared" ca="1" si="1004"/>
        <v>#DIV/0!</v>
      </c>
      <c r="K105" s="162" t="e">
        <f t="shared" ca="1" si="1004"/>
        <v>#DIV/0!</v>
      </c>
      <c r="L105" s="162" t="e">
        <f t="shared" ca="1" si="1004"/>
        <v>#DIV/0!</v>
      </c>
      <c r="M105" s="162" t="e">
        <f t="shared" ca="1" si="1004"/>
        <v>#DIV/0!</v>
      </c>
      <c r="N105" s="162" t="e">
        <f t="shared" ca="1" si="1004"/>
        <v>#DIV/0!</v>
      </c>
      <c r="O105" s="162" t="e">
        <f t="shared" ca="1" si="1004"/>
        <v>#DIV/0!</v>
      </c>
      <c r="P105" s="162" t="e">
        <f t="shared" ca="1" si="1004"/>
        <v>#DIV/0!</v>
      </c>
      <c r="Q105" s="162" t="e">
        <f t="shared" ca="1" si="1004"/>
        <v>#DIV/0!</v>
      </c>
      <c r="R105" s="162" t="e">
        <f t="shared" ca="1" si="1004"/>
        <v>#DIV/0!</v>
      </c>
      <c r="S105" s="162" t="e">
        <f t="shared" ca="1" si="1004"/>
        <v>#DIV/0!</v>
      </c>
      <c r="T105" s="162" t="e">
        <f t="shared" ca="1" si="1004"/>
        <v>#DIV/0!</v>
      </c>
      <c r="U105" s="162" t="e">
        <f t="shared" ca="1" si="1004"/>
        <v>#DIV/0!</v>
      </c>
      <c r="V105" s="162" t="e">
        <f t="shared" ca="1" si="1004"/>
        <v>#DIV/0!</v>
      </c>
      <c r="W105" s="162" t="e">
        <f t="shared" ca="1" si="1004"/>
        <v>#DIV/0!</v>
      </c>
      <c r="X105" s="162" t="e">
        <f t="shared" ca="1" si="1004"/>
        <v>#DIV/0!</v>
      </c>
      <c r="Y105" s="162" t="e">
        <f t="shared" ca="1" si="1004"/>
        <v>#DIV/0!</v>
      </c>
      <c r="Z105" s="162" t="e">
        <f t="shared" ca="1" si="1004"/>
        <v>#DIV/0!</v>
      </c>
      <c r="AA105" s="162" t="e">
        <f t="shared" ref="AA105" ca="1" si="1012">+AA88/AA$101</f>
        <v>#DIV/0!</v>
      </c>
      <c r="AB105" s="21" t="e">
        <f t="shared" ca="1" si="1004"/>
        <v>#DIV/0!</v>
      </c>
      <c r="AC105" s="21" t="e">
        <f t="shared" ca="1" si="1004"/>
        <v>#DIV/0!</v>
      </c>
      <c r="AD105" s="21" t="e">
        <f t="shared" ca="1" si="1004"/>
        <v>#DIV/0!</v>
      </c>
      <c r="AE105" s="21" t="e">
        <f t="shared" ca="1" si="1004"/>
        <v>#DIV/0!</v>
      </c>
      <c r="AL105" s="162">
        <f t="shared" si="1006"/>
        <v>0.98048604007873696</v>
      </c>
      <c r="AM105" s="162">
        <f t="shared" si="1006"/>
        <v>0.82658862797529598</v>
      </c>
      <c r="AN105" s="162">
        <f t="shared" si="1006"/>
        <v>0.5408533409623143</v>
      </c>
      <c r="AO105" s="162">
        <f t="shared" si="1006"/>
        <v>0.73594773652475132</v>
      </c>
      <c r="AP105" s="162">
        <f t="shared" si="1006"/>
        <v>0.92191543098328643</v>
      </c>
      <c r="AQ105" s="162">
        <f t="shared" si="1006"/>
        <v>1.0635369786208477</v>
      </c>
      <c r="AR105" s="162">
        <f t="shared" si="1006"/>
        <v>1.209136040332772</v>
      </c>
      <c r="AS105" s="162">
        <f t="shared" si="1006"/>
        <v>1.0337923928312949</v>
      </c>
      <c r="AT105" s="162">
        <f t="shared" si="1006"/>
        <v>1.0997017289818496</v>
      </c>
      <c r="AU105" s="162">
        <f t="shared" si="1006"/>
        <v>1.025529454825711</v>
      </c>
      <c r="AV105" s="162">
        <f t="shared" si="1006"/>
        <v>0.63660250101013727</v>
      </c>
      <c r="AW105" s="162">
        <f t="shared" si="1006"/>
        <v>0.72386600173153237</v>
      </c>
      <c r="AX105" s="162">
        <f t="shared" si="1006"/>
        <v>0.57425316786101299</v>
      </c>
      <c r="AY105" s="162">
        <f t="shared" si="1006"/>
        <v>0.87220248799211231</v>
      </c>
      <c r="AZ105" s="162">
        <f t="shared" si="1006"/>
        <v>0.9903103517300208</v>
      </c>
      <c r="BA105" s="162">
        <f t="shared" si="1006"/>
        <v>1.1556378043805235</v>
      </c>
      <c r="BB105" s="162">
        <f t="shared" si="1006"/>
        <v>1.2223308246590048</v>
      </c>
      <c r="BC105" s="162">
        <f t="shared" si="1006"/>
        <v>1.3143409298326092</v>
      </c>
      <c r="BD105" s="162">
        <f t="shared" si="1006"/>
        <v>1.7377860397682754</v>
      </c>
      <c r="BE105" s="162">
        <f t="shared" si="1006"/>
        <v>2.027512899156612</v>
      </c>
      <c r="BF105" s="162">
        <f t="shared" si="1006"/>
        <v>1.1355338651060234</v>
      </c>
      <c r="BG105" s="162">
        <f t="shared" si="1006"/>
        <v>1.0655179931514089</v>
      </c>
      <c r="BH105" s="162">
        <f t="shared" si="1006"/>
        <v>0.92864157963833471</v>
      </c>
      <c r="BI105" s="162">
        <f t="shared" si="1006"/>
        <v>0.88568052459104374</v>
      </c>
      <c r="BJ105" s="162">
        <f t="shared" si="1006"/>
        <v>0.80013432556044906</v>
      </c>
      <c r="BK105" s="162">
        <f t="shared" si="1006"/>
        <v>0.81589801578498067</v>
      </c>
      <c r="BL105" s="162">
        <f t="shared" si="1006"/>
        <v>0.5537077009080823</v>
      </c>
      <c r="BM105" s="162">
        <f t="shared" si="1006"/>
        <v>0.55835225623594964</v>
      </c>
      <c r="BN105" s="162">
        <f t="shared" si="1006"/>
        <v>0.42538520692125042</v>
      </c>
      <c r="BO105" s="162">
        <f t="shared" si="1006"/>
        <v>0.45282097937325966</v>
      </c>
      <c r="BP105" s="162">
        <f t="shared" si="1006"/>
        <v>0.61446175802621983</v>
      </c>
      <c r="BQ105" s="162">
        <f t="shared" si="1006"/>
        <v>0.65625586888768572</v>
      </c>
      <c r="BR105" s="162">
        <f t="shared" si="1006"/>
        <v>1.0019676672983671</v>
      </c>
      <c r="BS105" s="162">
        <f t="shared" si="1006"/>
        <v>1.228225284476459</v>
      </c>
      <c r="BT105" s="162">
        <f t="shared" si="1006"/>
        <v>1.5409250986085212</v>
      </c>
      <c r="BU105" s="162">
        <f t="shared" si="1006"/>
        <v>1.312703371700366</v>
      </c>
      <c r="BV105" s="162">
        <f t="shared" si="1006"/>
        <v>1.1572630786459361</v>
      </c>
      <c r="BW105" s="162">
        <f t="shared" si="1006"/>
        <v>0.8442635703063629</v>
      </c>
      <c r="BX105" s="162">
        <f t="shared" si="1006"/>
        <v>0.97278324399578553</v>
      </c>
      <c r="BY105" s="162">
        <f t="shared" si="1006"/>
        <v>1.1612379864434819</v>
      </c>
      <c r="BZ105" s="162">
        <f t="shared" si="1006"/>
        <v>1.2301095534530244</v>
      </c>
      <c r="CA105" s="162">
        <f t="shared" si="1006"/>
        <v>1.2418346051551323</v>
      </c>
      <c r="CB105" s="162">
        <f t="shared" si="1006"/>
        <v>1.556552084208034</v>
      </c>
      <c r="CC105" s="162">
        <f t="shared" si="1006"/>
        <v>1.5886649241739208</v>
      </c>
      <c r="CD105" s="162">
        <f t="shared" si="1006"/>
        <v>1.7362497359721913</v>
      </c>
      <c r="CE105" s="162">
        <f t="shared" si="1006"/>
        <v>1.9872842701738807</v>
      </c>
      <c r="CF105" s="162">
        <f t="shared" si="1006"/>
        <v>1.969815150973276</v>
      </c>
      <c r="CG105" s="162">
        <f t="shared" si="1006"/>
        <v>1.8758398792489135</v>
      </c>
      <c r="CH105" s="162">
        <f t="shared" si="1006"/>
        <v>1.6774900150411931</v>
      </c>
      <c r="CI105" s="162">
        <f t="shared" si="1006"/>
        <v>1.6615176137520753</v>
      </c>
      <c r="CJ105" s="162">
        <f t="shared" si="1009"/>
        <v>2.004237845625942</v>
      </c>
      <c r="CK105" s="162">
        <f t="shared" ref="CK105" si="1013">+CK88/CK$101</f>
        <v>2.0442295874472531</v>
      </c>
      <c r="CL105" s="162">
        <f t="shared" si="1009"/>
        <v>2.1641756465965498</v>
      </c>
      <c r="CM105" s="94">
        <f t="shared" ref="CM105:DB105" si="1014">+CM88/CM$101</f>
        <v>2.2372383413674695</v>
      </c>
      <c r="CN105" s="94">
        <f t="shared" si="1014"/>
        <v>2.2899024739567664</v>
      </c>
      <c r="CO105" s="94">
        <f t="shared" si="1014"/>
        <v>2.4458378527767781</v>
      </c>
      <c r="CP105" s="94">
        <f t="shared" si="1014"/>
        <v>2.558205379270694</v>
      </c>
      <c r="CQ105" s="94">
        <f t="shared" si="1014"/>
        <v>2.5409501976871365</v>
      </c>
      <c r="CR105" s="94">
        <f t="shared" si="1014"/>
        <v>2.5483778200198426</v>
      </c>
      <c r="CS105" s="94">
        <f t="shared" si="1014"/>
        <v>2.5618309204854577</v>
      </c>
      <c r="CT105" s="94">
        <f t="shared" si="1014"/>
        <v>2.534065020923554</v>
      </c>
      <c r="CU105" s="94">
        <f t="shared" si="1014"/>
        <v>2.5391615801859602</v>
      </c>
      <c r="CV105" s="94">
        <f t="shared" si="1014"/>
        <v>2.5641564650189577</v>
      </c>
      <c r="CW105" s="94">
        <f t="shared" si="1014"/>
        <v>2.5792781144257919</v>
      </c>
      <c r="CX105" s="94">
        <f t="shared" si="1014"/>
        <v>2.5769619014316056</v>
      </c>
      <c r="CY105" s="94">
        <f t="shared" si="1014"/>
        <v>2.5603190797735333</v>
      </c>
      <c r="CZ105" s="94">
        <f t="shared" si="1014"/>
        <v>2.5667003809978337</v>
      </c>
      <c r="DA105" s="94">
        <f t="shared" si="1014"/>
        <v>2.5684346919647676</v>
      </c>
      <c r="DB105" s="94">
        <f t="shared" si="1014"/>
        <v>2.5621929787106832</v>
      </c>
      <c r="DC105" s="94"/>
      <c r="DE105" s="22"/>
      <c r="DF105" s="162">
        <v>2.1884347022665827</v>
      </c>
    </row>
    <row r="106" spans="1:110" s="4" customFormat="1" hidden="1" outlineLevel="1" x14ac:dyDescent="0.2">
      <c r="A106" s="3"/>
      <c r="AB106" s="17"/>
      <c r="AC106" s="17"/>
      <c r="AD106" s="17"/>
      <c r="AE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E106" s="119"/>
    </row>
    <row r="107" spans="1:110" s="177" customFormat="1" hidden="1" outlineLevel="1" x14ac:dyDescent="0.2">
      <c r="A107" s="177" t="s">
        <v>510</v>
      </c>
      <c r="E107" s="177">
        <f t="shared" ref="E107:Y107" si="1015">+E19</f>
        <v>11129.44</v>
      </c>
      <c r="F107" s="177">
        <f t="shared" si="1015"/>
        <v>15998.61</v>
      </c>
      <c r="G107" s="177">
        <f t="shared" si="1015"/>
        <v>20322.14</v>
      </c>
      <c r="H107" s="177">
        <f t="shared" si="1015"/>
        <v>25212.38</v>
      </c>
      <c r="I107" s="177">
        <f t="shared" si="1015"/>
        <v>131533.62999999998</v>
      </c>
      <c r="J107" s="177">
        <f t="shared" si="1015"/>
        <v>147329.26</v>
      </c>
      <c r="K107" s="177">
        <f t="shared" si="1015"/>
        <v>102393.12</v>
      </c>
      <c r="L107" s="177">
        <f t="shared" si="1015"/>
        <v>118753.12</v>
      </c>
      <c r="M107" s="177">
        <f t="shared" si="1015"/>
        <v>132899.70000000001</v>
      </c>
      <c r="N107" s="177">
        <f t="shared" si="1015"/>
        <v>134711.54</v>
      </c>
      <c r="O107" s="177">
        <f t="shared" si="1015"/>
        <v>148613.55000000002</v>
      </c>
      <c r="P107" s="177">
        <f t="shared" si="1015"/>
        <v>139503.72999999998</v>
      </c>
      <c r="Q107" s="177">
        <f t="shared" si="1015"/>
        <v>101964.72</v>
      </c>
      <c r="R107" s="177">
        <f t="shared" si="1015"/>
        <v>112299.42</v>
      </c>
      <c r="S107" s="177">
        <f t="shared" si="1015"/>
        <v>123249.07</v>
      </c>
      <c r="T107" s="177">
        <f t="shared" si="1015"/>
        <v>157668.99</v>
      </c>
      <c r="U107" s="177">
        <f t="shared" si="1015"/>
        <v>148971.71</v>
      </c>
      <c r="V107" s="177">
        <f t="shared" si="1015"/>
        <v>156477.4</v>
      </c>
      <c r="W107" s="177">
        <f t="shared" si="1015"/>
        <v>243959.17</v>
      </c>
      <c r="X107" s="177">
        <f t="shared" si="1015"/>
        <v>243352.69</v>
      </c>
      <c r="Y107" s="177">
        <f t="shared" si="1015"/>
        <v>229170.78</v>
      </c>
      <c r="Z107" s="177">
        <f>+Z19</f>
        <v>218542.51</v>
      </c>
      <c r="AA107" s="177">
        <f>+AA19</f>
        <v>232139.94</v>
      </c>
      <c r="AB107" s="178">
        <f t="shared" ref="AA107:AE107" si="1016">+AB19</f>
        <v>257126.08820138761</v>
      </c>
      <c r="AC107" s="178">
        <f t="shared" si="1016"/>
        <v>271513.85904956015</v>
      </c>
      <c r="AD107" s="178">
        <f t="shared" si="1016"/>
        <v>290419.26080667082</v>
      </c>
      <c r="AE107" s="178">
        <f t="shared" si="1016"/>
        <v>310793.9482856571</v>
      </c>
      <c r="AL107" s="177">
        <f t="shared" ref="AL107:BQ107" si="1017">+SUM(AI17:AL17)</f>
        <v>134711.54</v>
      </c>
      <c r="AM107" s="177">
        <f t="shared" si="1017"/>
        <v>133695.13</v>
      </c>
      <c r="AN107" s="177">
        <f t="shared" si="1017"/>
        <v>136207.28999999998</v>
      </c>
      <c r="AO107" s="177">
        <f t="shared" si="1017"/>
        <v>140835.97</v>
      </c>
      <c r="AP107" s="177">
        <f t="shared" si="1017"/>
        <v>148613.54999999999</v>
      </c>
      <c r="AQ107" s="177">
        <f t="shared" si="1017"/>
        <v>152235.96999999997</v>
      </c>
      <c r="AR107" s="177">
        <f t="shared" si="1017"/>
        <v>151368.19</v>
      </c>
      <c r="AS107" s="177">
        <f t="shared" si="1017"/>
        <v>148265.60000000001</v>
      </c>
      <c r="AT107" s="177">
        <f t="shared" si="1017"/>
        <v>139503.73000000001</v>
      </c>
      <c r="AU107" s="177">
        <f t="shared" si="1017"/>
        <v>131101.94999999998</v>
      </c>
      <c r="AV107" s="177">
        <f t="shared" si="1017"/>
        <v>122781.14</v>
      </c>
      <c r="AW107" s="177">
        <f t="shared" si="1017"/>
        <v>114914.8</v>
      </c>
      <c r="AX107" s="177">
        <f t="shared" si="1017"/>
        <v>108319.87999999999</v>
      </c>
      <c r="AY107" s="177">
        <f t="shared" si="1017"/>
        <v>106265.16</v>
      </c>
      <c r="AZ107" s="177">
        <f t="shared" si="1017"/>
        <v>105928.50999999998</v>
      </c>
      <c r="BA107" s="177">
        <f t="shared" si="1017"/>
        <v>109186.31</v>
      </c>
      <c r="BB107" s="177">
        <f t="shared" si="1017"/>
        <v>117419.94</v>
      </c>
      <c r="BC107" s="177">
        <f t="shared" si="1017"/>
        <v>122422.56000000001</v>
      </c>
      <c r="BD107" s="177">
        <f t="shared" si="1017"/>
        <v>127767.05</v>
      </c>
      <c r="BE107" s="177">
        <f t="shared" si="1017"/>
        <v>132188.96</v>
      </c>
      <c r="BF107" s="177">
        <f t="shared" si="1017"/>
        <v>130589.13</v>
      </c>
      <c r="BG107" s="177">
        <f t="shared" si="1017"/>
        <v>135109.88</v>
      </c>
      <c r="BH107" s="177">
        <f t="shared" si="1017"/>
        <v>143542.9</v>
      </c>
      <c r="BI107" s="177">
        <f t="shared" si="1017"/>
        <v>148950.18</v>
      </c>
      <c r="BJ107" s="177">
        <f t="shared" si="1017"/>
        <v>157668.97999999998</v>
      </c>
      <c r="BK107" s="177">
        <f t="shared" si="1017"/>
        <v>158122.01</v>
      </c>
      <c r="BL107" s="177">
        <f t="shared" si="1017"/>
        <v>151804.03</v>
      </c>
      <c r="BM107" s="177">
        <f t="shared" si="1017"/>
        <v>148470.56</v>
      </c>
      <c r="BN107" s="177">
        <f t="shared" si="1017"/>
        <v>142056.07</v>
      </c>
      <c r="BO107" s="177">
        <f t="shared" si="1017"/>
        <v>131583.47999999998</v>
      </c>
      <c r="BP107" s="177">
        <f t="shared" si="1017"/>
        <v>135944.24</v>
      </c>
      <c r="BQ107" s="177">
        <f t="shared" si="1017"/>
        <v>142359.04000000001</v>
      </c>
      <c r="BR107" s="177">
        <f t="shared" ref="BR107:CW107" si="1018">+SUM(BO17:BR17)</f>
        <v>156378.04</v>
      </c>
      <c r="BS107" s="177">
        <f t="shared" si="1018"/>
        <v>184368.95</v>
      </c>
      <c r="BT107" s="177">
        <f t="shared" si="1018"/>
        <v>205816.14</v>
      </c>
      <c r="BU107" s="177">
        <f t="shared" si="1018"/>
        <v>224664.03999999998</v>
      </c>
      <c r="BV107" s="177">
        <f t="shared" si="1018"/>
        <v>243959.16999999998</v>
      </c>
      <c r="BW107" s="177">
        <f t="shared" si="1018"/>
        <v>253923.81</v>
      </c>
      <c r="BX107" s="177">
        <f t="shared" si="1018"/>
        <v>253414.2</v>
      </c>
      <c r="BY107" s="177">
        <f t="shared" si="1018"/>
        <v>249714.65000000002</v>
      </c>
      <c r="BZ107" s="177">
        <f t="shared" si="1018"/>
        <v>243352.69</v>
      </c>
      <c r="CA107" s="177">
        <f t="shared" si="1018"/>
        <v>239412.28</v>
      </c>
      <c r="CB107" s="177">
        <f t="shared" si="1018"/>
        <v>235216.69</v>
      </c>
      <c r="CC107" s="177">
        <f t="shared" si="1018"/>
        <v>233445.01</v>
      </c>
      <c r="CD107" s="177">
        <f t="shared" si="1018"/>
        <v>229170.78</v>
      </c>
      <c r="CE107" s="177">
        <f t="shared" si="1018"/>
        <v>224452.51</v>
      </c>
      <c r="CF107" s="177">
        <f t="shared" si="1018"/>
        <v>222675.29000000004</v>
      </c>
      <c r="CG107" s="177">
        <f t="shared" si="1018"/>
        <v>221011.71</v>
      </c>
      <c r="CH107" s="177">
        <f t="shared" si="1018"/>
        <v>218542.51</v>
      </c>
      <c r="CI107" s="177">
        <f t="shared" si="1018"/>
        <v>216949.24</v>
      </c>
      <c r="CJ107" s="177">
        <f t="shared" si="1018"/>
        <v>221733.82</v>
      </c>
      <c r="CK107" s="177">
        <f t="shared" si="1018"/>
        <v>225087.92</v>
      </c>
      <c r="CL107" s="177">
        <f t="shared" si="1018"/>
        <v>232139.94</v>
      </c>
      <c r="CM107" s="178">
        <f t="shared" si="1018"/>
        <v>235956.11753727173</v>
      </c>
      <c r="CN107" s="178">
        <f t="shared" si="1018"/>
        <v>238665.04244357959</v>
      </c>
      <c r="CO107" s="178">
        <f t="shared" si="1018"/>
        <v>248288.33176422521</v>
      </c>
      <c r="CP107" s="178">
        <f t="shared" si="1018"/>
        <v>257126.08820138761</v>
      </c>
      <c r="CQ107" s="178">
        <f t="shared" si="1018"/>
        <v>260692.81075366281</v>
      </c>
      <c r="CR107" s="178">
        <f t="shared" si="1018"/>
        <v>264390.87867718533</v>
      </c>
      <c r="CS107" s="178">
        <f t="shared" si="1018"/>
        <v>268650.40658833127</v>
      </c>
      <c r="CT107" s="178">
        <f t="shared" si="1018"/>
        <v>271513.85904956015</v>
      </c>
      <c r="CU107" s="178">
        <f t="shared" si="1018"/>
        <v>275583.74720517767</v>
      </c>
      <c r="CV107" s="178">
        <f t="shared" si="1018"/>
        <v>280033.23022519506</v>
      </c>
      <c r="CW107" s="178">
        <f t="shared" si="1018"/>
        <v>285022.19655841304</v>
      </c>
      <c r="CX107" s="178">
        <f t="shared" ref="CX107:DB107" si="1019">+SUM(CU17:CX17)</f>
        <v>290419.26080667082</v>
      </c>
      <c r="CY107" s="178">
        <f t="shared" si="1019"/>
        <v>294909.68312834261</v>
      </c>
      <c r="CZ107" s="178">
        <f t="shared" si="1019"/>
        <v>299781.22791083326</v>
      </c>
      <c r="DA107" s="178">
        <f t="shared" si="1019"/>
        <v>305128.30350497755</v>
      </c>
      <c r="DB107" s="178">
        <f t="shared" si="1019"/>
        <v>310793.9482856571</v>
      </c>
      <c r="DE107" s="179"/>
      <c r="DF107" s="177">
        <v>231731.92237557145</v>
      </c>
    </row>
    <row r="108" spans="1:110" s="163" customFormat="1" hidden="1" outlineLevel="1" x14ac:dyDescent="0.2">
      <c r="A108" s="163" t="s">
        <v>511</v>
      </c>
      <c r="E108" s="163" t="e">
        <f t="shared" ref="E108:AE108" ca="1" si="1020">+E107/E74</f>
        <v>#DIV/0!</v>
      </c>
      <c r="F108" s="163" t="e">
        <f t="shared" ca="1" si="1020"/>
        <v>#DIV/0!</v>
      </c>
      <c r="G108" s="163" t="e">
        <f t="shared" ca="1" si="1020"/>
        <v>#DIV/0!</v>
      </c>
      <c r="H108" s="163" t="e">
        <f t="shared" ca="1" si="1020"/>
        <v>#DIV/0!</v>
      </c>
      <c r="I108" s="163" t="e">
        <f t="shared" ca="1" si="1020"/>
        <v>#DIV/0!</v>
      </c>
      <c r="J108" s="163" t="e">
        <f t="shared" ca="1" si="1020"/>
        <v>#DIV/0!</v>
      </c>
      <c r="K108" s="163" t="e">
        <f t="shared" ca="1" si="1020"/>
        <v>#DIV/0!</v>
      </c>
      <c r="L108" s="163" t="e">
        <f t="shared" ca="1" si="1020"/>
        <v>#DIV/0!</v>
      </c>
      <c r="M108" s="163" t="e">
        <f t="shared" ca="1" si="1020"/>
        <v>#DIV/0!</v>
      </c>
      <c r="N108" s="163" t="e">
        <f t="shared" ca="1" si="1020"/>
        <v>#DIV/0!</v>
      </c>
      <c r="O108" s="163" t="e">
        <f t="shared" ca="1" si="1020"/>
        <v>#DIV/0!</v>
      </c>
      <c r="P108" s="163" t="e">
        <f t="shared" ca="1" si="1020"/>
        <v>#DIV/0!</v>
      </c>
      <c r="Q108" s="163" t="e">
        <f t="shared" ca="1" si="1020"/>
        <v>#DIV/0!</v>
      </c>
      <c r="R108" s="163" t="e">
        <f t="shared" ca="1" si="1020"/>
        <v>#DIV/0!</v>
      </c>
      <c r="S108" s="163" t="e">
        <f t="shared" ca="1" si="1020"/>
        <v>#DIV/0!</v>
      </c>
      <c r="T108" s="163" t="e">
        <f t="shared" ca="1" si="1020"/>
        <v>#DIV/0!</v>
      </c>
      <c r="U108" s="163" t="e">
        <f t="shared" ca="1" si="1020"/>
        <v>#DIV/0!</v>
      </c>
      <c r="V108" s="163" t="e">
        <f t="shared" ca="1" si="1020"/>
        <v>#DIV/0!</v>
      </c>
      <c r="W108" s="163" t="e">
        <f t="shared" ca="1" si="1020"/>
        <v>#DIV/0!</v>
      </c>
      <c r="X108" s="163" t="e">
        <f t="shared" ca="1" si="1020"/>
        <v>#DIV/0!</v>
      </c>
      <c r="Y108" s="163" t="e">
        <f t="shared" ca="1" si="1020"/>
        <v>#DIV/0!</v>
      </c>
      <c r="Z108" s="163" t="e">
        <f t="shared" ref="Z108:AA108" ca="1" si="1021">+Z107/Z74</f>
        <v>#DIV/0!</v>
      </c>
      <c r="AA108" s="163" t="e">
        <f t="shared" ca="1" si="1021"/>
        <v>#DIV/0!</v>
      </c>
      <c r="AB108" s="94" t="e">
        <f t="shared" ca="1" si="1020"/>
        <v>#DIV/0!</v>
      </c>
      <c r="AC108" s="94" t="e">
        <f t="shared" ca="1" si="1020"/>
        <v>#DIV/0!</v>
      </c>
      <c r="AD108" s="94" t="e">
        <f t="shared" ca="1" si="1020"/>
        <v>#DIV/0!</v>
      </c>
      <c r="AE108" s="94" t="e">
        <f t="shared" ca="1" si="1020"/>
        <v>#DIV/0!</v>
      </c>
      <c r="AL108" s="163">
        <f t="shared" ref="AL108:BQ108" si="1022">+AL107/AL74</f>
        <v>107.99039633168729</v>
      </c>
      <c r="AM108" s="163">
        <f t="shared" si="1022"/>
        <v>107.17559962803823</v>
      </c>
      <c r="AN108" s="163">
        <f t="shared" si="1022"/>
        <v>109.18945199769125</v>
      </c>
      <c r="AO108" s="163">
        <f t="shared" si="1022"/>
        <v>112.89999519014943</v>
      </c>
      <c r="AP108" s="163">
        <f t="shared" si="1022"/>
        <v>119.13482812800615</v>
      </c>
      <c r="AQ108" s="163">
        <f t="shared" si="1022"/>
        <v>122.03871128070286</v>
      </c>
      <c r="AR108" s="163">
        <f t="shared" si="1022"/>
        <v>121.3430625921888</v>
      </c>
      <c r="AS108" s="163">
        <f t="shared" si="1022"/>
        <v>118.8558968768037</v>
      </c>
      <c r="AT108" s="163">
        <f t="shared" si="1022"/>
        <v>111.83201596870391</v>
      </c>
      <c r="AU108" s="163">
        <f t="shared" si="1022"/>
        <v>105.09679824280124</v>
      </c>
      <c r="AV108" s="163">
        <f t="shared" si="1022"/>
        <v>98.426489450394399</v>
      </c>
      <c r="AW108" s="163">
        <f t="shared" si="1022"/>
        <v>92.120502789713328</v>
      </c>
      <c r="AX108" s="163">
        <f t="shared" si="1022"/>
        <v>86.833739498492903</v>
      </c>
      <c r="AY108" s="163">
        <f t="shared" si="1022"/>
        <v>85.186590136599762</v>
      </c>
      <c r="AZ108" s="163">
        <f t="shared" si="1022"/>
        <v>84.91671743731159</v>
      </c>
      <c r="BA108" s="163">
        <f t="shared" si="1022"/>
        <v>87.528305970627841</v>
      </c>
      <c r="BB108" s="163">
        <f t="shared" si="1022"/>
        <v>94.128727634194831</v>
      </c>
      <c r="BC108" s="163">
        <f t="shared" si="1022"/>
        <v>98.139036747258388</v>
      </c>
      <c r="BD108" s="163">
        <f t="shared" si="1022"/>
        <v>102.42340312960944</v>
      </c>
      <c r="BE108" s="163">
        <f t="shared" si="1022"/>
        <v>105.96819085487077</v>
      </c>
      <c r="BF108" s="163">
        <f t="shared" si="1022"/>
        <v>104.68570031424358</v>
      </c>
      <c r="BG108" s="163">
        <f t="shared" si="1022"/>
        <v>108.30972231129353</v>
      </c>
      <c r="BH108" s="163">
        <f t="shared" si="1022"/>
        <v>115.06998332585134</v>
      </c>
      <c r="BI108" s="163">
        <f t="shared" si="1022"/>
        <v>119.40468479445904</v>
      </c>
      <c r="BJ108" s="163">
        <f t="shared" si="1022"/>
        <v>126.3940389918553</v>
      </c>
      <c r="BK108" s="163">
        <f t="shared" si="1022"/>
        <v>126.75720675944333</v>
      </c>
      <c r="BL108" s="163">
        <f t="shared" si="1022"/>
        <v>121.69245013788237</v>
      </c>
      <c r="BM108" s="163">
        <f t="shared" si="1022"/>
        <v>119.0202013724107</v>
      </c>
      <c r="BN108" s="163">
        <f t="shared" si="1022"/>
        <v>113.87807830436735</v>
      </c>
      <c r="BO108" s="163">
        <f t="shared" si="1022"/>
        <v>105.48281280061565</v>
      </c>
      <c r="BP108" s="163">
        <f t="shared" si="1022"/>
        <v>108.97858013211055</v>
      </c>
      <c r="BQ108" s="163">
        <f t="shared" si="1022"/>
        <v>114.12095170910024</v>
      </c>
      <c r="BR108" s="163">
        <f t="shared" ref="BR108:CW108" si="1023">+BR107/BR74</f>
        <v>125.35916757519399</v>
      </c>
      <c r="BS108" s="163">
        <f t="shared" si="1023"/>
        <v>147.79784999679345</v>
      </c>
      <c r="BT108" s="163">
        <f t="shared" si="1023"/>
        <v>164.99081318540371</v>
      </c>
      <c r="BU108" s="163">
        <f t="shared" si="1023"/>
        <v>180.10007695760916</v>
      </c>
      <c r="BV108" s="163">
        <f t="shared" si="1023"/>
        <v>195.56785897518114</v>
      </c>
      <c r="BW108" s="163">
        <f t="shared" si="1023"/>
        <v>203.55593054575769</v>
      </c>
      <c r="BX108" s="163">
        <f t="shared" si="1023"/>
        <v>203.14740588725709</v>
      </c>
      <c r="BY108" s="163">
        <f t="shared" si="1023"/>
        <v>200.18169210543192</v>
      </c>
      <c r="BZ108" s="163">
        <f t="shared" si="1023"/>
        <v>195.08167927916372</v>
      </c>
      <c r="CA108" s="163">
        <f t="shared" si="1023"/>
        <v>191.92288206246391</v>
      </c>
      <c r="CB108" s="163">
        <f t="shared" si="1023"/>
        <v>188.55952190085293</v>
      </c>
      <c r="CC108" s="163">
        <f t="shared" si="1023"/>
        <v>187.13926922336947</v>
      </c>
      <c r="CD108" s="163">
        <f t="shared" si="1023"/>
        <v>183.71286795356889</v>
      </c>
      <c r="CE108" s="163">
        <f t="shared" si="1023"/>
        <v>179.93050567562366</v>
      </c>
      <c r="CF108" s="163">
        <f t="shared" si="1023"/>
        <v>178.50581190277691</v>
      </c>
      <c r="CG108" s="163">
        <f t="shared" si="1023"/>
        <v>177.17221669980117</v>
      </c>
      <c r="CH108" s="163">
        <f t="shared" si="1023"/>
        <v>175.19280286025781</v>
      </c>
      <c r="CI108" s="163">
        <f t="shared" si="1023"/>
        <v>173.91557108959148</v>
      </c>
      <c r="CJ108" s="163">
        <f t="shared" si="1023"/>
        <v>177.75109023279677</v>
      </c>
      <c r="CK108" s="163">
        <f t="shared" ref="CK108:CL108" si="1024">+CK107/CK74</f>
        <v>180.43987686782532</v>
      </c>
      <c r="CL108" s="163">
        <f t="shared" si="1024"/>
        <v>186.09307060860641</v>
      </c>
      <c r="CM108" s="50">
        <f t="shared" si="1023"/>
        <v>189.15227789494622</v>
      </c>
      <c r="CN108" s="50">
        <f t="shared" si="1023"/>
        <v>191.32386523085646</v>
      </c>
      <c r="CO108" s="50">
        <f t="shared" si="1023"/>
        <v>199.03829584126305</v>
      </c>
      <c r="CP108" s="50">
        <f t="shared" si="1023"/>
        <v>206.12301048658662</v>
      </c>
      <c r="CQ108" s="50">
        <f t="shared" si="1023"/>
        <v>208.98224423913197</v>
      </c>
      <c r="CR108" s="50">
        <f t="shared" si="1023"/>
        <v>211.94676992655783</v>
      </c>
      <c r="CS108" s="50">
        <f t="shared" si="1023"/>
        <v>215.36138538793952</v>
      </c>
      <c r="CT108" s="50">
        <f t="shared" si="1023"/>
        <v>217.65684846530505</v>
      </c>
      <c r="CU108" s="50">
        <f t="shared" si="1023"/>
        <v>220.91944077885722</v>
      </c>
      <c r="CV108" s="50">
        <f t="shared" si="1023"/>
        <v>224.48633218847803</v>
      </c>
      <c r="CW108" s="50">
        <f t="shared" si="1023"/>
        <v>228.4856959520402</v>
      </c>
      <c r="CX108" s="50">
        <f t="shared" ref="CX108:DB108" si="1025">+CX107/CX74</f>
        <v>232.81220804741776</v>
      </c>
      <c r="CY108" s="50">
        <f t="shared" si="1025"/>
        <v>236.41191811096533</v>
      </c>
      <c r="CZ108" s="50">
        <f t="shared" si="1025"/>
        <v>240.31715185566699</v>
      </c>
      <c r="DA108" s="50">
        <f t="shared" si="1025"/>
        <v>244.60359095826456</v>
      </c>
      <c r="DB108" s="50">
        <f t="shared" si="1025"/>
        <v>249.14540842498002</v>
      </c>
      <c r="DE108" s="164"/>
      <c r="DF108" s="163">
        <v>185.76598664109812</v>
      </c>
    </row>
    <row r="109" spans="1:110" s="163" customFormat="1" hidden="1" outlineLevel="1" x14ac:dyDescent="0.2">
      <c r="AB109" s="94"/>
      <c r="AC109" s="94"/>
      <c r="AD109" s="94"/>
      <c r="AE109" s="94"/>
      <c r="CM109" s="94"/>
      <c r="CN109" s="94"/>
      <c r="CO109" s="94"/>
      <c r="CP109" s="94"/>
      <c r="CQ109" s="94"/>
      <c r="CR109" s="94"/>
      <c r="CS109" s="94"/>
      <c r="CT109" s="94"/>
      <c r="CU109" s="94"/>
      <c r="CV109" s="94"/>
      <c r="CW109" s="94"/>
      <c r="CX109" s="94"/>
      <c r="CY109" s="94"/>
      <c r="CZ109" s="94"/>
      <c r="DA109" s="94"/>
      <c r="DB109" s="94"/>
      <c r="DE109" s="164"/>
    </row>
    <row r="110" spans="1:110" s="163" customFormat="1" hidden="1" outlineLevel="1" x14ac:dyDescent="0.2">
      <c r="A110" s="163" t="s">
        <v>506</v>
      </c>
      <c r="AB110" s="94"/>
      <c r="AC110" s="94"/>
      <c r="AD110" s="94"/>
      <c r="AE110" s="94"/>
      <c r="CM110" s="94"/>
      <c r="CN110" s="94"/>
      <c r="CO110" s="94"/>
      <c r="CP110" s="94"/>
      <c r="CQ110" s="94"/>
      <c r="CR110" s="94"/>
      <c r="CS110" s="94"/>
      <c r="CT110" s="94"/>
      <c r="CU110" s="94"/>
      <c r="CV110" s="94"/>
      <c r="CW110" s="94"/>
      <c r="CX110" s="94"/>
      <c r="CY110" s="94"/>
      <c r="CZ110" s="94"/>
      <c r="DA110" s="94"/>
      <c r="DB110" s="94"/>
      <c r="DE110" s="164"/>
    </row>
    <row r="111" spans="1:110" s="163" customFormat="1" hidden="1" outlineLevel="1" x14ac:dyDescent="0.2">
      <c r="A111" s="163" t="s">
        <v>507</v>
      </c>
      <c r="E111" s="163" t="e">
        <f t="shared" ref="E111:AE113" ca="1" si="1026">+E86/E$108</f>
        <v>#DIV/0!</v>
      </c>
      <c r="F111" s="163" t="e">
        <f t="shared" ca="1" si="1026"/>
        <v>#DIV/0!</v>
      </c>
      <c r="G111" s="163" t="e">
        <f t="shared" ca="1" si="1026"/>
        <v>#DIV/0!</v>
      </c>
      <c r="H111" s="163" t="e">
        <f t="shared" ca="1" si="1026"/>
        <v>#DIV/0!</v>
      </c>
      <c r="I111" s="163" t="e">
        <f t="shared" ca="1" si="1026"/>
        <v>#DIV/0!</v>
      </c>
      <c r="J111" s="163" t="e">
        <f t="shared" ca="1" si="1026"/>
        <v>#DIV/0!</v>
      </c>
      <c r="K111" s="163" t="e">
        <f t="shared" ca="1" si="1026"/>
        <v>#DIV/0!</v>
      </c>
      <c r="L111" s="163" t="e">
        <f t="shared" ca="1" si="1026"/>
        <v>#DIV/0!</v>
      </c>
      <c r="M111" s="163" t="e">
        <f t="shared" ca="1" si="1026"/>
        <v>#DIV/0!</v>
      </c>
      <c r="N111" s="163" t="e">
        <f t="shared" ca="1" si="1026"/>
        <v>#DIV/0!</v>
      </c>
      <c r="O111" s="163" t="e">
        <f t="shared" ca="1" si="1026"/>
        <v>#DIV/0!</v>
      </c>
      <c r="P111" s="163" t="e">
        <f t="shared" ca="1" si="1026"/>
        <v>#DIV/0!</v>
      </c>
      <c r="Q111" s="163" t="e">
        <f t="shared" ca="1" si="1026"/>
        <v>#DIV/0!</v>
      </c>
      <c r="R111" s="163" t="e">
        <f t="shared" ca="1" si="1026"/>
        <v>#DIV/0!</v>
      </c>
      <c r="S111" s="163" t="e">
        <f t="shared" ca="1" si="1026"/>
        <v>#DIV/0!</v>
      </c>
      <c r="T111" s="163" t="e">
        <f t="shared" ca="1" si="1026"/>
        <v>#DIV/0!</v>
      </c>
      <c r="U111" s="163" t="e">
        <f t="shared" ca="1" si="1026"/>
        <v>#DIV/0!</v>
      </c>
      <c r="V111" s="163" t="e">
        <f t="shared" ca="1" si="1026"/>
        <v>#DIV/0!</v>
      </c>
      <c r="W111" s="163" t="e">
        <f t="shared" ca="1" si="1026"/>
        <v>#DIV/0!</v>
      </c>
      <c r="X111" s="163" t="e">
        <f t="shared" ca="1" si="1026"/>
        <v>#DIV/0!</v>
      </c>
      <c r="Y111" s="163" t="e">
        <f t="shared" ca="1" si="1026"/>
        <v>#DIV/0!</v>
      </c>
      <c r="Z111" s="163" t="e">
        <f ca="1">+Z86/Z$108</f>
        <v>#DIV/0!</v>
      </c>
      <c r="AA111" s="163" t="e">
        <f ca="1">+AA86/AA$108</f>
        <v>#DIV/0!</v>
      </c>
      <c r="AB111" s="50" t="e">
        <f t="shared" ref="AA111:AE111" ca="1" si="1027">+AB86/AB$108</f>
        <v>#DIV/0!</v>
      </c>
      <c r="AC111" s="50" t="e">
        <f t="shared" ca="1" si="1027"/>
        <v>#DIV/0!</v>
      </c>
      <c r="AD111" s="50" t="e">
        <f t="shared" ca="1" si="1027"/>
        <v>#DIV/0!</v>
      </c>
      <c r="AE111" s="50" t="e">
        <f t="shared" ca="1" si="1027"/>
        <v>#DIV/0!</v>
      </c>
      <c r="AL111" s="163">
        <f t="shared" ref="AL111:BQ111" si="1028">+AL86/AL108</f>
        <v>0.27553443789810839</v>
      </c>
      <c r="AM111" s="163">
        <f t="shared" si="1028"/>
        <v>0.2434033548625624</v>
      </c>
      <c r="AN111" s="163">
        <f t="shared" si="1028"/>
        <v>0.236994418143221</v>
      </c>
      <c r="AO111" s="163">
        <f t="shared" si="1028"/>
        <v>0.35735285145043238</v>
      </c>
      <c r="AP111" s="163">
        <f t="shared" si="1028"/>
        <v>0.31497867029448595</v>
      </c>
      <c r="AQ111" s="163">
        <f t="shared" si="1028"/>
        <v>0.41245069132207168</v>
      </c>
      <c r="AR111" s="163">
        <f t="shared" si="1028"/>
        <v>0.36063720749581946</v>
      </c>
      <c r="AS111" s="163">
        <f t="shared" si="1028"/>
        <v>0.32012677042194493</v>
      </c>
      <c r="AT111" s="163">
        <f t="shared" si="1028"/>
        <v>0.26994581294520836</v>
      </c>
      <c r="AU111" s="163">
        <f t="shared" si="1028"/>
        <v>0.27623073994291941</v>
      </c>
      <c r="AV111" s="163">
        <f t="shared" si="1028"/>
        <v>0.20511999594537708</v>
      </c>
      <c r="AW111" s="163">
        <f t="shared" si="1028"/>
        <v>0.26844404335740119</v>
      </c>
      <c r="AX111" s="163">
        <f t="shared" si="1028"/>
        <v>0.35056729389131325</v>
      </c>
      <c r="AY111" s="163">
        <f t="shared" si="1028"/>
        <v>0.36003007436817669</v>
      </c>
      <c r="AZ111" s="163">
        <f t="shared" si="1028"/>
        <v>0.42007968586595951</v>
      </c>
      <c r="BA111" s="163">
        <f t="shared" si="1028"/>
        <v>0.4257241929302189</v>
      </c>
      <c r="BB111" s="163">
        <f t="shared" si="1028"/>
        <v>0.48853891140956524</v>
      </c>
      <c r="BC111" s="163">
        <f t="shared" si="1028"/>
        <v>0.52847624960833517</v>
      </c>
      <c r="BD111" s="163">
        <f t="shared" si="1028"/>
        <v>0.60562553725136059</v>
      </c>
      <c r="BE111" s="163">
        <f t="shared" si="1028"/>
        <v>0.65855416611961282</v>
      </c>
      <c r="BF111" s="163">
        <f t="shared" si="1028"/>
        <v>0.54534668850309365</v>
      </c>
      <c r="BG111" s="163">
        <f t="shared" si="1028"/>
        <v>0.52428349725423484</v>
      </c>
      <c r="BH111" s="163">
        <f t="shared" si="1028"/>
        <v>0.50434525427589938</v>
      </c>
      <c r="BI111" s="163">
        <f t="shared" si="1028"/>
        <v>0.43704315362358076</v>
      </c>
      <c r="BJ111" s="163">
        <f t="shared" si="1028"/>
        <v>0.41208430726196116</v>
      </c>
      <c r="BK111" s="163">
        <f t="shared" si="1028"/>
        <v>0.39792609264200474</v>
      </c>
      <c r="BL111" s="163">
        <f t="shared" si="1028"/>
        <v>0.29566337072869542</v>
      </c>
      <c r="BM111" s="163">
        <f t="shared" si="1028"/>
        <v>0.39657133373781311</v>
      </c>
      <c r="BN111" s="163">
        <f t="shared" si="1028"/>
        <v>0.2368761433425548</v>
      </c>
      <c r="BO111" s="163">
        <f t="shared" si="1028"/>
        <v>0.30967130220298172</v>
      </c>
      <c r="BP111" s="163">
        <f t="shared" si="1028"/>
        <v>0.33011074246323352</v>
      </c>
      <c r="BQ111" s="163">
        <f t="shared" si="1028"/>
        <v>0.56391923688161993</v>
      </c>
      <c r="BR111" s="163">
        <f t="shared" ref="BR111:CJ111" si="1029">+BR86/BR108</f>
        <v>0.64769894033714703</v>
      </c>
      <c r="BS111" s="163">
        <f t="shared" si="1029"/>
        <v>0.78949051019708028</v>
      </c>
      <c r="BT111" s="163">
        <f t="shared" si="1029"/>
        <v>0.78098287724179449</v>
      </c>
      <c r="BU111" s="163">
        <f t="shared" si="1029"/>
        <v>0.61715687121089791</v>
      </c>
      <c r="BV111" s="163">
        <f t="shared" si="1029"/>
        <v>0.66833579241969077</v>
      </c>
      <c r="BW111" s="163">
        <f t="shared" si="1029"/>
        <v>0.42590259968137689</v>
      </c>
      <c r="BX111" s="163">
        <f t="shared" si="1029"/>
        <v>0.48880762009390161</v>
      </c>
      <c r="BY111" s="163">
        <f t="shared" si="1029"/>
        <v>0.56273877403668549</v>
      </c>
      <c r="BZ111" s="163">
        <f t="shared" si="1029"/>
        <v>0.5356730595416882</v>
      </c>
      <c r="CA111" s="163">
        <f t="shared" si="1029"/>
        <v>0.58356772676823432</v>
      </c>
      <c r="CB111" s="163">
        <f t="shared" si="1029"/>
        <v>0.68413410630002491</v>
      </c>
      <c r="CC111" s="163">
        <f t="shared" si="1029"/>
        <v>0.74543413885779775</v>
      </c>
      <c r="CD111" s="163">
        <f t="shared" si="1029"/>
        <v>0.84860685991468909</v>
      </c>
      <c r="CE111" s="163">
        <f t="shared" si="1029"/>
        <v>0.96704002107171805</v>
      </c>
      <c r="CF111" s="163">
        <f t="shared" si="1029"/>
        <v>0.94366675350462081</v>
      </c>
      <c r="CG111" s="163">
        <f t="shared" si="1029"/>
        <v>0.77946758567679519</v>
      </c>
      <c r="CH111" s="163">
        <f t="shared" si="1029"/>
        <v>0.88045854328295214</v>
      </c>
      <c r="CI111" s="163">
        <f t="shared" si="1029"/>
        <v>0.91854915002237392</v>
      </c>
      <c r="CJ111" s="163">
        <f t="shared" si="1029"/>
        <v>0.94907997345646222</v>
      </c>
      <c r="CK111" s="163">
        <f t="shared" ref="CK111:CL111" si="1030">+CK86/CK108</f>
        <v>0.99783929763978452</v>
      </c>
      <c r="CL111" s="163">
        <f t="shared" si="1030"/>
        <v>1.0306670709055927</v>
      </c>
      <c r="CM111" s="50">
        <f t="shared" ref="CM111:DB111" si="1031">+CM86/CM108</f>
        <v>1.1102166060967684</v>
      </c>
      <c r="CN111" s="50">
        <f t="shared" si="1031"/>
        <v>1.0976152909445376</v>
      </c>
      <c r="CO111" s="50">
        <f t="shared" si="1031"/>
        <v>1.0550733421043714</v>
      </c>
      <c r="CP111" s="50">
        <f t="shared" si="1031"/>
        <v>1.0188091058065818</v>
      </c>
      <c r="CQ111" s="50">
        <f t="shared" si="1031"/>
        <v>1.0048700585285295</v>
      </c>
      <c r="CR111" s="50">
        <f t="shared" si="1031"/>
        <v>0.99081481672387639</v>
      </c>
      <c r="CS111" s="50">
        <f t="shared" si="1031"/>
        <v>0.97510516855989837</v>
      </c>
      <c r="CT111" s="50">
        <f t="shared" si="1031"/>
        <v>0.96482146774019117</v>
      </c>
      <c r="CU111" s="50">
        <f t="shared" si="1031"/>
        <v>0.95057274841743011</v>
      </c>
      <c r="CV111" s="50">
        <f t="shared" si="1031"/>
        <v>0.93546897912557392</v>
      </c>
      <c r="CW111" s="50">
        <f t="shared" si="1031"/>
        <v>0.91909473424576915</v>
      </c>
      <c r="CX111" s="50">
        <f t="shared" si="1031"/>
        <v>0.90201455396715491</v>
      </c>
      <c r="CY111" s="50">
        <f t="shared" si="1031"/>
        <v>0.88828009043702993</v>
      </c>
      <c r="CZ111" s="50">
        <f t="shared" si="1031"/>
        <v>0.87384524316485201</v>
      </c>
      <c r="DA111" s="50">
        <f t="shared" si="1031"/>
        <v>0.85853195849373776</v>
      </c>
      <c r="DB111" s="50">
        <f t="shared" si="1031"/>
        <v>0.84288127695210135</v>
      </c>
      <c r="DE111" s="106"/>
      <c r="DF111" s="163">
        <v>1.0324817985682151</v>
      </c>
    </row>
    <row r="112" spans="1:110" s="163" customFormat="1" hidden="1" outlineLevel="1" x14ac:dyDescent="0.2">
      <c r="A112" s="163" t="s">
        <v>508</v>
      </c>
      <c r="E112" s="163" t="e">
        <f t="shared" ca="1" si="1026"/>
        <v>#DIV/0!</v>
      </c>
      <c r="F112" s="163" t="e">
        <f t="shared" ca="1" si="1026"/>
        <v>#DIV/0!</v>
      </c>
      <c r="G112" s="163" t="e">
        <f t="shared" ca="1" si="1026"/>
        <v>#DIV/0!</v>
      </c>
      <c r="H112" s="163" t="e">
        <f t="shared" ca="1" si="1026"/>
        <v>#DIV/0!</v>
      </c>
      <c r="I112" s="163" t="e">
        <f t="shared" ca="1" si="1026"/>
        <v>#DIV/0!</v>
      </c>
      <c r="J112" s="163" t="e">
        <f t="shared" ca="1" si="1026"/>
        <v>#DIV/0!</v>
      </c>
      <c r="K112" s="163" t="e">
        <f t="shared" ca="1" si="1026"/>
        <v>#DIV/0!</v>
      </c>
      <c r="L112" s="163" t="e">
        <f t="shared" ca="1" si="1026"/>
        <v>#DIV/0!</v>
      </c>
      <c r="M112" s="163" t="e">
        <f t="shared" ca="1" si="1026"/>
        <v>#DIV/0!</v>
      </c>
      <c r="N112" s="163" t="e">
        <f t="shared" ca="1" si="1026"/>
        <v>#DIV/0!</v>
      </c>
      <c r="O112" s="163" t="e">
        <f t="shared" ca="1" si="1026"/>
        <v>#DIV/0!</v>
      </c>
      <c r="P112" s="163" t="e">
        <f t="shared" ca="1" si="1026"/>
        <v>#DIV/0!</v>
      </c>
      <c r="Q112" s="163" t="e">
        <f t="shared" ca="1" si="1026"/>
        <v>#DIV/0!</v>
      </c>
      <c r="R112" s="163" t="e">
        <f t="shared" ca="1" si="1026"/>
        <v>#DIV/0!</v>
      </c>
      <c r="S112" s="163" t="e">
        <f t="shared" ca="1" si="1026"/>
        <v>#DIV/0!</v>
      </c>
      <c r="T112" s="163" t="e">
        <f t="shared" ca="1" si="1026"/>
        <v>#DIV/0!</v>
      </c>
      <c r="U112" s="163" t="e">
        <f t="shared" ca="1" si="1026"/>
        <v>#DIV/0!</v>
      </c>
      <c r="V112" s="163" t="e">
        <f t="shared" ca="1" si="1026"/>
        <v>#DIV/0!</v>
      </c>
      <c r="W112" s="163" t="e">
        <f t="shared" ca="1" si="1026"/>
        <v>#DIV/0!</v>
      </c>
      <c r="X112" s="163" t="e">
        <f t="shared" ca="1" si="1026"/>
        <v>#DIV/0!</v>
      </c>
      <c r="Y112" s="163" t="e">
        <f t="shared" ca="1" si="1026"/>
        <v>#DIV/0!</v>
      </c>
      <c r="Z112" s="163" t="e">
        <f t="shared" ref="Z112:AA113" ca="1" si="1032">+Z87/Z$108</f>
        <v>#DIV/0!</v>
      </c>
      <c r="AA112" s="163" t="e">
        <f t="shared" ca="1" si="1032"/>
        <v>#DIV/0!</v>
      </c>
      <c r="AB112" s="94" t="e">
        <f t="shared" ca="1" si="1026"/>
        <v>#DIV/0!</v>
      </c>
      <c r="AC112" s="94" t="e">
        <f t="shared" ca="1" si="1026"/>
        <v>#DIV/0!</v>
      </c>
      <c r="AD112" s="94" t="e">
        <f t="shared" ca="1" si="1026"/>
        <v>#DIV/0!</v>
      </c>
      <c r="AE112" s="94" t="e">
        <f t="shared" ca="1" si="1026"/>
        <v>#DIV/0!</v>
      </c>
      <c r="AL112" s="163">
        <f t="shared" ref="AL112:BQ112" si="1033">+AL87/AL108</f>
        <v>0.39534736350349808</v>
      </c>
      <c r="AM112" s="163">
        <f t="shared" si="1033"/>
        <v>0.29065276432547443</v>
      </c>
      <c r="AN112" s="163">
        <f t="shared" si="1033"/>
        <v>0.27770056544212113</v>
      </c>
      <c r="AO112" s="163">
        <f t="shared" si="1033"/>
        <v>0.36435728802390888</v>
      </c>
      <c r="AP112" s="163">
        <f t="shared" si="1033"/>
        <v>0.3482079803128581</v>
      </c>
      <c r="AQ112" s="163">
        <f t="shared" si="1033"/>
        <v>0.45172055650000142</v>
      </c>
      <c r="AR112" s="163">
        <f t="shared" si="1033"/>
        <v>0.45061984189386267</v>
      </c>
      <c r="AS112" s="163">
        <f t="shared" si="1033"/>
        <v>0.39704216699634287</v>
      </c>
      <c r="AT112" s="163">
        <f t="shared" si="1033"/>
        <v>0.35884859211778991</v>
      </c>
      <c r="AU112" s="163">
        <f t="shared" si="1033"/>
        <v>0.34830275774883318</v>
      </c>
      <c r="AV112" s="163">
        <f t="shared" si="1033"/>
        <v>0.30037156555852079</v>
      </c>
      <c r="AW112" s="163">
        <f t="shared" si="1033"/>
        <v>0.27537363338049736</v>
      </c>
      <c r="AX112" s="163">
        <f t="shared" si="1033"/>
        <v>0.35753475028007675</v>
      </c>
      <c r="AY112" s="163">
        <f t="shared" si="1033"/>
        <v>0.40728472066222987</v>
      </c>
      <c r="AZ112" s="163">
        <f t="shared" si="1033"/>
        <v>0.45834014870791739</v>
      </c>
      <c r="BA112" s="163">
        <f t="shared" si="1033"/>
        <v>0.47993300092798058</v>
      </c>
      <c r="BB112" s="163">
        <f t="shared" si="1033"/>
        <v>0.51465370248874687</v>
      </c>
      <c r="BC112" s="163">
        <f t="shared" si="1033"/>
        <v>0.53085480533817853</v>
      </c>
      <c r="BD112" s="163">
        <f t="shared" si="1033"/>
        <v>0.64795095303346184</v>
      </c>
      <c r="BE112" s="163">
        <f t="shared" si="1033"/>
        <v>0.66925359212387669</v>
      </c>
      <c r="BF112" s="163">
        <f t="shared" si="1033"/>
        <v>0.72132061731593355</v>
      </c>
      <c r="BG112" s="163">
        <f t="shared" si="1033"/>
        <v>0.58748188659482192</v>
      </c>
      <c r="BH112" s="163">
        <f t="shared" si="1033"/>
        <v>0.56200581707628872</v>
      </c>
      <c r="BI112" s="163">
        <f t="shared" si="1033"/>
        <v>0.51086772771942945</v>
      </c>
      <c r="BJ112" s="163">
        <f t="shared" si="1033"/>
        <v>0.42074769050957272</v>
      </c>
      <c r="BK112" s="163">
        <f t="shared" si="1033"/>
        <v>0.44206559478974494</v>
      </c>
      <c r="BL112" s="163">
        <f t="shared" si="1033"/>
        <v>0.42299255164701494</v>
      </c>
      <c r="BM112" s="163">
        <f t="shared" si="1033"/>
        <v>0.39993210775254029</v>
      </c>
      <c r="BN112" s="163">
        <f t="shared" si="1033"/>
        <v>0.4442909535650254</v>
      </c>
      <c r="BO112" s="163">
        <f t="shared" si="1033"/>
        <v>0.33223421967560068</v>
      </c>
      <c r="BP112" s="163">
        <f t="shared" si="1033"/>
        <v>0.40719010970968689</v>
      </c>
      <c r="BQ112" s="163">
        <f t="shared" si="1033"/>
        <v>0.57246280390764082</v>
      </c>
      <c r="BR112" s="163">
        <f t="shared" ref="BR112:CJ112" si="1034">+BR87/BR108</f>
        <v>0.65691246673765702</v>
      </c>
      <c r="BS112" s="163">
        <f t="shared" si="1034"/>
        <v>0.84358466650702302</v>
      </c>
      <c r="BT112" s="163">
        <f t="shared" si="1034"/>
        <v>0.93011239254608513</v>
      </c>
      <c r="BU112" s="163">
        <f t="shared" si="1034"/>
        <v>0.7918930541799214</v>
      </c>
      <c r="BV112" s="163">
        <f t="shared" si="1034"/>
        <v>0.69858104862383341</v>
      </c>
      <c r="BW112" s="163">
        <f t="shared" si="1034"/>
        <v>0.68101675853083654</v>
      </c>
      <c r="BX112" s="163">
        <f t="shared" si="1034"/>
        <v>0.56018436220227597</v>
      </c>
      <c r="BY112" s="163">
        <f t="shared" si="1034"/>
        <v>0.57972334422509852</v>
      </c>
      <c r="BZ112" s="163">
        <f t="shared" si="1034"/>
        <v>0.63716900766537654</v>
      </c>
      <c r="CA112" s="163">
        <f t="shared" si="1034"/>
        <v>0.60180421822974162</v>
      </c>
      <c r="CB112" s="163">
        <f t="shared" si="1034"/>
        <v>0.71515879251595627</v>
      </c>
      <c r="CC112" s="163">
        <f t="shared" si="1034"/>
        <v>0.75451828248545549</v>
      </c>
      <c r="CD112" s="163">
        <f t="shared" si="1034"/>
        <v>0.86820265655159012</v>
      </c>
      <c r="CE112" s="163">
        <f t="shared" si="1034"/>
        <v>1.0259516545393055</v>
      </c>
      <c r="CF112" s="163">
        <f t="shared" si="1034"/>
        <v>0.9980067209073803</v>
      </c>
      <c r="CG112" s="163">
        <f t="shared" si="1034"/>
        <v>0.95923617802875705</v>
      </c>
      <c r="CH112" s="163">
        <f t="shared" si="1034"/>
        <v>0.91385032596175442</v>
      </c>
      <c r="CI112" s="163">
        <f t="shared" si="1034"/>
        <v>0.9521861611499538</v>
      </c>
      <c r="CJ112" s="163">
        <f t="shared" si="1034"/>
        <v>0.98086599509267458</v>
      </c>
      <c r="CK112" s="163">
        <f t="shared" ref="CK112:CL112" si="1035">+CK87/CK108</f>
        <v>1.0363562824695345</v>
      </c>
      <c r="CL112" s="163">
        <f t="shared" si="1035"/>
        <v>1.1633963548021939</v>
      </c>
      <c r="CM112" s="94">
        <f t="shared" ref="CM112:DB112" si="1036">+CM87/CM108</f>
        <v>1.2175401384344291</v>
      </c>
      <c r="CN112" s="94">
        <f t="shared" si="1036"/>
        <v>1.2735835943439322</v>
      </c>
      <c r="CO112" s="94">
        <f t="shared" si="1036"/>
        <v>1.3557623844085975</v>
      </c>
      <c r="CP112" s="94">
        <f t="shared" si="1036"/>
        <v>1.429691238735717</v>
      </c>
      <c r="CQ112" s="94">
        <f t="shared" si="1036"/>
        <v>1.4483256242228852</v>
      </c>
      <c r="CR112" s="94">
        <f t="shared" si="1036"/>
        <v>1.4830193113275429</v>
      </c>
      <c r="CS112" s="94">
        <f t="shared" si="1036"/>
        <v>1.5261863065875789</v>
      </c>
      <c r="CT112" s="94">
        <f t="shared" si="1036"/>
        <v>1.5595046409941409</v>
      </c>
      <c r="CU112" s="94">
        <f t="shared" si="1036"/>
        <v>1.5892478253263047</v>
      </c>
      <c r="CV112" s="94">
        <f t="shared" si="1036"/>
        <v>1.6335856454666409</v>
      </c>
      <c r="CW112" s="94">
        <f t="shared" si="1036"/>
        <v>1.6778671395794733</v>
      </c>
      <c r="CX112" s="94">
        <f t="shared" si="1036"/>
        <v>1.7153756999466019</v>
      </c>
      <c r="CY112" s="94">
        <f t="shared" si="1036"/>
        <v>1.7383113406104551</v>
      </c>
      <c r="CZ112" s="94">
        <f t="shared" si="1036"/>
        <v>1.7781137016982838</v>
      </c>
      <c r="DA112" s="94">
        <f t="shared" si="1036"/>
        <v>1.820331720482167</v>
      </c>
      <c r="DB112" s="94">
        <f t="shared" si="1036"/>
        <v>1.8612180736175756</v>
      </c>
      <c r="DE112" s="164"/>
      <c r="DF112" s="163">
        <v>1.1654447830553627</v>
      </c>
    </row>
    <row r="113" spans="1:110" s="163" customFormat="1" hidden="1" outlineLevel="1" x14ac:dyDescent="0.2">
      <c r="A113" s="163" t="s">
        <v>509</v>
      </c>
      <c r="E113" s="163" t="e">
        <f t="shared" ca="1" si="1026"/>
        <v>#DIV/0!</v>
      </c>
      <c r="F113" s="163" t="e">
        <f t="shared" ca="1" si="1026"/>
        <v>#DIV/0!</v>
      </c>
      <c r="G113" s="163" t="e">
        <f t="shared" ca="1" si="1026"/>
        <v>#DIV/0!</v>
      </c>
      <c r="H113" s="163" t="e">
        <f t="shared" ca="1" si="1026"/>
        <v>#DIV/0!</v>
      </c>
      <c r="I113" s="163" t="e">
        <f t="shared" ca="1" si="1026"/>
        <v>#DIV/0!</v>
      </c>
      <c r="J113" s="163" t="e">
        <f t="shared" ca="1" si="1026"/>
        <v>#DIV/0!</v>
      </c>
      <c r="K113" s="163" t="e">
        <f t="shared" ca="1" si="1026"/>
        <v>#DIV/0!</v>
      </c>
      <c r="L113" s="163" t="e">
        <f t="shared" ca="1" si="1026"/>
        <v>#DIV/0!</v>
      </c>
      <c r="M113" s="163" t="e">
        <f t="shared" ca="1" si="1026"/>
        <v>#DIV/0!</v>
      </c>
      <c r="N113" s="163" t="e">
        <f t="shared" ca="1" si="1026"/>
        <v>#DIV/0!</v>
      </c>
      <c r="O113" s="163" t="e">
        <f t="shared" ca="1" si="1026"/>
        <v>#DIV/0!</v>
      </c>
      <c r="P113" s="163" t="e">
        <f t="shared" ca="1" si="1026"/>
        <v>#DIV/0!</v>
      </c>
      <c r="Q113" s="163" t="e">
        <f t="shared" ca="1" si="1026"/>
        <v>#DIV/0!</v>
      </c>
      <c r="R113" s="163" t="e">
        <f t="shared" ca="1" si="1026"/>
        <v>#DIV/0!</v>
      </c>
      <c r="S113" s="163" t="e">
        <f t="shared" ca="1" si="1026"/>
        <v>#DIV/0!</v>
      </c>
      <c r="T113" s="163" t="e">
        <f t="shared" ca="1" si="1026"/>
        <v>#DIV/0!</v>
      </c>
      <c r="U113" s="163" t="e">
        <f t="shared" ca="1" si="1026"/>
        <v>#DIV/0!</v>
      </c>
      <c r="V113" s="163" t="e">
        <f t="shared" ca="1" si="1026"/>
        <v>#DIV/0!</v>
      </c>
      <c r="W113" s="163" t="e">
        <f t="shared" ca="1" si="1026"/>
        <v>#DIV/0!</v>
      </c>
      <c r="X113" s="163" t="e">
        <f t="shared" ca="1" si="1026"/>
        <v>#DIV/0!</v>
      </c>
      <c r="Y113" s="163" t="e">
        <f t="shared" ca="1" si="1026"/>
        <v>#DIV/0!</v>
      </c>
      <c r="Z113" s="163" t="e">
        <f t="shared" ca="1" si="1032"/>
        <v>#DIV/0!</v>
      </c>
      <c r="AA113" s="163" t="e">
        <f t="shared" ca="1" si="1032"/>
        <v>#DIV/0!</v>
      </c>
      <c r="AB113" s="94" t="e">
        <f t="shared" ca="1" si="1026"/>
        <v>#DIV/0!</v>
      </c>
      <c r="AC113" s="94" t="e">
        <f t="shared" ca="1" si="1026"/>
        <v>#DIV/0!</v>
      </c>
      <c r="AD113" s="94" t="e">
        <f t="shared" ca="1" si="1026"/>
        <v>#DIV/0!</v>
      </c>
      <c r="AE113" s="94" t="e">
        <f t="shared" ca="1" si="1026"/>
        <v>#DIV/0!</v>
      </c>
      <c r="AL113" s="163">
        <f t="shared" ref="AL113:BQ113" si="1037">+AL88/AL108</f>
        <v>0.26543239078336878</v>
      </c>
      <c r="AM113" s="163">
        <f t="shared" si="1037"/>
        <v>0.23251332163733879</v>
      </c>
      <c r="AN113" s="163">
        <f t="shared" si="1037"/>
        <v>0.17050334795723626</v>
      </c>
      <c r="AO113" s="163">
        <f t="shared" si="1037"/>
        <v>0.22701125762230759</v>
      </c>
      <c r="AP113" s="163">
        <f t="shared" si="1037"/>
        <v>0.26567453160296606</v>
      </c>
      <c r="AQ113" s="163">
        <f t="shared" si="1037"/>
        <v>0.30155040606312733</v>
      </c>
      <c r="AR113" s="163">
        <f t="shared" si="1037"/>
        <v>0.35419865948479046</v>
      </c>
      <c r="AS113" s="163">
        <f t="shared" si="1037"/>
        <v>0.3102668498605578</v>
      </c>
      <c r="AT113" s="163">
        <f t="shared" si="1037"/>
        <v>0.26521739488667601</v>
      </c>
      <c r="AU113" s="163">
        <f t="shared" si="1037"/>
        <v>0.26068312855459985</v>
      </c>
      <c r="AV113" s="163">
        <f t="shared" si="1037"/>
        <v>0.19360075124622708</v>
      </c>
      <c r="AW113" s="163">
        <f t="shared" si="1037"/>
        <v>0.21760981206857002</v>
      </c>
      <c r="AX113" s="163">
        <f t="shared" si="1037"/>
        <v>0.23184622597569479</v>
      </c>
      <c r="AY113" s="163">
        <f t="shared" si="1037"/>
        <v>0.33262797178346026</v>
      </c>
      <c r="AZ113" s="163">
        <f t="shared" si="1037"/>
        <v>0.35006640488830021</v>
      </c>
      <c r="BA113" s="163">
        <f t="shared" si="1037"/>
        <v>0.39845650938917554</v>
      </c>
      <c r="BB113" s="163">
        <f t="shared" si="1037"/>
        <v>0.39369565853672545</v>
      </c>
      <c r="BC113" s="163">
        <f t="shared" si="1037"/>
        <v>0.41576183318594534</v>
      </c>
      <c r="BD113" s="163">
        <f t="shared" si="1037"/>
        <v>0.50413756226614748</v>
      </c>
      <c r="BE113" s="163">
        <f t="shared" si="1037"/>
        <v>0.58824365237730392</v>
      </c>
      <c r="BF113" s="163">
        <f t="shared" si="1037"/>
        <v>0.5292986514268071</v>
      </c>
      <c r="BG113" s="163">
        <f t="shared" si="1037"/>
        <v>0.49543105507902158</v>
      </c>
      <c r="BH113" s="163">
        <f t="shared" si="1037"/>
        <v>0.42886944599837401</v>
      </c>
      <c r="BI113" s="163">
        <f t="shared" si="1037"/>
        <v>0.40777294528949209</v>
      </c>
      <c r="BJ113" s="163">
        <f t="shared" si="1037"/>
        <v>0.34977915376886443</v>
      </c>
      <c r="BK113" s="163">
        <f t="shared" si="1037"/>
        <v>0.35934840443781357</v>
      </c>
      <c r="BL113" s="163">
        <f t="shared" si="1037"/>
        <v>0.26497124483454093</v>
      </c>
      <c r="BM113" s="163">
        <f t="shared" si="1037"/>
        <v>0.26911397922928293</v>
      </c>
      <c r="BN113" s="163">
        <f t="shared" si="1037"/>
        <v>0.22032335260295458</v>
      </c>
      <c r="BO113" s="163">
        <f t="shared" si="1037"/>
        <v>0.23800085846642757</v>
      </c>
      <c r="BP113" s="163">
        <f t="shared" si="1037"/>
        <v>0.29409449050581327</v>
      </c>
      <c r="BQ113" s="163">
        <f t="shared" si="1037"/>
        <v>0.31698824324749586</v>
      </c>
      <c r="BR113" s="163">
        <f t="shared" ref="BR113:CJ113" si="1038">+BR88/BR108</f>
        <v>0.47567322879862162</v>
      </c>
      <c r="BS113" s="163">
        <f t="shared" si="1038"/>
        <v>0.55389844982031944</v>
      </c>
      <c r="BT113" s="163">
        <f t="shared" si="1038"/>
        <v>0.68518966491160505</v>
      </c>
      <c r="BU113" s="163">
        <f t="shared" si="1038"/>
        <v>0.59067159657593626</v>
      </c>
      <c r="BV113" s="163">
        <f t="shared" si="1038"/>
        <v>0.54288061727706327</v>
      </c>
      <c r="BW113" s="163">
        <f t="shared" si="1038"/>
        <v>0.40632567068050846</v>
      </c>
      <c r="BX113" s="163">
        <f t="shared" si="1038"/>
        <v>0.41265602006517393</v>
      </c>
      <c r="BY113" s="163">
        <f t="shared" si="1038"/>
        <v>0.48955525837190572</v>
      </c>
      <c r="BZ113" s="163">
        <f t="shared" si="1038"/>
        <v>0.52106379428146044</v>
      </c>
      <c r="CA113" s="163">
        <f t="shared" si="1038"/>
        <v>0.53797649811446602</v>
      </c>
      <c r="CB113" s="163">
        <f t="shared" si="1038"/>
        <v>0.59026454287746333</v>
      </c>
      <c r="CC113" s="163">
        <f t="shared" si="1038"/>
        <v>0.61050788791758703</v>
      </c>
      <c r="CD113" s="163">
        <f t="shared" si="1038"/>
        <v>0.69728376366306388</v>
      </c>
      <c r="CE113" s="163">
        <f t="shared" si="1038"/>
        <v>0.82337344322859218</v>
      </c>
      <c r="CF113" s="163">
        <f t="shared" si="1038"/>
        <v>0.79745302678173213</v>
      </c>
      <c r="CG113" s="163">
        <f t="shared" si="1038"/>
        <v>0.76789692274676324</v>
      </c>
      <c r="CH113" s="163">
        <f t="shared" si="1038"/>
        <v>0.69980043699507244</v>
      </c>
      <c r="CI113" s="163">
        <f t="shared" si="1038"/>
        <v>0.71413962086246541</v>
      </c>
      <c r="CJ113" s="163">
        <f t="shared" si="1038"/>
        <v>0.85822258417773167</v>
      </c>
      <c r="CK113" s="163">
        <f t="shared" ref="CK113:CL113" si="1039">+CK88/CK108</f>
        <v>0.88672195291510969</v>
      </c>
      <c r="CL113" s="163">
        <f t="shared" si="1039"/>
        <v>0.952480387476623</v>
      </c>
      <c r="CM113" s="94">
        <f t="shared" ref="CM113:DB113" si="1040">+CM88/CM108</f>
        <v>0.99919469767434455</v>
      </c>
      <c r="CN113" s="94">
        <f t="shared" si="1040"/>
        <v>1.0495054584084991</v>
      </c>
      <c r="CO113" s="94">
        <f t="shared" si="1040"/>
        <v>1.1230555673858584</v>
      </c>
      <c r="CP113" s="94">
        <f t="shared" si="1040"/>
        <v>1.1897324876124518</v>
      </c>
      <c r="CQ113" s="94">
        <f t="shared" si="1040"/>
        <v>1.2048710067962194</v>
      </c>
      <c r="CR113" s="94">
        <f t="shared" si="1040"/>
        <v>1.2367510873560419</v>
      </c>
      <c r="CS113" s="94">
        <f t="shared" si="1040"/>
        <v>1.2765404082692846</v>
      </c>
      <c r="CT113" s="94">
        <f t="shared" si="1040"/>
        <v>1.3077183118401812</v>
      </c>
      <c r="CU113" s="94">
        <f t="shared" si="1040"/>
        <v>1.3363099327832748</v>
      </c>
      <c r="CV113" s="94">
        <f t="shared" si="1040"/>
        <v>1.3800348548333199</v>
      </c>
      <c r="CW113" s="94">
        <f t="shared" si="1040"/>
        <v>1.4242320383633138</v>
      </c>
      <c r="CX113" s="94">
        <f t="shared" si="1040"/>
        <v>1.4624901703661366</v>
      </c>
      <c r="CY113" s="94">
        <f t="shared" si="1040"/>
        <v>1.4851333939363227</v>
      </c>
      <c r="CZ113" s="94">
        <f t="shared" si="1040"/>
        <v>1.5248529925873389</v>
      </c>
      <c r="DA113" s="94">
        <f t="shared" si="1040"/>
        <v>1.56712441079858</v>
      </c>
      <c r="DB113" s="94">
        <f t="shared" si="1040"/>
        <v>1.6081024418881698</v>
      </c>
      <c r="DE113" s="164"/>
      <c r="DF113" s="163">
        <v>0.95415744940675762</v>
      </c>
    </row>
    <row r="114" spans="1:110" s="4" customFormat="1" collapsed="1" x14ac:dyDescent="0.2">
      <c r="A114" s="3"/>
      <c r="AB114" s="17"/>
      <c r="AC114" s="17"/>
      <c r="AD114" s="17"/>
      <c r="AE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  <c r="DA114" s="17"/>
      <c r="DB114" s="17"/>
      <c r="DE114" s="119"/>
    </row>
    <row r="115" spans="1:110" s="4" customFormat="1" x14ac:dyDescent="0.2">
      <c r="A115" s="3"/>
      <c r="AB115" s="17"/>
      <c r="AC115" s="17"/>
      <c r="AD115" s="17"/>
      <c r="AE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E115" s="119"/>
    </row>
    <row r="116" spans="1:110" s="162" customFormat="1" x14ac:dyDescent="0.2">
      <c r="A116" s="49" t="s">
        <v>340</v>
      </c>
      <c r="B116" s="162">
        <f t="shared" ref="B116:AE116" si="1041">+B87*B74</f>
        <v>348.70771425238456</v>
      </c>
      <c r="C116" s="162">
        <f t="shared" si="1041"/>
        <v>308.55161571947207</v>
      </c>
      <c r="D116" s="162">
        <f t="shared" si="1041"/>
        <v>337.55897738463523</v>
      </c>
      <c r="E116" s="162" t="e">
        <f t="shared" ca="1" si="1041"/>
        <v>#DIV/0!</v>
      </c>
      <c r="F116" s="162" t="e">
        <f t="shared" ca="1" si="1041"/>
        <v>#DIV/0!</v>
      </c>
      <c r="G116" s="162" t="e">
        <f t="shared" ca="1" si="1041"/>
        <v>#DIV/0!</v>
      </c>
      <c r="H116" s="162" t="e">
        <f t="shared" ca="1" si="1041"/>
        <v>#DIV/0!</v>
      </c>
      <c r="I116" s="162" t="e">
        <f t="shared" ca="1" si="1041"/>
        <v>#DIV/0!</v>
      </c>
      <c r="J116" s="162" t="e">
        <f t="shared" ca="1" si="1041"/>
        <v>#DIV/0!</v>
      </c>
      <c r="K116" s="162" t="e">
        <f t="shared" ca="1" si="1041"/>
        <v>#DIV/0!</v>
      </c>
      <c r="L116" s="162" t="e">
        <f t="shared" ca="1" si="1041"/>
        <v>#DIV/0!</v>
      </c>
      <c r="M116" s="162" t="e">
        <f t="shared" ca="1" si="1041"/>
        <v>#DIV/0!</v>
      </c>
      <c r="N116" s="162" t="e">
        <f t="shared" ca="1" si="1041"/>
        <v>#DIV/0!</v>
      </c>
      <c r="O116" s="162" t="e">
        <f t="shared" ca="1" si="1041"/>
        <v>#DIV/0!</v>
      </c>
      <c r="P116" s="162" t="e">
        <f t="shared" ca="1" si="1041"/>
        <v>#DIV/0!</v>
      </c>
      <c r="Q116" s="162" t="e">
        <f t="shared" ca="1" si="1041"/>
        <v>#DIV/0!</v>
      </c>
      <c r="R116" s="162" t="e">
        <f t="shared" ca="1" si="1041"/>
        <v>#DIV/0!</v>
      </c>
      <c r="S116" s="162" t="e">
        <f t="shared" ca="1" si="1041"/>
        <v>#DIV/0!</v>
      </c>
      <c r="T116" s="162" t="e">
        <f t="shared" ca="1" si="1041"/>
        <v>#DIV/0!</v>
      </c>
      <c r="U116" s="162" t="e">
        <f t="shared" ca="1" si="1041"/>
        <v>#DIV/0!</v>
      </c>
      <c r="V116" s="162" t="e">
        <f t="shared" ca="1" si="1041"/>
        <v>#DIV/0!</v>
      </c>
      <c r="W116" s="162" t="e">
        <f t="shared" ca="1" si="1041"/>
        <v>#DIV/0!</v>
      </c>
      <c r="X116" s="162" t="e">
        <f t="shared" ca="1" si="1041"/>
        <v>#DIV/0!</v>
      </c>
      <c r="Y116" s="162" t="e">
        <f t="shared" ca="1" si="1041"/>
        <v>#DIV/0!</v>
      </c>
      <c r="Z116" s="162" t="e">
        <f t="shared" ca="1" si="1041"/>
        <v>#DIV/0!</v>
      </c>
      <c r="AA116" s="162" t="e">
        <f t="shared" ref="AA116" ca="1" si="1042">+AA87*AA74</f>
        <v>#DIV/0!</v>
      </c>
      <c r="AB116" s="21" t="e">
        <f t="shared" ca="1" si="1041"/>
        <v>#DIV/0!</v>
      </c>
      <c r="AC116" s="21" t="e">
        <f t="shared" ca="1" si="1041"/>
        <v>#DIV/0!</v>
      </c>
      <c r="AD116" s="21" t="e">
        <f t="shared" ca="1" si="1041"/>
        <v>#DIV/0!</v>
      </c>
      <c r="AE116" s="21" t="e">
        <f t="shared" ca="1" si="1041"/>
        <v>#DIV/0!</v>
      </c>
      <c r="AL116" s="162">
        <f t="shared" ref="AL116:BQ116" si="1043">+AL87*AL74</f>
        <v>53257.852172496023</v>
      </c>
      <c r="AM116" s="162">
        <f t="shared" si="1043"/>
        <v>38858.859111353668</v>
      </c>
      <c r="AN116" s="162">
        <f t="shared" si="1043"/>
        <v>37824.841450338965</v>
      </c>
      <c r="AO116" s="162">
        <f t="shared" si="1043"/>
        <v>51314.612085416593</v>
      </c>
      <c r="AP116" s="162">
        <f t="shared" si="1043"/>
        <v>51748.424092623951</v>
      </c>
      <c r="AQ116" s="162">
        <f t="shared" si="1043"/>
        <v>68768.117087717517</v>
      </c>
      <c r="AR116" s="162">
        <f t="shared" si="1043"/>
        <v>68209.509845560169</v>
      </c>
      <c r="AS116" s="162">
        <f t="shared" si="1043"/>
        <v>58867.695115012975</v>
      </c>
      <c r="AT116" s="162">
        <f t="shared" si="1043"/>
        <v>50060.717105680298</v>
      </c>
      <c r="AU116" s="162">
        <f t="shared" si="1043"/>
        <v>45663.170731249636</v>
      </c>
      <c r="AV116" s="162">
        <f t="shared" si="1043"/>
        <v>36879.963242859922</v>
      </c>
      <c r="AW116" s="162">
        <f t="shared" si="1043"/>
        <v>31644.506005193176</v>
      </c>
      <c r="AX116" s="162">
        <f t="shared" si="1043"/>
        <v>38728.121246167881</v>
      </c>
      <c r="AY116" s="162">
        <f t="shared" si="1043"/>
        <v>43280.176006727168</v>
      </c>
      <c r="AZ116" s="162">
        <f t="shared" si="1043"/>
        <v>48551.289025808102</v>
      </c>
      <c r="BA116" s="162">
        <f t="shared" si="1043"/>
        <v>52402.113418552777</v>
      </c>
      <c r="BB116" s="162">
        <f t="shared" si="1043"/>
        <v>60430.606867006514</v>
      </c>
      <c r="BC116" s="162">
        <f t="shared" si="1043"/>
        <v>64988.604257801489</v>
      </c>
      <c r="BD116" s="162">
        <f t="shared" si="1043"/>
        <v>82786.781813773981</v>
      </c>
      <c r="BE116" s="162">
        <f t="shared" si="1043"/>
        <v>88467.936319119442</v>
      </c>
      <c r="BF116" s="162">
        <f t="shared" si="1043"/>
        <v>94196.631866350712</v>
      </c>
      <c r="BG116" s="162">
        <f t="shared" si="1043"/>
        <v>79374.607200000013</v>
      </c>
      <c r="BH116" s="162">
        <f t="shared" si="1043"/>
        <v>80671.944800000012</v>
      </c>
      <c r="BI116" s="162">
        <f t="shared" si="1043"/>
        <v>76093.84</v>
      </c>
      <c r="BJ116" s="162">
        <f t="shared" si="1043"/>
        <v>66338.859200000006</v>
      </c>
      <c r="BK116" s="162">
        <f t="shared" si="1043"/>
        <v>69900.300399999993</v>
      </c>
      <c r="BL116" s="162">
        <f t="shared" si="1043"/>
        <v>64211.974000000002</v>
      </c>
      <c r="BM116" s="162">
        <f t="shared" si="1043"/>
        <v>59378.144000000008</v>
      </c>
      <c r="BN116" s="162">
        <f t="shared" si="1043"/>
        <v>63114.226800000004</v>
      </c>
      <c r="BO116" s="162">
        <f t="shared" si="1043"/>
        <v>43716.534800000001</v>
      </c>
      <c r="BP116" s="162">
        <f t="shared" si="1043"/>
        <v>55355.15</v>
      </c>
      <c r="BQ116" s="162">
        <f t="shared" si="1043"/>
        <v>81495.2552</v>
      </c>
      <c r="BR116" s="162">
        <f t="shared" ref="BR116:CJ116" si="1044">+BR87*BR74</f>
        <v>102726.68399999999</v>
      </c>
      <c r="BS116" s="162">
        <f t="shared" si="1044"/>
        <v>155530.81920000003</v>
      </c>
      <c r="BT116" s="162">
        <f t="shared" si="1044"/>
        <v>191432.14240000001</v>
      </c>
      <c r="BU116" s="162">
        <f t="shared" si="1044"/>
        <v>177909.8928</v>
      </c>
      <c r="BV116" s="162">
        <f t="shared" si="1044"/>
        <v>170425.25280000002</v>
      </c>
      <c r="BW116" s="162">
        <f t="shared" si="1044"/>
        <v>172926.37</v>
      </c>
      <c r="BX116" s="162">
        <f t="shared" si="1044"/>
        <v>141958.67199999999</v>
      </c>
      <c r="BY116" s="162">
        <f t="shared" si="1044"/>
        <v>144765.41200000001</v>
      </c>
      <c r="BZ116" s="162">
        <f t="shared" si="1044"/>
        <v>155056.79200000002</v>
      </c>
      <c r="CA116" s="162">
        <f t="shared" si="1044"/>
        <v>144079.32</v>
      </c>
      <c r="CB116" s="162">
        <f t="shared" si="1044"/>
        <v>168217.28400000001</v>
      </c>
      <c r="CC116" s="162">
        <f t="shared" si="1044"/>
        <v>176138.52799999999</v>
      </c>
      <c r="CD116" s="162">
        <f t="shared" si="1044"/>
        <v>198966.68000000002</v>
      </c>
      <c r="CE116" s="162">
        <f t="shared" si="1044"/>
        <v>230277.424</v>
      </c>
      <c r="CF116" s="162">
        <f t="shared" si="1044"/>
        <v>222231.43600000002</v>
      </c>
      <c r="CG116" s="162">
        <f t="shared" si="1044"/>
        <v>212002.42799999999</v>
      </c>
      <c r="CH116" s="162">
        <f t="shared" si="1044"/>
        <v>199715.144</v>
      </c>
      <c r="CI116" s="162">
        <f t="shared" si="1044"/>
        <v>206576.06400000001</v>
      </c>
      <c r="CJ116" s="162">
        <f t="shared" si="1044"/>
        <v>217491.16399999999</v>
      </c>
      <c r="CK116" s="162">
        <f t="shared" ref="CK116:CL116" si="1045">+CK87*CK74</f>
        <v>233271.28</v>
      </c>
      <c r="CL116" s="162">
        <f t="shared" si="1045"/>
        <v>270070.76</v>
      </c>
      <c r="CM116" s="21">
        <f t="shared" ref="CM116:DB116" si="1046">+CM119-CM118</f>
        <v>287286.04401078023</v>
      </c>
      <c r="CN116" s="21">
        <f t="shared" si="1046"/>
        <v>303959.88259954122</v>
      </c>
      <c r="CO116" s="21">
        <f t="shared" si="1046"/>
        <v>336619.98069349886</v>
      </c>
      <c r="CP116" s="21">
        <f t="shared" si="1046"/>
        <v>367610.91555191111</v>
      </c>
      <c r="CQ116" s="21">
        <f t="shared" si="1046"/>
        <v>377568.07786521711</v>
      </c>
      <c r="CR116" s="21">
        <f t="shared" si="1046"/>
        <v>392096.77881712333</v>
      </c>
      <c r="CS116" s="21">
        <f t="shared" si="1046"/>
        <v>410010.57179429667</v>
      </c>
      <c r="CT116" s="21">
        <f t="shared" si="1046"/>
        <v>423427.12328201806</v>
      </c>
      <c r="CU116" s="21">
        <f t="shared" si="1046"/>
        <v>437970.87094110274</v>
      </c>
      <c r="CV116" s="21">
        <f t="shared" si="1046"/>
        <v>457458.26514953369</v>
      </c>
      <c r="CW116" s="21">
        <f t="shared" si="1046"/>
        <v>478229.37765612284</v>
      </c>
      <c r="CX116" s="21">
        <f t="shared" si="1046"/>
        <v>498178.14278421772</v>
      </c>
      <c r="CY116" s="21">
        <f t="shared" si="1046"/>
        <v>512644.84663783375</v>
      </c>
      <c r="CZ116" s="21">
        <f t="shared" si="1046"/>
        <v>533045.10886018851</v>
      </c>
      <c r="DA116" s="21">
        <f t="shared" si="1046"/>
        <v>555434.72968702065</v>
      </c>
      <c r="DB116" s="21">
        <f t="shared" si="1046"/>
        <v>578455.31372023106</v>
      </c>
      <c r="DE116" s="22"/>
      <c r="DF116" s="162">
        <v>270070.76</v>
      </c>
    </row>
    <row r="117" spans="1:110" s="162" customFormat="1" x14ac:dyDescent="0.2">
      <c r="A117" s="49" t="s">
        <v>341</v>
      </c>
      <c r="B117" s="162">
        <f t="shared" ref="B117:AE117" si="1047">+B88*B74</f>
        <v>175.48937662198148</v>
      </c>
      <c r="C117" s="162">
        <f t="shared" si="1047"/>
        <v>138.12046230600671</v>
      </c>
      <c r="D117" s="162">
        <f t="shared" si="1047"/>
        <v>201.29663788992016</v>
      </c>
      <c r="E117" s="162" t="e">
        <f t="shared" ca="1" si="1047"/>
        <v>#DIV/0!</v>
      </c>
      <c r="F117" s="162" t="e">
        <f t="shared" ca="1" si="1047"/>
        <v>#DIV/0!</v>
      </c>
      <c r="G117" s="162" t="e">
        <f t="shared" ca="1" si="1047"/>
        <v>#DIV/0!</v>
      </c>
      <c r="H117" s="162" t="e">
        <f t="shared" ca="1" si="1047"/>
        <v>#DIV/0!</v>
      </c>
      <c r="I117" s="162" t="e">
        <f t="shared" ca="1" si="1047"/>
        <v>#DIV/0!</v>
      </c>
      <c r="J117" s="162" t="e">
        <f t="shared" ca="1" si="1047"/>
        <v>#DIV/0!</v>
      </c>
      <c r="K117" s="162" t="e">
        <f t="shared" ca="1" si="1047"/>
        <v>#DIV/0!</v>
      </c>
      <c r="L117" s="162" t="e">
        <f t="shared" ca="1" si="1047"/>
        <v>#DIV/0!</v>
      </c>
      <c r="M117" s="162" t="e">
        <f t="shared" ca="1" si="1047"/>
        <v>#DIV/0!</v>
      </c>
      <c r="N117" s="162" t="e">
        <f t="shared" ca="1" si="1047"/>
        <v>#DIV/0!</v>
      </c>
      <c r="O117" s="162" t="e">
        <f t="shared" ca="1" si="1047"/>
        <v>#DIV/0!</v>
      </c>
      <c r="P117" s="162" t="e">
        <f t="shared" ca="1" si="1047"/>
        <v>#DIV/0!</v>
      </c>
      <c r="Q117" s="162" t="e">
        <f t="shared" ca="1" si="1047"/>
        <v>#DIV/0!</v>
      </c>
      <c r="R117" s="162" t="e">
        <f t="shared" ca="1" si="1047"/>
        <v>#DIV/0!</v>
      </c>
      <c r="S117" s="162" t="e">
        <f t="shared" ca="1" si="1047"/>
        <v>#DIV/0!</v>
      </c>
      <c r="T117" s="162" t="e">
        <f t="shared" ca="1" si="1047"/>
        <v>#DIV/0!</v>
      </c>
      <c r="U117" s="162" t="e">
        <f t="shared" ca="1" si="1047"/>
        <v>#DIV/0!</v>
      </c>
      <c r="V117" s="162" t="e">
        <f t="shared" ca="1" si="1047"/>
        <v>#DIV/0!</v>
      </c>
      <c r="W117" s="162" t="e">
        <f t="shared" ca="1" si="1047"/>
        <v>#DIV/0!</v>
      </c>
      <c r="X117" s="162" t="e">
        <f t="shared" ca="1" si="1047"/>
        <v>#DIV/0!</v>
      </c>
      <c r="Y117" s="162" t="e">
        <f t="shared" ca="1" si="1047"/>
        <v>#DIV/0!</v>
      </c>
      <c r="Z117" s="162" t="e">
        <f t="shared" ca="1" si="1047"/>
        <v>#DIV/0!</v>
      </c>
      <c r="AA117" s="162" t="e">
        <f t="shared" ref="AA117" ca="1" si="1048">+AA88*AA74</f>
        <v>#DIV/0!</v>
      </c>
      <c r="AB117" s="21" t="e">
        <f t="shared" ca="1" si="1047"/>
        <v>#DIV/0!</v>
      </c>
      <c r="AC117" s="21" t="e">
        <f t="shared" ca="1" si="1047"/>
        <v>#DIV/0!</v>
      </c>
      <c r="AD117" s="21" t="e">
        <f t="shared" ca="1" si="1047"/>
        <v>#DIV/0!</v>
      </c>
      <c r="AE117" s="21" t="e">
        <f t="shared" ca="1" si="1047"/>
        <v>#DIV/0!</v>
      </c>
      <c r="AL117" s="162">
        <f t="shared" ref="AL117:BQ117" si="1049">+AL88*AL74</f>
        <v>35756.806128309421</v>
      </c>
      <c r="AM117" s="162">
        <f t="shared" si="1049"/>
        <v>31085.898763035824</v>
      </c>
      <c r="AN117" s="162">
        <f t="shared" si="1049"/>
        <v>23223.798961182187</v>
      </c>
      <c r="AO117" s="162">
        <f t="shared" si="1049"/>
        <v>31971.350668157585</v>
      </c>
      <c r="AP117" s="162">
        <f t="shared" si="1049"/>
        <v>39482.835286103975</v>
      </c>
      <c r="AQ117" s="162">
        <f t="shared" si="1049"/>
        <v>45906.81857091406</v>
      </c>
      <c r="AR117" s="162">
        <f t="shared" si="1049"/>
        <v>53614.409986639068</v>
      </c>
      <c r="AS117" s="162">
        <f t="shared" si="1049"/>
        <v>46001.900654685523</v>
      </c>
      <c r="AT117" s="162">
        <f t="shared" si="1049"/>
        <v>36998.815847574231</v>
      </c>
      <c r="AU117" s="162">
        <f t="shared" si="1049"/>
        <v>34176.066485608717</v>
      </c>
      <c r="AV117" s="162">
        <f t="shared" si="1049"/>
        <v>23770.520942868181</v>
      </c>
      <c r="AW117" s="162">
        <f t="shared" si="1049"/>
        <v>25006.58803189731</v>
      </c>
      <c r="AX117" s="162">
        <f t="shared" si="1049"/>
        <v>25113.555376140139</v>
      </c>
      <c r="AY117" s="162">
        <f t="shared" si="1049"/>
        <v>35346.764642044895</v>
      </c>
      <c r="AZ117" s="162">
        <f t="shared" si="1049"/>
        <v>37082.012670874348</v>
      </c>
      <c r="BA117" s="162">
        <f t="shared" si="1049"/>
        <v>43505.995955684426</v>
      </c>
      <c r="BB117" s="162">
        <f t="shared" si="1049"/>
        <v>46227.720603642789</v>
      </c>
      <c r="BC117" s="162">
        <f t="shared" si="1049"/>
        <v>50898.627968916386</v>
      </c>
      <c r="BD117" s="162">
        <f t="shared" si="1049"/>
        <v>64412.169124936976</v>
      </c>
      <c r="BE117" s="162">
        <f t="shared" si="1049"/>
        <v>77759.316634357339</v>
      </c>
      <c r="BF117" s="162">
        <f t="shared" si="1049"/>
        <v>69120.650399999999</v>
      </c>
      <c r="BG117" s="162">
        <f t="shared" si="1049"/>
        <v>66937.630399999995</v>
      </c>
      <c r="BH117" s="162">
        <f t="shared" si="1049"/>
        <v>61561.164000000004</v>
      </c>
      <c r="BI117" s="162">
        <f t="shared" si="1049"/>
        <v>60737.853600000002</v>
      </c>
      <c r="BJ117" s="162">
        <f t="shared" si="1049"/>
        <v>55149.322400000005</v>
      </c>
      <c r="BK117" s="162">
        <f t="shared" si="1049"/>
        <v>56820.892</v>
      </c>
      <c r="BL117" s="162">
        <f t="shared" si="1049"/>
        <v>40223.702799999999</v>
      </c>
      <c r="BM117" s="162">
        <f t="shared" si="1049"/>
        <v>39955.503200000006</v>
      </c>
      <c r="BN117" s="162">
        <f t="shared" si="1049"/>
        <v>31298.2696</v>
      </c>
      <c r="BO117" s="162">
        <f t="shared" si="1049"/>
        <v>31316.981200000002</v>
      </c>
      <c r="BP117" s="162">
        <f t="shared" si="1049"/>
        <v>39980.451999999997</v>
      </c>
      <c r="BQ117" s="162">
        <f t="shared" si="1049"/>
        <v>45126.142</v>
      </c>
      <c r="BR117" s="162">
        <f t="shared" ref="BR117:CJ117" si="1050">+BR88*BR74</f>
        <v>74384.847200000004</v>
      </c>
      <c r="BS117" s="162">
        <f t="shared" si="1050"/>
        <v>102121.6756</v>
      </c>
      <c r="BT117" s="162">
        <f t="shared" si="1050"/>
        <v>141023.092</v>
      </c>
      <c r="BU117" s="162">
        <f t="shared" si="1050"/>
        <v>132702.6672</v>
      </c>
      <c r="BV117" s="162">
        <f t="shared" si="1050"/>
        <v>132440.70480000001</v>
      </c>
      <c r="BW117" s="162">
        <f t="shared" si="1050"/>
        <v>103175.76239999999</v>
      </c>
      <c r="BX117" s="162">
        <f t="shared" si="1050"/>
        <v>104572.8952</v>
      </c>
      <c r="BY117" s="162">
        <f t="shared" si="1050"/>
        <v>122249.12000000001</v>
      </c>
      <c r="BZ117" s="162">
        <f t="shared" si="1050"/>
        <v>126802.27600000001</v>
      </c>
      <c r="CA117" s="162">
        <f t="shared" si="1050"/>
        <v>128798.18000000001</v>
      </c>
      <c r="CB117" s="162">
        <f t="shared" si="1050"/>
        <v>138840.07200000001</v>
      </c>
      <c r="CC117" s="162">
        <f t="shared" si="1050"/>
        <v>142520.02000000002</v>
      </c>
      <c r="CD117" s="162">
        <f t="shared" si="1050"/>
        <v>159797.06400000001</v>
      </c>
      <c r="CE117" s="162">
        <f t="shared" si="1050"/>
        <v>184808.236</v>
      </c>
      <c r="CF117" s="162">
        <f t="shared" si="1050"/>
        <v>177573.084</v>
      </c>
      <c r="CG117" s="162">
        <f t="shared" si="1050"/>
        <v>169714.21200000003</v>
      </c>
      <c r="CH117" s="162">
        <f t="shared" si="1050"/>
        <v>152936.144</v>
      </c>
      <c r="CI117" s="162">
        <f t="shared" si="1050"/>
        <v>154932.04800000001</v>
      </c>
      <c r="CJ117" s="162">
        <f t="shared" si="1050"/>
        <v>190296.97200000001</v>
      </c>
      <c r="CK117" s="162">
        <f t="shared" ref="CK117:CL117" si="1051">+CK88*CK74</f>
        <v>199590.40000000002</v>
      </c>
      <c r="CL117" s="162">
        <f t="shared" si="1051"/>
        <v>221108.74000000002</v>
      </c>
      <c r="CM117" s="21">
        <f t="shared" ref="CM117:DB117" si="1052">+CM120-CM118</f>
        <v>235766.10152706632</v>
      </c>
      <c r="CN117" s="21">
        <f t="shared" si="1052"/>
        <v>250480.26477583291</v>
      </c>
      <c r="CO117" s="21">
        <f t="shared" si="1052"/>
        <v>278841.59330476017</v>
      </c>
      <c r="CP117" s="21">
        <f t="shared" si="1052"/>
        <v>305911.26054589555</v>
      </c>
      <c r="CQ117" s="21">
        <f t="shared" si="1052"/>
        <v>314101.209357302</v>
      </c>
      <c r="CR117" s="21">
        <f t="shared" si="1052"/>
        <v>326985.70669102832</v>
      </c>
      <c r="CS117" s="21">
        <f t="shared" si="1052"/>
        <v>342943.09970797773</v>
      </c>
      <c r="CT117" s="21">
        <f t="shared" si="1052"/>
        <v>355063.64539750369</v>
      </c>
      <c r="CU117" s="21">
        <f t="shared" si="1052"/>
        <v>368265.29870391393</v>
      </c>
      <c r="CV117" s="21">
        <f t="shared" si="1052"/>
        <v>386455.61822233273</v>
      </c>
      <c r="CW117" s="21">
        <f t="shared" si="1052"/>
        <v>405937.7439831777</v>
      </c>
      <c r="CX117" s="21">
        <f t="shared" si="1052"/>
        <v>424735.31421475543</v>
      </c>
      <c r="CY117" s="21">
        <f t="shared" si="1052"/>
        <v>437980.21860908088</v>
      </c>
      <c r="CZ117" s="21">
        <f t="shared" si="1052"/>
        <v>457122.30250134115</v>
      </c>
      <c r="DA117" s="21">
        <f t="shared" si="1052"/>
        <v>478174.01284820825</v>
      </c>
      <c r="DB117" s="21">
        <f t="shared" si="1052"/>
        <v>499788.50716223073</v>
      </c>
      <c r="DE117" s="22"/>
      <c r="DF117" s="162">
        <v>221108.74000000002</v>
      </c>
    </row>
    <row r="118" spans="1:110" s="162" customFormat="1" x14ac:dyDescent="0.2">
      <c r="A118" s="49" t="s">
        <v>80</v>
      </c>
      <c r="B118" s="162">
        <f>+B182</f>
        <v>5091.08</v>
      </c>
      <c r="C118" s="162">
        <f t="shared" ref="C118:W118" si="1053">+C182</f>
        <v>5563.4699999999993</v>
      </c>
      <c r="D118" s="162">
        <f t="shared" si="1053"/>
        <v>4753.8900000000003</v>
      </c>
      <c r="E118" s="162">
        <f t="shared" si="1053"/>
        <v>3216.8300000000004</v>
      </c>
      <c r="F118" s="162">
        <f t="shared" si="1053"/>
        <v>2813.0800000000008</v>
      </c>
      <c r="G118" s="162">
        <f t="shared" si="1053"/>
        <v>1878.9699999999998</v>
      </c>
      <c r="H118" s="162">
        <f t="shared" si="1053"/>
        <v>11355.769999999999</v>
      </c>
      <c r="I118" s="162">
        <f t="shared" si="1053"/>
        <v>49339.189999999995</v>
      </c>
      <c r="J118" s="162">
        <f t="shared" si="1053"/>
        <v>51396.81</v>
      </c>
      <c r="K118" s="162">
        <f t="shared" si="1053"/>
        <v>45524.62</v>
      </c>
      <c r="L118" s="162">
        <f t="shared" si="1053"/>
        <v>48160.47</v>
      </c>
      <c r="M118" s="162">
        <f t="shared" si="1053"/>
        <v>49974.590000000004</v>
      </c>
      <c r="N118" s="162">
        <f t="shared" si="1053"/>
        <v>60188.110000000008</v>
      </c>
      <c r="O118" s="162">
        <f t="shared" si="1053"/>
        <v>72610.75</v>
      </c>
      <c r="P118" s="162">
        <f t="shared" si="1053"/>
        <v>72851.73000000001</v>
      </c>
      <c r="Q118" s="162">
        <f t="shared" si="1053"/>
        <v>73412.039999999994</v>
      </c>
      <c r="R118" s="162">
        <f t="shared" si="1053"/>
        <v>74694.28</v>
      </c>
      <c r="S118" s="162">
        <f t="shared" si="1053"/>
        <v>71575.23000000001</v>
      </c>
      <c r="T118" s="162">
        <f t="shared" si="1053"/>
        <v>97224.99000000002</v>
      </c>
      <c r="U118" s="162">
        <f t="shared" si="1053"/>
        <v>107116.61</v>
      </c>
      <c r="V118" s="162">
        <f t="shared" si="1053"/>
        <v>68440.91</v>
      </c>
      <c r="W118" s="162">
        <f t="shared" si="1053"/>
        <v>44405.329999999994</v>
      </c>
      <c r="X118" s="162">
        <f t="shared" ref="X118:Y118" si="1054">+X182</f>
        <v>61030.38</v>
      </c>
      <c r="Y118" s="162">
        <f t="shared" si="1054"/>
        <v>72164.97</v>
      </c>
      <c r="Z118" s="162">
        <f t="shared" ref="Z118:AA118" si="1055">+Z182</f>
        <v>76874.179999999993</v>
      </c>
      <c r="AA118" s="162">
        <f t="shared" si="1055"/>
        <v>73895.319999999978</v>
      </c>
      <c r="AB118" s="21">
        <f t="shared" ref="AA118:AD118" si="1056">+AB182</f>
        <v>65839.102845441637</v>
      </c>
      <c r="AC118" s="21">
        <f t="shared" si="1056"/>
        <v>56837.324612556411</v>
      </c>
      <c r="AD118" s="21">
        <f t="shared" si="1056"/>
        <v>17769.562133797604</v>
      </c>
      <c r="AE118" s="21">
        <f t="shared" ref="AE118" si="1057">+AE182</f>
        <v>-25808.321666519463</v>
      </c>
      <c r="AL118" s="162">
        <f t="shared" ref="AL118:AM118" si="1058">+AL182</f>
        <v>46810.97</v>
      </c>
      <c r="AM118" s="162">
        <f t="shared" si="1058"/>
        <v>44673.465457767241</v>
      </c>
      <c r="AN118" s="162">
        <f t="shared" ref="AN118:AO118" si="1059">+AN182</f>
        <v>52442.78</v>
      </c>
      <c r="AO118" s="162">
        <f t="shared" si="1059"/>
        <v>51983.85605772592</v>
      </c>
      <c r="AP118" s="162">
        <f t="shared" ref="AP118:CD118" si="1060">+AP182</f>
        <v>57119.689999999995</v>
      </c>
      <c r="AQ118" s="162">
        <f t="shared" si="1060"/>
        <v>53956.277152072762</v>
      </c>
      <c r="AR118" s="162">
        <f t="shared" si="1060"/>
        <v>42528.340000000004</v>
      </c>
      <c r="AS118" s="162">
        <f t="shared" si="1060"/>
        <v>41156.563352123754</v>
      </c>
      <c r="AT118" s="162">
        <f t="shared" si="1060"/>
        <v>65149.19</v>
      </c>
      <c r="AU118" s="162">
        <f t="shared" si="1060"/>
        <v>61617.128382935029</v>
      </c>
      <c r="AV118" s="162">
        <f t="shared" si="1060"/>
        <v>64659.71</v>
      </c>
      <c r="AW118" s="162">
        <f t="shared" si="1060"/>
        <v>65538.411921486142</v>
      </c>
      <c r="AX118" s="162">
        <f t="shared" si="1060"/>
        <v>69745.009999999995</v>
      </c>
      <c r="AY118" s="162">
        <f t="shared" si="1060"/>
        <v>71814.314895738135</v>
      </c>
      <c r="AZ118" s="162">
        <f t="shared" si="1060"/>
        <v>74062.76999999999</v>
      </c>
      <c r="BA118" s="162">
        <f t="shared" si="1060"/>
        <v>74167.26373173327</v>
      </c>
      <c r="BB118" s="162">
        <f t="shared" si="1060"/>
        <v>71756.19</v>
      </c>
      <c r="BC118" s="162">
        <f t="shared" si="1060"/>
        <v>67999.927883667115</v>
      </c>
      <c r="BD118" s="162">
        <f t="shared" si="1060"/>
        <v>77598.169999999984</v>
      </c>
      <c r="BE118" s="162">
        <f t="shared" si="1060"/>
        <v>76932.091041370557</v>
      </c>
      <c r="BF118" s="162">
        <f t="shared" si="1060"/>
        <v>65827.260000000009</v>
      </c>
      <c r="BG118" s="162">
        <f t="shared" si="1060"/>
        <v>64955.435473991136</v>
      </c>
      <c r="BH118" s="162">
        <f t="shared" si="1060"/>
        <v>100640.05</v>
      </c>
      <c r="BI118" s="162">
        <f t="shared" si="1060"/>
        <v>96964.039503447202</v>
      </c>
      <c r="BJ118" s="162">
        <f t="shared" si="1060"/>
        <v>85278.58</v>
      </c>
      <c r="BK118" s="162">
        <f t="shared" si="1060"/>
        <v>81240.967756908474</v>
      </c>
      <c r="BL118" s="162">
        <f t="shared" si="1060"/>
        <v>98209.97</v>
      </c>
      <c r="BM118" s="162">
        <f t="shared" si="1060"/>
        <v>99974.921351937795</v>
      </c>
      <c r="BN118" s="162">
        <f t="shared" si="1060"/>
        <v>101802.86</v>
      </c>
      <c r="BO118" s="162">
        <f t="shared" si="1060"/>
        <v>101078.35251164905</v>
      </c>
      <c r="BP118" s="162">
        <f t="shared" si="1060"/>
        <v>93588.950000000012</v>
      </c>
      <c r="BQ118" s="162">
        <f t="shared" si="1060"/>
        <v>90786.883279727685</v>
      </c>
      <c r="BR118" s="162">
        <f t="shared" si="1060"/>
        <v>67665.91</v>
      </c>
      <c r="BS118" s="162">
        <f t="shared" si="1060"/>
        <v>59916.505127570636</v>
      </c>
      <c r="BT118" s="162">
        <f t="shared" si="1060"/>
        <v>61719.409999999989</v>
      </c>
      <c r="BU118" s="162">
        <f t="shared" si="1060"/>
        <v>52324.861829714369</v>
      </c>
      <c r="BV118" s="162">
        <f t="shared" si="1060"/>
        <v>44405.329999999994</v>
      </c>
      <c r="BW118" s="162">
        <f t="shared" si="1060"/>
        <v>34574.037300287804</v>
      </c>
      <c r="BX118" s="162">
        <f t="shared" si="1060"/>
        <v>65706.320000000007</v>
      </c>
      <c r="BY118" s="162">
        <f t="shared" si="1060"/>
        <v>66317.544826592697</v>
      </c>
      <c r="BZ118" s="162">
        <f t="shared" si="1060"/>
        <v>61030.38</v>
      </c>
      <c r="CA118" s="162">
        <f t="shared" si="1060"/>
        <v>59026.679460918524</v>
      </c>
      <c r="CB118" s="162">
        <f t="shared" si="1060"/>
        <v>71397.819999999992</v>
      </c>
      <c r="CC118" s="162">
        <f t="shared" si="1060"/>
        <v>70733.631939455023</v>
      </c>
      <c r="CD118" s="162">
        <f t="shared" si="1060"/>
        <v>72164.97</v>
      </c>
      <c r="CE118" s="162">
        <f t="shared" ref="CE118:CF118" si="1061">+CE182</f>
        <v>69524.326418327895</v>
      </c>
      <c r="CF118" s="162">
        <f t="shared" si="1061"/>
        <v>83669.53</v>
      </c>
      <c r="CG118" s="162">
        <f t="shared" ref="CG118:CH118" si="1062">+CG182</f>
        <v>83225.347988867754</v>
      </c>
      <c r="CH118" s="162">
        <f t="shared" si="1062"/>
        <v>76874.179999999993</v>
      </c>
      <c r="CI118" s="162">
        <f t="shared" ref="CI118:CJ118" si="1063">+CI182</f>
        <v>73110.282947473679</v>
      </c>
      <c r="CJ118" s="162">
        <f t="shared" si="1063"/>
        <v>81058.45</v>
      </c>
      <c r="CK118" s="162">
        <f t="shared" ref="CK118:CL118" si="1064">+CK182</f>
        <v>81598.457313053164</v>
      </c>
      <c r="CL118" s="162">
        <f t="shared" si="1064"/>
        <v>73895.320000000007</v>
      </c>
      <c r="CM118" s="21">
        <f t="shared" ref="CM118:DB118" si="1065">+CM182</f>
        <v>74649.853608405974</v>
      </c>
      <c r="CN118" s="21">
        <f t="shared" si="1065"/>
        <v>71743.050055587577</v>
      </c>
      <c r="CO118" s="21">
        <f t="shared" si="1065"/>
        <v>69282.500838632841</v>
      </c>
      <c r="CP118" s="21">
        <f t="shared" si="1065"/>
        <v>65839.102845441637</v>
      </c>
      <c r="CQ118" s="21">
        <f t="shared" si="1065"/>
        <v>68296.900143104969</v>
      </c>
      <c r="CR118" s="21">
        <f t="shared" si="1065"/>
        <v>65318.99454782746</v>
      </c>
      <c r="CS118" s="21">
        <f t="shared" si="1065"/>
        <v>61149.226535930691</v>
      </c>
      <c r="CT118" s="21">
        <f t="shared" si="1065"/>
        <v>56837.324612556411</v>
      </c>
      <c r="CU118" s="21">
        <f t="shared" si="1065"/>
        <v>51722.00603951727</v>
      </c>
      <c r="CV118" s="21">
        <f t="shared" si="1065"/>
        <v>41346.770532682232</v>
      </c>
      <c r="CW118" s="21">
        <f t="shared" si="1065"/>
        <v>29630.997615954664</v>
      </c>
      <c r="CX118" s="21">
        <f t="shared" si="1065"/>
        <v>17769.562133797604</v>
      </c>
      <c r="CY118" s="21">
        <f t="shared" si="1065"/>
        <v>11886.196356476619</v>
      </c>
      <c r="CZ118" s="21">
        <f t="shared" si="1065"/>
        <v>324.83963972674974</v>
      </c>
      <c r="DA118" s="21">
        <f t="shared" si="1065"/>
        <v>-12665.744481012342</v>
      </c>
      <c r="DB118" s="21">
        <f t="shared" si="1065"/>
        <v>-25808.321666519463</v>
      </c>
      <c r="DE118" s="22"/>
      <c r="DF118" s="162">
        <v>79929.274241535226</v>
      </c>
    </row>
    <row r="119" spans="1:110" s="162" customFormat="1" x14ac:dyDescent="0.2">
      <c r="A119" s="49" t="s">
        <v>342</v>
      </c>
      <c r="B119" s="162">
        <f>+B116+B118</f>
        <v>5439.7877142523848</v>
      </c>
      <c r="C119" s="162">
        <f t="shared" ref="C119:W119" si="1066">+C116+C118</f>
        <v>5872.0216157194718</v>
      </c>
      <c r="D119" s="162">
        <f t="shared" si="1066"/>
        <v>5091.4489773846353</v>
      </c>
      <c r="E119" s="162" t="e">
        <f t="shared" ca="1" si="1066"/>
        <v>#DIV/0!</v>
      </c>
      <c r="F119" s="162" t="e">
        <f t="shared" ca="1" si="1066"/>
        <v>#DIV/0!</v>
      </c>
      <c r="G119" s="162" t="e">
        <f t="shared" ca="1" si="1066"/>
        <v>#DIV/0!</v>
      </c>
      <c r="H119" s="162" t="e">
        <f t="shared" ca="1" si="1066"/>
        <v>#DIV/0!</v>
      </c>
      <c r="I119" s="162" t="e">
        <f t="shared" ca="1" si="1066"/>
        <v>#DIV/0!</v>
      </c>
      <c r="J119" s="162" t="e">
        <f t="shared" ca="1" si="1066"/>
        <v>#DIV/0!</v>
      </c>
      <c r="K119" s="162" t="e">
        <f t="shared" ca="1" si="1066"/>
        <v>#DIV/0!</v>
      </c>
      <c r="L119" s="162" t="e">
        <f t="shared" ca="1" si="1066"/>
        <v>#DIV/0!</v>
      </c>
      <c r="M119" s="162" t="e">
        <f t="shared" ca="1" si="1066"/>
        <v>#DIV/0!</v>
      </c>
      <c r="N119" s="162" t="e">
        <f t="shared" ca="1" si="1066"/>
        <v>#DIV/0!</v>
      </c>
      <c r="O119" s="162" t="e">
        <f t="shared" ca="1" si="1066"/>
        <v>#DIV/0!</v>
      </c>
      <c r="P119" s="162" t="e">
        <f t="shared" ca="1" si="1066"/>
        <v>#DIV/0!</v>
      </c>
      <c r="Q119" s="162" t="e">
        <f t="shared" ca="1" si="1066"/>
        <v>#DIV/0!</v>
      </c>
      <c r="R119" s="162" t="e">
        <f t="shared" ca="1" si="1066"/>
        <v>#DIV/0!</v>
      </c>
      <c r="S119" s="162" t="e">
        <f t="shared" ca="1" si="1066"/>
        <v>#DIV/0!</v>
      </c>
      <c r="T119" s="162" t="e">
        <f t="shared" ca="1" si="1066"/>
        <v>#DIV/0!</v>
      </c>
      <c r="U119" s="162" t="e">
        <f t="shared" ca="1" si="1066"/>
        <v>#DIV/0!</v>
      </c>
      <c r="V119" s="162" t="e">
        <f t="shared" ca="1" si="1066"/>
        <v>#DIV/0!</v>
      </c>
      <c r="W119" s="162" t="e">
        <f t="shared" ca="1" si="1066"/>
        <v>#DIV/0!</v>
      </c>
      <c r="X119" s="162" t="e">
        <f t="shared" ref="X119:Y119" ca="1" si="1067">+X116+X118</f>
        <v>#DIV/0!</v>
      </c>
      <c r="Y119" s="162" t="e">
        <f t="shared" ca="1" si="1067"/>
        <v>#DIV/0!</v>
      </c>
      <c r="Z119" s="162" t="e">
        <f t="shared" ref="Z119:AA119" ca="1" si="1068">+Z116+Z118</f>
        <v>#DIV/0!</v>
      </c>
      <c r="AA119" s="162" t="e">
        <f t="shared" ca="1" si="1068"/>
        <v>#DIV/0!</v>
      </c>
      <c r="AB119" s="21" t="e">
        <f t="shared" ref="AA119:AD119" ca="1" si="1069">+AB116+AB118</f>
        <v>#DIV/0!</v>
      </c>
      <c r="AC119" s="21" t="e">
        <f t="shared" ca="1" si="1069"/>
        <v>#DIV/0!</v>
      </c>
      <c r="AD119" s="21" t="e">
        <f t="shared" ca="1" si="1069"/>
        <v>#DIV/0!</v>
      </c>
      <c r="AE119" s="21" t="e">
        <f t="shared" ref="AE119" ca="1" si="1070">+AE116+AE118</f>
        <v>#DIV/0!</v>
      </c>
      <c r="AL119" s="162">
        <f t="shared" ref="AL119" si="1071">+AL116+AL118</f>
        <v>100068.82217249603</v>
      </c>
      <c r="AM119" s="162">
        <f t="shared" ref="AM119:AO119" si="1072">+AM116+AM118</f>
        <v>83532.324569120916</v>
      </c>
      <c r="AN119" s="162">
        <f t="shared" si="1072"/>
        <v>90267.621450338964</v>
      </c>
      <c r="AO119" s="162">
        <f t="shared" si="1072"/>
        <v>103298.46814314251</v>
      </c>
      <c r="AP119" s="162">
        <f t="shared" ref="AP119:CD119" si="1073">+AP116+AP118</f>
        <v>108868.11409262395</v>
      </c>
      <c r="AQ119" s="162">
        <f t="shared" si="1073"/>
        <v>122724.39423979027</v>
      </c>
      <c r="AR119" s="162">
        <f t="shared" si="1073"/>
        <v>110737.84984556018</v>
      </c>
      <c r="AS119" s="162">
        <f t="shared" si="1073"/>
        <v>100024.25846713674</v>
      </c>
      <c r="AT119" s="162">
        <f t="shared" si="1073"/>
        <v>115209.90710568029</v>
      </c>
      <c r="AU119" s="162">
        <f t="shared" si="1073"/>
        <v>107280.29911418466</v>
      </c>
      <c r="AV119" s="162">
        <f t="shared" si="1073"/>
        <v>101539.67324285992</v>
      </c>
      <c r="AW119" s="162">
        <f t="shared" si="1073"/>
        <v>97182.917926679322</v>
      </c>
      <c r="AX119" s="162">
        <f t="shared" si="1073"/>
        <v>108473.13124616788</v>
      </c>
      <c r="AY119" s="162">
        <f t="shared" si="1073"/>
        <v>115094.4909024653</v>
      </c>
      <c r="AZ119" s="162">
        <f t="shared" si="1073"/>
        <v>122614.05902580809</v>
      </c>
      <c r="BA119" s="162">
        <f t="shared" si="1073"/>
        <v>126569.37715028605</v>
      </c>
      <c r="BB119" s="162">
        <f t="shared" si="1073"/>
        <v>132186.79686700652</v>
      </c>
      <c r="BC119" s="162">
        <f t="shared" si="1073"/>
        <v>132988.5321414686</v>
      </c>
      <c r="BD119" s="162">
        <f t="shared" si="1073"/>
        <v>160384.95181377395</v>
      </c>
      <c r="BE119" s="162">
        <f t="shared" si="1073"/>
        <v>165400.02736049</v>
      </c>
      <c r="BF119" s="162">
        <f t="shared" si="1073"/>
        <v>160023.89186635072</v>
      </c>
      <c r="BG119" s="162">
        <f t="shared" si="1073"/>
        <v>144330.04267399115</v>
      </c>
      <c r="BH119" s="162">
        <f t="shared" si="1073"/>
        <v>181311.99480000001</v>
      </c>
      <c r="BI119" s="162">
        <f t="shared" si="1073"/>
        <v>173057.87950344721</v>
      </c>
      <c r="BJ119" s="162">
        <f t="shared" si="1073"/>
        <v>151617.43920000002</v>
      </c>
      <c r="BK119" s="162">
        <f t="shared" si="1073"/>
        <v>151141.26815690845</v>
      </c>
      <c r="BL119" s="162">
        <f t="shared" si="1073"/>
        <v>162421.94400000002</v>
      </c>
      <c r="BM119" s="162">
        <f t="shared" si="1073"/>
        <v>159353.06535193781</v>
      </c>
      <c r="BN119" s="162">
        <f t="shared" si="1073"/>
        <v>164917.08679999999</v>
      </c>
      <c r="BO119" s="162">
        <f t="shared" si="1073"/>
        <v>144794.88731164904</v>
      </c>
      <c r="BP119" s="162">
        <f t="shared" si="1073"/>
        <v>148944.1</v>
      </c>
      <c r="BQ119" s="162">
        <f t="shared" si="1073"/>
        <v>172282.13847972767</v>
      </c>
      <c r="BR119" s="162">
        <f t="shared" si="1073"/>
        <v>170392.59399999998</v>
      </c>
      <c r="BS119" s="162">
        <f t="shared" si="1073"/>
        <v>215447.32432757068</v>
      </c>
      <c r="BT119" s="162">
        <f t="shared" si="1073"/>
        <v>253151.55239999999</v>
      </c>
      <c r="BU119" s="162">
        <f t="shared" si="1073"/>
        <v>230234.75462971436</v>
      </c>
      <c r="BV119" s="162">
        <f t="shared" si="1073"/>
        <v>214830.5828</v>
      </c>
      <c r="BW119" s="162">
        <f t="shared" si="1073"/>
        <v>207500.4073002878</v>
      </c>
      <c r="BX119" s="162">
        <f t="shared" si="1073"/>
        <v>207664.992</v>
      </c>
      <c r="BY119" s="162">
        <f t="shared" si="1073"/>
        <v>211082.95682659271</v>
      </c>
      <c r="BZ119" s="162">
        <f t="shared" si="1073"/>
        <v>216087.17200000002</v>
      </c>
      <c r="CA119" s="162">
        <f t="shared" si="1073"/>
        <v>203105.99946091854</v>
      </c>
      <c r="CB119" s="162">
        <f t="shared" si="1073"/>
        <v>239615.10399999999</v>
      </c>
      <c r="CC119" s="162">
        <f t="shared" si="1073"/>
        <v>246872.15993945501</v>
      </c>
      <c r="CD119" s="162">
        <f t="shared" si="1073"/>
        <v>271131.65000000002</v>
      </c>
      <c r="CE119" s="162">
        <f t="shared" ref="CE119:CF119" si="1074">+CE116+CE118</f>
        <v>299801.75041832787</v>
      </c>
      <c r="CF119" s="162">
        <f t="shared" si="1074"/>
        <v>305900.96600000001</v>
      </c>
      <c r="CG119" s="162">
        <f t="shared" ref="CG119:CH119" si="1075">+CG116+CG118</f>
        <v>295227.77598886774</v>
      </c>
      <c r="CH119" s="162">
        <f t="shared" si="1075"/>
        <v>276589.32400000002</v>
      </c>
      <c r="CI119" s="162">
        <f t="shared" ref="CI119:CJ119" si="1076">+CI116+CI118</f>
        <v>279686.34694747371</v>
      </c>
      <c r="CJ119" s="162">
        <f t="shared" si="1076"/>
        <v>298549.614</v>
      </c>
      <c r="CK119" s="162">
        <f t="shared" ref="CK119:CL119" si="1077">+CK116+CK118</f>
        <v>314869.73731305316</v>
      </c>
      <c r="CL119" s="162">
        <f t="shared" si="1077"/>
        <v>343966.08</v>
      </c>
      <c r="CM119" s="21">
        <f t="shared" ref="CM119:DB119" si="1078">+CM121*CM122</f>
        <v>361935.8976191862</v>
      </c>
      <c r="CN119" s="21">
        <f t="shared" si="1078"/>
        <v>375702.93265512877</v>
      </c>
      <c r="CO119" s="21">
        <f t="shared" si="1078"/>
        <v>405902.48153213167</v>
      </c>
      <c r="CP119" s="21">
        <f t="shared" si="1078"/>
        <v>433450.01839735272</v>
      </c>
      <c r="CQ119" s="21">
        <f t="shared" si="1078"/>
        <v>445864.97800832207</v>
      </c>
      <c r="CR119" s="21">
        <f t="shared" si="1078"/>
        <v>457415.77336495079</v>
      </c>
      <c r="CS119" s="21">
        <f t="shared" si="1078"/>
        <v>471159.79833022738</v>
      </c>
      <c r="CT119" s="21">
        <f t="shared" si="1078"/>
        <v>480264.44789457449</v>
      </c>
      <c r="CU119" s="21">
        <f t="shared" si="1078"/>
        <v>489692.87698062003</v>
      </c>
      <c r="CV119" s="21">
        <f t="shared" si="1078"/>
        <v>498805.03568221594</v>
      </c>
      <c r="CW119" s="21">
        <f t="shared" si="1078"/>
        <v>507860.37527207751</v>
      </c>
      <c r="CX119" s="21">
        <f t="shared" si="1078"/>
        <v>515947.70491801534</v>
      </c>
      <c r="CY119" s="21">
        <f t="shared" si="1078"/>
        <v>524531.04299431038</v>
      </c>
      <c r="CZ119" s="21">
        <f t="shared" si="1078"/>
        <v>533369.94849991531</v>
      </c>
      <c r="DA119" s="21">
        <f t="shared" si="1078"/>
        <v>542768.98520600831</v>
      </c>
      <c r="DB119" s="21">
        <f t="shared" si="1078"/>
        <v>552646.99205371155</v>
      </c>
      <c r="DE119" s="22"/>
      <c r="DF119" s="162">
        <v>350000.03424153524</v>
      </c>
    </row>
    <row r="120" spans="1:110" s="162" customFormat="1" x14ac:dyDescent="0.2">
      <c r="A120" s="49" t="s">
        <v>345</v>
      </c>
      <c r="B120" s="162">
        <f>+B117+B118</f>
        <v>5266.5693766219811</v>
      </c>
      <c r="C120" s="162">
        <f t="shared" ref="C120:W120" si="1079">+C117+C118</f>
        <v>5701.590462306006</v>
      </c>
      <c r="D120" s="162">
        <f t="shared" si="1079"/>
        <v>4955.1866378899203</v>
      </c>
      <c r="E120" s="162" t="e">
        <f t="shared" ca="1" si="1079"/>
        <v>#DIV/0!</v>
      </c>
      <c r="F120" s="162" t="e">
        <f t="shared" ca="1" si="1079"/>
        <v>#DIV/0!</v>
      </c>
      <c r="G120" s="162" t="e">
        <f t="shared" ca="1" si="1079"/>
        <v>#DIV/0!</v>
      </c>
      <c r="H120" s="162" t="e">
        <f t="shared" ca="1" si="1079"/>
        <v>#DIV/0!</v>
      </c>
      <c r="I120" s="162" t="e">
        <f t="shared" ca="1" si="1079"/>
        <v>#DIV/0!</v>
      </c>
      <c r="J120" s="162" t="e">
        <f t="shared" ca="1" si="1079"/>
        <v>#DIV/0!</v>
      </c>
      <c r="K120" s="162" t="e">
        <f t="shared" ca="1" si="1079"/>
        <v>#DIV/0!</v>
      </c>
      <c r="L120" s="162" t="e">
        <f t="shared" ca="1" si="1079"/>
        <v>#DIV/0!</v>
      </c>
      <c r="M120" s="162" t="e">
        <f t="shared" ca="1" si="1079"/>
        <v>#DIV/0!</v>
      </c>
      <c r="N120" s="162" t="e">
        <f t="shared" ca="1" si="1079"/>
        <v>#DIV/0!</v>
      </c>
      <c r="O120" s="162" t="e">
        <f t="shared" ca="1" si="1079"/>
        <v>#DIV/0!</v>
      </c>
      <c r="P120" s="162" t="e">
        <f t="shared" ca="1" si="1079"/>
        <v>#DIV/0!</v>
      </c>
      <c r="Q120" s="162" t="e">
        <f t="shared" ca="1" si="1079"/>
        <v>#DIV/0!</v>
      </c>
      <c r="R120" s="162" t="e">
        <f t="shared" ca="1" si="1079"/>
        <v>#DIV/0!</v>
      </c>
      <c r="S120" s="162" t="e">
        <f t="shared" ca="1" si="1079"/>
        <v>#DIV/0!</v>
      </c>
      <c r="T120" s="162" t="e">
        <f t="shared" ca="1" si="1079"/>
        <v>#DIV/0!</v>
      </c>
      <c r="U120" s="162" t="e">
        <f t="shared" ca="1" si="1079"/>
        <v>#DIV/0!</v>
      </c>
      <c r="V120" s="162" t="e">
        <f t="shared" ca="1" si="1079"/>
        <v>#DIV/0!</v>
      </c>
      <c r="W120" s="162" t="e">
        <f t="shared" ca="1" si="1079"/>
        <v>#DIV/0!</v>
      </c>
      <c r="X120" s="162" t="e">
        <f t="shared" ref="X120:Y120" ca="1" si="1080">+X117+X118</f>
        <v>#DIV/0!</v>
      </c>
      <c r="Y120" s="162" t="e">
        <f t="shared" ca="1" si="1080"/>
        <v>#DIV/0!</v>
      </c>
      <c r="Z120" s="162" t="e">
        <f t="shared" ref="Z120:AA120" ca="1" si="1081">+Z117+Z118</f>
        <v>#DIV/0!</v>
      </c>
      <c r="AA120" s="162" t="e">
        <f t="shared" ca="1" si="1081"/>
        <v>#DIV/0!</v>
      </c>
      <c r="AB120" s="21" t="e">
        <f t="shared" ref="AA120:AD120" ca="1" si="1082">+AB117+AB118</f>
        <v>#DIV/0!</v>
      </c>
      <c r="AC120" s="21" t="e">
        <f t="shared" ca="1" si="1082"/>
        <v>#DIV/0!</v>
      </c>
      <c r="AD120" s="21" t="e">
        <f t="shared" ca="1" si="1082"/>
        <v>#DIV/0!</v>
      </c>
      <c r="AE120" s="21" t="e">
        <f t="shared" ref="AE120" ca="1" si="1083">+AE117+AE118</f>
        <v>#DIV/0!</v>
      </c>
      <c r="AL120" s="162">
        <f t="shared" ref="AL120:AM120" si="1084">+AL117+AL118</f>
        <v>82567.77612830943</v>
      </c>
      <c r="AM120" s="162">
        <f t="shared" si="1084"/>
        <v>75759.364220803065</v>
      </c>
      <c r="AN120" s="162">
        <f t="shared" ref="AN120:AO120" si="1085">+AN117+AN118</f>
        <v>75666.578961182182</v>
      </c>
      <c r="AO120" s="162">
        <f t="shared" si="1085"/>
        <v>83955.206725883501</v>
      </c>
      <c r="AP120" s="162">
        <f t="shared" ref="AP120:CD120" si="1086">+AP117+AP118</f>
        <v>96602.525286103977</v>
      </c>
      <c r="AQ120" s="162">
        <f t="shared" si="1086"/>
        <v>99863.095722986822</v>
      </c>
      <c r="AR120" s="162">
        <f t="shared" si="1086"/>
        <v>96142.749986639072</v>
      </c>
      <c r="AS120" s="162">
        <f t="shared" si="1086"/>
        <v>87158.464006809285</v>
      </c>
      <c r="AT120" s="162">
        <f t="shared" si="1086"/>
        <v>102148.00584757424</v>
      </c>
      <c r="AU120" s="162">
        <f t="shared" si="1086"/>
        <v>95793.194868543738</v>
      </c>
      <c r="AV120" s="162">
        <f t="shared" si="1086"/>
        <v>88430.230942868176</v>
      </c>
      <c r="AW120" s="162">
        <f t="shared" si="1086"/>
        <v>90544.999953383449</v>
      </c>
      <c r="AX120" s="162">
        <f t="shared" si="1086"/>
        <v>94858.565376140134</v>
      </c>
      <c r="AY120" s="162">
        <f t="shared" si="1086"/>
        <v>107161.07953778302</v>
      </c>
      <c r="AZ120" s="162">
        <f t="shared" si="1086"/>
        <v>111144.78267087434</v>
      </c>
      <c r="BA120" s="162">
        <f t="shared" si="1086"/>
        <v>117673.2596874177</v>
      </c>
      <c r="BB120" s="162">
        <f t="shared" si="1086"/>
        <v>117983.91060364278</v>
      </c>
      <c r="BC120" s="162">
        <f t="shared" si="1086"/>
        <v>118898.55585258349</v>
      </c>
      <c r="BD120" s="162">
        <f t="shared" si="1086"/>
        <v>142010.33912493696</v>
      </c>
      <c r="BE120" s="162">
        <f t="shared" si="1086"/>
        <v>154691.40767572791</v>
      </c>
      <c r="BF120" s="162">
        <f t="shared" si="1086"/>
        <v>134947.91039999999</v>
      </c>
      <c r="BG120" s="162">
        <f t="shared" si="1086"/>
        <v>131893.06587399112</v>
      </c>
      <c r="BH120" s="162">
        <f t="shared" si="1086"/>
        <v>162201.21400000001</v>
      </c>
      <c r="BI120" s="162">
        <f t="shared" si="1086"/>
        <v>157701.89310344722</v>
      </c>
      <c r="BJ120" s="162">
        <f t="shared" si="1086"/>
        <v>140427.90240000002</v>
      </c>
      <c r="BK120" s="162">
        <f t="shared" si="1086"/>
        <v>138061.85975690847</v>
      </c>
      <c r="BL120" s="162">
        <f t="shared" si="1086"/>
        <v>138433.6728</v>
      </c>
      <c r="BM120" s="162">
        <f t="shared" si="1086"/>
        <v>139930.42455193779</v>
      </c>
      <c r="BN120" s="162">
        <f t="shared" si="1086"/>
        <v>133101.12959999999</v>
      </c>
      <c r="BO120" s="162">
        <f t="shared" si="1086"/>
        <v>132395.33371164906</v>
      </c>
      <c r="BP120" s="162">
        <f t="shared" si="1086"/>
        <v>133569.402</v>
      </c>
      <c r="BQ120" s="162">
        <f t="shared" si="1086"/>
        <v>135913.02527972768</v>
      </c>
      <c r="BR120" s="162">
        <f t="shared" si="1086"/>
        <v>142050.75719999999</v>
      </c>
      <c r="BS120" s="162">
        <f t="shared" si="1086"/>
        <v>162038.18072757064</v>
      </c>
      <c r="BT120" s="162">
        <f t="shared" si="1086"/>
        <v>202742.50199999998</v>
      </c>
      <c r="BU120" s="162">
        <f t="shared" si="1086"/>
        <v>185027.52902971435</v>
      </c>
      <c r="BV120" s="162">
        <f t="shared" si="1086"/>
        <v>176846.03479999999</v>
      </c>
      <c r="BW120" s="162">
        <f t="shared" si="1086"/>
        <v>137749.79970028781</v>
      </c>
      <c r="BX120" s="162">
        <f t="shared" si="1086"/>
        <v>170279.21520000001</v>
      </c>
      <c r="BY120" s="162">
        <f t="shared" si="1086"/>
        <v>188566.66482659272</v>
      </c>
      <c r="BZ120" s="162">
        <f t="shared" si="1086"/>
        <v>187832.65600000002</v>
      </c>
      <c r="CA120" s="162">
        <f t="shared" si="1086"/>
        <v>187824.85946091852</v>
      </c>
      <c r="CB120" s="162">
        <f t="shared" si="1086"/>
        <v>210237.89199999999</v>
      </c>
      <c r="CC120" s="162">
        <f t="shared" si="1086"/>
        <v>213253.65193945504</v>
      </c>
      <c r="CD120" s="162">
        <f t="shared" si="1086"/>
        <v>231962.03400000001</v>
      </c>
      <c r="CE120" s="162">
        <f t="shared" ref="CE120:CF120" si="1087">+CE117+CE118</f>
        <v>254332.5624183279</v>
      </c>
      <c r="CF120" s="162">
        <f t="shared" si="1087"/>
        <v>261242.614</v>
      </c>
      <c r="CG120" s="162">
        <f t="shared" ref="CG120:CH120" si="1088">+CG117+CG118</f>
        <v>252939.55998886778</v>
      </c>
      <c r="CH120" s="162">
        <f t="shared" si="1088"/>
        <v>229810.32399999999</v>
      </c>
      <c r="CI120" s="162">
        <f t="shared" ref="CI120:CJ120" si="1089">+CI117+CI118</f>
        <v>228042.3309474737</v>
      </c>
      <c r="CJ120" s="162">
        <f t="shared" si="1089"/>
        <v>271355.42200000002</v>
      </c>
      <c r="CK120" s="162">
        <f t="shared" ref="CK120:CL120" si="1090">+CK117+CK118</f>
        <v>281188.85731305322</v>
      </c>
      <c r="CL120" s="162">
        <f t="shared" si="1090"/>
        <v>295004.06000000006</v>
      </c>
      <c r="CM120" s="21">
        <f t="shared" ref="CM120:DB120" si="1091">+CM121*CM123</f>
        <v>310415.95513547229</v>
      </c>
      <c r="CN120" s="21">
        <f t="shared" si="1091"/>
        <v>322223.31483142049</v>
      </c>
      <c r="CO120" s="21">
        <f t="shared" si="1091"/>
        <v>348124.09414339304</v>
      </c>
      <c r="CP120" s="21">
        <f t="shared" si="1091"/>
        <v>371750.36339133716</v>
      </c>
      <c r="CQ120" s="21">
        <f t="shared" si="1091"/>
        <v>382398.10950040695</v>
      </c>
      <c r="CR120" s="21">
        <f t="shared" si="1091"/>
        <v>392304.70123885578</v>
      </c>
      <c r="CS120" s="21">
        <f t="shared" si="1091"/>
        <v>404092.32624390844</v>
      </c>
      <c r="CT120" s="21">
        <f t="shared" si="1091"/>
        <v>411900.97001006012</v>
      </c>
      <c r="CU120" s="21">
        <f t="shared" si="1091"/>
        <v>419987.30474343122</v>
      </c>
      <c r="CV120" s="21">
        <f t="shared" si="1091"/>
        <v>427802.38875501498</v>
      </c>
      <c r="CW120" s="21">
        <f t="shared" si="1091"/>
        <v>435568.74159913237</v>
      </c>
      <c r="CX120" s="21">
        <f t="shared" si="1091"/>
        <v>442504.87634855305</v>
      </c>
      <c r="CY120" s="21">
        <f t="shared" si="1091"/>
        <v>449866.41496555752</v>
      </c>
      <c r="CZ120" s="21">
        <f t="shared" si="1091"/>
        <v>457447.14214106789</v>
      </c>
      <c r="DA120" s="21">
        <f t="shared" si="1091"/>
        <v>465508.26836719591</v>
      </c>
      <c r="DB120" s="21">
        <f t="shared" si="1091"/>
        <v>473980.18549571128</v>
      </c>
      <c r="DE120" s="22"/>
      <c r="DF120" s="162">
        <v>301038.01424153522</v>
      </c>
    </row>
    <row r="121" spans="1:110" s="162" customFormat="1" x14ac:dyDescent="0.2">
      <c r="A121" s="49" t="s">
        <v>13</v>
      </c>
      <c r="B121" s="162">
        <f t="shared" ref="B121:AE121" si="1092">+B37</f>
        <v>1702</v>
      </c>
      <c r="C121" s="162">
        <f t="shared" si="1092"/>
        <v>1296.1900000000005</v>
      </c>
      <c r="D121" s="162">
        <f t="shared" si="1092"/>
        <v>2303.8399999999992</v>
      </c>
      <c r="E121" s="162">
        <f t="shared" si="1092"/>
        <v>3509.0900000000011</v>
      </c>
      <c r="F121" s="162">
        <f t="shared" si="1092"/>
        <v>6119.23</v>
      </c>
      <c r="G121" s="162">
        <f t="shared" si="1092"/>
        <v>6288.13</v>
      </c>
      <c r="H121" s="162">
        <f t="shared" si="1092"/>
        <v>7387.68</v>
      </c>
      <c r="I121" s="162">
        <f t="shared" si="1092"/>
        <v>17782.429999999949</v>
      </c>
      <c r="J121" s="162">
        <f t="shared" si="1092"/>
        <v>18112.660000000025</v>
      </c>
      <c r="K121" s="162">
        <f t="shared" si="1092"/>
        <v>7998.739999999998</v>
      </c>
      <c r="L121" s="162">
        <f t="shared" si="1092"/>
        <v>16746.669999999984</v>
      </c>
      <c r="M121" s="162">
        <f t="shared" si="1092"/>
        <v>12366.320000000022</v>
      </c>
      <c r="N121" s="162">
        <f t="shared" si="1092"/>
        <v>12177.720000000023</v>
      </c>
      <c r="O121" s="162">
        <f t="shared" si="1092"/>
        <v>16354.890000000029</v>
      </c>
      <c r="P121" s="162">
        <f t="shared" si="1092"/>
        <v>12444.249999999985</v>
      </c>
      <c r="Q121" s="162">
        <f t="shared" si="1092"/>
        <v>7856.4499999999971</v>
      </c>
      <c r="R121" s="162">
        <f t="shared" si="1092"/>
        <v>16939.87000000001</v>
      </c>
      <c r="S121" s="162">
        <f t="shared" si="1092"/>
        <v>21303.630000000005</v>
      </c>
      <c r="T121" s="162">
        <f t="shared" si="1092"/>
        <v>29383.339999999982</v>
      </c>
      <c r="U121" s="162">
        <f t="shared" si="1092"/>
        <v>17821.949999999983</v>
      </c>
      <c r="V121" s="162">
        <f t="shared" si="1092"/>
        <v>30504.260000000009</v>
      </c>
      <c r="W121" s="162">
        <f t="shared" si="1092"/>
        <v>63489.950000000012</v>
      </c>
      <c r="X121" s="162">
        <f t="shared" si="1092"/>
        <v>32256.590000000026</v>
      </c>
      <c r="Y121" s="162">
        <f t="shared" si="1092"/>
        <v>22278.029999999984</v>
      </c>
      <c r="Z121" s="162">
        <f t="shared" si="1092"/>
        <v>25298.449999999997</v>
      </c>
      <c r="AA121" s="162">
        <f t="shared" ref="AA121" si="1093">+AA37</f>
        <v>34352.440000000017</v>
      </c>
      <c r="AB121" s="21">
        <f t="shared" si="1092"/>
        <v>43289.343385237182</v>
      </c>
      <c r="AC121" s="21">
        <f t="shared" si="1092"/>
        <v>47964.774987206547</v>
      </c>
      <c r="AD121" s="21">
        <f t="shared" si="1092"/>
        <v>51528.518673509388</v>
      </c>
      <c r="AE121" s="21">
        <f t="shared" si="1092"/>
        <v>55193.734904632467</v>
      </c>
      <c r="AL121" s="162">
        <f t="shared" ref="AL121:BQ121" si="1094">+SUM(AI37:AL37)</f>
        <v>12321.21000000001</v>
      </c>
      <c r="AM121" s="162">
        <f t="shared" si="1094"/>
        <v>12605.97</v>
      </c>
      <c r="AN121" s="162">
        <f t="shared" si="1094"/>
        <v>14001.239999999993</v>
      </c>
      <c r="AO121" s="162">
        <f t="shared" si="1094"/>
        <v>15768.869999999995</v>
      </c>
      <c r="AP121" s="162">
        <f t="shared" si="1094"/>
        <v>16411.009999999991</v>
      </c>
      <c r="AQ121" s="162">
        <f t="shared" si="1094"/>
        <v>16995.53999999999</v>
      </c>
      <c r="AR121" s="162">
        <f t="shared" si="1094"/>
        <v>16933.009999999995</v>
      </c>
      <c r="AS121" s="162">
        <f t="shared" si="1094"/>
        <v>16003.859999999993</v>
      </c>
      <c r="AT121" s="162">
        <f t="shared" si="1094"/>
        <v>12535.749999999996</v>
      </c>
      <c r="AU121" s="162">
        <f t="shared" si="1094"/>
        <v>10945.94</v>
      </c>
      <c r="AV121" s="162">
        <f t="shared" si="1094"/>
        <v>9087.1699999999964</v>
      </c>
      <c r="AW121" s="162">
        <f t="shared" si="1094"/>
        <v>6848.0399999999936</v>
      </c>
      <c r="AX121" s="162">
        <f t="shared" si="1094"/>
        <v>7550.799999999992</v>
      </c>
      <c r="AY121" s="162">
        <f t="shared" si="1094"/>
        <v>8143.4099999999926</v>
      </c>
      <c r="AZ121" s="162">
        <f t="shared" si="1094"/>
        <v>9430.4499999999953</v>
      </c>
      <c r="BA121" s="162">
        <f t="shared" si="1094"/>
        <v>12228.339999999997</v>
      </c>
      <c r="BB121" s="162">
        <f t="shared" si="1094"/>
        <v>17007.820000000007</v>
      </c>
      <c r="BC121" s="162">
        <f t="shared" si="1094"/>
        <v>18706.460000000006</v>
      </c>
      <c r="BD121" s="162">
        <f t="shared" si="1094"/>
        <v>20356.040000000008</v>
      </c>
      <c r="BE121" s="162">
        <f t="shared" si="1094"/>
        <v>22416.830000000009</v>
      </c>
      <c r="BF121" s="162">
        <f t="shared" si="1094"/>
        <v>21790.899999999994</v>
      </c>
      <c r="BG121" s="162">
        <f t="shared" si="1094"/>
        <v>23169.629999999997</v>
      </c>
      <c r="BH121" s="162">
        <f t="shared" si="1094"/>
        <v>27250.499999999989</v>
      </c>
      <c r="BI121" s="162">
        <f t="shared" si="1094"/>
        <v>28269.339999999989</v>
      </c>
      <c r="BJ121" s="162">
        <f t="shared" si="1094"/>
        <v>29383.339999999993</v>
      </c>
      <c r="BK121" s="162">
        <f t="shared" si="1094"/>
        <v>28407.499999999996</v>
      </c>
      <c r="BL121" s="162">
        <f t="shared" si="1094"/>
        <v>23425.520000000004</v>
      </c>
      <c r="BM121" s="162">
        <f t="shared" si="1094"/>
        <v>20329.48000000001</v>
      </c>
      <c r="BN121" s="162">
        <f t="shared" si="1094"/>
        <v>17615.390000000007</v>
      </c>
      <c r="BO121" s="162">
        <f t="shared" si="1094"/>
        <v>12777.720000000001</v>
      </c>
      <c r="BP121" s="162">
        <f t="shared" si="1094"/>
        <v>15170.869999999999</v>
      </c>
      <c r="BQ121" s="162">
        <f t="shared" si="1094"/>
        <v>21119.369999999995</v>
      </c>
      <c r="BR121" s="162">
        <f t="shared" ref="BR121:CL121" si="1095">+SUM(BO37:BR37)</f>
        <v>30504.260000000002</v>
      </c>
      <c r="BS121" s="162">
        <f t="shared" si="1095"/>
        <v>46075.58</v>
      </c>
      <c r="BT121" s="162">
        <f t="shared" si="1095"/>
        <v>56318.990000000013</v>
      </c>
      <c r="BU121" s="162">
        <f t="shared" si="1095"/>
        <v>62644.42</v>
      </c>
      <c r="BV121" s="162">
        <f t="shared" si="1095"/>
        <v>63489.950000000004</v>
      </c>
      <c r="BW121" s="162">
        <f t="shared" si="1095"/>
        <v>62352.200000000004</v>
      </c>
      <c r="BX121" s="162">
        <f t="shared" si="1095"/>
        <v>51956.400000000009</v>
      </c>
      <c r="BY121" s="162">
        <f t="shared" si="1095"/>
        <v>40110.570000000007</v>
      </c>
      <c r="BZ121" s="162">
        <f t="shared" si="1095"/>
        <v>32300.160000000003</v>
      </c>
      <c r="CA121" s="162">
        <f t="shared" si="1095"/>
        <v>22501.240000000013</v>
      </c>
      <c r="CB121" s="162">
        <f t="shared" si="1095"/>
        <v>20708.740000000005</v>
      </c>
      <c r="CC121" s="162">
        <f t="shared" si="1095"/>
        <v>22924.470000000016</v>
      </c>
      <c r="CD121" s="162">
        <f t="shared" si="1095"/>
        <v>22305.900000000009</v>
      </c>
      <c r="CE121" s="162">
        <f t="shared" si="1095"/>
        <v>23826.490000000005</v>
      </c>
      <c r="CF121" s="162">
        <f t="shared" si="1095"/>
        <v>25699.940000000013</v>
      </c>
      <c r="CG121" s="162">
        <f t="shared" si="1095"/>
        <v>25339.86</v>
      </c>
      <c r="CH121" s="162">
        <f t="shared" si="1095"/>
        <v>25298.450000000015</v>
      </c>
      <c r="CI121" s="162">
        <f t="shared" si="1095"/>
        <v>26031.520000000015</v>
      </c>
      <c r="CJ121" s="162">
        <f t="shared" si="1095"/>
        <v>28786.790000000008</v>
      </c>
      <c r="CK121" s="162">
        <f t="shared" si="1095"/>
        <v>31083.000000000011</v>
      </c>
      <c r="CL121" s="162">
        <f t="shared" si="1095"/>
        <v>34352.44</v>
      </c>
      <c r="CM121" s="21">
        <f t="shared" ref="CM121" si="1096">+SUM(CJ37:CM37)</f>
        <v>36147.114293389735</v>
      </c>
      <c r="CN121" s="21">
        <f t="shared" ref="CN121" si="1097">+SUM(CK37:CN37)</f>
        <v>37522.049999405033</v>
      </c>
      <c r="CO121" s="21">
        <f t="shared" ref="CO121" si="1098">+SUM(CL37:CO37)</f>
        <v>40538.127023117107</v>
      </c>
      <c r="CP121" s="21">
        <f t="shared" ref="CP121" si="1099">+SUM(CM37:CP37)</f>
        <v>43289.34338523716</v>
      </c>
      <c r="CQ121" s="21">
        <f t="shared" ref="CQ121" si="1100">+SUM(CN37:CQ37)</f>
        <v>44529.245166070454</v>
      </c>
      <c r="CR121" s="21">
        <f t="shared" ref="CR121" si="1101">+SUM(CO37:CR37)</f>
        <v>45682.841487082304</v>
      </c>
      <c r="CS121" s="21">
        <f t="shared" ref="CS121" si="1102">+SUM(CP37:CS37)</f>
        <v>47055.479140708398</v>
      </c>
      <c r="CT121" s="21">
        <f t="shared" ref="CT121" si="1103">+SUM(CQ37:CT37)</f>
        <v>47964.774987206576</v>
      </c>
      <c r="CU121" s="21">
        <f t="shared" ref="CU121" si="1104">+SUM(CR37:CU37)</f>
        <v>48906.407209990386</v>
      </c>
      <c r="CV121" s="21">
        <f t="shared" ref="CV121" si="1105">+SUM(CS37:CV37)</f>
        <v>49816.453005980075</v>
      </c>
      <c r="CW121" s="21">
        <f t="shared" ref="CW121" si="1106">+SUM(CT37:CW37)</f>
        <v>50720.824186825419</v>
      </c>
      <c r="CX121" s="21">
        <f t="shared" ref="CX121" si="1107">+SUM(CU37:CX37)</f>
        <v>51528.518673509396</v>
      </c>
      <c r="CY121" s="21">
        <f t="shared" ref="CY121" si="1108">+SUM(CV37:CY37)</f>
        <v>52385.750311773387</v>
      </c>
      <c r="CZ121" s="21">
        <f t="shared" ref="CZ121" si="1109">+SUM(CW37:CZ37)</f>
        <v>53268.505876063216</v>
      </c>
      <c r="DA121" s="21">
        <f t="shared" ref="DA121" si="1110">+SUM(CX37:DA37)</f>
        <v>54207.202635068803</v>
      </c>
      <c r="DB121" s="21">
        <f t="shared" ref="DB121" si="1111">+SUM(CY37:DB37)</f>
        <v>55193.734904632467</v>
      </c>
      <c r="DE121" s="22"/>
      <c r="DF121" s="162">
        <v>34024.988918333911</v>
      </c>
    </row>
    <row r="122" spans="1:110" s="162" customFormat="1" x14ac:dyDescent="0.2">
      <c r="A122" s="49" t="s">
        <v>343</v>
      </c>
      <c r="B122" s="162">
        <f>+B119/B121</f>
        <v>3.1961149907475823</v>
      </c>
      <c r="C122" s="162">
        <f t="shared" ref="C122:W122" si="1112">+C119/C121</f>
        <v>4.5302167241835454</v>
      </c>
      <c r="D122" s="162">
        <f t="shared" si="1112"/>
        <v>2.209983756417389</v>
      </c>
      <c r="E122" s="162" t="e">
        <f t="shared" ca="1" si="1112"/>
        <v>#DIV/0!</v>
      </c>
      <c r="F122" s="162" t="e">
        <f t="shared" ca="1" si="1112"/>
        <v>#DIV/0!</v>
      </c>
      <c r="G122" s="162" t="e">
        <f t="shared" ca="1" si="1112"/>
        <v>#DIV/0!</v>
      </c>
      <c r="H122" s="162" t="e">
        <f t="shared" ca="1" si="1112"/>
        <v>#DIV/0!</v>
      </c>
      <c r="I122" s="162" t="e">
        <f t="shared" ca="1" si="1112"/>
        <v>#DIV/0!</v>
      </c>
      <c r="J122" s="162" t="e">
        <f t="shared" ca="1" si="1112"/>
        <v>#DIV/0!</v>
      </c>
      <c r="K122" s="162" t="e">
        <f t="shared" ca="1" si="1112"/>
        <v>#DIV/0!</v>
      </c>
      <c r="L122" s="162" t="e">
        <f t="shared" ca="1" si="1112"/>
        <v>#DIV/0!</v>
      </c>
      <c r="M122" s="162" t="e">
        <f t="shared" ca="1" si="1112"/>
        <v>#DIV/0!</v>
      </c>
      <c r="N122" s="162" t="e">
        <f t="shared" ca="1" si="1112"/>
        <v>#DIV/0!</v>
      </c>
      <c r="O122" s="162" t="e">
        <f t="shared" ca="1" si="1112"/>
        <v>#DIV/0!</v>
      </c>
      <c r="P122" s="162" t="e">
        <f t="shared" ca="1" si="1112"/>
        <v>#DIV/0!</v>
      </c>
      <c r="Q122" s="162" t="e">
        <f t="shared" ca="1" si="1112"/>
        <v>#DIV/0!</v>
      </c>
      <c r="R122" s="162" t="e">
        <f t="shared" ca="1" si="1112"/>
        <v>#DIV/0!</v>
      </c>
      <c r="S122" s="162" t="e">
        <f t="shared" ca="1" si="1112"/>
        <v>#DIV/0!</v>
      </c>
      <c r="T122" s="162" t="e">
        <f t="shared" ca="1" si="1112"/>
        <v>#DIV/0!</v>
      </c>
      <c r="U122" s="162" t="e">
        <f t="shared" ca="1" si="1112"/>
        <v>#DIV/0!</v>
      </c>
      <c r="V122" s="162" t="e">
        <f t="shared" ca="1" si="1112"/>
        <v>#DIV/0!</v>
      </c>
      <c r="W122" s="162" t="e">
        <f t="shared" ca="1" si="1112"/>
        <v>#DIV/0!</v>
      </c>
      <c r="X122" s="162" t="e">
        <f t="shared" ref="X122:Y122" ca="1" si="1113">+X119/X121</f>
        <v>#DIV/0!</v>
      </c>
      <c r="Y122" s="162" t="e">
        <f t="shared" ca="1" si="1113"/>
        <v>#DIV/0!</v>
      </c>
      <c r="Z122" s="162" t="e">
        <f t="shared" ref="Z122:AA122" ca="1" si="1114">+Z119/Z121</f>
        <v>#DIV/0!</v>
      </c>
      <c r="AA122" s="162" t="e">
        <f t="shared" ca="1" si="1114"/>
        <v>#DIV/0!</v>
      </c>
      <c r="AB122" s="21" t="e">
        <f t="shared" ref="AA122:AD122" ca="1" si="1115">+AB119/AB121</f>
        <v>#DIV/0!</v>
      </c>
      <c r="AC122" s="21" t="e">
        <f t="shared" ca="1" si="1115"/>
        <v>#DIV/0!</v>
      </c>
      <c r="AD122" s="21" t="e">
        <f t="shared" ca="1" si="1115"/>
        <v>#DIV/0!</v>
      </c>
      <c r="AE122" s="21" t="e">
        <f t="shared" ref="AE122" ca="1" si="1116">+AE119/AE121</f>
        <v>#DIV/0!</v>
      </c>
      <c r="AL122" s="162">
        <f t="shared" ref="AL122" si="1117">+AL119/AL121</f>
        <v>8.1216716680014347</v>
      </c>
      <c r="AM122" s="162">
        <f t="shared" ref="AM122:AO122" si="1118">+AM119/AM121</f>
        <v>6.6264099128524752</v>
      </c>
      <c r="AN122" s="162">
        <f t="shared" si="1118"/>
        <v>6.4471162161593556</v>
      </c>
      <c r="AO122" s="162">
        <f t="shared" si="1118"/>
        <v>6.5507844343407324</v>
      </c>
      <c r="AP122" s="162">
        <f t="shared" ref="AP122:CD122" si="1119">+AP119/AP121</f>
        <v>6.6338460638695613</v>
      </c>
      <c r="AQ122" s="162">
        <f t="shared" si="1119"/>
        <v>7.2209764585173728</v>
      </c>
      <c r="AR122" s="162">
        <f t="shared" si="1119"/>
        <v>6.5397616753052299</v>
      </c>
      <c r="AS122" s="162">
        <f t="shared" si="1119"/>
        <v>6.2500083396840997</v>
      </c>
      <c r="AT122" s="162">
        <f t="shared" si="1119"/>
        <v>9.1905077163855626</v>
      </c>
      <c r="AU122" s="162">
        <f t="shared" si="1119"/>
        <v>9.8009215393273355</v>
      </c>
      <c r="AV122" s="162">
        <f t="shared" si="1119"/>
        <v>11.173959906424107</v>
      </c>
      <c r="AW122" s="162">
        <f t="shared" si="1119"/>
        <v>14.191347878616277</v>
      </c>
      <c r="AX122" s="162">
        <f t="shared" si="1119"/>
        <v>14.365779949961327</v>
      </c>
      <c r="AY122" s="162">
        <f t="shared" si="1119"/>
        <v>14.133451576485207</v>
      </c>
      <c r="AZ122" s="162">
        <f t="shared" si="1119"/>
        <v>13.00193087560065</v>
      </c>
      <c r="BA122" s="162">
        <f t="shared" si="1119"/>
        <v>10.350495418861929</v>
      </c>
      <c r="BB122" s="162">
        <f t="shared" si="1119"/>
        <v>7.7721187587243081</v>
      </c>
      <c r="BC122" s="162">
        <f t="shared" si="1119"/>
        <v>7.1092302948536794</v>
      </c>
      <c r="BD122" s="162">
        <f t="shared" si="1119"/>
        <v>7.8789858839820459</v>
      </c>
      <c r="BE122" s="162">
        <f t="shared" si="1119"/>
        <v>7.3783861215207471</v>
      </c>
      <c r="BF122" s="162">
        <f t="shared" si="1119"/>
        <v>7.3436109507340568</v>
      </c>
      <c r="BG122" s="162">
        <f t="shared" si="1119"/>
        <v>6.2292769748153578</v>
      </c>
      <c r="BH122" s="162">
        <f t="shared" si="1119"/>
        <v>6.653529102218311</v>
      </c>
      <c r="BI122" s="162">
        <f t="shared" si="1119"/>
        <v>6.121751675258329</v>
      </c>
      <c r="BJ122" s="162">
        <f t="shared" si="1119"/>
        <v>5.1599797436234294</v>
      </c>
      <c r="BK122" s="162">
        <f t="shared" si="1119"/>
        <v>5.3204705854759649</v>
      </c>
      <c r="BL122" s="162">
        <f t="shared" si="1119"/>
        <v>6.9335470034389841</v>
      </c>
      <c r="BM122" s="162">
        <f t="shared" si="1119"/>
        <v>7.8385214649827608</v>
      </c>
      <c r="BN122" s="162">
        <f t="shared" si="1119"/>
        <v>9.3621025024140785</v>
      </c>
      <c r="BO122" s="162">
        <f t="shared" si="1119"/>
        <v>11.331825029163969</v>
      </c>
      <c r="BP122" s="162">
        <f t="shared" si="1119"/>
        <v>9.8177691852873306</v>
      </c>
      <c r="BQ122" s="162">
        <f t="shared" si="1119"/>
        <v>8.1575415592286937</v>
      </c>
      <c r="BR122" s="162">
        <f t="shared" si="1119"/>
        <v>5.5858622369465767</v>
      </c>
      <c r="BS122" s="162">
        <f t="shared" si="1119"/>
        <v>4.6759546885263443</v>
      </c>
      <c r="BT122" s="162">
        <f t="shared" si="1119"/>
        <v>4.4949590253660432</v>
      </c>
      <c r="BU122" s="162">
        <f t="shared" si="1119"/>
        <v>3.6752635690411748</v>
      </c>
      <c r="BV122" s="162">
        <f t="shared" si="1119"/>
        <v>3.3836943138244711</v>
      </c>
      <c r="BW122" s="162">
        <f t="shared" si="1119"/>
        <v>3.3278762786283047</v>
      </c>
      <c r="BX122" s="162">
        <f t="shared" si="1119"/>
        <v>3.9969087927570031</v>
      </c>
      <c r="BY122" s="162">
        <f t="shared" si="1119"/>
        <v>5.2625269804590831</v>
      </c>
      <c r="BZ122" s="162">
        <f t="shared" si="1119"/>
        <v>6.6899721858962931</v>
      </c>
      <c r="CA122" s="162">
        <f t="shared" si="1119"/>
        <v>9.0264358524649495</v>
      </c>
      <c r="CB122" s="162">
        <f t="shared" si="1119"/>
        <v>11.570723472311688</v>
      </c>
      <c r="CC122" s="162">
        <f t="shared" si="1119"/>
        <v>10.768936422061442</v>
      </c>
      <c r="CD122" s="162">
        <f t="shared" si="1119"/>
        <v>12.155154017546923</v>
      </c>
      <c r="CE122" s="162">
        <f t="shared" ref="CE122:CF122" si="1120">+CE119/CE121</f>
        <v>12.582707331979146</v>
      </c>
      <c r="CF122" s="162">
        <f t="shared" si="1120"/>
        <v>11.902789111569906</v>
      </c>
      <c r="CG122" s="162">
        <f t="shared" ref="CG122:CH122" si="1121">+CG119/CG121</f>
        <v>11.650726404521087</v>
      </c>
      <c r="CH122" s="162">
        <f t="shared" si="1121"/>
        <v>10.933054159444545</v>
      </c>
      <c r="CI122" s="162">
        <f t="shared" ref="CI122:CJ122" si="1122">+CI119/CI121</f>
        <v>10.744141984312616</v>
      </c>
      <c r="CJ122" s="162">
        <f t="shared" si="1122"/>
        <v>10.371063046626592</v>
      </c>
      <c r="CK122" s="162">
        <f t="shared" ref="CK122:CL122" si="1123">+CK119/CK121</f>
        <v>10.129966133032624</v>
      </c>
      <c r="CL122" s="162">
        <f t="shared" si="1123"/>
        <v>10.012857310863508</v>
      </c>
      <c r="CM122" s="21">
        <f t="shared" ref="CM122:CM123" si="1124">+CL122</f>
        <v>10.012857310863508</v>
      </c>
      <c r="CN122" s="21">
        <f t="shared" ref="CN122:CN123" si="1125">+CM122</f>
        <v>10.012857310863508</v>
      </c>
      <c r="CO122" s="21">
        <f t="shared" ref="CO122:CO123" si="1126">+CN122</f>
        <v>10.012857310863508</v>
      </c>
      <c r="CP122" s="21">
        <f t="shared" ref="CP122:CP123" si="1127">+CO122</f>
        <v>10.012857310863508</v>
      </c>
      <c r="CQ122" s="21">
        <f t="shared" ref="CQ122:CQ123" si="1128">+CP122</f>
        <v>10.012857310863508</v>
      </c>
      <c r="CR122" s="21">
        <f t="shared" ref="CR122:CR123" si="1129">+CQ122</f>
        <v>10.012857310863508</v>
      </c>
      <c r="CS122" s="21">
        <f t="shared" ref="CS122:CS123" si="1130">+CR122</f>
        <v>10.012857310863508</v>
      </c>
      <c r="CT122" s="21">
        <f t="shared" ref="CT122:CT123" si="1131">+CS122</f>
        <v>10.012857310863508</v>
      </c>
      <c r="CU122" s="21">
        <f t="shared" ref="CU122:CU123" si="1132">+CT122</f>
        <v>10.012857310863508</v>
      </c>
      <c r="CV122" s="21">
        <f t="shared" ref="CV122:CV123" si="1133">+CU122</f>
        <v>10.012857310863508</v>
      </c>
      <c r="CW122" s="21">
        <f t="shared" ref="CW122:CW123" si="1134">+CV122</f>
        <v>10.012857310863508</v>
      </c>
      <c r="CX122" s="21">
        <f t="shared" ref="CX122:CX123" si="1135">+CW122</f>
        <v>10.012857310863508</v>
      </c>
      <c r="CY122" s="21">
        <f t="shared" ref="CY122:CY123" si="1136">+CX122</f>
        <v>10.012857310863508</v>
      </c>
      <c r="CZ122" s="21">
        <f t="shared" ref="CZ122:CZ123" si="1137">+CY122</f>
        <v>10.012857310863508</v>
      </c>
      <c r="DA122" s="21">
        <f t="shared" ref="DA122:DA123" si="1138">+CZ122</f>
        <v>10.012857310863508</v>
      </c>
      <c r="DB122" s="21">
        <f t="shared" ref="DB122:DB123" si="1139">+DA122</f>
        <v>10.012857310863508</v>
      </c>
      <c r="DE122" s="22"/>
      <c r="DF122" s="162">
        <v>10.286558361021021</v>
      </c>
    </row>
    <row r="123" spans="1:110" s="162" customFormat="1" x14ac:dyDescent="0.2">
      <c r="A123" s="49" t="s">
        <v>344</v>
      </c>
      <c r="B123" s="162">
        <f>+B120/B121</f>
        <v>3.0943415843842428</v>
      </c>
      <c r="C123" s="162">
        <f t="shared" ref="C123:W123" si="1140">+C120/C121</f>
        <v>4.3987304811069396</v>
      </c>
      <c r="D123" s="162">
        <f t="shared" si="1140"/>
        <v>2.1508380086681029</v>
      </c>
      <c r="E123" s="162" t="e">
        <f t="shared" ca="1" si="1140"/>
        <v>#DIV/0!</v>
      </c>
      <c r="F123" s="162" t="e">
        <f t="shared" ca="1" si="1140"/>
        <v>#DIV/0!</v>
      </c>
      <c r="G123" s="162" t="e">
        <f t="shared" ca="1" si="1140"/>
        <v>#DIV/0!</v>
      </c>
      <c r="H123" s="162" t="e">
        <f t="shared" ca="1" si="1140"/>
        <v>#DIV/0!</v>
      </c>
      <c r="I123" s="162" t="e">
        <f t="shared" ca="1" si="1140"/>
        <v>#DIV/0!</v>
      </c>
      <c r="J123" s="162" t="e">
        <f t="shared" ca="1" si="1140"/>
        <v>#DIV/0!</v>
      </c>
      <c r="K123" s="162" t="e">
        <f t="shared" ca="1" si="1140"/>
        <v>#DIV/0!</v>
      </c>
      <c r="L123" s="162" t="e">
        <f t="shared" ca="1" si="1140"/>
        <v>#DIV/0!</v>
      </c>
      <c r="M123" s="162" t="e">
        <f t="shared" ca="1" si="1140"/>
        <v>#DIV/0!</v>
      </c>
      <c r="N123" s="162" t="e">
        <f t="shared" ca="1" si="1140"/>
        <v>#DIV/0!</v>
      </c>
      <c r="O123" s="162" t="e">
        <f t="shared" ca="1" si="1140"/>
        <v>#DIV/0!</v>
      </c>
      <c r="P123" s="162" t="e">
        <f t="shared" ca="1" si="1140"/>
        <v>#DIV/0!</v>
      </c>
      <c r="Q123" s="162" t="e">
        <f t="shared" ca="1" si="1140"/>
        <v>#DIV/0!</v>
      </c>
      <c r="R123" s="162" t="e">
        <f t="shared" ca="1" si="1140"/>
        <v>#DIV/0!</v>
      </c>
      <c r="S123" s="162" t="e">
        <f t="shared" ca="1" si="1140"/>
        <v>#DIV/0!</v>
      </c>
      <c r="T123" s="162" t="e">
        <f t="shared" ca="1" si="1140"/>
        <v>#DIV/0!</v>
      </c>
      <c r="U123" s="162" t="e">
        <f t="shared" ca="1" si="1140"/>
        <v>#DIV/0!</v>
      </c>
      <c r="V123" s="162" t="e">
        <f t="shared" ca="1" si="1140"/>
        <v>#DIV/0!</v>
      </c>
      <c r="W123" s="162" t="e">
        <f t="shared" ca="1" si="1140"/>
        <v>#DIV/0!</v>
      </c>
      <c r="X123" s="162" t="e">
        <f t="shared" ref="X123:Y123" ca="1" si="1141">+X120/X121</f>
        <v>#DIV/0!</v>
      </c>
      <c r="Y123" s="162" t="e">
        <f t="shared" ca="1" si="1141"/>
        <v>#DIV/0!</v>
      </c>
      <c r="Z123" s="162" t="e">
        <f t="shared" ref="Z123:AA123" ca="1" si="1142">+Z120/Z121</f>
        <v>#DIV/0!</v>
      </c>
      <c r="AA123" s="162" t="e">
        <f t="shared" ca="1" si="1142"/>
        <v>#DIV/0!</v>
      </c>
      <c r="AB123" s="21" t="e">
        <f t="shared" ref="AA123:AD123" ca="1" si="1143">+AB120/AB121</f>
        <v>#DIV/0!</v>
      </c>
      <c r="AC123" s="21" t="e">
        <f t="shared" ca="1" si="1143"/>
        <v>#DIV/0!</v>
      </c>
      <c r="AD123" s="21" t="e">
        <f t="shared" ca="1" si="1143"/>
        <v>#DIV/0!</v>
      </c>
      <c r="AE123" s="21" t="e">
        <f t="shared" ref="AE123" ca="1" si="1144">+AE120/AE121</f>
        <v>#DIV/0!</v>
      </c>
      <c r="AL123" s="162">
        <f t="shared" ref="AL123:AM123" si="1145">+AL120/AL121</f>
        <v>6.7012717199292409</v>
      </c>
      <c r="AM123" s="162">
        <f t="shared" si="1145"/>
        <v>6.0098004533410014</v>
      </c>
      <c r="AN123" s="162">
        <f t="shared" ref="AN123:AO123" si="1146">+AN120/AN121</f>
        <v>5.4042769755523237</v>
      </c>
      <c r="AO123" s="162">
        <f t="shared" si="1146"/>
        <v>5.324110524462661</v>
      </c>
      <c r="AP123" s="162">
        <f t="shared" ref="AP123:CD123" si="1147">+AP120/AP121</f>
        <v>5.8864460679814359</v>
      </c>
      <c r="AQ123" s="162">
        <f t="shared" si="1147"/>
        <v>5.8758412926560073</v>
      </c>
      <c r="AR123" s="162">
        <f t="shared" si="1147"/>
        <v>5.6778298711592976</v>
      </c>
      <c r="AS123" s="162">
        <f t="shared" si="1147"/>
        <v>5.4460901311814354</v>
      </c>
      <c r="AT123" s="162">
        <f t="shared" si="1147"/>
        <v>8.1485356558302673</v>
      </c>
      <c r="AU123" s="162">
        <f t="shared" si="1147"/>
        <v>8.751481815955847</v>
      </c>
      <c r="AV123" s="162">
        <f t="shared" si="1147"/>
        <v>9.7313278988803127</v>
      </c>
      <c r="AW123" s="162">
        <f t="shared" si="1147"/>
        <v>13.222031406560641</v>
      </c>
      <c r="AX123" s="162">
        <f t="shared" si="1147"/>
        <v>12.56271724534357</v>
      </c>
      <c r="AY123" s="162">
        <f t="shared" si="1147"/>
        <v>13.159239131737579</v>
      </c>
      <c r="AZ123" s="162">
        <f t="shared" si="1147"/>
        <v>11.785734792175813</v>
      </c>
      <c r="BA123" s="162">
        <f t="shared" si="1147"/>
        <v>9.6229954096318657</v>
      </c>
      <c r="BB123" s="162">
        <f t="shared" si="1147"/>
        <v>6.9370389975695144</v>
      </c>
      <c r="BC123" s="162">
        <f t="shared" si="1147"/>
        <v>6.3560158283600128</v>
      </c>
      <c r="BD123" s="162">
        <f t="shared" si="1147"/>
        <v>6.9763244287659534</v>
      </c>
      <c r="BE123" s="162">
        <f t="shared" si="1147"/>
        <v>6.9006816608649775</v>
      </c>
      <c r="BF123" s="162">
        <f t="shared" si="1147"/>
        <v>6.1928562106200307</v>
      </c>
      <c r="BG123" s="162">
        <f t="shared" si="1147"/>
        <v>5.6924977167952671</v>
      </c>
      <c r="BH123" s="162">
        <f t="shared" si="1147"/>
        <v>5.9522289132309529</v>
      </c>
      <c r="BI123" s="162">
        <f t="shared" si="1147"/>
        <v>5.5785488130761909</v>
      </c>
      <c r="BJ123" s="162">
        <f t="shared" si="1147"/>
        <v>4.7791674602002381</v>
      </c>
      <c r="BK123" s="162">
        <f t="shared" si="1147"/>
        <v>4.8600496262222475</v>
      </c>
      <c r="BL123" s="162">
        <f t="shared" si="1147"/>
        <v>5.9095240062974046</v>
      </c>
      <c r="BM123" s="162">
        <f t="shared" si="1147"/>
        <v>6.8831285675746612</v>
      </c>
      <c r="BN123" s="162">
        <f t="shared" si="1147"/>
        <v>7.5559570125895554</v>
      </c>
      <c r="BO123" s="162">
        <f t="shared" si="1147"/>
        <v>10.361420794292647</v>
      </c>
      <c r="BP123" s="162">
        <f t="shared" si="1147"/>
        <v>8.8043337000448894</v>
      </c>
      <c r="BQ123" s="162">
        <f t="shared" si="1147"/>
        <v>6.4354677852477469</v>
      </c>
      <c r="BR123" s="162">
        <f t="shared" si="1147"/>
        <v>4.6567514570096105</v>
      </c>
      <c r="BS123" s="162">
        <f t="shared" si="1147"/>
        <v>3.5167909058892071</v>
      </c>
      <c r="BT123" s="162">
        <f t="shared" si="1147"/>
        <v>3.5998959143265874</v>
      </c>
      <c r="BU123" s="162">
        <f t="shared" si="1147"/>
        <v>2.9536154860993902</v>
      </c>
      <c r="BV123" s="162">
        <f t="shared" si="1147"/>
        <v>2.785417767693942</v>
      </c>
      <c r="BW123" s="162">
        <f t="shared" si="1147"/>
        <v>2.2092211614071005</v>
      </c>
      <c r="BX123" s="162">
        <f t="shared" si="1147"/>
        <v>3.277348222740605</v>
      </c>
      <c r="BY123" s="162">
        <f t="shared" si="1147"/>
        <v>4.7011714076013549</v>
      </c>
      <c r="BZ123" s="162">
        <f t="shared" si="1147"/>
        <v>5.8152237016782582</v>
      </c>
      <c r="CA123" s="162">
        <f t="shared" si="1147"/>
        <v>8.3473115019847093</v>
      </c>
      <c r="CB123" s="162">
        <f t="shared" si="1147"/>
        <v>10.152133447037334</v>
      </c>
      <c r="CC123" s="162">
        <f t="shared" si="1147"/>
        <v>9.3024463352677245</v>
      </c>
      <c r="CD123" s="162">
        <f t="shared" si="1147"/>
        <v>10.399133592457597</v>
      </c>
      <c r="CE123" s="162">
        <f t="shared" ref="CE123:CF123" si="1148">+CE120/CE121</f>
        <v>10.674361285205158</v>
      </c>
      <c r="CF123" s="162">
        <f t="shared" si="1148"/>
        <v>10.165105988574288</v>
      </c>
      <c r="CG123" s="162">
        <f t="shared" ref="CG123:CH123" si="1149">+CG120/CG121</f>
        <v>9.9818846666425056</v>
      </c>
      <c r="CH123" s="162">
        <f t="shared" si="1149"/>
        <v>9.083968543527364</v>
      </c>
      <c r="CI123" s="162">
        <f t="shared" ref="CI123:CJ123" si="1150">+CI120/CI121</f>
        <v>8.760238777738433</v>
      </c>
      <c r="CJ123" s="162">
        <f t="shared" si="1150"/>
        <v>9.4263869642985529</v>
      </c>
      <c r="CK123" s="162">
        <f t="shared" ref="CK123:CL123" si="1151">+CK120/CK121</f>
        <v>9.0463873278979872</v>
      </c>
      <c r="CL123" s="162">
        <f t="shared" si="1151"/>
        <v>8.5875722364990672</v>
      </c>
      <c r="CM123" s="21">
        <f t="shared" si="1124"/>
        <v>8.5875722364990672</v>
      </c>
      <c r="CN123" s="21">
        <f t="shared" si="1125"/>
        <v>8.5875722364990672</v>
      </c>
      <c r="CO123" s="21">
        <f t="shared" si="1126"/>
        <v>8.5875722364990672</v>
      </c>
      <c r="CP123" s="21">
        <f t="shared" si="1127"/>
        <v>8.5875722364990672</v>
      </c>
      <c r="CQ123" s="21">
        <f t="shared" si="1128"/>
        <v>8.5875722364990672</v>
      </c>
      <c r="CR123" s="21">
        <f t="shared" si="1129"/>
        <v>8.5875722364990672</v>
      </c>
      <c r="CS123" s="21">
        <f t="shared" si="1130"/>
        <v>8.5875722364990672</v>
      </c>
      <c r="CT123" s="21">
        <f t="shared" si="1131"/>
        <v>8.5875722364990672</v>
      </c>
      <c r="CU123" s="21">
        <f t="shared" si="1132"/>
        <v>8.5875722364990672</v>
      </c>
      <c r="CV123" s="21">
        <f t="shared" si="1133"/>
        <v>8.5875722364990672</v>
      </c>
      <c r="CW123" s="21">
        <f t="shared" si="1134"/>
        <v>8.5875722364990672</v>
      </c>
      <c r="CX123" s="21">
        <f t="shared" si="1135"/>
        <v>8.5875722364990672</v>
      </c>
      <c r="CY123" s="21">
        <f t="shared" si="1136"/>
        <v>8.5875722364990672</v>
      </c>
      <c r="CZ123" s="21">
        <f t="shared" si="1137"/>
        <v>8.5875722364990672</v>
      </c>
      <c r="DA123" s="21">
        <f t="shared" si="1138"/>
        <v>8.5875722364990672</v>
      </c>
      <c r="DB123" s="21">
        <f t="shared" si="1139"/>
        <v>8.5875722364990672</v>
      </c>
      <c r="DE123" s="22"/>
      <c r="DF123" s="162">
        <v>8.8475565697928822</v>
      </c>
    </row>
    <row r="124" spans="1:110" s="162" customFormat="1" x14ac:dyDescent="0.2">
      <c r="A124" s="49"/>
      <c r="AB124" s="21"/>
      <c r="AC124" s="21"/>
      <c r="AD124" s="21"/>
      <c r="AE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E124" s="22"/>
    </row>
    <row r="125" spans="1:110" s="162" customFormat="1" x14ac:dyDescent="0.2">
      <c r="A125" s="49" t="s">
        <v>530</v>
      </c>
      <c r="N125" s="162">
        <f>AL125</f>
        <v>24.139999999999997</v>
      </c>
      <c r="O125" s="162">
        <f>AP125</f>
        <v>26.560000000000002</v>
      </c>
      <c r="P125" s="162">
        <f>AT125</f>
        <v>26.32</v>
      </c>
      <c r="Q125" s="162">
        <f>AX125</f>
        <v>25.310000000000002</v>
      </c>
      <c r="R125" s="162">
        <f>BB125</f>
        <v>23.880000000000003</v>
      </c>
      <c r="S125" s="162">
        <f>BF125</f>
        <v>25.27</v>
      </c>
      <c r="T125" s="162">
        <f>BJ125</f>
        <v>27.85</v>
      </c>
      <c r="U125" s="162">
        <f>BN125</f>
        <v>26.68</v>
      </c>
      <c r="V125" s="162">
        <f>BR125</f>
        <v>27.04</v>
      </c>
      <c r="W125" s="162">
        <f>BV125</f>
        <v>29.519999999999996</v>
      </c>
      <c r="X125" s="162">
        <f>BZ125</f>
        <v>28.78</v>
      </c>
      <c r="Y125" s="162">
        <f>CD125</f>
        <v>29.17</v>
      </c>
      <c r="Z125" s="162">
        <f>CH125</f>
        <v>30.939999999999998</v>
      </c>
      <c r="AA125" s="162">
        <f>CI125</f>
        <v>30.729999999999997</v>
      </c>
      <c r="AB125" s="21">
        <f>+CP125</f>
        <v>33.98171208572866</v>
      </c>
      <c r="AC125" s="21">
        <f>+CT125</f>
        <v>36.348227789341706</v>
      </c>
      <c r="AD125" s="21">
        <f>+CX125</f>
        <v>38.899397225696852</v>
      </c>
      <c r="AE125" s="21">
        <f>+DB125</f>
        <v>41.633327203503256</v>
      </c>
      <c r="AL125" s="162">
        <f t="shared" ref="AL125:CL125" si="1152">SUM(AI4:AL4)</f>
        <v>24.139999999999997</v>
      </c>
      <c r="AM125" s="162">
        <f t="shared" si="1152"/>
        <v>24.54</v>
      </c>
      <c r="AN125" s="162">
        <f t="shared" si="1152"/>
        <v>24.95</v>
      </c>
      <c r="AO125" s="162">
        <f t="shared" si="1152"/>
        <v>25.5</v>
      </c>
      <c r="AP125" s="162">
        <f t="shared" si="1152"/>
        <v>26.560000000000002</v>
      </c>
      <c r="AQ125" s="162">
        <f t="shared" si="1152"/>
        <v>26.94</v>
      </c>
      <c r="AR125" s="162">
        <f t="shared" si="1152"/>
        <v>26.96</v>
      </c>
      <c r="AS125" s="162">
        <f t="shared" si="1152"/>
        <v>26.88</v>
      </c>
      <c r="AT125" s="162">
        <f t="shared" si="1152"/>
        <v>26.32</v>
      </c>
      <c r="AU125" s="162">
        <f t="shared" si="1152"/>
        <v>26.189999999999998</v>
      </c>
      <c r="AV125" s="162">
        <f t="shared" si="1152"/>
        <v>25.979999999999997</v>
      </c>
      <c r="AW125" s="162">
        <f t="shared" si="1152"/>
        <v>26.05</v>
      </c>
      <c r="AX125" s="162">
        <f t="shared" si="1152"/>
        <v>25.310000000000002</v>
      </c>
      <c r="AY125" s="162">
        <f t="shared" si="1152"/>
        <v>24.35</v>
      </c>
      <c r="AZ125" s="162">
        <f t="shared" si="1152"/>
        <v>23.67</v>
      </c>
      <c r="BA125" s="162">
        <f t="shared" si="1152"/>
        <v>23.37</v>
      </c>
      <c r="BB125" s="162">
        <f t="shared" si="1152"/>
        <v>23.880000000000003</v>
      </c>
      <c r="BC125" s="162">
        <f t="shared" si="1152"/>
        <v>24.339999999999996</v>
      </c>
      <c r="BD125" s="162">
        <f t="shared" si="1152"/>
        <v>25.18</v>
      </c>
      <c r="BE125" s="162">
        <f t="shared" si="1152"/>
        <v>25.669999999999998</v>
      </c>
      <c r="BF125" s="162">
        <f t="shared" si="1152"/>
        <v>25.27</v>
      </c>
      <c r="BG125" s="162">
        <f t="shared" si="1152"/>
        <v>25.99</v>
      </c>
      <c r="BH125" s="162">
        <f t="shared" si="1152"/>
        <v>26.34</v>
      </c>
      <c r="BI125" s="162">
        <f t="shared" si="1152"/>
        <v>26.770000000000003</v>
      </c>
      <c r="BJ125" s="162">
        <f t="shared" si="1152"/>
        <v>27.85</v>
      </c>
      <c r="BK125" s="162">
        <f t="shared" si="1152"/>
        <v>27.639999999999997</v>
      </c>
      <c r="BL125" s="162">
        <f t="shared" si="1152"/>
        <v>27.37</v>
      </c>
      <c r="BM125" s="162">
        <f t="shared" si="1152"/>
        <v>27.689999999999998</v>
      </c>
      <c r="BN125" s="162">
        <f t="shared" si="1152"/>
        <v>26.68</v>
      </c>
      <c r="BO125" s="162">
        <f t="shared" si="1152"/>
        <v>25.27</v>
      </c>
      <c r="BP125" s="162">
        <f t="shared" si="1152"/>
        <v>26.14</v>
      </c>
      <c r="BQ125" s="162">
        <f t="shared" si="1152"/>
        <v>25.709999999999997</v>
      </c>
      <c r="BR125" s="162">
        <f t="shared" si="1152"/>
        <v>27.04</v>
      </c>
      <c r="BS125" s="162">
        <f t="shared" si="1152"/>
        <v>29.22</v>
      </c>
      <c r="BT125" s="162">
        <f t="shared" si="1152"/>
        <v>29.21</v>
      </c>
      <c r="BU125" s="162">
        <f t="shared" si="1152"/>
        <v>29.340000000000003</v>
      </c>
      <c r="BV125" s="162">
        <f t="shared" si="1152"/>
        <v>29.519999999999996</v>
      </c>
      <c r="BW125" s="162">
        <f t="shared" si="1152"/>
        <v>29.029999999999998</v>
      </c>
      <c r="BX125" s="162">
        <f t="shared" si="1152"/>
        <v>28.87</v>
      </c>
      <c r="BY125" s="162">
        <f t="shared" si="1152"/>
        <v>29.009999999999998</v>
      </c>
      <c r="BZ125" s="162">
        <f t="shared" si="1152"/>
        <v>28.78</v>
      </c>
      <c r="CA125" s="162">
        <f t="shared" si="1152"/>
        <v>29.34</v>
      </c>
      <c r="CB125" s="162">
        <f t="shared" si="1152"/>
        <v>29.17</v>
      </c>
      <c r="CC125" s="162">
        <f t="shared" si="1152"/>
        <v>29.090000000000003</v>
      </c>
      <c r="CD125" s="162">
        <f t="shared" si="1152"/>
        <v>29.17</v>
      </c>
      <c r="CE125" s="162">
        <f t="shared" si="1152"/>
        <v>29.39</v>
      </c>
      <c r="CF125" s="162">
        <f t="shared" si="1152"/>
        <v>29.919999999999998</v>
      </c>
      <c r="CG125" s="162">
        <f t="shared" si="1152"/>
        <v>30.52</v>
      </c>
      <c r="CH125" s="162">
        <f t="shared" si="1152"/>
        <v>30.939999999999998</v>
      </c>
      <c r="CI125" s="162">
        <f t="shared" si="1152"/>
        <v>30.729999999999997</v>
      </c>
      <c r="CJ125" s="162">
        <f t="shared" si="1152"/>
        <v>30.82</v>
      </c>
      <c r="CK125" s="162">
        <f>SUM(CH4:CK4)</f>
        <v>31.4</v>
      </c>
      <c r="CL125" s="162">
        <f t="shared" si="1152"/>
        <v>31.869999999999997</v>
      </c>
      <c r="CM125" s="21">
        <f t="shared" ref="CM125:DB125" si="1153">SUM(CJ4:CM4)</f>
        <v>32.265697388516621</v>
      </c>
      <c r="CN125" s="21">
        <f t="shared" si="1153"/>
        <v>32.724826287631608</v>
      </c>
      <c r="CO125" s="21">
        <f t="shared" si="1153"/>
        <v>33.336644795269677</v>
      </c>
      <c r="CP125" s="21">
        <f t="shared" si="1153"/>
        <v>33.98171208572866</v>
      </c>
      <c r="CQ125" s="21">
        <f t="shared" si="1153"/>
        <v>34.484882008393754</v>
      </c>
      <c r="CR125" s="21">
        <f t="shared" si="1153"/>
        <v>35.047978605340418</v>
      </c>
      <c r="CS125" s="21">
        <f t="shared" si="1153"/>
        <v>35.682110520830946</v>
      </c>
      <c r="CT125" s="21">
        <f t="shared" si="1153"/>
        <v>36.348227789341706</v>
      </c>
      <c r="CU125" s="21">
        <f t="shared" si="1153"/>
        <v>36.910351080835483</v>
      </c>
      <c r="CV125" s="21">
        <f t="shared" si="1153"/>
        <v>37.521977966605377</v>
      </c>
      <c r="CW125" s="21">
        <f t="shared" si="1153"/>
        <v>38.192002542607185</v>
      </c>
      <c r="CX125" s="21">
        <f t="shared" si="1153"/>
        <v>38.899397225696852</v>
      </c>
      <c r="CY125" s="21">
        <f t="shared" si="1153"/>
        <v>39.506363000964932</v>
      </c>
      <c r="CZ125" s="21">
        <f t="shared" si="1153"/>
        <v>40.161391441330345</v>
      </c>
      <c r="DA125" s="21">
        <f t="shared" si="1153"/>
        <v>40.876461279045529</v>
      </c>
      <c r="DB125" s="21">
        <f t="shared" si="1153"/>
        <v>41.633327203503256</v>
      </c>
      <c r="DE125" s="22"/>
      <c r="DF125" s="162">
        <v>31.869999999999997</v>
      </c>
    </row>
    <row r="126" spans="1:110" s="162" customFormat="1" x14ac:dyDescent="0.2">
      <c r="A126" s="194" t="s">
        <v>531</v>
      </c>
      <c r="O126" s="195">
        <f>O125/N125-1</f>
        <v>0.10024855012427536</v>
      </c>
      <c r="P126" s="195">
        <f t="shared" ref="P126:AE126" si="1154">P125/O125-1</f>
        <v>-9.0361445783133654E-3</v>
      </c>
      <c r="Q126" s="195">
        <f t="shared" si="1154"/>
        <v>-3.8373860182370767E-2</v>
      </c>
      <c r="R126" s="195">
        <f t="shared" si="1154"/>
        <v>-5.6499407348873931E-2</v>
      </c>
      <c r="S126" s="195">
        <f t="shared" si="1154"/>
        <v>5.8207705192629744E-2</v>
      </c>
      <c r="T126" s="195">
        <f t="shared" si="1154"/>
        <v>0.10209734863474473</v>
      </c>
      <c r="U126" s="195">
        <f t="shared" si="1154"/>
        <v>-4.2010771992818774E-2</v>
      </c>
      <c r="V126" s="195">
        <f t="shared" si="1154"/>
        <v>1.3493253373313419E-2</v>
      </c>
      <c r="W126" s="195">
        <f t="shared" si="1154"/>
        <v>9.171597633136086E-2</v>
      </c>
      <c r="X126" s="195">
        <f t="shared" si="1154"/>
        <v>-2.5067750677506551E-2</v>
      </c>
      <c r="Y126" s="195">
        <f t="shared" si="1154"/>
        <v>1.3551077136900735E-2</v>
      </c>
      <c r="Z126" s="195">
        <f t="shared" si="1154"/>
        <v>6.0678779568049235E-2</v>
      </c>
      <c r="AA126" s="195">
        <f t="shared" si="1154"/>
        <v>-6.7873303167420573E-3</v>
      </c>
      <c r="AB126" s="196">
        <f t="shared" si="1154"/>
        <v>0.10581555762214978</v>
      </c>
      <c r="AC126" s="196">
        <f t="shared" si="1154"/>
        <v>6.9640861462272108E-2</v>
      </c>
      <c r="AD126" s="196">
        <f t="shared" si="1154"/>
        <v>7.0186900201588909E-2</v>
      </c>
      <c r="AE126" s="196">
        <f t="shared" si="1154"/>
        <v>7.0282065347798683E-2</v>
      </c>
      <c r="AP126" s="195">
        <f t="shared" ref="AP126:CL126" si="1155">AP125/AL125-1</f>
        <v>0.10024855012427536</v>
      </c>
      <c r="AQ126" s="195">
        <f t="shared" si="1155"/>
        <v>9.7799511002444994E-2</v>
      </c>
      <c r="AR126" s="195">
        <f t="shared" si="1155"/>
        <v>8.0561122244489081E-2</v>
      </c>
      <c r="AS126" s="195">
        <f t="shared" si="1155"/>
        <v>5.4117647058823382E-2</v>
      </c>
      <c r="AT126" s="195">
        <f t="shared" si="1155"/>
        <v>-9.0361445783133654E-3</v>
      </c>
      <c r="AU126" s="195">
        <f t="shared" si="1155"/>
        <v>-2.7839643652561419E-2</v>
      </c>
      <c r="AV126" s="195">
        <f t="shared" si="1155"/>
        <v>-3.6350148367952695E-2</v>
      </c>
      <c r="AW126" s="195">
        <f t="shared" si="1155"/>
        <v>-3.0877976190476164E-2</v>
      </c>
      <c r="AX126" s="195">
        <f t="shared" si="1155"/>
        <v>-3.8373860182370767E-2</v>
      </c>
      <c r="AY126" s="195">
        <f t="shared" si="1155"/>
        <v>-7.0255822833142245E-2</v>
      </c>
      <c r="AZ126" s="195">
        <f t="shared" si="1155"/>
        <v>-8.8914549653579478E-2</v>
      </c>
      <c r="BA126" s="195">
        <f t="shared" si="1155"/>
        <v>-0.10287907869481761</v>
      </c>
      <c r="BB126" s="195">
        <f t="shared" si="1155"/>
        <v>-5.6499407348873931E-2</v>
      </c>
      <c r="BC126" s="195">
        <f t="shared" si="1155"/>
        <v>-4.1067761807001002E-4</v>
      </c>
      <c r="BD126" s="195">
        <f t="shared" si="1155"/>
        <v>6.3793831854668248E-2</v>
      </c>
      <c r="BE126" s="195">
        <f t="shared" si="1155"/>
        <v>9.8416773641420541E-2</v>
      </c>
      <c r="BF126" s="195">
        <f t="shared" si="1155"/>
        <v>5.8207705192629744E-2</v>
      </c>
      <c r="BG126" s="195">
        <f t="shared" si="1155"/>
        <v>6.7789646672144821E-2</v>
      </c>
      <c r="BH126" s="195">
        <f t="shared" si="1155"/>
        <v>4.6068308181096196E-2</v>
      </c>
      <c r="BI126" s="195">
        <f t="shared" si="1155"/>
        <v>4.2851577717179845E-2</v>
      </c>
      <c r="BJ126" s="195">
        <f t="shared" si="1155"/>
        <v>0.10209734863474473</v>
      </c>
      <c r="BK126" s="195">
        <f t="shared" si="1155"/>
        <v>6.3485956136975608E-2</v>
      </c>
      <c r="BL126" s="195">
        <f t="shared" si="1155"/>
        <v>3.9104024297646145E-2</v>
      </c>
      <c r="BM126" s="195">
        <f t="shared" si="1155"/>
        <v>3.4366828539409644E-2</v>
      </c>
      <c r="BN126" s="195">
        <f t="shared" si="1155"/>
        <v>-4.2010771992818774E-2</v>
      </c>
      <c r="BO126" s="195">
        <f t="shared" si="1155"/>
        <v>-8.5745296671490556E-2</v>
      </c>
      <c r="BP126" s="195">
        <f t="shared" si="1155"/>
        <v>-4.4939715016441339E-2</v>
      </c>
      <c r="BQ126" s="195">
        <f t="shared" si="1155"/>
        <v>-7.1505958829902516E-2</v>
      </c>
      <c r="BR126" s="195">
        <f t="shared" si="1155"/>
        <v>1.3493253373313419E-2</v>
      </c>
      <c r="BS126" s="195">
        <f t="shared" si="1155"/>
        <v>0.15631183221210909</v>
      </c>
      <c r="BT126" s="195">
        <f t="shared" si="1155"/>
        <v>0.1174445294567712</v>
      </c>
      <c r="BU126" s="195">
        <f t="shared" si="1155"/>
        <v>0.14119019836639457</v>
      </c>
      <c r="BV126" s="195">
        <f t="shared" si="1155"/>
        <v>9.171597633136086E-2</v>
      </c>
      <c r="BW126" s="195">
        <f t="shared" si="1155"/>
        <v>-6.5023956194387722E-3</v>
      </c>
      <c r="BX126" s="195">
        <f t="shared" si="1155"/>
        <v>-1.1639849366655297E-2</v>
      </c>
      <c r="BY126" s="195">
        <f t="shared" si="1155"/>
        <v>-1.1247443762781417E-2</v>
      </c>
      <c r="BZ126" s="195">
        <f t="shared" si="1155"/>
        <v>-2.5067750677506551E-2</v>
      </c>
      <c r="CA126" s="195">
        <f t="shared" si="1155"/>
        <v>1.0678608336204043E-2</v>
      </c>
      <c r="CB126" s="195">
        <f t="shared" si="1155"/>
        <v>1.0391409767925186E-2</v>
      </c>
      <c r="CC126" s="195">
        <f t="shared" si="1155"/>
        <v>2.7576697690452345E-3</v>
      </c>
      <c r="CD126" s="195">
        <f t="shared" si="1155"/>
        <v>1.3551077136900735E-2</v>
      </c>
      <c r="CE126" s="195">
        <f t="shared" si="1155"/>
        <v>1.7041581458758781E-3</v>
      </c>
      <c r="CF126" s="195">
        <f t="shared" si="1155"/>
        <v>2.5711347274597118E-2</v>
      </c>
      <c r="CG126" s="195">
        <f t="shared" si="1155"/>
        <v>4.9157786180818119E-2</v>
      </c>
      <c r="CH126" s="195">
        <f t="shared" si="1155"/>
        <v>6.0678779568049235E-2</v>
      </c>
      <c r="CI126" s="195">
        <f t="shared" si="1155"/>
        <v>4.5593739367131514E-2</v>
      </c>
      <c r="CJ126" s="195">
        <f t="shared" si="1155"/>
        <v>3.0080213903743491E-2</v>
      </c>
      <c r="CK126" s="195">
        <f>CK125/CG125-1</f>
        <v>2.8833551769331445E-2</v>
      </c>
      <c r="CL126" s="195">
        <f t="shared" si="1155"/>
        <v>3.005817711700054E-2</v>
      </c>
      <c r="CM126" s="196">
        <f t="shared" ref="CM126:DB126" si="1156">CM125/CI125-1</f>
        <v>4.9973881826118616E-2</v>
      </c>
      <c r="CN126" s="196">
        <f t="shared" si="1156"/>
        <v>6.1804876302128831E-2</v>
      </c>
      <c r="CO126" s="196">
        <f t="shared" si="1156"/>
        <v>6.1676585836613951E-2</v>
      </c>
      <c r="CP126" s="196">
        <f t="shared" si="1156"/>
        <v>6.6260184679280298E-2</v>
      </c>
      <c r="CQ126" s="196">
        <f t="shared" si="1156"/>
        <v>6.877844892535756E-2</v>
      </c>
      <c r="CR126" s="196">
        <f t="shared" si="1156"/>
        <v>7.0990516413737215E-2</v>
      </c>
      <c r="CS126" s="196">
        <f t="shared" si="1156"/>
        <v>7.0356982232779419E-2</v>
      </c>
      <c r="CT126" s="196">
        <f t="shared" si="1156"/>
        <v>6.9640861462272108E-2</v>
      </c>
      <c r="CU126" s="196">
        <f t="shared" si="1156"/>
        <v>7.0334272039885848E-2</v>
      </c>
      <c r="CV126" s="196">
        <f t="shared" si="1156"/>
        <v>7.058893150796397E-2</v>
      </c>
      <c r="CW126" s="196">
        <f t="shared" si="1156"/>
        <v>7.0340346609009563E-2</v>
      </c>
      <c r="CX126" s="196">
        <f t="shared" si="1156"/>
        <v>7.0186900201588909E-2</v>
      </c>
      <c r="CY126" s="196">
        <f t="shared" si="1156"/>
        <v>7.0332896981772253E-2</v>
      </c>
      <c r="CZ126" s="196">
        <f t="shared" si="1156"/>
        <v>7.0343132685437126E-2</v>
      </c>
      <c r="DA126" s="196">
        <f t="shared" si="1156"/>
        <v>7.028850433918854E-2</v>
      </c>
      <c r="DB126" s="196">
        <f t="shared" si="1156"/>
        <v>7.0282065347798683E-2</v>
      </c>
      <c r="DE126" s="22"/>
      <c r="DF126" s="162">
        <v>3.005817711700054E-2</v>
      </c>
    </row>
    <row r="127" spans="1:110" s="162" customFormat="1" x14ac:dyDescent="0.2">
      <c r="A127" s="49" t="s">
        <v>532</v>
      </c>
      <c r="N127" s="162">
        <f t="shared" ref="N127:AE127" si="1157">+N121*10^7/(N125*10^6)</f>
        <v>5044.623032311526</v>
      </c>
      <c r="O127" s="162">
        <f t="shared" si="1157"/>
        <v>6157.7146084337446</v>
      </c>
      <c r="P127" s="162">
        <f t="shared" si="1157"/>
        <v>4728.0585106382923</v>
      </c>
      <c r="Q127" s="162">
        <f t="shared" si="1157"/>
        <v>3104.0892927696545</v>
      </c>
      <c r="R127" s="162">
        <f t="shared" si="1157"/>
        <v>7093.7479061976574</v>
      </c>
      <c r="S127" s="162">
        <f t="shared" si="1157"/>
        <v>8430.4036406806517</v>
      </c>
      <c r="T127" s="162">
        <f t="shared" si="1157"/>
        <v>10550.570915619383</v>
      </c>
      <c r="U127" s="162">
        <f t="shared" si="1157"/>
        <v>6679.8913043478196</v>
      </c>
      <c r="V127" s="162">
        <f t="shared" si="1157"/>
        <v>11281.161242603555</v>
      </c>
      <c r="W127" s="162">
        <f t="shared" si="1157"/>
        <v>21507.435636856375</v>
      </c>
      <c r="X127" s="162">
        <f t="shared" si="1157"/>
        <v>11207.988186240453</v>
      </c>
      <c r="Y127" s="162">
        <f t="shared" si="1157"/>
        <v>7637.3088789852536</v>
      </c>
      <c r="Z127" s="162">
        <f t="shared" si="1157"/>
        <v>8176.6160310277955</v>
      </c>
      <c r="AA127" s="162">
        <f t="shared" ref="AA127" si="1158">+AA121*10^7/(AA125*10^6)</f>
        <v>11178.795964855197</v>
      </c>
      <c r="AB127" s="21">
        <f t="shared" si="1157"/>
        <v>12739.011876749277</v>
      </c>
      <c r="AC127" s="21">
        <f t="shared" si="1157"/>
        <v>13195.904698624987</v>
      </c>
      <c r="AD127" s="21">
        <f t="shared" si="1157"/>
        <v>13246.611091307544</v>
      </c>
      <c r="AE127" s="21">
        <f t="shared" si="1157"/>
        <v>13257.10401065139</v>
      </c>
      <c r="AL127" s="162">
        <f t="shared" ref="AL127" si="1159">+AL121*10^7/(AL125*10^6)</f>
        <v>5104.0637945319022</v>
      </c>
      <c r="AM127" s="162">
        <f t="shared" ref="AM127:CJ127" si="1160">+AM121*10^7/(AM125*10^6)</f>
        <v>5136.9070904645478</v>
      </c>
      <c r="AN127" s="162">
        <f t="shared" si="1160"/>
        <v>5611.7194388777534</v>
      </c>
      <c r="AO127" s="162">
        <f t="shared" si="1160"/>
        <v>6183.8705882352915</v>
      </c>
      <c r="AP127" s="162">
        <f t="shared" si="1160"/>
        <v>6178.8441265060201</v>
      </c>
      <c r="AQ127" s="162">
        <f t="shared" si="1160"/>
        <v>6308.6636971046737</v>
      </c>
      <c r="AR127" s="162">
        <f t="shared" si="1160"/>
        <v>6280.7900593471786</v>
      </c>
      <c r="AS127" s="162">
        <f t="shared" si="1160"/>
        <v>5953.8169642857119</v>
      </c>
      <c r="AT127" s="162">
        <f t="shared" si="1160"/>
        <v>4762.8229483282666</v>
      </c>
      <c r="AU127" s="162">
        <f t="shared" si="1160"/>
        <v>4179.4348988163429</v>
      </c>
      <c r="AV127" s="162">
        <f t="shared" si="1160"/>
        <v>3497.7559661277901</v>
      </c>
      <c r="AW127" s="162">
        <f t="shared" si="1160"/>
        <v>2628.8061420345466</v>
      </c>
      <c r="AX127" s="162">
        <f t="shared" si="1160"/>
        <v>2983.3267483208183</v>
      </c>
      <c r="AY127" s="162">
        <f t="shared" si="1160"/>
        <v>3344.3162217659105</v>
      </c>
      <c r="AZ127" s="162">
        <f t="shared" si="1160"/>
        <v>3984.1360371778605</v>
      </c>
      <c r="BA127" s="162">
        <f t="shared" si="1160"/>
        <v>5232.494651262301</v>
      </c>
      <c r="BB127" s="162">
        <f t="shared" si="1160"/>
        <v>7122.2026800670028</v>
      </c>
      <c r="BC127" s="162">
        <f t="shared" si="1160"/>
        <v>7685.4806902218606</v>
      </c>
      <c r="BD127" s="162">
        <f t="shared" si="1160"/>
        <v>8084.2096902303456</v>
      </c>
      <c r="BE127" s="162">
        <f t="shared" si="1160"/>
        <v>8732.6957537982107</v>
      </c>
      <c r="BF127" s="162">
        <f t="shared" si="1160"/>
        <v>8623.2291254451902</v>
      </c>
      <c r="BG127" s="162">
        <f t="shared" si="1160"/>
        <v>8914.8249326664081</v>
      </c>
      <c r="BH127" s="162">
        <f t="shared" si="1160"/>
        <v>10345.671981776761</v>
      </c>
      <c r="BI127" s="162">
        <f t="shared" si="1160"/>
        <v>10560.082181546501</v>
      </c>
      <c r="BJ127" s="162">
        <f t="shared" si="1160"/>
        <v>10550.570915619388</v>
      </c>
      <c r="BK127" s="162">
        <f t="shared" si="1160"/>
        <v>10277.677279305353</v>
      </c>
      <c r="BL127" s="162">
        <f t="shared" si="1160"/>
        <v>8558.8308366825004</v>
      </c>
      <c r="BM127" s="162">
        <f t="shared" si="1160"/>
        <v>7341.8129288551863</v>
      </c>
      <c r="BN127" s="162">
        <f t="shared" si="1160"/>
        <v>6602.4700149925056</v>
      </c>
      <c r="BO127" s="162">
        <f t="shared" si="1160"/>
        <v>5056.4780371982597</v>
      </c>
      <c r="BP127" s="162">
        <f t="shared" si="1160"/>
        <v>5803.6993114001534</v>
      </c>
      <c r="BQ127" s="162">
        <f t="shared" si="1160"/>
        <v>8214.4574095682601</v>
      </c>
      <c r="BR127" s="162">
        <f t="shared" si="1160"/>
        <v>11281.16124260355</v>
      </c>
      <c r="BS127" s="162">
        <f t="shared" si="1160"/>
        <v>15768.507871321013</v>
      </c>
      <c r="BT127" s="162">
        <f t="shared" si="1160"/>
        <v>19280.722355357757</v>
      </c>
      <c r="BU127" s="162">
        <f t="shared" si="1160"/>
        <v>21351.199727334693</v>
      </c>
      <c r="BV127" s="162">
        <f t="shared" si="1160"/>
        <v>21507.435636856371</v>
      </c>
      <c r="BW127" s="162">
        <f t="shared" si="1160"/>
        <v>21478.5394419566</v>
      </c>
      <c r="BX127" s="162">
        <f t="shared" si="1160"/>
        <v>17996.674748874266</v>
      </c>
      <c r="BY127" s="162">
        <f t="shared" si="1160"/>
        <v>13826.463288521203</v>
      </c>
      <c r="BZ127" s="162">
        <f t="shared" si="1160"/>
        <v>11223.12717164698</v>
      </c>
      <c r="CA127" s="162">
        <f t="shared" si="1160"/>
        <v>7669.1342876618992</v>
      </c>
      <c r="CB127" s="162">
        <f t="shared" si="1160"/>
        <v>7099.3280767912256</v>
      </c>
      <c r="CC127" s="162">
        <f t="shared" si="1160"/>
        <v>7880.5328291509149</v>
      </c>
      <c r="CD127" s="162">
        <f t="shared" si="1160"/>
        <v>7646.863215632502</v>
      </c>
      <c r="CE127" s="162">
        <f t="shared" si="1160"/>
        <v>8107.0057842803699</v>
      </c>
      <c r="CF127" s="162">
        <f t="shared" si="1160"/>
        <v>8589.5521390374379</v>
      </c>
      <c r="CG127" s="162">
        <f t="shared" si="1160"/>
        <v>8302.7064220183493</v>
      </c>
      <c r="CH127" s="162">
        <f t="shared" si="1160"/>
        <v>8176.6160310278019</v>
      </c>
      <c r="CI127" s="162">
        <f t="shared" si="1160"/>
        <v>8471.0445818418539</v>
      </c>
      <c r="CJ127" s="162">
        <f t="shared" si="1160"/>
        <v>9340.2952628163548</v>
      </c>
      <c r="CK127" s="162">
        <f t="shared" ref="CK127:DB127" si="1161">+CK121*10^7/(CK125*10^6)</f>
        <v>9899.0445859872652</v>
      </c>
      <c r="CL127" s="162">
        <f t="shared" si="1161"/>
        <v>10778.926890492628</v>
      </c>
      <c r="CM127" s="21">
        <f t="shared" si="1161"/>
        <v>11202.954598543563</v>
      </c>
      <c r="CN127" s="21">
        <f t="shared" si="1161"/>
        <v>11465.927937892995</v>
      </c>
      <c r="CO127" s="21">
        <f t="shared" si="1161"/>
        <v>12160.230062765431</v>
      </c>
      <c r="CP127" s="21">
        <f t="shared" si="1161"/>
        <v>12739.01187674927</v>
      </c>
      <c r="CQ127" s="21">
        <f t="shared" si="1161"/>
        <v>12912.685957641339</v>
      </c>
      <c r="CR127" s="21">
        <f t="shared" si="1161"/>
        <v>13034.372681373812</v>
      </c>
      <c r="CS127" s="21">
        <f t="shared" si="1161"/>
        <v>13187.414772799879</v>
      </c>
      <c r="CT127" s="21">
        <f t="shared" si="1161"/>
        <v>13195.904698624994</v>
      </c>
      <c r="CU127" s="21">
        <f t="shared" si="1161"/>
        <v>13250.052025482757</v>
      </c>
      <c r="CV127" s="21">
        <f t="shared" si="1161"/>
        <v>13276.606326648556</v>
      </c>
      <c r="CW127" s="21">
        <f t="shared" si="1161"/>
        <v>13280.483035745774</v>
      </c>
      <c r="CX127" s="21">
        <f t="shared" si="1161"/>
        <v>13246.611091307546</v>
      </c>
      <c r="CY127" s="21">
        <f t="shared" si="1161"/>
        <v>13260.07922078119</v>
      </c>
      <c r="CZ127" s="21">
        <f t="shared" si="1161"/>
        <v>13263.610638062768</v>
      </c>
      <c r="DA127" s="21">
        <f t="shared" si="1161"/>
        <v>13261.226862330424</v>
      </c>
      <c r="DB127" s="21">
        <f t="shared" si="1161"/>
        <v>13257.10401065139</v>
      </c>
      <c r="DE127" s="22"/>
      <c r="DF127" s="162">
        <v>10676.181022382778</v>
      </c>
    </row>
    <row r="128" spans="1:110" s="162" customFormat="1" x14ac:dyDescent="0.2">
      <c r="A128" s="49"/>
      <c r="AB128" s="21"/>
      <c r="AC128" s="21"/>
      <c r="AD128" s="21"/>
      <c r="AE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E128" s="22"/>
    </row>
    <row r="129" spans="1:110" s="10" customFormat="1" x14ac:dyDescent="0.2">
      <c r="A129" s="149" t="s">
        <v>490</v>
      </c>
      <c r="AB129" s="20"/>
      <c r="AC129" s="20"/>
      <c r="AD129" s="20"/>
      <c r="AE129" s="20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E129" s="126"/>
    </row>
    <row r="130" spans="1:110" x14ac:dyDescent="0.2">
      <c r="A130" s="152" t="s">
        <v>491</v>
      </c>
      <c r="AA130" s="2"/>
      <c r="CL130" s="2"/>
      <c r="DF130" s="111"/>
    </row>
    <row r="131" spans="1:110" s="23" customFormat="1" outlineLevel="1" x14ac:dyDescent="0.2">
      <c r="A131" s="23" t="s">
        <v>41</v>
      </c>
      <c r="B131" s="23">
        <f>'Annual Raw'!C41</f>
        <v>507.97</v>
      </c>
      <c r="C131" s="23">
        <f>'Annual Raw'!D41</f>
        <v>367.97</v>
      </c>
      <c r="D131" s="23">
        <f>'Annual Raw'!E41</f>
        <v>367.97</v>
      </c>
      <c r="E131" s="23">
        <f>'Annual Raw'!F41</f>
        <v>368.24</v>
      </c>
      <c r="F131" s="23">
        <f>'Annual Raw'!G41</f>
        <v>554.37</v>
      </c>
      <c r="G131" s="23">
        <f>'Annual Raw'!H41</f>
        <v>553</v>
      </c>
      <c r="H131" s="23">
        <f>'Annual Raw'!I41</f>
        <v>580</v>
      </c>
      <c r="I131" s="23">
        <f>'Annual Raw'!J41</f>
        <v>6202.63</v>
      </c>
      <c r="J131" s="23">
        <f>'Annual Raw'!K41</f>
        <v>6202.78</v>
      </c>
      <c r="K131" s="23">
        <f>'Annual Raw'!L41</f>
        <v>886.74</v>
      </c>
      <c r="L131" s="23">
        <f>'Annual Raw'!M41</f>
        <v>958.74</v>
      </c>
      <c r="M131" s="23">
        <f>'Annual Raw'!N41</f>
        <v>993.84</v>
      </c>
      <c r="N131" s="23">
        <f>'Annual Raw'!O41</f>
        <v>992.62</v>
      </c>
      <c r="O131" s="23">
        <f>'Annual Raw'!P41</f>
        <v>991.41</v>
      </c>
      <c r="P131" s="23">
        <f>'Annual Raw'!Q41</f>
        <v>991.41</v>
      </c>
      <c r="Q131" s="23">
        <f>'Annual Raw'!R41</f>
        <v>970.24</v>
      </c>
      <c r="R131" s="23">
        <f>'Annual Raw'!S41</f>
        <v>970.24</v>
      </c>
      <c r="S131" s="23">
        <f>'Annual Raw'!T41</f>
        <v>1144.95</v>
      </c>
      <c r="T131" s="23">
        <f>'Annual Raw'!U41</f>
        <v>1144.94</v>
      </c>
      <c r="U131" s="23">
        <f>'Annual Raw'!V41</f>
        <v>1144.95</v>
      </c>
      <c r="V131" s="23">
        <f>'Annual Raw'!W41</f>
        <v>1197.6099999999999</v>
      </c>
      <c r="W131" s="23">
        <f>'Annual Raw'!X41</f>
        <v>1221.21</v>
      </c>
      <c r="X131" s="23">
        <f>'Annual Raw'!Y41</f>
        <v>1221.24</v>
      </c>
      <c r="Y131" s="23">
        <f>'Annual Raw'!Z41</f>
        <v>1247.44</v>
      </c>
      <c r="Z131" s="23">
        <f>'Annual Raw'!AA41</f>
        <v>1247.44</v>
      </c>
      <c r="AA131" s="23">
        <f>'Annual Raw'!AB41</f>
        <v>1247.44</v>
      </c>
      <c r="AB131" s="24">
        <f>+CP131</f>
        <v>1247.44</v>
      </c>
      <c r="AC131" s="24">
        <f>+CT131</f>
        <v>1247.44</v>
      </c>
      <c r="AD131" s="24">
        <f>+CX131</f>
        <v>1247.44</v>
      </c>
      <c r="AE131" s="24">
        <f>+DB131</f>
        <v>1247.44</v>
      </c>
      <c r="AJ131" s="23">
        <f>+'QTR Raw'!D56</f>
        <v>3268.84</v>
      </c>
      <c r="AK131" s="23">
        <f t="shared" ref="AK131:CE131" si="1162">+AJ131</f>
        <v>3268.84</v>
      </c>
      <c r="AL131" s="23">
        <f>+'QTR Raw'!F56</f>
        <v>3267.62</v>
      </c>
      <c r="AM131" s="23">
        <f t="shared" si="1162"/>
        <v>3267.62</v>
      </c>
      <c r="AN131" s="23">
        <f>+'QTR Raw'!H56</f>
        <v>3267.62</v>
      </c>
      <c r="AO131" s="23">
        <f t="shared" si="1162"/>
        <v>3267.62</v>
      </c>
      <c r="AP131" s="23">
        <f>+'QTR Raw'!J56</f>
        <v>3266.41</v>
      </c>
      <c r="AQ131" s="23">
        <f t="shared" si="1162"/>
        <v>3266.41</v>
      </c>
      <c r="AR131" s="23">
        <f>+'QTR Raw'!L56</f>
        <v>3266.41</v>
      </c>
      <c r="AS131" s="23">
        <f t="shared" si="1162"/>
        <v>3266.41</v>
      </c>
      <c r="AT131" s="23">
        <f>+'QTR Raw'!N56</f>
        <v>3266.41</v>
      </c>
      <c r="AU131" s="23">
        <f t="shared" si="1162"/>
        <v>3266.41</v>
      </c>
      <c r="AV131" s="23">
        <f>+'QTR Raw'!P56</f>
        <v>3265.24</v>
      </c>
      <c r="AW131" s="23">
        <f t="shared" si="1162"/>
        <v>3265.24</v>
      </c>
      <c r="AX131" s="23">
        <f>+'QTR Raw'!R56</f>
        <v>970.24</v>
      </c>
      <c r="AY131" s="23">
        <f t="shared" si="1162"/>
        <v>970.24</v>
      </c>
      <c r="AZ131" s="23">
        <f>+'QTR Raw'!T56</f>
        <v>970.24</v>
      </c>
      <c r="BA131" s="23">
        <f t="shared" si="1162"/>
        <v>970.24</v>
      </c>
      <c r="BB131" s="23">
        <f>+'QTR Raw'!V56</f>
        <v>970.24</v>
      </c>
      <c r="BC131" s="23">
        <f t="shared" si="1162"/>
        <v>970.24</v>
      </c>
      <c r="BD131" s="23">
        <f>+'QTR Raw'!X56</f>
        <v>970.24</v>
      </c>
      <c r="BE131" s="23">
        <f t="shared" si="1162"/>
        <v>970.24</v>
      </c>
      <c r="BF131" s="23">
        <f>+'QTR Raw'!Z56</f>
        <v>1144.95</v>
      </c>
      <c r="BG131" s="23">
        <f t="shared" si="1162"/>
        <v>1144.95</v>
      </c>
      <c r="BH131" s="23">
        <f>+'QTR Raw'!AB56</f>
        <v>1144.93</v>
      </c>
      <c r="BI131" s="23">
        <f t="shared" si="1162"/>
        <v>1144.93</v>
      </c>
      <c r="BJ131" s="23">
        <f>+'QTR Raw'!AD56</f>
        <v>1144.94</v>
      </c>
      <c r="BK131" s="23">
        <f t="shared" si="1162"/>
        <v>1144.94</v>
      </c>
      <c r="BL131" s="23">
        <f>+'QTR Raw'!AF56</f>
        <v>1144.94</v>
      </c>
      <c r="BM131" s="23">
        <f t="shared" si="1162"/>
        <v>1144.94</v>
      </c>
      <c r="BN131" s="23">
        <f>+'QTR Raw'!AH56</f>
        <v>1144.95</v>
      </c>
      <c r="BO131" s="23">
        <f t="shared" si="1162"/>
        <v>1144.95</v>
      </c>
      <c r="BP131" s="23">
        <f>+'QTR Raw'!AJ56</f>
        <v>1144.95</v>
      </c>
      <c r="BQ131" s="23">
        <f t="shared" si="1162"/>
        <v>1144.95</v>
      </c>
      <c r="BR131" s="23">
        <f>+'QTR Raw'!AL56</f>
        <v>1197.6099999999999</v>
      </c>
      <c r="BS131" s="23">
        <f t="shared" si="1162"/>
        <v>1197.6099999999999</v>
      </c>
      <c r="BT131" s="23">
        <f>+'QTR Raw'!AN56</f>
        <v>1202.28</v>
      </c>
      <c r="BU131" s="23">
        <f t="shared" si="1162"/>
        <v>1202.28</v>
      </c>
      <c r="BV131" s="23">
        <f>+'QTR Raw'!AP56</f>
        <v>1221.21</v>
      </c>
      <c r="BW131" s="23">
        <f t="shared" si="1162"/>
        <v>1221.21</v>
      </c>
      <c r="BX131" s="23">
        <f>+'QTR Raw'!AR56</f>
        <v>1221.21</v>
      </c>
      <c r="BY131" s="23">
        <f t="shared" si="1162"/>
        <v>1221.21</v>
      </c>
      <c r="BZ131" s="23">
        <f>+'QTR Raw'!AT56</f>
        <v>1221.24</v>
      </c>
      <c r="CA131" s="23">
        <f t="shared" si="1162"/>
        <v>1221.24</v>
      </c>
      <c r="CB131" s="23">
        <f>+'QTR Raw'!AV56</f>
        <v>1221.24</v>
      </c>
      <c r="CC131" s="23">
        <f t="shared" si="1162"/>
        <v>1221.24</v>
      </c>
      <c r="CD131" s="23">
        <f>+'QTR Raw'!AX56</f>
        <v>1247.44</v>
      </c>
      <c r="CE131" s="23">
        <f t="shared" si="1162"/>
        <v>1247.44</v>
      </c>
      <c r="CF131" s="23">
        <f>+'QTR Raw'!AZ56</f>
        <v>1247.44</v>
      </c>
      <c r="CG131" s="23">
        <f t="shared" ref="CG131:CG132" si="1163">+CF131</f>
        <v>1247.44</v>
      </c>
      <c r="CH131" s="23">
        <f>Z131</f>
        <v>1247.44</v>
      </c>
      <c r="CI131" s="23">
        <f>CH131</f>
        <v>1247.44</v>
      </c>
      <c r="CJ131" s="23">
        <f>+'QTR Raw'!BD56</f>
        <v>1247.44</v>
      </c>
      <c r="CK131" s="23">
        <f t="shared" ref="CK131:DB131" si="1164">CJ131</f>
        <v>1247.44</v>
      </c>
      <c r="CL131" s="23">
        <f>+'QTR Raw'!BF56</f>
        <v>1247.44</v>
      </c>
      <c r="CM131" s="24">
        <f t="shared" si="1164"/>
        <v>1247.44</v>
      </c>
      <c r="CN131" s="24">
        <f t="shared" si="1164"/>
        <v>1247.44</v>
      </c>
      <c r="CO131" s="24">
        <f t="shared" si="1164"/>
        <v>1247.44</v>
      </c>
      <c r="CP131" s="24">
        <f t="shared" si="1164"/>
        <v>1247.44</v>
      </c>
      <c r="CQ131" s="24">
        <f t="shared" si="1164"/>
        <v>1247.44</v>
      </c>
      <c r="CR131" s="24">
        <f t="shared" si="1164"/>
        <v>1247.44</v>
      </c>
      <c r="CS131" s="24">
        <f t="shared" si="1164"/>
        <v>1247.44</v>
      </c>
      <c r="CT131" s="24">
        <f t="shared" si="1164"/>
        <v>1247.44</v>
      </c>
      <c r="CU131" s="24">
        <f t="shared" si="1164"/>
        <v>1247.44</v>
      </c>
      <c r="CV131" s="24">
        <f t="shared" si="1164"/>
        <v>1247.44</v>
      </c>
      <c r="CW131" s="24">
        <f t="shared" si="1164"/>
        <v>1247.44</v>
      </c>
      <c r="CX131" s="24">
        <f t="shared" si="1164"/>
        <v>1247.44</v>
      </c>
      <c r="CY131" s="24">
        <f t="shared" si="1164"/>
        <v>1247.44</v>
      </c>
      <c r="CZ131" s="24">
        <f t="shared" si="1164"/>
        <v>1247.44</v>
      </c>
      <c r="DA131" s="24">
        <f t="shared" si="1164"/>
        <v>1247.44</v>
      </c>
      <c r="DB131" s="24">
        <f t="shared" si="1164"/>
        <v>1247.44</v>
      </c>
      <c r="DE131" s="123"/>
      <c r="DF131" s="23">
        <v>1247.44</v>
      </c>
    </row>
    <row r="132" spans="1:110" s="23" customFormat="1" outlineLevel="1" x14ac:dyDescent="0.2">
      <c r="A132" s="23" t="s">
        <v>42</v>
      </c>
      <c r="B132" s="23">
        <f>'Annual Raw'!C42</f>
        <v>0</v>
      </c>
      <c r="C132" s="23">
        <f>'Annual Raw'!D42</f>
        <v>0</v>
      </c>
      <c r="D132" s="23">
        <f>'Annual Raw'!E42</f>
        <v>0.27</v>
      </c>
      <c r="E132" s="23">
        <f>'Annual Raw'!F42</f>
        <v>0</v>
      </c>
      <c r="F132" s="23">
        <f>'Annual Raw'!G42</f>
        <v>0</v>
      </c>
      <c r="G132" s="23">
        <f>'Annual Raw'!H42</f>
        <v>0</v>
      </c>
      <c r="H132" s="23">
        <f>'Annual Raw'!I42</f>
        <v>164.52</v>
      </c>
      <c r="I132" s="23">
        <f>'Annual Raw'!J42</f>
        <v>17.46</v>
      </c>
      <c r="J132" s="23">
        <f>'Annual Raw'!K42</f>
        <v>17.46</v>
      </c>
      <c r="K132" s="23">
        <f>'Annual Raw'!L42</f>
        <v>17.46</v>
      </c>
      <c r="L132" s="23">
        <f>'Annual Raw'!M42</f>
        <v>195.66</v>
      </c>
      <c r="M132" s="23">
        <f>'Annual Raw'!N42</f>
        <v>17.46</v>
      </c>
      <c r="N132" s="23">
        <f>'Annual Raw'!O42</f>
        <v>0</v>
      </c>
      <c r="O132" s="23">
        <f>'Annual Raw'!P42</f>
        <v>0</v>
      </c>
      <c r="P132" s="23">
        <f>'Annual Raw'!Q42</f>
        <v>0</v>
      </c>
      <c r="Q132" s="23">
        <f>'Annual Raw'!R42</f>
        <v>0</v>
      </c>
      <c r="R132" s="23">
        <f>'Annual Raw'!S42</f>
        <v>0.01</v>
      </c>
      <c r="S132" s="23">
        <f>'Annual Raw'!T42</f>
        <v>0.02</v>
      </c>
      <c r="T132" s="23">
        <f>'Annual Raw'!U42</f>
        <v>0</v>
      </c>
      <c r="U132" s="23">
        <f>'Annual Raw'!V42</f>
        <v>0</v>
      </c>
      <c r="V132" s="23">
        <f>'Annual Raw'!W42</f>
        <v>3.78</v>
      </c>
      <c r="W132" s="23">
        <f>'Annual Raw'!X42</f>
        <v>0</v>
      </c>
      <c r="X132" s="23">
        <f>'Annual Raw'!Y42</f>
        <v>0</v>
      </c>
      <c r="Y132" s="23">
        <f>'Annual Raw'!Z42</f>
        <v>0</v>
      </c>
      <c r="Z132" s="23">
        <f>'Annual Raw'!AA42</f>
        <v>0</v>
      </c>
      <c r="AA132" s="23">
        <f>'Annual Raw'!AB42</f>
        <v>0</v>
      </c>
      <c r="AB132" s="24">
        <f t="shared" ref="AB132:AB133" si="1165">+CP132</f>
        <v>0</v>
      </c>
      <c r="AC132" s="24">
        <f t="shared" ref="AC132:AC133" si="1166">+CT132</f>
        <v>0</v>
      </c>
      <c r="AD132" s="24">
        <f t="shared" ref="AD132:AD133" si="1167">+CX132</f>
        <v>0</v>
      </c>
      <c r="AE132" s="24">
        <f t="shared" ref="AE132:AE133" si="1168">+DB132</f>
        <v>0</v>
      </c>
      <c r="AJ132" s="23">
        <f>+'QTR Raw'!D57</f>
        <v>17.46</v>
      </c>
      <c r="AK132" s="23">
        <f t="shared" ref="AK132:CE132" si="1169">+AJ132</f>
        <v>17.46</v>
      </c>
      <c r="AL132" s="23">
        <f>+'QTR Raw'!F57</f>
        <v>0</v>
      </c>
      <c r="AM132" s="23">
        <f t="shared" si="1169"/>
        <v>0</v>
      </c>
      <c r="AN132" s="23">
        <f>+'QTR Raw'!H57</f>
        <v>0</v>
      </c>
      <c r="AO132" s="23">
        <f t="shared" si="1169"/>
        <v>0</v>
      </c>
      <c r="AP132" s="23">
        <f>+'QTR Raw'!J57</f>
        <v>0</v>
      </c>
      <c r="AQ132" s="23">
        <f t="shared" si="1169"/>
        <v>0</v>
      </c>
      <c r="AR132" s="23">
        <f>+'QTR Raw'!L57</f>
        <v>0</v>
      </c>
      <c r="AS132" s="23">
        <f t="shared" si="1169"/>
        <v>0</v>
      </c>
      <c r="AT132" s="23">
        <f>+'QTR Raw'!N57</f>
        <v>0</v>
      </c>
      <c r="AU132" s="23">
        <f t="shared" si="1169"/>
        <v>0</v>
      </c>
      <c r="AV132" s="23">
        <f>+'QTR Raw'!P57</f>
        <v>0</v>
      </c>
      <c r="AW132" s="23">
        <f t="shared" si="1169"/>
        <v>0</v>
      </c>
      <c r="AX132" s="23">
        <f>+'QTR Raw'!R57</f>
        <v>0</v>
      </c>
      <c r="AY132" s="23">
        <f t="shared" si="1169"/>
        <v>0</v>
      </c>
      <c r="AZ132" s="23">
        <f>+'QTR Raw'!T57</f>
        <v>0</v>
      </c>
      <c r="BA132" s="23">
        <f t="shared" si="1169"/>
        <v>0</v>
      </c>
      <c r="BB132" s="23">
        <f>+'QTR Raw'!V57</f>
        <v>0</v>
      </c>
      <c r="BC132" s="23">
        <f t="shared" si="1169"/>
        <v>0</v>
      </c>
      <c r="BD132" s="23">
        <f>+'QTR Raw'!X57</f>
        <v>0</v>
      </c>
      <c r="BE132" s="23">
        <f t="shared" si="1169"/>
        <v>0</v>
      </c>
      <c r="BF132" s="23">
        <f>+'QTR Raw'!Z57</f>
        <v>0</v>
      </c>
      <c r="BG132" s="23">
        <f t="shared" si="1169"/>
        <v>0</v>
      </c>
      <c r="BH132" s="23">
        <f>+'QTR Raw'!AB57</f>
        <v>0</v>
      </c>
      <c r="BI132" s="23">
        <f t="shared" si="1169"/>
        <v>0</v>
      </c>
      <c r="BJ132" s="23">
        <f>+'QTR Raw'!AD57</f>
        <v>0</v>
      </c>
      <c r="BK132" s="23">
        <f t="shared" si="1169"/>
        <v>0</v>
      </c>
      <c r="BL132" s="23">
        <f>+'QTR Raw'!AF57</f>
        <v>0</v>
      </c>
      <c r="BM132" s="23">
        <f t="shared" si="1169"/>
        <v>0</v>
      </c>
      <c r="BN132" s="23">
        <f>+'QTR Raw'!AH57</f>
        <v>0</v>
      </c>
      <c r="BO132" s="23">
        <f t="shared" si="1169"/>
        <v>0</v>
      </c>
      <c r="BP132" s="23">
        <f>+'QTR Raw'!AJ57</f>
        <v>0</v>
      </c>
      <c r="BQ132" s="23">
        <f t="shared" si="1169"/>
        <v>0</v>
      </c>
      <c r="BR132" s="23">
        <f>+'QTR Raw'!AL57</f>
        <v>0</v>
      </c>
      <c r="BS132" s="23">
        <f t="shared" si="1169"/>
        <v>0</v>
      </c>
      <c r="BT132" s="23">
        <f>+'QTR Raw'!AN57</f>
        <v>0</v>
      </c>
      <c r="BU132" s="23">
        <f t="shared" si="1169"/>
        <v>0</v>
      </c>
      <c r="BV132" s="23">
        <f>+'QTR Raw'!AP57</f>
        <v>0</v>
      </c>
      <c r="BW132" s="23">
        <f t="shared" si="1169"/>
        <v>0</v>
      </c>
      <c r="BX132" s="23">
        <f>+'QTR Raw'!AR57</f>
        <v>0</v>
      </c>
      <c r="BY132" s="23">
        <f t="shared" si="1169"/>
        <v>0</v>
      </c>
      <c r="BZ132" s="23">
        <f>+'QTR Raw'!AT57</f>
        <v>0</v>
      </c>
      <c r="CA132" s="23">
        <f t="shared" si="1169"/>
        <v>0</v>
      </c>
      <c r="CB132" s="23">
        <f>+'QTR Raw'!AV57</f>
        <v>0</v>
      </c>
      <c r="CC132" s="23">
        <f t="shared" si="1169"/>
        <v>0</v>
      </c>
      <c r="CD132" s="23">
        <f>+'QTR Raw'!AX57</f>
        <v>0</v>
      </c>
      <c r="CE132" s="23">
        <f t="shared" si="1169"/>
        <v>0</v>
      </c>
      <c r="CF132" s="23">
        <f>+'QTR Raw'!AZ57</f>
        <v>0</v>
      </c>
      <c r="CG132" s="23">
        <f t="shared" si="1163"/>
        <v>0</v>
      </c>
      <c r="CH132" s="23">
        <f t="shared" ref="CH132:CH133" si="1170">Z132</f>
        <v>0</v>
      </c>
      <c r="CI132" s="23">
        <f>CH132</f>
        <v>0</v>
      </c>
      <c r="CJ132" s="23">
        <f>+'QTR Raw'!BD57</f>
        <v>0</v>
      </c>
      <c r="CK132" s="23">
        <f t="shared" ref="CK132:DB132" si="1171">CJ132</f>
        <v>0</v>
      </c>
      <c r="CL132" s="23">
        <f>+'QTR Raw'!BF57</f>
        <v>0</v>
      </c>
      <c r="CM132" s="24">
        <f t="shared" si="1171"/>
        <v>0</v>
      </c>
      <c r="CN132" s="24">
        <f t="shared" si="1171"/>
        <v>0</v>
      </c>
      <c r="CO132" s="24">
        <f t="shared" si="1171"/>
        <v>0</v>
      </c>
      <c r="CP132" s="24">
        <f t="shared" si="1171"/>
        <v>0</v>
      </c>
      <c r="CQ132" s="24">
        <f t="shared" si="1171"/>
        <v>0</v>
      </c>
      <c r="CR132" s="24">
        <f t="shared" si="1171"/>
        <v>0</v>
      </c>
      <c r="CS132" s="24">
        <f t="shared" si="1171"/>
        <v>0</v>
      </c>
      <c r="CT132" s="24">
        <f t="shared" si="1171"/>
        <v>0</v>
      </c>
      <c r="CU132" s="24">
        <f t="shared" si="1171"/>
        <v>0</v>
      </c>
      <c r="CV132" s="24">
        <f t="shared" si="1171"/>
        <v>0</v>
      </c>
      <c r="CW132" s="24">
        <f t="shared" si="1171"/>
        <v>0</v>
      </c>
      <c r="CX132" s="24">
        <f t="shared" si="1171"/>
        <v>0</v>
      </c>
      <c r="CY132" s="24">
        <f t="shared" si="1171"/>
        <v>0</v>
      </c>
      <c r="CZ132" s="24">
        <f t="shared" si="1171"/>
        <v>0</v>
      </c>
      <c r="DA132" s="24">
        <f t="shared" si="1171"/>
        <v>0</v>
      </c>
      <c r="DB132" s="24">
        <f t="shared" si="1171"/>
        <v>0</v>
      </c>
      <c r="DE132" s="123"/>
      <c r="DF132" s="23">
        <v>0</v>
      </c>
    </row>
    <row r="133" spans="1:110" s="23" customFormat="1" outlineLevel="1" x14ac:dyDescent="0.2">
      <c r="A133" s="23" t="s">
        <v>43</v>
      </c>
      <c r="B133" s="23">
        <f>'Annual Raw'!C43</f>
        <v>4380.46</v>
      </c>
      <c r="C133" s="23">
        <f>'Annual Raw'!D43</f>
        <v>3150.58</v>
      </c>
      <c r="D133" s="23">
        <f>'Annual Raw'!E43</f>
        <v>2926.16</v>
      </c>
      <c r="E133" s="23">
        <f>'Annual Raw'!F43</f>
        <v>4288.4399999999996</v>
      </c>
      <c r="F133" s="23">
        <f>'Annual Raw'!G43</f>
        <v>6782.79</v>
      </c>
      <c r="G133" s="23">
        <f>'Annual Raw'!H43</f>
        <v>9728.84</v>
      </c>
      <c r="H133" s="23">
        <f>'Annual Raw'!I43</f>
        <v>13895.14</v>
      </c>
      <c r="I133" s="23">
        <f>'Annual Raw'!J43</f>
        <v>27971.35</v>
      </c>
      <c r="J133" s="23">
        <f>'Annual Raw'!K43</f>
        <v>21511.5</v>
      </c>
      <c r="K133" s="23">
        <f>'Annual Raw'!L43</f>
        <v>21927.15</v>
      </c>
      <c r="L133" s="23">
        <f>'Annual Raw'!M43</f>
        <v>34426.97</v>
      </c>
      <c r="M133" s="23">
        <f>'Annual Raw'!N43</f>
        <v>42049.71</v>
      </c>
      <c r="N133" s="23">
        <f>'Annual Raw'!O43</f>
        <v>33559.18</v>
      </c>
      <c r="O133" s="23">
        <f>'Annual Raw'!P43</f>
        <v>39892.49</v>
      </c>
      <c r="P133" s="23">
        <f>'Annual Raw'!Q43</f>
        <v>30539.9</v>
      </c>
      <c r="Q133" s="23">
        <f>'Annual Raw'!R43</f>
        <v>40487.31</v>
      </c>
      <c r="R133" s="23">
        <f>'Annual Raw'!S43</f>
        <v>34574.07</v>
      </c>
      <c r="S133" s="23">
        <f>'Annual Raw'!T43</f>
        <v>57450.65</v>
      </c>
      <c r="T133" s="23">
        <f>'Annual Raw'!U43</f>
        <v>65505.14</v>
      </c>
      <c r="U133" s="23">
        <f>'Annual Raw'!V43</f>
        <v>70156.350000000006</v>
      </c>
      <c r="V133" s="23">
        <f>'Annual Raw'!W43</f>
        <v>72262.38</v>
      </c>
      <c r="W133" s="23">
        <f>'Annual Raw'!X43</f>
        <v>113221.83</v>
      </c>
      <c r="X133" s="23">
        <f>'Annual Raw'!Y43</f>
        <v>101860.86</v>
      </c>
      <c r="Y133" s="23">
        <f>'Annual Raw'!Z43</f>
        <v>90788.32</v>
      </c>
      <c r="Z133" s="23">
        <f>'Annual Raw'!AA43</f>
        <v>89922.19</v>
      </c>
      <c r="AA133" s="23">
        <f>'Annual Raw'!AB43</f>
        <v>100920.21</v>
      </c>
      <c r="AB133" s="24">
        <f t="shared" si="1165"/>
        <v>118332.97485828876</v>
      </c>
      <c r="AC133" s="24">
        <f t="shared" si="1166"/>
        <v>138868.7931928242</v>
      </c>
      <c r="AD133" s="24">
        <f t="shared" si="1167"/>
        <v>163572.73602929944</v>
      </c>
      <c r="AE133" s="24">
        <f t="shared" si="1168"/>
        <v>193815.34852334083</v>
      </c>
      <c r="AJ133" s="23">
        <f>+'QTR Raw'!D58</f>
        <v>41307.99</v>
      </c>
      <c r="AK133" s="23">
        <f>+AJ133+AK57</f>
        <v>40544.93</v>
      </c>
      <c r="AL133" s="23">
        <f>+'QTR Raw'!F58</f>
        <v>33200.83</v>
      </c>
      <c r="AM133" s="23">
        <f>+AL133+AM57</f>
        <v>34339.839999999997</v>
      </c>
      <c r="AN133" s="23">
        <f>+'QTR Raw'!H58</f>
        <v>39671.56</v>
      </c>
      <c r="AO133" s="23">
        <f>+AN133+AO57</f>
        <v>40174.800000000003</v>
      </c>
      <c r="AP133" s="23">
        <f>+'QTR Raw'!J58</f>
        <v>39560.550000000003</v>
      </c>
      <c r="AQ133" s="23">
        <f>+AP133+AQ57</f>
        <v>39897.879999999997</v>
      </c>
      <c r="AR133" s="23">
        <f>+'QTR Raw'!L58</f>
        <v>41074.68</v>
      </c>
      <c r="AS133" s="23">
        <f>+AR133+AS57</f>
        <v>41231.79</v>
      </c>
      <c r="AT133" s="23">
        <f>+'QTR Raw'!N58</f>
        <v>30378</v>
      </c>
      <c r="AU133" s="23">
        <f>+AT133+AU57</f>
        <v>30058.880000000001</v>
      </c>
      <c r="AV133" s="23">
        <f>+'QTR Raw'!P58</f>
        <v>34074.42</v>
      </c>
      <c r="AW133" s="23">
        <f>+AV133+AW57</f>
        <v>31280.639999999999</v>
      </c>
      <c r="AX133" s="23">
        <f>+'QTR Raw'!R58</f>
        <v>42762.31</v>
      </c>
      <c r="AY133" s="23">
        <f>+AX133+AY57</f>
        <v>39555.629999999997</v>
      </c>
      <c r="AZ133" s="23">
        <f>+'QTR Raw'!T58</f>
        <v>36474.6</v>
      </c>
      <c r="BA133" s="23">
        <f>+AZ133+BA57</f>
        <v>36676.5</v>
      </c>
      <c r="BB133" s="23">
        <f>+'QTR Raw'!V58</f>
        <v>36849.08</v>
      </c>
      <c r="BC133" s="23">
        <f>+BB133+BC57</f>
        <v>37755.35</v>
      </c>
      <c r="BD133" s="23">
        <f>+'QTR Raw'!X58</f>
        <v>36095.410000000003</v>
      </c>
      <c r="BE133" s="23">
        <f>+BD133+BE57</f>
        <v>37381.83</v>
      </c>
      <c r="BF133" s="23">
        <f>+'QTR Raw'!Z58</f>
        <v>59725.67</v>
      </c>
      <c r="BG133" s="23">
        <f>+BF133+BG57</f>
        <v>61676.729999999996</v>
      </c>
      <c r="BH133" s="23">
        <f>+'QTR Raw'!AB58</f>
        <v>65146.7</v>
      </c>
      <c r="BI133" s="23">
        <f>+BH133+BI57</f>
        <v>67432.679999999993</v>
      </c>
      <c r="BJ133" s="23">
        <f>+'QTR Raw'!AD58</f>
        <v>67780.14</v>
      </c>
      <c r="BK133" s="23">
        <f>+BJ133+BK57</f>
        <v>68497.210000000006</v>
      </c>
      <c r="BL133" s="23">
        <f>+'QTR Raw'!AF58</f>
        <v>71499.350000000006</v>
      </c>
      <c r="BM133" s="23">
        <f>+BL133+BM57</f>
        <v>70414.73000000001</v>
      </c>
      <c r="BN133" s="23">
        <f>+'QTR Raw'!AH58</f>
        <v>72431.350000000006</v>
      </c>
      <c r="BO133" s="23">
        <f>+BN133+BO57</f>
        <v>68014.790000000008</v>
      </c>
      <c r="BP133" s="23">
        <f>+'QTR Raw'!AJ58</f>
        <v>63920.86</v>
      </c>
      <c r="BQ133" s="23">
        <f>+BP133+BQ57</f>
        <v>67618.080000000002</v>
      </c>
      <c r="BR133" s="23">
        <f>+'QTR Raw'!AL58</f>
        <v>73041.16</v>
      </c>
      <c r="BS133" s="23">
        <f>+BR133+BS57</f>
        <v>81948.11</v>
      </c>
      <c r="BT133" s="23">
        <f>+'QTR Raw'!AN58</f>
        <v>90316.18</v>
      </c>
      <c r="BU133" s="23">
        <f>+BT133+BU57</f>
        <v>99888.849999999991</v>
      </c>
      <c r="BV133" s="23">
        <f>+'QTR Raw'!AP58</f>
        <v>113221.83</v>
      </c>
      <c r="BW133" s="23">
        <f>+BV133+BW57</f>
        <v>120986.79</v>
      </c>
      <c r="BX133" s="23">
        <f>+'QTR Raw'!AR58</f>
        <v>106277.45</v>
      </c>
      <c r="BY133" s="23">
        <f>+BX133+BY57</f>
        <v>104053.61</v>
      </c>
      <c r="BZ133" s="23">
        <f>+'QTR Raw'!AT58</f>
        <v>101860.86</v>
      </c>
      <c r="CA133" s="23">
        <f>+BZ133+CA57</f>
        <v>102494.81000000001</v>
      </c>
      <c r="CB133" s="23">
        <f>+'QTR Raw'!AV58</f>
        <v>87975.95</v>
      </c>
      <c r="CC133" s="23">
        <f>+CB133+CC57</f>
        <v>88489.32</v>
      </c>
      <c r="CD133" s="23">
        <f>+'QTR Raw'!AX58</f>
        <v>90788.32</v>
      </c>
      <c r="CE133" s="23">
        <f>+CD133+CE57</f>
        <v>91747.930000000008</v>
      </c>
      <c r="CF133" s="23">
        <f>+'QTR Raw'!AZ58</f>
        <v>88899.64</v>
      </c>
      <c r="CG133" s="23">
        <f>+CF133+CG57</f>
        <v>89226.28</v>
      </c>
      <c r="CH133" s="23">
        <f t="shared" si="1170"/>
        <v>89922.19</v>
      </c>
      <c r="CI133" s="23">
        <f>CH133+CI57</f>
        <v>91999.87</v>
      </c>
      <c r="CJ133" s="23">
        <f>+'QTR Raw'!BD58</f>
        <v>93699.86</v>
      </c>
      <c r="CK133" s="23">
        <f t="shared" ref="CK133:DB133" si="1172">CJ133+CK57</f>
        <v>96388.56</v>
      </c>
      <c r="CL133" s="23">
        <f>+'QTR Raw'!BF58</f>
        <v>100920.21</v>
      </c>
      <c r="CM133" s="24">
        <f t="shared" si="1172"/>
        <v>104135.20840524715</v>
      </c>
      <c r="CN133" s="24">
        <f t="shared" si="1172"/>
        <v>108137.24673865539</v>
      </c>
      <c r="CO133" s="24">
        <f t="shared" si="1172"/>
        <v>112759.1336525376</v>
      </c>
      <c r="CP133" s="24">
        <f t="shared" si="1172"/>
        <v>118332.97485828876</v>
      </c>
      <c r="CQ133" s="24">
        <f t="shared" si="1172"/>
        <v>122368.20962713874</v>
      </c>
      <c r="CR133" s="24">
        <f t="shared" si="1172"/>
        <v>127063.87401405866</v>
      </c>
      <c r="CS133" s="24">
        <f t="shared" si="1172"/>
        <v>132618.96662569224</v>
      </c>
      <c r="CT133" s="24">
        <f t="shared" si="1172"/>
        <v>138868.7931928242</v>
      </c>
      <c r="CU133" s="24">
        <f t="shared" si="1172"/>
        <v>143786.7719137386</v>
      </c>
      <c r="CV133" s="24">
        <f t="shared" si="1172"/>
        <v>149467.08288285986</v>
      </c>
      <c r="CW133" s="24">
        <f t="shared" si="1172"/>
        <v>156136.80705454806</v>
      </c>
      <c r="CX133" s="24">
        <f t="shared" si="1172"/>
        <v>163572.73602929944</v>
      </c>
      <c r="CY133" s="24">
        <f t="shared" si="1172"/>
        <v>169817.26129801999</v>
      </c>
      <c r="CZ133" s="24">
        <f t="shared" si="1172"/>
        <v>176849.81898884609</v>
      </c>
      <c r="DA133" s="24">
        <f t="shared" si="1172"/>
        <v>184925.87962699079</v>
      </c>
      <c r="DB133" s="24">
        <f t="shared" si="1172"/>
        <v>193815.34852334083</v>
      </c>
      <c r="DE133" s="123"/>
      <c r="DF133" s="23">
        <v>99787.669601851754</v>
      </c>
    </row>
    <row r="134" spans="1:110" s="22" customFormat="1" x14ac:dyDescent="0.2">
      <c r="A134" s="22" t="s">
        <v>44</v>
      </c>
      <c r="B134" s="22">
        <f>B131+B132+B133</f>
        <v>4888.43</v>
      </c>
      <c r="C134" s="22">
        <f t="shared" ref="C134:V134" si="1173">C131+C132+C133</f>
        <v>3518.55</v>
      </c>
      <c r="D134" s="22">
        <f t="shared" si="1173"/>
        <v>3294.3999999999996</v>
      </c>
      <c r="E134" s="22">
        <f t="shared" si="1173"/>
        <v>4656.6799999999994</v>
      </c>
      <c r="F134" s="22">
        <f t="shared" si="1173"/>
        <v>7337.16</v>
      </c>
      <c r="G134" s="22">
        <f t="shared" si="1173"/>
        <v>10281.84</v>
      </c>
      <c r="H134" s="22">
        <f t="shared" si="1173"/>
        <v>14639.66</v>
      </c>
      <c r="I134" s="22">
        <f t="shared" si="1173"/>
        <v>34191.440000000002</v>
      </c>
      <c r="J134" s="22">
        <f t="shared" si="1173"/>
        <v>27731.739999999998</v>
      </c>
      <c r="K134" s="22">
        <f t="shared" si="1173"/>
        <v>22831.350000000002</v>
      </c>
      <c r="L134" s="22">
        <f t="shared" si="1173"/>
        <v>35581.370000000003</v>
      </c>
      <c r="M134" s="22">
        <f>M131+M132+M133</f>
        <v>43061.01</v>
      </c>
      <c r="N134" s="22">
        <f t="shared" si="1173"/>
        <v>34551.800000000003</v>
      </c>
      <c r="O134" s="22">
        <f t="shared" si="1173"/>
        <v>40883.9</v>
      </c>
      <c r="P134" s="22">
        <f t="shared" si="1173"/>
        <v>31531.31</v>
      </c>
      <c r="Q134" s="22">
        <f t="shared" si="1173"/>
        <v>41457.549999999996</v>
      </c>
      <c r="R134" s="22">
        <f t="shared" si="1173"/>
        <v>35544.32</v>
      </c>
      <c r="S134" s="22">
        <f t="shared" si="1173"/>
        <v>58595.62</v>
      </c>
      <c r="T134" s="22">
        <f t="shared" si="1173"/>
        <v>66650.080000000002</v>
      </c>
      <c r="U134" s="22">
        <f t="shared" si="1173"/>
        <v>71301.3</v>
      </c>
      <c r="V134" s="22">
        <f t="shared" si="1173"/>
        <v>73463.77</v>
      </c>
      <c r="W134" s="22">
        <f t="shared" ref="W134" si="1174">W131+W132+W133</f>
        <v>114443.04000000001</v>
      </c>
      <c r="X134" s="22">
        <f t="shared" ref="X134:Y134" si="1175">X131+X132+X133</f>
        <v>103082.1</v>
      </c>
      <c r="Y134" s="22">
        <f t="shared" si="1175"/>
        <v>92035.760000000009</v>
      </c>
      <c r="Z134" s="22">
        <f t="shared" ref="Z134:AA134" si="1176">Z131+Z132+Z133</f>
        <v>91169.63</v>
      </c>
      <c r="AA134" s="22">
        <f t="shared" si="1176"/>
        <v>102167.65000000001</v>
      </c>
      <c r="AB134" s="21">
        <f t="shared" ref="AA134:AD134" si="1177">AB131+AB132+AB133</f>
        <v>119580.41485828876</v>
      </c>
      <c r="AC134" s="21">
        <f t="shared" si="1177"/>
        <v>140116.23319282421</v>
      </c>
      <c r="AD134" s="21">
        <f t="shared" si="1177"/>
        <v>164820.17602929944</v>
      </c>
      <c r="AE134" s="21">
        <f t="shared" ref="AE134" si="1178">AE131+AE132+AE133</f>
        <v>195062.78852334083</v>
      </c>
      <c r="AJ134" s="22">
        <f t="shared" ref="AJ134" si="1179">AJ131+AJ132+AJ133</f>
        <v>44594.29</v>
      </c>
      <c r="AK134" s="22">
        <f t="shared" ref="AK134" si="1180">AK131+AK132+AK133</f>
        <v>43831.23</v>
      </c>
      <c r="AL134" s="22">
        <f t="shared" ref="AL134:AM134" si="1181">AL131+AL132+AL133</f>
        <v>36468.450000000004</v>
      </c>
      <c r="AM134" s="22">
        <f t="shared" si="1181"/>
        <v>37607.46</v>
      </c>
      <c r="AN134" s="22">
        <f t="shared" ref="AN134:AO134" si="1182">AN131+AN132+AN133</f>
        <v>42939.18</v>
      </c>
      <c r="AO134" s="22">
        <f t="shared" si="1182"/>
        <v>43442.420000000006</v>
      </c>
      <c r="AP134" s="22">
        <f t="shared" ref="AP134:CE134" si="1183">AP131+AP132+AP133</f>
        <v>42826.960000000006</v>
      </c>
      <c r="AQ134" s="22">
        <f t="shared" si="1183"/>
        <v>43164.289999999994</v>
      </c>
      <c r="AR134" s="22">
        <f t="shared" si="1183"/>
        <v>44341.09</v>
      </c>
      <c r="AS134" s="22">
        <f t="shared" si="1183"/>
        <v>44498.2</v>
      </c>
      <c r="AT134" s="22">
        <f t="shared" si="1183"/>
        <v>33644.410000000003</v>
      </c>
      <c r="AU134" s="22">
        <f t="shared" si="1183"/>
        <v>33325.29</v>
      </c>
      <c r="AV134" s="22">
        <f t="shared" si="1183"/>
        <v>37339.659999999996</v>
      </c>
      <c r="AW134" s="22">
        <f t="shared" si="1183"/>
        <v>34545.879999999997</v>
      </c>
      <c r="AX134" s="22">
        <f t="shared" si="1183"/>
        <v>43732.549999999996</v>
      </c>
      <c r="AY134" s="22">
        <f t="shared" si="1183"/>
        <v>40525.869999999995</v>
      </c>
      <c r="AZ134" s="22">
        <f t="shared" si="1183"/>
        <v>37444.839999999997</v>
      </c>
      <c r="BA134" s="22">
        <f t="shared" si="1183"/>
        <v>37646.74</v>
      </c>
      <c r="BB134" s="22">
        <f t="shared" si="1183"/>
        <v>37819.32</v>
      </c>
      <c r="BC134" s="22">
        <f t="shared" si="1183"/>
        <v>38725.589999999997</v>
      </c>
      <c r="BD134" s="22">
        <f t="shared" si="1183"/>
        <v>37065.65</v>
      </c>
      <c r="BE134" s="22">
        <f t="shared" si="1183"/>
        <v>38352.07</v>
      </c>
      <c r="BF134" s="22">
        <f t="shared" si="1183"/>
        <v>60870.619999999995</v>
      </c>
      <c r="BG134" s="22">
        <f t="shared" si="1183"/>
        <v>62821.679999999993</v>
      </c>
      <c r="BH134" s="22">
        <f t="shared" si="1183"/>
        <v>66291.62999999999</v>
      </c>
      <c r="BI134" s="22">
        <f t="shared" si="1183"/>
        <v>68577.609999999986</v>
      </c>
      <c r="BJ134" s="22">
        <f t="shared" si="1183"/>
        <v>68925.08</v>
      </c>
      <c r="BK134" s="22">
        <f t="shared" si="1183"/>
        <v>69642.150000000009</v>
      </c>
      <c r="BL134" s="22">
        <f t="shared" si="1183"/>
        <v>72644.290000000008</v>
      </c>
      <c r="BM134" s="22">
        <f t="shared" si="1183"/>
        <v>71559.670000000013</v>
      </c>
      <c r="BN134" s="22">
        <f t="shared" si="1183"/>
        <v>73576.3</v>
      </c>
      <c r="BO134" s="22">
        <f t="shared" si="1183"/>
        <v>69159.740000000005</v>
      </c>
      <c r="BP134" s="22">
        <f t="shared" si="1183"/>
        <v>65065.81</v>
      </c>
      <c r="BQ134" s="22">
        <f t="shared" si="1183"/>
        <v>68763.03</v>
      </c>
      <c r="BR134" s="22">
        <f t="shared" si="1183"/>
        <v>74238.77</v>
      </c>
      <c r="BS134" s="22">
        <f t="shared" si="1183"/>
        <v>83145.72</v>
      </c>
      <c r="BT134" s="22">
        <f t="shared" si="1183"/>
        <v>91518.459999999992</v>
      </c>
      <c r="BU134" s="22">
        <f t="shared" si="1183"/>
        <v>101091.12999999999</v>
      </c>
      <c r="BV134" s="22">
        <f t="shared" si="1183"/>
        <v>114443.04000000001</v>
      </c>
      <c r="BW134" s="22">
        <f t="shared" si="1183"/>
        <v>122208</v>
      </c>
      <c r="BX134" s="22">
        <f t="shared" si="1183"/>
        <v>107498.66</v>
      </c>
      <c r="BY134" s="22">
        <f t="shared" si="1183"/>
        <v>105274.82</v>
      </c>
      <c r="BZ134" s="22">
        <f t="shared" si="1183"/>
        <v>103082.1</v>
      </c>
      <c r="CA134" s="22">
        <f t="shared" si="1183"/>
        <v>103716.05000000002</v>
      </c>
      <c r="CB134" s="22">
        <f t="shared" si="1183"/>
        <v>89197.19</v>
      </c>
      <c r="CC134" s="22">
        <f t="shared" si="1183"/>
        <v>89710.560000000012</v>
      </c>
      <c r="CD134" s="22">
        <f t="shared" si="1183"/>
        <v>92035.760000000009</v>
      </c>
      <c r="CE134" s="22">
        <f t="shared" si="1183"/>
        <v>92995.37000000001</v>
      </c>
      <c r="CF134" s="22">
        <f t="shared" ref="CF134:CG134" si="1184">CF131+CF132+CF133</f>
        <v>90147.08</v>
      </c>
      <c r="CG134" s="22">
        <f t="shared" si="1184"/>
        <v>90473.72</v>
      </c>
      <c r="CH134" s="22">
        <f t="shared" ref="CH134:CI134" si="1185">CH131+CH132+CH133</f>
        <v>91169.63</v>
      </c>
      <c r="CI134" s="22">
        <f t="shared" si="1185"/>
        <v>93247.31</v>
      </c>
      <c r="CJ134" s="22">
        <f t="shared" ref="CJ134:DB134" si="1186">CJ131+CJ132+CJ133</f>
        <v>94947.3</v>
      </c>
      <c r="CK134" s="22">
        <f t="shared" si="1186"/>
        <v>97636</v>
      </c>
      <c r="CL134" s="22">
        <f t="shared" ref="CL134" si="1187">CL131+CL132+CL133</f>
        <v>102167.65000000001</v>
      </c>
      <c r="CM134" s="21">
        <f t="shared" si="1186"/>
        <v>105382.64840524715</v>
      </c>
      <c r="CN134" s="21">
        <f t="shared" si="1186"/>
        <v>109384.68673865539</v>
      </c>
      <c r="CO134" s="21">
        <f t="shared" si="1186"/>
        <v>114006.5736525376</v>
      </c>
      <c r="CP134" s="21">
        <f t="shared" si="1186"/>
        <v>119580.41485828876</v>
      </c>
      <c r="CQ134" s="21">
        <f t="shared" si="1186"/>
        <v>123615.64962713874</v>
      </c>
      <c r="CR134" s="21">
        <f t="shared" si="1186"/>
        <v>128311.31401405866</v>
      </c>
      <c r="CS134" s="21">
        <f t="shared" si="1186"/>
        <v>133866.40662569224</v>
      </c>
      <c r="CT134" s="21">
        <f t="shared" si="1186"/>
        <v>140116.23319282421</v>
      </c>
      <c r="CU134" s="21">
        <f t="shared" si="1186"/>
        <v>145034.2119137386</v>
      </c>
      <c r="CV134" s="21">
        <f t="shared" si="1186"/>
        <v>150714.52288285986</v>
      </c>
      <c r="CW134" s="21">
        <f t="shared" si="1186"/>
        <v>157384.24705454806</v>
      </c>
      <c r="CX134" s="21">
        <f t="shared" si="1186"/>
        <v>164820.17602929944</v>
      </c>
      <c r="CY134" s="21">
        <f t="shared" si="1186"/>
        <v>171064.70129801999</v>
      </c>
      <c r="CZ134" s="21">
        <f t="shared" si="1186"/>
        <v>178097.25898884609</v>
      </c>
      <c r="DA134" s="21">
        <f t="shared" si="1186"/>
        <v>186173.31962699079</v>
      </c>
      <c r="DB134" s="21">
        <f t="shared" si="1186"/>
        <v>195062.78852334083</v>
      </c>
      <c r="DE134" s="126"/>
      <c r="DF134" s="22">
        <v>101035.10960185176</v>
      </c>
    </row>
    <row r="135" spans="1:110" s="22" customFormat="1" x14ac:dyDescent="0.2">
      <c r="AB135" s="21"/>
      <c r="AC135" s="21"/>
      <c r="AD135" s="21"/>
      <c r="AE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E135" s="126"/>
    </row>
    <row r="136" spans="1:110" s="23" customFormat="1" x14ac:dyDescent="0.2">
      <c r="A136" s="23" t="s">
        <v>23</v>
      </c>
      <c r="B136" s="23">
        <f>'Annual Raw'!C45</f>
        <v>0</v>
      </c>
      <c r="C136" s="23">
        <f>'Annual Raw'!D45</f>
        <v>23.63</v>
      </c>
      <c r="D136" s="23">
        <f>'Annual Raw'!E45</f>
        <v>30.97</v>
      </c>
      <c r="E136" s="23">
        <f>'Annual Raw'!F45</f>
        <v>48.66</v>
      </c>
      <c r="F136" s="23">
        <f>'Annual Raw'!G45</f>
        <v>93.52</v>
      </c>
      <c r="G136" s="23">
        <f>'Annual Raw'!H45</f>
        <v>123.57</v>
      </c>
      <c r="H136" s="23">
        <f>'Annual Raw'!I45</f>
        <v>598.39</v>
      </c>
      <c r="I136" s="23">
        <f>'Annual Raw'!J45</f>
        <v>832.7</v>
      </c>
      <c r="J136" s="23">
        <f>'Annual Raw'!K45</f>
        <v>894.88</v>
      </c>
      <c r="K136" s="23">
        <f>'Annual Raw'!L45</f>
        <v>884.07</v>
      </c>
      <c r="L136" s="23">
        <f>'Annual Raw'!M45</f>
        <v>888.9</v>
      </c>
      <c r="M136" s="23">
        <f>'Annual Raw'!N45</f>
        <v>1091.1500000000001</v>
      </c>
      <c r="N136" s="23">
        <f>'Annual Raw'!O45</f>
        <v>1669.36</v>
      </c>
      <c r="O136" s="23">
        <f>'Annual Raw'!P45</f>
        <v>1737.72</v>
      </c>
      <c r="P136" s="23">
        <f>'Annual Raw'!Q45</f>
        <v>1703.85</v>
      </c>
      <c r="Q136" s="23">
        <f>'Annual Raw'!R45</f>
        <v>780.94</v>
      </c>
      <c r="R136" s="23">
        <f>'Annual Raw'!S45</f>
        <v>1601.7</v>
      </c>
      <c r="S136" s="23">
        <f>'Annual Raw'!T45</f>
        <v>936.52</v>
      </c>
      <c r="T136" s="23">
        <f>'Annual Raw'!U45</f>
        <v>2364.46</v>
      </c>
      <c r="U136" s="23">
        <f>'Annual Raw'!V45</f>
        <v>2586.6</v>
      </c>
      <c r="V136" s="23">
        <f>'Annual Raw'!W45</f>
        <v>3269.68</v>
      </c>
      <c r="W136" s="23">
        <f>'Annual Raw'!X45</f>
        <v>2655.42</v>
      </c>
      <c r="X136" s="23">
        <f>'Annual Raw'!Y45</f>
        <v>2093.11</v>
      </c>
      <c r="Y136" s="23">
        <f>'Annual Raw'!Z45</f>
        <v>396.98</v>
      </c>
      <c r="Z136" s="23">
        <f>'Annual Raw'!AA45</f>
        <v>183.15</v>
      </c>
      <c r="AA136" s="23">
        <f>'Annual Raw'!AB45</f>
        <v>1612.8</v>
      </c>
      <c r="AB136" s="24">
        <f>+CP136</f>
        <v>1612.8</v>
      </c>
      <c r="AC136" s="24">
        <f>+CT136</f>
        <v>1612.8</v>
      </c>
      <c r="AD136" s="24">
        <f>+CX136</f>
        <v>1612.8</v>
      </c>
      <c r="AE136" s="24">
        <f>+DB136</f>
        <v>1612.8</v>
      </c>
      <c r="AJ136" s="23">
        <f>+'QTR Raw'!D60</f>
        <v>1789.09</v>
      </c>
      <c r="AK136" s="23">
        <f t="shared" ref="AK136:CE136" si="1188">+AJ136</f>
        <v>1789.09</v>
      </c>
      <c r="AL136" s="23">
        <f>+'QTR Raw'!F60</f>
        <v>1669.36</v>
      </c>
      <c r="AM136" s="23">
        <f t="shared" si="1188"/>
        <v>1669.36</v>
      </c>
      <c r="AN136" s="23">
        <f>+'QTR Raw'!H60</f>
        <v>1917.79</v>
      </c>
      <c r="AO136" s="23">
        <f t="shared" si="1188"/>
        <v>1917.79</v>
      </c>
      <c r="AP136" s="23">
        <f>+'QTR Raw'!J60</f>
        <v>1737.72</v>
      </c>
      <c r="AQ136" s="23">
        <f t="shared" si="1188"/>
        <v>1737.72</v>
      </c>
      <c r="AR136" s="23">
        <f>+'QTR Raw'!L60</f>
        <v>1772.73</v>
      </c>
      <c r="AS136" s="23">
        <f t="shared" si="1188"/>
        <v>1772.73</v>
      </c>
      <c r="AT136" s="23">
        <f>+'QTR Raw'!N60</f>
        <v>1703.85</v>
      </c>
      <c r="AU136" s="23">
        <f t="shared" si="1188"/>
        <v>1703.85</v>
      </c>
      <c r="AV136" s="23">
        <f>+'QTR Raw'!P60</f>
        <v>1661.2</v>
      </c>
      <c r="AW136" s="23">
        <f t="shared" si="1188"/>
        <v>1661.2</v>
      </c>
      <c r="AX136" s="23">
        <f>+'QTR Raw'!R60</f>
        <v>780.94</v>
      </c>
      <c r="AY136" s="23">
        <f t="shared" si="1188"/>
        <v>780.94</v>
      </c>
      <c r="AZ136" s="23">
        <f>+'QTR Raw'!T60</f>
        <v>844.11</v>
      </c>
      <c r="BA136" s="23">
        <f t="shared" si="1188"/>
        <v>844.11</v>
      </c>
      <c r="BB136" s="23">
        <f>+'QTR Raw'!V60</f>
        <v>1601.7</v>
      </c>
      <c r="BC136" s="23">
        <f t="shared" si="1188"/>
        <v>1601.7</v>
      </c>
      <c r="BD136" s="23">
        <f>+'QTR Raw'!X60</f>
        <v>-5037.1400000000003</v>
      </c>
      <c r="BE136" s="23">
        <f t="shared" si="1188"/>
        <v>-5037.1400000000003</v>
      </c>
      <c r="BF136" s="23">
        <f>+'QTR Raw'!Z60</f>
        <v>936.52</v>
      </c>
      <c r="BG136" s="23">
        <f t="shared" si="1188"/>
        <v>936.52</v>
      </c>
      <c r="BH136" s="22">
        <f>+'QTR Raw'!AB60</f>
        <v>1313.78</v>
      </c>
      <c r="BI136" s="23">
        <f t="shared" si="1188"/>
        <v>1313.78</v>
      </c>
      <c r="BJ136" s="23">
        <f>+'QTR Raw'!AD60</f>
        <v>2364.46</v>
      </c>
      <c r="BK136" s="23">
        <f t="shared" si="1188"/>
        <v>2364.46</v>
      </c>
      <c r="BL136" s="23">
        <f>+'QTR Raw'!AF60</f>
        <v>2658.73</v>
      </c>
      <c r="BM136" s="23">
        <f t="shared" si="1188"/>
        <v>2658.73</v>
      </c>
      <c r="BN136" s="23">
        <f>+'QTR Raw'!AH60</f>
        <v>2586.6</v>
      </c>
      <c r="BO136" s="23">
        <f t="shared" si="1188"/>
        <v>2586.6</v>
      </c>
      <c r="BP136" s="23">
        <f>+'QTR Raw'!AJ60</f>
        <v>2484.12</v>
      </c>
      <c r="BQ136" s="23">
        <f t="shared" si="1188"/>
        <v>2484.12</v>
      </c>
      <c r="BR136" s="23">
        <f>+'QTR Raw'!AL60</f>
        <v>3269.68</v>
      </c>
      <c r="BS136" s="23">
        <f t="shared" si="1188"/>
        <v>3269.68</v>
      </c>
      <c r="BT136" s="23">
        <f>+'QTR Raw'!AN60</f>
        <v>4705.08</v>
      </c>
      <c r="BU136" s="23">
        <f t="shared" si="1188"/>
        <v>4705.08</v>
      </c>
      <c r="BV136" s="23">
        <f>+'QTR Raw'!AP60</f>
        <v>2655.42</v>
      </c>
      <c r="BW136" s="23">
        <f t="shared" si="1188"/>
        <v>2655.42</v>
      </c>
      <c r="BX136" s="23">
        <f>+'QTR Raw'!AR60</f>
        <v>2531.25</v>
      </c>
      <c r="BY136" s="23">
        <f t="shared" si="1188"/>
        <v>2531.25</v>
      </c>
      <c r="BZ136" s="23">
        <f>+'QTR Raw'!AT60</f>
        <v>2093.11</v>
      </c>
      <c r="CA136" s="23">
        <f t="shared" si="1188"/>
        <v>2093.11</v>
      </c>
      <c r="CB136" s="23">
        <f>+'QTR Raw'!AV60</f>
        <v>1605.06</v>
      </c>
      <c r="CC136" s="23">
        <f t="shared" si="1188"/>
        <v>1605.06</v>
      </c>
      <c r="CD136" s="23">
        <f>+'QTR Raw'!AX60</f>
        <v>396.98</v>
      </c>
      <c r="CE136" s="23">
        <f t="shared" si="1188"/>
        <v>396.98</v>
      </c>
      <c r="CF136" s="23">
        <f>+'QTR Raw'!AZ60</f>
        <v>361.96</v>
      </c>
      <c r="CG136" s="23">
        <f t="shared" ref="CG136:CI136" si="1189">+CF136</f>
        <v>361.96</v>
      </c>
      <c r="CH136" s="23">
        <f t="shared" ref="CH136:CH141" si="1190">Z136</f>
        <v>183.15</v>
      </c>
      <c r="CI136" s="23">
        <f t="shared" si="1189"/>
        <v>183.15</v>
      </c>
      <c r="CJ136" s="23">
        <f>+'QTR Raw'!BD60</f>
        <v>984.61</v>
      </c>
      <c r="CK136" s="23">
        <f t="shared" ref="CK136" si="1191">+CJ136</f>
        <v>984.61</v>
      </c>
      <c r="CL136" s="23">
        <f>+'QTR Raw'!BF60</f>
        <v>1612.8</v>
      </c>
      <c r="CM136" s="24">
        <f t="shared" ref="CM136" si="1192">+CL136</f>
        <v>1612.8</v>
      </c>
      <c r="CN136" s="24">
        <f t="shared" ref="CN136" si="1193">+CM136</f>
        <v>1612.8</v>
      </c>
      <c r="CO136" s="24">
        <f t="shared" ref="CO136" si="1194">+CN136</f>
        <v>1612.8</v>
      </c>
      <c r="CP136" s="24">
        <f t="shared" ref="CP136" si="1195">+CO136</f>
        <v>1612.8</v>
      </c>
      <c r="CQ136" s="24">
        <f t="shared" ref="CQ136" si="1196">+CP136</f>
        <v>1612.8</v>
      </c>
      <c r="CR136" s="24">
        <f t="shared" ref="CR136" si="1197">+CQ136</f>
        <v>1612.8</v>
      </c>
      <c r="CS136" s="24">
        <f t="shared" ref="CS136" si="1198">+CR136</f>
        <v>1612.8</v>
      </c>
      <c r="CT136" s="24">
        <f t="shared" ref="CT136" si="1199">+CS136</f>
        <v>1612.8</v>
      </c>
      <c r="CU136" s="24">
        <f t="shared" ref="CU136" si="1200">+CT136</f>
        <v>1612.8</v>
      </c>
      <c r="CV136" s="24">
        <f t="shared" ref="CV136" si="1201">+CU136</f>
        <v>1612.8</v>
      </c>
      <c r="CW136" s="24">
        <f t="shared" ref="CW136" si="1202">+CV136</f>
        <v>1612.8</v>
      </c>
      <c r="CX136" s="24">
        <f t="shared" ref="CX136" si="1203">+CW136</f>
        <v>1612.8</v>
      </c>
      <c r="CY136" s="24">
        <f t="shared" ref="CY136" si="1204">+CX136</f>
        <v>1612.8</v>
      </c>
      <c r="CZ136" s="24">
        <f t="shared" ref="CZ136" si="1205">+CY136</f>
        <v>1612.8</v>
      </c>
      <c r="DA136" s="24">
        <f t="shared" ref="DA136" si="1206">+CZ136</f>
        <v>1612.8</v>
      </c>
      <c r="DB136" s="24">
        <f t="shared" ref="DB136" si="1207">+DA136</f>
        <v>1612.8</v>
      </c>
      <c r="DE136" s="123"/>
      <c r="DF136" s="23">
        <v>984.61</v>
      </c>
    </row>
    <row r="137" spans="1:110" s="23" customFormat="1" x14ac:dyDescent="0.2">
      <c r="AB137" s="24"/>
      <c r="AC137" s="24"/>
      <c r="AD137" s="24"/>
      <c r="AE137" s="24"/>
      <c r="BH137" s="22"/>
      <c r="CM137" s="24"/>
      <c r="CN137" s="24"/>
      <c r="CO137" s="24"/>
      <c r="CP137" s="24"/>
      <c r="CQ137" s="24"/>
      <c r="CR137" s="24"/>
      <c r="CS137" s="24"/>
      <c r="CT137" s="24"/>
      <c r="CU137" s="24"/>
      <c r="CV137" s="24"/>
      <c r="CW137" s="24"/>
      <c r="CX137" s="24"/>
      <c r="CY137" s="24"/>
      <c r="CZ137" s="24"/>
      <c r="DA137" s="24"/>
      <c r="DB137" s="24"/>
      <c r="DE137" s="123"/>
    </row>
    <row r="138" spans="1:110" s="23" customFormat="1" outlineLevel="1" x14ac:dyDescent="0.2">
      <c r="A138" s="23" t="s">
        <v>45</v>
      </c>
      <c r="B138" s="23">
        <f>'Annual Raw'!C47</f>
        <v>4129.96</v>
      </c>
      <c r="C138" s="23">
        <f>'Annual Raw'!D47</f>
        <v>4232.5</v>
      </c>
      <c r="D138" s="23">
        <f>'Annual Raw'!E47</f>
        <v>3747.44</v>
      </c>
      <c r="E138" s="23">
        <f>'Annual Raw'!F47</f>
        <v>3111.75</v>
      </c>
      <c r="F138" s="23">
        <f>'Annual Raw'!G47</f>
        <v>2668.11</v>
      </c>
      <c r="G138" s="23">
        <f>'Annual Raw'!H47</f>
        <v>2503.39</v>
      </c>
      <c r="H138" s="23">
        <f>'Annual Raw'!I47</f>
        <v>4961.2299999999996</v>
      </c>
      <c r="I138" s="23">
        <f>'Annual Raw'!J47</f>
        <v>35414.99</v>
      </c>
      <c r="J138" s="23">
        <f>'Annual Raw'!K47</f>
        <v>34243.879999999997</v>
      </c>
      <c r="K138" s="23">
        <f>'Annual Raw'!L47</f>
        <v>28059.33</v>
      </c>
      <c r="L138" s="23">
        <f>'Annual Raw'!M47</f>
        <v>24284.37</v>
      </c>
      <c r="M138" s="23">
        <f>'Annual Raw'!N47</f>
        <v>24833.4</v>
      </c>
      <c r="N138" s="23">
        <f>'Annual Raw'!O47</f>
        <v>24337.24</v>
      </c>
      <c r="O138" s="23">
        <f>'Annual Raw'!P47</f>
        <v>27972.61</v>
      </c>
      <c r="P138" s="23">
        <f>'Annual Raw'!Q47</f>
        <v>22997.79</v>
      </c>
      <c r="Q138" s="23">
        <f>'Annual Raw'!R47</f>
        <v>21742.18</v>
      </c>
      <c r="R138" s="23">
        <f>'Annual Raw'!S47</f>
        <v>17725.580000000002</v>
      </c>
      <c r="S138" s="23">
        <f>'Annual Raw'!T47</f>
        <v>20790.88</v>
      </c>
      <c r="T138" s="23">
        <f>'Annual Raw'!U47</f>
        <v>27631.15</v>
      </c>
      <c r="U138" s="23">
        <f>'Annual Raw'!V47</f>
        <v>37337.17</v>
      </c>
      <c r="V138" s="23">
        <f>'Annual Raw'!W47</f>
        <v>25378.02</v>
      </c>
      <c r="W138" s="23">
        <f>'Annual Raw'!X47</f>
        <v>7629.54</v>
      </c>
      <c r="X138" s="23">
        <f>'Annual Raw'!Y47</f>
        <v>6405.31</v>
      </c>
      <c r="Y138" s="23">
        <f>'Annual Raw'!Z47</f>
        <v>5756.73</v>
      </c>
      <c r="Z138" s="23">
        <f>'Annual Raw'!AA47</f>
        <v>448.78</v>
      </c>
      <c r="AA138" s="23">
        <f>'Annual Raw'!AB47</f>
        <v>354.95</v>
      </c>
      <c r="AB138" s="24">
        <f t="shared" ref="AB138:AB141" si="1208">+CP138</f>
        <v>0</v>
      </c>
      <c r="AC138" s="24">
        <f t="shared" ref="AC138:AC141" si="1209">+CT138</f>
        <v>0</v>
      </c>
      <c r="AD138" s="24">
        <f t="shared" ref="AD138:AD141" si="1210">+CX138</f>
        <v>0</v>
      </c>
      <c r="AE138" s="24">
        <f t="shared" ref="AE138:AE141" si="1211">+DB138</f>
        <v>0</v>
      </c>
      <c r="AJ138" s="23">
        <f>+'QTR Raw'!D62</f>
        <v>0</v>
      </c>
      <c r="AK138" s="23">
        <f t="shared" ref="AK138:CC141" si="1212">+AJ138</f>
        <v>0</v>
      </c>
      <c r="AL138" s="23">
        <f>+'QTR Raw'!F62</f>
        <v>0</v>
      </c>
      <c r="AM138" s="23">
        <f t="shared" si="1212"/>
        <v>0</v>
      </c>
      <c r="AN138" s="23">
        <f>+'QTR Raw'!H62</f>
        <v>0</v>
      </c>
      <c r="AO138" s="23">
        <f t="shared" si="1212"/>
        <v>0</v>
      </c>
      <c r="AP138" s="23">
        <f>+'QTR Raw'!J62</f>
        <v>0</v>
      </c>
      <c r="AQ138" s="23">
        <f t="shared" si="1212"/>
        <v>0</v>
      </c>
      <c r="AR138" s="23">
        <f>+'QTR Raw'!L62</f>
        <v>0</v>
      </c>
      <c r="AS138" s="23">
        <f t="shared" si="1212"/>
        <v>0</v>
      </c>
      <c r="AT138" s="23">
        <f>+'QTR Raw'!N62</f>
        <v>0</v>
      </c>
      <c r="AU138" s="23">
        <f t="shared" si="1212"/>
        <v>0</v>
      </c>
      <c r="AV138" s="23">
        <f>+'QTR Raw'!P62</f>
        <v>0</v>
      </c>
      <c r="AW138" s="23">
        <f t="shared" si="1212"/>
        <v>0</v>
      </c>
      <c r="AX138" s="23">
        <f>+'QTR Raw'!R62</f>
        <v>0</v>
      </c>
      <c r="AY138" s="23">
        <f t="shared" si="1212"/>
        <v>0</v>
      </c>
      <c r="AZ138" s="23">
        <f>+'QTR Raw'!T62</f>
        <v>0</v>
      </c>
      <c r="BA138" s="23">
        <f t="shared" si="1212"/>
        <v>0</v>
      </c>
      <c r="BB138" s="23">
        <f>+'QTR Raw'!V62</f>
        <v>0</v>
      </c>
      <c r="BC138" s="23">
        <f t="shared" si="1212"/>
        <v>0</v>
      </c>
      <c r="BD138" s="23">
        <f>+'QTR Raw'!X62</f>
        <v>0</v>
      </c>
      <c r="BE138" s="23">
        <f t="shared" si="1212"/>
        <v>0</v>
      </c>
      <c r="BF138" s="23">
        <f>+'QTR Raw'!Z62</f>
        <v>0</v>
      </c>
      <c r="BG138" s="23">
        <f t="shared" si="1212"/>
        <v>0</v>
      </c>
      <c r="BH138" s="22">
        <f>+'QTR Raw'!AB62</f>
        <v>0</v>
      </c>
      <c r="BI138" s="23">
        <f t="shared" si="1212"/>
        <v>0</v>
      </c>
      <c r="BJ138" s="23">
        <f>+'QTR Raw'!AD62</f>
        <v>0</v>
      </c>
      <c r="BK138" s="23">
        <f t="shared" si="1212"/>
        <v>0</v>
      </c>
      <c r="BL138" s="23">
        <f>+'QTR Raw'!AF62</f>
        <v>0</v>
      </c>
      <c r="BM138" s="23">
        <f t="shared" si="1212"/>
        <v>0</v>
      </c>
      <c r="BN138" s="23">
        <f>+'QTR Raw'!AH62</f>
        <v>0</v>
      </c>
      <c r="BO138" s="23">
        <f t="shared" si="1212"/>
        <v>0</v>
      </c>
      <c r="BP138" s="23">
        <f>+'QTR Raw'!AJ62</f>
        <v>0</v>
      </c>
      <c r="BQ138" s="23">
        <f t="shared" si="1212"/>
        <v>0</v>
      </c>
      <c r="BR138" s="23">
        <f>+'QTR Raw'!AL62</f>
        <v>0</v>
      </c>
      <c r="BS138" s="23">
        <f t="shared" si="1212"/>
        <v>0</v>
      </c>
      <c r="BT138" s="23">
        <f>+'QTR Raw'!AN62</f>
        <v>0</v>
      </c>
      <c r="BU138" s="23">
        <f t="shared" si="1212"/>
        <v>0</v>
      </c>
      <c r="BV138" s="23">
        <f>+'QTR Raw'!AP62</f>
        <v>0</v>
      </c>
      <c r="BW138" s="23">
        <f t="shared" si="1212"/>
        <v>0</v>
      </c>
      <c r="BX138" s="23">
        <f>+'QTR Raw'!AR62</f>
        <v>0</v>
      </c>
      <c r="BY138" s="23">
        <f t="shared" si="1212"/>
        <v>0</v>
      </c>
      <c r="BZ138" s="23">
        <f>+'QTR Raw'!AT62</f>
        <v>0</v>
      </c>
      <c r="CA138" s="23">
        <f t="shared" si="1212"/>
        <v>0</v>
      </c>
      <c r="CB138" s="23">
        <f>+'QTR Raw'!AV62</f>
        <v>0</v>
      </c>
      <c r="CC138" s="23">
        <f t="shared" si="1212"/>
        <v>0</v>
      </c>
      <c r="CD138" s="23">
        <f>+'QTR Raw'!AX62</f>
        <v>0</v>
      </c>
      <c r="CE138" s="23">
        <f t="shared" ref="CE138:CE141" si="1213">+CD138</f>
        <v>0</v>
      </c>
      <c r="CF138" s="23">
        <f>+'QTR Raw'!AZ62</f>
        <v>0</v>
      </c>
      <c r="CG138" s="23">
        <f t="shared" ref="CG138:CI141" si="1214">+CF138</f>
        <v>0</v>
      </c>
      <c r="CH138" s="23">
        <f t="shared" si="1190"/>
        <v>448.78</v>
      </c>
      <c r="CI138" s="23">
        <f t="shared" si="1214"/>
        <v>448.78</v>
      </c>
      <c r="CJ138" s="23">
        <f>+'QTR Raw'!BD62</f>
        <v>0</v>
      </c>
      <c r="CK138" s="23">
        <f t="shared" ref="CK138:CK141" si="1215">+CJ138</f>
        <v>0</v>
      </c>
      <c r="CL138" s="23">
        <f>+'QTR Raw'!BF62</f>
        <v>0</v>
      </c>
      <c r="CM138" s="24">
        <f t="shared" ref="CM138:CM141" si="1216">+CL138</f>
        <v>0</v>
      </c>
      <c r="CN138" s="24">
        <f t="shared" ref="CN138:CN141" si="1217">+CM138</f>
        <v>0</v>
      </c>
      <c r="CO138" s="24">
        <f t="shared" ref="CO138:CO141" si="1218">+CN138</f>
        <v>0</v>
      </c>
      <c r="CP138" s="24">
        <f t="shared" ref="CP138:CP141" si="1219">+CO138</f>
        <v>0</v>
      </c>
      <c r="CQ138" s="24">
        <f t="shared" ref="CQ138:CQ141" si="1220">+CP138</f>
        <v>0</v>
      </c>
      <c r="CR138" s="24">
        <f t="shared" ref="CR138:CR141" si="1221">+CQ138</f>
        <v>0</v>
      </c>
      <c r="CS138" s="24">
        <f t="shared" ref="CS138:CS141" si="1222">+CR138</f>
        <v>0</v>
      </c>
      <c r="CT138" s="24">
        <f t="shared" ref="CT138:CT141" si="1223">+CS138</f>
        <v>0</v>
      </c>
      <c r="CU138" s="24">
        <f t="shared" ref="CU138:CU141" si="1224">+CT138</f>
        <v>0</v>
      </c>
      <c r="CV138" s="24">
        <f t="shared" ref="CV138:CV141" si="1225">+CU138</f>
        <v>0</v>
      </c>
      <c r="CW138" s="24">
        <f t="shared" ref="CW138:CW141" si="1226">+CV138</f>
        <v>0</v>
      </c>
      <c r="CX138" s="24">
        <f t="shared" ref="CX138:CX141" si="1227">+CW138</f>
        <v>0</v>
      </c>
      <c r="CY138" s="24">
        <f t="shared" ref="CY138:CY141" si="1228">+CX138</f>
        <v>0</v>
      </c>
      <c r="CZ138" s="24">
        <f t="shared" ref="CZ138:CZ141" si="1229">+CY138</f>
        <v>0</v>
      </c>
      <c r="DA138" s="24">
        <f t="shared" ref="DA138:DA141" si="1230">+CZ138</f>
        <v>0</v>
      </c>
      <c r="DB138" s="24">
        <f t="shared" ref="DB138:DB141" si="1231">+DA138</f>
        <v>0</v>
      </c>
      <c r="DE138" s="123"/>
      <c r="DF138" s="23">
        <v>0</v>
      </c>
    </row>
    <row r="139" spans="1:110" s="23" customFormat="1" outlineLevel="1" x14ac:dyDescent="0.2">
      <c r="A139" s="23" t="s">
        <v>46</v>
      </c>
      <c r="B139" s="23">
        <f>'Annual Raw'!C48</f>
        <v>1425.39</v>
      </c>
      <c r="C139" s="23">
        <f>'Annual Raw'!D48</f>
        <v>1769.4</v>
      </c>
      <c r="D139" s="23">
        <f>'Annual Raw'!E48</f>
        <v>2031</v>
      </c>
      <c r="E139" s="23">
        <f>'Annual Raw'!F48</f>
        <v>1968.01</v>
      </c>
      <c r="F139" s="23">
        <f>'Annual Raw'!G48</f>
        <v>2178</v>
      </c>
      <c r="G139" s="23">
        <f>'Annual Raw'!H48</f>
        <v>2276.6</v>
      </c>
      <c r="H139" s="23">
        <f>'Annual Raw'!I48</f>
        <v>21082.6</v>
      </c>
      <c r="I139" s="23">
        <f>'Annual Raw'!J48</f>
        <v>19289.8</v>
      </c>
      <c r="J139" s="23">
        <f>'Annual Raw'!K48</f>
        <v>26699.03</v>
      </c>
      <c r="K139" s="23">
        <f>'Annual Raw'!L48</f>
        <v>26211.64</v>
      </c>
      <c r="L139" s="23">
        <f>'Annual Raw'!M48</f>
        <v>26466.32</v>
      </c>
      <c r="M139" s="23">
        <f>'Annual Raw'!N48</f>
        <v>22679.84</v>
      </c>
      <c r="N139" s="23">
        <f>'Annual Raw'!O48</f>
        <v>24795.38</v>
      </c>
      <c r="O139" s="23">
        <f>'Annual Raw'!P48</f>
        <v>26668.799999999999</v>
      </c>
      <c r="P139" s="23">
        <f>'Annual Raw'!Q48</f>
        <v>44952.41</v>
      </c>
      <c r="Q139" s="23">
        <f>'Annual Raw'!R48</f>
        <v>45405.599999999999</v>
      </c>
      <c r="R139" s="23">
        <f>'Annual Raw'!S48</f>
        <v>48571.69</v>
      </c>
      <c r="S139" s="23">
        <f>'Annual Raw'!T48</f>
        <v>54273.22</v>
      </c>
      <c r="T139" s="23">
        <f>'Annual Raw'!U48</f>
        <v>54986.58</v>
      </c>
      <c r="U139" s="23">
        <f>'Annual Raw'!V48</f>
        <v>59042.8</v>
      </c>
      <c r="V139" s="23">
        <f>'Annual Raw'!W48</f>
        <v>41094.99</v>
      </c>
      <c r="W139" s="23">
        <f>'Annual Raw'!X48</f>
        <v>37134.53</v>
      </c>
      <c r="X139" s="23">
        <f>'Annual Raw'!Y48</f>
        <v>45041.02</v>
      </c>
      <c r="Y139" s="23">
        <f>'Annual Raw'!Z48</f>
        <v>45820</v>
      </c>
      <c r="Z139" s="23">
        <f>'Annual Raw'!AA48</f>
        <v>68103.03</v>
      </c>
      <c r="AA139" s="23">
        <f>'Annual Raw'!AB48</f>
        <v>63398.720000000001</v>
      </c>
      <c r="AB139" s="24">
        <f t="shared" si="1208"/>
        <v>63753.67</v>
      </c>
      <c r="AC139" s="24">
        <f t="shared" si="1209"/>
        <v>63753.67</v>
      </c>
      <c r="AD139" s="24">
        <f t="shared" si="1210"/>
        <v>63753.67</v>
      </c>
      <c r="AE139" s="24">
        <f t="shared" si="1211"/>
        <v>63753.67</v>
      </c>
      <c r="AJ139" s="23">
        <f>+'QTR Raw'!D63</f>
        <v>45359.77</v>
      </c>
      <c r="AK139" s="23">
        <f t="shared" si="1212"/>
        <v>45359.77</v>
      </c>
      <c r="AL139" s="23">
        <f>+'QTR Raw'!F63</f>
        <v>46857.62</v>
      </c>
      <c r="AM139" s="23">
        <f t="shared" si="1212"/>
        <v>46857.62</v>
      </c>
      <c r="AN139" s="23">
        <f>+'QTR Raw'!H63</f>
        <v>54453.09</v>
      </c>
      <c r="AO139" s="23">
        <f t="shared" si="1212"/>
        <v>54453.09</v>
      </c>
      <c r="AP139" s="23">
        <f>+'QTR Raw'!J63</f>
        <v>52366.41</v>
      </c>
      <c r="AQ139" s="23">
        <f t="shared" si="1212"/>
        <v>52366.41</v>
      </c>
      <c r="AR139" s="23">
        <f>+'QTR Raw'!L63</f>
        <v>49397.15</v>
      </c>
      <c r="AS139" s="23">
        <f t="shared" si="1212"/>
        <v>49397.15</v>
      </c>
      <c r="AT139" s="23">
        <f>+'QTR Raw'!N63</f>
        <v>65675.199999999997</v>
      </c>
      <c r="AU139" s="23">
        <f t="shared" si="1212"/>
        <v>65675.199999999997</v>
      </c>
      <c r="AV139" s="23">
        <f>+'QTR Raw'!P63</f>
        <v>67434.509999999995</v>
      </c>
      <c r="AW139" s="23">
        <f t="shared" si="1212"/>
        <v>67434.509999999995</v>
      </c>
      <c r="AX139" s="23">
        <f>+'QTR Raw'!R63</f>
        <v>64872.78</v>
      </c>
      <c r="AY139" s="23">
        <f t="shared" si="1212"/>
        <v>64872.78</v>
      </c>
      <c r="AZ139" s="23">
        <f>+'QTR Raw'!T63</f>
        <v>65405.82</v>
      </c>
      <c r="BA139" s="23">
        <f t="shared" si="1212"/>
        <v>65405.82</v>
      </c>
      <c r="BB139" s="23">
        <f>+'QTR Raw'!V63</f>
        <v>64022.27</v>
      </c>
      <c r="BC139" s="23">
        <f t="shared" si="1212"/>
        <v>64022.27</v>
      </c>
      <c r="BD139" s="23">
        <f>+'QTR Raw'!X63</f>
        <v>68230.95</v>
      </c>
      <c r="BE139" s="23">
        <f t="shared" si="1212"/>
        <v>68230.95</v>
      </c>
      <c r="BF139" s="23">
        <f>+'QTR Raw'!Z63</f>
        <v>72789.100000000006</v>
      </c>
      <c r="BG139" s="23">
        <f t="shared" si="1212"/>
        <v>72789.100000000006</v>
      </c>
      <c r="BH139" s="23">
        <f>+'QTR Raw'!AB63</f>
        <v>83827.199999999997</v>
      </c>
      <c r="BI139" s="23">
        <f t="shared" si="1212"/>
        <v>83827.199999999997</v>
      </c>
      <c r="BJ139" s="23">
        <f>+'QTR Raw'!AD63</f>
        <v>80342.73</v>
      </c>
      <c r="BK139" s="23">
        <f t="shared" si="1212"/>
        <v>80342.73</v>
      </c>
      <c r="BL139" s="23">
        <f>+'QTR Raw'!AF63</f>
        <v>86451.09</v>
      </c>
      <c r="BM139" s="23">
        <f t="shared" si="1212"/>
        <v>86451.09</v>
      </c>
      <c r="BN139" s="23">
        <f>+'QTR Raw'!AH63</f>
        <v>94104.97</v>
      </c>
      <c r="BO139" s="23">
        <f t="shared" si="1212"/>
        <v>94104.97</v>
      </c>
      <c r="BP139" s="23">
        <f>+'QTR Raw'!AJ63</f>
        <v>100378.58</v>
      </c>
      <c r="BQ139" s="23">
        <f t="shared" si="1212"/>
        <v>100378.58</v>
      </c>
      <c r="BR139" s="23">
        <f>+'QTR Raw'!AL63</f>
        <v>65698.009999999995</v>
      </c>
      <c r="BS139" s="23">
        <f t="shared" si="1212"/>
        <v>65698.009999999995</v>
      </c>
      <c r="BT139" s="23">
        <f>+'QTR Raw'!AN63</f>
        <v>49498.81</v>
      </c>
      <c r="BU139" s="23">
        <f t="shared" si="1212"/>
        <v>49498.81</v>
      </c>
      <c r="BV139" s="23">
        <f>+'QTR Raw'!AP63</f>
        <v>44764.07</v>
      </c>
      <c r="BW139" s="23">
        <f t="shared" si="1212"/>
        <v>44764.07</v>
      </c>
      <c r="BX139" s="23">
        <f>+'QTR Raw'!AR63</f>
        <v>44393.48</v>
      </c>
      <c r="BY139" s="23">
        <f t="shared" si="1212"/>
        <v>44393.48</v>
      </c>
      <c r="BZ139" s="23">
        <f>+'QTR Raw'!AT63</f>
        <v>51446.33</v>
      </c>
      <c r="CA139" s="23">
        <f t="shared" si="1212"/>
        <v>51446.33</v>
      </c>
      <c r="CB139" s="23">
        <f>+'QTR Raw'!AV63</f>
        <v>47195.6</v>
      </c>
      <c r="CC139" s="23">
        <f t="shared" si="1212"/>
        <v>47195.6</v>
      </c>
      <c r="CD139" s="23">
        <f>+'QTR Raw'!AX63</f>
        <v>51576.73</v>
      </c>
      <c r="CE139" s="23">
        <f t="shared" si="1213"/>
        <v>51576.73</v>
      </c>
      <c r="CF139" s="23">
        <f>+'QTR Raw'!AZ63</f>
        <v>67147.789999999994</v>
      </c>
      <c r="CG139" s="23">
        <f t="shared" si="1214"/>
        <v>67147.789999999994</v>
      </c>
      <c r="CH139" s="23">
        <f t="shared" si="1190"/>
        <v>68103.03</v>
      </c>
      <c r="CI139" s="23">
        <f t="shared" si="1214"/>
        <v>68103.03</v>
      </c>
      <c r="CJ139" s="23">
        <f>+'QTR Raw'!BD63</f>
        <v>65859.64</v>
      </c>
      <c r="CK139" s="23">
        <f t="shared" si="1215"/>
        <v>65859.64</v>
      </c>
      <c r="CL139" s="23">
        <f>+'QTR Raw'!BF63</f>
        <v>63753.67</v>
      </c>
      <c r="CM139" s="24">
        <f t="shared" si="1216"/>
        <v>63753.67</v>
      </c>
      <c r="CN139" s="24">
        <f t="shared" si="1217"/>
        <v>63753.67</v>
      </c>
      <c r="CO139" s="24">
        <f t="shared" si="1218"/>
        <v>63753.67</v>
      </c>
      <c r="CP139" s="24">
        <f t="shared" si="1219"/>
        <v>63753.67</v>
      </c>
      <c r="CQ139" s="24">
        <f t="shared" si="1220"/>
        <v>63753.67</v>
      </c>
      <c r="CR139" s="24">
        <f t="shared" si="1221"/>
        <v>63753.67</v>
      </c>
      <c r="CS139" s="24">
        <f t="shared" si="1222"/>
        <v>63753.67</v>
      </c>
      <c r="CT139" s="24">
        <f t="shared" si="1223"/>
        <v>63753.67</v>
      </c>
      <c r="CU139" s="24">
        <f t="shared" si="1224"/>
        <v>63753.67</v>
      </c>
      <c r="CV139" s="24">
        <f t="shared" si="1225"/>
        <v>63753.67</v>
      </c>
      <c r="CW139" s="24">
        <f t="shared" si="1226"/>
        <v>63753.67</v>
      </c>
      <c r="CX139" s="24">
        <f t="shared" si="1227"/>
        <v>63753.67</v>
      </c>
      <c r="CY139" s="24">
        <f t="shared" si="1228"/>
        <v>63753.67</v>
      </c>
      <c r="CZ139" s="24">
        <f t="shared" si="1229"/>
        <v>63753.67</v>
      </c>
      <c r="DA139" s="24">
        <f t="shared" si="1230"/>
        <v>63753.67</v>
      </c>
      <c r="DB139" s="24">
        <f t="shared" si="1231"/>
        <v>63753.67</v>
      </c>
      <c r="DE139" s="123"/>
      <c r="DF139" s="23">
        <v>65859.64</v>
      </c>
    </row>
    <row r="140" spans="1:110" s="23" customFormat="1" outlineLevel="1" x14ac:dyDescent="0.2">
      <c r="A140" s="23" t="s">
        <v>47</v>
      </c>
      <c r="B140" s="23">
        <f>'Annual Raw'!C87+'Annual Raw'!C88+'Annual Raw'!C89+'Annual Raw'!C90</f>
        <v>0</v>
      </c>
      <c r="C140" s="23">
        <f>'Annual Raw'!D87+'Annual Raw'!D88+'Annual Raw'!D89+'Annual Raw'!D90</f>
        <v>0</v>
      </c>
      <c r="D140" s="23">
        <f>'Annual Raw'!E87+'Annual Raw'!E88+'Annual Raw'!E89+'Annual Raw'!E90</f>
        <v>0</v>
      </c>
      <c r="E140" s="23">
        <f>'Annual Raw'!F87+'Annual Raw'!F88+'Annual Raw'!F89+'Annual Raw'!F90</f>
        <v>0</v>
      </c>
      <c r="F140" s="23">
        <f>'Annual Raw'!G87+'Annual Raw'!G88+'Annual Raw'!G89+'Annual Raw'!G90</f>
        <v>0</v>
      </c>
      <c r="G140" s="23">
        <f>'Annual Raw'!H87+'Annual Raw'!H88+'Annual Raw'!H89+'Annual Raw'!H90</f>
        <v>0</v>
      </c>
      <c r="H140" s="23">
        <f>'Annual Raw'!I87+'Annual Raw'!I88+'Annual Raw'!I89+'Annual Raw'!I90</f>
        <v>0</v>
      </c>
      <c r="I140" s="23">
        <f>'Annual Raw'!J87+'Annual Raw'!J88+'Annual Raw'!J89+'Annual Raw'!J90</f>
        <v>0</v>
      </c>
      <c r="J140" s="23">
        <f>'Annual Raw'!K87+'Annual Raw'!K88+'Annual Raw'!K89+'Annual Raw'!K90</f>
        <v>0</v>
      </c>
      <c r="K140" s="23">
        <f>'Annual Raw'!L87+'Annual Raw'!L88+'Annual Raw'!L89+'Annual Raw'!L90</f>
        <v>0</v>
      </c>
      <c r="L140" s="23">
        <f>'Annual Raw'!M87+'Annual Raw'!M88+'Annual Raw'!M89+'Annual Raw'!M90</f>
        <v>7633.6699999999992</v>
      </c>
      <c r="M140" s="23">
        <f>'Annual Raw'!N87+'Annual Raw'!N88+'Annual Raw'!N89+'Annual Raw'!N90</f>
        <v>9959.4499999999989</v>
      </c>
      <c r="N140" s="23">
        <f>'Annual Raw'!O87+'Annual Raw'!O88+'Annual Raw'!O89+'Annual Raw'!O90</f>
        <v>11102.14</v>
      </c>
      <c r="O140" s="23">
        <f>'Annual Raw'!P87+'Annual Raw'!P88+'Annual Raw'!P89+'Annual Raw'!P90</f>
        <v>13216.06</v>
      </c>
      <c r="P140" s="23">
        <f>'Annual Raw'!Q87+'Annual Raw'!Q88+'Annual Raw'!Q89+'Annual Raw'!Q90</f>
        <v>5427.54</v>
      </c>
      <c r="Q140" s="23">
        <f>'Annual Raw'!R87+'Annual Raw'!R88+'Annual Raw'!R89+'Annual Raw'!R90</f>
        <v>1392.03</v>
      </c>
      <c r="R140" s="23">
        <f>'Annual Raw'!S87+'Annual Raw'!S88+'Annual Raw'!S89+'Annual Raw'!S90</f>
        <v>664.12</v>
      </c>
      <c r="S140" s="23">
        <f>'Annual Raw'!T87+'Annual Raw'!T88+'Annual Raw'!T89+'Annual Raw'!T90</f>
        <v>3472.97</v>
      </c>
      <c r="T140" s="23">
        <f>'Annual Raw'!U87+'Annual Raw'!U88+'Annual Raw'!U89+'Annual Raw'!U90</f>
        <v>9671.41</v>
      </c>
      <c r="U140" s="23">
        <f>'Annual Raw'!V87+'Annual Raw'!V88+'Annual Raw'!V89+'Annual Raw'!V90</f>
        <v>3038.75</v>
      </c>
      <c r="V140" s="23">
        <f>'Annual Raw'!W87+'Annual Raw'!W88+'Annual Raw'!W89+'Annual Raw'!W90</f>
        <v>5476.86</v>
      </c>
      <c r="W140" s="23">
        <f>'Annual Raw'!X87+'Annual Raw'!X88+'Annual Raw'!X89+'Annual Raw'!X90</f>
        <v>2877.57</v>
      </c>
      <c r="X140" s="23">
        <f>'Annual Raw'!Y87+'Annual Raw'!Y88+'Annual Raw'!Y89+'Annual Raw'!Y90</f>
        <v>10612.53</v>
      </c>
      <c r="Y140" s="23">
        <f>'Annual Raw'!Z87+'Annual Raw'!Z88+'Annual Raw'!Z89+'Annual Raw'!Z90</f>
        <v>16439.240000000002</v>
      </c>
      <c r="Z140" s="23">
        <f>'Annual Raw'!AA87+'Annual Raw'!AA88+'Annual Raw'!AA89+'Annual Raw'!AA90</f>
        <v>8856.23</v>
      </c>
      <c r="AA140" s="23">
        <f>'Annual Raw'!AB87+'Annual Raw'!AB88+'Annual Raw'!AB89+'Annual Raw'!AB90</f>
        <v>5514.79</v>
      </c>
      <c r="AB140" s="24">
        <f t="shared" si="1208"/>
        <v>0</v>
      </c>
      <c r="AC140" s="24">
        <f t="shared" si="1209"/>
        <v>0</v>
      </c>
      <c r="AD140" s="24">
        <f t="shared" si="1210"/>
        <v>0</v>
      </c>
      <c r="AE140" s="24">
        <f t="shared" si="1211"/>
        <v>0</v>
      </c>
      <c r="AJ140" s="23">
        <f>+'QTR Raw'!D90</f>
        <v>0</v>
      </c>
      <c r="AK140" s="23">
        <f t="shared" si="1212"/>
        <v>0</v>
      </c>
      <c r="AL140" s="23">
        <f>+'QTR Raw'!F90</f>
        <v>0</v>
      </c>
      <c r="AM140" s="23">
        <f t="shared" si="1212"/>
        <v>0</v>
      </c>
      <c r="AN140" s="23">
        <f>+'QTR Raw'!H90</f>
        <v>0</v>
      </c>
      <c r="AO140" s="23">
        <f t="shared" si="1212"/>
        <v>0</v>
      </c>
      <c r="AP140" s="23">
        <f>+'QTR Raw'!J90</f>
        <v>0</v>
      </c>
      <c r="AQ140" s="23">
        <f t="shared" si="1212"/>
        <v>0</v>
      </c>
      <c r="AR140" s="23">
        <f>+'QTR Raw'!L90</f>
        <v>0</v>
      </c>
      <c r="AS140" s="23">
        <f t="shared" si="1212"/>
        <v>0</v>
      </c>
      <c r="AT140" s="23">
        <f>+'QTR Raw'!N90</f>
        <v>0</v>
      </c>
      <c r="AU140" s="23">
        <f t="shared" si="1212"/>
        <v>0</v>
      </c>
      <c r="AV140" s="23">
        <f>+'QTR Raw'!P90</f>
        <v>0</v>
      </c>
      <c r="AW140" s="23">
        <f t="shared" si="1212"/>
        <v>0</v>
      </c>
      <c r="AX140" s="23">
        <f>+'QTR Raw'!R90</f>
        <v>0</v>
      </c>
      <c r="AY140" s="23">
        <f t="shared" si="1212"/>
        <v>0</v>
      </c>
      <c r="AZ140" s="23">
        <f>+'QTR Raw'!T90</f>
        <v>0</v>
      </c>
      <c r="BA140" s="23">
        <f t="shared" si="1212"/>
        <v>0</v>
      </c>
      <c r="BB140" s="23">
        <f>+'QTR Raw'!V90</f>
        <v>0</v>
      </c>
      <c r="BC140" s="23">
        <f t="shared" si="1212"/>
        <v>0</v>
      </c>
      <c r="BD140" s="23">
        <f>+'QTR Raw'!X90</f>
        <v>0</v>
      </c>
      <c r="BE140" s="23">
        <f t="shared" si="1212"/>
        <v>0</v>
      </c>
      <c r="BF140" s="23">
        <f>+'QTR Raw'!Z90</f>
        <v>0</v>
      </c>
      <c r="BG140" s="23">
        <f t="shared" si="1212"/>
        <v>0</v>
      </c>
      <c r="BH140" s="22">
        <f>+'QTR Raw'!AB90</f>
        <v>0</v>
      </c>
      <c r="BI140" s="23">
        <f t="shared" si="1212"/>
        <v>0</v>
      </c>
      <c r="BJ140" s="23">
        <f>+'QTR Raw'!AD90</f>
        <v>0</v>
      </c>
      <c r="BK140" s="23">
        <f t="shared" si="1212"/>
        <v>0</v>
      </c>
      <c r="BL140" s="23">
        <f>+'QTR Raw'!AF90</f>
        <v>0</v>
      </c>
      <c r="BM140" s="23">
        <f t="shared" si="1212"/>
        <v>0</v>
      </c>
      <c r="BN140" s="23">
        <f>+'QTR Raw'!AH90</f>
        <v>0</v>
      </c>
      <c r="BO140" s="23">
        <f t="shared" si="1212"/>
        <v>0</v>
      </c>
      <c r="BP140" s="23">
        <f>+'QTR Raw'!AJ90</f>
        <v>0</v>
      </c>
      <c r="BQ140" s="23">
        <f t="shared" si="1212"/>
        <v>0</v>
      </c>
      <c r="BR140" s="23">
        <f>+'QTR Raw'!AL90</f>
        <v>0</v>
      </c>
      <c r="BS140" s="23">
        <f t="shared" si="1212"/>
        <v>0</v>
      </c>
      <c r="BT140" s="23">
        <f>+'QTR Raw'!AN90</f>
        <v>0</v>
      </c>
      <c r="BU140" s="23">
        <f t="shared" si="1212"/>
        <v>0</v>
      </c>
      <c r="BV140" s="23">
        <f>+'QTR Raw'!AP90</f>
        <v>0</v>
      </c>
      <c r="BW140" s="23">
        <f t="shared" si="1212"/>
        <v>0</v>
      </c>
      <c r="BX140" s="23">
        <f>+'QTR Raw'!AR90</f>
        <v>0</v>
      </c>
      <c r="BY140" s="23">
        <f t="shared" si="1212"/>
        <v>0</v>
      </c>
      <c r="BZ140" s="23">
        <f>+'QTR Raw'!AT90</f>
        <v>0</v>
      </c>
      <c r="CA140" s="23">
        <f t="shared" si="1212"/>
        <v>0</v>
      </c>
      <c r="CB140" s="23">
        <f>+'QTR Raw'!AV90</f>
        <v>0</v>
      </c>
      <c r="CC140" s="23">
        <f t="shared" si="1212"/>
        <v>0</v>
      </c>
      <c r="CD140" s="23">
        <f>+'QTR Raw'!AX90</f>
        <v>0</v>
      </c>
      <c r="CE140" s="23">
        <f t="shared" si="1213"/>
        <v>0</v>
      </c>
      <c r="CF140" s="23">
        <f>+'QTR Raw'!AZ90</f>
        <v>0</v>
      </c>
      <c r="CG140" s="23">
        <f t="shared" si="1214"/>
        <v>0</v>
      </c>
      <c r="CH140" s="23">
        <f>+Z140</f>
        <v>8856.23</v>
      </c>
      <c r="CI140" s="23">
        <f t="shared" si="1214"/>
        <v>8856.23</v>
      </c>
      <c r="CJ140" s="23">
        <f>+'QTR Raw'!BD90</f>
        <v>0</v>
      </c>
      <c r="CK140" s="23">
        <f t="shared" si="1215"/>
        <v>0</v>
      </c>
      <c r="CL140" s="23">
        <f>+'QTR Raw'!BF90</f>
        <v>0</v>
      </c>
      <c r="CM140" s="24">
        <f t="shared" si="1216"/>
        <v>0</v>
      </c>
      <c r="CN140" s="24">
        <f t="shared" si="1217"/>
        <v>0</v>
      </c>
      <c r="CO140" s="24">
        <f t="shared" si="1218"/>
        <v>0</v>
      </c>
      <c r="CP140" s="24">
        <f t="shared" si="1219"/>
        <v>0</v>
      </c>
      <c r="CQ140" s="24">
        <f t="shared" si="1220"/>
        <v>0</v>
      </c>
      <c r="CR140" s="24">
        <f t="shared" si="1221"/>
        <v>0</v>
      </c>
      <c r="CS140" s="24">
        <f t="shared" si="1222"/>
        <v>0</v>
      </c>
      <c r="CT140" s="24">
        <f t="shared" si="1223"/>
        <v>0</v>
      </c>
      <c r="CU140" s="24">
        <f t="shared" si="1224"/>
        <v>0</v>
      </c>
      <c r="CV140" s="24">
        <f t="shared" si="1225"/>
        <v>0</v>
      </c>
      <c r="CW140" s="24">
        <f t="shared" si="1226"/>
        <v>0</v>
      </c>
      <c r="CX140" s="24">
        <f t="shared" si="1227"/>
        <v>0</v>
      </c>
      <c r="CY140" s="24">
        <f t="shared" si="1228"/>
        <v>0</v>
      </c>
      <c r="CZ140" s="24">
        <f t="shared" si="1229"/>
        <v>0</v>
      </c>
      <c r="DA140" s="24">
        <f t="shared" si="1230"/>
        <v>0</v>
      </c>
      <c r="DB140" s="24">
        <f t="shared" si="1231"/>
        <v>0</v>
      </c>
      <c r="DE140" s="123"/>
      <c r="DF140" s="23">
        <v>0</v>
      </c>
    </row>
    <row r="141" spans="1:110" s="23" customFormat="1" outlineLevel="1" x14ac:dyDescent="0.2">
      <c r="A141" s="23" t="s">
        <v>48</v>
      </c>
      <c r="B141" s="23">
        <f>'Annual Raw'!C56</f>
        <v>0</v>
      </c>
      <c r="C141" s="23">
        <f>'Annual Raw'!D56</f>
        <v>0</v>
      </c>
      <c r="D141" s="23">
        <f>'Annual Raw'!E56</f>
        <v>0</v>
      </c>
      <c r="E141" s="23">
        <f>'Annual Raw'!F56</f>
        <v>0</v>
      </c>
      <c r="F141" s="23">
        <f>'Annual Raw'!G56</f>
        <v>0</v>
      </c>
      <c r="G141" s="23">
        <f>'Annual Raw'!H56</f>
        <v>0</v>
      </c>
      <c r="H141" s="23">
        <f>'Annual Raw'!I56</f>
        <v>0</v>
      </c>
      <c r="I141" s="23">
        <f>'Annual Raw'!J56</f>
        <v>0</v>
      </c>
      <c r="J141" s="23">
        <f>'Annual Raw'!K56</f>
        <v>0</v>
      </c>
      <c r="K141" s="23">
        <f>'Annual Raw'!L56</f>
        <v>0</v>
      </c>
      <c r="L141" s="23">
        <f>'Annual Raw'!M56</f>
        <v>3794.44</v>
      </c>
      <c r="M141" s="23">
        <f>'Annual Raw'!N56</f>
        <v>4699.08</v>
      </c>
      <c r="N141" s="23">
        <f>'Annual Raw'!O56</f>
        <v>10547.56</v>
      </c>
      <c r="O141" s="23">
        <f>'Annual Raw'!P56</f>
        <v>16026.18</v>
      </c>
      <c r="P141" s="23">
        <f>'Annual Raw'!Q56</f>
        <v>9598.5499999999993</v>
      </c>
      <c r="Q141" s="23">
        <f>'Annual Raw'!R56</f>
        <v>15722.12</v>
      </c>
      <c r="R141" s="23">
        <f>'Annual Raw'!S56</f>
        <v>18328.099999999999</v>
      </c>
      <c r="S141" s="23">
        <f>'Annual Raw'!T56</f>
        <v>15884.98</v>
      </c>
      <c r="T141" s="23">
        <f>'Annual Raw'!U56</f>
        <v>10802.08</v>
      </c>
      <c r="U141" s="23">
        <f>'Annual Raw'!V56</f>
        <v>19184.48</v>
      </c>
      <c r="V141" s="23">
        <f>'Annual Raw'!W56</f>
        <v>9492.11</v>
      </c>
      <c r="W141" s="23">
        <f>'Annual Raw'!X56</f>
        <v>21187.040000000001</v>
      </c>
      <c r="X141" s="23">
        <f>'Annual Raw'!Y56</f>
        <v>15958.84</v>
      </c>
      <c r="Y141" s="23">
        <f>'Annual Raw'!Z56</f>
        <v>13557.95</v>
      </c>
      <c r="Z141" s="23">
        <f>'Annual Raw'!AA56</f>
        <v>11555.77</v>
      </c>
      <c r="AA141" s="23">
        <f>'Annual Raw'!AB56</f>
        <v>15687.93</v>
      </c>
      <c r="AB141" s="24">
        <f t="shared" si="1208"/>
        <v>21202.720000000001</v>
      </c>
      <c r="AC141" s="24">
        <f t="shared" si="1209"/>
        <v>21202.720000000001</v>
      </c>
      <c r="AD141" s="24">
        <f t="shared" si="1210"/>
        <v>21202.720000000001</v>
      </c>
      <c r="AE141" s="24">
        <f t="shared" si="1211"/>
        <v>21202.720000000001</v>
      </c>
      <c r="AJ141" s="23">
        <f>+'QTR Raw'!D88</f>
        <v>8071.42</v>
      </c>
      <c r="AK141" s="23">
        <f t="shared" si="1212"/>
        <v>8071.42</v>
      </c>
      <c r="AL141" s="23">
        <f>+'QTR Raw'!F88</f>
        <v>10547.56</v>
      </c>
      <c r="AM141" s="23">
        <f t="shared" si="1212"/>
        <v>10547.56</v>
      </c>
      <c r="AN141" s="23">
        <f>+'QTR Raw'!H88</f>
        <v>10721.05</v>
      </c>
      <c r="AO141" s="23">
        <f t="shared" si="1212"/>
        <v>10721.05</v>
      </c>
      <c r="AP141" s="23">
        <f>+'QTR Raw'!J88</f>
        <v>16026.18</v>
      </c>
      <c r="AQ141" s="23">
        <f t="shared" si="1212"/>
        <v>16026.18</v>
      </c>
      <c r="AR141" s="23">
        <f>+'QTR Raw'!L88</f>
        <v>7494.01</v>
      </c>
      <c r="AS141" s="23">
        <f t="shared" si="1212"/>
        <v>7494.01</v>
      </c>
      <c r="AT141" s="23">
        <f>+'QTR Raw'!N88</f>
        <v>9598.5499999999993</v>
      </c>
      <c r="AU141" s="23">
        <f t="shared" si="1212"/>
        <v>9598.5499999999993</v>
      </c>
      <c r="AV141" s="23">
        <f>+'QTR Raw'!P88</f>
        <v>4363.8500000000004</v>
      </c>
      <c r="AW141" s="23">
        <f t="shared" si="1212"/>
        <v>4363.8500000000004</v>
      </c>
      <c r="AX141" s="23">
        <f>+'QTR Raw'!R88</f>
        <v>15722.12</v>
      </c>
      <c r="AY141" s="23">
        <f t="shared" si="1212"/>
        <v>15722.12</v>
      </c>
      <c r="AZ141" s="23">
        <f>+'QTR Raw'!T88</f>
        <v>17371.689999999999</v>
      </c>
      <c r="BA141" s="23">
        <f t="shared" si="1212"/>
        <v>17371.689999999999</v>
      </c>
      <c r="BB141" s="23">
        <f>+'QTR Raw'!V88</f>
        <v>18328.099999999999</v>
      </c>
      <c r="BC141" s="23">
        <f t="shared" si="1212"/>
        <v>18328.099999999999</v>
      </c>
      <c r="BD141" s="23">
        <f>+'QTR Raw'!X88</f>
        <v>21304.54</v>
      </c>
      <c r="BE141" s="23">
        <f t="shared" si="1212"/>
        <v>21304.54</v>
      </c>
      <c r="BF141" s="23">
        <f>+'QTR Raw'!Z88</f>
        <v>15884.98</v>
      </c>
      <c r="BG141" s="23">
        <f t="shared" si="1212"/>
        <v>15884.98</v>
      </c>
      <c r="BH141" s="23">
        <f>+'QTR Raw'!AB88</f>
        <v>31201.83</v>
      </c>
      <c r="BI141" s="23">
        <f t="shared" si="1212"/>
        <v>31201.83</v>
      </c>
      <c r="BJ141" s="23">
        <f>+'QTR Raw'!AD88</f>
        <v>10802.08</v>
      </c>
      <c r="BK141" s="23">
        <f t="shared" si="1212"/>
        <v>10802.08</v>
      </c>
      <c r="BL141" s="23">
        <f>+'QTR Raw'!AF88</f>
        <v>16294.54</v>
      </c>
      <c r="BM141" s="23">
        <f t="shared" si="1212"/>
        <v>16294.54</v>
      </c>
      <c r="BN141" s="23">
        <f>+'QTR Raw'!AH88</f>
        <v>19184.48</v>
      </c>
      <c r="BO141" s="23">
        <f t="shared" si="1212"/>
        <v>19184.48</v>
      </c>
      <c r="BP141" s="23">
        <f>+'QTR Raw'!AJ88</f>
        <v>10981.91</v>
      </c>
      <c r="BQ141" s="23">
        <f t="shared" si="1212"/>
        <v>10981.91</v>
      </c>
      <c r="BR141" s="23">
        <f>+'QTR Raw'!AL88</f>
        <v>14968.97</v>
      </c>
      <c r="BS141" s="23">
        <f t="shared" si="1212"/>
        <v>14968.97</v>
      </c>
      <c r="BT141" s="23">
        <f>+'QTR Raw'!AN88</f>
        <v>21444.43</v>
      </c>
      <c r="BU141" s="23">
        <f t="shared" si="1212"/>
        <v>21444.43</v>
      </c>
      <c r="BV141" s="23">
        <f>+'QTR Raw'!AP88</f>
        <v>24064.61</v>
      </c>
      <c r="BW141" s="23">
        <f t="shared" si="1212"/>
        <v>24064.61</v>
      </c>
      <c r="BX141" s="23">
        <f>+'QTR Raw'!AR88</f>
        <v>36994.35</v>
      </c>
      <c r="BY141" s="23">
        <f t="shared" si="1212"/>
        <v>36994.35</v>
      </c>
      <c r="BZ141" s="23">
        <f>+'QTR Raw'!AT88</f>
        <v>26571.37</v>
      </c>
      <c r="CA141" s="23">
        <f t="shared" si="1212"/>
        <v>26571.37</v>
      </c>
      <c r="CB141" s="23">
        <f>+'QTR Raw'!AV88</f>
        <v>36792.36</v>
      </c>
      <c r="CC141" s="23">
        <f t="shared" si="1212"/>
        <v>36792.36</v>
      </c>
      <c r="CD141" s="23">
        <f>+'QTR Raw'!AX88</f>
        <v>29997.19</v>
      </c>
      <c r="CE141" s="23">
        <f t="shared" si="1213"/>
        <v>29997.19</v>
      </c>
      <c r="CF141" s="23">
        <f>+'QTR Raw'!AZ88</f>
        <v>26960.16</v>
      </c>
      <c r="CG141" s="23">
        <f t="shared" si="1214"/>
        <v>26960.16</v>
      </c>
      <c r="CH141" s="23">
        <f t="shared" si="1190"/>
        <v>11555.77</v>
      </c>
      <c r="CI141" s="23">
        <f t="shared" si="1214"/>
        <v>11555.77</v>
      </c>
      <c r="CJ141" s="23">
        <f>+'QTR Raw'!BD88</f>
        <v>23684.42</v>
      </c>
      <c r="CK141" s="23">
        <f t="shared" si="1215"/>
        <v>23684.42</v>
      </c>
      <c r="CL141" s="23">
        <f>+'QTR Raw'!BF88</f>
        <v>21202.720000000001</v>
      </c>
      <c r="CM141" s="24">
        <f t="shared" si="1216"/>
        <v>21202.720000000001</v>
      </c>
      <c r="CN141" s="24">
        <f t="shared" si="1217"/>
        <v>21202.720000000001</v>
      </c>
      <c r="CO141" s="24">
        <f t="shared" si="1218"/>
        <v>21202.720000000001</v>
      </c>
      <c r="CP141" s="24">
        <f t="shared" si="1219"/>
        <v>21202.720000000001</v>
      </c>
      <c r="CQ141" s="24">
        <f t="shared" si="1220"/>
        <v>21202.720000000001</v>
      </c>
      <c r="CR141" s="24">
        <f t="shared" si="1221"/>
        <v>21202.720000000001</v>
      </c>
      <c r="CS141" s="24">
        <f t="shared" si="1222"/>
        <v>21202.720000000001</v>
      </c>
      <c r="CT141" s="24">
        <f t="shared" si="1223"/>
        <v>21202.720000000001</v>
      </c>
      <c r="CU141" s="24">
        <f t="shared" si="1224"/>
        <v>21202.720000000001</v>
      </c>
      <c r="CV141" s="24">
        <f t="shared" si="1225"/>
        <v>21202.720000000001</v>
      </c>
      <c r="CW141" s="24">
        <f t="shared" si="1226"/>
        <v>21202.720000000001</v>
      </c>
      <c r="CX141" s="24">
        <f t="shared" si="1227"/>
        <v>21202.720000000001</v>
      </c>
      <c r="CY141" s="24">
        <f t="shared" si="1228"/>
        <v>21202.720000000001</v>
      </c>
      <c r="CZ141" s="24">
        <f t="shared" si="1229"/>
        <v>21202.720000000001</v>
      </c>
      <c r="DA141" s="24">
        <f t="shared" si="1230"/>
        <v>21202.720000000001</v>
      </c>
      <c r="DB141" s="24">
        <f t="shared" si="1231"/>
        <v>21202.720000000001</v>
      </c>
      <c r="DE141" s="123"/>
      <c r="DF141" s="23">
        <v>23684.42</v>
      </c>
    </row>
    <row r="142" spans="1:110" s="22" customFormat="1" x14ac:dyDescent="0.2">
      <c r="A142" s="22" t="s">
        <v>49</v>
      </c>
      <c r="B142" s="22">
        <f>SUM(B138:B141)</f>
        <v>5555.35</v>
      </c>
      <c r="C142" s="22">
        <f t="shared" ref="C142:V142" si="1232">SUM(C138:C141)</f>
        <v>6001.9</v>
      </c>
      <c r="D142" s="22">
        <f t="shared" si="1232"/>
        <v>5778.4400000000005</v>
      </c>
      <c r="E142" s="22">
        <f t="shared" si="1232"/>
        <v>5079.76</v>
      </c>
      <c r="F142" s="22">
        <f t="shared" si="1232"/>
        <v>4846.1100000000006</v>
      </c>
      <c r="G142" s="22">
        <f t="shared" si="1232"/>
        <v>4779.99</v>
      </c>
      <c r="H142" s="22">
        <f t="shared" si="1232"/>
        <v>26043.829999999998</v>
      </c>
      <c r="I142" s="22">
        <f t="shared" si="1232"/>
        <v>54704.789999999994</v>
      </c>
      <c r="J142" s="22">
        <f t="shared" si="1232"/>
        <v>60942.909999999996</v>
      </c>
      <c r="K142" s="22">
        <f t="shared" si="1232"/>
        <v>54270.97</v>
      </c>
      <c r="L142" s="22">
        <f t="shared" si="1232"/>
        <v>62178.8</v>
      </c>
      <c r="M142" s="22">
        <f t="shared" si="1232"/>
        <v>62171.770000000004</v>
      </c>
      <c r="N142" s="22">
        <f t="shared" si="1232"/>
        <v>70782.320000000007</v>
      </c>
      <c r="O142" s="22">
        <f t="shared" si="1232"/>
        <v>83883.649999999994</v>
      </c>
      <c r="P142" s="22">
        <f t="shared" si="1232"/>
        <v>82976.290000000008</v>
      </c>
      <c r="Q142" s="22">
        <f t="shared" si="1232"/>
        <v>84261.93</v>
      </c>
      <c r="R142" s="22">
        <f t="shared" si="1232"/>
        <v>85289.489999999991</v>
      </c>
      <c r="S142" s="22">
        <f t="shared" si="1232"/>
        <v>94422.05</v>
      </c>
      <c r="T142" s="22">
        <f t="shared" si="1232"/>
        <v>103091.22000000002</v>
      </c>
      <c r="U142" s="22">
        <f t="shared" si="1232"/>
        <v>118603.2</v>
      </c>
      <c r="V142" s="22">
        <f t="shared" si="1232"/>
        <v>81441.98</v>
      </c>
      <c r="W142" s="22">
        <f t="shared" ref="W142" si="1233">SUM(W138:W141)</f>
        <v>68828.679999999993</v>
      </c>
      <c r="X142" s="22">
        <f t="shared" ref="X142:Y142" si="1234">SUM(X138:X141)</f>
        <v>78017.7</v>
      </c>
      <c r="Y142" s="22">
        <f t="shared" si="1234"/>
        <v>81573.919999999998</v>
      </c>
      <c r="Z142" s="22">
        <f t="shared" ref="Z142:AA142" si="1235">SUM(Z138:Z141)</f>
        <v>88963.81</v>
      </c>
      <c r="AA142" s="22">
        <f t="shared" si="1235"/>
        <v>84956.389999999985</v>
      </c>
      <c r="AB142" s="21">
        <f t="shared" ref="AA142:AD142" si="1236">SUM(AB138:AB141)</f>
        <v>84956.39</v>
      </c>
      <c r="AC142" s="21">
        <f t="shared" si="1236"/>
        <v>84956.39</v>
      </c>
      <c r="AD142" s="21">
        <f t="shared" si="1236"/>
        <v>84956.39</v>
      </c>
      <c r="AE142" s="21">
        <f t="shared" ref="AE142" si="1237">SUM(AE138:AE141)</f>
        <v>84956.39</v>
      </c>
      <c r="AJ142" s="22">
        <f t="shared" ref="AJ142" si="1238">SUM(AJ138:AJ141)</f>
        <v>53431.189999999995</v>
      </c>
      <c r="AK142" s="22">
        <f t="shared" ref="AK142" si="1239">SUM(AK138:AK141)</f>
        <v>53431.189999999995</v>
      </c>
      <c r="AL142" s="22">
        <f t="shared" ref="AL142:AM142" si="1240">SUM(AL138:AL141)</f>
        <v>57405.18</v>
      </c>
      <c r="AM142" s="22">
        <f t="shared" si="1240"/>
        <v>57405.18</v>
      </c>
      <c r="AN142" s="22">
        <f t="shared" ref="AN142:AO142" si="1241">SUM(AN138:AN141)</f>
        <v>65174.14</v>
      </c>
      <c r="AO142" s="22">
        <f t="shared" si="1241"/>
        <v>65174.14</v>
      </c>
      <c r="AP142" s="22">
        <f t="shared" ref="AP142:CE142" si="1242">SUM(AP138:AP141)</f>
        <v>68392.59</v>
      </c>
      <c r="AQ142" s="22">
        <f t="shared" si="1242"/>
        <v>68392.59</v>
      </c>
      <c r="AR142" s="22">
        <f t="shared" si="1242"/>
        <v>56891.16</v>
      </c>
      <c r="AS142" s="22">
        <f t="shared" si="1242"/>
        <v>56891.16</v>
      </c>
      <c r="AT142" s="22">
        <f t="shared" si="1242"/>
        <v>75273.75</v>
      </c>
      <c r="AU142" s="22">
        <f t="shared" si="1242"/>
        <v>75273.75</v>
      </c>
      <c r="AV142" s="22">
        <f t="shared" si="1242"/>
        <v>71798.36</v>
      </c>
      <c r="AW142" s="22">
        <f t="shared" si="1242"/>
        <v>71798.36</v>
      </c>
      <c r="AX142" s="22">
        <f t="shared" si="1242"/>
        <v>80594.899999999994</v>
      </c>
      <c r="AY142" s="22">
        <f t="shared" si="1242"/>
        <v>80594.899999999994</v>
      </c>
      <c r="AZ142" s="22">
        <f t="shared" si="1242"/>
        <v>82777.509999999995</v>
      </c>
      <c r="BA142" s="22">
        <f t="shared" si="1242"/>
        <v>82777.509999999995</v>
      </c>
      <c r="BB142" s="22">
        <f t="shared" si="1242"/>
        <v>82350.37</v>
      </c>
      <c r="BC142" s="22">
        <f t="shared" si="1242"/>
        <v>82350.37</v>
      </c>
      <c r="BD142" s="22">
        <f t="shared" si="1242"/>
        <v>89535.489999999991</v>
      </c>
      <c r="BE142" s="22">
        <f t="shared" si="1242"/>
        <v>89535.489999999991</v>
      </c>
      <c r="BF142" s="22">
        <f t="shared" si="1242"/>
        <v>88674.08</v>
      </c>
      <c r="BG142" s="22">
        <f t="shared" si="1242"/>
        <v>88674.08</v>
      </c>
      <c r="BH142" s="22">
        <f t="shared" ref="BH142" si="1243">SUM(BH138:BH141)</f>
        <v>115029.03</v>
      </c>
      <c r="BI142" s="22">
        <f t="shared" si="1242"/>
        <v>115029.03</v>
      </c>
      <c r="BJ142" s="22">
        <f t="shared" si="1242"/>
        <v>91144.81</v>
      </c>
      <c r="BK142" s="22">
        <f t="shared" si="1242"/>
        <v>91144.81</v>
      </c>
      <c r="BL142" s="22">
        <f t="shared" si="1242"/>
        <v>102745.63</v>
      </c>
      <c r="BM142" s="22">
        <f t="shared" si="1242"/>
        <v>102745.63</v>
      </c>
      <c r="BN142" s="22">
        <f t="shared" si="1242"/>
        <v>113289.45</v>
      </c>
      <c r="BO142" s="22">
        <f t="shared" si="1242"/>
        <v>113289.45</v>
      </c>
      <c r="BP142" s="22">
        <f t="shared" si="1242"/>
        <v>111360.49</v>
      </c>
      <c r="BQ142" s="22">
        <f t="shared" si="1242"/>
        <v>111360.49</v>
      </c>
      <c r="BR142" s="22">
        <f t="shared" si="1242"/>
        <v>80666.98</v>
      </c>
      <c r="BS142" s="22">
        <f t="shared" si="1242"/>
        <v>80666.98</v>
      </c>
      <c r="BT142" s="22">
        <f t="shared" si="1242"/>
        <v>70943.239999999991</v>
      </c>
      <c r="BU142" s="22">
        <f t="shared" si="1242"/>
        <v>70943.239999999991</v>
      </c>
      <c r="BV142" s="22">
        <f t="shared" si="1242"/>
        <v>68828.679999999993</v>
      </c>
      <c r="BW142" s="22">
        <f t="shared" si="1242"/>
        <v>68828.679999999993</v>
      </c>
      <c r="BX142" s="22">
        <f t="shared" si="1242"/>
        <v>81387.83</v>
      </c>
      <c r="BY142" s="22">
        <f t="shared" si="1242"/>
        <v>81387.83</v>
      </c>
      <c r="BZ142" s="22">
        <f t="shared" si="1242"/>
        <v>78017.7</v>
      </c>
      <c r="CA142" s="22">
        <f t="shared" si="1242"/>
        <v>78017.7</v>
      </c>
      <c r="CB142" s="22">
        <f t="shared" si="1242"/>
        <v>83987.959999999992</v>
      </c>
      <c r="CC142" s="22">
        <f t="shared" si="1242"/>
        <v>83987.959999999992</v>
      </c>
      <c r="CD142" s="22">
        <f t="shared" si="1242"/>
        <v>81573.919999999998</v>
      </c>
      <c r="CE142" s="22">
        <f t="shared" si="1242"/>
        <v>81573.919999999998</v>
      </c>
      <c r="CF142" s="22">
        <f t="shared" ref="CF142:CG142" si="1244">SUM(CF138:CF141)</f>
        <v>94107.95</v>
      </c>
      <c r="CG142" s="22">
        <f t="shared" si="1244"/>
        <v>94107.95</v>
      </c>
      <c r="CH142" s="22">
        <f t="shared" ref="CH142:CI142" si="1245">SUM(CH138:CH141)</f>
        <v>88963.81</v>
      </c>
      <c r="CI142" s="22">
        <f t="shared" si="1245"/>
        <v>88963.81</v>
      </c>
      <c r="CJ142" s="22">
        <f t="shared" ref="CJ142:DB142" si="1246">SUM(CJ138:CJ141)</f>
        <v>89544.06</v>
      </c>
      <c r="CK142" s="22">
        <f t="shared" si="1246"/>
        <v>89544.06</v>
      </c>
      <c r="CL142" s="22">
        <f t="shared" ref="CL142" si="1247">SUM(CL138:CL141)</f>
        <v>84956.39</v>
      </c>
      <c r="CM142" s="21">
        <f t="shared" si="1246"/>
        <v>84956.39</v>
      </c>
      <c r="CN142" s="21">
        <f t="shared" si="1246"/>
        <v>84956.39</v>
      </c>
      <c r="CO142" s="21">
        <f t="shared" si="1246"/>
        <v>84956.39</v>
      </c>
      <c r="CP142" s="21">
        <f t="shared" si="1246"/>
        <v>84956.39</v>
      </c>
      <c r="CQ142" s="21">
        <f t="shared" si="1246"/>
        <v>84956.39</v>
      </c>
      <c r="CR142" s="21">
        <f t="shared" si="1246"/>
        <v>84956.39</v>
      </c>
      <c r="CS142" s="21">
        <f t="shared" si="1246"/>
        <v>84956.39</v>
      </c>
      <c r="CT142" s="21">
        <f t="shared" si="1246"/>
        <v>84956.39</v>
      </c>
      <c r="CU142" s="21">
        <f t="shared" si="1246"/>
        <v>84956.39</v>
      </c>
      <c r="CV142" s="21">
        <f t="shared" si="1246"/>
        <v>84956.39</v>
      </c>
      <c r="CW142" s="21">
        <f t="shared" si="1246"/>
        <v>84956.39</v>
      </c>
      <c r="CX142" s="21">
        <f t="shared" si="1246"/>
        <v>84956.39</v>
      </c>
      <c r="CY142" s="21">
        <f t="shared" si="1246"/>
        <v>84956.39</v>
      </c>
      <c r="CZ142" s="21">
        <f t="shared" si="1246"/>
        <v>84956.39</v>
      </c>
      <c r="DA142" s="21">
        <f t="shared" si="1246"/>
        <v>84956.39</v>
      </c>
      <c r="DB142" s="21">
        <f t="shared" si="1246"/>
        <v>84956.39</v>
      </c>
      <c r="DE142" s="126"/>
      <c r="DF142" s="22">
        <v>89544.06</v>
      </c>
    </row>
    <row r="143" spans="1:110" s="26" customFormat="1" x14ac:dyDescent="0.2">
      <c r="A143" s="26" t="s">
        <v>437</v>
      </c>
      <c r="B143" s="26">
        <f>B142+B134+B136</f>
        <v>10443.780000000001</v>
      </c>
      <c r="C143" s="26">
        <f t="shared" ref="C143:V143" si="1248">C142+C134+C136</f>
        <v>9544.08</v>
      </c>
      <c r="D143" s="26">
        <f>D142+D134+D136</f>
        <v>9103.81</v>
      </c>
      <c r="E143" s="26">
        <f t="shared" si="1248"/>
        <v>9785.0999999999985</v>
      </c>
      <c r="F143" s="26">
        <f t="shared" si="1248"/>
        <v>12276.79</v>
      </c>
      <c r="G143" s="26">
        <f t="shared" si="1248"/>
        <v>15185.4</v>
      </c>
      <c r="H143" s="26">
        <f t="shared" si="1248"/>
        <v>41281.879999999997</v>
      </c>
      <c r="I143" s="26">
        <f t="shared" si="1248"/>
        <v>89728.93</v>
      </c>
      <c r="J143" s="26">
        <f t="shared" si="1248"/>
        <v>89569.53</v>
      </c>
      <c r="K143" s="26">
        <f t="shared" si="1248"/>
        <v>77986.390000000014</v>
      </c>
      <c r="L143" s="26">
        <f t="shared" si="1248"/>
        <v>98649.07</v>
      </c>
      <c r="M143" s="26">
        <f t="shared" si="1248"/>
        <v>106323.93</v>
      </c>
      <c r="N143" s="26">
        <f t="shared" si="1248"/>
        <v>107003.48000000001</v>
      </c>
      <c r="O143" s="26">
        <f t="shared" si="1248"/>
        <v>126505.26999999999</v>
      </c>
      <c r="P143" s="26">
        <f t="shared" si="1248"/>
        <v>116211.45000000001</v>
      </c>
      <c r="Q143" s="26">
        <f t="shared" si="1248"/>
        <v>126500.41999999998</v>
      </c>
      <c r="R143" s="26">
        <f t="shared" si="1248"/>
        <v>122435.51</v>
      </c>
      <c r="S143" s="26">
        <f t="shared" si="1248"/>
        <v>153954.19</v>
      </c>
      <c r="T143" s="26">
        <f t="shared" si="1248"/>
        <v>172105.76</v>
      </c>
      <c r="U143" s="26">
        <f t="shared" si="1248"/>
        <v>192491.1</v>
      </c>
      <c r="V143" s="26">
        <f t="shared" si="1248"/>
        <v>158175.43</v>
      </c>
      <c r="W143" s="26">
        <f t="shared" ref="W143" si="1249">W142+W134+W136</f>
        <v>185927.14</v>
      </c>
      <c r="X143" s="26">
        <f t="shared" ref="X143:Y143" si="1250">X142+X134+X136</f>
        <v>183192.90999999997</v>
      </c>
      <c r="Y143" s="26">
        <f t="shared" si="1250"/>
        <v>174006.66</v>
      </c>
      <c r="Z143" s="26">
        <f t="shared" ref="Z143:AA143" si="1251">Z142+Z134+Z136</f>
        <v>180316.59</v>
      </c>
      <c r="AA143" s="26">
        <f t="shared" si="1251"/>
        <v>188736.83999999997</v>
      </c>
      <c r="AB143" s="27">
        <f t="shared" ref="AA143:AD143" si="1252">AB142+AB134+AB136</f>
        <v>206149.60485828875</v>
      </c>
      <c r="AC143" s="27">
        <f t="shared" si="1252"/>
        <v>226685.42319282418</v>
      </c>
      <c r="AD143" s="27">
        <f t="shared" si="1252"/>
        <v>251389.36602929945</v>
      </c>
      <c r="AE143" s="27">
        <f t="shared" ref="AE143" si="1253">AE142+AE134+AE136</f>
        <v>281631.97852334083</v>
      </c>
      <c r="AJ143" s="26">
        <f t="shared" ref="AJ143" si="1254">AJ142+AJ134+AJ136</f>
        <v>99814.569999999992</v>
      </c>
      <c r="AK143" s="26">
        <f t="shared" ref="AK143" si="1255">AK142+AK134+AK136</f>
        <v>99051.51</v>
      </c>
      <c r="AL143" s="26">
        <f t="shared" ref="AL143" si="1256">AL142+AL134+AL136</f>
        <v>95542.99</v>
      </c>
      <c r="AM143" s="26">
        <f t="shared" ref="AM143:AO143" si="1257">AM142+AM134+AM136</f>
        <v>96682</v>
      </c>
      <c r="AN143" s="26">
        <f t="shared" si="1257"/>
        <v>110031.11</v>
      </c>
      <c r="AO143" s="26">
        <f t="shared" si="1257"/>
        <v>110534.34999999999</v>
      </c>
      <c r="AP143" s="26">
        <f t="shared" ref="AP143:CE143" si="1258">AP142+AP134+AP136</f>
        <v>112957.27</v>
      </c>
      <c r="AQ143" s="26">
        <f t="shared" si="1258"/>
        <v>113294.59999999999</v>
      </c>
      <c r="AR143" s="26">
        <f t="shared" si="1258"/>
        <v>103004.98</v>
      </c>
      <c r="AS143" s="26">
        <f t="shared" si="1258"/>
        <v>103162.09</v>
      </c>
      <c r="AT143" s="26">
        <f t="shared" si="1258"/>
        <v>110622.01000000001</v>
      </c>
      <c r="AU143" s="26">
        <f t="shared" si="1258"/>
        <v>110302.89000000001</v>
      </c>
      <c r="AV143" s="26">
        <f t="shared" si="1258"/>
        <v>110799.21999999999</v>
      </c>
      <c r="AW143" s="26">
        <f t="shared" si="1258"/>
        <v>108005.43999999999</v>
      </c>
      <c r="AX143" s="26">
        <f t="shared" si="1258"/>
        <v>125108.38999999998</v>
      </c>
      <c r="AY143" s="26">
        <f t="shared" si="1258"/>
        <v>121901.70999999999</v>
      </c>
      <c r="AZ143" s="26">
        <f t="shared" si="1258"/>
        <v>121066.45999999999</v>
      </c>
      <c r="BA143" s="26">
        <f t="shared" si="1258"/>
        <v>121268.36</v>
      </c>
      <c r="BB143" s="26">
        <f t="shared" si="1258"/>
        <v>121771.39</v>
      </c>
      <c r="BC143" s="26">
        <f t="shared" si="1258"/>
        <v>122677.65999999999</v>
      </c>
      <c r="BD143" s="26">
        <f t="shared" si="1258"/>
        <v>121563.99999999999</v>
      </c>
      <c r="BE143" s="26">
        <f t="shared" si="1258"/>
        <v>122850.42</v>
      </c>
      <c r="BF143" s="26">
        <f t="shared" si="1258"/>
        <v>150481.22</v>
      </c>
      <c r="BG143" s="26">
        <f t="shared" si="1258"/>
        <v>152432.28</v>
      </c>
      <c r="BH143" s="26">
        <f t="shared" ref="BH143" si="1259">BH142+BH134+BH136</f>
        <v>182634.43999999997</v>
      </c>
      <c r="BI143" s="26">
        <f t="shared" si="1258"/>
        <v>184920.41999999998</v>
      </c>
      <c r="BJ143" s="26">
        <f t="shared" si="1258"/>
        <v>162434.35</v>
      </c>
      <c r="BK143" s="26">
        <f t="shared" si="1258"/>
        <v>163151.42000000001</v>
      </c>
      <c r="BL143" s="26">
        <f t="shared" si="1258"/>
        <v>178048.65000000002</v>
      </c>
      <c r="BM143" s="26">
        <f t="shared" si="1258"/>
        <v>176964.03000000003</v>
      </c>
      <c r="BN143" s="26">
        <f t="shared" si="1258"/>
        <v>189452.35</v>
      </c>
      <c r="BO143" s="26">
        <f t="shared" si="1258"/>
        <v>185035.79</v>
      </c>
      <c r="BP143" s="26">
        <f t="shared" si="1258"/>
        <v>178910.41999999998</v>
      </c>
      <c r="BQ143" s="26">
        <f t="shared" si="1258"/>
        <v>182607.64</v>
      </c>
      <c r="BR143" s="26">
        <f t="shared" si="1258"/>
        <v>158175.43</v>
      </c>
      <c r="BS143" s="26">
        <f t="shared" si="1258"/>
        <v>167082.38</v>
      </c>
      <c r="BT143" s="26">
        <f t="shared" si="1258"/>
        <v>167166.77999999997</v>
      </c>
      <c r="BU143" s="26">
        <f t="shared" si="1258"/>
        <v>176739.44999999998</v>
      </c>
      <c r="BV143" s="26">
        <f t="shared" si="1258"/>
        <v>185927.14</v>
      </c>
      <c r="BW143" s="26">
        <f t="shared" si="1258"/>
        <v>193692.1</v>
      </c>
      <c r="BX143" s="26">
        <f t="shared" si="1258"/>
        <v>191417.74</v>
      </c>
      <c r="BY143" s="26">
        <f t="shared" si="1258"/>
        <v>189193.90000000002</v>
      </c>
      <c r="BZ143" s="26">
        <f t="shared" si="1258"/>
        <v>183192.90999999997</v>
      </c>
      <c r="CA143" s="26">
        <f t="shared" si="1258"/>
        <v>183826.86</v>
      </c>
      <c r="CB143" s="26">
        <f t="shared" si="1258"/>
        <v>174790.21</v>
      </c>
      <c r="CC143" s="26">
        <f t="shared" si="1258"/>
        <v>175303.58000000002</v>
      </c>
      <c r="CD143" s="26">
        <f t="shared" si="1258"/>
        <v>174006.66</v>
      </c>
      <c r="CE143" s="26">
        <f t="shared" si="1258"/>
        <v>174966.27000000002</v>
      </c>
      <c r="CF143" s="26">
        <f t="shared" ref="CF143:CG143" si="1260">CF142+CF134+CF136</f>
        <v>184616.99</v>
      </c>
      <c r="CG143" s="26">
        <f t="shared" si="1260"/>
        <v>184943.62999999998</v>
      </c>
      <c r="CH143" s="26">
        <f t="shared" ref="CH143:CI143" si="1261">CH142+CH134+CH136</f>
        <v>180316.59</v>
      </c>
      <c r="CI143" s="26">
        <f t="shared" si="1261"/>
        <v>182394.27</v>
      </c>
      <c r="CJ143" s="26">
        <f t="shared" ref="CJ143:DB143" si="1262">CJ142+CJ134+CJ136</f>
        <v>185475.96999999997</v>
      </c>
      <c r="CK143" s="26">
        <f t="shared" si="1262"/>
        <v>188164.66999999998</v>
      </c>
      <c r="CL143" s="26">
        <f t="shared" ref="CL143" si="1263">CL142+CL134+CL136</f>
        <v>188736.84</v>
      </c>
      <c r="CM143" s="27">
        <f t="shared" si="1262"/>
        <v>191951.83840524714</v>
      </c>
      <c r="CN143" s="27">
        <f t="shared" si="1262"/>
        <v>195953.87673865538</v>
      </c>
      <c r="CO143" s="27">
        <f t="shared" si="1262"/>
        <v>200575.7636525376</v>
      </c>
      <c r="CP143" s="27">
        <f t="shared" si="1262"/>
        <v>206149.60485828875</v>
      </c>
      <c r="CQ143" s="27">
        <f t="shared" si="1262"/>
        <v>210184.83962713875</v>
      </c>
      <c r="CR143" s="27">
        <f t="shared" si="1262"/>
        <v>214880.50401405865</v>
      </c>
      <c r="CS143" s="27">
        <f t="shared" si="1262"/>
        <v>220435.59662569221</v>
      </c>
      <c r="CT143" s="27">
        <f t="shared" si="1262"/>
        <v>226685.42319282418</v>
      </c>
      <c r="CU143" s="27">
        <f t="shared" si="1262"/>
        <v>231603.40191373858</v>
      </c>
      <c r="CV143" s="27">
        <f t="shared" si="1262"/>
        <v>237283.71288285987</v>
      </c>
      <c r="CW143" s="27">
        <f t="shared" si="1262"/>
        <v>243953.43705454806</v>
      </c>
      <c r="CX143" s="27">
        <f t="shared" si="1262"/>
        <v>251389.36602929945</v>
      </c>
      <c r="CY143" s="27">
        <f t="shared" si="1262"/>
        <v>257633.89129801997</v>
      </c>
      <c r="CZ143" s="27">
        <f t="shared" si="1262"/>
        <v>264666.4489888461</v>
      </c>
      <c r="DA143" s="27">
        <f t="shared" si="1262"/>
        <v>272742.50962699077</v>
      </c>
      <c r="DB143" s="27">
        <f t="shared" si="1262"/>
        <v>281631.97852334083</v>
      </c>
      <c r="DE143" s="121"/>
      <c r="DF143" s="26">
        <v>191563.77960185174</v>
      </c>
    </row>
    <row r="144" spans="1:110" s="23" customFormat="1" x14ac:dyDescent="0.2">
      <c r="AB144" s="24"/>
      <c r="AC144" s="24"/>
      <c r="AD144" s="24"/>
      <c r="AE144" s="24"/>
      <c r="CM144" s="24"/>
      <c r="CN144" s="24"/>
      <c r="CO144" s="24"/>
      <c r="CP144" s="24"/>
      <c r="CQ144" s="24"/>
      <c r="CR144" s="24"/>
      <c r="CS144" s="24"/>
      <c r="CT144" s="24"/>
      <c r="CU144" s="24"/>
      <c r="CV144" s="24"/>
      <c r="CW144" s="24"/>
      <c r="CX144" s="24"/>
      <c r="CY144" s="24"/>
      <c r="CZ144" s="24"/>
      <c r="DA144" s="24"/>
      <c r="DB144" s="24"/>
      <c r="DE144" s="123"/>
    </row>
    <row r="145" spans="1:110" s="23" customFormat="1" outlineLevel="1" x14ac:dyDescent="0.2">
      <c r="A145" s="23" t="s">
        <v>50</v>
      </c>
      <c r="B145" s="23">
        <f>'Annual Raw'!C62</f>
        <v>11258.17</v>
      </c>
      <c r="C145" s="23">
        <f>'Annual Raw'!D62</f>
        <v>12214.82</v>
      </c>
      <c r="D145" s="23">
        <f>'Annual Raw'!E62</f>
        <v>12636.07</v>
      </c>
      <c r="E145" s="23">
        <f>'Annual Raw'!F62-E149</f>
        <v>13606.29</v>
      </c>
      <c r="F145" s="23">
        <f>'Annual Raw'!G62-F149</f>
        <v>15991.05</v>
      </c>
      <c r="G145" s="23">
        <f>'Annual Raw'!H62-G149</f>
        <v>16630.68</v>
      </c>
      <c r="H145" s="23">
        <f>'Annual Raw'!I62-H149</f>
        <v>20083.78</v>
      </c>
      <c r="I145" s="23">
        <f>'Annual Raw'!J62-I149</f>
        <v>96229.35</v>
      </c>
      <c r="J145" s="23">
        <f>'Annual Raw'!K62-J149</f>
        <v>114823.59</v>
      </c>
      <c r="K145" s="23">
        <f>'Annual Raw'!L62-K149</f>
        <v>97289</v>
      </c>
      <c r="L145" s="23">
        <f>'Annual Raw'!M62-L149</f>
        <v>98101.38</v>
      </c>
      <c r="M145" s="23">
        <f>'Annual Raw'!N62-M149</f>
        <v>113136.6</v>
      </c>
      <c r="N145" s="23">
        <f>'Annual Raw'!O62-N149</f>
        <v>134774.49</v>
      </c>
      <c r="O145" s="23">
        <f>'Annual Raw'!P62-O149</f>
        <v>156142.57</v>
      </c>
      <c r="P145" s="23">
        <f>'Annual Raw'!Q62-P149</f>
        <v>151210.46</v>
      </c>
      <c r="Q145" s="23">
        <f>'Annual Raw'!R62-Q149</f>
        <v>108579.46</v>
      </c>
      <c r="R145" s="23">
        <f>'Annual Raw'!S62-R149</f>
        <v>127807.23</v>
      </c>
      <c r="S145" s="23">
        <f>'Annual Raw'!T62-S149</f>
        <v>141344.40999999997</v>
      </c>
      <c r="T145" s="23">
        <f>'Annual Raw'!U62-T149</f>
        <v>174431.46</v>
      </c>
      <c r="U145" s="23">
        <f>'Annual Raw'!V62-U149</f>
        <v>196992.45</v>
      </c>
      <c r="V145" s="23">
        <f>'Annual Raw'!W62-V149</f>
        <v>213594.57</v>
      </c>
      <c r="W145" s="23">
        <f>'Annual Raw'!X62-W149</f>
        <v>217440.56</v>
      </c>
      <c r="X145" s="23">
        <f>'Annual Raw'!Y62-X149</f>
        <v>245394.56</v>
      </c>
      <c r="Y145" s="23">
        <f>'Annual Raw'!Z62-Y149</f>
        <v>253826.97</v>
      </c>
      <c r="Z145" s="23">
        <f>'Annual Raw'!AA62-Z149</f>
        <v>267069.93</v>
      </c>
      <c r="AA145" s="23">
        <f>'Annual Raw'!AB62-AA149</f>
        <v>315444.13</v>
      </c>
      <c r="AB145" s="24">
        <f t="shared" ref="AB145:AB151" si="1264">+CP145</f>
        <v>284868.2</v>
      </c>
      <c r="AC145" s="24">
        <f t="shared" ref="AC145:AC151" si="1265">+CT145</f>
        <v>290868.2</v>
      </c>
      <c r="AD145" s="24">
        <f t="shared" ref="AD145:AD151" si="1266">+CX145</f>
        <v>290868.2</v>
      </c>
      <c r="AE145" s="24">
        <f t="shared" ref="AE145:AE151" si="1267">+DB145</f>
        <v>290868.2</v>
      </c>
      <c r="AJ145" s="23">
        <f>+'QTR Raw'!D68</f>
        <v>67540.87</v>
      </c>
      <c r="AL145" s="23">
        <f>+'QTR Raw'!F68</f>
        <v>69213.240000000005</v>
      </c>
      <c r="AN145" s="23">
        <f>+'QTR Raw'!H68</f>
        <v>81076.399999999994</v>
      </c>
      <c r="AP145" s="23">
        <f>+'QTR Raw'!J68</f>
        <v>85980.58</v>
      </c>
      <c r="AR145" s="23">
        <f>+'QTR Raw'!L68</f>
        <v>86002.17</v>
      </c>
      <c r="AT145" s="23">
        <f>+'QTR Raw'!N68</f>
        <v>83370.94</v>
      </c>
      <c r="AV145" s="23">
        <f>+'QTR Raw'!P68</f>
        <v>80156.73</v>
      </c>
      <c r="AX145" s="23">
        <f>+'QTR Raw'!R68</f>
        <v>68334.97</v>
      </c>
      <c r="AZ145" s="23">
        <f>+'QTR Raw'!T68</f>
        <v>89813.41</v>
      </c>
      <c r="BB145" s="23">
        <f>+'QTR Raw'!V68</f>
        <v>88781.58</v>
      </c>
      <c r="BD145" s="23">
        <f>+'QTR Raw'!X68</f>
        <v>90664.08</v>
      </c>
      <c r="BF145" s="23">
        <f>+'QTR Raw'!Z68</f>
        <v>92460.05</v>
      </c>
      <c r="BH145" s="23">
        <f>+'QTR Raw'!AB68</f>
        <v>122967.32</v>
      </c>
      <c r="BJ145" s="23">
        <f>+'QTR Raw'!AD68</f>
        <v>121129.99</v>
      </c>
      <c r="BL145" s="23">
        <f>+'QTR Raw'!AF68</f>
        <v>123855.45</v>
      </c>
      <c r="BN145" s="23">
        <f>+'QTR Raw'!AH68</f>
        <v>122581.12</v>
      </c>
      <c r="BP145" s="23">
        <f>+'QTR Raw'!AJ68</f>
        <v>123958.29</v>
      </c>
      <c r="BR145" s="23">
        <f>+'QTR Raw'!AL68</f>
        <v>122858.2</v>
      </c>
      <c r="BT145" s="23">
        <f>+'QTR Raw'!AN68</f>
        <v>121172.5</v>
      </c>
      <c r="BV145" s="23">
        <f>+'QTR Raw'!AP68</f>
        <v>121456.86</v>
      </c>
      <c r="BX145" s="23">
        <f>+'QTR Raw'!AR68</f>
        <v>130071.23</v>
      </c>
      <c r="BZ145" s="23">
        <f>+'QTR Raw'!AT68</f>
        <v>132702.41</v>
      </c>
      <c r="CB145" s="23">
        <f>+'QTR Raw'!AV68</f>
        <v>128846.06</v>
      </c>
      <c r="CD145" s="23">
        <f>+'QTR Raw'!AX68</f>
        <v>136468.53</v>
      </c>
      <c r="CF145" s="23">
        <f>+'QTR Raw'!AZ68</f>
        <v>136097.84</v>
      </c>
      <c r="CH145" s="23">
        <f t="shared" ref="CH145:CH151" si="1268">Z145</f>
        <v>267069.93</v>
      </c>
      <c r="CI145" s="23">
        <f>CH145</f>
        <v>267069.93</v>
      </c>
      <c r="CJ145" s="23">
        <f>+CJ146+CJ148</f>
        <v>262980.69</v>
      </c>
      <c r="CK145" s="23">
        <f t="shared" ref="CK145" si="1269">+CJ145+1000</f>
        <v>263980.69</v>
      </c>
      <c r="CL145" s="23">
        <f>+CL146+CL148</f>
        <v>281268.2</v>
      </c>
      <c r="CM145" s="24">
        <f>+CL145+900</f>
        <v>282168.2</v>
      </c>
      <c r="CN145" s="24">
        <f t="shared" ref="CN145:CP145" si="1270">+CM145+900</f>
        <v>283068.2</v>
      </c>
      <c r="CO145" s="24">
        <f t="shared" si="1270"/>
        <v>283968.2</v>
      </c>
      <c r="CP145" s="24">
        <f t="shared" si="1270"/>
        <v>284868.2</v>
      </c>
      <c r="CQ145" s="24">
        <f>+CP145+1500</f>
        <v>286368.2</v>
      </c>
      <c r="CR145" s="24">
        <f t="shared" ref="CR145:CT145" si="1271">+CQ145+1500</f>
        <v>287868.2</v>
      </c>
      <c r="CS145" s="24">
        <f t="shared" si="1271"/>
        <v>289368.2</v>
      </c>
      <c r="CT145" s="24">
        <f t="shared" si="1271"/>
        <v>290868.2</v>
      </c>
      <c r="CU145" s="24">
        <f t="shared" ref="CU145:DB145" si="1272">+CT145</f>
        <v>290868.2</v>
      </c>
      <c r="CV145" s="24">
        <f t="shared" si="1272"/>
        <v>290868.2</v>
      </c>
      <c r="CW145" s="24">
        <f t="shared" si="1272"/>
        <v>290868.2</v>
      </c>
      <c r="CX145" s="24">
        <f t="shared" si="1272"/>
        <v>290868.2</v>
      </c>
      <c r="CY145" s="24">
        <f t="shared" si="1272"/>
        <v>290868.2</v>
      </c>
      <c r="CZ145" s="24">
        <f t="shared" si="1272"/>
        <v>290868.2</v>
      </c>
      <c r="DA145" s="24">
        <f t="shared" si="1272"/>
        <v>290868.2</v>
      </c>
      <c r="DB145" s="24">
        <f t="shared" si="1272"/>
        <v>290868.2</v>
      </c>
      <c r="DE145" s="123"/>
      <c r="DF145" s="23">
        <v>264980.69</v>
      </c>
    </row>
    <row r="146" spans="1:110" s="23" customFormat="1" outlineLevel="1" x14ac:dyDescent="0.2">
      <c r="A146" s="23" t="s">
        <v>51</v>
      </c>
      <c r="B146" s="23">
        <f>'Annual Raw'!C63</f>
        <v>3720.08</v>
      </c>
      <c r="C146" s="23">
        <f>'Annual Raw'!D63</f>
        <v>4440.8999999999996</v>
      </c>
      <c r="D146" s="23">
        <f>'Annual Raw'!E63</f>
        <v>4975.58</v>
      </c>
      <c r="E146" s="23">
        <f>'Annual Raw'!F63</f>
        <v>5589.06</v>
      </c>
      <c r="F146" s="23">
        <f>'Annual Raw'!G63</f>
        <v>6206.39</v>
      </c>
      <c r="G146" s="23">
        <f>'Annual Raw'!H63</f>
        <v>7105.8</v>
      </c>
      <c r="H146" s="23">
        <f>'Annual Raw'!I63</f>
        <v>9089.2099999999991</v>
      </c>
      <c r="I146" s="23">
        <f>'Annual Raw'!J63</f>
        <v>59938.92</v>
      </c>
      <c r="J146" s="23">
        <f>'Annual Raw'!K63</f>
        <v>59858.09</v>
      </c>
      <c r="K146" s="23">
        <f>'Annual Raw'!L63</f>
        <v>57902.85</v>
      </c>
      <c r="L146" s="23">
        <f>'Annual Raw'!M63</f>
        <v>58411.839999999997</v>
      </c>
      <c r="M146" s="23">
        <f>'Annual Raw'!N63</f>
        <v>67648.89</v>
      </c>
      <c r="N146" s="23">
        <f>'Annual Raw'!O63</f>
        <v>72715.839999999997</v>
      </c>
      <c r="O146" s="23">
        <f>'Annual Raw'!P63</f>
        <v>88452.28</v>
      </c>
      <c r="P146" s="23">
        <f>'Annual Raw'!Q63</f>
        <v>84913.17</v>
      </c>
      <c r="Q146" s="23">
        <f>'Annual Raw'!R63</f>
        <v>36021.629999999997</v>
      </c>
      <c r="R146" s="23">
        <f>'Annual Raw'!S63</f>
        <v>35373.199999999997</v>
      </c>
      <c r="S146" s="23">
        <f>'Annual Raw'!T63</f>
        <v>46251.12</v>
      </c>
      <c r="T146" s="23">
        <f>'Annual Raw'!U63</f>
        <v>49608.65</v>
      </c>
      <c r="U146" s="23">
        <f>'Annual Raw'!V63</f>
        <v>59773.3</v>
      </c>
      <c r="V146" s="23">
        <f>'Annual Raw'!W63</f>
        <v>69791.490000000005</v>
      </c>
      <c r="W146" s="23">
        <f>'Annual Raw'!X63</f>
        <v>76126.95</v>
      </c>
      <c r="X146" s="23">
        <f>'Annual Raw'!Y63</f>
        <v>86505.55</v>
      </c>
      <c r="Y146" s="23">
        <f>'Annual Raw'!Z63</f>
        <v>95627.199999999997</v>
      </c>
      <c r="Z146" s="23">
        <f>'Annual Raw'!AA63</f>
        <v>106025.60000000001</v>
      </c>
      <c r="AA146" s="23">
        <f>'Annual Raw'!AB63</f>
        <v>125010.57</v>
      </c>
      <c r="AB146" s="24">
        <f t="shared" si="1264"/>
        <v>130763.03207678559</v>
      </c>
      <c r="AC146" s="24">
        <f t="shared" si="1265"/>
        <v>144370.86424949009</v>
      </c>
      <c r="AD146" s="24">
        <f t="shared" si="1266"/>
        <v>157117.27604888912</v>
      </c>
      <c r="AE146" s="24">
        <f t="shared" si="1267"/>
        <v>168754.65052056123</v>
      </c>
      <c r="AJ146" s="23">
        <f>+'QTR Raw'!D69</f>
        <v>0</v>
      </c>
      <c r="AL146" s="23">
        <f>+'QTR Raw'!F69</f>
        <v>0</v>
      </c>
      <c r="AN146" s="23">
        <f>+'QTR Raw'!H69</f>
        <v>0</v>
      </c>
      <c r="AP146" s="23">
        <f>+'QTR Raw'!J69</f>
        <v>0</v>
      </c>
      <c r="AR146" s="23">
        <f>+'QTR Raw'!L69</f>
        <v>0</v>
      </c>
      <c r="AT146" s="23">
        <f>+'QTR Raw'!N69</f>
        <v>0</v>
      </c>
      <c r="AV146" s="23">
        <f>+'QTR Raw'!P69</f>
        <v>0</v>
      </c>
      <c r="AX146" s="23">
        <f>+'QTR Raw'!R69</f>
        <v>0</v>
      </c>
      <c r="AZ146" s="23">
        <f>+'QTR Raw'!T69</f>
        <v>0</v>
      </c>
      <c r="BB146" s="23">
        <f>+'QTR Raw'!V69</f>
        <v>0</v>
      </c>
      <c r="BD146" s="23">
        <f>+'QTR Raw'!X69</f>
        <v>0</v>
      </c>
      <c r="BF146" s="23">
        <f>+'QTR Raw'!Z69</f>
        <v>0</v>
      </c>
      <c r="BH146" s="23">
        <f>+'QTR Raw'!AB69</f>
        <v>0</v>
      </c>
      <c r="BJ146" s="23">
        <f>+'QTR Raw'!AD69</f>
        <v>0</v>
      </c>
      <c r="BL146" s="23">
        <f>+'QTR Raw'!AF69</f>
        <v>0</v>
      </c>
      <c r="BN146" s="23">
        <f>+'QTR Raw'!AH69</f>
        <v>0</v>
      </c>
      <c r="BP146" s="23">
        <f>+'QTR Raw'!AJ69</f>
        <v>0</v>
      </c>
      <c r="BR146" s="23">
        <f>+'QTR Raw'!AL69</f>
        <v>0</v>
      </c>
      <c r="BT146" s="23">
        <f>+'QTR Raw'!AN69</f>
        <v>0</v>
      </c>
      <c r="BV146" s="23">
        <f>+'QTR Raw'!AP69</f>
        <v>0</v>
      </c>
      <c r="BX146" s="23">
        <f>+'QTR Raw'!AR69</f>
        <v>0</v>
      </c>
      <c r="BZ146" s="23">
        <f>+'QTR Raw'!AT69</f>
        <v>0</v>
      </c>
      <c r="CB146" s="23">
        <f>+'QTR Raw'!AV69</f>
        <v>0</v>
      </c>
      <c r="CD146" s="23">
        <f>+'QTR Raw'!AX69</f>
        <v>0</v>
      </c>
      <c r="CF146" s="23">
        <f>+'QTR Raw'!AZ69</f>
        <v>0</v>
      </c>
      <c r="CH146" s="23">
        <f t="shared" si="1268"/>
        <v>106025.60000000001</v>
      </c>
      <c r="CI146" s="23">
        <f t="shared" ref="CI146:DB146" si="1273">CH146+CI41</f>
        <v>108769.90000000001</v>
      </c>
      <c r="CJ146" s="23">
        <f t="shared" si="1273"/>
        <v>111662.90000000001</v>
      </c>
      <c r="CK146" s="23">
        <f t="shared" si="1273"/>
        <v>114711.71</v>
      </c>
      <c r="CL146" s="23">
        <f t="shared" si="1273"/>
        <v>117980.11</v>
      </c>
      <c r="CM146" s="24">
        <f t="shared" si="1273"/>
        <v>121245.87179999999</v>
      </c>
      <c r="CN146" s="24">
        <f t="shared" si="1273"/>
        <v>124464.31836399999</v>
      </c>
      <c r="CO146" s="24">
        <f t="shared" si="1273"/>
        <v>127636.39599671999</v>
      </c>
      <c r="CP146" s="24">
        <f t="shared" si="1273"/>
        <v>130763.03207678559</v>
      </c>
      <c r="CQ146" s="24">
        <f t="shared" si="1273"/>
        <v>134230.3983550579</v>
      </c>
      <c r="CR146" s="24">
        <f t="shared" si="1273"/>
        <v>137653.4988920691</v>
      </c>
      <c r="CS146" s="24">
        <f t="shared" si="1273"/>
        <v>141033.32966699754</v>
      </c>
      <c r="CT146" s="24">
        <f t="shared" si="1273"/>
        <v>144370.86424949009</v>
      </c>
      <c r="CU146" s="24">
        <f t="shared" si="1273"/>
        <v>147667.05430387656</v>
      </c>
      <c r="CV146" s="24">
        <f t="shared" si="1273"/>
        <v>150889.08008203935</v>
      </c>
      <c r="CW146" s="24">
        <f t="shared" si="1273"/>
        <v>154038.61028019348</v>
      </c>
      <c r="CX146" s="24">
        <f t="shared" si="1273"/>
        <v>157117.27604888912</v>
      </c>
      <c r="CY146" s="24">
        <f t="shared" si="1273"/>
        <v>160126.67183778912</v>
      </c>
      <c r="CZ146" s="24">
        <f t="shared" si="1273"/>
        <v>163068.35622143888</v>
      </c>
      <c r="DA146" s="24">
        <f t="shared" si="1273"/>
        <v>165943.8527064565</v>
      </c>
      <c r="DB146" s="24">
        <f t="shared" si="1273"/>
        <v>168754.65052056123</v>
      </c>
      <c r="DE146" s="123"/>
      <c r="DF146" s="23">
        <v>118017.7777350106</v>
      </c>
    </row>
    <row r="147" spans="1:110" s="23" customFormat="1" outlineLevel="1" x14ac:dyDescent="0.2">
      <c r="A147" s="23" t="s">
        <v>52</v>
      </c>
      <c r="B147" s="23">
        <f>'Annual Raw'!C64</f>
        <v>0</v>
      </c>
      <c r="C147" s="23">
        <f>'Annual Raw'!D64</f>
        <v>0</v>
      </c>
      <c r="D147" s="23">
        <f>'Annual Raw'!E64</f>
        <v>0</v>
      </c>
      <c r="E147" s="23">
        <f>'Annual Raw'!F64</f>
        <v>0</v>
      </c>
      <c r="F147" s="23">
        <f>'Annual Raw'!G64</f>
        <v>97.52</v>
      </c>
      <c r="G147" s="23">
        <f>'Annual Raw'!H64</f>
        <v>94.19</v>
      </c>
      <c r="H147" s="23">
        <f>'Annual Raw'!I64</f>
        <v>100.41</v>
      </c>
      <c r="I147" s="23">
        <f>'Annual Raw'!J64</f>
        <v>3171.7</v>
      </c>
      <c r="J147" s="23">
        <f>'Annual Raw'!K64</f>
        <v>3183.04</v>
      </c>
      <c r="K147" s="23">
        <f>'Annual Raw'!L64</f>
        <v>2860.96</v>
      </c>
      <c r="L147" s="23">
        <f>'Annual Raw'!M64</f>
        <v>3121.91</v>
      </c>
      <c r="M147" s="23">
        <f>'Annual Raw'!N64</f>
        <v>3555.45</v>
      </c>
      <c r="N147" s="23">
        <f>'Annual Raw'!O64</f>
        <v>7122.03</v>
      </c>
      <c r="O147" s="23">
        <f>'Annual Raw'!P64</f>
        <v>8532.16</v>
      </c>
      <c r="P147" s="23">
        <f>'Annual Raw'!Q64</f>
        <v>11604.47</v>
      </c>
      <c r="Q147" s="23">
        <f>'Annual Raw'!R64</f>
        <v>4425.63</v>
      </c>
      <c r="R147" s="23">
        <f>'Annual Raw'!S64</f>
        <v>3922.21</v>
      </c>
      <c r="S147" s="23">
        <f>'Annual Raw'!T64</f>
        <v>3087.85</v>
      </c>
      <c r="T147" s="23">
        <f>'Annual Raw'!U64</f>
        <v>4377.5200000000004</v>
      </c>
      <c r="U147" s="23">
        <f>'Annual Raw'!V64</f>
        <v>6723.02</v>
      </c>
      <c r="V147" s="23">
        <f>'Annual Raw'!W64</f>
        <v>12372.59</v>
      </c>
      <c r="W147" s="23">
        <f>'Annual Raw'!X64</f>
        <v>12336.98</v>
      </c>
      <c r="X147" s="23">
        <f>'Annual Raw'!Y64</f>
        <v>12267.55</v>
      </c>
      <c r="Y147" s="23">
        <f>'Annual Raw'!Z64</f>
        <v>15130.69</v>
      </c>
      <c r="Z147" s="23">
        <f>'Annual Raw'!AA64</f>
        <v>16088.8</v>
      </c>
      <c r="AA147" s="23">
        <f>'Annual Raw'!AB64</f>
        <v>18059.23</v>
      </c>
      <c r="AB147" s="24">
        <f t="shared" si="1264"/>
        <v>0</v>
      </c>
      <c r="AC147" s="24">
        <f t="shared" si="1265"/>
        <v>0</v>
      </c>
      <c r="AD147" s="24">
        <f t="shared" si="1266"/>
        <v>0</v>
      </c>
      <c r="AE147" s="24">
        <f t="shared" si="1267"/>
        <v>0</v>
      </c>
      <c r="AJ147" s="23">
        <f>+'QTR Raw'!D70</f>
        <v>0</v>
      </c>
      <c r="AL147" s="23">
        <f>+'QTR Raw'!F70</f>
        <v>0</v>
      </c>
      <c r="AN147" s="23">
        <f>+'QTR Raw'!H70</f>
        <v>0</v>
      </c>
      <c r="AP147" s="23">
        <f>+'QTR Raw'!J70</f>
        <v>0</v>
      </c>
      <c r="AR147" s="23">
        <f>+'QTR Raw'!L70</f>
        <v>0</v>
      </c>
      <c r="AT147" s="23">
        <f>+'QTR Raw'!N70</f>
        <v>0</v>
      </c>
      <c r="AV147" s="23">
        <f>+'QTR Raw'!P70</f>
        <v>0</v>
      </c>
      <c r="AX147" s="23">
        <f>+'QTR Raw'!R70</f>
        <v>0</v>
      </c>
      <c r="AZ147" s="23">
        <f>+'QTR Raw'!T70</f>
        <v>0</v>
      </c>
      <c r="BB147" s="23">
        <f>+'QTR Raw'!V70</f>
        <v>0</v>
      </c>
      <c r="BD147" s="23">
        <f>+'QTR Raw'!X70</f>
        <v>0</v>
      </c>
      <c r="BF147" s="23">
        <f>+'QTR Raw'!Z70</f>
        <v>0</v>
      </c>
      <c r="BH147" s="23">
        <f>+'QTR Raw'!AB70</f>
        <v>0</v>
      </c>
      <c r="BJ147" s="23">
        <f>+'QTR Raw'!AD70</f>
        <v>0</v>
      </c>
      <c r="BL147" s="23">
        <f>+'QTR Raw'!AF70</f>
        <v>0</v>
      </c>
      <c r="BN147" s="23">
        <f>+'QTR Raw'!AH70</f>
        <v>0</v>
      </c>
      <c r="BP147" s="23">
        <f>+'QTR Raw'!AJ70</f>
        <v>0</v>
      </c>
      <c r="BR147" s="23">
        <f>+'QTR Raw'!AL70</f>
        <v>0</v>
      </c>
      <c r="BT147" s="23">
        <f>+'QTR Raw'!AN70</f>
        <v>0</v>
      </c>
      <c r="BV147" s="23">
        <f>+'QTR Raw'!AP70</f>
        <v>0</v>
      </c>
      <c r="BX147" s="23">
        <f>+'QTR Raw'!AR70</f>
        <v>0</v>
      </c>
      <c r="BZ147" s="23">
        <f>+'QTR Raw'!AT70</f>
        <v>0</v>
      </c>
      <c r="CB147" s="23">
        <f>+'QTR Raw'!AV70</f>
        <v>0</v>
      </c>
      <c r="CD147" s="23">
        <f>+'QTR Raw'!AX70</f>
        <v>0</v>
      </c>
      <c r="CF147" s="23">
        <f>+'QTR Raw'!AZ70</f>
        <v>0</v>
      </c>
      <c r="CH147" s="23">
        <f t="shared" si="1268"/>
        <v>16088.8</v>
      </c>
      <c r="CI147" s="23">
        <f>CH147</f>
        <v>16088.8</v>
      </c>
      <c r="CJ147" s="23">
        <f>+'QTR Raw'!BD70</f>
        <v>0</v>
      </c>
      <c r="CK147" s="23">
        <f t="shared" ref="CK147:DB147" si="1274">CJ147</f>
        <v>0</v>
      </c>
      <c r="CL147" s="23">
        <f>+'QTR Raw'!BF70</f>
        <v>0</v>
      </c>
      <c r="CM147" s="24">
        <f t="shared" si="1274"/>
        <v>0</v>
      </c>
      <c r="CN147" s="24">
        <f t="shared" si="1274"/>
        <v>0</v>
      </c>
      <c r="CO147" s="24">
        <f t="shared" si="1274"/>
        <v>0</v>
      </c>
      <c r="CP147" s="24">
        <f t="shared" si="1274"/>
        <v>0</v>
      </c>
      <c r="CQ147" s="24">
        <f t="shared" si="1274"/>
        <v>0</v>
      </c>
      <c r="CR147" s="24">
        <f t="shared" si="1274"/>
        <v>0</v>
      </c>
      <c r="CS147" s="24">
        <f t="shared" si="1274"/>
        <v>0</v>
      </c>
      <c r="CT147" s="24">
        <f t="shared" si="1274"/>
        <v>0</v>
      </c>
      <c r="CU147" s="24">
        <f t="shared" si="1274"/>
        <v>0</v>
      </c>
      <c r="CV147" s="24">
        <f t="shared" si="1274"/>
        <v>0</v>
      </c>
      <c r="CW147" s="24">
        <f t="shared" si="1274"/>
        <v>0</v>
      </c>
      <c r="CX147" s="24">
        <f t="shared" si="1274"/>
        <v>0</v>
      </c>
      <c r="CY147" s="24">
        <f t="shared" si="1274"/>
        <v>0</v>
      </c>
      <c r="CZ147" s="24">
        <f t="shared" si="1274"/>
        <v>0</v>
      </c>
      <c r="DA147" s="24">
        <f t="shared" si="1274"/>
        <v>0</v>
      </c>
      <c r="DB147" s="24">
        <f t="shared" si="1274"/>
        <v>0</v>
      </c>
      <c r="DE147" s="123"/>
      <c r="DF147" s="23">
        <v>0</v>
      </c>
    </row>
    <row r="148" spans="1:110" s="22" customFormat="1" outlineLevel="1" x14ac:dyDescent="0.2">
      <c r="A148" s="22" t="s">
        <v>53</v>
      </c>
      <c r="B148" s="22">
        <f>+B145-B146-B147</f>
        <v>7538.09</v>
      </c>
      <c r="C148" s="22">
        <f t="shared" ref="C148:W148" si="1275">+C145-C146-C147</f>
        <v>7773.92</v>
      </c>
      <c r="D148" s="22">
        <f t="shared" si="1275"/>
        <v>7660.49</v>
      </c>
      <c r="E148" s="22">
        <f t="shared" si="1275"/>
        <v>8017.2300000000005</v>
      </c>
      <c r="F148" s="22">
        <f t="shared" si="1275"/>
        <v>9687.14</v>
      </c>
      <c r="G148" s="22">
        <f t="shared" si="1275"/>
        <v>9430.69</v>
      </c>
      <c r="H148" s="22">
        <f t="shared" si="1275"/>
        <v>10894.16</v>
      </c>
      <c r="I148" s="22">
        <f t="shared" si="1275"/>
        <v>33118.73000000001</v>
      </c>
      <c r="J148" s="22">
        <f t="shared" si="1275"/>
        <v>51782.46</v>
      </c>
      <c r="K148" s="22">
        <f t="shared" si="1275"/>
        <v>36525.19</v>
      </c>
      <c r="L148" s="22">
        <f t="shared" si="1275"/>
        <v>36567.630000000005</v>
      </c>
      <c r="M148" s="22">
        <f t="shared" si="1275"/>
        <v>41932.260000000009</v>
      </c>
      <c r="N148" s="22">
        <f t="shared" si="1275"/>
        <v>54936.619999999995</v>
      </c>
      <c r="O148" s="22">
        <f t="shared" si="1275"/>
        <v>59158.130000000005</v>
      </c>
      <c r="P148" s="22">
        <f t="shared" si="1275"/>
        <v>54692.819999999992</v>
      </c>
      <c r="Q148" s="22">
        <f t="shared" si="1275"/>
        <v>68132.200000000012</v>
      </c>
      <c r="R148" s="22">
        <f t="shared" si="1275"/>
        <v>88511.819999999992</v>
      </c>
      <c r="S148" s="22">
        <f t="shared" si="1275"/>
        <v>92005.439999999973</v>
      </c>
      <c r="T148" s="22">
        <f t="shared" si="1275"/>
        <v>120445.29</v>
      </c>
      <c r="U148" s="22">
        <f t="shared" si="1275"/>
        <v>130496.13000000002</v>
      </c>
      <c r="V148" s="22">
        <f t="shared" si="1275"/>
        <v>131430.49000000002</v>
      </c>
      <c r="W148" s="22">
        <f t="shared" si="1275"/>
        <v>128976.62999999999</v>
      </c>
      <c r="X148" s="22">
        <f t="shared" ref="X148:Y148" si="1276">+X145-X146-X147</f>
        <v>146621.46000000002</v>
      </c>
      <c r="Y148" s="22">
        <f t="shared" si="1276"/>
        <v>143069.08000000002</v>
      </c>
      <c r="Z148" s="22">
        <f t="shared" ref="Z148:AE148" si="1277">+Z145-Z146-Z147</f>
        <v>144955.53</v>
      </c>
      <c r="AA148" s="22">
        <f t="shared" ref="AA148" si="1278">+AA145-AA146-AA147</f>
        <v>172374.33</v>
      </c>
      <c r="AB148" s="21">
        <f t="shared" si="1277"/>
        <v>154105.16792321444</v>
      </c>
      <c r="AC148" s="21">
        <f t="shared" si="1277"/>
        <v>146497.33575050993</v>
      </c>
      <c r="AD148" s="21">
        <f t="shared" si="1277"/>
        <v>133750.92395111089</v>
      </c>
      <c r="AE148" s="21">
        <f t="shared" si="1277"/>
        <v>122113.54947943878</v>
      </c>
      <c r="AJ148" s="22">
        <f t="shared" ref="AJ148:AL148" si="1279">+AJ145-AJ146-AJ147</f>
        <v>67540.87</v>
      </c>
      <c r="AK148" s="22">
        <f t="shared" ref="AK148:CE148" si="1280">+AJ148</f>
        <v>67540.87</v>
      </c>
      <c r="AL148" s="22">
        <f t="shared" si="1279"/>
        <v>69213.240000000005</v>
      </c>
      <c r="AM148" s="22">
        <f t="shared" si="1280"/>
        <v>69213.240000000005</v>
      </c>
      <c r="AN148" s="22">
        <f t="shared" ref="AN148" si="1281">+AN145-AN146-AN147</f>
        <v>81076.399999999994</v>
      </c>
      <c r="AO148" s="22">
        <f t="shared" si="1280"/>
        <v>81076.399999999994</v>
      </c>
      <c r="AP148" s="22">
        <f t="shared" ref="AP148:CD148" si="1282">+AP145-AP146-AP147</f>
        <v>85980.58</v>
      </c>
      <c r="AQ148" s="22">
        <f t="shared" si="1280"/>
        <v>85980.58</v>
      </c>
      <c r="AR148" s="22">
        <f t="shared" si="1282"/>
        <v>86002.17</v>
      </c>
      <c r="AS148" s="22">
        <f t="shared" si="1280"/>
        <v>86002.17</v>
      </c>
      <c r="AT148" s="22">
        <f t="shared" si="1282"/>
        <v>83370.94</v>
      </c>
      <c r="AU148" s="22">
        <f t="shared" si="1280"/>
        <v>83370.94</v>
      </c>
      <c r="AV148" s="22">
        <f t="shared" si="1282"/>
        <v>80156.73</v>
      </c>
      <c r="AW148" s="22">
        <f t="shared" si="1280"/>
        <v>80156.73</v>
      </c>
      <c r="AX148" s="22">
        <f t="shared" si="1282"/>
        <v>68334.97</v>
      </c>
      <c r="AY148" s="22">
        <f t="shared" si="1280"/>
        <v>68334.97</v>
      </c>
      <c r="AZ148" s="22">
        <f t="shared" si="1282"/>
        <v>89813.41</v>
      </c>
      <c r="BA148" s="22">
        <f t="shared" si="1280"/>
        <v>89813.41</v>
      </c>
      <c r="BB148" s="22">
        <f t="shared" si="1282"/>
        <v>88781.58</v>
      </c>
      <c r="BC148" s="22">
        <f t="shared" si="1280"/>
        <v>88781.58</v>
      </c>
      <c r="BD148" s="22">
        <f t="shared" si="1282"/>
        <v>90664.08</v>
      </c>
      <c r="BE148" s="22">
        <f t="shared" si="1280"/>
        <v>90664.08</v>
      </c>
      <c r="BF148" s="22">
        <f t="shared" si="1282"/>
        <v>92460.05</v>
      </c>
      <c r="BG148" s="22">
        <f t="shared" si="1280"/>
        <v>92460.05</v>
      </c>
      <c r="BH148" s="22">
        <f t="shared" si="1282"/>
        <v>122967.32</v>
      </c>
      <c r="BI148" s="22">
        <f t="shared" si="1280"/>
        <v>122967.32</v>
      </c>
      <c r="BJ148" s="22">
        <f t="shared" si="1282"/>
        <v>121129.99</v>
      </c>
      <c r="BK148" s="22">
        <f t="shared" si="1280"/>
        <v>121129.99</v>
      </c>
      <c r="BL148" s="22">
        <f t="shared" si="1282"/>
        <v>123855.45</v>
      </c>
      <c r="BM148" s="22">
        <f t="shared" si="1280"/>
        <v>123855.45</v>
      </c>
      <c r="BN148" s="22">
        <f t="shared" si="1282"/>
        <v>122581.12</v>
      </c>
      <c r="BO148" s="22">
        <f t="shared" si="1280"/>
        <v>122581.12</v>
      </c>
      <c r="BP148" s="22">
        <f t="shared" si="1282"/>
        <v>123958.29</v>
      </c>
      <c r="BQ148" s="22">
        <f t="shared" si="1280"/>
        <v>123958.29</v>
      </c>
      <c r="BR148" s="22">
        <f t="shared" si="1282"/>
        <v>122858.2</v>
      </c>
      <c r="BS148" s="22">
        <f t="shared" si="1280"/>
        <v>122858.2</v>
      </c>
      <c r="BT148" s="22">
        <f t="shared" si="1282"/>
        <v>121172.5</v>
      </c>
      <c r="BU148" s="22">
        <f t="shared" si="1280"/>
        <v>121172.5</v>
      </c>
      <c r="BV148" s="22">
        <f t="shared" si="1282"/>
        <v>121456.86</v>
      </c>
      <c r="BW148" s="22">
        <f t="shared" si="1280"/>
        <v>121456.86</v>
      </c>
      <c r="BX148" s="22">
        <f t="shared" si="1282"/>
        <v>130071.23</v>
      </c>
      <c r="BY148" s="22">
        <f t="shared" si="1280"/>
        <v>130071.23</v>
      </c>
      <c r="BZ148" s="22">
        <f t="shared" si="1282"/>
        <v>132702.41</v>
      </c>
      <c r="CA148" s="22">
        <f t="shared" si="1280"/>
        <v>132702.41</v>
      </c>
      <c r="CB148" s="22">
        <f t="shared" si="1282"/>
        <v>128846.06</v>
      </c>
      <c r="CC148" s="22">
        <f t="shared" si="1280"/>
        <v>128846.06</v>
      </c>
      <c r="CD148" s="22">
        <f t="shared" si="1282"/>
        <v>136468.53</v>
      </c>
      <c r="CE148" s="22">
        <f t="shared" si="1280"/>
        <v>136468.53</v>
      </c>
      <c r="CF148" s="22">
        <f t="shared" ref="CF148:CI148" si="1283">+CF145-CF146-CF147</f>
        <v>136097.84</v>
      </c>
      <c r="CG148" s="22">
        <f t="shared" ref="CG148:CI151" si="1284">+CF148</f>
        <v>136097.84</v>
      </c>
      <c r="CH148" s="22">
        <f t="shared" si="1283"/>
        <v>144955.53</v>
      </c>
      <c r="CI148" s="22">
        <f t="shared" si="1283"/>
        <v>142211.22999999998</v>
      </c>
      <c r="CJ148" s="23">
        <f>+'QTR Raw'!BD68</f>
        <v>151317.79</v>
      </c>
      <c r="CK148" s="23">
        <f t="shared" ref="CK148:DB148" si="1285">+CK145-CK146-CK147</f>
        <v>149268.97999999998</v>
      </c>
      <c r="CL148" s="23">
        <f>+'QTR Raw'!BF68</f>
        <v>163288.09</v>
      </c>
      <c r="CM148" s="21">
        <f t="shared" si="1285"/>
        <v>160922.32820000002</v>
      </c>
      <c r="CN148" s="21">
        <f t="shared" si="1285"/>
        <v>158603.88163600001</v>
      </c>
      <c r="CO148" s="21">
        <f t="shared" si="1285"/>
        <v>156331.80400328001</v>
      </c>
      <c r="CP148" s="21">
        <f t="shared" si="1285"/>
        <v>154105.16792321444</v>
      </c>
      <c r="CQ148" s="21">
        <f t="shared" si="1285"/>
        <v>152137.80164494211</v>
      </c>
      <c r="CR148" s="21">
        <f t="shared" si="1285"/>
        <v>150214.70110793092</v>
      </c>
      <c r="CS148" s="21">
        <f t="shared" si="1285"/>
        <v>148334.87033300247</v>
      </c>
      <c r="CT148" s="21">
        <f t="shared" si="1285"/>
        <v>146497.33575050993</v>
      </c>
      <c r="CU148" s="21">
        <f t="shared" si="1285"/>
        <v>143201.14569612345</v>
      </c>
      <c r="CV148" s="21">
        <f t="shared" si="1285"/>
        <v>139979.11991796066</v>
      </c>
      <c r="CW148" s="21">
        <f t="shared" si="1285"/>
        <v>136829.58971980654</v>
      </c>
      <c r="CX148" s="21">
        <f t="shared" si="1285"/>
        <v>133750.92395111089</v>
      </c>
      <c r="CY148" s="21">
        <f t="shared" si="1285"/>
        <v>130741.52816221089</v>
      </c>
      <c r="CZ148" s="21">
        <f t="shared" si="1285"/>
        <v>127799.84377856113</v>
      </c>
      <c r="DA148" s="21">
        <f t="shared" si="1285"/>
        <v>124924.34729354351</v>
      </c>
      <c r="DB148" s="21">
        <f t="shared" si="1285"/>
        <v>122113.54947943878</v>
      </c>
      <c r="DE148" s="126"/>
      <c r="DF148" s="22">
        <v>146962.9122649894</v>
      </c>
    </row>
    <row r="149" spans="1:110" s="23" customFormat="1" outlineLevel="1" x14ac:dyDescent="0.2">
      <c r="A149" s="23" t="s">
        <v>54</v>
      </c>
      <c r="B149" s="23">
        <f>'Annual Raw'!C86</f>
        <v>0</v>
      </c>
      <c r="C149" s="23">
        <f>'Annual Raw'!D86</f>
        <v>1.66</v>
      </c>
      <c r="D149" s="23">
        <f>'Annual Raw'!E86</f>
        <v>0.41</v>
      </c>
      <c r="E149" s="23">
        <f>'Annual Raw'!F86</f>
        <v>0.41</v>
      </c>
      <c r="F149" s="23">
        <f>'Annual Raw'!G86</f>
        <v>131.78</v>
      </c>
      <c r="G149" s="23">
        <f>'Annual Raw'!H86</f>
        <v>114</v>
      </c>
      <c r="H149" s="23">
        <f>'Annual Raw'!I86</f>
        <v>219.66</v>
      </c>
      <c r="I149" s="23">
        <f>'Annual Raw'!J86</f>
        <v>18049.96</v>
      </c>
      <c r="J149" s="23">
        <f>'Annual Raw'!K86</f>
        <v>0</v>
      </c>
      <c r="K149" s="23">
        <f>'Annual Raw'!L86</f>
        <v>14541.82</v>
      </c>
      <c r="L149" s="23">
        <f>'Annual Raw'!M86</f>
        <v>15298.2</v>
      </c>
      <c r="M149" s="23">
        <f>'Annual Raw'!N86</f>
        <v>17354.61</v>
      </c>
      <c r="N149" s="23">
        <f>'Annual Raw'!O86</f>
        <v>13064.98</v>
      </c>
      <c r="O149" s="23">
        <f>'Annual Raw'!P86</f>
        <v>15748.8</v>
      </c>
      <c r="P149" s="23">
        <f>'Annual Raw'!Q86</f>
        <v>13407.51</v>
      </c>
      <c r="Q149" s="23">
        <f>'Annual Raw'!R86</f>
        <v>4067.56</v>
      </c>
      <c r="R149" s="23">
        <f>'Annual Raw'!S86</f>
        <v>3494.73</v>
      </c>
      <c r="S149" s="23">
        <f>'Annual Raw'!T86</f>
        <v>4099.45</v>
      </c>
      <c r="T149" s="23">
        <f>'Annual Raw'!U86</f>
        <v>3996.62</v>
      </c>
      <c r="U149" s="23">
        <f>'Annual Raw'!V86</f>
        <v>4054.53</v>
      </c>
      <c r="V149" s="23">
        <f>'Annual Raw'!W86</f>
        <v>4344.6899999999996</v>
      </c>
      <c r="W149" s="23">
        <f>'Annual Raw'!X86</f>
        <v>4311.2</v>
      </c>
      <c r="X149" s="23">
        <f>'Annual Raw'!Y86</f>
        <v>0</v>
      </c>
      <c r="Y149" s="23">
        <f>'Annual Raw'!Z86</f>
        <v>5745.3</v>
      </c>
      <c r="Z149" s="23">
        <f>'Annual Raw'!AA86</f>
        <v>5958.53</v>
      </c>
      <c r="AA149" s="23">
        <f>'Annual Raw'!AB86</f>
        <v>7533.8</v>
      </c>
      <c r="AB149" s="24">
        <f t="shared" si="1264"/>
        <v>7533.8</v>
      </c>
      <c r="AC149" s="24">
        <f t="shared" si="1265"/>
        <v>7533.8</v>
      </c>
      <c r="AD149" s="24">
        <f t="shared" si="1266"/>
        <v>7533.8</v>
      </c>
      <c r="AE149" s="24">
        <f t="shared" si="1267"/>
        <v>7533.8</v>
      </c>
      <c r="AJ149" s="23">
        <f>+'QTR Raw'!D72</f>
        <v>18325.66</v>
      </c>
      <c r="AK149" s="23">
        <f>+AJ149</f>
        <v>18325.66</v>
      </c>
      <c r="AL149" s="23">
        <f>+'QTR Raw'!F72</f>
        <v>13064.98</v>
      </c>
      <c r="AM149" s="23">
        <f t="shared" ref="AK149:CE151" si="1286">+AL149</f>
        <v>13064.98</v>
      </c>
      <c r="AN149" s="23">
        <f>+'QTR Raw'!H72</f>
        <v>15980.22</v>
      </c>
      <c r="AO149" s="23">
        <f t="shared" si="1286"/>
        <v>15980.22</v>
      </c>
      <c r="AP149" s="23">
        <f>+'QTR Raw'!J72</f>
        <v>15748.8</v>
      </c>
      <c r="AQ149" s="23">
        <f t="shared" si="1286"/>
        <v>15748.8</v>
      </c>
      <c r="AR149" s="23">
        <f>+'QTR Raw'!L72</f>
        <v>15353.48</v>
      </c>
      <c r="AS149" s="23">
        <f t="shared" si="1286"/>
        <v>15353.48</v>
      </c>
      <c r="AT149" s="23">
        <f>+'QTR Raw'!N72</f>
        <v>13407.51</v>
      </c>
      <c r="AU149" s="23">
        <f t="shared" si="1286"/>
        <v>13407.51</v>
      </c>
      <c r="AV149" s="23">
        <f>+'QTR Raw'!P72</f>
        <v>14419.39</v>
      </c>
      <c r="AW149" s="23">
        <f t="shared" si="1286"/>
        <v>14419.39</v>
      </c>
      <c r="AX149" s="23">
        <f>+'QTR Raw'!R72</f>
        <v>4067.56</v>
      </c>
      <c r="AY149" s="23">
        <f t="shared" si="1286"/>
        <v>4067.56</v>
      </c>
      <c r="AZ149" s="23">
        <f>+'QTR Raw'!T72</f>
        <v>3715.71</v>
      </c>
      <c r="BA149" s="23">
        <f t="shared" si="1286"/>
        <v>3715.71</v>
      </c>
      <c r="BB149" s="23">
        <f>+'QTR Raw'!V72</f>
        <v>3494.73</v>
      </c>
      <c r="BC149" s="23">
        <f t="shared" si="1286"/>
        <v>3494.73</v>
      </c>
      <c r="BD149" s="23">
        <f>+'QTR Raw'!X72</f>
        <v>3755.26</v>
      </c>
      <c r="BE149" s="23">
        <f t="shared" si="1286"/>
        <v>3755.26</v>
      </c>
      <c r="BF149" s="23">
        <f>+'QTR Raw'!Z72</f>
        <v>4099.45</v>
      </c>
      <c r="BG149" s="23">
        <f t="shared" si="1286"/>
        <v>4099.45</v>
      </c>
      <c r="BH149" s="23">
        <f>+'QTR Raw'!AB72</f>
        <v>4190.82</v>
      </c>
      <c r="BI149" s="23">
        <f t="shared" si="1286"/>
        <v>4190.82</v>
      </c>
      <c r="BJ149" s="23">
        <f>+'QTR Raw'!AD72</f>
        <v>3996.62</v>
      </c>
      <c r="BK149" s="23">
        <f t="shared" si="1286"/>
        <v>3996.62</v>
      </c>
      <c r="BL149" s="23">
        <f>+'QTR Raw'!AF72</f>
        <v>3870.28</v>
      </c>
      <c r="BM149" s="23">
        <f t="shared" si="1286"/>
        <v>3870.28</v>
      </c>
      <c r="BN149" s="23">
        <f>+'QTR Raw'!AH72</f>
        <v>4054.53</v>
      </c>
      <c r="BO149" s="23">
        <f t="shared" si="1286"/>
        <v>4054.53</v>
      </c>
      <c r="BP149" s="23">
        <f>+'QTR Raw'!AJ72</f>
        <v>4104.17</v>
      </c>
      <c r="BQ149" s="23">
        <f t="shared" si="1286"/>
        <v>4104.17</v>
      </c>
      <c r="BR149" s="23">
        <f>+'QTR Raw'!AL72</f>
        <v>4344.6899999999996</v>
      </c>
      <c r="BS149" s="23">
        <f t="shared" si="1286"/>
        <v>4344.6899999999996</v>
      </c>
      <c r="BT149" s="23">
        <f>+'QTR Raw'!AN72</f>
        <v>4314.0600000000004</v>
      </c>
      <c r="BU149" s="23">
        <f t="shared" si="1286"/>
        <v>4314.0600000000004</v>
      </c>
      <c r="BV149" s="23">
        <f>+'QTR Raw'!AP72</f>
        <v>4311.2</v>
      </c>
      <c r="BW149" s="23">
        <f t="shared" si="1286"/>
        <v>4311.2</v>
      </c>
      <c r="BX149" s="23">
        <f>+'QTR Raw'!AR72</f>
        <v>5183.0200000000004</v>
      </c>
      <c r="BY149" s="23">
        <f t="shared" si="1286"/>
        <v>5183.0200000000004</v>
      </c>
      <c r="BZ149" s="23">
        <f>+'QTR Raw'!AT72</f>
        <v>5601.65</v>
      </c>
      <c r="CA149" s="23">
        <f t="shared" si="1286"/>
        <v>5601.65</v>
      </c>
      <c r="CB149" s="23">
        <f>+'QTR Raw'!AV72</f>
        <v>5605.88</v>
      </c>
      <c r="CC149" s="23">
        <f t="shared" si="1286"/>
        <v>5605.88</v>
      </c>
      <c r="CD149" s="23">
        <f>+'QTR Raw'!AX72</f>
        <v>5745.3</v>
      </c>
      <c r="CE149" s="23">
        <f t="shared" si="1286"/>
        <v>5745.3</v>
      </c>
      <c r="CF149" s="23">
        <f>+'QTR Raw'!AZ72</f>
        <v>6031.57</v>
      </c>
      <c r="CG149" s="23">
        <f t="shared" si="1284"/>
        <v>6031.57</v>
      </c>
      <c r="CH149" s="23">
        <f t="shared" si="1268"/>
        <v>5958.53</v>
      </c>
      <c r="CI149" s="23">
        <f t="shared" si="1284"/>
        <v>5958.53</v>
      </c>
      <c r="CJ149" s="23">
        <f>+'QTR Raw'!BD72</f>
        <v>6319.5</v>
      </c>
      <c r="CK149" s="23">
        <f t="shared" ref="CK149:CK150" si="1287">+CJ149</f>
        <v>6319.5</v>
      </c>
      <c r="CL149" s="23">
        <f>+'QTR Raw'!BF72</f>
        <v>7533.8</v>
      </c>
      <c r="CM149" s="24">
        <f t="shared" ref="CM149:CM150" si="1288">+CL149</f>
        <v>7533.8</v>
      </c>
      <c r="CN149" s="24">
        <f t="shared" ref="CN149:CN150" si="1289">+CM149</f>
        <v>7533.8</v>
      </c>
      <c r="CO149" s="24">
        <f t="shared" ref="CO149:CO150" si="1290">+CN149</f>
        <v>7533.8</v>
      </c>
      <c r="CP149" s="24">
        <f t="shared" ref="CP149:CP150" si="1291">+CO149</f>
        <v>7533.8</v>
      </c>
      <c r="CQ149" s="24">
        <f t="shared" ref="CQ149:CQ150" si="1292">+CP149</f>
        <v>7533.8</v>
      </c>
      <c r="CR149" s="24">
        <f t="shared" ref="CR149:CR150" si="1293">+CQ149</f>
        <v>7533.8</v>
      </c>
      <c r="CS149" s="24">
        <f t="shared" ref="CS149:CS150" si="1294">+CR149</f>
        <v>7533.8</v>
      </c>
      <c r="CT149" s="24">
        <f t="shared" ref="CT149:CT150" si="1295">+CS149</f>
        <v>7533.8</v>
      </c>
      <c r="CU149" s="24">
        <f t="shared" ref="CU149:CU151" si="1296">+CT149</f>
        <v>7533.8</v>
      </c>
      <c r="CV149" s="24">
        <f t="shared" ref="CV149:CV151" si="1297">+CU149</f>
        <v>7533.8</v>
      </c>
      <c r="CW149" s="24">
        <f t="shared" ref="CW149:CW151" si="1298">+CV149</f>
        <v>7533.8</v>
      </c>
      <c r="CX149" s="24">
        <f t="shared" ref="CX149:CX151" si="1299">+CW149</f>
        <v>7533.8</v>
      </c>
      <c r="CY149" s="24">
        <f t="shared" ref="CY149:CY151" si="1300">+CX149</f>
        <v>7533.8</v>
      </c>
      <c r="CZ149" s="24">
        <f t="shared" ref="CZ149:CZ151" si="1301">+CY149</f>
        <v>7533.8</v>
      </c>
      <c r="DA149" s="24">
        <f t="shared" ref="DA149:DA151" si="1302">+CZ149</f>
        <v>7533.8</v>
      </c>
      <c r="DB149" s="24">
        <f t="shared" ref="DB149:DB151" si="1303">+DA149</f>
        <v>7533.8</v>
      </c>
      <c r="DE149" s="123"/>
      <c r="DF149" s="23">
        <v>6319.5</v>
      </c>
    </row>
    <row r="150" spans="1:110" s="23" customFormat="1" outlineLevel="1" x14ac:dyDescent="0.2">
      <c r="A150" s="23" t="s">
        <v>55</v>
      </c>
      <c r="B150" s="23">
        <f>'Annual Raw'!C68</f>
        <v>0</v>
      </c>
      <c r="C150" s="23">
        <f>'Annual Raw'!D68</f>
        <v>0</v>
      </c>
      <c r="D150" s="23">
        <f>'Annual Raw'!E68</f>
        <v>0</v>
      </c>
      <c r="E150" s="23">
        <f>'Annual Raw'!F68</f>
        <v>0</v>
      </c>
      <c r="F150" s="23">
        <f>'Annual Raw'!G68</f>
        <v>0</v>
      </c>
      <c r="G150" s="23">
        <f>'Annual Raw'!H68</f>
        <v>0</v>
      </c>
      <c r="H150" s="23">
        <f>'Annual Raw'!I68</f>
        <v>0</v>
      </c>
      <c r="I150" s="23">
        <f>'Annual Raw'!J68</f>
        <v>0</v>
      </c>
      <c r="J150" s="23">
        <f>'Annual Raw'!K68</f>
        <v>0</v>
      </c>
      <c r="K150" s="23">
        <f>'Annual Raw'!L68</f>
        <v>0</v>
      </c>
      <c r="L150" s="23">
        <f>'Annual Raw'!M68</f>
        <v>0.88</v>
      </c>
      <c r="M150" s="23">
        <f>'Annual Raw'!N68</f>
        <v>168.06</v>
      </c>
      <c r="N150" s="23">
        <f>'Annual Raw'!O68</f>
        <v>490.47</v>
      </c>
      <c r="O150" s="23">
        <f>'Annual Raw'!P68</f>
        <v>866.1</v>
      </c>
      <c r="P150" s="23">
        <f>'Annual Raw'!Q68</f>
        <v>841.01</v>
      </c>
      <c r="Q150" s="23">
        <f>'Annual Raw'!R68</f>
        <v>202.77</v>
      </c>
      <c r="R150" s="23">
        <f>'Annual Raw'!S68</f>
        <v>269.76</v>
      </c>
      <c r="S150" s="23">
        <f>'Annual Raw'!T68</f>
        <v>454.61</v>
      </c>
      <c r="T150" s="23">
        <f>'Annual Raw'!U68</f>
        <v>684.7</v>
      </c>
      <c r="U150" s="23">
        <f>'Annual Raw'!V68</f>
        <v>634.77</v>
      </c>
      <c r="V150" s="23">
        <f>'Annual Raw'!W68</f>
        <v>878.66</v>
      </c>
      <c r="W150" s="23">
        <f>'Annual Raw'!X68</f>
        <v>817.93</v>
      </c>
      <c r="X150" s="23">
        <f>'Annual Raw'!Y68</f>
        <v>905.12</v>
      </c>
      <c r="Y150" s="23">
        <f>'Annual Raw'!Z68</f>
        <v>985.34</v>
      </c>
      <c r="Z150" s="23">
        <f>'Annual Raw'!AA68</f>
        <v>1020.47</v>
      </c>
      <c r="AA150" s="23">
        <f>'Annual Raw'!AB68</f>
        <v>986.42</v>
      </c>
      <c r="AB150" s="24">
        <f t="shared" si="1264"/>
        <v>0</v>
      </c>
      <c r="AC150" s="24">
        <f t="shared" si="1265"/>
        <v>0</v>
      </c>
      <c r="AD150" s="24">
        <f t="shared" si="1266"/>
        <v>0</v>
      </c>
      <c r="AE150" s="24">
        <f t="shared" si="1267"/>
        <v>0</v>
      </c>
      <c r="AK150" s="23">
        <f t="shared" si="1286"/>
        <v>0</v>
      </c>
      <c r="AM150" s="23">
        <f t="shared" si="1286"/>
        <v>0</v>
      </c>
      <c r="AO150" s="23">
        <f t="shared" si="1286"/>
        <v>0</v>
      </c>
      <c r="AQ150" s="23">
        <f t="shared" si="1286"/>
        <v>0</v>
      </c>
      <c r="AS150" s="23">
        <f t="shared" si="1286"/>
        <v>0</v>
      </c>
      <c r="AU150" s="23">
        <f t="shared" si="1286"/>
        <v>0</v>
      </c>
      <c r="AW150" s="23">
        <f t="shared" si="1286"/>
        <v>0</v>
      </c>
      <c r="AY150" s="23">
        <f t="shared" si="1286"/>
        <v>0</v>
      </c>
      <c r="BA150" s="23">
        <f t="shared" si="1286"/>
        <v>0</v>
      </c>
      <c r="BC150" s="23">
        <f t="shared" si="1286"/>
        <v>0</v>
      </c>
      <c r="BE150" s="23">
        <f t="shared" si="1286"/>
        <v>0</v>
      </c>
      <c r="BG150" s="23">
        <f t="shared" si="1286"/>
        <v>0</v>
      </c>
      <c r="BI150" s="23">
        <f t="shared" si="1286"/>
        <v>0</v>
      </c>
      <c r="BK150" s="23">
        <f t="shared" si="1286"/>
        <v>0</v>
      </c>
      <c r="BM150" s="23">
        <f t="shared" si="1286"/>
        <v>0</v>
      </c>
      <c r="BO150" s="23">
        <f t="shared" si="1286"/>
        <v>0</v>
      </c>
      <c r="BQ150" s="23">
        <f t="shared" si="1286"/>
        <v>0</v>
      </c>
      <c r="BS150" s="23">
        <f t="shared" si="1286"/>
        <v>0</v>
      </c>
      <c r="BU150" s="23">
        <f t="shared" si="1286"/>
        <v>0</v>
      </c>
      <c r="BW150" s="23">
        <f t="shared" si="1286"/>
        <v>0</v>
      </c>
      <c r="BY150" s="23">
        <f t="shared" si="1286"/>
        <v>0</v>
      </c>
      <c r="CA150" s="23">
        <f t="shared" si="1286"/>
        <v>0</v>
      </c>
      <c r="CC150" s="23">
        <f t="shared" si="1286"/>
        <v>0</v>
      </c>
      <c r="CE150" s="23">
        <f t="shared" si="1286"/>
        <v>0</v>
      </c>
      <c r="CG150" s="23">
        <f t="shared" si="1284"/>
        <v>0</v>
      </c>
      <c r="CH150" s="23">
        <f t="shared" si="1268"/>
        <v>1020.47</v>
      </c>
      <c r="CI150" s="23">
        <f t="shared" si="1284"/>
        <v>1020.47</v>
      </c>
      <c r="CK150" s="23">
        <f t="shared" si="1287"/>
        <v>0</v>
      </c>
      <c r="CM150" s="24">
        <f t="shared" si="1288"/>
        <v>0</v>
      </c>
      <c r="CN150" s="24">
        <f t="shared" si="1289"/>
        <v>0</v>
      </c>
      <c r="CO150" s="24">
        <f t="shared" si="1290"/>
        <v>0</v>
      </c>
      <c r="CP150" s="24">
        <f t="shared" si="1291"/>
        <v>0</v>
      </c>
      <c r="CQ150" s="24">
        <f t="shared" si="1292"/>
        <v>0</v>
      </c>
      <c r="CR150" s="24">
        <f t="shared" si="1293"/>
        <v>0</v>
      </c>
      <c r="CS150" s="24">
        <f t="shared" si="1294"/>
        <v>0</v>
      </c>
      <c r="CT150" s="24">
        <f t="shared" si="1295"/>
        <v>0</v>
      </c>
      <c r="CU150" s="24">
        <f t="shared" si="1296"/>
        <v>0</v>
      </c>
      <c r="CV150" s="24">
        <f t="shared" si="1297"/>
        <v>0</v>
      </c>
      <c r="CW150" s="24">
        <f t="shared" si="1298"/>
        <v>0</v>
      </c>
      <c r="CX150" s="24">
        <f t="shared" si="1299"/>
        <v>0</v>
      </c>
      <c r="CY150" s="24">
        <f t="shared" si="1300"/>
        <v>0</v>
      </c>
      <c r="CZ150" s="24">
        <f t="shared" si="1301"/>
        <v>0</v>
      </c>
      <c r="DA150" s="24">
        <f t="shared" si="1302"/>
        <v>0</v>
      </c>
      <c r="DB150" s="24">
        <f t="shared" si="1303"/>
        <v>0</v>
      </c>
      <c r="DE150" s="123"/>
      <c r="DF150" s="23">
        <v>0</v>
      </c>
    </row>
    <row r="151" spans="1:110" s="23" customFormat="1" outlineLevel="1" x14ac:dyDescent="0.2">
      <c r="A151" s="23" t="s">
        <v>56</v>
      </c>
      <c r="B151" s="23">
        <f>'Annual Raw'!C67+'Annual Raw'!C66+'Annual Raw'!C69+'Annual Raw'!C70</f>
        <v>0</v>
      </c>
      <c r="C151" s="23">
        <f>'Annual Raw'!D67+'Annual Raw'!D66+'Annual Raw'!D69+'Annual Raw'!D70</f>
        <v>0</v>
      </c>
      <c r="D151" s="23">
        <f>'Annual Raw'!E67+'Annual Raw'!E66+'Annual Raw'!E69+'Annual Raw'!E70</f>
        <v>0</v>
      </c>
      <c r="E151" s="23">
        <f>'Annual Raw'!F67+'Annual Raw'!F66+'Annual Raw'!F69+'Annual Raw'!F70</f>
        <v>0</v>
      </c>
      <c r="F151" s="23">
        <f>'Annual Raw'!G67+'Annual Raw'!G66+'Annual Raw'!G69+'Annual Raw'!G70</f>
        <v>0</v>
      </c>
      <c r="G151" s="23">
        <f>'Annual Raw'!H67+'Annual Raw'!H66+'Annual Raw'!H69+'Annual Raw'!H70</f>
        <v>1357.41</v>
      </c>
      <c r="H151" s="23">
        <f>'Annual Raw'!I67+'Annual Raw'!I66+'Annual Raw'!I69+'Annual Raw'!I70</f>
        <v>3326.37</v>
      </c>
      <c r="I151" s="23">
        <f>'Annual Raw'!J67+'Annual Raw'!J66+'Annual Raw'!J69+'Annual Raw'!J70</f>
        <v>8847.56</v>
      </c>
      <c r="J151" s="23">
        <f>'Annual Raw'!K67+'Annual Raw'!K66+'Annual Raw'!K69+'Annual Raw'!K70</f>
        <v>8888.32</v>
      </c>
      <c r="K151" s="23">
        <f>'Annual Raw'!L67+'Annual Raw'!L66+'Annual Raw'!L69+'Annual Raw'!L70</f>
        <v>9270.64</v>
      </c>
      <c r="L151" s="23">
        <f>'Annual Raw'!M67+'Annual Raw'!M66+'Annual Raw'!M69+'Annual Raw'!M70</f>
        <v>13550.83</v>
      </c>
      <c r="M151" s="23">
        <f>'Annual Raw'!N67+'Annual Raw'!N66+'Annual Raw'!N69+'Annual Raw'!N70</f>
        <v>20027.97</v>
      </c>
      <c r="N151" s="23">
        <f>'Annual Raw'!O67+'Annual Raw'!O66+'Annual Raw'!O69+'Annual Raw'!O70</f>
        <v>13786.15</v>
      </c>
      <c r="O151" s="23">
        <f>'Annual Raw'!P67+'Annual Raw'!P66+'Annual Raw'!P69+'Annual Raw'!P70</f>
        <v>25956.35</v>
      </c>
      <c r="P151" s="23">
        <f>'Annual Raw'!Q67+'Annual Raw'!Q66+'Annual Raw'!Q69+'Annual Raw'!Q70</f>
        <v>27837.11</v>
      </c>
      <c r="Q151" s="23">
        <f>'Annual Raw'!R67+'Annual Raw'!R66+'Annual Raw'!R69+'Annual Raw'!R70</f>
        <v>35793.32</v>
      </c>
      <c r="R151" s="23">
        <f>'Annual Raw'!S67+'Annual Raw'!S66+'Annual Raw'!S69+'Annual Raw'!S70</f>
        <v>15514.37</v>
      </c>
      <c r="S151" s="23">
        <f>'Annual Raw'!T67+'Annual Raw'!T66+'Annual Raw'!T69+'Annual Raw'!T70</f>
        <v>16159.8</v>
      </c>
      <c r="T151" s="23">
        <f>'Annual Raw'!U67+'Annual Raw'!U66+'Annual Raw'!U69+'Annual Raw'!U70</f>
        <v>17956.509999999998</v>
      </c>
      <c r="U151" s="23">
        <f>'Annual Raw'!V67+'Annual Raw'!V66+'Annual Raw'!V69+'Annual Raw'!V70</f>
        <v>18862.060000000001</v>
      </c>
      <c r="V151" s="23">
        <f>'Annual Raw'!W67+'Annual Raw'!W66+'Annual Raw'!W69+'Annual Raw'!W70</f>
        <v>18128.740000000002</v>
      </c>
      <c r="W151" s="23">
        <f>'Annual Raw'!X67+'Annual Raw'!X66+'Annual Raw'!X69+'Annual Raw'!X70</f>
        <v>21227.62</v>
      </c>
      <c r="X151" s="23">
        <f>'Annual Raw'!Y67+'Annual Raw'!Y66+'Annual Raw'!Y69+'Annual Raw'!Y70</f>
        <v>30307.9</v>
      </c>
      <c r="Y151" s="23">
        <f>'Annual Raw'!Z67+'Annual Raw'!Z66+'Annual Raw'!Z69+'Annual Raw'!Z70</f>
        <v>33370.19</v>
      </c>
      <c r="Z151" s="23">
        <f>'Annual Raw'!AA67+'Annual Raw'!AA66+'Annual Raw'!AA69+'Annual Raw'!AA70</f>
        <v>40601.879999999997</v>
      </c>
      <c r="AA151" s="23">
        <f>'Annual Raw'!AB67+'Annual Raw'!AB66+'Annual Raw'!AB69+'Annual Raw'!AB70</f>
        <v>27510.29</v>
      </c>
      <c r="AB151" s="24">
        <f t="shared" si="1264"/>
        <v>51510.29</v>
      </c>
      <c r="AC151" s="24">
        <f t="shared" si="1265"/>
        <v>71510.290000000008</v>
      </c>
      <c r="AD151" s="24">
        <f t="shared" si="1266"/>
        <v>71510.290000000008</v>
      </c>
      <c r="AE151" s="24">
        <f t="shared" si="1267"/>
        <v>71510.290000000008</v>
      </c>
      <c r="AJ151" s="23">
        <f>+'QTR Raw'!D74+'QTR Raw'!D75</f>
        <v>0</v>
      </c>
      <c r="AK151" s="23">
        <f t="shared" si="1286"/>
        <v>0</v>
      </c>
      <c r="AL151" s="23">
        <f>+'QTR Raw'!F74+'QTR Raw'!F75</f>
        <v>0</v>
      </c>
      <c r="AM151" s="23">
        <f t="shared" si="1286"/>
        <v>0</v>
      </c>
      <c r="AN151" s="23">
        <f>+'QTR Raw'!H74+'QTR Raw'!H75</f>
        <v>0</v>
      </c>
      <c r="AO151" s="23">
        <f t="shared" si="1286"/>
        <v>0</v>
      </c>
      <c r="AP151" s="23">
        <f>+'QTR Raw'!J74+'QTR Raw'!J75</f>
        <v>0</v>
      </c>
      <c r="AQ151" s="23">
        <f t="shared" si="1286"/>
        <v>0</v>
      </c>
      <c r="AR151" s="23">
        <f>+'QTR Raw'!L74+'QTR Raw'!L75</f>
        <v>0</v>
      </c>
      <c r="AS151" s="23">
        <f t="shared" si="1286"/>
        <v>0</v>
      </c>
      <c r="AT151" s="23">
        <f>+'QTR Raw'!N74+'QTR Raw'!N75</f>
        <v>0</v>
      </c>
      <c r="AU151" s="23">
        <f t="shared" si="1286"/>
        <v>0</v>
      </c>
      <c r="AV151" s="23">
        <f>+'QTR Raw'!P74+'QTR Raw'!P75</f>
        <v>0</v>
      </c>
      <c r="AW151" s="23">
        <f t="shared" si="1286"/>
        <v>0</v>
      </c>
      <c r="AX151" s="23">
        <f>+'QTR Raw'!R74+'QTR Raw'!R75</f>
        <v>35793.32</v>
      </c>
      <c r="AY151" s="23">
        <f t="shared" si="1286"/>
        <v>35793.32</v>
      </c>
      <c r="AZ151" s="23">
        <f>+'QTR Raw'!T74+'QTR Raw'!T75</f>
        <v>15299.87</v>
      </c>
      <c r="BA151" s="23">
        <f t="shared" si="1286"/>
        <v>15299.87</v>
      </c>
      <c r="BB151" s="23">
        <f>+'QTR Raw'!V74+'QTR Raw'!V75</f>
        <v>15514.37</v>
      </c>
      <c r="BC151" s="23">
        <f t="shared" si="1286"/>
        <v>15514.37</v>
      </c>
      <c r="BD151" s="23">
        <f>+'QTR Raw'!X74+'QTR Raw'!X75</f>
        <v>15478.75</v>
      </c>
      <c r="BE151" s="23">
        <f t="shared" si="1286"/>
        <v>15478.75</v>
      </c>
      <c r="BF151" s="23">
        <f>+'QTR Raw'!Z74+'QTR Raw'!Z75</f>
        <v>16159.8</v>
      </c>
      <c r="BG151" s="23">
        <f t="shared" si="1286"/>
        <v>16159.8</v>
      </c>
      <c r="BH151" s="23">
        <f>+'QTR Raw'!AB74+'QTR Raw'!AB75</f>
        <v>19047.55</v>
      </c>
      <c r="BI151" s="23">
        <f t="shared" si="1286"/>
        <v>19047.55</v>
      </c>
      <c r="BJ151" s="23">
        <f>+'QTR Raw'!AD74+'QTR Raw'!AD75</f>
        <v>17956.509999999998</v>
      </c>
      <c r="BK151" s="23">
        <f t="shared" si="1286"/>
        <v>17956.509999999998</v>
      </c>
      <c r="BL151" s="23">
        <f>+'QTR Raw'!AF74+'QTR Raw'!AF75</f>
        <v>17359.25</v>
      </c>
      <c r="BM151" s="23">
        <f t="shared" si="1286"/>
        <v>17359.25</v>
      </c>
      <c r="BN151" s="23">
        <f>+'QTR Raw'!AH74+'QTR Raw'!AH75</f>
        <v>18862.060000000001</v>
      </c>
      <c r="BO151" s="23">
        <f t="shared" si="1286"/>
        <v>18862.060000000001</v>
      </c>
      <c r="BP151" s="23">
        <f>+'QTR Raw'!AJ74+'QTR Raw'!AJ75</f>
        <v>17228.64</v>
      </c>
      <c r="BQ151" s="23">
        <f t="shared" si="1286"/>
        <v>17228.64</v>
      </c>
      <c r="BR151" s="23">
        <f>+'QTR Raw'!AL74+'QTR Raw'!AL75</f>
        <v>18128.740000000002</v>
      </c>
      <c r="BS151" s="23">
        <f t="shared" si="1286"/>
        <v>18128.740000000002</v>
      </c>
      <c r="BT151" s="23">
        <f>+'QTR Raw'!AN74+'QTR Raw'!AN75</f>
        <v>19825.580000000002</v>
      </c>
      <c r="BU151" s="23">
        <f t="shared" si="1286"/>
        <v>19825.580000000002</v>
      </c>
      <c r="BV151" s="23">
        <f>+'QTR Raw'!AP74+'QTR Raw'!AP75</f>
        <v>21227.62</v>
      </c>
      <c r="BW151" s="23">
        <f t="shared" si="1286"/>
        <v>21227.62</v>
      </c>
      <c r="BX151" s="23">
        <f>+'QTR Raw'!AR74+'QTR Raw'!AR75</f>
        <v>25341.22</v>
      </c>
      <c r="BY151" s="23">
        <f t="shared" si="1286"/>
        <v>25341.22</v>
      </c>
      <c r="BZ151" s="23">
        <f>+'QTR Raw'!AT74+'QTR Raw'!AT75</f>
        <v>30307.9</v>
      </c>
      <c r="CA151" s="23">
        <f t="shared" si="1286"/>
        <v>30307.9</v>
      </c>
      <c r="CB151" s="23">
        <f>+'QTR Raw'!AV74+'QTR Raw'!AV75</f>
        <v>35761.11</v>
      </c>
      <c r="CC151" s="23">
        <f t="shared" si="1286"/>
        <v>35761.11</v>
      </c>
      <c r="CD151" s="23">
        <f>+'QTR Raw'!AX74+'QTR Raw'!AX75</f>
        <v>33370.19</v>
      </c>
      <c r="CE151" s="23">
        <f t="shared" si="1286"/>
        <v>33370.19</v>
      </c>
      <c r="CF151" s="23">
        <f>+'QTR Raw'!AZ74+'QTR Raw'!AZ75</f>
        <v>39050.92</v>
      </c>
      <c r="CG151" s="23">
        <f t="shared" si="1284"/>
        <v>39050.92</v>
      </c>
      <c r="CH151" s="23">
        <f t="shared" si="1268"/>
        <v>40601.879999999997</v>
      </c>
      <c r="CI151" s="23">
        <f t="shared" si="1284"/>
        <v>40601.879999999997</v>
      </c>
      <c r="CJ151" s="23">
        <f>+'QTR Raw'!BD74+'QTR Raw'!BD75</f>
        <v>33152.230000000003</v>
      </c>
      <c r="CK151" s="23">
        <f>+CJ151+5000</f>
        <v>38152.230000000003</v>
      </c>
      <c r="CL151" s="23">
        <f>+'QTR Raw'!BF74+'QTR Raw'!BF75</f>
        <v>27510.29</v>
      </c>
      <c r="CM151" s="24">
        <f>+CL151+6000</f>
        <v>33510.29</v>
      </c>
      <c r="CN151" s="24">
        <f t="shared" ref="CN151:CP151" si="1304">+CM151+6000</f>
        <v>39510.29</v>
      </c>
      <c r="CO151" s="24">
        <f t="shared" si="1304"/>
        <v>45510.29</v>
      </c>
      <c r="CP151" s="24">
        <f t="shared" si="1304"/>
        <v>51510.29</v>
      </c>
      <c r="CQ151" s="24">
        <f>+CP151+5000</f>
        <v>56510.29</v>
      </c>
      <c r="CR151" s="24">
        <f t="shared" ref="CR151:CT151" si="1305">+CQ151+5000</f>
        <v>61510.29</v>
      </c>
      <c r="CS151" s="24">
        <f t="shared" si="1305"/>
        <v>66510.290000000008</v>
      </c>
      <c r="CT151" s="24">
        <f t="shared" si="1305"/>
        <v>71510.290000000008</v>
      </c>
      <c r="CU151" s="24">
        <f t="shared" si="1296"/>
        <v>71510.290000000008</v>
      </c>
      <c r="CV151" s="24">
        <f t="shared" si="1297"/>
        <v>71510.290000000008</v>
      </c>
      <c r="CW151" s="24">
        <f t="shared" si="1298"/>
        <v>71510.290000000008</v>
      </c>
      <c r="CX151" s="24">
        <f t="shared" si="1299"/>
        <v>71510.290000000008</v>
      </c>
      <c r="CY151" s="24">
        <f t="shared" si="1300"/>
        <v>71510.290000000008</v>
      </c>
      <c r="CZ151" s="24">
        <f t="shared" si="1301"/>
        <v>71510.290000000008</v>
      </c>
      <c r="DA151" s="24">
        <f t="shared" si="1302"/>
        <v>71510.290000000008</v>
      </c>
      <c r="DB151" s="24">
        <f t="shared" si="1303"/>
        <v>71510.290000000008</v>
      </c>
      <c r="DE151" s="123"/>
      <c r="DF151" s="23">
        <v>43152.23</v>
      </c>
    </row>
    <row r="152" spans="1:110" s="22" customFormat="1" x14ac:dyDescent="0.2">
      <c r="A152" s="22" t="s">
        <v>57</v>
      </c>
      <c r="B152" s="22">
        <f>B148+B151+B150</f>
        <v>7538.09</v>
      </c>
      <c r="C152" s="22">
        <f t="shared" ref="C152:D152" si="1306">C148+C151+C150</f>
        <v>7773.92</v>
      </c>
      <c r="D152" s="22">
        <f t="shared" si="1306"/>
        <v>7660.49</v>
      </c>
      <c r="E152" s="22">
        <f t="shared" ref="E152:Y152" si="1307">E148+E151+E150+E149</f>
        <v>8017.64</v>
      </c>
      <c r="F152" s="22">
        <f t="shared" si="1307"/>
        <v>9818.92</v>
      </c>
      <c r="G152" s="22">
        <f t="shared" si="1307"/>
        <v>10902.1</v>
      </c>
      <c r="H152" s="22">
        <f t="shared" si="1307"/>
        <v>14440.189999999999</v>
      </c>
      <c r="I152" s="22">
        <f t="shared" si="1307"/>
        <v>60016.250000000007</v>
      </c>
      <c r="J152" s="22">
        <f t="shared" si="1307"/>
        <v>60670.78</v>
      </c>
      <c r="K152" s="22">
        <f t="shared" si="1307"/>
        <v>60337.65</v>
      </c>
      <c r="L152" s="22">
        <f t="shared" si="1307"/>
        <v>65417.540000000008</v>
      </c>
      <c r="M152" s="22">
        <f t="shared" si="1307"/>
        <v>79482.900000000009</v>
      </c>
      <c r="N152" s="22">
        <f t="shared" si="1307"/>
        <v>82278.219999999987</v>
      </c>
      <c r="O152" s="22">
        <f t="shared" si="1307"/>
        <v>101729.38000000002</v>
      </c>
      <c r="P152" s="22">
        <f t="shared" si="1307"/>
        <v>96778.449999999983</v>
      </c>
      <c r="Q152" s="22">
        <f t="shared" si="1307"/>
        <v>108195.85000000002</v>
      </c>
      <c r="R152" s="22">
        <f t="shared" si="1307"/>
        <v>107790.67999999998</v>
      </c>
      <c r="S152" s="22">
        <f t="shared" si="1307"/>
        <v>112719.29999999997</v>
      </c>
      <c r="T152" s="22">
        <f t="shared" si="1307"/>
        <v>143083.12</v>
      </c>
      <c r="U152" s="22">
        <f t="shared" si="1307"/>
        <v>154047.49000000002</v>
      </c>
      <c r="V152" s="22">
        <f t="shared" si="1307"/>
        <v>154782.58000000002</v>
      </c>
      <c r="W152" s="22">
        <f t="shared" si="1307"/>
        <v>155333.38</v>
      </c>
      <c r="X152" s="22">
        <f t="shared" si="1307"/>
        <v>177834.48</v>
      </c>
      <c r="Y152" s="22">
        <f t="shared" si="1307"/>
        <v>183169.91</v>
      </c>
      <c r="Z152" s="22">
        <f>Z148+Z151+Z150+Z149</f>
        <v>192536.41</v>
      </c>
      <c r="AA152" s="22">
        <f>AA148+AA151+AA150+AA149</f>
        <v>208404.84</v>
      </c>
      <c r="AB152" s="161">
        <f t="shared" ref="AB152:AE152" si="1308">AB148+AB151+AB150+AB149</f>
        <v>213149.25792321443</v>
      </c>
      <c r="AC152" s="161">
        <f t="shared" si="1308"/>
        <v>225541.42575050992</v>
      </c>
      <c r="AD152" s="161">
        <f t="shared" si="1308"/>
        <v>212795.01395111089</v>
      </c>
      <c r="AE152" s="161">
        <f t="shared" si="1308"/>
        <v>201157.63947943877</v>
      </c>
      <c r="AJ152" s="22">
        <f t="shared" ref="AJ152" si="1309">AJ148+AJ151+AJ149+AJ150</f>
        <v>85866.53</v>
      </c>
      <c r="AK152" s="22">
        <f t="shared" ref="AK152" si="1310">AK148+AK151+AK149+AK150</f>
        <v>85866.53</v>
      </c>
      <c r="AL152" s="22">
        <f t="shared" ref="AL152:AM152" si="1311">AL148+AL151+AL149+AL150</f>
        <v>82278.22</v>
      </c>
      <c r="AM152" s="22">
        <f t="shared" si="1311"/>
        <v>82278.22</v>
      </c>
      <c r="AN152" s="22">
        <f t="shared" ref="AN152:AO152" si="1312">AN148+AN151+AN149+AN150</f>
        <v>97056.62</v>
      </c>
      <c r="AO152" s="22">
        <f t="shared" si="1312"/>
        <v>97056.62</v>
      </c>
      <c r="AP152" s="22">
        <f t="shared" ref="AP152:CE152" si="1313">AP148+AP151+AP149+AP150</f>
        <v>101729.38</v>
      </c>
      <c r="AQ152" s="22">
        <f t="shared" si="1313"/>
        <v>101729.38</v>
      </c>
      <c r="AR152" s="22">
        <f t="shared" si="1313"/>
        <v>101355.65</v>
      </c>
      <c r="AS152" s="22">
        <f t="shared" si="1313"/>
        <v>101355.65</v>
      </c>
      <c r="AT152" s="22">
        <f t="shared" si="1313"/>
        <v>96778.45</v>
      </c>
      <c r="AU152" s="22">
        <f t="shared" si="1313"/>
        <v>96778.45</v>
      </c>
      <c r="AV152" s="22">
        <f t="shared" si="1313"/>
        <v>94576.12</v>
      </c>
      <c r="AW152" s="22">
        <f t="shared" si="1313"/>
        <v>94576.12</v>
      </c>
      <c r="AX152" s="22">
        <f t="shared" si="1313"/>
        <v>108195.85</v>
      </c>
      <c r="AY152" s="22">
        <f t="shared" si="1313"/>
        <v>108195.85</v>
      </c>
      <c r="AZ152" s="22">
        <f t="shared" si="1313"/>
        <v>108828.99</v>
      </c>
      <c r="BA152" s="22">
        <f t="shared" si="1313"/>
        <v>108828.99</v>
      </c>
      <c r="BB152" s="22">
        <f t="shared" si="1313"/>
        <v>107790.68</v>
      </c>
      <c r="BC152" s="22">
        <f t="shared" si="1313"/>
        <v>107790.68</v>
      </c>
      <c r="BD152" s="22">
        <f t="shared" si="1313"/>
        <v>109898.09</v>
      </c>
      <c r="BE152" s="22">
        <f t="shared" si="1313"/>
        <v>109898.09</v>
      </c>
      <c r="BF152" s="22">
        <f t="shared" si="1313"/>
        <v>112719.3</v>
      </c>
      <c r="BG152" s="22">
        <f t="shared" si="1313"/>
        <v>112719.3</v>
      </c>
      <c r="BH152" s="22">
        <f t="shared" si="1313"/>
        <v>146205.69</v>
      </c>
      <c r="BI152" s="22">
        <f t="shared" si="1313"/>
        <v>146205.69</v>
      </c>
      <c r="BJ152" s="22">
        <f t="shared" si="1313"/>
        <v>143083.12</v>
      </c>
      <c r="BK152" s="22">
        <f t="shared" si="1313"/>
        <v>143083.12</v>
      </c>
      <c r="BL152" s="22">
        <f t="shared" si="1313"/>
        <v>145084.98000000001</v>
      </c>
      <c r="BM152" s="22">
        <f t="shared" si="1313"/>
        <v>145084.98000000001</v>
      </c>
      <c r="BN152" s="22">
        <f t="shared" si="1313"/>
        <v>145497.71</v>
      </c>
      <c r="BO152" s="22">
        <f t="shared" si="1313"/>
        <v>145497.71</v>
      </c>
      <c r="BP152" s="22">
        <f t="shared" si="1313"/>
        <v>145291.1</v>
      </c>
      <c r="BQ152" s="22">
        <f t="shared" si="1313"/>
        <v>145291.1</v>
      </c>
      <c r="BR152" s="22">
        <f t="shared" si="1313"/>
        <v>145331.63</v>
      </c>
      <c r="BS152" s="22">
        <f t="shared" si="1313"/>
        <v>145331.63</v>
      </c>
      <c r="BT152" s="22">
        <f t="shared" si="1313"/>
        <v>145312.14000000001</v>
      </c>
      <c r="BU152" s="22">
        <f t="shared" si="1313"/>
        <v>145312.14000000001</v>
      </c>
      <c r="BV152" s="22">
        <f t="shared" si="1313"/>
        <v>146995.68000000002</v>
      </c>
      <c r="BW152" s="22">
        <f t="shared" si="1313"/>
        <v>146995.68000000002</v>
      </c>
      <c r="BX152" s="22">
        <f t="shared" si="1313"/>
        <v>160595.47</v>
      </c>
      <c r="BY152" s="22">
        <f t="shared" si="1313"/>
        <v>160595.47</v>
      </c>
      <c r="BZ152" s="22">
        <f t="shared" si="1313"/>
        <v>168611.96</v>
      </c>
      <c r="CA152" s="22">
        <f t="shared" si="1313"/>
        <v>168611.96</v>
      </c>
      <c r="CB152" s="22">
        <f t="shared" si="1313"/>
        <v>170213.05</v>
      </c>
      <c r="CC152" s="22">
        <f t="shared" si="1313"/>
        <v>170213.05</v>
      </c>
      <c r="CD152" s="22">
        <f t="shared" si="1313"/>
        <v>175584.02</v>
      </c>
      <c r="CE152" s="22">
        <f t="shared" si="1313"/>
        <v>175584.02</v>
      </c>
      <c r="CF152" s="22">
        <f t="shared" ref="CF152:CG152" si="1314">CF148+CF151+CF149+CF150</f>
        <v>181180.33000000002</v>
      </c>
      <c r="CG152" s="22">
        <f t="shared" si="1314"/>
        <v>181180.33000000002</v>
      </c>
      <c r="CH152" s="22">
        <f t="shared" ref="CH152:CJ152" si="1315">CH148+CH151+CH149+CH150</f>
        <v>192536.41</v>
      </c>
      <c r="CI152" s="22">
        <f t="shared" si="1315"/>
        <v>189792.11</v>
      </c>
      <c r="CJ152" s="22">
        <f t="shared" si="1315"/>
        <v>190789.52000000002</v>
      </c>
      <c r="CK152" s="22">
        <f t="shared" ref="CK152:DB152" si="1316">CK148+CK151+CK149+CK150</f>
        <v>193740.71</v>
      </c>
      <c r="CL152" s="22">
        <f t="shared" si="1316"/>
        <v>198332.18</v>
      </c>
      <c r="CM152" s="21">
        <f t="shared" si="1316"/>
        <v>201966.41820000001</v>
      </c>
      <c r="CN152" s="21">
        <f t="shared" si="1316"/>
        <v>205647.971636</v>
      </c>
      <c r="CO152" s="21">
        <f t="shared" si="1316"/>
        <v>209375.89400328</v>
      </c>
      <c r="CP152" s="21">
        <f t="shared" si="1316"/>
        <v>213149.25792321443</v>
      </c>
      <c r="CQ152" s="21">
        <f t="shared" si="1316"/>
        <v>216181.89164494211</v>
      </c>
      <c r="CR152" s="21">
        <f t="shared" si="1316"/>
        <v>219258.79110793091</v>
      </c>
      <c r="CS152" s="21">
        <f t="shared" si="1316"/>
        <v>222378.96033300247</v>
      </c>
      <c r="CT152" s="21">
        <f t="shared" si="1316"/>
        <v>225541.42575050992</v>
      </c>
      <c r="CU152" s="21">
        <f t="shared" si="1316"/>
        <v>222245.23569612345</v>
      </c>
      <c r="CV152" s="21">
        <f t="shared" si="1316"/>
        <v>219023.20991796066</v>
      </c>
      <c r="CW152" s="21">
        <f t="shared" si="1316"/>
        <v>215873.67971980653</v>
      </c>
      <c r="CX152" s="21">
        <f t="shared" si="1316"/>
        <v>212795.01395111089</v>
      </c>
      <c r="CY152" s="21">
        <f t="shared" si="1316"/>
        <v>209785.61816221089</v>
      </c>
      <c r="CZ152" s="21">
        <f t="shared" si="1316"/>
        <v>206843.93377856113</v>
      </c>
      <c r="DA152" s="21">
        <f t="shared" si="1316"/>
        <v>203968.43729354351</v>
      </c>
      <c r="DB152" s="21">
        <f t="shared" si="1316"/>
        <v>201157.63947943877</v>
      </c>
      <c r="DE152" s="126"/>
      <c r="DF152" s="22">
        <v>196434.64226498941</v>
      </c>
    </row>
    <row r="153" spans="1:110" s="23" customFormat="1" x14ac:dyDescent="0.2">
      <c r="AB153" s="24"/>
      <c r="AC153" s="24"/>
      <c r="AD153" s="24"/>
      <c r="AE153" s="24"/>
      <c r="CM153" s="24"/>
      <c r="CN153" s="24"/>
      <c r="CO153" s="24"/>
      <c r="CP153" s="24"/>
      <c r="CQ153" s="24"/>
      <c r="CR153" s="24"/>
      <c r="CS153" s="24"/>
      <c r="CT153" s="24"/>
      <c r="CU153" s="24"/>
      <c r="CV153" s="24"/>
      <c r="CW153" s="24"/>
      <c r="CX153" s="24"/>
      <c r="CY153" s="24"/>
      <c r="CZ153" s="24"/>
      <c r="DA153" s="24"/>
      <c r="DB153" s="24"/>
      <c r="DE153" s="123"/>
    </row>
    <row r="154" spans="1:110" s="23" customFormat="1" x14ac:dyDescent="0.2">
      <c r="A154" s="23" t="s">
        <v>58</v>
      </c>
      <c r="B154" s="23">
        <f>'Annual Raw'!C71</f>
        <v>621.88</v>
      </c>
      <c r="C154" s="23">
        <f>'Annual Raw'!D71</f>
        <v>598.11</v>
      </c>
      <c r="D154" s="23">
        <f>'Annual Raw'!E71</f>
        <v>596.94000000000005</v>
      </c>
      <c r="E154" s="23">
        <f>'Annual Raw'!F71</f>
        <v>669.91</v>
      </c>
      <c r="F154" s="23">
        <f>'Annual Raw'!G71</f>
        <v>1026.8800000000001</v>
      </c>
      <c r="G154" s="23">
        <f>'Annual Raw'!H71</f>
        <v>1354.63</v>
      </c>
      <c r="H154" s="23">
        <f>'Annual Raw'!I71</f>
        <v>12697.4</v>
      </c>
      <c r="I154" s="23">
        <f>'Annual Raw'!J71</f>
        <v>2233.69</v>
      </c>
      <c r="J154" s="23">
        <f>'Annual Raw'!K71</f>
        <v>3013.36</v>
      </c>
      <c r="K154" s="23">
        <f>'Annual Raw'!L71</f>
        <v>3486.55</v>
      </c>
      <c r="L154" s="23">
        <f>'Annual Raw'!M71</f>
        <v>4688.0600000000004</v>
      </c>
      <c r="M154" s="23">
        <f>'Annual Raw'!N71</f>
        <v>2622.88</v>
      </c>
      <c r="N154" s="23">
        <f>'Annual Raw'!O71</f>
        <v>2497.37</v>
      </c>
      <c r="O154" s="23">
        <f>'Annual Raw'!P71</f>
        <v>2425.0700000000002</v>
      </c>
      <c r="P154" s="23">
        <f>'Annual Raw'!Q71</f>
        <v>2080.4299999999998</v>
      </c>
      <c r="Q154" s="23">
        <f>'Annual Raw'!R71</f>
        <v>6050.16</v>
      </c>
      <c r="R154" s="23">
        <f>'Annual Raw'!S71</f>
        <v>6783.99</v>
      </c>
      <c r="S154" s="23">
        <f>'Annual Raw'!T71</f>
        <v>2990.5</v>
      </c>
      <c r="T154" s="23">
        <f>'Annual Raw'!U71</f>
        <v>3213.31</v>
      </c>
      <c r="U154" s="23">
        <f>'Annual Raw'!V71</f>
        <v>2853.31</v>
      </c>
      <c r="V154" s="23">
        <f>'Annual Raw'!W71</f>
        <v>3463.04</v>
      </c>
      <c r="W154" s="23">
        <f>'Annual Raw'!X71</f>
        <v>4615.43</v>
      </c>
      <c r="X154" s="23">
        <f>'Annual Raw'!Y71</f>
        <v>4780.25</v>
      </c>
      <c r="Y154" s="23">
        <f>'Annual Raw'!Z71</f>
        <v>5526.34</v>
      </c>
      <c r="Z154" s="23">
        <f>'Annual Raw'!AA71</f>
        <v>5751.46</v>
      </c>
      <c r="AA154" s="23">
        <f>'Annual Raw'!AB71</f>
        <v>6085.31</v>
      </c>
      <c r="AB154" s="24">
        <f>+CP154</f>
        <v>6085.31</v>
      </c>
      <c r="AC154" s="24">
        <f>+CT154</f>
        <v>6085.31</v>
      </c>
      <c r="AD154" s="24">
        <f>+CX154</f>
        <v>6085.31</v>
      </c>
      <c r="AE154" s="24">
        <f>+DB154</f>
        <v>6085.31</v>
      </c>
      <c r="AJ154" s="23">
        <f>+'QTR Raw'!D77</f>
        <v>2458.8200000000002</v>
      </c>
      <c r="AK154" s="23">
        <f t="shared" ref="AK154:CE154" si="1317">+AJ154</f>
        <v>2458.8200000000002</v>
      </c>
      <c r="AL154" s="23">
        <f>+'QTR Raw'!F77</f>
        <v>2497.37</v>
      </c>
      <c r="AM154" s="23">
        <f t="shared" si="1317"/>
        <v>2497.37</v>
      </c>
      <c r="AN154" s="23">
        <f>+'QTR Raw'!H77</f>
        <v>2571.15</v>
      </c>
      <c r="AO154" s="23">
        <f t="shared" si="1317"/>
        <v>2571.15</v>
      </c>
      <c r="AP154" s="23">
        <f>+'QTR Raw'!J77</f>
        <v>2425.0700000000002</v>
      </c>
      <c r="AQ154" s="23">
        <f t="shared" si="1317"/>
        <v>2425.0700000000002</v>
      </c>
      <c r="AR154" s="23">
        <f>+'QTR Raw'!L77</f>
        <v>2480.62</v>
      </c>
      <c r="AS154" s="23">
        <f t="shared" si="1317"/>
        <v>2480.62</v>
      </c>
      <c r="AT154" s="23">
        <f>+'QTR Raw'!N77</f>
        <v>2080.4299999999998</v>
      </c>
      <c r="AU154" s="23">
        <f t="shared" si="1317"/>
        <v>2080.4299999999998</v>
      </c>
      <c r="AV154" s="23">
        <f>+'QTR Raw'!P77</f>
        <v>2138.96</v>
      </c>
      <c r="AW154" s="23">
        <f t="shared" si="1317"/>
        <v>2138.96</v>
      </c>
      <c r="AX154" s="23">
        <f>+'QTR Raw'!R77</f>
        <v>6159.18</v>
      </c>
      <c r="AY154" s="23">
        <f t="shared" si="1317"/>
        <v>6159.18</v>
      </c>
      <c r="AZ154" s="23">
        <f>+'QTR Raw'!T77</f>
        <v>7445.96</v>
      </c>
      <c r="BA154" s="23">
        <f t="shared" si="1317"/>
        <v>7445.96</v>
      </c>
      <c r="BB154" s="23">
        <f>+'QTR Raw'!V77</f>
        <v>6783.99</v>
      </c>
      <c r="BC154" s="23">
        <f t="shared" si="1317"/>
        <v>6783.99</v>
      </c>
      <c r="BD154" s="23">
        <f>+'QTR Raw'!X77</f>
        <v>2723.88</v>
      </c>
      <c r="BE154" s="23">
        <f t="shared" si="1317"/>
        <v>2723.88</v>
      </c>
      <c r="BF154" s="23">
        <f>+'QTR Raw'!Z77</f>
        <v>2990.5</v>
      </c>
      <c r="BG154" s="23">
        <f t="shared" si="1317"/>
        <v>2990.5</v>
      </c>
      <c r="BH154" s="23">
        <f>+'QTR Raw'!AB77</f>
        <v>3104.62</v>
      </c>
      <c r="BI154" s="23">
        <f t="shared" si="1317"/>
        <v>3104.62</v>
      </c>
      <c r="BJ154" s="23">
        <f>+'QTR Raw'!AD77</f>
        <v>3213.31</v>
      </c>
      <c r="BK154" s="23">
        <f t="shared" si="1317"/>
        <v>3213.31</v>
      </c>
      <c r="BL154" s="23">
        <f>+'QTR Raw'!AF77</f>
        <v>3073.37</v>
      </c>
      <c r="BM154" s="23">
        <f t="shared" si="1317"/>
        <v>3073.37</v>
      </c>
      <c r="BN154" s="23">
        <f>+'QTR Raw'!AH77</f>
        <v>2853.31</v>
      </c>
      <c r="BO154" s="23">
        <f t="shared" si="1317"/>
        <v>2853.31</v>
      </c>
      <c r="BP154" s="23">
        <f>+'QTR Raw'!AJ77</f>
        <v>3088.31</v>
      </c>
      <c r="BQ154" s="23">
        <f t="shared" si="1317"/>
        <v>3088.31</v>
      </c>
      <c r="BR154" s="23">
        <f>+'QTR Raw'!AL77</f>
        <v>3463.04</v>
      </c>
      <c r="BS154" s="23">
        <f t="shared" si="1317"/>
        <v>3463.04</v>
      </c>
      <c r="BT154" s="23">
        <f>+'QTR Raw'!AN77</f>
        <v>4042.08</v>
      </c>
      <c r="BU154" s="23">
        <f t="shared" si="1317"/>
        <v>4042.08</v>
      </c>
      <c r="BV154" s="23">
        <f>+'QTR Raw'!AP77</f>
        <v>4615.43</v>
      </c>
      <c r="BW154" s="23">
        <f t="shared" si="1317"/>
        <v>4615.43</v>
      </c>
      <c r="BX154" s="23">
        <f>+'QTR Raw'!AR77</f>
        <v>4609.26</v>
      </c>
      <c r="BY154" s="23">
        <f t="shared" si="1317"/>
        <v>4609.26</v>
      </c>
      <c r="BZ154" s="23">
        <f>+'QTR Raw'!AT77</f>
        <v>4780.25</v>
      </c>
      <c r="CA154" s="23">
        <f t="shared" si="1317"/>
        <v>4780.25</v>
      </c>
      <c r="CB154" s="23">
        <f>+'QTR Raw'!AV77</f>
        <v>5034.62</v>
      </c>
      <c r="CC154" s="23">
        <f t="shared" si="1317"/>
        <v>5034.62</v>
      </c>
      <c r="CD154" s="23">
        <f>+'QTR Raw'!AX77</f>
        <v>5526.34</v>
      </c>
      <c r="CE154" s="23">
        <f t="shared" si="1317"/>
        <v>5526.34</v>
      </c>
      <c r="CF154" s="23">
        <f>+'QTR Raw'!AZ77</f>
        <v>5966.52</v>
      </c>
      <c r="CG154" s="23">
        <f t="shared" ref="CG154:CI157" si="1318">+CF154</f>
        <v>5966.52</v>
      </c>
      <c r="CH154" s="23">
        <f t="shared" ref="CH154:CH169" si="1319">Z154</f>
        <v>5751.46</v>
      </c>
      <c r="CI154" s="23">
        <f t="shared" si="1318"/>
        <v>5751.46</v>
      </c>
      <c r="CJ154" s="23">
        <f>+'QTR Raw'!BD77</f>
        <v>6074.61</v>
      </c>
      <c r="CK154" s="23">
        <f t="shared" ref="CK154" si="1320">+CJ154</f>
        <v>6074.61</v>
      </c>
      <c r="CL154" s="23">
        <f>+'QTR Raw'!BF77</f>
        <v>6085.31</v>
      </c>
      <c r="CM154" s="24">
        <f t="shared" ref="CM154" si="1321">+CL154</f>
        <v>6085.31</v>
      </c>
      <c r="CN154" s="24">
        <f t="shared" ref="CN154" si="1322">+CM154</f>
        <v>6085.31</v>
      </c>
      <c r="CO154" s="24">
        <f t="shared" ref="CO154" si="1323">+CN154</f>
        <v>6085.31</v>
      </c>
      <c r="CP154" s="24">
        <f t="shared" ref="CP154" si="1324">+CO154</f>
        <v>6085.31</v>
      </c>
      <c r="CQ154" s="24">
        <f t="shared" ref="CQ154" si="1325">+CP154</f>
        <v>6085.31</v>
      </c>
      <c r="CR154" s="24">
        <f t="shared" ref="CR154" si="1326">+CQ154</f>
        <v>6085.31</v>
      </c>
      <c r="CS154" s="24">
        <f t="shared" ref="CS154" si="1327">+CR154</f>
        <v>6085.31</v>
      </c>
      <c r="CT154" s="24">
        <f t="shared" ref="CT154" si="1328">+CS154</f>
        <v>6085.31</v>
      </c>
      <c r="CU154" s="24">
        <f t="shared" ref="CU154" si="1329">+CT154</f>
        <v>6085.31</v>
      </c>
      <c r="CV154" s="24">
        <f t="shared" ref="CV154" si="1330">+CU154</f>
        <v>6085.31</v>
      </c>
      <c r="CW154" s="24">
        <f t="shared" ref="CW154" si="1331">+CV154</f>
        <v>6085.31</v>
      </c>
      <c r="CX154" s="24">
        <f t="shared" ref="CX154" si="1332">+CW154</f>
        <v>6085.31</v>
      </c>
      <c r="CY154" s="24">
        <f t="shared" ref="CY154" si="1333">+CX154</f>
        <v>6085.31</v>
      </c>
      <c r="CZ154" s="24">
        <f t="shared" ref="CZ154" si="1334">+CY154</f>
        <v>6085.31</v>
      </c>
      <c r="DA154" s="24">
        <f t="shared" ref="DA154" si="1335">+CZ154</f>
        <v>6085.31</v>
      </c>
      <c r="DB154" s="24">
        <f t="shared" ref="DB154" si="1336">+DA154</f>
        <v>6085.31</v>
      </c>
      <c r="DE154" s="123"/>
      <c r="DF154" s="23">
        <v>6074.61</v>
      </c>
    </row>
    <row r="155" spans="1:110" s="23" customFormat="1" x14ac:dyDescent="0.2">
      <c r="AB155" s="24"/>
      <c r="AC155" s="24"/>
      <c r="AD155" s="24"/>
      <c r="AE155" s="24"/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E155" s="123"/>
    </row>
    <row r="156" spans="1:110" s="23" customFormat="1" outlineLevel="1" x14ac:dyDescent="0.2">
      <c r="A156" s="23" t="s">
        <v>59</v>
      </c>
      <c r="B156" s="23">
        <f>'Annual Raw'!C72</f>
        <v>0</v>
      </c>
      <c r="C156" s="23">
        <f>'Annual Raw'!D72</f>
        <v>0</v>
      </c>
      <c r="D156" s="23">
        <f>'Annual Raw'!E72</f>
        <v>0</v>
      </c>
      <c r="E156" s="23">
        <f>'Annual Raw'!F72+'Annual Raw'!F61</f>
        <v>0</v>
      </c>
      <c r="F156" s="23">
        <f>'Annual Raw'!G72+'Annual Raw'!G61</f>
        <v>0</v>
      </c>
      <c r="G156" s="23">
        <f>'Annual Raw'!H72+'Annual Raw'!H61</f>
        <v>0</v>
      </c>
      <c r="H156" s="23">
        <f>'Annual Raw'!I72+'Annual Raw'!I61</f>
        <v>0</v>
      </c>
      <c r="I156" s="23">
        <f>'Annual Raw'!J72+'Annual Raw'!J61</f>
        <v>0</v>
      </c>
      <c r="J156" s="23">
        <f>'Annual Raw'!K72+'Annual Raw'!K61</f>
        <v>0</v>
      </c>
      <c r="K156" s="23">
        <f>'Annual Raw'!L72+'Annual Raw'!L61</f>
        <v>0</v>
      </c>
      <c r="L156" s="23">
        <f>'Annual Raw'!M72+'Annual Raw'!M61</f>
        <v>8684.56</v>
      </c>
      <c r="M156" s="23">
        <f>'Annual Raw'!N72+'Annual Raw'!N61</f>
        <v>6837.12</v>
      </c>
      <c r="N156" s="23">
        <f>'Annual Raw'!O72+'Annual Raw'!O61</f>
        <v>7097.65</v>
      </c>
      <c r="O156" s="23">
        <f>'Annual Raw'!P72+'Annual Raw'!P61</f>
        <v>8781.73</v>
      </c>
      <c r="P156" s="23">
        <f>'Annual Raw'!Q72+'Annual Raw'!Q61</f>
        <v>5106.57</v>
      </c>
      <c r="Q156" s="23">
        <f>'Annual Raw'!R72+'Annual Raw'!R61</f>
        <v>15653.25</v>
      </c>
      <c r="R156" s="23">
        <f>'Annual Raw'!S72+'Annual Raw'!S61</f>
        <v>5562.07</v>
      </c>
      <c r="S156" s="23">
        <f>'Annual Raw'!T72+'Annual Raw'!T61</f>
        <v>23855.83</v>
      </c>
      <c r="T156" s="23">
        <f>'Annual Raw'!U72+'Annual Raw'!U61</f>
        <v>24699.83</v>
      </c>
      <c r="U156" s="23">
        <f>'Annual Raw'!V72+'Annual Raw'!V61</f>
        <v>32369.81</v>
      </c>
      <c r="V156" s="23">
        <f>'Annual Raw'!W72+'Annual Raw'!W61</f>
        <v>24795.49</v>
      </c>
      <c r="W156" s="23">
        <f>'Annual Raw'!X72+'Annual Raw'!X61</f>
        <v>29166.16</v>
      </c>
      <c r="X156" s="23">
        <f>'Annual Raw'!Y72+'Annual Raw'!Y61</f>
        <v>15240.67</v>
      </c>
      <c r="Y156" s="23">
        <f>'Annual Raw'!Z72+'Annual Raw'!Z61</f>
        <v>8253.77</v>
      </c>
      <c r="Z156" s="23">
        <f>'Annual Raw'!AA72+'Annual Raw'!AA61</f>
        <v>7271.47</v>
      </c>
      <c r="AA156" s="23">
        <f>'Annual Raw'!AB72+'Annual Raw'!AB61</f>
        <v>8218.09</v>
      </c>
      <c r="AB156" s="24">
        <f t="shared" ref="AB156:AB161" si="1337">+CP156</f>
        <v>0</v>
      </c>
      <c r="AC156" s="24">
        <f t="shared" ref="AC156:AC161" si="1338">+CT156</f>
        <v>0</v>
      </c>
      <c r="AD156" s="24">
        <f t="shared" ref="AD156:AD161" si="1339">+CX156</f>
        <v>0</v>
      </c>
      <c r="AE156" s="24">
        <f t="shared" ref="AE156:AE161" si="1340">+DB156</f>
        <v>0</v>
      </c>
      <c r="AJ156" s="23">
        <f>+'QTR Raw'!D78</f>
        <v>6636.35</v>
      </c>
      <c r="AK156" s="23">
        <f t="shared" ref="AK156:CE161" si="1341">+AJ156</f>
        <v>6636.35</v>
      </c>
      <c r="AL156" s="23">
        <f>+'QTR Raw'!F78</f>
        <v>7097.65</v>
      </c>
      <c r="AM156" s="23">
        <f t="shared" si="1341"/>
        <v>7097.65</v>
      </c>
      <c r="AN156" s="23">
        <f>+'QTR Raw'!H78</f>
        <v>8591.0400000000009</v>
      </c>
      <c r="AO156" s="23">
        <f t="shared" si="1341"/>
        <v>8591.0400000000009</v>
      </c>
      <c r="AP156" s="23">
        <f>+'QTR Raw'!J78</f>
        <v>8781.73</v>
      </c>
      <c r="AQ156" s="23">
        <f t="shared" si="1341"/>
        <v>8781.73</v>
      </c>
      <c r="AR156" s="23">
        <f>+'QTR Raw'!L78</f>
        <v>6925.4</v>
      </c>
      <c r="AS156" s="23">
        <f t="shared" si="1341"/>
        <v>6925.4</v>
      </c>
      <c r="AT156" s="23">
        <f>+'QTR Raw'!N78</f>
        <v>5106.57</v>
      </c>
      <c r="AU156" s="23">
        <f t="shared" si="1341"/>
        <v>5106.57</v>
      </c>
      <c r="AV156" s="23">
        <f>+'QTR Raw'!P78</f>
        <v>16719.2</v>
      </c>
      <c r="AW156" s="23">
        <f t="shared" si="1341"/>
        <v>16719.2</v>
      </c>
      <c r="AX156" s="23">
        <f>+'QTR Raw'!R78</f>
        <v>0</v>
      </c>
      <c r="AY156" s="23">
        <f t="shared" si="1341"/>
        <v>0</v>
      </c>
      <c r="AZ156" s="23">
        <f>+'QTR Raw'!T78</f>
        <v>0</v>
      </c>
      <c r="BA156" s="23">
        <f t="shared" si="1341"/>
        <v>0</v>
      </c>
      <c r="BB156" s="23">
        <f>+'QTR Raw'!V78</f>
        <v>373.06</v>
      </c>
      <c r="BC156" s="23">
        <f t="shared" si="1341"/>
        <v>373.06</v>
      </c>
      <c r="BD156" s="23">
        <f>+'QTR Raw'!X78</f>
        <v>664.27</v>
      </c>
      <c r="BE156" s="23">
        <f t="shared" si="1341"/>
        <v>664.27</v>
      </c>
      <c r="BF156" s="23">
        <f>+'QTR Raw'!Z78</f>
        <v>717.34</v>
      </c>
      <c r="BG156" s="23">
        <f t="shared" si="1341"/>
        <v>717.34</v>
      </c>
      <c r="BH156" s="23">
        <f>+'QTR Raw'!AB78</f>
        <v>691.81</v>
      </c>
      <c r="BI156" s="23">
        <f t="shared" si="1341"/>
        <v>691.81</v>
      </c>
      <c r="BJ156" s="23">
        <f>+'QTR Raw'!AD78</f>
        <v>613.34</v>
      </c>
      <c r="BK156" s="23">
        <f t="shared" si="1341"/>
        <v>613.34</v>
      </c>
      <c r="BL156" s="23">
        <f>+'QTR Raw'!AF78</f>
        <v>504.61</v>
      </c>
      <c r="BM156" s="23">
        <f t="shared" si="1341"/>
        <v>504.61</v>
      </c>
      <c r="BN156" s="23">
        <f>+'QTR Raw'!AH78</f>
        <v>488.71</v>
      </c>
      <c r="BO156" s="23">
        <f t="shared" si="1341"/>
        <v>488.71</v>
      </c>
      <c r="BP156" s="23">
        <f>+'QTR Raw'!AJ78</f>
        <v>308.58999999999997</v>
      </c>
      <c r="BQ156" s="23">
        <f t="shared" si="1341"/>
        <v>308.58999999999997</v>
      </c>
      <c r="BR156" s="23">
        <f>+'QTR Raw'!AL78</f>
        <v>91.93</v>
      </c>
      <c r="BS156" s="23">
        <f t="shared" si="1341"/>
        <v>91.93</v>
      </c>
      <c r="BT156" s="23">
        <f>+'QTR Raw'!AN78</f>
        <v>84.43</v>
      </c>
      <c r="BU156" s="23">
        <f t="shared" si="1341"/>
        <v>84.43</v>
      </c>
      <c r="BV156" s="23">
        <f>+'QTR Raw'!AP78</f>
        <v>72.44</v>
      </c>
      <c r="BW156" s="23">
        <f t="shared" si="1341"/>
        <v>72.44</v>
      </c>
      <c r="BX156" s="23">
        <f>+'QTR Raw'!AR78</f>
        <v>46.3</v>
      </c>
      <c r="BY156" s="23">
        <f t="shared" si="1341"/>
        <v>46.3</v>
      </c>
      <c r="BZ156" s="23">
        <f>+'QTR Raw'!AT78</f>
        <v>64.739999999999995</v>
      </c>
      <c r="CA156" s="23">
        <f t="shared" si="1341"/>
        <v>64.739999999999995</v>
      </c>
      <c r="CB156" s="23">
        <f>+'QTR Raw'!AV78</f>
        <v>71.02</v>
      </c>
      <c r="CC156" s="23">
        <f t="shared" si="1341"/>
        <v>71.02</v>
      </c>
      <c r="CD156" s="23">
        <f>+'QTR Raw'!AX78</f>
        <v>73.14</v>
      </c>
      <c r="CE156" s="23">
        <f t="shared" si="1341"/>
        <v>73.14</v>
      </c>
      <c r="CF156" s="23">
        <f>+'QTR Raw'!AZ78</f>
        <v>94.75</v>
      </c>
      <c r="CG156" s="23">
        <f t="shared" si="1318"/>
        <v>94.75</v>
      </c>
      <c r="CH156" s="23">
        <f t="shared" si="1319"/>
        <v>7271.47</v>
      </c>
      <c r="CJ156" s="23">
        <f>+'QTR Raw'!BD78</f>
        <v>119.28</v>
      </c>
      <c r="CL156" s="23">
        <f>+'QTR Raw'!BF78</f>
        <v>126.2</v>
      </c>
      <c r="CM156" s="24"/>
      <c r="CN156" s="24"/>
      <c r="CO156" s="24"/>
      <c r="CP156" s="24"/>
      <c r="CQ156" s="24"/>
      <c r="CR156" s="24"/>
      <c r="CS156" s="24"/>
      <c r="CT156" s="24"/>
      <c r="CU156" s="24"/>
      <c r="CV156" s="24"/>
      <c r="CW156" s="24"/>
      <c r="CX156" s="24"/>
      <c r="CY156" s="24"/>
      <c r="CZ156" s="24"/>
      <c r="DA156" s="24"/>
      <c r="DB156" s="24"/>
      <c r="DE156" s="123"/>
      <c r="DF156" s="23">
        <v>126.2</v>
      </c>
    </row>
    <row r="157" spans="1:110" s="23" customFormat="1" outlineLevel="1" x14ac:dyDescent="0.2">
      <c r="A157" s="23" t="s">
        <v>60</v>
      </c>
      <c r="B157" s="23">
        <f>'Annual Raw'!C73+'Annual Raw'!C81</f>
        <v>0</v>
      </c>
      <c r="C157" s="23">
        <f>'Annual Raw'!D73+'Annual Raw'!D81</f>
        <v>0</v>
      </c>
      <c r="D157" s="23">
        <f>'Annual Raw'!E73+'Annual Raw'!E81</f>
        <v>0</v>
      </c>
      <c r="E157" s="23">
        <f>'Annual Raw'!F73+'Annual Raw'!F81</f>
        <v>0</v>
      </c>
      <c r="F157" s="23">
        <f>'Annual Raw'!G73+'Annual Raw'!G81</f>
        <v>0</v>
      </c>
      <c r="G157" s="23">
        <f>'Annual Raw'!H73+'Annual Raw'!H81</f>
        <v>0</v>
      </c>
      <c r="H157" s="23">
        <f>'Annual Raw'!I73+'Annual Raw'!I81</f>
        <v>0</v>
      </c>
      <c r="I157" s="23">
        <f>'Annual Raw'!J73+'Annual Raw'!J81</f>
        <v>0</v>
      </c>
      <c r="J157" s="23">
        <f>'Annual Raw'!K73+'Annual Raw'!K81</f>
        <v>0</v>
      </c>
      <c r="K157" s="23">
        <f>'Annual Raw'!L73+'Annual Raw'!L81</f>
        <v>0</v>
      </c>
      <c r="L157" s="23">
        <f>'Annual Raw'!M73+'Annual Raw'!M81</f>
        <v>33.549999999999997</v>
      </c>
      <c r="M157" s="23">
        <f>'Annual Raw'!N73+'Annual Raw'!N81</f>
        <v>42.16</v>
      </c>
      <c r="N157" s="23">
        <f>'Annual Raw'!O73+'Annual Raw'!O81</f>
        <v>78.760000000000005</v>
      </c>
      <c r="O157" s="23">
        <f>'Annual Raw'!P73+'Annual Raw'!P81</f>
        <v>144.61000000000001</v>
      </c>
      <c r="P157" s="23">
        <f>'Annual Raw'!Q73+'Annual Raw'!Q81</f>
        <v>137.61000000000001</v>
      </c>
      <c r="Q157" s="23">
        <f>'Annual Raw'!R73+'Annual Raw'!R81</f>
        <v>1218.8799999999999</v>
      </c>
      <c r="R157" s="23">
        <f>'Annual Raw'!S73+'Annual Raw'!S81</f>
        <v>1292.5899999999999</v>
      </c>
      <c r="S157" s="23">
        <f>'Annual Raw'!T73+'Annual Raw'!T81</f>
        <v>1381.82</v>
      </c>
      <c r="T157" s="23">
        <f>'Annual Raw'!U73+'Annual Raw'!U81</f>
        <v>6928.46</v>
      </c>
      <c r="U157" s="23">
        <f>'Annual Raw'!V73+'Annual Raw'!V81</f>
        <v>3969.24</v>
      </c>
      <c r="V157" s="23">
        <f>'Annual Raw'!W73+'Annual Raw'!W81</f>
        <v>755.70999999999992</v>
      </c>
      <c r="W157" s="23">
        <f>'Annual Raw'!X73+'Annual Raw'!X81</f>
        <v>1050.6300000000001</v>
      </c>
      <c r="X157" s="23">
        <f>'Annual Raw'!Y73+'Annual Raw'!Y81</f>
        <v>934.24</v>
      </c>
      <c r="Y157" s="23">
        <f>'Annual Raw'!Z73+'Annual Raw'!Z81</f>
        <v>1858.8100000000002</v>
      </c>
      <c r="Z157" s="23">
        <f>'Annual Raw'!AA73+'Annual Raw'!AA81</f>
        <v>1507.7</v>
      </c>
      <c r="AA157" s="23">
        <f>'Annual Raw'!AB73+'Annual Raw'!AB81</f>
        <v>1541.27</v>
      </c>
      <c r="AB157" s="24">
        <f t="shared" si="1337"/>
        <v>0</v>
      </c>
      <c r="AC157" s="24">
        <f t="shared" si="1338"/>
        <v>0</v>
      </c>
      <c r="AD157" s="24">
        <f t="shared" si="1339"/>
        <v>0</v>
      </c>
      <c r="AE157" s="24">
        <f t="shared" si="1340"/>
        <v>0</v>
      </c>
      <c r="AJ157" s="23">
        <f>+'QTR Raw'!D79+'QTR Raw'!D76</f>
        <v>11.22</v>
      </c>
      <c r="AK157" s="23">
        <f t="shared" si="1341"/>
        <v>11.22</v>
      </c>
      <c r="AL157" s="23">
        <f>+'QTR Raw'!F79+'QTR Raw'!F76</f>
        <v>778.29</v>
      </c>
      <c r="AM157" s="23">
        <f t="shared" si="1341"/>
        <v>778.29</v>
      </c>
      <c r="AN157" s="23">
        <f>+'QTR Raw'!H79+'QTR Raw'!H76</f>
        <v>789.43</v>
      </c>
      <c r="AO157" s="23">
        <f t="shared" si="1341"/>
        <v>789.43</v>
      </c>
      <c r="AP157" s="23">
        <f>+'QTR Raw'!J79+'QTR Raw'!J76</f>
        <v>678.09</v>
      </c>
      <c r="AQ157" s="23">
        <f t="shared" si="1341"/>
        <v>678.09</v>
      </c>
      <c r="AR157" s="23">
        <f>+'QTR Raw'!L79+'QTR Raw'!L76</f>
        <v>538.03</v>
      </c>
      <c r="AS157" s="23">
        <f t="shared" si="1341"/>
        <v>538.03</v>
      </c>
      <c r="AT157" s="23">
        <f>+'QTR Raw'!N79+'QTR Raw'!N76</f>
        <v>1403.71</v>
      </c>
      <c r="AU157" s="23">
        <f t="shared" si="1341"/>
        <v>1403.71</v>
      </c>
      <c r="AV157" s="23">
        <f>+'QTR Raw'!P79+'QTR Raw'!P76</f>
        <v>1383.46</v>
      </c>
      <c r="AW157" s="23">
        <f t="shared" si="1341"/>
        <v>1383.46</v>
      </c>
      <c r="AX157" s="23">
        <f>+'QTR Raw'!R79+'QTR Raw'!R76</f>
        <v>16737</v>
      </c>
      <c r="AY157" s="23">
        <f t="shared" si="1341"/>
        <v>16737</v>
      </c>
      <c r="AZ157" s="23">
        <f>+'QTR Raw'!T79+'QTR Raw'!T76</f>
        <v>9403.9</v>
      </c>
      <c r="BA157" s="23">
        <f t="shared" si="1341"/>
        <v>9403.9</v>
      </c>
      <c r="BB157" s="23">
        <f>+'QTR Raw'!V79+'QTR Raw'!V76</f>
        <v>6564.61</v>
      </c>
      <c r="BC157" s="23">
        <f t="shared" si="1341"/>
        <v>6564.61</v>
      </c>
      <c r="BD157" s="23">
        <f>+'QTR Raw'!X79+'QTR Raw'!X76</f>
        <v>3854.63</v>
      </c>
      <c r="BE157" s="23">
        <f t="shared" si="1341"/>
        <v>3854.63</v>
      </c>
      <c r="BF157" s="23">
        <f>+'QTR Raw'!Z79+'QTR Raw'!Z76</f>
        <v>24419.64</v>
      </c>
      <c r="BG157" s="23">
        <f t="shared" si="1341"/>
        <v>24419.64</v>
      </c>
      <c r="BH157" s="23">
        <f>+'QTR Raw'!AB79+'QTR Raw'!AB76</f>
        <v>26777.01</v>
      </c>
      <c r="BI157" s="23">
        <f t="shared" si="1341"/>
        <v>26777.01</v>
      </c>
      <c r="BJ157" s="23">
        <f>+'QTR Raw'!AD79+'QTR Raw'!AD76</f>
        <v>26872.69</v>
      </c>
      <c r="BK157" s="23">
        <f t="shared" si="1341"/>
        <v>26872.69</v>
      </c>
      <c r="BL157" s="23">
        <f>+'QTR Raw'!AF79+'QTR Raw'!AF76</f>
        <v>34815.9</v>
      </c>
      <c r="BM157" s="23">
        <f t="shared" si="1341"/>
        <v>34815.9</v>
      </c>
      <c r="BN157" s="23">
        <f>+'QTR Raw'!AH79+'QTR Raw'!AH76</f>
        <v>41576.67</v>
      </c>
      <c r="BO157" s="23">
        <f t="shared" si="1341"/>
        <v>41576.67</v>
      </c>
      <c r="BP157" s="23">
        <f>+'QTR Raw'!AJ79+'QTR Raw'!AJ76</f>
        <v>35485.42</v>
      </c>
      <c r="BQ157" s="23">
        <f t="shared" si="1341"/>
        <v>35485.42</v>
      </c>
      <c r="BR157" s="23">
        <f>+'QTR Raw'!AL79+'QTR Raw'!AL76</f>
        <v>34810.69</v>
      </c>
      <c r="BS157" s="23">
        <f t="shared" si="1341"/>
        <v>34810.69</v>
      </c>
      <c r="BT157" s="23">
        <f>+'QTR Raw'!AN79+'QTR Raw'!AN76</f>
        <v>36850.629999999997</v>
      </c>
      <c r="BU157" s="23">
        <f t="shared" si="1341"/>
        <v>36850.629999999997</v>
      </c>
      <c r="BV157" s="23">
        <f>+'QTR Raw'!AP79+'QTR Raw'!AP76</f>
        <v>38482.050000000003</v>
      </c>
      <c r="BW157" s="23">
        <f t="shared" si="1341"/>
        <v>38482.050000000003</v>
      </c>
      <c r="BX157" s="23">
        <f>+'QTR Raw'!AR79+'QTR Raw'!AR76</f>
        <v>30722.63</v>
      </c>
      <c r="BY157" s="23">
        <f t="shared" si="1341"/>
        <v>30722.63</v>
      </c>
      <c r="BZ157" s="23">
        <f>+'QTR Raw'!AT79+'QTR Raw'!AT76</f>
        <v>25332.69</v>
      </c>
      <c r="CA157" s="23">
        <f t="shared" si="1341"/>
        <v>25332.69</v>
      </c>
      <c r="CB157" s="23">
        <f>+'QTR Raw'!AV79+'QTR Raw'!AV76</f>
        <v>17752.63</v>
      </c>
      <c r="CC157" s="23">
        <f t="shared" si="1341"/>
        <v>17752.63</v>
      </c>
      <c r="CD157" s="23">
        <f>+'QTR Raw'!AX79+'QTR Raw'!AX76</f>
        <v>17625.330000000002</v>
      </c>
      <c r="CE157" s="23">
        <f t="shared" si="1341"/>
        <v>17625.330000000002</v>
      </c>
      <c r="CF157" s="23">
        <f>+'QTR Raw'!AZ79+'QTR Raw'!AZ76</f>
        <v>16110.55</v>
      </c>
      <c r="CG157" s="23">
        <f t="shared" si="1318"/>
        <v>16110.55</v>
      </c>
      <c r="CH157" s="23">
        <f t="shared" si="1319"/>
        <v>1507.7</v>
      </c>
      <c r="CJ157" s="23">
        <f>+'QTR Raw'!BD79+'QTR Raw'!BD76</f>
        <v>17777.54</v>
      </c>
      <c r="CL157" s="23">
        <f>+'QTR Raw'!BF79+'QTR Raw'!BF76</f>
        <v>19705.82</v>
      </c>
      <c r="CM157" s="24"/>
      <c r="CN157" s="24"/>
      <c r="CO157" s="24"/>
      <c r="CP157" s="24"/>
      <c r="CQ157" s="24"/>
      <c r="CR157" s="24"/>
      <c r="CS157" s="24"/>
      <c r="CT157" s="24"/>
      <c r="CU157" s="24"/>
      <c r="CV157" s="24"/>
      <c r="CW157" s="24"/>
      <c r="CX157" s="24"/>
      <c r="CY157" s="24"/>
      <c r="CZ157" s="24"/>
      <c r="DA157" s="24"/>
      <c r="DB157" s="24"/>
      <c r="DE157" s="123"/>
      <c r="DF157" s="23">
        <v>19705.82</v>
      </c>
    </row>
    <row r="158" spans="1:110" s="23" customFormat="1" outlineLevel="1" x14ac:dyDescent="0.2">
      <c r="A158" s="23" t="s">
        <v>61</v>
      </c>
      <c r="B158" s="23">
        <f>'Annual Raw'!C76</f>
        <v>921.77</v>
      </c>
      <c r="C158" s="23">
        <f>'Annual Raw'!D76</f>
        <v>1180.98</v>
      </c>
      <c r="D158" s="23">
        <f>'Annual Raw'!E76</f>
        <v>1213.47</v>
      </c>
      <c r="E158" s="23">
        <f>'Annual Raw'!F76</f>
        <v>1374.04</v>
      </c>
      <c r="F158" s="23">
        <f>'Annual Raw'!G76</f>
        <v>2489.9</v>
      </c>
      <c r="G158" s="23">
        <f>'Annual Raw'!H76</f>
        <v>2773.31</v>
      </c>
      <c r="H158" s="23">
        <f>'Annual Raw'!I76</f>
        <v>3888.13</v>
      </c>
      <c r="I158" s="23">
        <f>'Annual Raw'!J76</f>
        <v>23064.34</v>
      </c>
      <c r="J158" s="23">
        <f>'Annual Raw'!K76</f>
        <v>21668.42</v>
      </c>
      <c r="K158" s="23">
        <f>'Annual Raw'!L76</f>
        <v>18686.64</v>
      </c>
      <c r="L158" s="23">
        <f>'Annual Raw'!M76</f>
        <v>24055.24</v>
      </c>
      <c r="M158" s="23">
        <f>'Annual Raw'!N76</f>
        <v>25598</v>
      </c>
      <c r="N158" s="23">
        <f>'Annual Raw'!O76</f>
        <v>24091.19</v>
      </c>
      <c r="O158" s="23">
        <f>'Annual Raw'!P76</f>
        <v>26880</v>
      </c>
      <c r="P158" s="23">
        <f>'Annual Raw'!Q76</f>
        <v>25149.91</v>
      </c>
      <c r="Q158" s="23">
        <f>'Annual Raw'!R76</f>
        <v>20013.330000000002</v>
      </c>
      <c r="R158" s="23">
        <f>'Annual Raw'!S76</f>
        <v>25581.94</v>
      </c>
      <c r="S158" s="23">
        <f>'Annual Raw'!T76</f>
        <v>28331.040000000001</v>
      </c>
      <c r="T158" s="23">
        <f>'Annual Raw'!U76</f>
        <v>31656.1</v>
      </c>
      <c r="U158" s="23">
        <f>'Annual Raw'!V76</f>
        <v>31068.720000000001</v>
      </c>
      <c r="V158" s="23">
        <f>'Annual Raw'!W76</f>
        <v>33276.379999999997</v>
      </c>
      <c r="W158" s="23">
        <f>'Annual Raw'!X76</f>
        <v>48824.39</v>
      </c>
      <c r="X158" s="23">
        <f>'Annual Raw'!Y76</f>
        <v>54415.33</v>
      </c>
      <c r="Y158" s="23">
        <f>'Annual Raw'!Z76</f>
        <v>49157.51</v>
      </c>
      <c r="Z158" s="23">
        <f>'Annual Raw'!AA76</f>
        <v>44589.94</v>
      </c>
      <c r="AA158" s="23">
        <f>'Annual Raw'!AB76</f>
        <v>47249.22</v>
      </c>
      <c r="AB158" s="24">
        <f t="shared" si="1337"/>
        <v>50644.334012271756</v>
      </c>
      <c r="AC158" s="24">
        <f t="shared" si="1338"/>
        <v>52655.454432520273</v>
      </c>
      <c r="AD158" s="24">
        <f t="shared" si="1339"/>
        <v>56446.034603146247</v>
      </c>
      <c r="AE158" s="24">
        <f t="shared" si="1340"/>
        <v>60425.249926808043</v>
      </c>
      <c r="AJ158" s="23">
        <f>+'QTR Raw'!D81</f>
        <v>27373.66</v>
      </c>
      <c r="AK158" s="23">
        <f>+AK193*AK19/90</f>
        <v>25749.183670113696</v>
      </c>
      <c r="AL158" s="23">
        <f>+'QTR Raw'!F81</f>
        <v>24091.19</v>
      </c>
      <c r="AM158" s="23">
        <f>+AM193*AM19/90</f>
        <v>22807.956971437903</v>
      </c>
      <c r="AN158" s="23">
        <f>+'QTR Raw'!H81</f>
        <v>29422.36</v>
      </c>
      <c r="AO158" s="23">
        <f>+AO193*AO19/90</f>
        <v>29495.368138237009</v>
      </c>
      <c r="AP158" s="23">
        <f>+'QTR Raw'!J81</f>
        <v>26880</v>
      </c>
      <c r="AQ158" s="23">
        <f>+AQ193*AQ19/90</f>
        <v>23078.208986743441</v>
      </c>
      <c r="AR158" s="23">
        <f>+'QTR Raw'!L81</f>
        <v>27965.88</v>
      </c>
      <c r="AS158" s="23">
        <f>+AS193*AS19/90</f>
        <v>26290.074133779952</v>
      </c>
      <c r="AT158" s="23">
        <f>+'QTR Raw'!N81</f>
        <v>25149.91</v>
      </c>
      <c r="AU158" s="23">
        <f>+AU193*AU19/90</f>
        <v>20123.585497208176</v>
      </c>
      <c r="AV158" s="23">
        <f>+'QTR Raw'!P81</f>
        <v>25649.5</v>
      </c>
      <c r="AW158" s="23">
        <f>+AW193*AW19/90</f>
        <v>23043.258642460929</v>
      </c>
      <c r="AX158" s="23">
        <f>+'QTR Raw'!R81</f>
        <v>20013.330000000002</v>
      </c>
      <c r="AY158" s="23">
        <f>+AY193*AY19/90</f>
        <v>18330.055890224543</v>
      </c>
      <c r="AZ158" s="23">
        <f>+'QTR Raw'!T81</f>
        <v>22280.59</v>
      </c>
      <c r="BA158" s="23">
        <f>+BA193*BA19/90</f>
        <v>22743.920519988278</v>
      </c>
      <c r="BB158" s="23">
        <f>+'QTR Raw'!V81</f>
        <v>24803.82</v>
      </c>
      <c r="BC158" s="23">
        <f>+BC193*BC19/90</f>
        <v>20836.039507495985</v>
      </c>
      <c r="BD158" s="23">
        <f>+'QTR Raw'!X81</f>
        <v>26548.81</v>
      </c>
      <c r="BE158" s="23">
        <f>+BE193*BE19/90</f>
        <v>27352.254781614422</v>
      </c>
      <c r="BF158" s="23">
        <f>+'QTR Raw'!Z81</f>
        <v>28331.040000000001</v>
      </c>
      <c r="BG158" s="23">
        <f>+BG193*BG19/90</f>
        <v>29834.814127113263</v>
      </c>
      <c r="BH158" s="23">
        <f>+'QTR Raw'!AB81</f>
        <v>35852.480000000003</v>
      </c>
      <c r="BI158" s="23">
        <f>+BI193*BI19/90</f>
        <v>34061.239353109122</v>
      </c>
      <c r="BJ158" s="23">
        <f>+'QTR Raw'!AD81</f>
        <v>31656.1</v>
      </c>
      <c r="BK158" s="23">
        <f>+BK193*BK19/90</f>
        <v>26823.238358579343</v>
      </c>
      <c r="BL158" s="23">
        <f>+'QTR Raw'!AF81</f>
        <v>34069.74</v>
      </c>
      <c r="BM158" s="23">
        <f>+BM193*BM19/90</f>
        <v>34997.103268307699</v>
      </c>
      <c r="BN158" s="23">
        <f>+'QTR Raw'!AH81</f>
        <v>31068.720000000001</v>
      </c>
      <c r="BO158" s="23">
        <f>+BO193*BO19/90</f>
        <v>21979.299527161966</v>
      </c>
      <c r="BP158" s="23">
        <f>+'QTR Raw'!AJ81</f>
        <v>26700.18</v>
      </c>
      <c r="BQ158" s="23">
        <f>+BQ193*BQ19/90</f>
        <v>28753.964575646496</v>
      </c>
      <c r="BR158" s="23">
        <f>+'QTR Raw'!AL81</f>
        <v>33276.379999999997</v>
      </c>
      <c r="BS158" s="23">
        <f>+BS193*BS19/90</f>
        <v>35562.541125033655</v>
      </c>
      <c r="BT158" s="23">
        <f>+'QTR Raw'!AN81</f>
        <v>43042.19</v>
      </c>
      <c r="BU158" s="23">
        <f>+BU193*BU19/90</f>
        <v>43324.433027549087</v>
      </c>
      <c r="BV158" s="23">
        <f>+'QTR Raw'!AP81</f>
        <v>48824.39</v>
      </c>
      <c r="BW158" s="23">
        <f>+BW193*BW19/90</f>
        <v>44673.66009228184</v>
      </c>
      <c r="BX158" s="23">
        <f>+'QTR Raw'!AR81</f>
        <v>57581.81</v>
      </c>
      <c r="BY158" s="23">
        <f>+BY193*BY19/90</f>
        <v>54894.970700917467</v>
      </c>
      <c r="BZ158" s="23">
        <f>+'QTR Raw'!AT81</f>
        <v>54415.33</v>
      </c>
      <c r="CA158" s="23">
        <f>+CA193*CA19/90</f>
        <v>51414.712544956827</v>
      </c>
      <c r="CB158" s="23">
        <f>+'QTR Raw'!AV81</f>
        <v>49170.83</v>
      </c>
      <c r="CC158" s="23">
        <f>+CC193*CC19/90</f>
        <v>48844.051354908144</v>
      </c>
      <c r="CD158" s="23">
        <f>+'QTR Raw'!AX81</f>
        <v>49157.51</v>
      </c>
      <c r="CE158" s="23">
        <f>+CE193*CE19/90</f>
        <v>45877.46740545614</v>
      </c>
      <c r="CF158" s="23">
        <f>+'QTR Raw'!AZ81</f>
        <v>51171.94</v>
      </c>
      <c r="CG158" s="23">
        <f>+CG193*CG19/90</f>
        <v>50928.529041376896</v>
      </c>
      <c r="CH158" s="23">
        <f t="shared" si="1319"/>
        <v>44589.94</v>
      </c>
      <c r="CI158" s="23">
        <f>+CI193*CI19/90</f>
        <v>42178.742403698743</v>
      </c>
      <c r="CJ158" s="23">
        <f>+'QTR Raw'!BD81</f>
        <v>45589.37</v>
      </c>
      <c r="CK158" s="23">
        <f t="shared" ref="CK158:DB158" si="1342">+CK193*CK19/90</f>
        <v>44279.007370646337</v>
      </c>
      <c r="CL158" s="23">
        <f>+'QTR Raw'!BF81</f>
        <v>47249.22</v>
      </c>
      <c r="CM158" s="24">
        <f t="shared" si="1342"/>
        <v>41295.978941348978</v>
      </c>
      <c r="CN158" s="24">
        <f t="shared" si="1342"/>
        <v>43122.491271215033</v>
      </c>
      <c r="CO158" s="24">
        <f t="shared" si="1342"/>
        <v>46793.961527260246</v>
      </c>
      <c r="CP158" s="24">
        <f t="shared" si="1342"/>
        <v>50644.334012271756</v>
      </c>
      <c r="CQ158" s="24">
        <f t="shared" si="1342"/>
        <v>42534.494922572492</v>
      </c>
      <c r="CR158" s="24">
        <f t="shared" si="1342"/>
        <v>45719.796453390241</v>
      </c>
      <c r="CS158" s="24">
        <f t="shared" si="1342"/>
        <v>49785.603148245158</v>
      </c>
      <c r="CT158" s="24">
        <f t="shared" si="1342"/>
        <v>52655.454432520273</v>
      </c>
      <c r="CU158" s="24">
        <f t="shared" si="1342"/>
        <v>45392.944744497298</v>
      </c>
      <c r="CV158" s="24">
        <f t="shared" si="1342"/>
        <v>48844.851359056702</v>
      </c>
      <c r="CW158" s="24">
        <f t="shared" si="1342"/>
        <v>53289.559370504569</v>
      </c>
      <c r="CX158" s="24">
        <f t="shared" si="1342"/>
        <v>56446.034603146247</v>
      </c>
      <c r="CY158" s="24">
        <f t="shared" si="1342"/>
        <v>48546.753005305029</v>
      </c>
      <c r="CZ158" s="24">
        <f t="shared" si="1342"/>
        <v>52266.33759739199</v>
      </c>
      <c r="DA158" s="24">
        <f t="shared" si="1342"/>
        <v>57045.030453611296</v>
      </c>
      <c r="DB158" s="24">
        <f t="shared" si="1342"/>
        <v>60425.249926808043</v>
      </c>
      <c r="DE158" s="123"/>
      <c r="DF158" s="23">
        <v>48830.784970673631</v>
      </c>
    </row>
    <row r="159" spans="1:110" s="23" customFormat="1" outlineLevel="1" x14ac:dyDescent="0.2">
      <c r="A159" s="23" t="s">
        <v>62</v>
      </c>
      <c r="B159" s="23">
        <f>'Annual Raw'!C77</f>
        <v>1279.31</v>
      </c>
      <c r="C159" s="23">
        <f>'Annual Raw'!D77</f>
        <v>1289.0899999999999</v>
      </c>
      <c r="D159" s="23">
        <f>'Annual Raw'!E77</f>
        <v>1058.52</v>
      </c>
      <c r="E159" s="23">
        <f>'Annual Raw'!F77</f>
        <v>756.06</v>
      </c>
      <c r="F159" s="23">
        <f>'Annual Raw'!G77</f>
        <v>1324.07</v>
      </c>
      <c r="G159" s="23">
        <f>'Annual Raw'!H77</f>
        <v>1218.72</v>
      </c>
      <c r="H159" s="23">
        <f>'Annual Raw'!I77</f>
        <v>1686.53</v>
      </c>
      <c r="I159" s="23">
        <f>'Annual Raw'!J77</f>
        <v>18697.82</v>
      </c>
      <c r="J159" s="23">
        <f>'Annual Raw'!K77</f>
        <v>13031.63</v>
      </c>
      <c r="K159" s="23">
        <f>'Annual Raw'!L77</f>
        <v>11512.44</v>
      </c>
      <c r="L159" s="23">
        <f>'Annual Raw'!M77</f>
        <v>14811.92</v>
      </c>
      <c r="M159" s="23">
        <f>'Annual Raw'!N77</f>
        <v>14878.48</v>
      </c>
      <c r="N159" s="23">
        <f>'Annual Raw'!O77</f>
        <v>13993.96</v>
      </c>
      <c r="O159" s="23">
        <f>'Annual Raw'!P77</f>
        <v>16005.77</v>
      </c>
      <c r="P159" s="23">
        <f>'Annual Raw'!Q77</f>
        <v>13309.87</v>
      </c>
      <c r="Q159" s="23">
        <f>'Annual Raw'!R77</f>
        <v>12066.22</v>
      </c>
      <c r="R159" s="23">
        <f>'Annual Raw'!S77</f>
        <v>11879.32</v>
      </c>
      <c r="S159" s="23">
        <f>'Annual Raw'!T77</f>
        <v>12415.52</v>
      </c>
      <c r="T159" s="23">
        <f>'Annual Raw'!U77</f>
        <v>11811</v>
      </c>
      <c r="U159" s="23">
        <f>'Annual Raw'!V77</f>
        <v>7884.91</v>
      </c>
      <c r="V159" s="23">
        <f>'Annual Raw'!W77</f>
        <v>9539.84</v>
      </c>
      <c r="W159" s="23">
        <f>'Annual Raw'!X77</f>
        <v>12246.43</v>
      </c>
      <c r="X159" s="23">
        <f>'Annual Raw'!Y77</f>
        <v>8257.24</v>
      </c>
      <c r="Y159" s="23">
        <f>'Annual Raw'!Z77</f>
        <v>6263.53</v>
      </c>
      <c r="Z159" s="23">
        <f>'Annual Raw'!AA77</f>
        <v>5260.06</v>
      </c>
      <c r="AA159" s="23">
        <f>'Annual Raw'!AB77</f>
        <v>4916.8900000000003</v>
      </c>
      <c r="AB159" s="24">
        <f t="shared" si="1337"/>
        <v>5603.6955470775729</v>
      </c>
      <c r="AC159" s="24">
        <f t="shared" si="1338"/>
        <v>5826.222050059182</v>
      </c>
      <c r="AD159" s="24">
        <f t="shared" si="1339"/>
        <v>6245.6422603798528</v>
      </c>
      <c r="AE159" s="24">
        <f t="shared" si="1340"/>
        <v>6685.9345778711504</v>
      </c>
      <c r="AJ159" s="23">
        <f>+'QTR Raw'!D82</f>
        <v>14546.67</v>
      </c>
      <c r="AK159" s="23">
        <f>+AK194*AK19/90</f>
        <v>13683.405055024896</v>
      </c>
      <c r="AL159" s="23">
        <f>+'QTR Raw'!F82</f>
        <v>13993.96</v>
      </c>
      <c r="AM159" s="23">
        <f>+AM194*AM19/90</f>
        <v>13248.562546724474</v>
      </c>
      <c r="AN159" s="23">
        <f>+'QTR Raw'!H82</f>
        <v>14955.51</v>
      </c>
      <c r="AO159" s="23">
        <f>+AO194*AO19/90</f>
        <v>14992.620345379672</v>
      </c>
      <c r="AP159" s="23">
        <f>+'QTR Raw'!J82</f>
        <v>16005.77</v>
      </c>
      <c r="AQ159" s="23">
        <f>+AQ194*AQ19/90</f>
        <v>13741.983074916239</v>
      </c>
      <c r="AR159" s="23">
        <f>+'QTR Raw'!L82</f>
        <v>13314.96</v>
      </c>
      <c r="AS159" s="23">
        <f>+AS194*AS19/90</f>
        <v>12517.084586228459</v>
      </c>
      <c r="AT159" s="23">
        <f>+'QTR Raw'!N82</f>
        <v>13309.87</v>
      </c>
      <c r="AU159" s="23">
        <f>+AU194*AU19/90</f>
        <v>10649.83162570865</v>
      </c>
      <c r="AV159" s="23">
        <f>+'QTR Raw'!P82</f>
        <v>13142.96</v>
      </c>
      <c r="AW159" s="23">
        <f>+AW194*AW19/90</f>
        <v>11807.506056941394</v>
      </c>
      <c r="AX159" s="23">
        <f>+'QTR Raw'!R82</f>
        <v>12066.22</v>
      </c>
      <c r="AY159" s="23">
        <f>+AY194*AY19/90</f>
        <v>11051.358618667915</v>
      </c>
      <c r="AZ159" s="23">
        <f>+'QTR Raw'!T82</f>
        <v>9690.74</v>
      </c>
      <c r="BA159" s="23">
        <f>+BA194*BA19/90</f>
        <v>9892.2613961242132</v>
      </c>
      <c r="BB159" s="23">
        <f>+'QTR Raw'!V82</f>
        <v>11586.82</v>
      </c>
      <c r="BC159" s="23">
        <f>+BC194*BC19/90</f>
        <v>9733.3168554780914</v>
      </c>
      <c r="BD159" s="23">
        <f>+'QTR Raw'!X82</f>
        <v>12186.76</v>
      </c>
      <c r="BE159" s="23">
        <f>+BE194*BE19/90</f>
        <v>12555.567066184411</v>
      </c>
      <c r="BF159" s="23">
        <f>+'QTR Raw'!Z82</f>
        <v>12415.52</v>
      </c>
      <c r="BG159" s="23">
        <f>+BG194*BG19/90</f>
        <v>13074.519378443474</v>
      </c>
      <c r="BH159" s="23">
        <f>+'QTR Raw'!AB82</f>
        <v>14694.59</v>
      </c>
      <c r="BI159" s="23">
        <f>+BI194*BI19/90</f>
        <v>13960.4274846762</v>
      </c>
      <c r="BJ159" s="23">
        <f>+'QTR Raw'!AD82</f>
        <v>11811</v>
      </c>
      <c r="BK159" s="23">
        <f>+BK194*BK19/90</f>
        <v>10007.842667074614</v>
      </c>
      <c r="BL159" s="23">
        <f>+'QTR Raw'!AF82</f>
        <v>10836.91</v>
      </c>
      <c r="BM159" s="23">
        <f>+BM194*BM19/90</f>
        <v>11131.885901663951</v>
      </c>
      <c r="BN159" s="23">
        <f>+'QTR Raw'!AH82</f>
        <v>7884.91</v>
      </c>
      <c r="BO159" s="23">
        <f>+BO194*BO19/90</f>
        <v>5578.1119606702377</v>
      </c>
      <c r="BP159" s="23">
        <f>+'QTR Raw'!AJ82</f>
        <v>6952.82</v>
      </c>
      <c r="BQ159" s="23">
        <f>+BQ194*BQ19/90</f>
        <v>7487.6326669275822</v>
      </c>
      <c r="BR159" s="23">
        <f>+'QTR Raw'!AL82</f>
        <v>9539.84</v>
      </c>
      <c r="BS159" s="23">
        <f>+BS194*BS19/90</f>
        <v>10195.248170811881</v>
      </c>
      <c r="BT159" s="23">
        <f>+'QTR Raw'!AN82</f>
        <v>11651.47</v>
      </c>
      <c r="BU159" s="23">
        <f>+BU194*BU19/90</f>
        <v>11727.872854227382</v>
      </c>
      <c r="BV159" s="23">
        <f>+'QTR Raw'!AP82</f>
        <v>12246.43</v>
      </c>
      <c r="BW159" s="23">
        <f>+BW194*BW19/90</f>
        <v>11205.31871804078</v>
      </c>
      <c r="BX159" s="23">
        <f>+'QTR Raw'!AR82</f>
        <v>9251.85</v>
      </c>
      <c r="BY159" s="23">
        <f>+BY194*BY19/90</f>
        <v>8820.1471033870475</v>
      </c>
      <c r="BZ159" s="23">
        <f>+'QTR Raw'!AT82</f>
        <v>8257.24</v>
      </c>
      <c r="CA159" s="23">
        <f>+CA194*CA19/90</f>
        <v>7801.9120901172364</v>
      </c>
      <c r="CB159" s="23">
        <f>+'QTR Raw'!AV82</f>
        <v>6779.68</v>
      </c>
      <c r="CC159" s="23">
        <f>+CC194*CC19/90</f>
        <v>6734.6237208085286</v>
      </c>
      <c r="CD159" s="23">
        <f>+'QTR Raw'!AX82</f>
        <v>6263.53</v>
      </c>
      <c r="CE159" s="23">
        <f>+CE194*CE19/90</f>
        <v>5845.5949745643484</v>
      </c>
      <c r="CF159" s="23">
        <f>+'QTR Raw'!AZ82</f>
        <v>6041.19</v>
      </c>
      <c r="CG159" s="23">
        <f>+CG194*CG19/90</f>
        <v>6012.453707236341</v>
      </c>
      <c r="CH159" s="23">
        <f t="shared" si="1319"/>
        <v>5260.06</v>
      </c>
      <c r="CI159" s="23">
        <f>+CI194*CI19/90</f>
        <v>4975.6226576667204</v>
      </c>
      <c r="CJ159" s="23">
        <f>+'QTR Raw'!BD82</f>
        <v>5773.76</v>
      </c>
      <c r="CK159" s="23">
        <f t="shared" ref="CK159:DB159" si="1343">+CK194*CK19/90</f>
        <v>5607.8064161962093</v>
      </c>
      <c r="CL159" s="23">
        <f>+'QTR Raw'!BF82</f>
        <v>4916.8900000000003</v>
      </c>
      <c r="CM159" s="24">
        <f t="shared" si="1343"/>
        <v>4429.1783756100376</v>
      </c>
      <c r="CN159" s="24">
        <f t="shared" si="1343"/>
        <v>4771.4185017586669</v>
      </c>
      <c r="CO159" s="24">
        <f t="shared" si="1343"/>
        <v>5177.6594352467655</v>
      </c>
      <c r="CP159" s="24">
        <f t="shared" si="1343"/>
        <v>5603.6955470775729</v>
      </c>
      <c r="CQ159" s="24">
        <f t="shared" si="1343"/>
        <v>4706.3578669443632</v>
      </c>
      <c r="CR159" s="24">
        <f t="shared" si="1343"/>
        <v>5058.8051910619561</v>
      </c>
      <c r="CS159" s="24">
        <f t="shared" si="1343"/>
        <v>5508.6786727769286</v>
      </c>
      <c r="CT159" s="24">
        <f t="shared" si="1343"/>
        <v>5826.222050059182</v>
      </c>
      <c r="CU159" s="24">
        <f t="shared" si="1343"/>
        <v>5022.6396949329255</v>
      </c>
      <c r="CV159" s="24">
        <f t="shared" si="1343"/>
        <v>5404.5863450803454</v>
      </c>
      <c r="CW159" s="24">
        <f t="shared" si="1343"/>
        <v>5896.384509229867</v>
      </c>
      <c r="CX159" s="24">
        <f t="shared" si="1343"/>
        <v>6245.6422603798528</v>
      </c>
      <c r="CY159" s="24">
        <f t="shared" si="1343"/>
        <v>5371.6023509161678</v>
      </c>
      <c r="CZ159" s="24">
        <f t="shared" si="1343"/>
        <v>5783.1670406720923</v>
      </c>
      <c r="DA159" s="24">
        <f t="shared" si="1343"/>
        <v>6311.9199683492307</v>
      </c>
      <c r="DB159" s="24">
        <f t="shared" si="1343"/>
        <v>6685.9345778711504</v>
      </c>
      <c r="DE159" s="123"/>
      <c r="DF159" s="23">
        <v>6184.2756991876959</v>
      </c>
    </row>
    <row r="160" spans="1:110" s="23" customFormat="1" outlineLevel="1" x14ac:dyDescent="0.2">
      <c r="A160" s="23" t="s">
        <v>63</v>
      </c>
      <c r="B160" s="23">
        <f>'Annual Raw'!C79</f>
        <v>0.09</v>
      </c>
      <c r="C160" s="23">
        <f>'Annual Raw'!D79</f>
        <v>0.11</v>
      </c>
      <c r="D160" s="23">
        <f>'Annual Raw'!E79</f>
        <v>3.56</v>
      </c>
      <c r="E160" s="23">
        <f>'Annual Raw'!F79</f>
        <v>0.28999999999999998</v>
      </c>
      <c r="F160" s="23">
        <f>'Annual Raw'!G79</f>
        <v>0.66</v>
      </c>
      <c r="G160" s="23">
        <f>'Annual Raw'!H79</f>
        <v>1.1000000000000001</v>
      </c>
      <c r="H160" s="23">
        <f>'Annual Raw'!I79</f>
        <v>1.1599999999999999</v>
      </c>
      <c r="I160" s="23">
        <f>'Annual Raw'!J79</f>
        <v>8.9600000000000009</v>
      </c>
      <c r="J160" s="23">
        <f>'Annual Raw'!K79</f>
        <v>478.47</v>
      </c>
      <c r="K160" s="23">
        <f>'Annual Raw'!L79</f>
        <v>7.63</v>
      </c>
      <c r="L160" s="23">
        <f>'Annual Raw'!M79</f>
        <v>855.69</v>
      </c>
      <c r="M160" s="23">
        <f>'Annual Raw'!N79</f>
        <v>1589.47</v>
      </c>
      <c r="N160" s="23">
        <f>'Annual Raw'!O79</f>
        <v>2746</v>
      </c>
      <c r="O160" s="23">
        <f>'Annual Raw'!P79</f>
        <v>2094.0100000000002</v>
      </c>
      <c r="P160" s="23">
        <f>'Annual Raw'!Q79</f>
        <v>1859.6</v>
      </c>
      <c r="Q160" s="23">
        <f>'Annual Raw'!R79</f>
        <v>2573.0700000000002</v>
      </c>
      <c r="R160" s="23">
        <f>'Annual Raw'!S79</f>
        <v>2696.85</v>
      </c>
      <c r="S160" s="23">
        <f>'Annual Raw'!T79</f>
        <v>3777.09</v>
      </c>
      <c r="T160" s="23">
        <f>'Annual Raw'!U79</f>
        <v>5115.49</v>
      </c>
      <c r="U160" s="23">
        <f>'Annual Raw'!V79</f>
        <v>5102.49</v>
      </c>
      <c r="V160" s="23">
        <f>'Annual Raw'!W79</f>
        <v>4056.75</v>
      </c>
      <c r="W160" s="23">
        <f>'Annual Raw'!X79</f>
        <v>6614.4</v>
      </c>
      <c r="X160" s="23">
        <f>'Annual Raw'!Y79</f>
        <v>6573.05</v>
      </c>
      <c r="Y160" s="23">
        <f>'Annual Raw'!Z79</f>
        <v>5342.7</v>
      </c>
      <c r="Z160" s="23">
        <f>'Annual Raw'!AA79</f>
        <v>6180.7</v>
      </c>
      <c r="AA160" s="23">
        <f>'Annual Raw'!AB79</f>
        <v>7477.47</v>
      </c>
      <c r="AB160" s="24">
        <f t="shared" si="1337"/>
        <v>32902.588884305369</v>
      </c>
      <c r="AC160" s="24">
        <f t="shared" si="1338"/>
        <v>34209.17272383684</v>
      </c>
      <c r="AD160" s="24">
        <f t="shared" si="1339"/>
        <v>36671.835199700086</v>
      </c>
      <c r="AE160" s="24">
        <f t="shared" si="1340"/>
        <v>39257.050079707144</v>
      </c>
      <c r="AJ160" s="23">
        <f>+'QTR Raw'!D84</f>
        <v>119.01</v>
      </c>
      <c r="AK160" s="23">
        <f t="shared" si="1341"/>
        <v>119.01</v>
      </c>
      <c r="AL160" s="23">
        <f>+'QTR Raw'!F84</f>
        <v>1484.87</v>
      </c>
      <c r="AM160" s="23">
        <f t="shared" si="1341"/>
        <v>1484.87</v>
      </c>
      <c r="AN160" s="23">
        <f>+'QTR Raw'!H84</f>
        <v>573.16</v>
      </c>
      <c r="AO160" s="23">
        <f t="shared" si="1341"/>
        <v>573.16</v>
      </c>
      <c r="AP160" s="23">
        <f>+'QTR Raw'!J84</f>
        <v>637.75</v>
      </c>
      <c r="AQ160" s="23">
        <f t="shared" si="1341"/>
        <v>637.75</v>
      </c>
      <c r="AR160" s="23">
        <f>+'QTR Raw'!L84</f>
        <v>536.66</v>
      </c>
      <c r="AS160" s="23">
        <f t="shared" si="1341"/>
        <v>536.66</v>
      </c>
      <c r="AT160" s="23">
        <f>+'QTR Raw'!N84</f>
        <v>407.46</v>
      </c>
      <c r="AU160" s="23">
        <f t="shared" si="1341"/>
        <v>407.46</v>
      </c>
      <c r="AV160" s="23">
        <f>+'QTR Raw'!P84</f>
        <v>328.62</v>
      </c>
      <c r="AW160" s="23">
        <f t="shared" si="1341"/>
        <v>328.62</v>
      </c>
      <c r="AX160" s="23">
        <f>+'QTR Raw'!R84</f>
        <v>2862.52</v>
      </c>
      <c r="AY160" s="23">
        <f t="shared" si="1341"/>
        <v>2862.52</v>
      </c>
      <c r="AZ160" s="23">
        <f>+'QTR Raw'!T84</f>
        <v>3473.04</v>
      </c>
      <c r="BA160" s="23">
        <f t="shared" si="1341"/>
        <v>3473.04</v>
      </c>
      <c r="BB160" s="23">
        <f>+'QTR Raw'!V84</f>
        <v>3725.71</v>
      </c>
      <c r="BC160" s="23">
        <f t="shared" si="1341"/>
        <v>3725.71</v>
      </c>
      <c r="BD160" s="23">
        <f>+'QTR Raw'!X84</f>
        <v>5106.2700000000004</v>
      </c>
      <c r="BE160" s="23">
        <f t="shared" si="1341"/>
        <v>5106.2700000000004</v>
      </c>
      <c r="BF160" s="23">
        <f>+'QTR Raw'!Z84</f>
        <v>4027.3</v>
      </c>
      <c r="BG160" s="23">
        <f t="shared" si="1341"/>
        <v>4027.3</v>
      </c>
      <c r="BH160" s="23">
        <f>+'QTR Raw'!AB84</f>
        <v>5645.89</v>
      </c>
      <c r="BI160" s="23">
        <f t="shared" si="1341"/>
        <v>5645.89</v>
      </c>
      <c r="BJ160" s="23">
        <f>+'QTR Raw'!AD84</f>
        <v>9417.9500000000007</v>
      </c>
      <c r="BK160" s="23">
        <f t="shared" si="1341"/>
        <v>9417.9500000000007</v>
      </c>
      <c r="BL160" s="23">
        <f>+'QTR Raw'!AF84</f>
        <v>8911.3799999999992</v>
      </c>
      <c r="BM160" s="23">
        <f t="shared" si="1341"/>
        <v>8911.3799999999992</v>
      </c>
      <c r="BN160" s="23">
        <f>+'QTR Raw'!AH84</f>
        <v>8076.82</v>
      </c>
      <c r="BO160" s="23">
        <f t="shared" si="1341"/>
        <v>8076.82</v>
      </c>
      <c r="BP160" s="23">
        <f>+'QTR Raw'!AJ84</f>
        <v>7432.92</v>
      </c>
      <c r="BQ160" s="23">
        <f t="shared" si="1341"/>
        <v>7432.92</v>
      </c>
      <c r="BR160" s="23">
        <f>+'QTR Raw'!AL84</f>
        <v>4389.0200000000004</v>
      </c>
      <c r="BS160" s="23">
        <f t="shared" si="1341"/>
        <v>4389.0200000000004</v>
      </c>
      <c r="BT160" s="23">
        <f>+'QTR Raw'!AN84</f>
        <v>5118</v>
      </c>
      <c r="BU160" s="23">
        <f t="shared" si="1341"/>
        <v>5118</v>
      </c>
      <c r="BV160" s="23">
        <f>+'QTR Raw'!AP84</f>
        <v>6756.06</v>
      </c>
      <c r="BW160" s="23">
        <f t="shared" si="1341"/>
        <v>6756.06</v>
      </c>
      <c r="BX160" s="23">
        <f>+'QTR Raw'!AR84</f>
        <v>8337.33</v>
      </c>
      <c r="BY160" s="23">
        <f t="shared" si="1341"/>
        <v>8337.33</v>
      </c>
      <c r="BZ160" s="23">
        <f>+'QTR Raw'!AT84</f>
        <v>6944.41</v>
      </c>
      <c r="CA160" s="23">
        <f t="shared" si="1341"/>
        <v>6944.41</v>
      </c>
      <c r="CB160" s="23">
        <f>+'QTR Raw'!AV84</f>
        <v>6351.33</v>
      </c>
      <c r="CC160" s="23">
        <f t="shared" si="1341"/>
        <v>6351.33</v>
      </c>
      <c r="CD160" s="23">
        <f>+'QTR Raw'!AX84</f>
        <v>5672</v>
      </c>
      <c r="CE160" s="23">
        <f t="shared" si="1341"/>
        <v>5672</v>
      </c>
      <c r="CF160" s="23">
        <f>+'QTR Raw'!AZ84</f>
        <v>6321.85</v>
      </c>
      <c r="CG160" s="23">
        <f t="shared" ref="CG160:CG161" si="1344">+CF160</f>
        <v>6321.85</v>
      </c>
      <c r="CH160" s="23">
        <f t="shared" si="1319"/>
        <v>6180.7</v>
      </c>
      <c r="CI160" s="23">
        <f>CI19/90*CI195</f>
        <v>14407.460513517792</v>
      </c>
      <c r="CJ160" s="23">
        <f>+'QTR Raw'!BD84</f>
        <v>6768.91</v>
      </c>
      <c r="CK160" s="23">
        <f t="shared" ref="CK160:DB160" si="1345">CK19/90*CK195</f>
        <v>23961.626043729611</v>
      </c>
      <c r="CL160" s="23">
        <f>+'QTR Raw'!BF84</f>
        <v>9034.58</v>
      </c>
      <c r="CM160" s="24">
        <f t="shared" si="1345"/>
        <v>26006.308509025628</v>
      </c>
      <c r="CN160" s="24">
        <f t="shared" si="1345"/>
        <v>28015.801365262931</v>
      </c>
      <c r="CO160" s="24">
        <f t="shared" si="1345"/>
        <v>30401.080563649455</v>
      </c>
      <c r="CP160" s="24">
        <f t="shared" si="1345"/>
        <v>32902.588884305369</v>
      </c>
      <c r="CQ160" s="24">
        <f t="shared" si="1345"/>
        <v>27633.792153330745</v>
      </c>
      <c r="CR160" s="24">
        <f t="shared" si="1345"/>
        <v>29703.217465857306</v>
      </c>
      <c r="CS160" s="24">
        <f t="shared" si="1345"/>
        <v>32344.688990222745</v>
      </c>
      <c r="CT160" s="24">
        <f t="shared" si="1345"/>
        <v>34209.17272383684</v>
      </c>
      <c r="CU160" s="24">
        <f t="shared" si="1345"/>
        <v>29490.868589846192</v>
      </c>
      <c r="CV160" s="24">
        <f t="shared" si="1345"/>
        <v>31733.501777170597</v>
      </c>
      <c r="CW160" s="24">
        <f t="shared" si="1345"/>
        <v>34621.137744029416</v>
      </c>
      <c r="CX160" s="24">
        <f t="shared" si="1345"/>
        <v>36671.835199700086</v>
      </c>
      <c r="CY160" s="24">
        <f t="shared" si="1345"/>
        <v>31539.833368416264</v>
      </c>
      <c r="CZ160" s="24">
        <f t="shared" si="1345"/>
        <v>33956.371467706478</v>
      </c>
      <c r="DA160" s="24">
        <f t="shared" si="1345"/>
        <v>37060.990563190127</v>
      </c>
      <c r="DB160" s="24">
        <f t="shared" si="1345"/>
        <v>39257.050079707144</v>
      </c>
      <c r="DE160" s="123"/>
      <c r="DF160" s="23">
        <v>26424.824727771997</v>
      </c>
    </row>
    <row r="161" spans="1:110" s="23" customFormat="1" outlineLevel="1" x14ac:dyDescent="0.2">
      <c r="A161" s="23" t="s">
        <v>64</v>
      </c>
      <c r="B161" s="23">
        <f>'Annual Raw'!C80</f>
        <v>785.21</v>
      </c>
      <c r="C161" s="23">
        <f>'Annual Raw'!D80</f>
        <v>844.84</v>
      </c>
      <c r="D161" s="23">
        <f>'Annual Raw'!E80</f>
        <v>1192.3</v>
      </c>
      <c r="E161" s="23">
        <f>'Annual Raw'!F80</f>
        <v>687.41</v>
      </c>
      <c r="F161" s="23">
        <f>'Annual Raw'!G80</f>
        <v>791.61</v>
      </c>
      <c r="G161" s="23">
        <f>'Annual Raw'!H80</f>
        <v>1138.18</v>
      </c>
      <c r="H161" s="23">
        <f>'Annual Raw'!I80</f>
        <v>1980.34</v>
      </c>
      <c r="I161" s="23">
        <f>'Annual Raw'!J80</f>
        <v>15459.81</v>
      </c>
      <c r="J161" s="23">
        <f>'Annual Raw'!K80</f>
        <v>12998.73</v>
      </c>
      <c r="K161" s="23">
        <f>'Annual Raw'!L80</f>
        <v>6849.89</v>
      </c>
      <c r="L161" s="23">
        <f>'Annual Raw'!M80</f>
        <v>2747.78</v>
      </c>
      <c r="M161" s="23">
        <f>'Annual Raw'!N80</f>
        <v>2545.1999999999998</v>
      </c>
      <c r="N161" s="23">
        <f>'Annual Raw'!O80</f>
        <v>2799.41</v>
      </c>
      <c r="O161" s="23">
        <f>'Annual Raw'!P80</f>
        <v>1736.73</v>
      </c>
      <c r="P161" s="23">
        <f>'Annual Raw'!Q80</f>
        <v>3296.2</v>
      </c>
      <c r="Q161" s="23">
        <f>'Annual Raw'!R80</f>
        <v>263.33999999999997</v>
      </c>
      <c r="R161" s="23">
        <f>'Annual Raw'!S80</f>
        <v>264.72000000000003</v>
      </c>
      <c r="S161" s="23">
        <f>'Annual Raw'!T80</f>
        <v>404.22</v>
      </c>
      <c r="T161" s="23">
        <f>'Annual Raw'!U80</f>
        <v>399.9</v>
      </c>
      <c r="U161" s="23">
        <f>'Annual Raw'!V80</f>
        <v>366.56</v>
      </c>
      <c r="V161" s="23">
        <f>'Annual Raw'!W80</f>
        <v>238.33</v>
      </c>
      <c r="W161" s="23">
        <f>'Annual Raw'!X80</f>
        <v>147.5</v>
      </c>
      <c r="X161" s="23">
        <f>'Annual Raw'!Y80</f>
        <v>373.2</v>
      </c>
      <c r="Y161" s="23">
        <f>'Annual Raw'!Z80</f>
        <v>330.9</v>
      </c>
      <c r="Z161" s="23">
        <f>'Annual Raw'!AA80</f>
        <v>271.20999999999998</v>
      </c>
      <c r="AA161" s="23">
        <f>'Annual Raw'!AB80</f>
        <v>1560.46</v>
      </c>
      <c r="AB161" s="24">
        <f t="shared" si="1337"/>
        <v>0</v>
      </c>
      <c r="AC161" s="24">
        <f t="shared" si="1338"/>
        <v>0</v>
      </c>
      <c r="AD161" s="24">
        <f t="shared" si="1339"/>
        <v>0</v>
      </c>
      <c r="AE161" s="24">
        <f t="shared" si="1340"/>
        <v>0</v>
      </c>
      <c r="AJ161" s="23">
        <f>+'QTR Raw'!D85</f>
        <v>3952.48</v>
      </c>
      <c r="AK161" s="23">
        <f t="shared" si="1341"/>
        <v>3952.48</v>
      </c>
      <c r="AL161" s="23">
        <f>+'QTR Raw'!F85</f>
        <v>4060.54</v>
      </c>
      <c r="AM161" s="23">
        <f t="shared" si="1341"/>
        <v>4060.54</v>
      </c>
      <c r="AN161" s="23">
        <f>+'QTR Raw'!H85</f>
        <v>3814.85</v>
      </c>
      <c r="AO161" s="23">
        <f t="shared" si="1341"/>
        <v>3814.85</v>
      </c>
      <c r="AP161" s="23">
        <f>+'QTR Raw'!J85</f>
        <v>3192.99</v>
      </c>
      <c r="AQ161" s="23">
        <f t="shared" si="1341"/>
        <v>3192.99</v>
      </c>
      <c r="AR161" s="23">
        <f>+'QTR Raw'!L85</f>
        <v>5005.08</v>
      </c>
      <c r="AS161" s="23">
        <f t="shared" si="1341"/>
        <v>5005.08</v>
      </c>
      <c r="AT161" s="23">
        <f>+'QTR Raw'!N85</f>
        <v>4748.34</v>
      </c>
      <c r="AU161" s="23">
        <f t="shared" si="1341"/>
        <v>4748.34</v>
      </c>
      <c r="AV161" s="23">
        <f>+'QTR Raw'!P85</f>
        <v>4046.17</v>
      </c>
      <c r="AW161" s="23">
        <f t="shared" si="1341"/>
        <v>4046.17</v>
      </c>
      <c r="AX161" s="23">
        <f>+'QTR Raw'!R85</f>
        <v>0</v>
      </c>
      <c r="AY161" s="23">
        <f t="shared" si="1341"/>
        <v>0</v>
      </c>
      <c r="AZ161" s="23">
        <f>+'QTR Raw'!T85</f>
        <v>0</v>
      </c>
      <c r="BA161" s="23">
        <f t="shared" si="1341"/>
        <v>0</v>
      </c>
      <c r="BB161" s="23">
        <f>+'QTR Raw'!V85</f>
        <v>224.5</v>
      </c>
      <c r="BC161" s="23">
        <f t="shared" si="1341"/>
        <v>224.5</v>
      </c>
      <c r="BD161" s="23">
        <f>+'QTR Raw'!X85</f>
        <v>313.83999999999997</v>
      </c>
      <c r="BE161" s="23">
        <f t="shared" si="1341"/>
        <v>313.83999999999997</v>
      </c>
      <c r="BF161" s="23">
        <f>+'QTR Raw'!Z85</f>
        <v>256.48</v>
      </c>
      <c r="BG161" s="23">
        <f t="shared" si="1341"/>
        <v>256.48</v>
      </c>
      <c r="BH161" s="23">
        <f>+'QTR Raw'!AB85</f>
        <v>445.33</v>
      </c>
      <c r="BI161" s="23">
        <f t="shared" si="1341"/>
        <v>445.33</v>
      </c>
      <c r="BJ161" s="23">
        <f>+'QTR Raw'!AD85</f>
        <v>239.7</v>
      </c>
      <c r="BK161" s="23">
        <f t="shared" si="1341"/>
        <v>239.7</v>
      </c>
      <c r="BL161" s="23">
        <f>+'QTR Raw'!AF85</f>
        <v>217.29</v>
      </c>
      <c r="BM161" s="23">
        <f t="shared" si="1341"/>
        <v>217.29</v>
      </c>
      <c r="BN161" s="23">
        <f>+'QTR Raw'!AH85</f>
        <v>215.68</v>
      </c>
      <c r="BO161" s="23">
        <f t="shared" si="1341"/>
        <v>215.68</v>
      </c>
      <c r="BP161" s="23">
        <f>+'QTR Raw'!AJ85</f>
        <v>99.87</v>
      </c>
      <c r="BQ161" s="23">
        <f t="shared" si="1341"/>
        <v>99.87</v>
      </c>
      <c r="BR161" s="23">
        <f>+'QTR Raw'!AL85</f>
        <v>5.59</v>
      </c>
      <c r="BS161" s="23">
        <f t="shared" si="1341"/>
        <v>5.59</v>
      </c>
      <c r="BT161" s="23">
        <f>+'QTR Raw'!AN85</f>
        <v>8.06</v>
      </c>
      <c r="BU161" s="23">
        <f t="shared" si="1341"/>
        <v>8.06</v>
      </c>
      <c r="BV161" s="23">
        <f>+'QTR Raw'!AP85</f>
        <v>5.84</v>
      </c>
      <c r="BW161" s="23">
        <f t="shared" si="1341"/>
        <v>5.84</v>
      </c>
      <c r="BX161" s="23">
        <f>+'QTR Raw'!AR85</f>
        <v>105.2</v>
      </c>
      <c r="BY161" s="23">
        <f t="shared" si="1341"/>
        <v>105.2</v>
      </c>
      <c r="BZ161" s="23">
        <f>+'QTR Raw'!AT85</f>
        <v>1.84</v>
      </c>
      <c r="CA161" s="23">
        <f t="shared" si="1341"/>
        <v>1.84</v>
      </c>
      <c r="CB161" s="23">
        <f>+'QTR Raw'!AV85</f>
        <v>2.29</v>
      </c>
      <c r="CC161" s="23">
        <f t="shared" si="1341"/>
        <v>2.29</v>
      </c>
      <c r="CD161" s="23">
        <f>+'QTR Raw'!AX85</f>
        <v>1.6</v>
      </c>
      <c r="CE161" s="23">
        <f t="shared" si="1341"/>
        <v>1.6</v>
      </c>
      <c r="CF161" s="23">
        <f>+'QTR Raw'!AZ85</f>
        <v>5.15</v>
      </c>
      <c r="CG161" s="23">
        <f t="shared" si="1344"/>
        <v>5.15</v>
      </c>
      <c r="CH161" s="23">
        <f t="shared" si="1319"/>
        <v>271.20999999999998</v>
      </c>
      <c r="CJ161" s="23">
        <f>+'QTR Raw'!BD85</f>
        <v>5</v>
      </c>
      <c r="CL161" s="23">
        <f>+'QTR Raw'!BF85</f>
        <v>3.35</v>
      </c>
      <c r="CM161" s="24"/>
      <c r="CN161" s="24"/>
      <c r="CO161" s="24"/>
      <c r="CP161" s="24"/>
      <c r="CQ161" s="24"/>
      <c r="CR161" s="24"/>
      <c r="CS161" s="24"/>
      <c r="CT161" s="24"/>
      <c r="CU161" s="24"/>
      <c r="CV161" s="24"/>
      <c r="CW161" s="24"/>
      <c r="CX161" s="24"/>
      <c r="CY161" s="24"/>
      <c r="CZ161" s="24"/>
      <c r="DA161" s="24"/>
      <c r="DB161" s="24"/>
      <c r="DE161" s="123"/>
      <c r="DF161" s="23">
        <v>3.35</v>
      </c>
    </row>
    <row r="162" spans="1:110" s="22" customFormat="1" x14ac:dyDescent="0.2">
      <c r="A162" s="22" t="s">
        <v>65</v>
      </c>
      <c r="B162" s="22">
        <f>SUM(B156:B161)</f>
        <v>2986.38</v>
      </c>
      <c r="C162" s="22">
        <f t="shared" ref="C162:V162" si="1346">SUM(C156:C161)</f>
        <v>3315.02</v>
      </c>
      <c r="D162" s="22">
        <f t="shared" si="1346"/>
        <v>3467.8499999999995</v>
      </c>
      <c r="E162" s="22">
        <f t="shared" si="1346"/>
        <v>2817.7999999999997</v>
      </c>
      <c r="F162" s="22">
        <f t="shared" si="1346"/>
        <v>4606.24</v>
      </c>
      <c r="G162" s="22">
        <f t="shared" si="1346"/>
        <v>5131.3099999999995</v>
      </c>
      <c r="H162" s="22">
        <f t="shared" si="1346"/>
        <v>7556.16</v>
      </c>
      <c r="I162" s="22">
        <f t="shared" si="1346"/>
        <v>57230.93</v>
      </c>
      <c r="J162" s="22">
        <f t="shared" si="1346"/>
        <v>48177.25</v>
      </c>
      <c r="K162" s="22">
        <f t="shared" si="1346"/>
        <v>37056.600000000006</v>
      </c>
      <c r="L162" s="22">
        <f>SUM(L156:L161)</f>
        <v>51188.74</v>
      </c>
      <c r="M162" s="22">
        <f>SUM(M156:M161)</f>
        <v>51490.429999999993</v>
      </c>
      <c r="N162" s="22">
        <f t="shared" si="1346"/>
        <v>50806.97</v>
      </c>
      <c r="O162" s="22">
        <f t="shared" si="1346"/>
        <v>55642.850000000006</v>
      </c>
      <c r="P162" s="22">
        <f t="shared" si="1346"/>
        <v>48859.759999999995</v>
      </c>
      <c r="Q162" s="22">
        <f t="shared" si="1346"/>
        <v>51788.090000000004</v>
      </c>
      <c r="R162" s="22">
        <f t="shared" si="1346"/>
        <v>47277.49</v>
      </c>
      <c r="S162" s="22">
        <f t="shared" si="1346"/>
        <v>70165.52</v>
      </c>
      <c r="T162" s="22">
        <f t="shared" si="1346"/>
        <v>80610.78</v>
      </c>
      <c r="U162" s="22">
        <f t="shared" si="1346"/>
        <v>80761.73000000001</v>
      </c>
      <c r="V162" s="22">
        <f t="shared" si="1346"/>
        <v>72662.5</v>
      </c>
      <c r="W162" s="22">
        <f t="shared" ref="W162" si="1347">SUM(W156:W161)</f>
        <v>98049.50999999998</v>
      </c>
      <c r="X162" s="22">
        <f t="shared" ref="X162:Y162" si="1348">SUM(X156:X161)</f>
        <v>85793.73000000001</v>
      </c>
      <c r="Y162" s="22">
        <f t="shared" si="1348"/>
        <v>71207.22</v>
      </c>
      <c r="Z162" s="22">
        <f t="shared" ref="Z162:AA162" si="1349">SUM(Z156:Z161)</f>
        <v>65081.079999999994</v>
      </c>
      <c r="AA162" s="22">
        <f t="shared" si="1349"/>
        <v>70963.400000000009</v>
      </c>
      <c r="AB162" s="21">
        <f t="shared" ref="AA162:AD162" si="1350">SUM(AB156:AB161)</f>
        <v>89150.618443654705</v>
      </c>
      <c r="AC162" s="21">
        <f t="shared" si="1350"/>
        <v>92690.849206416286</v>
      </c>
      <c r="AD162" s="21">
        <f t="shared" si="1350"/>
        <v>99363.512063226182</v>
      </c>
      <c r="AE162" s="21">
        <f t="shared" ref="AE162" si="1351">SUM(AE156:AE161)</f>
        <v>106368.23458438634</v>
      </c>
      <c r="AJ162" s="22">
        <f t="shared" ref="AJ162" si="1352">SUM(AJ156:AJ161)</f>
        <v>52639.390000000007</v>
      </c>
      <c r="AK162" s="22">
        <f t="shared" ref="AK162" si="1353">SUM(AK156:AK161)</f>
        <v>50151.648725138599</v>
      </c>
      <c r="AL162" s="22">
        <f t="shared" ref="AL162:AM162" si="1354">SUM(AL156:AL161)</f>
        <v>51506.5</v>
      </c>
      <c r="AM162" s="22">
        <f t="shared" si="1354"/>
        <v>49477.869518162377</v>
      </c>
      <c r="AN162" s="22">
        <f t="shared" ref="AN162:AO162" si="1355">SUM(AN156:AN161)</f>
        <v>58146.350000000006</v>
      </c>
      <c r="AO162" s="22">
        <f t="shared" si="1355"/>
        <v>58256.468483616685</v>
      </c>
      <c r="AP162" s="22">
        <f t="shared" ref="AP162:CE162" si="1356">SUM(AP156:AP161)</f>
        <v>56176.329999999994</v>
      </c>
      <c r="AQ162" s="22">
        <f t="shared" si="1356"/>
        <v>50110.752061659681</v>
      </c>
      <c r="AR162" s="22">
        <f t="shared" si="1356"/>
        <v>54286.01</v>
      </c>
      <c r="AS162" s="22">
        <f t="shared" si="1356"/>
        <v>51812.328720008416</v>
      </c>
      <c r="AT162" s="22">
        <f t="shared" si="1356"/>
        <v>50125.86</v>
      </c>
      <c r="AU162" s="22">
        <f t="shared" si="1356"/>
        <v>42439.49712291683</v>
      </c>
      <c r="AV162" s="22">
        <f t="shared" si="1356"/>
        <v>61269.91</v>
      </c>
      <c r="AW162" s="22">
        <f t="shared" si="1356"/>
        <v>57328.214699402328</v>
      </c>
      <c r="AX162" s="22">
        <f t="shared" si="1356"/>
        <v>51679.07</v>
      </c>
      <c r="AY162" s="22">
        <f t="shared" si="1356"/>
        <v>48980.934508892453</v>
      </c>
      <c r="AZ162" s="22">
        <f t="shared" si="1356"/>
        <v>44848.27</v>
      </c>
      <c r="BA162" s="22">
        <f t="shared" si="1356"/>
        <v>45513.121916112497</v>
      </c>
      <c r="BB162" s="22">
        <f t="shared" si="1356"/>
        <v>47278.52</v>
      </c>
      <c r="BC162" s="22">
        <f t="shared" si="1356"/>
        <v>41457.236362974079</v>
      </c>
      <c r="BD162" s="22">
        <f t="shared" si="1356"/>
        <v>48674.58</v>
      </c>
      <c r="BE162" s="22">
        <f t="shared" si="1356"/>
        <v>49846.831847798836</v>
      </c>
      <c r="BF162" s="22">
        <f t="shared" si="1356"/>
        <v>70167.320000000007</v>
      </c>
      <c r="BG162" s="22">
        <f t="shared" si="1356"/>
        <v>72330.093505556724</v>
      </c>
      <c r="BH162" s="22">
        <f t="shared" si="1356"/>
        <v>84107.11</v>
      </c>
      <c r="BI162" s="22">
        <f t="shared" si="1356"/>
        <v>81581.706837785328</v>
      </c>
      <c r="BJ162" s="22">
        <f t="shared" si="1356"/>
        <v>80610.78</v>
      </c>
      <c r="BK162" s="22">
        <f t="shared" si="1356"/>
        <v>73974.761025653948</v>
      </c>
      <c r="BL162" s="22">
        <f t="shared" si="1356"/>
        <v>89355.83</v>
      </c>
      <c r="BM162" s="22">
        <f t="shared" si="1356"/>
        <v>90578.169169971647</v>
      </c>
      <c r="BN162" s="22">
        <f t="shared" si="1356"/>
        <v>89311.510000000009</v>
      </c>
      <c r="BO162" s="22">
        <f t="shared" si="1356"/>
        <v>77915.291487832204</v>
      </c>
      <c r="BP162" s="22">
        <f t="shared" si="1356"/>
        <v>76979.799999999988</v>
      </c>
      <c r="BQ162" s="22">
        <f t="shared" si="1356"/>
        <v>79568.397242574065</v>
      </c>
      <c r="BR162" s="22">
        <f t="shared" si="1356"/>
        <v>82113.45</v>
      </c>
      <c r="BS162" s="22">
        <f t="shared" si="1356"/>
        <v>85055.019295845545</v>
      </c>
      <c r="BT162" s="22">
        <f t="shared" si="1356"/>
        <v>96754.78</v>
      </c>
      <c r="BU162" s="22">
        <f t="shared" si="1356"/>
        <v>97113.425881776464</v>
      </c>
      <c r="BV162" s="22">
        <f t="shared" si="1356"/>
        <v>106387.20999999999</v>
      </c>
      <c r="BW162" s="22">
        <f t="shared" si="1356"/>
        <v>101195.36881032262</v>
      </c>
      <c r="BX162" s="22">
        <f t="shared" si="1356"/>
        <v>106045.12</v>
      </c>
      <c r="BY162" s="22">
        <f t="shared" si="1356"/>
        <v>102926.57780430451</v>
      </c>
      <c r="BZ162" s="22">
        <f t="shared" si="1356"/>
        <v>95016.250000000015</v>
      </c>
      <c r="CA162" s="22">
        <f t="shared" si="1356"/>
        <v>91560.304635074062</v>
      </c>
      <c r="CB162" s="22">
        <f t="shared" si="1356"/>
        <v>80127.78</v>
      </c>
      <c r="CC162" s="22">
        <f t="shared" si="1356"/>
        <v>79755.945075716663</v>
      </c>
      <c r="CD162" s="22">
        <f t="shared" si="1356"/>
        <v>78793.110000000015</v>
      </c>
      <c r="CE162" s="22">
        <f t="shared" si="1356"/>
        <v>75095.132380020499</v>
      </c>
      <c r="CF162" s="22">
        <f t="shared" ref="CF162:CG162" si="1357">SUM(CF156:CF161)</f>
        <v>79745.430000000008</v>
      </c>
      <c r="CG162" s="22">
        <f t="shared" si="1357"/>
        <v>79473.282748613245</v>
      </c>
      <c r="CH162" s="22">
        <f t="shared" ref="CH162:CI162" si="1358">SUM(CH156:CH161)</f>
        <v>65081.079999999994</v>
      </c>
      <c r="CI162" s="22">
        <f t="shared" si="1358"/>
        <v>61561.825574883253</v>
      </c>
      <c r="CJ162" s="22">
        <f t="shared" ref="CJ162:DB162" si="1359">SUM(CJ156:CJ161)</f>
        <v>76033.86</v>
      </c>
      <c r="CK162" s="22">
        <f t="shared" si="1359"/>
        <v>73848.439830572155</v>
      </c>
      <c r="CL162" s="22">
        <f t="shared" ref="CL162" si="1360">SUM(CL156:CL161)</f>
        <v>81036.060000000012</v>
      </c>
      <c r="CM162" s="21">
        <f t="shared" si="1359"/>
        <v>71731.465825984633</v>
      </c>
      <c r="CN162" s="21">
        <f t="shared" si="1359"/>
        <v>75909.711138236627</v>
      </c>
      <c r="CO162" s="21">
        <f t="shared" si="1359"/>
        <v>82372.701526156467</v>
      </c>
      <c r="CP162" s="21">
        <f t="shared" si="1359"/>
        <v>89150.618443654705</v>
      </c>
      <c r="CQ162" s="21">
        <f t="shared" si="1359"/>
        <v>74874.644942847604</v>
      </c>
      <c r="CR162" s="21">
        <f t="shared" si="1359"/>
        <v>80481.819110309501</v>
      </c>
      <c r="CS162" s="21">
        <f t="shared" si="1359"/>
        <v>87638.970811244828</v>
      </c>
      <c r="CT162" s="21">
        <f t="shared" si="1359"/>
        <v>92690.849206416286</v>
      </c>
      <c r="CU162" s="21">
        <f t="shared" si="1359"/>
        <v>79906.453029276425</v>
      </c>
      <c r="CV162" s="21">
        <f t="shared" si="1359"/>
        <v>85982.939481307636</v>
      </c>
      <c r="CW162" s="21">
        <f t="shared" si="1359"/>
        <v>93807.08162376385</v>
      </c>
      <c r="CX162" s="21">
        <f t="shared" si="1359"/>
        <v>99363.512063226182</v>
      </c>
      <c r="CY162" s="21">
        <f t="shared" si="1359"/>
        <v>85458.188724637468</v>
      </c>
      <c r="CZ162" s="21">
        <f t="shared" si="1359"/>
        <v>92005.876105770556</v>
      </c>
      <c r="DA162" s="21">
        <f t="shared" si="1359"/>
        <v>100417.94098515066</v>
      </c>
      <c r="DB162" s="21">
        <f t="shared" si="1359"/>
        <v>106368.23458438634</v>
      </c>
      <c r="DE162" s="126"/>
      <c r="DF162" s="22">
        <v>81439.885397633319</v>
      </c>
    </row>
    <row r="163" spans="1:110" s="23" customFormat="1" outlineLevel="1" x14ac:dyDescent="0.2">
      <c r="A163" s="23" t="s">
        <v>66</v>
      </c>
      <c r="B163" s="23">
        <f>'Annual Raw'!C50+'Annual Raw'!C58</f>
        <v>0</v>
      </c>
      <c r="C163" s="23">
        <f>'Annual Raw'!D50+'Annual Raw'!D58</f>
        <v>0</v>
      </c>
      <c r="D163" s="23">
        <f>'Annual Raw'!E50+'Annual Raw'!E58</f>
        <v>0</v>
      </c>
      <c r="E163" s="23">
        <f>'Annual Raw'!F50+'Annual Raw'!F58</f>
        <v>0</v>
      </c>
      <c r="F163" s="23">
        <f>'Annual Raw'!G50+'Annual Raw'!G58</f>
        <v>0</v>
      </c>
      <c r="G163" s="23">
        <f>'Annual Raw'!H50+'Annual Raw'!H58</f>
        <v>0</v>
      </c>
      <c r="H163" s="23">
        <f>'Annual Raw'!I50+'Annual Raw'!I58</f>
        <v>0</v>
      </c>
      <c r="I163" s="23">
        <f>'Annual Raw'!J50+'Annual Raw'!J58</f>
        <v>0</v>
      </c>
      <c r="J163" s="23">
        <f>'Annual Raw'!K50+'Annual Raw'!K58</f>
        <v>0</v>
      </c>
      <c r="K163" s="23">
        <f>'Annual Raw'!L50+'Annual Raw'!L58</f>
        <v>0</v>
      </c>
      <c r="L163" s="23">
        <f>'Annual Raw'!M50+'Annual Raw'!M58</f>
        <v>177.48</v>
      </c>
      <c r="M163" s="23">
        <f>'Annual Raw'!N50+'Annual Raw'!N58</f>
        <v>181.33</v>
      </c>
      <c r="N163" s="23">
        <f>'Annual Raw'!O50+'Annual Raw'!O58</f>
        <v>162.22</v>
      </c>
      <c r="O163" s="23">
        <f>'Annual Raw'!P50+'Annual Raw'!P58</f>
        <v>230.65</v>
      </c>
      <c r="P163" s="23">
        <f>'Annual Raw'!Q50+'Annual Raw'!Q58</f>
        <v>165</v>
      </c>
      <c r="Q163" s="23">
        <f>'Annual Raw'!R50+'Annual Raw'!R58</f>
        <v>2925.93</v>
      </c>
      <c r="R163" s="23">
        <f>'Annual Raw'!S50+'Annual Raw'!S58</f>
        <v>2495.3799999999997</v>
      </c>
      <c r="S163" s="23">
        <f>'Annual Raw'!T50+'Annual Raw'!T58</f>
        <v>1988.06</v>
      </c>
      <c r="T163" s="23">
        <f>'Annual Raw'!U50+'Annual Raw'!U58</f>
        <v>2921.54</v>
      </c>
      <c r="U163" s="23">
        <f>'Annual Raw'!V50+'Annual Raw'!V58</f>
        <v>2356.6999999999998</v>
      </c>
      <c r="V163" s="23">
        <f>'Annual Raw'!W50+'Annual Raw'!W58</f>
        <v>13457.79</v>
      </c>
      <c r="W163" s="23">
        <f>'Annual Raw'!X50+'Annual Raw'!X58</f>
        <v>11631.140000000001</v>
      </c>
      <c r="X163" s="23">
        <f>'Annual Raw'!Y50+'Annual Raw'!Y58</f>
        <v>10410.709999999999</v>
      </c>
      <c r="Y163" s="23">
        <f>'Annual Raw'!Z50+'Annual Raw'!Z58</f>
        <v>7882.87</v>
      </c>
      <c r="Z163" s="23">
        <f>'Annual Raw'!AA50+'Annual Raw'!AA58</f>
        <v>8593.83</v>
      </c>
      <c r="AA163" s="23">
        <f>'Annual Raw'!AB50+'Annual Raw'!AB58</f>
        <v>10928.23</v>
      </c>
      <c r="AB163" s="24">
        <f t="shared" ref="AB163:AB169" si="1361">+CP163</f>
        <v>0</v>
      </c>
      <c r="AC163" s="24">
        <f t="shared" ref="AC163:AC169" si="1362">+CT163</f>
        <v>0</v>
      </c>
      <c r="AD163" s="24">
        <f t="shared" ref="AD163:AD169" si="1363">+CX163</f>
        <v>0</v>
      </c>
      <c r="AE163" s="24">
        <f t="shared" ref="AE163:AE169" si="1364">+DB163</f>
        <v>0</v>
      </c>
      <c r="AJ163" s="23">
        <f>+'QTR Raw'!D64</f>
        <v>854.16</v>
      </c>
      <c r="AK163" s="23">
        <f t="shared" ref="AK163:CE169" si="1365">+AJ163</f>
        <v>854.16</v>
      </c>
      <c r="AL163" s="23">
        <f>+'QTR Raw'!F64</f>
        <v>1120.52</v>
      </c>
      <c r="AM163" s="23">
        <f t="shared" si="1365"/>
        <v>1120.52</v>
      </c>
      <c r="AN163" s="23">
        <f>+'QTR Raw'!H64</f>
        <v>1616.77</v>
      </c>
      <c r="AO163" s="23">
        <f t="shared" si="1365"/>
        <v>1616.77</v>
      </c>
      <c r="AP163" s="23">
        <f>+'QTR Raw'!J64</f>
        <v>1837.97</v>
      </c>
      <c r="AQ163" s="23">
        <f t="shared" si="1365"/>
        <v>1837.97</v>
      </c>
      <c r="AR163" s="23">
        <f>+'QTR Raw'!L64</f>
        <v>1784.73</v>
      </c>
      <c r="AS163" s="23">
        <f t="shared" si="1365"/>
        <v>1784.73</v>
      </c>
      <c r="AT163" s="23">
        <f>+'QTR Raw'!N64</f>
        <v>1748.8</v>
      </c>
      <c r="AU163" s="23">
        <f t="shared" si="1365"/>
        <v>1748.8</v>
      </c>
      <c r="AV163" s="23">
        <f>+'QTR Raw'!P64</f>
        <v>1217.55</v>
      </c>
      <c r="AW163" s="23">
        <f t="shared" si="1365"/>
        <v>1217.55</v>
      </c>
      <c r="AX163" s="23">
        <f>+'QTR Raw'!R64</f>
        <v>6309.83</v>
      </c>
      <c r="AY163" s="23">
        <f t="shared" si="1365"/>
        <v>6309.83</v>
      </c>
      <c r="AZ163" s="23">
        <f>+'QTR Raw'!T64</f>
        <v>6227.84</v>
      </c>
      <c r="BA163" s="23">
        <f t="shared" si="1365"/>
        <v>6227.84</v>
      </c>
      <c r="BB163" s="23">
        <f>+'QTR Raw'!V64</f>
        <v>5239.13</v>
      </c>
      <c r="BC163" s="23">
        <f t="shared" si="1365"/>
        <v>5239.13</v>
      </c>
      <c r="BD163" s="23">
        <f>+'QTR Raw'!X64</f>
        <v>5066.6099999999997</v>
      </c>
      <c r="BE163" s="23">
        <f t="shared" si="1365"/>
        <v>5066.6099999999997</v>
      </c>
      <c r="BF163" s="23">
        <f>+'QTR Raw'!Z64</f>
        <v>4592.17</v>
      </c>
      <c r="BG163" s="23">
        <f t="shared" si="1365"/>
        <v>4592.17</v>
      </c>
      <c r="BH163" s="23">
        <f>+'QTR Raw'!AB64</f>
        <v>4580.54</v>
      </c>
      <c r="BI163" s="23">
        <f t="shared" si="1365"/>
        <v>4580.54</v>
      </c>
      <c r="BJ163" s="23">
        <f>+'QTR Raw'!AD64</f>
        <v>4409.8900000000003</v>
      </c>
      <c r="BK163" s="23">
        <f t="shared" si="1365"/>
        <v>4409.8900000000003</v>
      </c>
      <c r="BL163" s="23">
        <f>+'QTR Raw'!AF64</f>
        <v>4462.7</v>
      </c>
      <c r="BM163" s="23">
        <f t="shared" si="1365"/>
        <v>4462.7</v>
      </c>
      <c r="BN163" s="23">
        <f>+'QTR Raw'!AH64</f>
        <v>4994.22</v>
      </c>
      <c r="BO163" s="23">
        <f t="shared" si="1365"/>
        <v>4994.22</v>
      </c>
      <c r="BP163" s="23">
        <f>+'QTR Raw'!AJ64</f>
        <v>6143.2</v>
      </c>
      <c r="BQ163" s="23">
        <f t="shared" si="1365"/>
        <v>6143.2</v>
      </c>
      <c r="BR163" s="23">
        <f>+'QTR Raw'!AL64</f>
        <v>17480.28</v>
      </c>
      <c r="BS163" s="23">
        <f t="shared" si="1365"/>
        <v>17480.28</v>
      </c>
      <c r="BT163" s="23">
        <f>+'QTR Raw'!AN64</f>
        <v>17118.060000000001</v>
      </c>
      <c r="BU163" s="23">
        <f t="shared" si="1365"/>
        <v>17118.060000000001</v>
      </c>
      <c r="BV163" s="23">
        <f>+'QTR Raw'!AP64</f>
        <v>16034.42</v>
      </c>
      <c r="BW163" s="23">
        <f t="shared" si="1365"/>
        <v>16034.42</v>
      </c>
      <c r="BX163" s="23">
        <f>+'QTR Raw'!AR64</f>
        <v>15784.84</v>
      </c>
      <c r="BY163" s="23">
        <f t="shared" si="1365"/>
        <v>15784.84</v>
      </c>
      <c r="BZ163" s="23">
        <f>+'QTR Raw'!AT64</f>
        <v>15213.59</v>
      </c>
      <c r="CA163" s="23">
        <f t="shared" si="1365"/>
        <v>15213.59</v>
      </c>
      <c r="CB163" s="23">
        <f>+'QTR Raw'!AV64</f>
        <v>13352.79</v>
      </c>
      <c r="CC163" s="23">
        <f t="shared" si="1365"/>
        <v>13352.79</v>
      </c>
      <c r="CD163" s="23">
        <f>+'QTR Raw'!AX64</f>
        <v>12594.18</v>
      </c>
      <c r="CE163" s="23">
        <f t="shared" si="1365"/>
        <v>12594.18</v>
      </c>
      <c r="CF163" s="23">
        <f>+'QTR Raw'!AZ64</f>
        <v>12071.15</v>
      </c>
      <c r="CG163" s="23">
        <f t="shared" ref="CG163:CG166" si="1366">+CF163</f>
        <v>12071.15</v>
      </c>
      <c r="CH163" s="23">
        <f t="shared" si="1319"/>
        <v>8593.83</v>
      </c>
      <c r="CJ163" s="23">
        <f>+'QTR Raw'!BD64</f>
        <v>13850.12</v>
      </c>
      <c r="CL163" s="23">
        <f>+'QTR Raw'!BF64</f>
        <v>15480.48</v>
      </c>
      <c r="CM163" s="24"/>
      <c r="CN163" s="24"/>
      <c r="CO163" s="24"/>
      <c r="CP163" s="24"/>
      <c r="CQ163" s="24"/>
      <c r="CR163" s="24"/>
      <c r="CS163" s="24"/>
      <c r="CT163" s="24"/>
      <c r="CU163" s="24"/>
      <c r="CV163" s="24"/>
      <c r="CW163" s="24"/>
      <c r="CX163" s="24"/>
      <c r="CY163" s="24"/>
      <c r="CZ163" s="24"/>
      <c r="DA163" s="24"/>
      <c r="DB163" s="24"/>
      <c r="DE163" s="123"/>
      <c r="DF163" s="23">
        <v>15480.48</v>
      </c>
    </row>
    <row r="164" spans="1:110" s="23" customFormat="1" outlineLevel="1" x14ac:dyDescent="0.2">
      <c r="A164" s="23" t="s">
        <v>67</v>
      </c>
      <c r="B164" s="23">
        <f>'Annual Raw'!C51</f>
        <v>0</v>
      </c>
      <c r="C164" s="23">
        <f>'Annual Raw'!D51</f>
        <v>0</v>
      </c>
      <c r="D164" s="23">
        <f>'Annual Raw'!E51</f>
        <v>0</v>
      </c>
      <c r="E164" s="23">
        <f>'Annual Raw'!F51</f>
        <v>0</v>
      </c>
      <c r="F164" s="23">
        <f>'Annual Raw'!G51</f>
        <v>0</v>
      </c>
      <c r="G164" s="23">
        <f>'Annual Raw'!H51</f>
        <v>0</v>
      </c>
      <c r="H164" s="23">
        <f>'Annual Raw'!I51</f>
        <v>0</v>
      </c>
      <c r="I164" s="23">
        <f>'Annual Raw'!J51</f>
        <v>0</v>
      </c>
      <c r="J164" s="23">
        <f>'Annual Raw'!K51</f>
        <v>0</v>
      </c>
      <c r="K164" s="23">
        <f>'Annual Raw'!L51</f>
        <v>0</v>
      </c>
      <c r="L164" s="23">
        <f>'Annual Raw'!M51</f>
        <v>668.17</v>
      </c>
      <c r="M164" s="23">
        <f>'Annual Raw'!N51</f>
        <v>708.53</v>
      </c>
      <c r="N164" s="23">
        <f>'Annual Raw'!O51</f>
        <v>958.3</v>
      </c>
      <c r="O164" s="23">
        <f>'Annual Raw'!P51</f>
        <v>1607.32</v>
      </c>
      <c r="P164" s="23">
        <f>'Annual Raw'!Q51</f>
        <v>1583.8</v>
      </c>
      <c r="Q164" s="23">
        <f>'Annual Raw'!R51</f>
        <v>454.42</v>
      </c>
      <c r="R164" s="23">
        <f>'Annual Raw'!S51</f>
        <v>96.41</v>
      </c>
      <c r="S164" s="23">
        <f>'Annual Raw'!T51</f>
        <v>87.66</v>
      </c>
      <c r="T164" s="23">
        <f>'Annual Raw'!U51</f>
        <v>261.01</v>
      </c>
      <c r="U164" s="23">
        <f>'Annual Raw'!V51</f>
        <v>387.67</v>
      </c>
      <c r="V164" s="23">
        <f>'Annual Raw'!W51</f>
        <v>522.70000000000005</v>
      </c>
      <c r="W164" s="23">
        <f>'Annual Raw'!X51</f>
        <v>989.57</v>
      </c>
      <c r="X164" s="23">
        <f>'Annual Raw'!Y51</f>
        <v>1871.51</v>
      </c>
      <c r="Y164" s="23">
        <f>'Annual Raw'!Z51</f>
        <v>1491.83</v>
      </c>
      <c r="Z164" s="23">
        <f>'Annual Raw'!AA51</f>
        <v>1294.17</v>
      </c>
      <c r="AA164" s="23">
        <f>'Annual Raw'!AB51</f>
        <v>1262.6199999999999</v>
      </c>
      <c r="AB164" s="24">
        <f t="shared" si="1361"/>
        <v>0</v>
      </c>
      <c r="AC164" s="24">
        <f t="shared" si="1362"/>
        <v>0</v>
      </c>
      <c r="AD164" s="24">
        <f t="shared" si="1363"/>
        <v>0</v>
      </c>
      <c r="AE164" s="24">
        <f t="shared" si="1364"/>
        <v>0</v>
      </c>
      <c r="AJ164" s="23">
        <f>+'QTR Raw'!D65</f>
        <v>0</v>
      </c>
      <c r="AK164" s="23">
        <f t="shared" si="1365"/>
        <v>0</v>
      </c>
      <c r="AL164" s="23">
        <f>+'QTR Raw'!F65</f>
        <v>0</v>
      </c>
      <c r="AM164" s="23">
        <f t="shared" si="1365"/>
        <v>0</v>
      </c>
      <c r="AN164" s="23">
        <f>+'QTR Raw'!H65</f>
        <v>0</v>
      </c>
      <c r="AO164" s="23">
        <f t="shared" si="1365"/>
        <v>0</v>
      </c>
      <c r="AP164" s="23">
        <f>+'QTR Raw'!J65</f>
        <v>0</v>
      </c>
      <c r="AQ164" s="23">
        <f t="shared" si="1365"/>
        <v>0</v>
      </c>
      <c r="AR164" s="23">
        <f>+'QTR Raw'!L65</f>
        <v>0</v>
      </c>
      <c r="AS164" s="23">
        <f t="shared" si="1365"/>
        <v>0</v>
      </c>
      <c r="AT164" s="23">
        <f>+'QTR Raw'!N65</f>
        <v>0</v>
      </c>
      <c r="AU164" s="23">
        <f t="shared" si="1365"/>
        <v>0</v>
      </c>
      <c r="AV164" s="23">
        <f>+'QTR Raw'!P65</f>
        <v>0</v>
      </c>
      <c r="AW164" s="23">
        <f t="shared" si="1365"/>
        <v>0</v>
      </c>
      <c r="AX164" s="23">
        <f>+'QTR Raw'!R65</f>
        <v>0</v>
      </c>
      <c r="AY164" s="23">
        <f t="shared" si="1365"/>
        <v>0</v>
      </c>
      <c r="AZ164" s="23">
        <f>+'QTR Raw'!T65</f>
        <v>0</v>
      </c>
      <c r="BA164" s="23">
        <f t="shared" si="1365"/>
        <v>0</v>
      </c>
      <c r="BB164" s="23">
        <f>+'QTR Raw'!V65</f>
        <v>0</v>
      </c>
      <c r="BC164" s="23">
        <f t="shared" si="1365"/>
        <v>0</v>
      </c>
      <c r="BD164" s="23">
        <f>+'QTR Raw'!X65</f>
        <v>0</v>
      </c>
      <c r="BE164" s="23">
        <f t="shared" si="1365"/>
        <v>0</v>
      </c>
      <c r="BF164" s="23">
        <f>+'QTR Raw'!Z65</f>
        <v>0</v>
      </c>
      <c r="BG164" s="23">
        <f t="shared" si="1365"/>
        <v>0</v>
      </c>
      <c r="BH164" s="23">
        <f>+'QTR Raw'!AB65</f>
        <v>0</v>
      </c>
      <c r="BI164" s="23">
        <f t="shared" si="1365"/>
        <v>0</v>
      </c>
      <c r="BJ164" s="23">
        <f>+'QTR Raw'!AD65</f>
        <v>0</v>
      </c>
      <c r="BK164" s="23">
        <f t="shared" si="1365"/>
        <v>0</v>
      </c>
      <c r="BL164" s="23">
        <f>+'QTR Raw'!AF65</f>
        <v>0</v>
      </c>
      <c r="BM164" s="23">
        <f t="shared" si="1365"/>
        <v>0</v>
      </c>
      <c r="BN164" s="23">
        <f>+'QTR Raw'!AH65</f>
        <v>0</v>
      </c>
      <c r="BO164" s="23">
        <f t="shared" si="1365"/>
        <v>0</v>
      </c>
      <c r="BP164" s="23">
        <f>+'QTR Raw'!AJ65</f>
        <v>0</v>
      </c>
      <c r="BQ164" s="23">
        <f t="shared" si="1365"/>
        <v>0</v>
      </c>
      <c r="BR164" s="23">
        <f>+'QTR Raw'!AL65</f>
        <v>0</v>
      </c>
      <c r="BS164" s="23">
        <f t="shared" si="1365"/>
        <v>0</v>
      </c>
      <c r="BT164" s="23">
        <f>+'QTR Raw'!AN65</f>
        <v>0</v>
      </c>
      <c r="BU164" s="23">
        <f t="shared" si="1365"/>
        <v>0</v>
      </c>
      <c r="BV164" s="23">
        <f>+'QTR Raw'!AP65</f>
        <v>0</v>
      </c>
      <c r="BW164" s="23">
        <f t="shared" si="1365"/>
        <v>0</v>
      </c>
      <c r="BX164" s="23">
        <f>+'QTR Raw'!AR65</f>
        <v>0</v>
      </c>
      <c r="BY164" s="23">
        <f t="shared" si="1365"/>
        <v>0</v>
      </c>
      <c r="BZ164" s="23">
        <f>+'QTR Raw'!AT65</f>
        <v>0</v>
      </c>
      <c r="CA164" s="23">
        <f t="shared" si="1365"/>
        <v>0</v>
      </c>
      <c r="CB164" s="23">
        <f>+'QTR Raw'!AV65</f>
        <v>0</v>
      </c>
      <c r="CC164" s="23">
        <f t="shared" si="1365"/>
        <v>0</v>
      </c>
      <c r="CD164" s="23">
        <f>+'QTR Raw'!AX65</f>
        <v>0</v>
      </c>
      <c r="CE164" s="23">
        <f t="shared" si="1365"/>
        <v>0</v>
      </c>
      <c r="CF164" s="23">
        <f>+'QTR Raw'!AZ65</f>
        <v>0</v>
      </c>
      <c r="CG164" s="23">
        <f t="shared" si="1366"/>
        <v>0</v>
      </c>
      <c r="CH164" s="23">
        <f t="shared" si="1319"/>
        <v>1294.17</v>
      </c>
      <c r="CJ164" s="23">
        <f>+'QTR Raw'!BD65</f>
        <v>0</v>
      </c>
      <c r="CL164" s="23">
        <f>+'QTR Raw'!BF65</f>
        <v>0</v>
      </c>
      <c r="CM164" s="24"/>
      <c r="CN164" s="24"/>
      <c r="CO164" s="24"/>
      <c r="CP164" s="24"/>
      <c r="CQ164" s="24"/>
      <c r="CR164" s="24"/>
      <c r="CS164" s="24"/>
      <c r="CT164" s="24"/>
      <c r="CU164" s="24"/>
      <c r="CV164" s="24"/>
      <c r="CW164" s="24"/>
      <c r="CX164" s="24"/>
      <c r="CY164" s="24"/>
      <c r="CZ164" s="24"/>
      <c r="DA164" s="24"/>
      <c r="DB164" s="24"/>
      <c r="DE164" s="123"/>
      <c r="DF164" s="23">
        <v>0</v>
      </c>
    </row>
    <row r="165" spans="1:110" s="23" customFormat="1" outlineLevel="1" x14ac:dyDescent="0.2">
      <c r="A165" s="23" t="s">
        <v>68</v>
      </c>
      <c r="B165" s="23">
        <f>'Annual Raw'!C52</f>
        <v>0</v>
      </c>
      <c r="C165" s="23">
        <f>'Annual Raw'!D52</f>
        <v>0</v>
      </c>
      <c r="D165" s="23">
        <f>'Annual Raw'!E52</f>
        <v>0</v>
      </c>
      <c r="E165" s="23">
        <f>'Annual Raw'!F52</f>
        <v>0</v>
      </c>
      <c r="F165" s="23">
        <f>'Annual Raw'!G52</f>
        <v>0</v>
      </c>
      <c r="G165" s="23">
        <f>'Annual Raw'!H52</f>
        <v>0</v>
      </c>
      <c r="H165" s="23">
        <f>'Annual Raw'!I52</f>
        <v>0</v>
      </c>
      <c r="I165" s="23">
        <f>'Annual Raw'!J52</f>
        <v>0</v>
      </c>
      <c r="J165" s="23">
        <f>'Annual Raw'!K52</f>
        <v>0</v>
      </c>
      <c r="K165" s="23">
        <f>'Annual Raw'!L52</f>
        <v>0</v>
      </c>
      <c r="L165" s="23">
        <f>'Annual Raw'!M52</f>
        <v>4585.05</v>
      </c>
      <c r="M165" s="23">
        <f>'Annual Raw'!N52</f>
        <v>4715.05</v>
      </c>
      <c r="N165" s="23">
        <f>'Annual Raw'!O52</f>
        <v>5356.44</v>
      </c>
      <c r="O165" s="23">
        <f>'Annual Raw'!P52</f>
        <v>6156.48</v>
      </c>
      <c r="P165" s="23">
        <f>'Annual Raw'!Q52</f>
        <v>7503.76</v>
      </c>
      <c r="Q165" s="23">
        <f>'Annual Raw'!R52</f>
        <v>7369.96</v>
      </c>
      <c r="R165" s="23">
        <f>'Annual Raw'!S52</f>
        <v>6945.96</v>
      </c>
      <c r="S165" s="23">
        <f>'Annual Raw'!T52</f>
        <v>6854.8</v>
      </c>
      <c r="T165" s="23">
        <f>'Annual Raw'!U52</f>
        <v>6699.67</v>
      </c>
      <c r="U165" s="23">
        <f>'Annual Raw'!V52</f>
        <v>7833.25</v>
      </c>
      <c r="V165" s="23">
        <f>'Annual Raw'!W52</f>
        <v>8191.71</v>
      </c>
      <c r="W165" s="23">
        <f>'Annual Raw'!X52</f>
        <v>8239.69</v>
      </c>
      <c r="X165" s="23">
        <f>'Annual Raw'!Y52</f>
        <v>7707.21</v>
      </c>
      <c r="Y165" s="23">
        <f>'Annual Raw'!Z52</f>
        <v>8643.51</v>
      </c>
      <c r="Z165" s="23">
        <f>'Annual Raw'!AA52</f>
        <v>9078.51</v>
      </c>
      <c r="AA165" s="23">
        <f>'Annual Raw'!AB52</f>
        <v>9279.26</v>
      </c>
      <c r="AB165" s="24">
        <f t="shared" si="1361"/>
        <v>0</v>
      </c>
      <c r="AC165" s="24">
        <f t="shared" si="1362"/>
        <v>0</v>
      </c>
      <c r="AD165" s="24">
        <f t="shared" si="1363"/>
        <v>0</v>
      </c>
      <c r="AE165" s="24">
        <f t="shared" si="1364"/>
        <v>0</v>
      </c>
      <c r="AJ165" s="23">
        <f>+'QTR Raw'!D66</f>
        <v>4840.32</v>
      </c>
      <c r="AK165" s="23">
        <f t="shared" si="1365"/>
        <v>4840.32</v>
      </c>
      <c r="AL165" s="23">
        <f>+'QTR Raw'!F66</f>
        <v>5356.44</v>
      </c>
      <c r="AM165" s="23">
        <f t="shared" si="1365"/>
        <v>5356.44</v>
      </c>
      <c r="AN165" s="23">
        <f>+'QTR Raw'!H66</f>
        <v>6020.69</v>
      </c>
      <c r="AO165" s="23">
        <f t="shared" si="1365"/>
        <v>6020.69</v>
      </c>
      <c r="AP165" s="23">
        <f>+'QTR Raw'!J66</f>
        <v>6156.48</v>
      </c>
      <c r="AQ165" s="23">
        <f t="shared" si="1365"/>
        <v>6156.48</v>
      </c>
      <c r="AR165" s="23">
        <f>+'QTR Raw'!L66</f>
        <v>6252.63</v>
      </c>
      <c r="AS165" s="23">
        <f t="shared" si="1365"/>
        <v>6252.63</v>
      </c>
      <c r="AT165" s="23">
        <f>+'QTR Raw'!N66</f>
        <v>7503.76</v>
      </c>
      <c r="AU165" s="23">
        <f t="shared" si="1365"/>
        <v>7503.76</v>
      </c>
      <c r="AV165" s="23">
        <f>+'QTR Raw'!P66</f>
        <v>8251.92</v>
      </c>
      <c r="AW165" s="23">
        <f t="shared" si="1365"/>
        <v>8251.92</v>
      </c>
      <c r="AX165" s="23">
        <f>+'QTR Raw'!R66</f>
        <v>4440.4799999999996</v>
      </c>
      <c r="AY165" s="23">
        <f t="shared" si="1365"/>
        <v>4440.4799999999996</v>
      </c>
      <c r="AZ165" s="23">
        <f>+'QTR Raw'!T66</f>
        <v>4371.07</v>
      </c>
      <c r="BA165" s="23">
        <f t="shared" si="1365"/>
        <v>4371.07</v>
      </c>
      <c r="BB165" s="23">
        <f>+'QTR Raw'!V66</f>
        <v>4279.6899999999996</v>
      </c>
      <c r="BC165" s="23">
        <f t="shared" si="1365"/>
        <v>4279.6899999999996</v>
      </c>
      <c r="BD165" s="23">
        <f>+'QTR Raw'!X66</f>
        <v>3240.11</v>
      </c>
      <c r="BE165" s="23">
        <f t="shared" si="1365"/>
        <v>3240.11</v>
      </c>
      <c r="BF165" s="23">
        <f>+'QTR Raw'!Z66</f>
        <v>4338.24</v>
      </c>
      <c r="BG165" s="23">
        <f t="shared" si="1365"/>
        <v>4338.24</v>
      </c>
      <c r="BH165" s="23">
        <f>+'QTR Raw'!AB66</f>
        <v>4416.95</v>
      </c>
      <c r="BI165" s="23">
        <f t="shared" si="1365"/>
        <v>4416.95</v>
      </c>
      <c r="BJ165" s="23">
        <f>+'QTR Raw'!AD66</f>
        <v>4046.21</v>
      </c>
      <c r="BK165" s="23">
        <f t="shared" si="1365"/>
        <v>4046.21</v>
      </c>
      <c r="BL165" s="23">
        <f>+'QTR Raw'!AF66</f>
        <v>4011.74</v>
      </c>
      <c r="BM165" s="23">
        <f t="shared" si="1365"/>
        <v>4011.74</v>
      </c>
      <c r="BN165" s="23">
        <f>+'QTR Raw'!AH66</f>
        <v>4235.07</v>
      </c>
      <c r="BO165" s="23">
        <f t="shared" si="1365"/>
        <v>4235.07</v>
      </c>
      <c r="BP165" s="23">
        <f>+'QTR Raw'!AJ66</f>
        <v>4303.1400000000003</v>
      </c>
      <c r="BQ165" s="23">
        <f t="shared" si="1365"/>
        <v>4303.1400000000003</v>
      </c>
      <c r="BR165" s="23">
        <f>+'QTR Raw'!AL66</f>
        <v>4691.92</v>
      </c>
      <c r="BS165" s="23">
        <f t="shared" si="1365"/>
        <v>4691.92</v>
      </c>
      <c r="BT165" s="23">
        <f>+'QTR Raw'!AN66</f>
        <v>4800.8500000000004</v>
      </c>
      <c r="BU165" s="23">
        <f t="shared" si="1365"/>
        <v>4800.8500000000004</v>
      </c>
      <c r="BV165" s="23">
        <f>+'QTR Raw'!AP66</f>
        <v>4825.9799999999996</v>
      </c>
      <c r="BW165" s="23">
        <f t="shared" si="1365"/>
        <v>4825.9799999999996</v>
      </c>
      <c r="BX165" s="23">
        <f>+'QTR Raw'!AR66</f>
        <v>4571.53</v>
      </c>
      <c r="BY165" s="23">
        <f t="shared" si="1365"/>
        <v>4571.53</v>
      </c>
      <c r="BZ165" s="23">
        <f>+'QTR Raw'!AT66</f>
        <v>4775.84</v>
      </c>
      <c r="CA165" s="23">
        <f t="shared" si="1365"/>
        <v>4775.84</v>
      </c>
      <c r="CB165" s="23">
        <f>+'QTR Raw'!AV66</f>
        <v>4712.41</v>
      </c>
      <c r="CC165" s="23">
        <f t="shared" si="1365"/>
        <v>4712.41</v>
      </c>
      <c r="CD165" s="23">
        <f>+'QTR Raw'!AX66</f>
        <v>5424.03</v>
      </c>
      <c r="CE165" s="23">
        <f t="shared" si="1365"/>
        <v>5424.03</v>
      </c>
      <c r="CF165" s="23">
        <f>+'QTR Raw'!AZ66</f>
        <v>5636</v>
      </c>
      <c r="CG165" s="23">
        <f t="shared" si="1366"/>
        <v>5636</v>
      </c>
      <c r="CH165" s="23">
        <f t="shared" si="1319"/>
        <v>9078.51</v>
      </c>
      <c r="CJ165" s="23">
        <f>+'QTR Raw'!BD66</f>
        <v>5764.59</v>
      </c>
      <c r="CL165" s="23">
        <f>+'QTR Raw'!BF66</f>
        <v>5989.63</v>
      </c>
      <c r="CM165" s="24"/>
      <c r="CN165" s="24"/>
      <c r="CO165" s="24"/>
      <c r="CP165" s="24"/>
      <c r="CQ165" s="24"/>
      <c r="CR165" s="24"/>
      <c r="CS165" s="24"/>
      <c r="CT165" s="24"/>
      <c r="CU165" s="24"/>
      <c r="CV165" s="24"/>
      <c r="CW165" s="24"/>
      <c r="CX165" s="24"/>
      <c r="CY165" s="24"/>
      <c r="CZ165" s="24"/>
      <c r="DA165" s="24"/>
      <c r="DB165" s="24"/>
      <c r="DE165" s="123"/>
      <c r="DF165" s="23">
        <v>5989.63</v>
      </c>
    </row>
    <row r="166" spans="1:110" s="23" customFormat="1" outlineLevel="1" x14ac:dyDescent="0.2">
      <c r="A166" s="23" t="s">
        <v>69</v>
      </c>
      <c r="B166" s="23">
        <v>0</v>
      </c>
      <c r="C166" s="23">
        <v>0</v>
      </c>
      <c r="D166" s="23">
        <v>0</v>
      </c>
      <c r="E166" s="23">
        <v>0</v>
      </c>
      <c r="F166" s="23">
        <v>0</v>
      </c>
      <c r="G166" s="23">
        <v>0</v>
      </c>
      <c r="H166" s="23">
        <v>0</v>
      </c>
      <c r="I166" s="23">
        <v>0</v>
      </c>
      <c r="J166" s="23">
        <v>0</v>
      </c>
      <c r="K166" s="23">
        <v>0</v>
      </c>
      <c r="L166" s="23">
        <v>0</v>
      </c>
      <c r="M166" s="23">
        <v>0</v>
      </c>
      <c r="N166" s="23">
        <v>0</v>
      </c>
      <c r="O166" s="23">
        <v>0</v>
      </c>
      <c r="P166" s="23">
        <v>0</v>
      </c>
      <c r="Q166" s="23">
        <v>0</v>
      </c>
      <c r="R166" s="23">
        <v>0</v>
      </c>
      <c r="S166" s="23">
        <v>0</v>
      </c>
      <c r="T166" s="23">
        <v>0</v>
      </c>
      <c r="U166" s="23">
        <v>0</v>
      </c>
      <c r="V166" s="23">
        <v>0</v>
      </c>
      <c r="W166" s="23">
        <v>0</v>
      </c>
      <c r="X166" s="23">
        <v>0</v>
      </c>
      <c r="Y166" s="23">
        <v>0</v>
      </c>
      <c r="Z166" s="23">
        <v>0</v>
      </c>
      <c r="AA166" s="23">
        <v>0</v>
      </c>
      <c r="AB166" s="24">
        <f t="shared" si="1361"/>
        <v>71087.596700852257</v>
      </c>
      <c r="AC166" s="24">
        <f t="shared" si="1362"/>
        <v>73910.532773362007</v>
      </c>
      <c r="AD166" s="24">
        <f t="shared" si="1363"/>
        <v>79231.231321128726</v>
      </c>
      <c r="AE166" s="24">
        <f t="shared" si="1364"/>
        <v>84816.710124064077</v>
      </c>
      <c r="AJ166" s="23">
        <f>+'QTR Raw'!D87</f>
        <v>40579.550000000003</v>
      </c>
      <c r="AK166" s="23">
        <f t="shared" si="1365"/>
        <v>40579.550000000003</v>
      </c>
      <c r="AL166" s="23">
        <f>+'QTR Raw'!F87</f>
        <v>0</v>
      </c>
      <c r="AM166" s="23">
        <f t="shared" si="1365"/>
        <v>0</v>
      </c>
      <c r="AN166" s="23">
        <f>+'QTR Raw'!H87</f>
        <v>0</v>
      </c>
      <c r="AO166" s="23">
        <f t="shared" si="1365"/>
        <v>0</v>
      </c>
      <c r="AP166" s="23">
        <f>+'QTR Raw'!J87</f>
        <v>0</v>
      </c>
      <c r="AQ166" s="23">
        <f t="shared" si="1365"/>
        <v>0</v>
      </c>
      <c r="AR166" s="23">
        <f>+'QTR Raw'!L87</f>
        <v>0</v>
      </c>
      <c r="AS166" s="23">
        <f t="shared" si="1365"/>
        <v>0</v>
      </c>
      <c r="AT166" s="23">
        <f>+'QTR Raw'!N87</f>
        <v>0</v>
      </c>
      <c r="AU166" s="23">
        <f t="shared" si="1365"/>
        <v>0</v>
      </c>
      <c r="AV166" s="23">
        <f>+'QTR Raw'!P87</f>
        <v>0</v>
      </c>
      <c r="AW166" s="23">
        <f t="shared" si="1365"/>
        <v>0</v>
      </c>
      <c r="AX166" s="23">
        <f>+'QTR Raw'!R87</f>
        <v>0</v>
      </c>
      <c r="AY166" s="23">
        <f t="shared" si="1365"/>
        <v>0</v>
      </c>
      <c r="AZ166" s="23">
        <f>+'QTR Raw'!T87</f>
        <v>0</v>
      </c>
      <c r="BA166" s="23">
        <f t="shared" si="1365"/>
        <v>0</v>
      </c>
      <c r="BB166" s="23">
        <f>+'QTR Raw'!V87</f>
        <v>0</v>
      </c>
      <c r="BC166" s="23">
        <f t="shared" si="1365"/>
        <v>0</v>
      </c>
      <c r="BD166" s="23">
        <f>+'QTR Raw'!X87</f>
        <v>0</v>
      </c>
      <c r="BE166" s="23">
        <f t="shared" si="1365"/>
        <v>0</v>
      </c>
      <c r="BF166" s="23">
        <f>+'QTR Raw'!Z87</f>
        <v>0</v>
      </c>
      <c r="BG166" s="23">
        <f t="shared" si="1365"/>
        <v>0</v>
      </c>
      <c r="BH166" s="23">
        <f>+'QTR Raw'!AB87</f>
        <v>0</v>
      </c>
      <c r="BI166" s="23">
        <f t="shared" si="1365"/>
        <v>0</v>
      </c>
      <c r="BJ166" s="23">
        <f>+'QTR Raw'!AD87</f>
        <v>0</v>
      </c>
      <c r="BK166" s="23">
        <f t="shared" si="1365"/>
        <v>0</v>
      </c>
      <c r="BL166" s="23">
        <f>+'QTR Raw'!AF87</f>
        <v>0</v>
      </c>
      <c r="BM166" s="23">
        <f t="shared" si="1365"/>
        <v>0</v>
      </c>
      <c r="BN166" s="23">
        <f>+'QTR Raw'!AH87</f>
        <v>0</v>
      </c>
      <c r="BO166" s="23">
        <f t="shared" si="1365"/>
        <v>0</v>
      </c>
      <c r="BP166" s="23">
        <f>+'QTR Raw'!AJ87</f>
        <v>0</v>
      </c>
      <c r="BQ166" s="23">
        <f t="shared" si="1365"/>
        <v>0</v>
      </c>
      <c r="BR166" s="23">
        <f>+'QTR Raw'!AL87</f>
        <v>0</v>
      </c>
      <c r="BS166" s="23">
        <f t="shared" si="1365"/>
        <v>0</v>
      </c>
      <c r="BT166" s="23">
        <f>+'QTR Raw'!AN87</f>
        <v>0</v>
      </c>
      <c r="BU166" s="23">
        <f t="shared" si="1365"/>
        <v>0</v>
      </c>
      <c r="BV166" s="23">
        <f>+'QTR Raw'!AP87</f>
        <v>0</v>
      </c>
      <c r="BW166" s="23">
        <f t="shared" si="1365"/>
        <v>0</v>
      </c>
      <c r="BX166" s="23">
        <f>+'QTR Raw'!AR87</f>
        <v>0</v>
      </c>
      <c r="BY166" s="23">
        <f t="shared" si="1365"/>
        <v>0</v>
      </c>
      <c r="BZ166" s="23">
        <f>+'QTR Raw'!AT87</f>
        <v>0</v>
      </c>
      <c r="CA166" s="23">
        <f t="shared" si="1365"/>
        <v>0</v>
      </c>
      <c r="CB166" s="23">
        <f>+'QTR Raw'!AV87</f>
        <v>0</v>
      </c>
      <c r="CC166" s="23">
        <f t="shared" si="1365"/>
        <v>0</v>
      </c>
      <c r="CD166" s="23">
        <f>+'QTR Raw'!AX87</f>
        <v>0</v>
      </c>
      <c r="CE166" s="23">
        <f t="shared" si="1365"/>
        <v>0</v>
      </c>
      <c r="CF166" s="23">
        <f>+'QTR Raw'!AZ87</f>
        <v>0</v>
      </c>
      <c r="CG166" s="23">
        <f t="shared" si="1366"/>
        <v>0</v>
      </c>
      <c r="CH166" s="23">
        <f t="shared" si="1319"/>
        <v>0</v>
      </c>
      <c r="CI166" s="23">
        <f>CI19/90*CI198</f>
        <v>52341.515484629424</v>
      </c>
      <c r="CJ166" s="23">
        <f>+'QTR Raw'!BD87</f>
        <v>0</v>
      </c>
      <c r="CK166" s="23">
        <f t="shared" ref="CK166:DB166" si="1367">CK19/90*CK198</f>
        <v>54013.773370371338</v>
      </c>
      <c r="CL166" s="23">
        <f>+'QTR Raw'!BF87</f>
        <v>0</v>
      </c>
      <c r="CM166" s="24">
        <f t="shared" si="1367"/>
        <v>56187.857358829417</v>
      </c>
      <c r="CN166" s="24">
        <f t="shared" si="1367"/>
        <v>60529.46154808459</v>
      </c>
      <c r="CO166" s="24">
        <f t="shared" si="1367"/>
        <v>65682.969871398192</v>
      </c>
      <c r="CP166" s="24">
        <f t="shared" si="1367"/>
        <v>71087.596700852257</v>
      </c>
      <c r="CQ166" s="24">
        <f t="shared" si="1367"/>
        <v>59704.112610062301</v>
      </c>
      <c r="CR166" s="24">
        <f t="shared" si="1367"/>
        <v>64175.203700696671</v>
      </c>
      <c r="CS166" s="24">
        <f t="shared" si="1367"/>
        <v>69882.22763978997</v>
      </c>
      <c r="CT166" s="24">
        <f t="shared" si="1367"/>
        <v>73910.532773362007</v>
      </c>
      <c r="CU166" s="24">
        <f t="shared" si="1367"/>
        <v>63716.413928535061</v>
      </c>
      <c r="CV166" s="24">
        <f t="shared" si="1367"/>
        <v>68561.728810261877</v>
      </c>
      <c r="CW166" s="24">
        <f t="shared" si="1367"/>
        <v>74800.602649422071</v>
      </c>
      <c r="CX166" s="24">
        <f t="shared" si="1367"/>
        <v>79231.231321128726</v>
      </c>
      <c r="CY166" s="24">
        <f t="shared" si="1367"/>
        <v>68143.299069561719</v>
      </c>
      <c r="CZ166" s="24">
        <f t="shared" si="1367"/>
        <v>73364.34372409129</v>
      </c>
      <c r="DA166" s="24">
        <f t="shared" si="1367"/>
        <v>80072.019856980056</v>
      </c>
      <c r="DB166" s="24">
        <f t="shared" si="1367"/>
        <v>84816.710124064077</v>
      </c>
      <c r="DE166" s="123"/>
      <c r="DF166" s="23">
        <v>59566.261972073662</v>
      </c>
    </row>
    <row r="167" spans="1:110" s="23" customFormat="1" outlineLevel="1" x14ac:dyDescent="0.2">
      <c r="A167" s="23" t="s">
        <v>70</v>
      </c>
      <c r="B167" s="23">
        <f>'Annual Raw'!C54</f>
        <v>1588.07</v>
      </c>
      <c r="C167" s="23">
        <f>'Annual Raw'!D54</f>
        <v>1671.73</v>
      </c>
      <c r="D167" s="23">
        <f>'Annual Raw'!E54</f>
        <v>1836.42</v>
      </c>
      <c r="E167" s="23">
        <f>'Annual Raw'!F54</f>
        <v>2142.42</v>
      </c>
      <c r="F167" s="23">
        <f>'Annual Raw'!G54</f>
        <v>3150.11</v>
      </c>
      <c r="G167" s="23">
        <f>'Annual Raw'!H54</f>
        <v>3027.82</v>
      </c>
      <c r="H167" s="23">
        <f>'Annual Raw'!I54</f>
        <v>5079.99</v>
      </c>
      <c r="I167" s="23">
        <f>'Annual Raw'!J54</f>
        <v>25657.89</v>
      </c>
      <c r="J167" s="23">
        <f>'Annual Raw'!K54</f>
        <v>21814.87</v>
      </c>
      <c r="K167" s="23">
        <f>'Annual Raw'!L54</f>
        <v>22023.88</v>
      </c>
      <c r="L167" s="23">
        <f>'Annual Raw'!M54</f>
        <v>18457.48</v>
      </c>
      <c r="M167" s="23">
        <f>'Annual Raw'!N54</f>
        <v>20528.55</v>
      </c>
      <c r="N167" s="23">
        <f>'Annual Raw'!O54</f>
        <v>19339.59</v>
      </c>
      <c r="O167" s="23">
        <f>'Annual Raw'!P54</f>
        <v>22904.37</v>
      </c>
      <c r="P167" s="23">
        <f>'Annual Raw'!Q54</f>
        <v>19189.86</v>
      </c>
      <c r="Q167" s="23">
        <f>'Annual Raw'!R54</f>
        <v>18556.7</v>
      </c>
      <c r="R167" s="23">
        <f>'Annual Raw'!S54</f>
        <v>18802.97</v>
      </c>
      <c r="S167" s="23">
        <f>'Annual Raw'!T54</f>
        <v>20413.810000000001</v>
      </c>
      <c r="T167" s="23">
        <f>'Annual Raw'!U54</f>
        <v>21716.959999999999</v>
      </c>
      <c r="U167" s="23">
        <f>'Annual Raw'!V54</f>
        <v>21380.85</v>
      </c>
      <c r="V167" s="23">
        <f>'Annual Raw'!W54</f>
        <v>25967.49</v>
      </c>
      <c r="W167" s="23">
        <f>'Annual Raw'!X54</f>
        <v>36764.870000000003</v>
      </c>
      <c r="X167" s="23">
        <f>'Annual Raw'!Y54</f>
        <v>37832.54</v>
      </c>
      <c r="Y167" s="23">
        <f>'Annual Raw'!Z54</f>
        <v>30227.64</v>
      </c>
      <c r="Z167" s="23">
        <f>'Annual Raw'!AA54</f>
        <v>29314.38</v>
      </c>
      <c r="AA167" s="23">
        <f>'Annual Raw'!AB54</f>
        <v>34810.14</v>
      </c>
      <c r="AB167" s="24">
        <f t="shared" si="1361"/>
        <v>39672.521962286519</v>
      </c>
      <c r="AC167" s="24">
        <f t="shared" si="1362"/>
        <v>41247.944378183602</v>
      </c>
      <c r="AD167" s="24">
        <f t="shared" si="1363"/>
        <v>44217.316530111348</v>
      </c>
      <c r="AE167" s="24">
        <f t="shared" si="1364"/>
        <v>47334.457082939756</v>
      </c>
      <c r="AJ167" s="23">
        <f>+'QTR Raw'!D89</f>
        <v>0</v>
      </c>
      <c r="AK167" s="23">
        <f>+AK197*AK19/90</f>
        <v>0</v>
      </c>
      <c r="AL167" s="23">
        <f>+'QTR Raw'!F89</f>
        <v>19339.59</v>
      </c>
      <c r="AM167" s="23">
        <f>+AM197*AM19/90</f>
        <v>18309.454060395143</v>
      </c>
      <c r="AN167" s="23">
        <f>+'QTR Raw'!H89</f>
        <v>26518.45</v>
      </c>
      <c r="AO167" s="23">
        <f>+AO197*AO19/90</f>
        <v>26584.252425890758</v>
      </c>
      <c r="AP167" s="23">
        <f>+'QTR Raw'!J89</f>
        <v>22904.37</v>
      </c>
      <c r="AQ167" s="23">
        <f>+AQ197*AQ19/90</f>
        <v>19664.874909586935</v>
      </c>
      <c r="AR167" s="23">
        <f>+'QTR Raw'!L89</f>
        <v>21010.46</v>
      </c>
      <c r="AS167" s="23">
        <f>+AS197*AS19/90</f>
        <v>19751.445367884658</v>
      </c>
      <c r="AT167" s="23">
        <f>+'QTR Raw'!N89</f>
        <v>19189.86</v>
      </c>
      <c r="AU167" s="23">
        <f>+AU197*AU19/90</f>
        <v>15354.678739981788</v>
      </c>
      <c r="AV167" s="23">
        <f>+'QTR Raw'!P89</f>
        <v>19945.09</v>
      </c>
      <c r="AW167" s="23">
        <f>+AW197*AW19/90</f>
        <v>17918.47277791618</v>
      </c>
      <c r="AX167" s="23">
        <f>+'QTR Raw'!R89</f>
        <v>18556.7</v>
      </c>
      <c r="AY167" s="23">
        <f>+AY197*AY19/90</f>
        <v>16995.939613154325</v>
      </c>
      <c r="AZ167" s="23">
        <f>+'QTR Raw'!T89</f>
        <v>17237.5</v>
      </c>
      <c r="BA167" s="23">
        <f>+BA197*BA19/90</f>
        <v>17595.958184379226</v>
      </c>
      <c r="BB167" s="23">
        <f>+'QTR Raw'!V89</f>
        <v>18574.46</v>
      </c>
      <c r="BC167" s="23">
        <f>+BC197*BC19/90</f>
        <v>15603.168479306973</v>
      </c>
      <c r="BD167" s="23">
        <f>+'QTR Raw'!X89</f>
        <v>18237.189999999999</v>
      </c>
      <c r="BE167" s="23">
        <f>+BE197*BE19/90</f>
        <v>18789.100806428261</v>
      </c>
      <c r="BF167" s="23">
        <f>+'QTR Raw'!Z89</f>
        <v>20413.810000000001</v>
      </c>
      <c r="BG167" s="23">
        <f>+BG197*BG19/90</f>
        <v>21497.348031565587</v>
      </c>
      <c r="BH167" s="23">
        <f>+'QTR Raw'!AB89</f>
        <v>22724.99</v>
      </c>
      <c r="BI167" s="23">
        <f>+BI197*BI19/90</f>
        <v>21589.617334338134</v>
      </c>
      <c r="BJ167" s="23">
        <f>+'QTR Raw'!AD89</f>
        <v>21716.959999999999</v>
      </c>
      <c r="BK167" s="23">
        <f>+BK197*BK19/90</f>
        <v>18401.483268745462</v>
      </c>
      <c r="BL167" s="23">
        <f>+'QTR Raw'!AF89</f>
        <v>19912.439999999999</v>
      </c>
      <c r="BM167" s="23">
        <f>+BM197*BM19/90</f>
        <v>20454.447818033859</v>
      </c>
      <c r="BN167" s="23">
        <f>+'QTR Raw'!AH89</f>
        <v>21380.85</v>
      </c>
      <c r="BO167" s="23">
        <f>+BO197*BO19/90</f>
        <v>15125.698976183145</v>
      </c>
      <c r="BP167" s="23">
        <f>+'QTR Raw'!AJ89</f>
        <v>22015.58</v>
      </c>
      <c r="BQ167" s="23">
        <f>+BQ197*BQ19/90</f>
        <v>23709.023962846382</v>
      </c>
      <c r="BR167" s="23">
        <f>+'QTR Raw'!AL89</f>
        <v>25967.49</v>
      </c>
      <c r="BS167" s="23">
        <f>+BS197*BS19/90</f>
        <v>27751.51416827492</v>
      </c>
      <c r="BT167" s="23">
        <f>+'QTR Raw'!AN89</f>
        <v>27530</v>
      </c>
      <c r="BU167" s="23">
        <f>+BU197*BU19/90</f>
        <v>27710.524052062083</v>
      </c>
      <c r="BV167" s="23">
        <f>+'QTR Raw'!AP89</f>
        <v>36764.870000000003</v>
      </c>
      <c r="BW167" s="23">
        <f>+BW197*BW19/90</f>
        <v>33639.36151003484</v>
      </c>
      <c r="BX167" s="23">
        <f>+'QTR Raw'!AR89</f>
        <v>32273.61</v>
      </c>
      <c r="BY167" s="23">
        <f>+BY197*BY19/90</f>
        <v>30767.682977711829</v>
      </c>
      <c r="BZ167" s="23">
        <f>+'QTR Raw'!AT89</f>
        <v>37832.54</v>
      </c>
      <c r="CA167" s="23">
        <f>+CA197*CA19/90</f>
        <v>35746.345174155533</v>
      </c>
      <c r="CB167" s="23">
        <f>+'QTR Raw'!AV89</f>
        <v>33256.71</v>
      </c>
      <c r="CC167" s="23">
        <f>+CC197*CC19/90</f>
        <v>33035.693136261623</v>
      </c>
      <c r="CD167" s="23">
        <f>+'QTR Raw'!AX89</f>
        <v>30227.64</v>
      </c>
      <c r="CE167" s="23">
        <f>+CE197*CE19/90</f>
        <v>28210.695961692567</v>
      </c>
      <c r="CF167" s="23">
        <f>+'QTR Raw'!AZ89</f>
        <v>32502.44</v>
      </c>
      <c r="CG167" s="23">
        <f>+CG197*CG19/90</f>
        <v>32347.834759745478</v>
      </c>
      <c r="CH167" s="23">
        <f t="shared" si="1319"/>
        <v>29314.38</v>
      </c>
      <c r="CI167" s="23">
        <f>+CI197*CI19/90</f>
        <v>27729.207142780153</v>
      </c>
      <c r="CJ167" s="23">
        <f>+'QTR Raw'!BD89</f>
        <v>30076.86</v>
      </c>
      <c r="CK167" s="23">
        <f t="shared" ref="CK167:DB167" si="1368">+CK197*CK19/90</f>
        <v>29212.36914714763</v>
      </c>
      <c r="CL167" s="23">
        <f>+'QTR Raw'!BF89</f>
        <v>34810.14</v>
      </c>
      <c r="CM167" s="24">
        <f t="shared" si="1368"/>
        <v>31357.284653502116</v>
      </c>
      <c r="CN167" s="24">
        <f t="shared" si="1368"/>
        <v>33780.244431909094</v>
      </c>
      <c r="CO167" s="24">
        <f t="shared" si="1368"/>
        <v>36656.311166867854</v>
      </c>
      <c r="CP167" s="24">
        <f t="shared" si="1368"/>
        <v>39672.521962286519</v>
      </c>
      <c r="CQ167" s="24">
        <f t="shared" si="1368"/>
        <v>33319.63420748373</v>
      </c>
      <c r="CR167" s="24">
        <f t="shared" si="1368"/>
        <v>35814.857955657637</v>
      </c>
      <c r="CS167" s="24">
        <f t="shared" si="1368"/>
        <v>38999.830342834415</v>
      </c>
      <c r="CT167" s="24">
        <f t="shared" si="1368"/>
        <v>41247.944378183602</v>
      </c>
      <c r="CU167" s="24">
        <f t="shared" si="1368"/>
        <v>35558.816843608962</v>
      </c>
      <c r="CV167" s="24">
        <f t="shared" si="1368"/>
        <v>38262.887173464354</v>
      </c>
      <c r="CW167" s="24">
        <f t="shared" si="1368"/>
        <v>41744.674023645632</v>
      </c>
      <c r="CX167" s="24">
        <f t="shared" si="1368"/>
        <v>44217.316530111348</v>
      </c>
      <c r="CY167" s="24">
        <f t="shared" si="1368"/>
        <v>38029.370162790088</v>
      </c>
      <c r="CZ167" s="24">
        <f t="shared" si="1368"/>
        <v>40943.127531667633</v>
      </c>
      <c r="DA167" s="24">
        <f t="shared" si="1368"/>
        <v>44686.543275735741</v>
      </c>
      <c r="DB167" s="24">
        <f t="shared" si="1368"/>
        <v>47334.457082939756</v>
      </c>
      <c r="DE167" s="123"/>
      <c r="DF167" s="23">
        <v>32215.331847162059</v>
      </c>
    </row>
    <row r="168" spans="1:110" s="23" customFormat="1" outlineLevel="1" x14ac:dyDescent="0.2">
      <c r="A168" s="23" t="s">
        <v>71</v>
      </c>
      <c r="B168" s="23">
        <f>'Annual Raw'!C55-Template!B140</f>
        <v>124.31</v>
      </c>
      <c r="C168" s="23">
        <f>'Annual Raw'!D55-Template!C140</f>
        <v>166.87</v>
      </c>
      <c r="D168" s="23">
        <f>'Annual Raw'!E55-Template!D140</f>
        <v>176.13</v>
      </c>
      <c r="E168" s="23">
        <f>'Annual Raw'!F55-Template!E140</f>
        <v>216.85</v>
      </c>
      <c r="F168" s="23">
        <f>'Annual Raw'!G55-Template!F140</f>
        <v>338.18</v>
      </c>
      <c r="G168" s="23">
        <f>'Annual Raw'!H55-Template!G140</f>
        <v>264.69</v>
      </c>
      <c r="H168" s="23">
        <f>'Annual Raw'!I55-Template!H140</f>
        <v>364.2</v>
      </c>
      <c r="I168" s="23">
        <f>'Annual Raw'!J55-Template!I140</f>
        <v>702.85000000000196</v>
      </c>
      <c r="J168" s="23">
        <f>'Annual Raw'!K55-Template!J140</f>
        <v>1278.43</v>
      </c>
      <c r="K168" s="23">
        <f>'Annual Raw'!L55-Template!K140</f>
        <v>1368.61</v>
      </c>
      <c r="L168" s="23">
        <f>'Annual Raw'!M55-Template!L140</f>
        <v>7367.55</v>
      </c>
      <c r="M168" s="23">
        <f>'Annual Raw'!N55-Template!M140</f>
        <v>8819.56</v>
      </c>
      <c r="N168" s="23">
        <f>'Annual Raw'!O55-Template!N140</f>
        <v>8352.84</v>
      </c>
      <c r="O168" s="23">
        <f>'Annual Raw'!P55-Template!O140</f>
        <v>8778.7899999999991</v>
      </c>
      <c r="P168" s="23">
        <f>'Annual Raw'!Q55-Template!P140</f>
        <v>9052.0499999999993</v>
      </c>
      <c r="Q168" s="23">
        <f>'Annual Raw'!R55-Template!Q140</f>
        <v>9649.08</v>
      </c>
      <c r="R168" s="23">
        <f>'Annual Raw'!S55-Template!R140</f>
        <v>10677.55</v>
      </c>
      <c r="S168" s="23">
        <f>'Annual Raw'!T55-Template!S140</f>
        <v>13726.070000000002</v>
      </c>
      <c r="T168" s="23">
        <f>'Annual Raw'!U55-Template!T140</f>
        <v>15411.73</v>
      </c>
      <c r="U168" s="23">
        <f>'Annual Raw'!V55-Template!U140</f>
        <v>14293.990000000002</v>
      </c>
      <c r="V168" s="23">
        <f>'Annual Raw'!W55-Template!V140</f>
        <v>20614.07</v>
      </c>
      <c r="W168" s="23">
        <f>'Annual Raw'!X55-Template!W140</f>
        <v>25258</v>
      </c>
      <c r="X168" s="23">
        <f>'Annual Raw'!Y55-Template!X140</f>
        <v>26922.04</v>
      </c>
      <c r="Y168" s="23">
        <f>'Annual Raw'!Z55-Template!Y140</f>
        <v>32085.999999999996</v>
      </c>
      <c r="Z168" s="23">
        <f>'Annual Raw'!AA55-Template!Z140</f>
        <v>30548.74</v>
      </c>
      <c r="AA168" s="23">
        <f>'Annual Raw'!AB55-Template!AA140</f>
        <v>32237.229999999996</v>
      </c>
      <c r="AB168" s="24">
        <f t="shared" si="1361"/>
        <v>0</v>
      </c>
      <c r="AC168" s="24">
        <f t="shared" si="1362"/>
        <v>0</v>
      </c>
      <c r="AD168" s="24">
        <f t="shared" si="1363"/>
        <v>0</v>
      </c>
      <c r="AE168" s="24">
        <f t="shared" si="1364"/>
        <v>0</v>
      </c>
      <c r="AJ168" s="23">
        <f>+'QTR Raw'!D91</f>
        <v>0</v>
      </c>
      <c r="AK168" s="23">
        <f t="shared" si="1365"/>
        <v>0</v>
      </c>
      <c r="AL168" s="23">
        <f>+'QTR Raw'!F91</f>
        <v>19454.98</v>
      </c>
      <c r="AM168" s="23">
        <f t="shared" si="1365"/>
        <v>19454.98</v>
      </c>
      <c r="AN168" s="23">
        <f>+'QTR Raw'!H91</f>
        <v>21728.87</v>
      </c>
      <c r="AO168" s="23">
        <f t="shared" si="1365"/>
        <v>21728.87</v>
      </c>
      <c r="AP168" s="23">
        <f>+'QTR Raw'!J91</f>
        <v>21994.85</v>
      </c>
      <c r="AQ168" s="23">
        <f t="shared" si="1365"/>
        <v>21994.85</v>
      </c>
      <c r="AR168" s="23">
        <f>+'QTR Raw'!L91</f>
        <v>35170.879999999997</v>
      </c>
      <c r="AS168" s="23">
        <f t="shared" si="1365"/>
        <v>35170.879999999997</v>
      </c>
      <c r="AT168" s="23">
        <f>+'QTR Raw'!N91</f>
        <v>14479.59</v>
      </c>
      <c r="AU168" s="23">
        <f t="shared" si="1365"/>
        <v>14479.59</v>
      </c>
      <c r="AV168" s="23">
        <f>+'QTR Raw'!P91</f>
        <v>19469.64</v>
      </c>
      <c r="AW168" s="23">
        <f t="shared" si="1365"/>
        <v>19469.64</v>
      </c>
      <c r="AX168" s="23">
        <f>+'QTR Raw'!R91</f>
        <v>12153.29</v>
      </c>
      <c r="AY168" s="23">
        <f t="shared" si="1365"/>
        <v>12153.29</v>
      </c>
      <c r="AZ168" s="23">
        <f>+'QTR Raw'!T91</f>
        <v>11889.6</v>
      </c>
      <c r="BA168" s="23">
        <f t="shared" si="1365"/>
        <v>11889.6</v>
      </c>
      <c r="BB168" s="23">
        <f>+'QTR Raw'!V91</f>
        <v>12451.11</v>
      </c>
      <c r="BC168" s="23">
        <f t="shared" si="1365"/>
        <v>12451.11</v>
      </c>
      <c r="BD168" s="23">
        <f>+'QTR Raw'!X91</f>
        <v>14318.03</v>
      </c>
      <c r="BE168" s="23">
        <f t="shared" si="1365"/>
        <v>14318.03</v>
      </c>
      <c r="BF168" s="23">
        <f>+'QTR Raw'!Z91</f>
        <v>18094.78</v>
      </c>
      <c r="BG168" s="23">
        <f t="shared" si="1365"/>
        <v>18094.78</v>
      </c>
      <c r="BH168" s="23">
        <f>+'QTR Raw'!AB91</f>
        <v>21437.69</v>
      </c>
      <c r="BI168" s="23">
        <f t="shared" si="1365"/>
        <v>21437.69</v>
      </c>
      <c r="BJ168" s="23">
        <f>+'QTR Raw'!AD91</f>
        <v>27145.68</v>
      </c>
      <c r="BK168" s="23">
        <f t="shared" si="1365"/>
        <v>27145.68</v>
      </c>
      <c r="BL168" s="23">
        <f>+'QTR Raw'!AF91</f>
        <v>26545.95</v>
      </c>
      <c r="BM168" s="23">
        <f t="shared" si="1365"/>
        <v>26545.95</v>
      </c>
      <c r="BN168" s="23">
        <f>+'QTR Raw'!AH91</f>
        <v>19431.91</v>
      </c>
      <c r="BO168" s="23">
        <f t="shared" si="1365"/>
        <v>19431.91</v>
      </c>
      <c r="BP168" s="23">
        <f>+'QTR Raw'!AJ91</f>
        <v>21205.88</v>
      </c>
      <c r="BQ168" s="23">
        <f t="shared" si="1365"/>
        <v>21205.88</v>
      </c>
      <c r="BR168" s="23">
        <f>+'QTR Raw'!AL91</f>
        <v>25205.35</v>
      </c>
      <c r="BS168" s="23">
        <f t="shared" si="1365"/>
        <v>25205.35</v>
      </c>
      <c r="BT168" s="23">
        <f>+'QTR Raw'!AN91</f>
        <v>25907.75</v>
      </c>
      <c r="BU168" s="23">
        <f t="shared" si="1365"/>
        <v>25907.75</v>
      </c>
      <c r="BV168" s="23">
        <f>+'QTR Raw'!AP91</f>
        <v>26798.92</v>
      </c>
      <c r="BW168" s="23">
        <f t="shared" si="1365"/>
        <v>26798.92</v>
      </c>
      <c r="BX168" s="23">
        <f>+'QTR Raw'!AR91</f>
        <v>28215.49</v>
      </c>
      <c r="BY168" s="23">
        <f t="shared" si="1365"/>
        <v>28215.49</v>
      </c>
      <c r="BZ168" s="23">
        <f>+'QTR Raw'!AT91</f>
        <v>29008.49</v>
      </c>
      <c r="CA168" s="23">
        <f t="shared" si="1365"/>
        <v>29008.49</v>
      </c>
      <c r="CB168" s="23">
        <f>+'QTR Raw'!AV91</f>
        <v>28174.53</v>
      </c>
      <c r="CC168" s="23">
        <f t="shared" si="1365"/>
        <v>28174.53</v>
      </c>
      <c r="CD168" s="23">
        <f>+'QTR Raw'!AX91</f>
        <v>34399.57</v>
      </c>
      <c r="CE168" s="23">
        <f t="shared" si="1365"/>
        <v>34399.57</v>
      </c>
      <c r="CF168" s="23">
        <f>+'QTR Raw'!AZ91</f>
        <v>28081.119999999999</v>
      </c>
      <c r="CG168" s="23">
        <f t="shared" ref="CG168:CG169" si="1369">+CF168</f>
        <v>28081.119999999999</v>
      </c>
      <c r="CH168" s="23">
        <f t="shared" si="1319"/>
        <v>30548.74</v>
      </c>
      <c r="CJ168" s="23">
        <f>+'QTR Raw'!BD91</f>
        <v>32008.560000000001</v>
      </c>
      <c r="CL168" s="23">
        <f>+'QTR Raw'!BF91</f>
        <v>34856.58</v>
      </c>
      <c r="CM168" s="24"/>
      <c r="CN168" s="24"/>
      <c r="CO168" s="24"/>
      <c r="CP168" s="24"/>
      <c r="CQ168" s="24"/>
      <c r="CR168" s="24"/>
      <c r="CS168" s="24"/>
      <c r="CT168" s="24"/>
      <c r="CU168" s="24"/>
      <c r="CV168" s="24"/>
      <c r="CW168" s="24"/>
      <c r="CX168" s="24"/>
      <c r="CY168" s="24"/>
      <c r="CZ168" s="24"/>
      <c r="DA168" s="24"/>
      <c r="DB168" s="24"/>
      <c r="DE168" s="123"/>
      <c r="DF168" s="23">
        <v>34856.58</v>
      </c>
    </row>
    <row r="169" spans="1:110" s="23" customFormat="1" outlineLevel="1" x14ac:dyDescent="0.2">
      <c r="A169" s="23" t="s">
        <v>72</v>
      </c>
      <c r="B169" s="23">
        <f>'Annual Raw'!C57</f>
        <v>374.75</v>
      </c>
      <c r="C169" s="23">
        <f>'Annual Raw'!D57</f>
        <v>345.16</v>
      </c>
      <c r="D169" s="23">
        <f>'Annual Raw'!E57</f>
        <v>784.19</v>
      </c>
      <c r="E169" s="23">
        <f>'Annual Raw'!F57</f>
        <v>528.04999999999995</v>
      </c>
      <c r="F169" s="23">
        <f>'Annual Raw'!G57</f>
        <v>1086.94</v>
      </c>
      <c r="G169" s="23">
        <f>'Annual Raw'!H57</f>
        <v>1074.98</v>
      </c>
      <c r="H169" s="23">
        <f>'Annual Raw'!I57</f>
        <v>2079.5700000000002</v>
      </c>
      <c r="I169" s="23">
        <f>'Annual Raw'!J57</f>
        <v>6458.01</v>
      </c>
      <c r="J169" s="23">
        <f>'Annual Raw'!K57</f>
        <v>7140.71</v>
      </c>
      <c r="K169" s="23">
        <f>'Annual Raw'!L57</f>
        <v>6594.16</v>
      </c>
      <c r="L169" s="23">
        <f>'Annual Raw'!M57</f>
        <v>3395.25</v>
      </c>
      <c r="M169" s="23">
        <f>'Annual Raw'!N57</f>
        <v>3476.19</v>
      </c>
      <c r="N169" s="23">
        <f>'Annual Raw'!O57</f>
        <v>2943.29</v>
      </c>
      <c r="O169" s="23">
        <f>'Annual Raw'!P57</f>
        <v>3197.74</v>
      </c>
      <c r="P169" s="23">
        <f>'Annual Raw'!Q57</f>
        <v>2703.52</v>
      </c>
      <c r="Q169" s="23">
        <f>'Annual Raw'!R57</f>
        <v>2634.04</v>
      </c>
      <c r="R169" s="23">
        <f>'Annual Raw'!S57</f>
        <v>1849.38</v>
      </c>
      <c r="S169" s="23">
        <f>'Annual Raw'!T57</f>
        <v>2163.4699999999998</v>
      </c>
      <c r="T169" s="23">
        <f>'Annual Raw'!U57</f>
        <v>2005.83</v>
      </c>
      <c r="U169" s="23">
        <f>'Annual Raw'!V57</f>
        <v>2414.5100000000002</v>
      </c>
      <c r="V169" s="23">
        <f>'Annual Raw'!W57</f>
        <v>9316.6</v>
      </c>
      <c r="W169" s="23">
        <f>'Annual Raw'!X57</f>
        <v>4309.41</v>
      </c>
      <c r="X169" s="23">
        <f>'Annual Raw'!Y57</f>
        <v>5969.18</v>
      </c>
      <c r="Y169" s="23">
        <f>'Annual Raw'!Z57</f>
        <v>6092.65</v>
      </c>
      <c r="Z169" s="23">
        <f>'Annual Raw'!AA57</f>
        <v>5818.43</v>
      </c>
      <c r="AA169" s="23">
        <f>'Annual Raw'!AB57</f>
        <v>8667.5499999999993</v>
      </c>
      <c r="AB169" s="24">
        <f t="shared" si="1361"/>
        <v>0</v>
      </c>
      <c r="AC169" s="24">
        <f t="shared" si="1362"/>
        <v>0</v>
      </c>
      <c r="AD169" s="24">
        <f t="shared" si="1363"/>
        <v>0</v>
      </c>
      <c r="AE169" s="24">
        <f t="shared" si="1364"/>
        <v>0</v>
      </c>
      <c r="AJ169" s="23">
        <f>+'QTR Raw'!D92</f>
        <v>2221.91</v>
      </c>
      <c r="AK169" s="23">
        <f t="shared" si="1365"/>
        <v>2221.91</v>
      </c>
      <c r="AL169" s="23">
        <f>+'QTR Raw'!F92</f>
        <v>2943.29</v>
      </c>
      <c r="AM169" s="23">
        <f t="shared" si="1365"/>
        <v>2943.29</v>
      </c>
      <c r="AN169" s="23">
        <f>+'QTR Raw'!H92</f>
        <v>2203.4899999999998</v>
      </c>
      <c r="AO169" s="23">
        <f t="shared" si="1365"/>
        <v>2203.4899999999998</v>
      </c>
      <c r="AP169" s="23">
        <f>+'QTR Raw'!J92</f>
        <v>3197.74</v>
      </c>
      <c r="AQ169" s="23">
        <f t="shared" si="1365"/>
        <v>3197.74</v>
      </c>
      <c r="AR169" s="23">
        <f>+'QTR Raw'!L92</f>
        <v>2658.72</v>
      </c>
      <c r="AS169" s="23">
        <f t="shared" si="1365"/>
        <v>2658.72</v>
      </c>
      <c r="AT169" s="23">
        <f>+'QTR Raw'!N92</f>
        <v>2703.52</v>
      </c>
      <c r="AU169" s="23">
        <f t="shared" si="1365"/>
        <v>2703.52</v>
      </c>
      <c r="AV169" s="23">
        <f>+'QTR Raw'!P92</f>
        <v>2628.31</v>
      </c>
      <c r="AW169" s="23">
        <f t="shared" si="1365"/>
        <v>2628.31</v>
      </c>
      <c r="AX169" s="23">
        <f>+'QTR Raw'!R92</f>
        <v>1521.86</v>
      </c>
      <c r="AY169" s="23">
        <f t="shared" si="1365"/>
        <v>1521.86</v>
      </c>
      <c r="AZ169" s="23">
        <f>+'QTR Raw'!T92</f>
        <v>651.23</v>
      </c>
      <c r="BA169" s="23">
        <f t="shared" si="1365"/>
        <v>651.23</v>
      </c>
      <c r="BB169" s="23">
        <f>+'QTR Raw'!V92</f>
        <v>987.38</v>
      </c>
      <c r="BC169" s="23">
        <f t="shared" si="1365"/>
        <v>987.38</v>
      </c>
      <c r="BD169" s="23">
        <f>+'QTR Raw'!X92</f>
        <v>2110.63</v>
      </c>
      <c r="BE169" s="23">
        <f t="shared" si="1365"/>
        <v>2110.63</v>
      </c>
      <c r="BF169" s="23">
        <f>+'QTR Raw'!Z92</f>
        <v>1269.6400000000001</v>
      </c>
      <c r="BG169" s="23">
        <f t="shared" si="1365"/>
        <v>1269.6400000000001</v>
      </c>
      <c r="BH169" s="23">
        <f>+'QTR Raw'!AB92</f>
        <v>1267.6199999999999</v>
      </c>
      <c r="BI169" s="23">
        <f t="shared" si="1365"/>
        <v>1267.6199999999999</v>
      </c>
      <c r="BJ169" s="23">
        <f>+'QTR Raw'!AD92</f>
        <v>1369.41</v>
      </c>
      <c r="BK169" s="23">
        <f t="shared" si="1365"/>
        <v>1369.41</v>
      </c>
      <c r="BL169" s="23">
        <f>+'QTR Raw'!AF92</f>
        <v>1406.34</v>
      </c>
      <c r="BM169" s="23">
        <f t="shared" si="1365"/>
        <v>1406.34</v>
      </c>
      <c r="BN169" s="23">
        <f>+'QTR Raw'!AH92</f>
        <v>1663.67</v>
      </c>
      <c r="BO169" s="23">
        <f t="shared" si="1365"/>
        <v>1663.67</v>
      </c>
      <c r="BP169" s="23">
        <f>+'QTR Raw'!AJ92</f>
        <v>2675.94</v>
      </c>
      <c r="BQ169" s="23">
        <f t="shared" si="1365"/>
        <v>2675.94</v>
      </c>
      <c r="BR169" s="23">
        <f>+'QTR Raw'!AL92</f>
        <v>4725.32</v>
      </c>
      <c r="BS169" s="23">
        <f t="shared" si="1365"/>
        <v>4725.32</v>
      </c>
      <c r="BT169" s="23">
        <f>+'QTR Raw'!AN92</f>
        <v>2420.7600000000002</v>
      </c>
      <c r="BU169" s="23">
        <f t="shared" si="1365"/>
        <v>2420.7600000000002</v>
      </c>
      <c r="BV169" s="23">
        <f>+'QTR Raw'!AP92</f>
        <v>2768.49</v>
      </c>
      <c r="BW169" s="23">
        <f t="shared" si="1365"/>
        <v>2768.49</v>
      </c>
      <c r="BX169" s="23">
        <f>+'QTR Raw'!AR92</f>
        <v>3092.44</v>
      </c>
      <c r="BY169" s="23">
        <f t="shared" si="1365"/>
        <v>3092.44</v>
      </c>
      <c r="BZ169" s="23">
        <f>+'QTR Raw'!AT92</f>
        <v>3882.73</v>
      </c>
      <c r="CA169" s="23">
        <f t="shared" si="1365"/>
        <v>3882.73</v>
      </c>
      <c r="CB169" s="23">
        <f>+'QTR Raw'!AV92</f>
        <v>4349.4799999999996</v>
      </c>
      <c r="CC169" s="23">
        <f t="shared" si="1365"/>
        <v>4349.4799999999996</v>
      </c>
      <c r="CD169" s="23">
        <f>+'QTR Raw'!AX92</f>
        <v>3779.08</v>
      </c>
      <c r="CE169" s="23">
        <f t="shared" si="1365"/>
        <v>3779.08</v>
      </c>
      <c r="CF169" s="23">
        <f>+'QTR Raw'!AZ92</f>
        <v>4403.16</v>
      </c>
      <c r="CG169" s="23">
        <f t="shared" si="1369"/>
        <v>4403.16</v>
      </c>
      <c r="CH169" s="23">
        <f t="shared" si="1319"/>
        <v>5818.43</v>
      </c>
      <c r="CJ169" s="23">
        <f>+'QTR Raw'!BD92</f>
        <v>3988.95</v>
      </c>
      <c r="CL169" s="23">
        <f>+'QTR Raw'!BF92</f>
        <v>6048.2</v>
      </c>
      <c r="CM169" s="24"/>
      <c r="CN169" s="24"/>
      <c r="CO169" s="24"/>
      <c r="CP169" s="24"/>
      <c r="CQ169" s="24"/>
      <c r="CR169" s="24"/>
      <c r="CS169" s="24"/>
      <c r="CT169" s="24"/>
      <c r="CU169" s="24"/>
      <c r="CV169" s="24"/>
      <c r="CW169" s="24"/>
      <c r="CX169" s="24"/>
      <c r="CY169" s="24"/>
      <c r="CZ169" s="24"/>
      <c r="DA169" s="24"/>
      <c r="DB169" s="24"/>
      <c r="DE169" s="123"/>
      <c r="DF169" s="23">
        <v>6048.2</v>
      </c>
    </row>
    <row r="170" spans="1:110" s="22" customFormat="1" x14ac:dyDescent="0.2">
      <c r="A170" s="22" t="s">
        <v>73</v>
      </c>
      <c r="B170" s="22">
        <f>SUM(B163:B169)</f>
        <v>2087.13</v>
      </c>
      <c r="C170" s="22">
        <f t="shared" ref="C170:V170" si="1370">SUM(C163:C169)</f>
        <v>2183.7599999999998</v>
      </c>
      <c r="D170" s="22">
        <f t="shared" si="1370"/>
        <v>2796.7400000000002</v>
      </c>
      <c r="E170" s="22">
        <f t="shared" si="1370"/>
        <v>2887.3199999999997</v>
      </c>
      <c r="F170" s="22">
        <f t="shared" si="1370"/>
        <v>4575.2299999999996</v>
      </c>
      <c r="G170" s="22">
        <f t="shared" si="1370"/>
        <v>4367.49</v>
      </c>
      <c r="H170" s="22">
        <f t="shared" si="1370"/>
        <v>7523.76</v>
      </c>
      <c r="I170" s="22">
        <f t="shared" si="1370"/>
        <v>32818.75</v>
      </c>
      <c r="J170" s="22">
        <f t="shared" si="1370"/>
        <v>30234.01</v>
      </c>
      <c r="K170" s="22">
        <f t="shared" si="1370"/>
        <v>29986.65</v>
      </c>
      <c r="L170" s="22">
        <f t="shared" si="1370"/>
        <v>34650.979999999996</v>
      </c>
      <c r="M170" s="22">
        <f t="shared" si="1370"/>
        <v>38429.21</v>
      </c>
      <c r="N170" s="22">
        <f t="shared" si="1370"/>
        <v>37112.68</v>
      </c>
      <c r="O170" s="22">
        <f t="shared" si="1370"/>
        <v>42875.35</v>
      </c>
      <c r="P170" s="22">
        <f t="shared" si="1370"/>
        <v>40197.99</v>
      </c>
      <c r="Q170" s="22">
        <f t="shared" si="1370"/>
        <v>41590.130000000005</v>
      </c>
      <c r="R170" s="22">
        <f t="shared" si="1370"/>
        <v>40867.65</v>
      </c>
      <c r="S170" s="22">
        <f t="shared" si="1370"/>
        <v>45233.87</v>
      </c>
      <c r="T170" s="22">
        <f t="shared" si="1370"/>
        <v>49016.740000000005</v>
      </c>
      <c r="U170" s="22">
        <f t="shared" si="1370"/>
        <v>48666.97</v>
      </c>
      <c r="V170" s="22">
        <f t="shared" si="1370"/>
        <v>78070.360000000015</v>
      </c>
      <c r="W170" s="22">
        <f t="shared" ref="W170" si="1371">SUM(W163:W169)</f>
        <v>87192.680000000008</v>
      </c>
      <c r="X170" s="22">
        <f t="shared" ref="X170:Y170" si="1372">SUM(X163:X169)</f>
        <v>90713.19</v>
      </c>
      <c r="Y170" s="22">
        <f t="shared" si="1372"/>
        <v>86424.499999999985</v>
      </c>
      <c r="Z170" s="22">
        <f t="shared" ref="Z170:AA170" si="1373">SUM(Z163:Z169)</f>
        <v>84648.06</v>
      </c>
      <c r="AA170" s="22">
        <f t="shared" si="1373"/>
        <v>97185.03</v>
      </c>
      <c r="AB170" s="21">
        <f t="shared" ref="AA170:AD170" si="1374">SUM(AB163:AB169)</f>
        <v>110760.11866313877</v>
      </c>
      <c r="AC170" s="21">
        <f t="shared" si="1374"/>
        <v>115158.47715154561</v>
      </c>
      <c r="AD170" s="21">
        <f t="shared" si="1374"/>
        <v>123448.54785124007</v>
      </c>
      <c r="AE170" s="21">
        <f t="shared" ref="AE170" si="1375">SUM(AE163:AE169)</f>
        <v>132151.16720700383</v>
      </c>
      <c r="AJ170" s="22">
        <f t="shared" ref="AJ170" si="1376">SUM(AJ163:AJ169)</f>
        <v>48495.94</v>
      </c>
      <c r="AK170" s="22">
        <f t="shared" ref="AK170" si="1377">SUM(AK163:AK169)</f>
        <v>48495.94</v>
      </c>
      <c r="AL170" s="22">
        <f t="shared" ref="AL170:AM170" si="1378">SUM(AL163:AL169)</f>
        <v>48214.82</v>
      </c>
      <c r="AM170" s="22">
        <f t="shared" si="1378"/>
        <v>47184.684060395142</v>
      </c>
      <c r="AN170" s="22">
        <f t="shared" ref="AN170:AO170" si="1379">SUM(AN163:AN169)</f>
        <v>58088.27</v>
      </c>
      <c r="AO170" s="22">
        <f t="shared" si="1379"/>
        <v>58154.07242589075</v>
      </c>
      <c r="AP170" s="22">
        <f t="shared" ref="AP170:CE170" si="1380">SUM(AP163:AP169)</f>
        <v>56091.409999999996</v>
      </c>
      <c r="AQ170" s="22">
        <f t="shared" si="1380"/>
        <v>52851.914909586929</v>
      </c>
      <c r="AR170" s="22">
        <f t="shared" si="1380"/>
        <v>66877.42</v>
      </c>
      <c r="AS170" s="22">
        <f t="shared" si="1380"/>
        <v>65618.405367884654</v>
      </c>
      <c r="AT170" s="22">
        <f t="shared" si="1380"/>
        <v>45625.529999999992</v>
      </c>
      <c r="AU170" s="22">
        <f t="shared" si="1380"/>
        <v>41790.34873998179</v>
      </c>
      <c r="AV170" s="22">
        <f t="shared" si="1380"/>
        <v>51512.509999999995</v>
      </c>
      <c r="AW170" s="22">
        <f t="shared" si="1380"/>
        <v>49485.892777916175</v>
      </c>
      <c r="AX170" s="22">
        <f t="shared" si="1380"/>
        <v>42982.16</v>
      </c>
      <c r="AY170" s="22">
        <f t="shared" si="1380"/>
        <v>41421.399613154324</v>
      </c>
      <c r="AZ170" s="22">
        <f t="shared" si="1380"/>
        <v>40377.240000000005</v>
      </c>
      <c r="BA170" s="22">
        <f t="shared" si="1380"/>
        <v>40735.698184379231</v>
      </c>
      <c r="BB170" s="22">
        <f t="shared" si="1380"/>
        <v>41531.769999999997</v>
      </c>
      <c r="BC170" s="22">
        <f t="shared" si="1380"/>
        <v>38560.47847930697</v>
      </c>
      <c r="BD170" s="22">
        <f t="shared" si="1380"/>
        <v>42972.569999999992</v>
      </c>
      <c r="BE170" s="22">
        <f t="shared" si="1380"/>
        <v>43524.480806428255</v>
      </c>
      <c r="BF170" s="22">
        <f t="shared" si="1380"/>
        <v>48708.639999999999</v>
      </c>
      <c r="BG170" s="22">
        <f t="shared" si="1380"/>
        <v>49792.178031565585</v>
      </c>
      <c r="BH170" s="22">
        <f t="shared" ref="BH170" si="1381">SUM(BH163:BH169)</f>
        <v>54427.79</v>
      </c>
      <c r="BI170" s="22">
        <f t="shared" si="1380"/>
        <v>53292.417334338134</v>
      </c>
      <c r="BJ170" s="22">
        <f t="shared" si="1380"/>
        <v>58688.15</v>
      </c>
      <c r="BK170" s="22">
        <f t="shared" si="1380"/>
        <v>55372.673268745464</v>
      </c>
      <c r="BL170" s="22">
        <f t="shared" si="1380"/>
        <v>56339.17</v>
      </c>
      <c r="BM170" s="22">
        <f t="shared" si="1380"/>
        <v>56881.177818033859</v>
      </c>
      <c r="BN170" s="22">
        <f t="shared" si="1380"/>
        <v>51705.72</v>
      </c>
      <c r="BO170" s="22">
        <f t="shared" si="1380"/>
        <v>45450.568976183145</v>
      </c>
      <c r="BP170" s="22">
        <f t="shared" si="1380"/>
        <v>56343.740000000005</v>
      </c>
      <c r="BQ170" s="22">
        <f t="shared" si="1380"/>
        <v>58037.183962846393</v>
      </c>
      <c r="BR170" s="22">
        <f t="shared" si="1380"/>
        <v>78070.360000000015</v>
      </c>
      <c r="BS170" s="22">
        <f t="shared" si="1380"/>
        <v>79854.384168274933</v>
      </c>
      <c r="BT170" s="22">
        <f t="shared" si="1380"/>
        <v>77777.42</v>
      </c>
      <c r="BU170" s="22">
        <f t="shared" si="1380"/>
        <v>77957.944052062085</v>
      </c>
      <c r="BV170" s="22">
        <f t="shared" si="1380"/>
        <v>87192.680000000008</v>
      </c>
      <c r="BW170" s="22">
        <f t="shared" si="1380"/>
        <v>84067.171510034837</v>
      </c>
      <c r="BX170" s="22">
        <f t="shared" si="1380"/>
        <v>83937.91</v>
      </c>
      <c r="BY170" s="22">
        <f t="shared" si="1380"/>
        <v>82431.982977711828</v>
      </c>
      <c r="BZ170" s="22">
        <f t="shared" si="1380"/>
        <v>90713.19</v>
      </c>
      <c r="CA170" s="22">
        <f t="shared" si="1380"/>
        <v>88626.995174155527</v>
      </c>
      <c r="CB170" s="22">
        <f t="shared" si="1380"/>
        <v>83845.919999999998</v>
      </c>
      <c r="CC170" s="22">
        <f t="shared" si="1380"/>
        <v>83624.903136261622</v>
      </c>
      <c r="CD170" s="22">
        <f t="shared" si="1380"/>
        <v>86424.5</v>
      </c>
      <c r="CE170" s="22">
        <f t="shared" si="1380"/>
        <v>84407.555961692575</v>
      </c>
      <c r="CF170" s="22">
        <f t="shared" ref="CF170:CG170" si="1382">SUM(CF163:CF169)</f>
        <v>82693.87</v>
      </c>
      <c r="CG170" s="22">
        <f t="shared" si="1382"/>
        <v>82539.264759745478</v>
      </c>
      <c r="CH170" s="22">
        <f t="shared" ref="CH170:CI170" si="1383">SUM(CH163:CH169)</f>
        <v>84648.06</v>
      </c>
      <c r="CI170" s="22">
        <f t="shared" si="1383"/>
        <v>80070.722627409574</v>
      </c>
      <c r="CJ170" s="22">
        <f t="shared" ref="CJ170:DB170" si="1384">SUM(CJ163:CJ169)</f>
        <v>85689.08</v>
      </c>
      <c r="CK170" s="22">
        <f t="shared" si="1384"/>
        <v>83226.142517518965</v>
      </c>
      <c r="CL170" s="22">
        <f t="shared" ref="CL170" si="1385">SUM(CL163:CL169)</f>
        <v>97185.03</v>
      </c>
      <c r="CM170" s="21">
        <f t="shared" si="1384"/>
        <v>87545.142012331533</v>
      </c>
      <c r="CN170" s="21">
        <f t="shared" si="1384"/>
        <v>94309.705979993683</v>
      </c>
      <c r="CO170" s="21">
        <f t="shared" si="1384"/>
        <v>102339.28103826605</v>
      </c>
      <c r="CP170" s="21">
        <f t="shared" si="1384"/>
        <v>110760.11866313877</v>
      </c>
      <c r="CQ170" s="21">
        <f t="shared" si="1384"/>
        <v>93023.746817546024</v>
      </c>
      <c r="CR170" s="21">
        <f t="shared" si="1384"/>
        <v>99990.061656354315</v>
      </c>
      <c r="CS170" s="21">
        <f t="shared" si="1384"/>
        <v>108882.05798262439</v>
      </c>
      <c r="CT170" s="21">
        <f t="shared" si="1384"/>
        <v>115158.47715154561</v>
      </c>
      <c r="CU170" s="21">
        <f t="shared" si="1384"/>
        <v>99275.230772144016</v>
      </c>
      <c r="CV170" s="21">
        <f t="shared" si="1384"/>
        <v>106824.61598372622</v>
      </c>
      <c r="CW170" s="21">
        <f t="shared" si="1384"/>
        <v>116545.27667306771</v>
      </c>
      <c r="CX170" s="21">
        <f t="shared" si="1384"/>
        <v>123448.54785124007</v>
      </c>
      <c r="CY170" s="21">
        <f t="shared" si="1384"/>
        <v>106172.66923235181</v>
      </c>
      <c r="CZ170" s="21">
        <f t="shared" si="1384"/>
        <v>114307.47125575892</v>
      </c>
      <c r="DA170" s="21">
        <f t="shared" si="1384"/>
        <v>124758.56313271579</v>
      </c>
      <c r="DB170" s="21">
        <f t="shared" si="1384"/>
        <v>132151.16720700383</v>
      </c>
      <c r="DE170" s="126"/>
      <c r="DF170" s="22">
        <v>91781.593819235713</v>
      </c>
    </row>
    <row r="171" spans="1:110" s="22" customFormat="1" x14ac:dyDescent="0.2">
      <c r="A171" s="22" t="s">
        <v>74</v>
      </c>
      <c r="B171" s="22">
        <f>B162-B170</f>
        <v>899.25</v>
      </c>
      <c r="C171" s="22">
        <f t="shared" ref="C171:V171" si="1386">C162-C170</f>
        <v>1131.2600000000002</v>
      </c>
      <c r="D171" s="22">
        <f t="shared" si="1386"/>
        <v>671.10999999999922</v>
      </c>
      <c r="E171" s="22">
        <f t="shared" si="1386"/>
        <v>-69.519999999999982</v>
      </c>
      <c r="F171" s="22">
        <f t="shared" si="1386"/>
        <v>31.010000000000218</v>
      </c>
      <c r="G171" s="22">
        <f t="shared" si="1386"/>
        <v>763.81999999999971</v>
      </c>
      <c r="H171" s="22">
        <f t="shared" si="1386"/>
        <v>32.399999999999636</v>
      </c>
      <c r="I171" s="22">
        <f t="shared" si="1386"/>
        <v>24412.18</v>
      </c>
      <c r="J171" s="22">
        <f t="shared" si="1386"/>
        <v>17943.240000000002</v>
      </c>
      <c r="K171" s="22">
        <f t="shared" si="1386"/>
        <v>7069.9500000000044</v>
      </c>
      <c r="L171" s="22">
        <f t="shared" si="1386"/>
        <v>16537.760000000002</v>
      </c>
      <c r="M171" s="22">
        <f t="shared" si="1386"/>
        <v>13061.219999999994</v>
      </c>
      <c r="N171" s="22">
        <f t="shared" si="1386"/>
        <v>13694.29</v>
      </c>
      <c r="O171" s="22">
        <f t="shared" si="1386"/>
        <v>12767.500000000007</v>
      </c>
      <c r="P171" s="22">
        <f t="shared" si="1386"/>
        <v>8661.7699999999968</v>
      </c>
      <c r="Q171" s="22">
        <f t="shared" si="1386"/>
        <v>10197.959999999999</v>
      </c>
      <c r="R171" s="22">
        <f t="shared" si="1386"/>
        <v>6409.8399999999965</v>
      </c>
      <c r="S171" s="22">
        <f t="shared" si="1386"/>
        <v>24931.65</v>
      </c>
      <c r="T171" s="22">
        <f t="shared" si="1386"/>
        <v>31594.039999999994</v>
      </c>
      <c r="U171" s="22">
        <f t="shared" si="1386"/>
        <v>32094.760000000009</v>
      </c>
      <c r="V171" s="22">
        <f t="shared" si="1386"/>
        <v>-5407.8600000000151</v>
      </c>
      <c r="W171" s="22">
        <f t="shared" ref="W171" si="1387">W162-W170</f>
        <v>10856.829999999973</v>
      </c>
      <c r="X171" s="22">
        <f t="shared" ref="X171:Y171" si="1388">X162-X170</f>
        <v>-4919.4599999999919</v>
      </c>
      <c r="Y171" s="22">
        <f t="shared" si="1388"/>
        <v>-15217.279999999984</v>
      </c>
      <c r="Z171" s="22">
        <f t="shared" ref="Z171:AA171" si="1389">Z162-Z170</f>
        <v>-19566.980000000003</v>
      </c>
      <c r="AA171" s="22">
        <f t="shared" si="1389"/>
        <v>-26221.62999999999</v>
      </c>
      <c r="AB171" s="21">
        <f t="shared" ref="AA171:AD171" si="1390">AB162-AB170</f>
        <v>-21609.500219484064</v>
      </c>
      <c r="AC171" s="21">
        <f t="shared" si="1390"/>
        <v>-22467.627945129323</v>
      </c>
      <c r="AD171" s="21">
        <f t="shared" si="1390"/>
        <v>-24085.035788013891</v>
      </c>
      <c r="AE171" s="21">
        <f t="shared" ref="AE171" si="1391">AE162-AE170</f>
        <v>-25782.932622617489</v>
      </c>
      <c r="AJ171" s="22">
        <f t="shared" ref="AJ171" si="1392">AJ162-AJ170</f>
        <v>4143.4500000000044</v>
      </c>
      <c r="AK171" s="22">
        <f t="shared" ref="AK171" si="1393">AK162-AK170</f>
        <v>1655.7087251385965</v>
      </c>
      <c r="AL171" s="22">
        <f t="shared" ref="AL171:AM171" si="1394">AL162-AL170</f>
        <v>3291.6800000000003</v>
      </c>
      <c r="AM171" s="22">
        <f t="shared" si="1394"/>
        <v>2293.1854577672348</v>
      </c>
      <c r="AN171" s="22">
        <f t="shared" ref="AN171:AO171" si="1395">AN162-AN170</f>
        <v>58.080000000009022</v>
      </c>
      <c r="AO171" s="22">
        <f t="shared" si="1395"/>
        <v>102.39605772593495</v>
      </c>
      <c r="AP171" s="22">
        <f t="shared" ref="AP171:CE171" si="1396">AP162-AP170</f>
        <v>84.919999999998254</v>
      </c>
      <c r="AQ171" s="22">
        <f t="shared" si="1396"/>
        <v>-2741.1628479272476</v>
      </c>
      <c r="AR171" s="22">
        <f t="shared" si="1396"/>
        <v>-12591.409999999996</v>
      </c>
      <c r="AS171" s="22">
        <f t="shared" si="1396"/>
        <v>-13806.076647876238</v>
      </c>
      <c r="AT171" s="22">
        <f t="shared" si="1396"/>
        <v>4500.330000000009</v>
      </c>
      <c r="AU171" s="22">
        <f t="shared" si="1396"/>
        <v>649.14838293503999</v>
      </c>
      <c r="AV171" s="22">
        <f t="shared" si="1396"/>
        <v>9757.4000000000087</v>
      </c>
      <c r="AW171" s="22">
        <f t="shared" si="1396"/>
        <v>7842.3219214861529</v>
      </c>
      <c r="AX171" s="22">
        <f t="shared" si="1396"/>
        <v>8696.9099999999962</v>
      </c>
      <c r="AY171" s="22">
        <f t="shared" si="1396"/>
        <v>7559.5348957381284</v>
      </c>
      <c r="AZ171" s="22">
        <f t="shared" si="1396"/>
        <v>4471.0299999999916</v>
      </c>
      <c r="BA171" s="22">
        <f t="shared" si="1396"/>
        <v>4777.4237317332663</v>
      </c>
      <c r="BB171" s="22">
        <f t="shared" si="1396"/>
        <v>5746.75</v>
      </c>
      <c r="BC171" s="22">
        <f t="shared" si="1396"/>
        <v>2896.7578836671091</v>
      </c>
      <c r="BD171" s="22">
        <f t="shared" si="1396"/>
        <v>5702.0100000000093</v>
      </c>
      <c r="BE171" s="22">
        <f t="shared" si="1396"/>
        <v>6322.3510413705808</v>
      </c>
      <c r="BF171" s="22">
        <f t="shared" si="1396"/>
        <v>21458.680000000008</v>
      </c>
      <c r="BG171" s="22">
        <f t="shared" si="1396"/>
        <v>22537.915473991139</v>
      </c>
      <c r="BH171" s="22">
        <f t="shared" ref="BH171" si="1397">BH162-BH170</f>
        <v>29679.32</v>
      </c>
      <c r="BI171" s="22">
        <f t="shared" si="1396"/>
        <v>28289.289503447195</v>
      </c>
      <c r="BJ171" s="22">
        <f t="shared" si="1396"/>
        <v>21922.629999999997</v>
      </c>
      <c r="BK171" s="22">
        <f t="shared" si="1396"/>
        <v>18602.087756908484</v>
      </c>
      <c r="BL171" s="22">
        <f t="shared" si="1396"/>
        <v>33016.660000000003</v>
      </c>
      <c r="BM171" s="22">
        <f t="shared" si="1396"/>
        <v>33696.991351937788</v>
      </c>
      <c r="BN171" s="22">
        <f t="shared" si="1396"/>
        <v>37605.790000000008</v>
      </c>
      <c r="BO171" s="22">
        <f t="shared" si="1396"/>
        <v>32464.722511649059</v>
      </c>
      <c r="BP171" s="22">
        <f t="shared" si="1396"/>
        <v>20636.059999999983</v>
      </c>
      <c r="BQ171" s="22">
        <f t="shared" si="1396"/>
        <v>21531.213279727672</v>
      </c>
      <c r="BR171" s="22">
        <f t="shared" si="1396"/>
        <v>4043.089999999982</v>
      </c>
      <c r="BS171" s="22">
        <f t="shared" si="1396"/>
        <v>5200.6351275706111</v>
      </c>
      <c r="BT171" s="22">
        <f t="shared" si="1396"/>
        <v>18977.36</v>
      </c>
      <c r="BU171" s="22">
        <f t="shared" si="1396"/>
        <v>19155.481829714379</v>
      </c>
      <c r="BV171" s="22">
        <f t="shared" si="1396"/>
        <v>19194.529999999984</v>
      </c>
      <c r="BW171" s="22">
        <f t="shared" si="1396"/>
        <v>17128.197300287778</v>
      </c>
      <c r="BX171" s="22">
        <f t="shared" si="1396"/>
        <v>22107.209999999992</v>
      </c>
      <c r="BY171" s="22">
        <f t="shared" si="1396"/>
        <v>20494.594826592685</v>
      </c>
      <c r="BZ171" s="22">
        <f t="shared" si="1396"/>
        <v>4303.0600000000122</v>
      </c>
      <c r="CA171" s="22">
        <f t="shared" si="1396"/>
        <v>2933.3094609185355</v>
      </c>
      <c r="CB171" s="22">
        <f t="shared" si="1396"/>
        <v>-3718.1399999999994</v>
      </c>
      <c r="CC171" s="22">
        <f t="shared" si="1396"/>
        <v>-3868.9580605449592</v>
      </c>
      <c r="CD171" s="22">
        <f t="shared" si="1396"/>
        <v>-7631.3899999999849</v>
      </c>
      <c r="CE171" s="22">
        <f t="shared" si="1396"/>
        <v>-9312.4235816720757</v>
      </c>
      <c r="CF171" s="22">
        <f t="shared" ref="CF171:CG171" si="1398">CF162-CF170</f>
        <v>-2948.4399999999878</v>
      </c>
      <c r="CG171" s="22">
        <f t="shared" si="1398"/>
        <v>-3065.9820111322333</v>
      </c>
      <c r="CH171" s="22">
        <f t="shared" ref="CH171:CI171" si="1399">CH162-CH170</f>
        <v>-19566.980000000003</v>
      </c>
      <c r="CI171" s="22">
        <f t="shared" si="1399"/>
        <v>-18508.897052526321</v>
      </c>
      <c r="CJ171" s="22">
        <f t="shared" ref="CJ171:DB171" si="1400">CJ162-CJ170</f>
        <v>-9655.2200000000012</v>
      </c>
      <c r="CK171" s="22">
        <f t="shared" si="1400"/>
        <v>-9377.70268694681</v>
      </c>
      <c r="CL171" s="22">
        <f t="shared" ref="CL171" si="1401">CL162-CL170</f>
        <v>-16148.969999999987</v>
      </c>
      <c r="CM171" s="21">
        <f t="shared" si="1400"/>
        <v>-15813.6761863469</v>
      </c>
      <c r="CN171" s="21">
        <f t="shared" si="1400"/>
        <v>-18399.994841757056</v>
      </c>
      <c r="CO171" s="21">
        <f t="shared" si="1400"/>
        <v>-19966.579512109587</v>
      </c>
      <c r="CP171" s="21">
        <f t="shared" si="1400"/>
        <v>-21609.500219484064</v>
      </c>
      <c r="CQ171" s="21">
        <f t="shared" si="1400"/>
        <v>-18149.101874698419</v>
      </c>
      <c r="CR171" s="21">
        <f t="shared" si="1400"/>
        <v>-19508.242546044814</v>
      </c>
      <c r="CS171" s="21">
        <f t="shared" si="1400"/>
        <v>-21243.087171379564</v>
      </c>
      <c r="CT171" s="21">
        <f t="shared" si="1400"/>
        <v>-22467.627945129323</v>
      </c>
      <c r="CU171" s="21">
        <f t="shared" si="1400"/>
        <v>-19368.777742867591</v>
      </c>
      <c r="CV171" s="21">
        <f t="shared" si="1400"/>
        <v>-20841.676502418588</v>
      </c>
      <c r="CW171" s="21">
        <f t="shared" si="1400"/>
        <v>-22738.19504930386</v>
      </c>
      <c r="CX171" s="21">
        <f t="shared" si="1400"/>
        <v>-24085.035788013891</v>
      </c>
      <c r="CY171" s="21">
        <f t="shared" si="1400"/>
        <v>-20714.480507714339</v>
      </c>
      <c r="CZ171" s="21">
        <f t="shared" si="1400"/>
        <v>-22301.595149988367</v>
      </c>
      <c r="DA171" s="21">
        <f t="shared" si="1400"/>
        <v>-24340.622147565125</v>
      </c>
      <c r="DB171" s="21">
        <f t="shared" si="1400"/>
        <v>-25782.932622617489</v>
      </c>
      <c r="DE171" s="126"/>
      <c r="DF171" s="22">
        <v>-10341.708421602394</v>
      </c>
    </row>
    <row r="172" spans="1:110" s="23" customFormat="1" x14ac:dyDescent="0.2">
      <c r="AB172" s="24"/>
      <c r="AC172" s="24"/>
      <c r="AD172" s="24"/>
      <c r="AE172" s="24"/>
      <c r="CM172" s="24"/>
      <c r="CN172" s="24"/>
      <c r="CO172" s="24"/>
      <c r="CP172" s="24"/>
      <c r="CQ172" s="24"/>
      <c r="CR172" s="24"/>
      <c r="CS172" s="24"/>
      <c r="CT172" s="24"/>
      <c r="CU172" s="24"/>
      <c r="CV172" s="24"/>
      <c r="CW172" s="24"/>
      <c r="CX172" s="24"/>
      <c r="CY172" s="24"/>
      <c r="CZ172" s="24"/>
      <c r="DA172" s="24"/>
      <c r="DB172" s="24"/>
      <c r="DE172" s="123"/>
    </row>
    <row r="173" spans="1:110" s="23" customFormat="1" outlineLevel="1" x14ac:dyDescent="0.2">
      <c r="A173" s="23" t="s">
        <v>75</v>
      </c>
      <c r="B173" s="23">
        <f>'Annual Raw'!C75</f>
        <v>225.04</v>
      </c>
      <c r="C173" s="23">
        <f>'Annual Raw'!D75</f>
        <v>191.12</v>
      </c>
      <c r="D173" s="23">
        <f>'Annual Raw'!E75</f>
        <v>614.25</v>
      </c>
      <c r="E173" s="23">
        <f>'Annual Raw'!F75</f>
        <v>1585.06</v>
      </c>
      <c r="F173" s="23">
        <f>'Annual Raw'!G75</f>
        <v>1567.3</v>
      </c>
      <c r="G173" s="23">
        <f>'Annual Raw'!H75</f>
        <v>2124.27</v>
      </c>
      <c r="H173" s="23">
        <f>'Annual Raw'!I75</f>
        <v>3800.1</v>
      </c>
      <c r="I173" s="23">
        <f>'Annual Raw'!J75</f>
        <v>1133.74</v>
      </c>
      <c r="J173" s="23">
        <f>'Annual Raw'!K75</f>
        <v>3397.74</v>
      </c>
      <c r="K173" s="23">
        <f>'Annual Raw'!L75</f>
        <v>1931.24</v>
      </c>
      <c r="L173" s="23">
        <f>'Annual Raw'!M75</f>
        <v>3159.28</v>
      </c>
      <c r="M173" s="23">
        <f>'Annual Raw'!N75</f>
        <v>1398.37</v>
      </c>
      <c r="N173" s="23">
        <f>'Annual Raw'!O75</f>
        <v>760.29</v>
      </c>
      <c r="O173" s="23">
        <f>'Annual Raw'!P75</f>
        <v>2668.4</v>
      </c>
      <c r="P173" s="23">
        <f>'Annual Raw'!Q75</f>
        <v>1374.62</v>
      </c>
      <c r="Q173" s="23">
        <f>'Annual Raw'!R75</f>
        <v>4663.55</v>
      </c>
      <c r="R173" s="23">
        <f>'Annual Raw'!S75</f>
        <v>5673.13</v>
      </c>
      <c r="S173" s="23">
        <f>'Annual Raw'!T75</f>
        <v>14908.97</v>
      </c>
      <c r="T173" s="23">
        <f>'Annual Raw'!U75</f>
        <v>2524.86</v>
      </c>
      <c r="U173" s="23">
        <f>'Annual Raw'!V75</f>
        <v>3431.87</v>
      </c>
      <c r="V173" s="23">
        <f>'Annual Raw'!W75</f>
        <v>7218.89</v>
      </c>
      <c r="W173" s="23">
        <f>'Annual Raw'!X75</f>
        <v>8524.42</v>
      </c>
      <c r="X173" s="23">
        <f>'Annual Raw'!Y75</f>
        <v>3630.06</v>
      </c>
      <c r="Y173" s="23">
        <f>'Annual Raw'!Z75</f>
        <v>731.23</v>
      </c>
      <c r="Z173" s="23">
        <f>'Annual Raw'!AA75</f>
        <v>442.65</v>
      </c>
      <c r="AA173" s="23">
        <f>'Annual Raw'!AB75</f>
        <v>1003.54</v>
      </c>
      <c r="AB173" s="24">
        <f t="shared" ref="AB173:AB174" si="1402">+CP173</f>
        <v>0</v>
      </c>
      <c r="AC173" s="24">
        <f t="shared" ref="AC173:AC174" si="1403">+CT173</f>
        <v>0</v>
      </c>
      <c r="AD173" s="24">
        <f t="shared" ref="AD173:AD174" si="1404">+CX173</f>
        <v>0</v>
      </c>
      <c r="AE173" s="24">
        <f t="shared" ref="AE173:AE174" si="1405">+DB173</f>
        <v>0</v>
      </c>
      <c r="AJ173" s="23">
        <f>+'QTR Raw'!D80</f>
        <v>839.57</v>
      </c>
      <c r="AL173" s="23">
        <f>+'QTR Raw'!F80</f>
        <v>760.29</v>
      </c>
      <c r="AN173" s="23">
        <f>+'QTR Raw'!H80</f>
        <v>1494.79</v>
      </c>
      <c r="AP173" s="23">
        <f>+'QTR Raw'!J80</f>
        <v>2668.4</v>
      </c>
      <c r="AR173" s="23">
        <f>+'QTR Raw'!L80</f>
        <v>5275.19</v>
      </c>
      <c r="AT173" s="23">
        <f>+'QTR Raw'!N80</f>
        <v>1374.62</v>
      </c>
      <c r="AV173" s="23">
        <f>+'QTR Raw'!P80</f>
        <v>1774.02</v>
      </c>
      <c r="AX173" s="23">
        <f>+'QTR Raw'!R80</f>
        <v>4663.55</v>
      </c>
      <c r="AZ173" s="23">
        <f>+'QTR Raw'!T80</f>
        <v>5109.71</v>
      </c>
      <c r="BB173" s="23">
        <f>+'QTR Raw'!V80</f>
        <v>5673.13</v>
      </c>
      <c r="BD173" s="23">
        <f>+'QTR Raw'!X80</f>
        <v>9142.69</v>
      </c>
      <c r="BF173" s="23">
        <f>+'QTR Raw'!Z80</f>
        <v>14908.97</v>
      </c>
      <c r="BH173" s="23">
        <f>+'QTR Raw'!AB80</f>
        <v>7958.54</v>
      </c>
      <c r="BJ173" s="23">
        <f>+'QTR Raw'!AD80</f>
        <v>2524.86</v>
      </c>
      <c r="BL173" s="23">
        <f>+'QTR Raw'!AF80</f>
        <v>816.6</v>
      </c>
      <c r="BN173" s="23">
        <f>+'QTR Raw'!AH80</f>
        <v>3431.87</v>
      </c>
      <c r="BP173" s="23">
        <f>+'QTR Raw'!AJ80</f>
        <v>7991.02</v>
      </c>
      <c r="BR173" s="23">
        <f>+'QTR Raw'!AL80</f>
        <v>7218.89</v>
      </c>
      <c r="BT173" s="23">
        <f>+'QTR Raw'!AN80</f>
        <v>3401.61</v>
      </c>
      <c r="BV173" s="23">
        <f>+'QTR Raw'!AP80</f>
        <v>8524.42</v>
      </c>
      <c r="BX173" s="23">
        <f>+'QTR Raw'!AR80</f>
        <v>4479</v>
      </c>
      <c r="BZ173" s="23">
        <f>+'QTR Raw'!AT80</f>
        <v>3630.06</v>
      </c>
      <c r="CB173" s="23">
        <f>+'QTR Raw'!AV80</f>
        <v>2657.95</v>
      </c>
      <c r="CD173" s="23">
        <f>+'QTR Raw'!AX80</f>
        <v>731.23</v>
      </c>
      <c r="CF173" s="23">
        <f>+'QTR Raw'!AZ80</f>
        <v>504.51</v>
      </c>
      <c r="CH173" s="23">
        <f t="shared" ref="CH173:CH174" si="1406">Z173</f>
        <v>442.65</v>
      </c>
      <c r="CJ173" s="23">
        <f>+'QTR Raw'!BD80</f>
        <v>828.02</v>
      </c>
      <c r="CL173" s="23">
        <f>+'QTR Raw'!BF80</f>
        <v>1003.54</v>
      </c>
      <c r="CM173" s="24"/>
      <c r="CN173" s="24"/>
      <c r="CO173" s="24"/>
      <c r="CP173" s="24"/>
      <c r="CQ173" s="24"/>
      <c r="CR173" s="24"/>
      <c r="CS173" s="24"/>
      <c r="CT173" s="24"/>
      <c r="CU173" s="24"/>
      <c r="CV173" s="24"/>
      <c r="CW173" s="24"/>
      <c r="CX173" s="24"/>
      <c r="CY173" s="24"/>
      <c r="CZ173" s="24"/>
      <c r="DA173" s="24"/>
      <c r="DB173" s="24"/>
      <c r="DE173" s="123"/>
      <c r="DF173" s="23">
        <v>1003.54</v>
      </c>
    </row>
    <row r="174" spans="1:110" s="23" customFormat="1" outlineLevel="1" x14ac:dyDescent="0.2">
      <c r="A174" s="23" t="s">
        <v>76</v>
      </c>
      <c r="B174" s="23">
        <f>'Annual Raw'!C78</f>
        <v>239.23</v>
      </c>
      <c r="C174" s="23">
        <f>'Annual Raw'!D78</f>
        <v>247.31</v>
      </c>
      <c r="D174" s="23">
        <f>'Annual Raw'!E78</f>
        <v>410.3</v>
      </c>
      <c r="E174" s="23">
        <f>'Annual Raw'!F78</f>
        <v>277.87</v>
      </c>
      <c r="F174" s="23">
        <f>'Annual Raw'!G78</f>
        <v>465.73</v>
      </c>
      <c r="G174" s="23">
        <f>'Annual Raw'!H78</f>
        <v>776.75</v>
      </c>
      <c r="H174" s="23">
        <f>'Annual Raw'!I78</f>
        <v>10887.96</v>
      </c>
      <c r="I174" s="23">
        <f>'Annual Raw'!J78</f>
        <v>4231.8599999999997</v>
      </c>
      <c r="J174" s="23">
        <f>'Annual Raw'!K78</f>
        <v>6148.36</v>
      </c>
      <c r="K174" s="23">
        <f>'Annual Raw'!L78</f>
        <v>6815.11</v>
      </c>
      <c r="L174" s="23">
        <f>'Annual Raw'!M78</f>
        <v>10859.05</v>
      </c>
      <c r="M174" s="23">
        <f>'Annual Raw'!N78</f>
        <v>10798.81</v>
      </c>
      <c r="N174" s="23">
        <f>'Annual Raw'!O78</f>
        <v>9833.92</v>
      </c>
      <c r="O174" s="23">
        <f>'Annual Raw'!P78</f>
        <v>8604.5</v>
      </c>
      <c r="P174" s="23">
        <f>'Annual Raw'!Q78</f>
        <v>8749.94</v>
      </c>
      <c r="Q174" s="23">
        <f>'Annual Raw'!R78</f>
        <v>6186.34</v>
      </c>
      <c r="R174" s="23">
        <f>'Annual Raw'!S78</f>
        <v>4922.08</v>
      </c>
      <c r="S174" s="23">
        <f>'Annual Raw'!T78</f>
        <v>7937.85</v>
      </c>
      <c r="T174" s="23">
        <f>'Annual Raw'!U78</f>
        <v>3341.37</v>
      </c>
      <c r="U174" s="23">
        <f>'Annual Raw'!V78</f>
        <v>8054.72</v>
      </c>
      <c r="V174" s="23">
        <f>'Annual Raw'!W78</f>
        <v>5782.18</v>
      </c>
      <c r="W174" s="23">
        <f>'Annual Raw'!X78</f>
        <v>15898.93</v>
      </c>
      <c r="X174" s="23">
        <f>'Annual Raw'!Y78</f>
        <v>13357.26</v>
      </c>
      <c r="Y174" s="23">
        <f>'Annual Raw'!Z78</f>
        <v>8677.7199999999993</v>
      </c>
      <c r="Z174" s="23">
        <f>'Annual Raw'!AA78</f>
        <v>11646.98</v>
      </c>
      <c r="AA174" s="23">
        <f>'Annual Raw'!AB78</f>
        <v>10057.530000000001</v>
      </c>
      <c r="AB174" s="24">
        <f t="shared" si="1402"/>
        <v>19117.287154558362</v>
      </c>
      <c r="AC174" s="24">
        <f t="shared" si="1403"/>
        <v>28119.065387443588</v>
      </c>
      <c r="AD174" s="24">
        <f t="shared" si="1404"/>
        <v>67186.827866202395</v>
      </c>
      <c r="AE174" s="24">
        <f t="shared" si="1405"/>
        <v>110764.71166651946</v>
      </c>
      <c r="AJ174" s="23">
        <f>+'QTR Raw'!D83</f>
        <v>8750.7999999999993</v>
      </c>
      <c r="AK174" s="23">
        <f t="shared" ref="AK174:AM174" si="1407">+AK224</f>
        <v>11315.051274861413</v>
      </c>
      <c r="AL174" s="23">
        <f>+'QTR Raw'!F83</f>
        <v>9833.92</v>
      </c>
      <c r="AM174" s="23">
        <f t="shared" si="1407"/>
        <v>12731.714542232758</v>
      </c>
      <c r="AN174" s="23">
        <f>+'QTR Raw'!H83</f>
        <v>11236.57</v>
      </c>
      <c r="AO174" s="23">
        <f t="shared" ref="AO174" si="1408">+AO224</f>
        <v>13190.283942274082</v>
      </c>
      <c r="AP174" s="23">
        <f>+'QTR Raw'!J83</f>
        <v>8604.5</v>
      </c>
      <c r="AQ174" s="23">
        <f t="shared" ref="AQ174" si="1409">+AQ224</f>
        <v>14436.312847927235</v>
      </c>
      <c r="AR174" s="23">
        <f>+'QTR Raw'!L83</f>
        <v>9087.6299999999992</v>
      </c>
      <c r="AS174" s="23">
        <f t="shared" ref="AS174" si="1410">+AS224</f>
        <v>15734.596647876248</v>
      </c>
      <c r="AT174" s="23">
        <f>+'QTR Raw'!N83</f>
        <v>8749.94</v>
      </c>
      <c r="AU174" s="23">
        <f t="shared" ref="AU174" si="1411">+AU224</f>
        <v>13656.621617064975</v>
      </c>
      <c r="AV174" s="23">
        <f>+'QTR Raw'!P83</f>
        <v>5364.63</v>
      </c>
      <c r="AW174" s="23">
        <f t="shared" ref="AW174" si="1412">+AW224</f>
        <v>6259.9480785138549</v>
      </c>
      <c r="AX174" s="23">
        <f>+'QTR Raw'!R83</f>
        <v>6186.34</v>
      </c>
      <c r="AY174" s="23">
        <f t="shared" ref="AY174" si="1413">+AY224</f>
        <v>8780.5851042618633</v>
      </c>
      <c r="AZ174" s="23">
        <f>+'QTR Raw'!T83</f>
        <v>3605.03</v>
      </c>
      <c r="BA174" s="23">
        <f t="shared" ref="BA174" si="1414">+BA224</f>
        <v>8610.2462682667301</v>
      </c>
      <c r="BB174" s="23">
        <f>+'QTR Raw'!V83</f>
        <v>4921.05</v>
      </c>
      <c r="BC174" s="23">
        <f t="shared" ref="BC174" si="1415">+BC224</f>
        <v>14350.442116332884</v>
      </c>
      <c r="BD174" s="23">
        <f>+'QTR Raw'!X83</f>
        <v>2794.63</v>
      </c>
      <c r="BE174" s="23">
        <f t="shared" ref="BE174" si="1416">+BE224</f>
        <v>12603.398958629432</v>
      </c>
      <c r="BF174" s="23">
        <f>+'QTR Raw'!Z83</f>
        <v>7937.85</v>
      </c>
      <c r="BG174" s="23">
        <f t="shared" ref="BG174" si="1417">+BG224</f>
        <v>23718.644526008862</v>
      </c>
      <c r="BH174" s="23">
        <f>+'QTR Raw'!AB83</f>
        <v>6430.44</v>
      </c>
      <c r="BI174" s="23">
        <f t="shared" ref="BI174" si="1418">+BI224</f>
        <v>18064.990496552793</v>
      </c>
      <c r="BJ174" s="23">
        <f>+'QTR Raw'!AD83</f>
        <v>3341.37</v>
      </c>
      <c r="BK174" s="23">
        <f t="shared" ref="BK174" si="1419">+BK224</f>
        <v>9903.8422430915161</v>
      </c>
      <c r="BL174" s="23">
        <f>+'QTR Raw'!AF83</f>
        <v>3719.06</v>
      </c>
      <c r="BM174" s="23">
        <f t="shared" ref="BM174" si="1420">+BM224</f>
        <v>2770.7086480622102</v>
      </c>
      <c r="BN174" s="23">
        <f>+'QTR Raw'!AH83</f>
        <v>8054.72</v>
      </c>
      <c r="BO174" s="23">
        <f t="shared" ref="BO174" si="1421">+BO224</f>
        <v>12211.097488350952</v>
      </c>
      <c r="BP174" s="23">
        <f>+'QTR Raw'!AJ83</f>
        <v>9780.52</v>
      </c>
      <c r="BQ174" s="23">
        <f t="shared" ref="BQ174" si="1422">+BQ224</f>
        <v>20573.606720272317</v>
      </c>
      <c r="BR174" s="23">
        <f>+'QTR Raw'!AL83</f>
        <v>5782.18</v>
      </c>
      <c r="BS174" s="23">
        <f t="shared" ref="BS174" si="1423">+BS224</f>
        <v>20750.47487242936</v>
      </c>
      <c r="BT174" s="23">
        <f>+'QTR Raw'!AN83</f>
        <v>5822.22</v>
      </c>
      <c r="BU174" s="23">
        <f t="shared" ref="BU174" si="1424">+BU224</f>
        <v>18618.378170285625</v>
      </c>
      <c r="BV174" s="23">
        <f>+'QTR Raw'!AP83</f>
        <v>15898.93</v>
      </c>
      <c r="BW174" s="23">
        <f t="shared" ref="BW174" si="1425">+BW224</f>
        <v>34254.642699712189</v>
      </c>
      <c r="BX174" s="23">
        <f>+'QTR Raw'!AR83</f>
        <v>11202.51</v>
      </c>
      <c r="BY174" s="23">
        <f t="shared" ref="BY174" si="1426">+BY224</f>
        <v>15070.285173407301</v>
      </c>
      <c r="BZ174" s="23">
        <f>+'QTR Raw'!AT83</f>
        <v>13357.26</v>
      </c>
      <c r="CA174" s="23">
        <f t="shared" ref="CA174" si="1427">+CA224</f>
        <v>18991.020539081474</v>
      </c>
      <c r="CB174" s="23">
        <f>+'QTR Raw'!AV83</f>
        <v>9932.19</v>
      </c>
      <c r="CC174" s="23">
        <f t="shared" ref="CC174" si="1428">+CC224</f>
        <v>13254.328060544962</v>
      </c>
      <c r="CD174" s="23">
        <f>+'QTR Raw'!AX83</f>
        <v>8677.7199999999993</v>
      </c>
      <c r="CE174" s="23">
        <f t="shared" ref="CE174" si="1429">+CE224</f>
        <v>12049.593581672098</v>
      </c>
      <c r="CF174" s="23">
        <f>+'QTR Raw'!AZ83</f>
        <v>9933.91</v>
      </c>
      <c r="CG174" s="23">
        <f t="shared" ref="CG174:CI174" si="1430">+CG224</f>
        <v>10882.602011132241</v>
      </c>
      <c r="CH174" s="23">
        <f t="shared" si="1406"/>
        <v>11646.98</v>
      </c>
      <c r="CI174" s="23">
        <f t="shared" si="1430"/>
        <v>15853.527052526319</v>
      </c>
      <c r="CJ174" s="23">
        <f>+'QTR Raw'!BD83</f>
        <v>7657.59</v>
      </c>
      <c r="CK174" s="23">
        <f t="shared" ref="CK174:DB174" si="1431">+CK224</f>
        <v>7945.6026869468396</v>
      </c>
      <c r="CL174" s="23">
        <f>+'QTR Raw'!BF83</f>
        <v>10057.530000000001</v>
      </c>
      <c r="CM174" s="24">
        <f t="shared" si="1431"/>
        <v>10306.536391594023</v>
      </c>
      <c r="CN174" s="24">
        <f t="shared" si="1431"/>
        <v>13213.339944412424</v>
      </c>
      <c r="CO174" s="24">
        <f t="shared" si="1431"/>
        <v>15673.889161367155</v>
      </c>
      <c r="CP174" s="24">
        <f t="shared" si="1431"/>
        <v>19117.287154558362</v>
      </c>
      <c r="CQ174" s="24">
        <f t="shared" si="1431"/>
        <v>16659.489856895027</v>
      </c>
      <c r="CR174" s="24">
        <f t="shared" si="1431"/>
        <v>19637.395452172539</v>
      </c>
      <c r="CS174" s="24">
        <f t="shared" si="1431"/>
        <v>23807.163464069308</v>
      </c>
      <c r="CT174" s="24">
        <f t="shared" si="1431"/>
        <v>28119.065387443588</v>
      </c>
      <c r="CU174" s="24">
        <f t="shared" si="1431"/>
        <v>33234.38396048273</v>
      </c>
      <c r="CV174" s="24">
        <f t="shared" si="1431"/>
        <v>43609.619467317767</v>
      </c>
      <c r="CW174" s="24">
        <f t="shared" si="1431"/>
        <v>55325.392384045335</v>
      </c>
      <c r="CX174" s="24">
        <f t="shared" si="1431"/>
        <v>67186.827866202395</v>
      </c>
      <c r="CY174" s="24">
        <f t="shared" si="1431"/>
        <v>73070.19364352338</v>
      </c>
      <c r="CZ174" s="24">
        <f t="shared" si="1431"/>
        <v>84631.55036027325</v>
      </c>
      <c r="DA174" s="24">
        <f t="shared" si="1431"/>
        <v>97622.134481012341</v>
      </c>
      <c r="DB174" s="24">
        <f t="shared" si="1431"/>
        <v>110764.71166651946</v>
      </c>
      <c r="DE174" s="123"/>
      <c r="DF174" s="23">
        <v>9614.7857584647718</v>
      </c>
    </row>
    <row r="175" spans="1:110" s="22" customFormat="1" x14ac:dyDescent="0.2">
      <c r="A175" s="22" t="s">
        <v>77</v>
      </c>
      <c r="B175" s="22">
        <f>B173+B174</f>
        <v>464.27</v>
      </c>
      <c r="C175" s="22">
        <f t="shared" ref="C175:V175" si="1432">C173+C174</f>
        <v>438.43</v>
      </c>
      <c r="D175" s="22">
        <f t="shared" si="1432"/>
        <v>1024.55</v>
      </c>
      <c r="E175" s="22">
        <f t="shared" si="1432"/>
        <v>1862.9299999999998</v>
      </c>
      <c r="F175" s="22">
        <f t="shared" si="1432"/>
        <v>2033.03</v>
      </c>
      <c r="G175" s="22">
        <f t="shared" si="1432"/>
        <v>2901.02</v>
      </c>
      <c r="H175" s="22">
        <f t="shared" si="1432"/>
        <v>14688.06</v>
      </c>
      <c r="I175" s="22">
        <f t="shared" si="1432"/>
        <v>5365.5999999999995</v>
      </c>
      <c r="J175" s="22">
        <f t="shared" si="1432"/>
        <v>9546.0999999999985</v>
      </c>
      <c r="K175" s="22">
        <f t="shared" si="1432"/>
        <v>8746.35</v>
      </c>
      <c r="L175" s="22">
        <f t="shared" si="1432"/>
        <v>14018.33</v>
      </c>
      <c r="M175" s="22">
        <f t="shared" si="1432"/>
        <v>12197.18</v>
      </c>
      <c r="N175" s="22">
        <f t="shared" si="1432"/>
        <v>10594.21</v>
      </c>
      <c r="O175" s="22">
        <f t="shared" si="1432"/>
        <v>11272.9</v>
      </c>
      <c r="P175" s="22">
        <f t="shared" si="1432"/>
        <v>10124.560000000001</v>
      </c>
      <c r="Q175" s="22">
        <f t="shared" si="1432"/>
        <v>10849.89</v>
      </c>
      <c r="R175" s="22">
        <f t="shared" si="1432"/>
        <v>10595.21</v>
      </c>
      <c r="S175" s="22">
        <f t="shared" si="1432"/>
        <v>22846.82</v>
      </c>
      <c r="T175" s="22">
        <f t="shared" si="1432"/>
        <v>5866.23</v>
      </c>
      <c r="U175" s="22">
        <f t="shared" si="1432"/>
        <v>11486.59</v>
      </c>
      <c r="V175" s="22">
        <f t="shared" si="1432"/>
        <v>13001.07</v>
      </c>
      <c r="W175" s="22">
        <f t="shared" ref="W175" si="1433">W173+W174</f>
        <v>24423.35</v>
      </c>
      <c r="X175" s="22">
        <f t="shared" ref="X175:Y175" si="1434">X173+X174</f>
        <v>16987.32</v>
      </c>
      <c r="Y175" s="22">
        <f t="shared" si="1434"/>
        <v>9408.9499999999989</v>
      </c>
      <c r="Z175" s="22">
        <f t="shared" ref="Z175:AA175" si="1435">Z173+Z174</f>
        <v>12089.63</v>
      </c>
      <c r="AA175" s="22">
        <f t="shared" si="1435"/>
        <v>11061.07</v>
      </c>
      <c r="AB175" s="21">
        <f t="shared" ref="AA175:AD175" si="1436">AB173+AB174</f>
        <v>19117.287154558362</v>
      </c>
      <c r="AC175" s="21">
        <f t="shared" si="1436"/>
        <v>28119.065387443588</v>
      </c>
      <c r="AD175" s="21">
        <f t="shared" si="1436"/>
        <v>67186.827866202395</v>
      </c>
      <c r="AE175" s="21">
        <f t="shared" ref="AE175" si="1437">AE173+AE174</f>
        <v>110764.71166651946</v>
      </c>
      <c r="AJ175" s="22">
        <f t="shared" ref="AJ175" si="1438">AJ173+AJ174</f>
        <v>9590.369999999999</v>
      </c>
      <c r="AK175" s="22">
        <f t="shared" ref="AK175" si="1439">AK173+AK174</f>
        <v>11315.051274861413</v>
      </c>
      <c r="AL175" s="22">
        <f t="shared" ref="AL175:AM175" si="1440">AL173+AL174</f>
        <v>10594.21</v>
      </c>
      <c r="AM175" s="22">
        <f t="shared" si="1440"/>
        <v>12731.714542232758</v>
      </c>
      <c r="AN175" s="22">
        <f t="shared" ref="AN175:AO175" si="1441">AN173+AN174</f>
        <v>12731.36</v>
      </c>
      <c r="AO175" s="22">
        <f t="shared" si="1441"/>
        <v>13190.283942274082</v>
      </c>
      <c r="AP175" s="22">
        <f t="shared" ref="AP175:CE175" si="1442">AP173+AP174</f>
        <v>11272.9</v>
      </c>
      <c r="AQ175" s="22">
        <f t="shared" si="1442"/>
        <v>14436.312847927235</v>
      </c>
      <c r="AR175" s="22">
        <f t="shared" si="1442"/>
        <v>14362.82</v>
      </c>
      <c r="AS175" s="22">
        <f t="shared" si="1442"/>
        <v>15734.596647876248</v>
      </c>
      <c r="AT175" s="22">
        <f t="shared" si="1442"/>
        <v>10124.560000000001</v>
      </c>
      <c r="AU175" s="22">
        <f t="shared" si="1442"/>
        <v>13656.621617064975</v>
      </c>
      <c r="AV175" s="22">
        <f t="shared" si="1442"/>
        <v>7138.65</v>
      </c>
      <c r="AW175" s="22">
        <f t="shared" si="1442"/>
        <v>6259.9480785138549</v>
      </c>
      <c r="AX175" s="22">
        <f t="shared" si="1442"/>
        <v>10849.89</v>
      </c>
      <c r="AY175" s="22">
        <f t="shared" si="1442"/>
        <v>8780.5851042618633</v>
      </c>
      <c r="AZ175" s="22">
        <f t="shared" si="1442"/>
        <v>8714.74</v>
      </c>
      <c r="BA175" s="22">
        <f t="shared" si="1442"/>
        <v>8610.2462682667301</v>
      </c>
      <c r="BB175" s="22">
        <f t="shared" si="1442"/>
        <v>10594.18</v>
      </c>
      <c r="BC175" s="22">
        <f t="shared" si="1442"/>
        <v>14350.442116332884</v>
      </c>
      <c r="BD175" s="22">
        <f t="shared" si="1442"/>
        <v>11937.32</v>
      </c>
      <c r="BE175" s="22">
        <f t="shared" si="1442"/>
        <v>12603.398958629432</v>
      </c>
      <c r="BF175" s="22">
        <f t="shared" si="1442"/>
        <v>22846.82</v>
      </c>
      <c r="BG175" s="22">
        <f t="shared" si="1442"/>
        <v>23718.644526008862</v>
      </c>
      <c r="BH175" s="22">
        <f t="shared" si="1442"/>
        <v>14388.98</v>
      </c>
      <c r="BI175" s="22">
        <f t="shared" si="1442"/>
        <v>18064.990496552793</v>
      </c>
      <c r="BJ175" s="22">
        <f t="shared" si="1442"/>
        <v>5866.23</v>
      </c>
      <c r="BK175" s="22">
        <f t="shared" si="1442"/>
        <v>9903.8422430915161</v>
      </c>
      <c r="BL175" s="22">
        <f t="shared" si="1442"/>
        <v>4535.66</v>
      </c>
      <c r="BM175" s="22">
        <f t="shared" si="1442"/>
        <v>2770.7086480622102</v>
      </c>
      <c r="BN175" s="22">
        <f t="shared" si="1442"/>
        <v>11486.59</v>
      </c>
      <c r="BO175" s="22">
        <f t="shared" si="1442"/>
        <v>12211.097488350952</v>
      </c>
      <c r="BP175" s="22">
        <f t="shared" si="1442"/>
        <v>17771.54</v>
      </c>
      <c r="BQ175" s="22">
        <f t="shared" si="1442"/>
        <v>20573.606720272317</v>
      </c>
      <c r="BR175" s="22">
        <f t="shared" si="1442"/>
        <v>13001.07</v>
      </c>
      <c r="BS175" s="22">
        <f t="shared" si="1442"/>
        <v>20750.47487242936</v>
      </c>
      <c r="BT175" s="22">
        <f t="shared" si="1442"/>
        <v>9223.83</v>
      </c>
      <c r="BU175" s="22">
        <f t="shared" si="1442"/>
        <v>18618.378170285625</v>
      </c>
      <c r="BV175" s="22">
        <f t="shared" si="1442"/>
        <v>24423.35</v>
      </c>
      <c r="BW175" s="22">
        <f t="shared" si="1442"/>
        <v>34254.642699712189</v>
      </c>
      <c r="BX175" s="22">
        <f t="shared" si="1442"/>
        <v>15681.51</v>
      </c>
      <c r="BY175" s="22">
        <f t="shared" si="1442"/>
        <v>15070.285173407301</v>
      </c>
      <c r="BZ175" s="22">
        <f t="shared" si="1442"/>
        <v>16987.32</v>
      </c>
      <c r="CA175" s="22">
        <f t="shared" si="1442"/>
        <v>18991.020539081474</v>
      </c>
      <c r="CB175" s="22">
        <f t="shared" si="1442"/>
        <v>12590.14</v>
      </c>
      <c r="CC175" s="22">
        <f t="shared" si="1442"/>
        <v>13254.328060544962</v>
      </c>
      <c r="CD175" s="22">
        <f t="shared" si="1442"/>
        <v>9408.9499999999989</v>
      </c>
      <c r="CE175" s="22">
        <f t="shared" si="1442"/>
        <v>12049.593581672098</v>
      </c>
      <c r="CF175" s="22">
        <f t="shared" ref="CF175:CG175" si="1443">CF173+CF174</f>
        <v>10438.42</v>
      </c>
      <c r="CG175" s="22">
        <f t="shared" si="1443"/>
        <v>10882.602011132241</v>
      </c>
      <c r="CH175" s="22">
        <f t="shared" ref="CH175:CI175" si="1444">CH173+CH174</f>
        <v>12089.63</v>
      </c>
      <c r="CI175" s="22">
        <f t="shared" si="1444"/>
        <v>15853.527052526319</v>
      </c>
      <c r="CJ175" s="22">
        <f t="shared" ref="CJ175:DB175" si="1445">CJ173+CJ174</f>
        <v>8485.61</v>
      </c>
      <c r="CK175" s="22">
        <f t="shared" si="1445"/>
        <v>7945.6026869468396</v>
      </c>
      <c r="CL175" s="22">
        <f t="shared" ref="CL175" si="1446">CL173+CL174</f>
        <v>11061.07</v>
      </c>
      <c r="CM175" s="21">
        <f t="shared" si="1445"/>
        <v>10306.536391594023</v>
      </c>
      <c r="CN175" s="21">
        <f t="shared" si="1445"/>
        <v>13213.339944412424</v>
      </c>
      <c r="CO175" s="21">
        <f t="shared" si="1445"/>
        <v>15673.889161367155</v>
      </c>
      <c r="CP175" s="21">
        <f t="shared" si="1445"/>
        <v>19117.287154558362</v>
      </c>
      <c r="CQ175" s="21">
        <f t="shared" si="1445"/>
        <v>16659.489856895027</v>
      </c>
      <c r="CR175" s="21">
        <f t="shared" si="1445"/>
        <v>19637.395452172539</v>
      </c>
      <c r="CS175" s="21">
        <f t="shared" si="1445"/>
        <v>23807.163464069308</v>
      </c>
      <c r="CT175" s="21">
        <f t="shared" si="1445"/>
        <v>28119.065387443588</v>
      </c>
      <c r="CU175" s="21">
        <f t="shared" si="1445"/>
        <v>33234.38396048273</v>
      </c>
      <c r="CV175" s="21">
        <f t="shared" si="1445"/>
        <v>43609.619467317767</v>
      </c>
      <c r="CW175" s="21">
        <f t="shared" si="1445"/>
        <v>55325.392384045335</v>
      </c>
      <c r="CX175" s="21">
        <f t="shared" si="1445"/>
        <v>67186.827866202395</v>
      </c>
      <c r="CY175" s="21">
        <f t="shared" si="1445"/>
        <v>73070.19364352338</v>
      </c>
      <c r="CZ175" s="21">
        <f t="shared" si="1445"/>
        <v>84631.55036027325</v>
      </c>
      <c r="DA175" s="21">
        <f t="shared" si="1445"/>
        <v>97622.134481012341</v>
      </c>
      <c r="DB175" s="21">
        <f t="shared" si="1445"/>
        <v>110764.71166651946</v>
      </c>
      <c r="DE175" s="126"/>
      <c r="DF175" s="22">
        <v>9614.7857584647718</v>
      </c>
    </row>
    <row r="176" spans="1:110" s="23" customFormat="1" x14ac:dyDescent="0.2">
      <c r="AB176" s="24"/>
      <c r="AC176" s="24"/>
      <c r="AD176" s="24"/>
      <c r="AE176" s="24"/>
      <c r="CM176" s="24"/>
      <c r="CN176" s="24"/>
      <c r="CO176" s="24"/>
      <c r="CP176" s="24"/>
      <c r="CQ176" s="24"/>
      <c r="CR176" s="24"/>
      <c r="CS176" s="24"/>
      <c r="CT176" s="24"/>
      <c r="CU176" s="24"/>
      <c r="CV176" s="24"/>
      <c r="CW176" s="24"/>
      <c r="CX176" s="24"/>
      <c r="CY176" s="24"/>
      <c r="CZ176" s="24"/>
      <c r="DA176" s="24"/>
      <c r="DB176" s="24"/>
      <c r="DE176" s="123"/>
    </row>
    <row r="177" spans="1:110" s="23" customFormat="1" x14ac:dyDescent="0.2">
      <c r="A177" s="23" t="s">
        <v>78</v>
      </c>
      <c r="B177" s="23">
        <f>-'Annual Raw'!C49</f>
        <v>0</v>
      </c>
      <c r="C177" s="23">
        <f>-'Annual Raw'!D49</f>
        <v>-1409.42</v>
      </c>
      <c r="D177" s="23">
        <f>-'Annual Raw'!E49</f>
        <v>-859.53</v>
      </c>
      <c r="E177" s="23">
        <f>-'Annual Raw'!F49</f>
        <v>-851.96</v>
      </c>
      <c r="F177" s="23">
        <f>-'Annual Raw'!G49</f>
        <v>-851.29</v>
      </c>
      <c r="G177" s="23">
        <f>-'Annual Raw'!H49</f>
        <v>-992.18</v>
      </c>
      <c r="H177" s="23">
        <f>-'Annual Raw'!I49</f>
        <v>-785.94</v>
      </c>
      <c r="I177" s="23">
        <f>-'Annual Raw'!J49</f>
        <v>-2454.42</v>
      </c>
      <c r="J177" s="23">
        <f>-'Annual Raw'!K49</f>
        <v>-1709.43</v>
      </c>
      <c r="K177" s="23">
        <f>-'Annual Raw'!L49</f>
        <v>-1654.11</v>
      </c>
      <c r="L177" s="23">
        <f>-'Annual Raw'!M49</f>
        <v>-2012.62</v>
      </c>
      <c r="M177" s="23">
        <f>-'Annual Raw'!N49</f>
        <v>-2442.41</v>
      </c>
      <c r="N177" s="23">
        <f>-'Annual Raw'!O49</f>
        <v>-3118.49</v>
      </c>
      <c r="O177" s="23">
        <f>-'Annual Raw'!P49</f>
        <v>-2555</v>
      </c>
      <c r="P177" s="23">
        <f>-'Annual Raw'!Q49</f>
        <v>-2861.76</v>
      </c>
      <c r="Q177" s="23">
        <f>-'Annual Raw'!R49</f>
        <v>-8793.44</v>
      </c>
      <c r="R177" s="23">
        <f>-'Annual Raw'!S49</f>
        <v>-9144.2099999999991</v>
      </c>
      <c r="S177" s="23">
        <f>-'Annual Raw'!T49</f>
        <v>-9534.08</v>
      </c>
      <c r="T177" s="23">
        <f>-'Annual Raw'!U49</f>
        <v>-11650.94</v>
      </c>
      <c r="U177" s="23">
        <f>-'Annual Raw'!V49</f>
        <v>-7991.05</v>
      </c>
      <c r="V177" s="23">
        <f>-'Annual Raw'!W49</f>
        <v>-7663.4</v>
      </c>
      <c r="W177" s="23">
        <f>-'Annual Raw'!X49</f>
        <v>-9301.85</v>
      </c>
      <c r="X177" s="23">
        <f>-'Annual Raw'!Y49</f>
        <v>-11489.68</v>
      </c>
      <c r="Y177" s="23">
        <f>-'Annual Raw'!Z49</f>
        <v>-8881.26</v>
      </c>
      <c r="Z177" s="23">
        <f>-'Annual Raw'!AA49</f>
        <v>-10493.93</v>
      </c>
      <c r="AA177" s="23">
        <f>-'Annual Raw'!AB49</f>
        <v>-10592.75</v>
      </c>
      <c r="AB177" s="24">
        <f t="shared" ref="AB177:AB178" si="1447">+CP177</f>
        <v>-10592.75</v>
      </c>
      <c r="AC177" s="24">
        <f t="shared" ref="AC177:AC178" si="1448">+CT177</f>
        <v>-10592.75</v>
      </c>
      <c r="AD177" s="24">
        <f t="shared" ref="AD177:AD178" si="1449">+CX177</f>
        <v>-10592.75</v>
      </c>
      <c r="AE177" s="24">
        <f t="shared" ref="AE177:AE178" si="1450">+DB177</f>
        <v>-10592.75</v>
      </c>
      <c r="AJ177" s="23">
        <f>+'QTR Raw'!D96</f>
        <v>-2244.6</v>
      </c>
      <c r="AK177" s="23">
        <f t="shared" ref="AK177:CE177" si="1451">+AJ177</f>
        <v>-2244.6</v>
      </c>
      <c r="AL177" s="23">
        <f>+'QTR Raw'!F96</f>
        <v>-3118.49</v>
      </c>
      <c r="AM177" s="23">
        <f t="shared" si="1451"/>
        <v>-3118.49</v>
      </c>
      <c r="AN177" s="23">
        <f>+'QTR Raw'!H96</f>
        <v>-2386.1</v>
      </c>
      <c r="AO177" s="23">
        <f t="shared" si="1451"/>
        <v>-2386.1</v>
      </c>
      <c r="AP177" s="23">
        <f>+'QTR Raw'!J96</f>
        <v>-2555</v>
      </c>
      <c r="AQ177" s="23">
        <f t="shared" si="1451"/>
        <v>-2555</v>
      </c>
      <c r="AR177" s="23">
        <f>+'QTR Raw'!L96</f>
        <v>-2602.6999999999998</v>
      </c>
      <c r="AS177" s="23">
        <f t="shared" si="1451"/>
        <v>-2602.6999999999998</v>
      </c>
      <c r="AT177" s="23">
        <f>+'QTR Raw'!N96</f>
        <v>-2861.76</v>
      </c>
      <c r="AU177" s="23">
        <f t="shared" si="1451"/>
        <v>-2861.76</v>
      </c>
      <c r="AV177" s="23">
        <f>+'QTR Raw'!P96</f>
        <v>-2811.91</v>
      </c>
      <c r="AW177" s="23">
        <f t="shared" si="1451"/>
        <v>-2811.91</v>
      </c>
      <c r="AX177" s="23">
        <f>+'QTR Raw'!R96</f>
        <v>-8793.44</v>
      </c>
      <c r="AY177" s="23">
        <f t="shared" si="1451"/>
        <v>-8793.44</v>
      </c>
      <c r="AZ177" s="23">
        <f>+'QTR Raw'!T96</f>
        <v>-8394.26</v>
      </c>
      <c r="BA177" s="23">
        <f t="shared" si="1451"/>
        <v>-8394.26</v>
      </c>
      <c r="BB177" s="23">
        <f>+'QTR Raw'!V96</f>
        <v>-9144.2099999999991</v>
      </c>
      <c r="BC177" s="23">
        <f t="shared" si="1451"/>
        <v>-9144.2099999999991</v>
      </c>
      <c r="BD177" s="23">
        <f>+'QTR Raw'!X96</f>
        <v>-8697.2999999999993</v>
      </c>
      <c r="BE177" s="23">
        <f t="shared" si="1451"/>
        <v>-8697.2999999999993</v>
      </c>
      <c r="BF177" s="23">
        <f>+'QTR Raw'!Z96</f>
        <v>-9534.08</v>
      </c>
      <c r="BG177" s="23">
        <f t="shared" si="1451"/>
        <v>-9534.08</v>
      </c>
      <c r="BH177" s="23">
        <f>+'QTR Raw'!AB96</f>
        <v>-10744.17</v>
      </c>
      <c r="BI177" s="23">
        <f t="shared" si="1451"/>
        <v>-10744.17</v>
      </c>
      <c r="BJ177" s="23">
        <f>+'QTR Raw'!AD96</f>
        <v>-11650.94</v>
      </c>
      <c r="BK177" s="23">
        <f t="shared" si="1451"/>
        <v>-11650.94</v>
      </c>
      <c r="BL177" s="23">
        <f>+'QTR Raw'!AF96</f>
        <v>-7662.02</v>
      </c>
      <c r="BM177" s="23">
        <f t="shared" si="1451"/>
        <v>-7662.02</v>
      </c>
      <c r="BN177" s="23">
        <f>+'QTR Raw'!AH96</f>
        <v>-7991.05</v>
      </c>
      <c r="BO177" s="23">
        <f t="shared" si="1451"/>
        <v>-7991.05</v>
      </c>
      <c r="BP177" s="23">
        <f>+'QTR Raw'!AJ96</f>
        <v>-7876.59</v>
      </c>
      <c r="BQ177" s="23">
        <f t="shared" si="1451"/>
        <v>-7876.59</v>
      </c>
      <c r="BR177" s="23">
        <f>+'QTR Raw'!AL96</f>
        <v>-7663.4</v>
      </c>
      <c r="BS177" s="23">
        <f t="shared" si="1451"/>
        <v>-7663.4</v>
      </c>
      <c r="BT177" s="23">
        <f>+'QTR Raw'!AN96</f>
        <v>-10388.629999999999</v>
      </c>
      <c r="BU177" s="23">
        <f t="shared" si="1451"/>
        <v>-10388.629999999999</v>
      </c>
      <c r="BV177" s="23">
        <f>+'QTR Raw'!AP96</f>
        <v>-9301.85</v>
      </c>
      <c r="BW177" s="23">
        <f t="shared" si="1451"/>
        <v>-9301.85</v>
      </c>
      <c r="BX177" s="23">
        <f>+'QTR Raw'!AR96</f>
        <v>-11575.71</v>
      </c>
      <c r="BY177" s="23">
        <f t="shared" si="1451"/>
        <v>-11575.71</v>
      </c>
      <c r="BZ177" s="23">
        <f>+'QTR Raw'!AT96</f>
        <v>-11489.68</v>
      </c>
      <c r="CA177" s="23">
        <f t="shared" si="1451"/>
        <v>-11489.68</v>
      </c>
      <c r="CB177" s="23">
        <f>+'QTR Raw'!AV96</f>
        <v>-9329.4599999999991</v>
      </c>
      <c r="CC177" s="23">
        <f t="shared" si="1451"/>
        <v>-9329.4599999999991</v>
      </c>
      <c r="CD177" s="23">
        <f>+'QTR Raw'!AX96</f>
        <v>-8881.26</v>
      </c>
      <c r="CE177" s="23">
        <f t="shared" si="1451"/>
        <v>-8881.26</v>
      </c>
      <c r="CF177" s="23">
        <f>+'QTR Raw'!AZ96</f>
        <v>-10019.84</v>
      </c>
      <c r="CG177" s="23">
        <f t="shared" ref="CG177:CI178" si="1452">+CF177</f>
        <v>-10019.84</v>
      </c>
      <c r="CH177" s="23">
        <f t="shared" ref="CH177:CH178" si="1453">Z177</f>
        <v>-10493.93</v>
      </c>
      <c r="CI177" s="23">
        <f t="shared" si="1452"/>
        <v>-10493.93</v>
      </c>
      <c r="CJ177" s="23">
        <f>+'QTR Raw'!BD96</f>
        <v>-10218.549999999999</v>
      </c>
      <c r="CK177" s="23">
        <f t="shared" ref="CK177:CK178" si="1454">+CJ177</f>
        <v>-10218.549999999999</v>
      </c>
      <c r="CL177" s="23">
        <f>+'QTR Raw'!BF96</f>
        <v>-10592.75</v>
      </c>
      <c r="CM177" s="24">
        <f t="shared" ref="CM177:CM178" si="1455">+CL177</f>
        <v>-10592.75</v>
      </c>
      <c r="CN177" s="24">
        <f t="shared" ref="CN177:CN178" si="1456">+CM177</f>
        <v>-10592.75</v>
      </c>
      <c r="CO177" s="24">
        <f t="shared" ref="CO177:CO178" si="1457">+CN177</f>
        <v>-10592.75</v>
      </c>
      <c r="CP177" s="24">
        <f t="shared" ref="CP177:CP178" si="1458">+CO177</f>
        <v>-10592.75</v>
      </c>
      <c r="CQ177" s="24">
        <f t="shared" ref="CQ177:CQ178" si="1459">+CP177</f>
        <v>-10592.75</v>
      </c>
      <c r="CR177" s="24">
        <f t="shared" ref="CR177:CR178" si="1460">+CQ177</f>
        <v>-10592.75</v>
      </c>
      <c r="CS177" s="24">
        <f t="shared" ref="CS177:CS178" si="1461">+CR177</f>
        <v>-10592.75</v>
      </c>
      <c r="CT177" s="24">
        <f t="shared" ref="CT177:CT178" si="1462">+CS177</f>
        <v>-10592.75</v>
      </c>
      <c r="CU177" s="24">
        <f t="shared" ref="CU177:CU178" si="1463">+CT177</f>
        <v>-10592.75</v>
      </c>
      <c r="CV177" s="24">
        <f t="shared" ref="CV177:CV178" si="1464">+CU177</f>
        <v>-10592.75</v>
      </c>
      <c r="CW177" s="24">
        <f t="shared" ref="CW177:CW178" si="1465">+CV177</f>
        <v>-10592.75</v>
      </c>
      <c r="CX177" s="24">
        <f t="shared" ref="CX177:CX178" si="1466">+CW177</f>
        <v>-10592.75</v>
      </c>
      <c r="CY177" s="24">
        <f t="shared" ref="CY177:CY178" si="1467">+CX177</f>
        <v>-10592.75</v>
      </c>
      <c r="CZ177" s="24">
        <f t="shared" ref="CZ177:CZ178" si="1468">+CY177</f>
        <v>-10592.75</v>
      </c>
      <c r="DA177" s="24">
        <f t="shared" ref="DA177:DA178" si="1469">+CZ177</f>
        <v>-10592.75</v>
      </c>
      <c r="DB177" s="24">
        <f t="shared" ref="DB177:DB178" si="1470">+DA177</f>
        <v>-10592.75</v>
      </c>
      <c r="DE177" s="123"/>
      <c r="DF177" s="23">
        <v>-10218.549999999999</v>
      </c>
    </row>
    <row r="178" spans="1:110" s="23" customFormat="1" x14ac:dyDescent="0.2">
      <c r="A178" s="23" t="s">
        <v>79</v>
      </c>
      <c r="B178" s="23">
        <f>'Annual Raw'!C83</f>
        <v>920.29</v>
      </c>
      <c r="C178" s="23">
        <f>'Annual Raw'!D83</f>
        <v>1011.78</v>
      </c>
      <c r="D178" s="23">
        <f>'Annual Raw'!E83</f>
        <v>10.25</v>
      </c>
      <c r="E178" s="23">
        <f>'Annual Raw'!F83</f>
        <v>156.1</v>
      </c>
      <c r="F178" s="23">
        <f>'Annual Raw'!G83</f>
        <v>218.24</v>
      </c>
      <c r="G178" s="23">
        <f>'Annual Raw'!H83</f>
        <v>256.01</v>
      </c>
      <c r="H178" s="23">
        <f>'Annual Raw'!I83</f>
        <v>209.77</v>
      </c>
      <c r="I178" s="23">
        <f>'Annual Raw'!J83</f>
        <v>155.63</v>
      </c>
      <c r="J178" s="23">
        <f>'Annual Raw'!K83</f>
        <v>105.48</v>
      </c>
      <c r="K178" s="23">
        <f>'Annual Raw'!L83</f>
        <v>0</v>
      </c>
      <c r="L178" s="23">
        <f>'Annual Raw'!M83</f>
        <v>0</v>
      </c>
      <c r="M178" s="23">
        <f>'Annual Raw'!N83</f>
        <v>1402.16</v>
      </c>
      <c r="N178" s="23">
        <f>'Annual Raw'!O83</f>
        <v>1057.8800000000001</v>
      </c>
      <c r="O178" s="23">
        <f>'Annual Raw'!P83</f>
        <v>865.42</v>
      </c>
      <c r="P178" s="23">
        <f>'Annual Raw'!Q83</f>
        <v>1428</v>
      </c>
      <c r="Q178" s="23">
        <f>'Annual Raw'!R83</f>
        <v>0</v>
      </c>
      <c r="R178" s="23">
        <f>'Annual Raw'!S83</f>
        <v>0</v>
      </c>
      <c r="S178" s="23">
        <f>'Annual Raw'!T83</f>
        <v>0</v>
      </c>
      <c r="T178" s="23">
        <f>'Annual Raw'!U83</f>
        <v>0</v>
      </c>
      <c r="U178" s="23">
        <f>'Annual Raw'!V83</f>
        <v>0</v>
      </c>
      <c r="V178" s="23">
        <f>'Annual Raw'!W83</f>
        <v>0</v>
      </c>
      <c r="W178" s="23">
        <f>'Annual Raw'!X83</f>
        <v>0</v>
      </c>
      <c r="X178" s="23">
        <f>'Annual Raw'!Y83</f>
        <v>0</v>
      </c>
      <c r="Y178" s="23">
        <f>'Annual Raw'!Z83</f>
        <v>0</v>
      </c>
      <c r="Z178" s="23">
        <f>'Annual Raw'!AA83</f>
        <v>0</v>
      </c>
      <c r="AA178" s="23">
        <f>'Annual Raw'!AB83</f>
        <v>0</v>
      </c>
      <c r="AB178" s="24">
        <f t="shared" si="1447"/>
        <v>0</v>
      </c>
      <c r="AC178" s="24">
        <f t="shared" si="1448"/>
        <v>0</v>
      </c>
      <c r="AD178" s="24">
        <f t="shared" si="1449"/>
        <v>0</v>
      </c>
      <c r="AE178" s="24">
        <f t="shared" si="1450"/>
        <v>0</v>
      </c>
      <c r="AJ178" s="23">
        <f>+'QTR Raw'!D95</f>
        <v>0</v>
      </c>
      <c r="AK178" s="23">
        <f t="shared" ref="AK178:CE178" si="1471">+AJ178</f>
        <v>0</v>
      </c>
      <c r="AL178" s="23">
        <f>+'QTR Raw'!F95</f>
        <v>0</v>
      </c>
      <c r="AM178" s="23">
        <f t="shared" si="1471"/>
        <v>0</v>
      </c>
      <c r="AN178" s="23">
        <f>+'QTR Raw'!H95</f>
        <v>0</v>
      </c>
      <c r="AO178" s="23">
        <f t="shared" si="1471"/>
        <v>0</v>
      </c>
      <c r="AP178" s="23">
        <f>+'QTR Raw'!J95</f>
        <v>0</v>
      </c>
      <c r="AQ178" s="23">
        <f t="shared" si="1471"/>
        <v>0</v>
      </c>
      <c r="AR178" s="23">
        <f>+'QTR Raw'!L95</f>
        <v>0</v>
      </c>
      <c r="AS178" s="23">
        <f t="shared" si="1471"/>
        <v>0</v>
      </c>
      <c r="AT178" s="23">
        <f>+'QTR Raw'!N95</f>
        <v>0</v>
      </c>
      <c r="AU178" s="23">
        <f t="shared" si="1471"/>
        <v>0</v>
      </c>
      <c r="AV178" s="23">
        <f>+'QTR Raw'!P95</f>
        <v>0</v>
      </c>
      <c r="AW178" s="23">
        <f t="shared" si="1471"/>
        <v>0</v>
      </c>
      <c r="AX178" s="23">
        <f>+'QTR Raw'!R95</f>
        <v>0</v>
      </c>
      <c r="AY178" s="23">
        <f t="shared" si="1471"/>
        <v>0</v>
      </c>
      <c r="AZ178" s="23">
        <f>+'QTR Raw'!T95</f>
        <v>0</v>
      </c>
      <c r="BA178" s="23">
        <f t="shared" si="1471"/>
        <v>0</v>
      </c>
      <c r="BB178" s="23">
        <f>+'QTR Raw'!V95</f>
        <v>0</v>
      </c>
      <c r="BC178" s="23">
        <f t="shared" si="1471"/>
        <v>0</v>
      </c>
      <c r="BD178" s="23">
        <f>+'QTR Raw'!X95</f>
        <v>0</v>
      </c>
      <c r="BE178" s="23">
        <f t="shared" si="1471"/>
        <v>0</v>
      </c>
      <c r="BF178" s="23">
        <f>+'QTR Raw'!Z95</f>
        <v>0</v>
      </c>
      <c r="BG178" s="23">
        <f t="shared" si="1471"/>
        <v>0</v>
      </c>
      <c r="BH178" s="23">
        <f>+'QTR Raw'!AB95</f>
        <v>0</v>
      </c>
      <c r="BI178" s="23">
        <f t="shared" si="1471"/>
        <v>0</v>
      </c>
      <c r="BJ178" s="23">
        <f>+'QTR Raw'!AD95</f>
        <v>0</v>
      </c>
      <c r="BK178" s="23">
        <f t="shared" si="1471"/>
        <v>0</v>
      </c>
      <c r="BL178" s="23">
        <f>+'QTR Raw'!AF95</f>
        <v>0</v>
      </c>
      <c r="BM178" s="23">
        <f t="shared" si="1471"/>
        <v>0</v>
      </c>
      <c r="BN178" s="23">
        <f>+'QTR Raw'!AH95</f>
        <v>0</v>
      </c>
      <c r="BO178" s="23">
        <f t="shared" si="1471"/>
        <v>0</v>
      </c>
      <c r="BP178" s="23">
        <f>+'QTR Raw'!AJ95</f>
        <v>0</v>
      </c>
      <c r="BQ178" s="23">
        <f t="shared" si="1471"/>
        <v>0</v>
      </c>
      <c r="BR178" s="23">
        <f>+'QTR Raw'!AL95</f>
        <v>0</v>
      </c>
      <c r="BS178" s="23">
        <f t="shared" si="1471"/>
        <v>0</v>
      </c>
      <c r="BT178" s="23">
        <f>+'QTR Raw'!AN95</f>
        <v>0</v>
      </c>
      <c r="BU178" s="23">
        <f t="shared" si="1471"/>
        <v>0</v>
      </c>
      <c r="BV178" s="23">
        <f>+'QTR Raw'!AP95</f>
        <v>0</v>
      </c>
      <c r="BW178" s="23">
        <f t="shared" si="1471"/>
        <v>0</v>
      </c>
      <c r="BX178" s="23">
        <f>+'QTR Raw'!AR95</f>
        <v>0</v>
      </c>
      <c r="BY178" s="23">
        <f t="shared" si="1471"/>
        <v>0</v>
      </c>
      <c r="BZ178" s="23">
        <f>+'QTR Raw'!AT95</f>
        <v>0</v>
      </c>
      <c r="CA178" s="23">
        <f t="shared" si="1471"/>
        <v>0</v>
      </c>
      <c r="CB178" s="23">
        <f>+'QTR Raw'!AV95</f>
        <v>0</v>
      </c>
      <c r="CC178" s="23">
        <f t="shared" si="1471"/>
        <v>0</v>
      </c>
      <c r="CD178" s="23">
        <f>+'QTR Raw'!AX95</f>
        <v>0</v>
      </c>
      <c r="CE178" s="23">
        <f t="shared" si="1471"/>
        <v>0</v>
      </c>
      <c r="CF178" s="23">
        <f>+'QTR Raw'!AZ95</f>
        <v>0</v>
      </c>
      <c r="CG178" s="23">
        <f t="shared" si="1452"/>
        <v>0</v>
      </c>
      <c r="CH178" s="23">
        <f t="shared" si="1453"/>
        <v>0</v>
      </c>
      <c r="CI178" s="23">
        <f t="shared" si="1452"/>
        <v>0</v>
      </c>
      <c r="CJ178" s="23">
        <f>+'QTR Raw'!BD95</f>
        <v>0</v>
      </c>
      <c r="CK178" s="23">
        <f t="shared" si="1454"/>
        <v>0</v>
      </c>
      <c r="CL178" s="23">
        <f>+'QTR Raw'!BF95</f>
        <v>0</v>
      </c>
      <c r="CM178" s="24">
        <f t="shared" si="1455"/>
        <v>0</v>
      </c>
      <c r="CN178" s="24">
        <f t="shared" si="1456"/>
        <v>0</v>
      </c>
      <c r="CO178" s="24">
        <f t="shared" si="1457"/>
        <v>0</v>
      </c>
      <c r="CP178" s="24">
        <f t="shared" si="1458"/>
        <v>0</v>
      </c>
      <c r="CQ178" s="24">
        <f t="shared" si="1459"/>
        <v>0</v>
      </c>
      <c r="CR178" s="24">
        <f t="shared" si="1460"/>
        <v>0</v>
      </c>
      <c r="CS178" s="24">
        <f t="shared" si="1461"/>
        <v>0</v>
      </c>
      <c r="CT178" s="24">
        <f t="shared" si="1462"/>
        <v>0</v>
      </c>
      <c r="CU178" s="24">
        <f t="shared" si="1463"/>
        <v>0</v>
      </c>
      <c r="CV178" s="24">
        <f t="shared" si="1464"/>
        <v>0</v>
      </c>
      <c r="CW178" s="24">
        <f t="shared" si="1465"/>
        <v>0</v>
      </c>
      <c r="CX178" s="24">
        <f t="shared" si="1466"/>
        <v>0</v>
      </c>
      <c r="CY178" s="24">
        <f t="shared" si="1467"/>
        <v>0</v>
      </c>
      <c r="CZ178" s="24">
        <f t="shared" si="1468"/>
        <v>0</v>
      </c>
      <c r="DA178" s="24">
        <f t="shared" si="1469"/>
        <v>0</v>
      </c>
      <c r="DB178" s="24">
        <f t="shared" si="1470"/>
        <v>0</v>
      </c>
      <c r="DE178" s="123"/>
      <c r="DF178" s="23">
        <v>0</v>
      </c>
    </row>
    <row r="179" spans="1:110" s="26" customFormat="1" x14ac:dyDescent="0.2">
      <c r="A179" s="26" t="s">
        <v>438</v>
      </c>
      <c r="B179" s="26">
        <f t="shared" ref="B179:W179" si="1472">B177+B175+B171+B154+B152+B178</f>
        <v>10443.779999999999</v>
      </c>
      <c r="C179" s="26">
        <f t="shared" si="1472"/>
        <v>9544.0800000000017</v>
      </c>
      <c r="D179" s="26">
        <f t="shared" si="1472"/>
        <v>9103.81</v>
      </c>
      <c r="E179" s="26">
        <f t="shared" si="1472"/>
        <v>9785.1</v>
      </c>
      <c r="F179" s="26">
        <f t="shared" si="1472"/>
        <v>12276.789999999999</v>
      </c>
      <c r="G179" s="26">
        <f t="shared" si="1472"/>
        <v>15185.4</v>
      </c>
      <c r="H179" s="26">
        <f t="shared" si="1472"/>
        <v>41281.879999999997</v>
      </c>
      <c r="I179" s="26">
        <f t="shared" si="1472"/>
        <v>89728.930000000008</v>
      </c>
      <c r="J179" s="26">
        <f t="shared" si="1472"/>
        <v>89569.53</v>
      </c>
      <c r="K179" s="26">
        <f t="shared" si="1472"/>
        <v>77986.390000000014</v>
      </c>
      <c r="L179" s="26">
        <f t="shared" si="1472"/>
        <v>98649.07</v>
      </c>
      <c r="M179" s="26">
        <f t="shared" si="1472"/>
        <v>106323.93000000001</v>
      </c>
      <c r="N179" s="26">
        <f t="shared" si="1472"/>
        <v>107003.48</v>
      </c>
      <c r="O179" s="26">
        <f t="shared" si="1472"/>
        <v>126505.27000000003</v>
      </c>
      <c r="P179" s="26">
        <f t="shared" si="1472"/>
        <v>116211.44999999998</v>
      </c>
      <c r="Q179" s="26">
        <f t="shared" si="1472"/>
        <v>126500.42000000001</v>
      </c>
      <c r="R179" s="26">
        <f t="shared" si="1472"/>
        <v>122435.50999999998</v>
      </c>
      <c r="S179" s="26">
        <f t="shared" si="1472"/>
        <v>153954.18999999997</v>
      </c>
      <c r="T179" s="26">
        <f t="shared" si="1472"/>
        <v>172105.75999999998</v>
      </c>
      <c r="U179" s="26">
        <f t="shared" si="1472"/>
        <v>192491.10000000003</v>
      </c>
      <c r="V179" s="26">
        <f t="shared" si="1472"/>
        <v>158175.43</v>
      </c>
      <c r="W179" s="26">
        <f t="shared" si="1472"/>
        <v>185927.13999999998</v>
      </c>
      <c r="X179" s="26">
        <f t="shared" ref="X179:Y179" si="1473">X177+X175+X171+X154+X152+X178</f>
        <v>183192.91000000003</v>
      </c>
      <c r="Y179" s="26">
        <f t="shared" si="1473"/>
        <v>174006.66000000003</v>
      </c>
      <c r="Z179" s="26">
        <f t="shared" ref="Z179:AA179" si="1474">Z177+Z175+Z171+Z154+Z152+Z178</f>
        <v>180316.59</v>
      </c>
      <c r="AA179" s="26">
        <f t="shared" si="1474"/>
        <v>188736.84</v>
      </c>
      <c r="AB179" s="27">
        <f t="shared" ref="AA179:AD179" si="1475">AB177+AB175+AB171+AB154+AB152+AB178</f>
        <v>206149.60485828875</v>
      </c>
      <c r="AC179" s="27">
        <f t="shared" si="1475"/>
        <v>226685.42319282418</v>
      </c>
      <c r="AD179" s="27">
        <f t="shared" si="1475"/>
        <v>251389.36602929939</v>
      </c>
      <c r="AE179" s="27">
        <f t="shared" ref="AE179" si="1476">AE177+AE175+AE171+AE154+AE152+AE178</f>
        <v>281631.97852334077</v>
      </c>
      <c r="AJ179" s="26">
        <f t="shared" ref="AJ179" si="1477">AJ177+AJ175+AJ171+AJ154+AJ152+AJ178</f>
        <v>99814.57</v>
      </c>
      <c r="AK179" s="26">
        <f t="shared" ref="AK179:AL179" si="1478">AK177+AK175+AK171+AK154+AK152+AK178</f>
        <v>99051.510000000009</v>
      </c>
      <c r="AL179" s="26">
        <f t="shared" si="1478"/>
        <v>95542.99</v>
      </c>
      <c r="AM179" s="26">
        <f t="shared" ref="AM179:AO179" si="1479">AM177+AM175+AM171+AM154+AM152+AM178</f>
        <v>96682</v>
      </c>
      <c r="AN179" s="26">
        <f t="shared" si="1479"/>
        <v>110031.11</v>
      </c>
      <c r="AO179" s="26">
        <f t="shared" si="1479"/>
        <v>110534.35</v>
      </c>
      <c r="AP179" s="26">
        <f t="shared" ref="AP179:CE179" si="1480">AP177+AP175+AP171+AP154+AP152+AP178</f>
        <v>112957.27</v>
      </c>
      <c r="AQ179" s="26">
        <f t="shared" si="1480"/>
        <v>113294.59999999999</v>
      </c>
      <c r="AR179" s="26">
        <f t="shared" si="1480"/>
        <v>103004.98</v>
      </c>
      <c r="AS179" s="26">
        <f t="shared" si="1480"/>
        <v>103162.09000000001</v>
      </c>
      <c r="AT179" s="26">
        <f t="shared" si="1480"/>
        <v>110622.01000000001</v>
      </c>
      <c r="AU179" s="26">
        <f t="shared" si="1480"/>
        <v>110302.89000000001</v>
      </c>
      <c r="AV179" s="26">
        <f t="shared" si="1480"/>
        <v>110799.22</v>
      </c>
      <c r="AW179" s="26">
        <f t="shared" si="1480"/>
        <v>108005.44</v>
      </c>
      <c r="AX179" s="26">
        <f t="shared" si="1480"/>
        <v>125108.39</v>
      </c>
      <c r="AY179" s="26">
        <f t="shared" si="1480"/>
        <v>121901.70999999999</v>
      </c>
      <c r="AZ179" s="26">
        <f t="shared" si="1480"/>
        <v>121066.45999999999</v>
      </c>
      <c r="BA179" s="26">
        <f t="shared" si="1480"/>
        <v>121268.36</v>
      </c>
      <c r="BB179" s="26">
        <f t="shared" si="1480"/>
        <v>121771.39</v>
      </c>
      <c r="BC179" s="26">
        <f t="shared" si="1480"/>
        <v>122677.65999999999</v>
      </c>
      <c r="BD179" s="26">
        <f t="shared" si="1480"/>
        <v>121564</v>
      </c>
      <c r="BE179" s="26">
        <f t="shared" si="1480"/>
        <v>122850.42000000001</v>
      </c>
      <c r="BF179" s="26">
        <f t="shared" si="1480"/>
        <v>150481.22</v>
      </c>
      <c r="BG179" s="26">
        <f t="shared" si="1480"/>
        <v>152432.28</v>
      </c>
      <c r="BH179" s="26">
        <f t="shared" ref="BH179" si="1481">BH177+BH175+BH171+BH154+BH152+BH178</f>
        <v>182634.44</v>
      </c>
      <c r="BI179" s="26">
        <f t="shared" si="1480"/>
        <v>184920.41999999998</v>
      </c>
      <c r="BJ179" s="26">
        <f t="shared" si="1480"/>
        <v>162434.34999999998</v>
      </c>
      <c r="BK179" s="26">
        <f t="shared" si="1480"/>
        <v>163151.41999999998</v>
      </c>
      <c r="BL179" s="26">
        <f t="shared" si="1480"/>
        <v>178048.65000000002</v>
      </c>
      <c r="BM179" s="26">
        <f t="shared" si="1480"/>
        <v>176964.03</v>
      </c>
      <c r="BN179" s="26">
        <f t="shared" si="1480"/>
        <v>189452.35</v>
      </c>
      <c r="BO179" s="26">
        <f t="shared" si="1480"/>
        <v>185035.79</v>
      </c>
      <c r="BP179" s="26">
        <f t="shared" si="1480"/>
        <v>178910.41999999998</v>
      </c>
      <c r="BQ179" s="26">
        <f t="shared" si="1480"/>
        <v>182607.63999999998</v>
      </c>
      <c r="BR179" s="26">
        <f t="shared" si="1480"/>
        <v>158175.43</v>
      </c>
      <c r="BS179" s="26">
        <f t="shared" si="1480"/>
        <v>167082.37999999998</v>
      </c>
      <c r="BT179" s="26">
        <f t="shared" si="1480"/>
        <v>167166.78000000003</v>
      </c>
      <c r="BU179" s="26">
        <f t="shared" si="1480"/>
        <v>176739.45</v>
      </c>
      <c r="BV179" s="26">
        <f t="shared" si="1480"/>
        <v>185927.14</v>
      </c>
      <c r="BW179" s="26">
        <f t="shared" si="1480"/>
        <v>193692.09999999998</v>
      </c>
      <c r="BX179" s="26">
        <f t="shared" si="1480"/>
        <v>191417.74</v>
      </c>
      <c r="BY179" s="26">
        <f t="shared" si="1480"/>
        <v>189193.9</v>
      </c>
      <c r="BZ179" s="26">
        <f t="shared" si="1480"/>
        <v>183192.91</v>
      </c>
      <c r="CA179" s="26">
        <f t="shared" si="1480"/>
        <v>183826.86</v>
      </c>
      <c r="CB179" s="26">
        <f t="shared" si="1480"/>
        <v>174790.21</v>
      </c>
      <c r="CC179" s="26">
        <f t="shared" si="1480"/>
        <v>175303.58</v>
      </c>
      <c r="CD179" s="26">
        <f t="shared" si="1480"/>
        <v>174006.66</v>
      </c>
      <c r="CE179" s="26">
        <f t="shared" si="1480"/>
        <v>174966.27000000002</v>
      </c>
      <c r="CF179" s="26">
        <f t="shared" ref="CF179:CG179" si="1482">CF177+CF175+CF171+CF154+CF152+CF178</f>
        <v>184616.99000000002</v>
      </c>
      <c r="CG179" s="26">
        <f t="shared" si="1482"/>
        <v>184943.63000000003</v>
      </c>
      <c r="CH179" s="26">
        <f t="shared" ref="CH179:CI179" si="1483">CH177+CH175+CH171+CH154+CH152+CH178</f>
        <v>180316.59</v>
      </c>
      <c r="CI179" s="26">
        <f t="shared" si="1483"/>
        <v>182394.27</v>
      </c>
      <c r="CJ179" s="26">
        <f t="shared" ref="CJ179:DB179" si="1484">CJ177+CJ175+CJ171+CJ154+CJ152+CJ178</f>
        <v>185475.97000000003</v>
      </c>
      <c r="CK179" s="26">
        <f t="shared" si="1484"/>
        <v>188164.67</v>
      </c>
      <c r="CL179" s="26">
        <f t="shared" ref="CL179" si="1485">CL177+CL175+CL171+CL154+CL152+CL178</f>
        <v>188736.84</v>
      </c>
      <c r="CM179" s="27">
        <f t="shared" si="1484"/>
        <v>191951.83840524714</v>
      </c>
      <c r="CN179" s="27">
        <f t="shared" si="1484"/>
        <v>195953.87673865538</v>
      </c>
      <c r="CO179" s="27">
        <f t="shared" si="1484"/>
        <v>200575.76365253757</v>
      </c>
      <c r="CP179" s="27">
        <f t="shared" si="1484"/>
        <v>206149.60485828875</v>
      </c>
      <c r="CQ179" s="27">
        <f t="shared" si="1484"/>
        <v>210184.83962713872</v>
      </c>
      <c r="CR179" s="27">
        <f t="shared" si="1484"/>
        <v>214880.50401405865</v>
      </c>
      <c r="CS179" s="27">
        <f t="shared" si="1484"/>
        <v>220435.59662569221</v>
      </c>
      <c r="CT179" s="27">
        <f t="shared" si="1484"/>
        <v>226685.42319282418</v>
      </c>
      <c r="CU179" s="27">
        <f t="shared" si="1484"/>
        <v>231603.40191373858</v>
      </c>
      <c r="CV179" s="27">
        <f t="shared" si="1484"/>
        <v>237283.71288285984</v>
      </c>
      <c r="CW179" s="27">
        <f t="shared" si="1484"/>
        <v>243953.43705454801</v>
      </c>
      <c r="CX179" s="27">
        <f t="shared" si="1484"/>
        <v>251389.36602929939</v>
      </c>
      <c r="CY179" s="27">
        <f t="shared" si="1484"/>
        <v>257633.89129801991</v>
      </c>
      <c r="CZ179" s="27">
        <f t="shared" si="1484"/>
        <v>264666.44898884604</v>
      </c>
      <c r="DA179" s="27">
        <f t="shared" si="1484"/>
        <v>272742.50962699071</v>
      </c>
      <c r="DB179" s="27">
        <f t="shared" si="1484"/>
        <v>281631.97852334077</v>
      </c>
      <c r="DE179" s="121"/>
      <c r="DF179" s="26">
        <v>191563.7796018518</v>
      </c>
    </row>
    <row r="180" spans="1:110" s="23" customFormat="1" x14ac:dyDescent="0.2">
      <c r="A180" s="28" t="s">
        <v>439</v>
      </c>
      <c r="B180" s="23">
        <f t="shared" ref="B180:W180" si="1486">B179-B143</f>
        <v>0</v>
      </c>
      <c r="C180" s="23">
        <f t="shared" si="1486"/>
        <v>0</v>
      </c>
      <c r="D180" s="23">
        <f t="shared" si="1486"/>
        <v>0</v>
      </c>
      <c r="E180" s="23">
        <f t="shared" si="1486"/>
        <v>0</v>
      </c>
      <c r="F180" s="23">
        <f t="shared" si="1486"/>
        <v>0</v>
      </c>
      <c r="G180" s="23">
        <f t="shared" si="1486"/>
        <v>0</v>
      </c>
      <c r="H180" s="23">
        <f t="shared" si="1486"/>
        <v>0</v>
      </c>
      <c r="I180" s="23">
        <f t="shared" si="1486"/>
        <v>0</v>
      </c>
      <c r="J180" s="23">
        <f t="shared" si="1486"/>
        <v>0</v>
      </c>
      <c r="K180" s="23">
        <f t="shared" si="1486"/>
        <v>0</v>
      </c>
      <c r="L180" s="23">
        <f t="shared" si="1486"/>
        <v>0</v>
      </c>
      <c r="M180" s="23">
        <f t="shared" si="1486"/>
        <v>0</v>
      </c>
      <c r="N180" s="23">
        <f t="shared" si="1486"/>
        <v>0</v>
      </c>
      <c r="O180" s="23">
        <f t="shared" si="1486"/>
        <v>0</v>
      </c>
      <c r="P180" s="23">
        <f t="shared" si="1486"/>
        <v>0</v>
      </c>
      <c r="Q180" s="23">
        <f t="shared" si="1486"/>
        <v>0</v>
      </c>
      <c r="R180" s="23">
        <f t="shared" si="1486"/>
        <v>0</v>
      </c>
      <c r="S180" s="23">
        <f t="shared" si="1486"/>
        <v>0</v>
      </c>
      <c r="T180" s="23">
        <f t="shared" si="1486"/>
        <v>0</v>
      </c>
      <c r="U180" s="23">
        <f t="shared" si="1486"/>
        <v>0</v>
      </c>
      <c r="V180" s="23">
        <f t="shared" si="1486"/>
        <v>0</v>
      </c>
      <c r="W180" s="23">
        <f t="shared" si="1486"/>
        <v>0</v>
      </c>
      <c r="X180" s="23">
        <f t="shared" ref="X180:Y180" si="1487">X179-X143</f>
        <v>0</v>
      </c>
      <c r="Y180" s="23">
        <f t="shared" si="1487"/>
        <v>0</v>
      </c>
      <c r="Z180" s="23">
        <f t="shared" ref="Z180:AA180" si="1488">Z179-Z143</f>
        <v>0</v>
      </c>
      <c r="AA180" s="23">
        <f t="shared" si="1488"/>
        <v>0</v>
      </c>
      <c r="AB180" s="24">
        <f t="shared" ref="AA180:AD180" si="1489">AB179-AB143</f>
        <v>0</v>
      </c>
      <c r="AC180" s="24">
        <f t="shared" si="1489"/>
        <v>0</v>
      </c>
      <c r="AD180" s="24">
        <f t="shared" si="1489"/>
        <v>0</v>
      </c>
      <c r="AE180" s="24">
        <f t="shared" ref="AE180" si="1490">AE179-AE143</f>
        <v>0</v>
      </c>
      <c r="AJ180" s="23">
        <f t="shared" ref="AJ180" si="1491">AJ179-AJ143</f>
        <v>0</v>
      </c>
      <c r="AK180" s="23">
        <f t="shared" ref="AK180" si="1492">AK179-AK143</f>
        <v>0</v>
      </c>
      <c r="AL180" s="23">
        <f t="shared" ref="AL180:AM180" si="1493">AL179-AL143</f>
        <v>0</v>
      </c>
      <c r="AM180" s="23">
        <f t="shared" si="1493"/>
        <v>0</v>
      </c>
      <c r="AN180" s="23">
        <f t="shared" ref="AN180:AO180" si="1494">AN179-AN143</f>
        <v>0</v>
      </c>
      <c r="AO180" s="23">
        <f t="shared" si="1494"/>
        <v>0</v>
      </c>
      <c r="AP180" s="23">
        <f t="shared" ref="AP180:CE180" si="1495">AP179-AP143</f>
        <v>0</v>
      </c>
      <c r="AQ180" s="23">
        <f t="shared" si="1495"/>
        <v>0</v>
      </c>
      <c r="AR180" s="23">
        <f t="shared" si="1495"/>
        <v>0</v>
      </c>
      <c r="AS180" s="23">
        <f t="shared" si="1495"/>
        <v>0</v>
      </c>
      <c r="AT180" s="23">
        <f t="shared" si="1495"/>
        <v>0</v>
      </c>
      <c r="AU180" s="23">
        <f t="shared" si="1495"/>
        <v>0</v>
      </c>
      <c r="AV180" s="23">
        <f t="shared" si="1495"/>
        <v>0</v>
      </c>
      <c r="AW180" s="23">
        <f t="shared" si="1495"/>
        <v>0</v>
      </c>
      <c r="AX180" s="23">
        <f t="shared" si="1495"/>
        <v>0</v>
      </c>
      <c r="AY180" s="23">
        <f t="shared" si="1495"/>
        <v>0</v>
      </c>
      <c r="AZ180" s="23">
        <f t="shared" si="1495"/>
        <v>0</v>
      </c>
      <c r="BA180" s="23">
        <f t="shared" si="1495"/>
        <v>0</v>
      </c>
      <c r="BB180" s="23">
        <f t="shared" si="1495"/>
        <v>0</v>
      </c>
      <c r="BC180" s="23">
        <f t="shared" si="1495"/>
        <v>0</v>
      </c>
      <c r="BD180" s="23">
        <f t="shared" si="1495"/>
        <v>0</v>
      </c>
      <c r="BE180" s="23">
        <f t="shared" si="1495"/>
        <v>0</v>
      </c>
      <c r="BF180" s="23">
        <f t="shared" si="1495"/>
        <v>0</v>
      </c>
      <c r="BG180" s="23">
        <f t="shared" si="1495"/>
        <v>0</v>
      </c>
      <c r="BH180" s="23">
        <f t="shared" ref="BH180" si="1496">BH179-BH143</f>
        <v>0</v>
      </c>
      <c r="BI180" s="23">
        <f t="shared" si="1495"/>
        <v>0</v>
      </c>
      <c r="BJ180" s="23">
        <f t="shared" si="1495"/>
        <v>0</v>
      </c>
      <c r="BK180" s="23">
        <f t="shared" si="1495"/>
        <v>0</v>
      </c>
      <c r="BL180" s="23">
        <f t="shared" si="1495"/>
        <v>0</v>
      </c>
      <c r="BM180" s="23">
        <f t="shared" si="1495"/>
        <v>0</v>
      </c>
      <c r="BN180" s="23">
        <f t="shared" si="1495"/>
        <v>0</v>
      </c>
      <c r="BO180" s="23">
        <f t="shared" si="1495"/>
        <v>0</v>
      </c>
      <c r="BP180" s="23">
        <f t="shared" si="1495"/>
        <v>0</v>
      </c>
      <c r="BQ180" s="23">
        <f t="shared" si="1495"/>
        <v>0</v>
      </c>
      <c r="BR180" s="23">
        <f t="shared" si="1495"/>
        <v>0</v>
      </c>
      <c r="BS180" s="23">
        <f t="shared" si="1495"/>
        <v>0</v>
      </c>
      <c r="BT180" s="23">
        <f t="shared" si="1495"/>
        <v>0</v>
      </c>
      <c r="BU180" s="23">
        <f t="shared" si="1495"/>
        <v>0</v>
      </c>
      <c r="BV180" s="23">
        <f t="shared" si="1495"/>
        <v>0</v>
      </c>
      <c r="BW180" s="23">
        <f t="shared" si="1495"/>
        <v>0</v>
      </c>
      <c r="BX180" s="23">
        <f t="shared" si="1495"/>
        <v>0</v>
      </c>
      <c r="BY180" s="23">
        <f t="shared" si="1495"/>
        <v>0</v>
      </c>
      <c r="BZ180" s="23">
        <f t="shared" si="1495"/>
        <v>0</v>
      </c>
      <c r="CA180" s="23">
        <f t="shared" si="1495"/>
        <v>0</v>
      </c>
      <c r="CB180" s="23">
        <f t="shared" si="1495"/>
        <v>0</v>
      </c>
      <c r="CC180" s="23">
        <f t="shared" si="1495"/>
        <v>0</v>
      </c>
      <c r="CD180" s="23">
        <f t="shared" si="1495"/>
        <v>0</v>
      </c>
      <c r="CE180" s="23">
        <f t="shared" si="1495"/>
        <v>0</v>
      </c>
      <c r="CF180" s="23">
        <f t="shared" ref="CF180:CG180" si="1497">CF179-CF143</f>
        <v>0</v>
      </c>
      <c r="CG180" s="23">
        <f t="shared" si="1497"/>
        <v>0</v>
      </c>
      <c r="CH180" s="23">
        <f t="shared" ref="CH180:CI180" si="1498">CH179-CH143</f>
        <v>0</v>
      </c>
      <c r="CI180" s="23">
        <f t="shared" si="1498"/>
        <v>0</v>
      </c>
      <c r="CJ180" s="23">
        <f t="shared" ref="CJ180:DB180" si="1499">CJ179-CJ143</f>
        <v>0</v>
      </c>
      <c r="CK180" s="23">
        <f t="shared" si="1499"/>
        <v>0</v>
      </c>
      <c r="CL180" s="23">
        <f t="shared" ref="CL180" si="1500">CL179-CL143</f>
        <v>0</v>
      </c>
      <c r="CM180" s="24">
        <f t="shared" si="1499"/>
        <v>0</v>
      </c>
      <c r="CN180" s="24">
        <f t="shared" si="1499"/>
        <v>0</v>
      </c>
      <c r="CO180" s="24">
        <f t="shared" si="1499"/>
        <v>0</v>
      </c>
      <c r="CP180" s="24">
        <f t="shared" si="1499"/>
        <v>0</v>
      </c>
      <c r="CQ180" s="24">
        <f t="shared" si="1499"/>
        <v>0</v>
      </c>
      <c r="CR180" s="24">
        <f t="shared" si="1499"/>
        <v>0</v>
      </c>
      <c r="CS180" s="24">
        <f t="shared" si="1499"/>
        <v>0</v>
      </c>
      <c r="CT180" s="24">
        <f t="shared" si="1499"/>
        <v>0</v>
      </c>
      <c r="CU180" s="24">
        <f t="shared" si="1499"/>
        <v>0</v>
      </c>
      <c r="CV180" s="24">
        <f t="shared" si="1499"/>
        <v>0</v>
      </c>
      <c r="CW180" s="24">
        <f t="shared" si="1499"/>
        <v>0</v>
      </c>
      <c r="CX180" s="24">
        <f t="shared" si="1499"/>
        <v>0</v>
      </c>
      <c r="CY180" s="24">
        <f t="shared" si="1499"/>
        <v>0</v>
      </c>
      <c r="CZ180" s="24">
        <f t="shared" si="1499"/>
        <v>0</v>
      </c>
      <c r="DA180" s="24">
        <f t="shared" si="1499"/>
        <v>0</v>
      </c>
      <c r="DB180" s="24">
        <f t="shared" si="1499"/>
        <v>0</v>
      </c>
      <c r="DE180" s="123"/>
      <c r="DF180" s="23">
        <v>0</v>
      </c>
    </row>
    <row r="181" spans="1:110" s="23" customFormat="1" x14ac:dyDescent="0.2">
      <c r="A181" s="28"/>
      <c r="AB181" s="24"/>
      <c r="AC181" s="24"/>
      <c r="AD181" s="24"/>
      <c r="AE181" s="24"/>
      <c r="CM181" s="24"/>
      <c r="CN181" s="24"/>
      <c r="CO181" s="24"/>
      <c r="CP181" s="24"/>
      <c r="CQ181" s="24"/>
      <c r="CR181" s="24"/>
      <c r="CS181" s="24"/>
      <c r="CT181" s="24"/>
      <c r="CU181" s="24"/>
      <c r="CV181" s="24"/>
      <c r="CW181" s="24"/>
      <c r="CX181" s="24"/>
      <c r="CY181" s="24"/>
      <c r="CZ181" s="24"/>
      <c r="DA181" s="24"/>
      <c r="DB181" s="24"/>
      <c r="DE181" s="123"/>
    </row>
    <row r="182" spans="1:110" s="22" customFormat="1" x14ac:dyDescent="0.2">
      <c r="A182" s="22" t="s">
        <v>80</v>
      </c>
      <c r="B182" s="22">
        <f t="shared" ref="B182:W182" si="1501">B142-B175</f>
        <v>5091.08</v>
      </c>
      <c r="C182" s="22">
        <f t="shared" si="1501"/>
        <v>5563.4699999999993</v>
      </c>
      <c r="D182" s="22">
        <f t="shared" si="1501"/>
        <v>4753.8900000000003</v>
      </c>
      <c r="E182" s="22">
        <f t="shared" si="1501"/>
        <v>3216.8300000000004</v>
      </c>
      <c r="F182" s="22">
        <f t="shared" si="1501"/>
        <v>2813.0800000000008</v>
      </c>
      <c r="G182" s="22">
        <f t="shared" si="1501"/>
        <v>1878.9699999999998</v>
      </c>
      <c r="H182" s="22">
        <f t="shared" si="1501"/>
        <v>11355.769999999999</v>
      </c>
      <c r="I182" s="22">
        <f t="shared" si="1501"/>
        <v>49339.189999999995</v>
      </c>
      <c r="J182" s="22">
        <f t="shared" si="1501"/>
        <v>51396.81</v>
      </c>
      <c r="K182" s="22">
        <f t="shared" si="1501"/>
        <v>45524.62</v>
      </c>
      <c r="L182" s="22">
        <f t="shared" si="1501"/>
        <v>48160.47</v>
      </c>
      <c r="M182" s="22">
        <f t="shared" si="1501"/>
        <v>49974.590000000004</v>
      </c>
      <c r="N182" s="22">
        <f t="shared" si="1501"/>
        <v>60188.110000000008</v>
      </c>
      <c r="O182" s="22">
        <f t="shared" si="1501"/>
        <v>72610.75</v>
      </c>
      <c r="P182" s="22">
        <f t="shared" si="1501"/>
        <v>72851.73000000001</v>
      </c>
      <c r="Q182" s="22">
        <f t="shared" si="1501"/>
        <v>73412.039999999994</v>
      </c>
      <c r="R182" s="22">
        <f t="shared" si="1501"/>
        <v>74694.28</v>
      </c>
      <c r="S182" s="22">
        <f t="shared" si="1501"/>
        <v>71575.23000000001</v>
      </c>
      <c r="T182" s="22">
        <f t="shared" si="1501"/>
        <v>97224.99000000002</v>
      </c>
      <c r="U182" s="22">
        <f t="shared" si="1501"/>
        <v>107116.61</v>
      </c>
      <c r="V182" s="22">
        <f t="shared" si="1501"/>
        <v>68440.91</v>
      </c>
      <c r="W182" s="22">
        <f t="shared" si="1501"/>
        <v>44405.329999999994</v>
      </c>
      <c r="X182" s="22">
        <f t="shared" ref="X182:Y182" si="1502">X142-X175</f>
        <v>61030.38</v>
      </c>
      <c r="Y182" s="22">
        <f t="shared" si="1502"/>
        <v>72164.97</v>
      </c>
      <c r="Z182" s="22">
        <f t="shared" ref="Z182:AA182" si="1503">Z142-Z175</f>
        <v>76874.179999999993</v>
      </c>
      <c r="AA182" s="22">
        <f t="shared" si="1503"/>
        <v>73895.319999999978</v>
      </c>
      <c r="AB182" s="21">
        <f t="shared" ref="AA182:AD182" si="1504">AB142-AB175</f>
        <v>65839.102845441637</v>
      </c>
      <c r="AC182" s="21">
        <f t="shared" si="1504"/>
        <v>56837.324612556411</v>
      </c>
      <c r="AD182" s="21">
        <f t="shared" si="1504"/>
        <v>17769.562133797604</v>
      </c>
      <c r="AE182" s="21">
        <f t="shared" ref="AE182" si="1505">AE142-AE175</f>
        <v>-25808.321666519463</v>
      </c>
      <c r="AJ182" s="22">
        <f t="shared" ref="AJ182:AM182" si="1506">AJ142-AJ175</f>
        <v>43840.819999999992</v>
      </c>
      <c r="AK182" s="22">
        <f t="shared" si="1506"/>
        <v>42116.138725138582</v>
      </c>
      <c r="AL182" s="22">
        <f t="shared" si="1506"/>
        <v>46810.97</v>
      </c>
      <c r="AM182" s="22">
        <f t="shared" si="1506"/>
        <v>44673.465457767241</v>
      </c>
      <c r="AN182" s="22">
        <f t="shared" ref="AN182:AO182" si="1507">AN142-AN175</f>
        <v>52442.78</v>
      </c>
      <c r="AO182" s="22">
        <f t="shared" si="1507"/>
        <v>51983.85605772592</v>
      </c>
      <c r="AP182" s="22">
        <f t="shared" ref="AP182:CE182" si="1508">AP142-AP175</f>
        <v>57119.689999999995</v>
      </c>
      <c r="AQ182" s="22">
        <f t="shared" si="1508"/>
        <v>53956.277152072762</v>
      </c>
      <c r="AR182" s="22">
        <f t="shared" si="1508"/>
        <v>42528.340000000004</v>
      </c>
      <c r="AS182" s="22">
        <f t="shared" si="1508"/>
        <v>41156.563352123754</v>
      </c>
      <c r="AT182" s="22">
        <f t="shared" si="1508"/>
        <v>65149.19</v>
      </c>
      <c r="AU182" s="22">
        <f t="shared" si="1508"/>
        <v>61617.128382935029</v>
      </c>
      <c r="AV182" s="22">
        <f t="shared" si="1508"/>
        <v>64659.71</v>
      </c>
      <c r="AW182" s="22">
        <f t="shared" si="1508"/>
        <v>65538.411921486142</v>
      </c>
      <c r="AX182" s="22">
        <f t="shared" si="1508"/>
        <v>69745.009999999995</v>
      </c>
      <c r="AY182" s="22">
        <f t="shared" si="1508"/>
        <v>71814.314895738135</v>
      </c>
      <c r="AZ182" s="22">
        <f t="shared" si="1508"/>
        <v>74062.76999999999</v>
      </c>
      <c r="BA182" s="22">
        <f t="shared" si="1508"/>
        <v>74167.26373173327</v>
      </c>
      <c r="BB182" s="22">
        <f t="shared" si="1508"/>
        <v>71756.19</v>
      </c>
      <c r="BC182" s="22">
        <f t="shared" si="1508"/>
        <v>67999.927883667115</v>
      </c>
      <c r="BD182" s="22">
        <f t="shared" si="1508"/>
        <v>77598.169999999984</v>
      </c>
      <c r="BE182" s="22">
        <f t="shared" si="1508"/>
        <v>76932.091041370557</v>
      </c>
      <c r="BF182" s="22">
        <f t="shared" si="1508"/>
        <v>65827.260000000009</v>
      </c>
      <c r="BG182" s="22">
        <f t="shared" si="1508"/>
        <v>64955.435473991136</v>
      </c>
      <c r="BH182" s="22">
        <f t="shared" si="1508"/>
        <v>100640.05</v>
      </c>
      <c r="BI182" s="22">
        <f t="shared" si="1508"/>
        <v>96964.039503447202</v>
      </c>
      <c r="BJ182" s="22">
        <f t="shared" si="1508"/>
        <v>85278.58</v>
      </c>
      <c r="BK182" s="22">
        <f t="shared" si="1508"/>
        <v>81240.967756908474</v>
      </c>
      <c r="BL182" s="22">
        <f t="shared" si="1508"/>
        <v>98209.97</v>
      </c>
      <c r="BM182" s="22">
        <f t="shared" si="1508"/>
        <v>99974.921351937795</v>
      </c>
      <c r="BN182" s="22">
        <f t="shared" si="1508"/>
        <v>101802.86</v>
      </c>
      <c r="BO182" s="22">
        <f t="shared" si="1508"/>
        <v>101078.35251164905</v>
      </c>
      <c r="BP182" s="22">
        <f t="shared" si="1508"/>
        <v>93588.950000000012</v>
      </c>
      <c r="BQ182" s="22">
        <f t="shared" si="1508"/>
        <v>90786.883279727685</v>
      </c>
      <c r="BR182" s="22">
        <f t="shared" si="1508"/>
        <v>67665.91</v>
      </c>
      <c r="BS182" s="22">
        <f t="shared" si="1508"/>
        <v>59916.505127570636</v>
      </c>
      <c r="BT182" s="22">
        <f t="shared" si="1508"/>
        <v>61719.409999999989</v>
      </c>
      <c r="BU182" s="22">
        <f t="shared" si="1508"/>
        <v>52324.861829714369</v>
      </c>
      <c r="BV182" s="22">
        <f t="shared" si="1508"/>
        <v>44405.329999999994</v>
      </c>
      <c r="BW182" s="22">
        <f t="shared" si="1508"/>
        <v>34574.037300287804</v>
      </c>
      <c r="BX182" s="22">
        <f t="shared" si="1508"/>
        <v>65706.320000000007</v>
      </c>
      <c r="BY182" s="22">
        <f t="shared" si="1508"/>
        <v>66317.544826592697</v>
      </c>
      <c r="BZ182" s="22">
        <f t="shared" si="1508"/>
        <v>61030.38</v>
      </c>
      <c r="CA182" s="22">
        <f t="shared" si="1508"/>
        <v>59026.679460918524</v>
      </c>
      <c r="CB182" s="22">
        <f t="shared" si="1508"/>
        <v>71397.819999999992</v>
      </c>
      <c r="CC182" s="22">
        <f t="shared" si="1508"/>
        <v>70733.631939455023</v>
      </c>
      <c r="CD182" s="22">
        <f t="shared" si="1508"/>
        <v>72164.97</v>
      </c>
      <c r="CE182" s="22">
        <f t="shared" si="1508"/>
        <v>69524.326418327895</v>
      </c>
      <c r="CF182" s="22">
        <f t="shared" ref="CF182:CG182" si="1509">CF142-CF175</f>
        <v>83669.53</v>
      </c>
      <c r="CG182" s="22">
        <f t="shared" si="1509"/>
        <v>83225.347988867754</v>
      </c>
      <c r="CH182" s="22">
        <f t="shared" ref="CH182:CI182" si="1510">CH142-CH175</f>
        <v>76874.179999999993</v>
      </c>
      <c r="CI182" s="22">
        <f t="shared" si="1510"/>
        <v>73110.282947473679</v>
      </c>
      <c r="CJ182" s="22">
        <f t="shared" ref="CJ182:DB182" si="1511">CJ142-CJ175</f>
        <v>81058.45</v>
      </c>
      <c r="CK182" s="22">
        <f t="shared" si="1511"/>
        <v>81598.457313053164</v>
      </c>
      <c r="CL182" s="22">
        <f t="shared" ref="CL182" si="1512">CL142-CL175</f>
        <v>73895.320000000007</v>
      </c>
      <c r="CM182" s="21">
        <f t="shared" si="1511"/>
        <v>74649.853608405974</v>
      </c>
      <c r="CN182" s="21">
        <f t="shared" si="1511"/>
        <v>71743.050055587577</v>
      </c>
      <c r="CO182" s="21">
        <f t="shared" si="1511"/>
        <v>69282.500838632841</v>
      </c>
      <c r="CP182" s="21">
        <f t="shared" si="1511"/>
        <v>65839.102845441637</v>
      </c>
      <c r="CQ182" s="21">
        <f t="shared" si="1511"/>
        <v>68296.900143104969</v>
      </c>
      <c r="CR182" s="21">
        <f t="shared" si="1511"/>
        <v>65318.99454782746</v>
      </c>
      <c r="CS182" s="21">
        <f t="shared" si="1511"/>
        <v>61149.226535930691</v>
      </c>
      <c r="CT182" s="21">
        <f t="shared" si="1511"/>
        <v>56837.324612556411</v>
      </c>
      <c r="CU182" s="21">
        <f t="shared" si="1511"/>
        <v>51722.00603951727</v>
      </c>
      <c r="CV182" s="21">
        <f t="shared" si="1511"/>
        <v>41346.770532682232</v>
      </c>
      <c r="CW182" s="21">
        <f t="shared" si="1511"/>
        <v>29630.997615954664</v>
      </c>
      <c r="CX182" s="21">
        <f t="shared" si="1511"/>
        <v>17769.562133797604</v>
      </c>
      <c r="CY182" s="21">
        <f t="shared" si="1511"/>
        <v>11886.196356476619</v>
      </c>
      <c r="CZ182" s="21">
        <f t="shared" si="1511"/>
        <v>324.83963972674974</v>
      </c>
      <c r="DA182" s="21">
        <f t="shared" si="1511"/>
        <v>-12665.744481012342</v>
      </c>
      <c r="DB182" s="21">
        <f t="shared" si="1511"/>
        <v>-25808.321666519463</v>
      </c>
      <c r="DE182" s="126"/>
      <c r="DF182" s="22">
        <v>79929.274241535226</v>
      </c>
    </row>
    <row r="183" spans="1:110" x14ac:dyDescent="0.2">
      <c r="AA183" s="2"/>
      <c r="CE183" s="111"/>
      <c r="CG183" s="111"/>
      <c r="CL183" s="2"/>
      <c r="CM183" s="24">
        <v>0</v>
      </c>
      <c r="CN183" s="24">
        <v>0</v>
      </c>
      <c r="CO183" s="24">
        <v>0</v>
      </c>
      <c r="CP183" s="24">
        <v>75435.216</v>
      </c>
      <c r="CQ183" s="24">
        <v>0</v>
      </c>
      <c r="CR183" s="24">
        <v>0</v>
      </c>
      <c r="CS183" s="24">
        <v>0</v>
      </c>
      <c r="CT183" s="24">
        <v>68019.056000000011</v>
      </c>
      <c r="DF183" s="111">
        <v>81151.915999999997</v>
      </c>
    </row>
    <row r="184" spans="1:110" s="49" customFormat="1" x14ac:dyDescent="0.2">
      <c r="A184" s="49" t="s">
        <v>81</v>
      </c>
      <c r="B184" s="49">
        <f>'Annual Raw'!C85</f>
        <v>1368.86</v>
      </c>
      <c r="C184" s="49">
        <f>'Annual Raw'!D85</f>
        <v>1125.07</v>
      </c>
      <c r="D184" s="49">
        <f>'Annual Raw'!E85</f>
        <v>1065.8599999999999</v>
      </c>
      <c r="E184" s="49">
        <f>'Annual Raw'!F85</f>
        <v>1506.12</v>
      </c>
      <c r="F184" s="49">
        <f>'Annual Raw'!G85</f>
        <v>1841.9</v>
      </c>
      <c r="G184" s="49">
        <f>'Annual Raw'!H85</f>
        <v>2006.52</v>
      </c>
      <c r="H184" s="49">
        <f>'Annual Raw'!I85</f>
        <v>2337.9899999999998</v>
      </c>
      <c r="I184" s="49">
        <f>'Annual Raw'!J85</f>
        <v>4088.44</v>
      </c>
      <c r="J184" s="49">
        <f>'Annual Raw'!K85</f>
        <v>5349.43</v>
      </c>
      <c r="K184" s="49">
        <f>'Annual Raw'!L85</f>
        <v>5456.63</v>
      </c>
      <c r="L184" s="49">
        <f>'Annual Raw'!M85</f>
        <v>5634.99</v>
      </c>
      <c r="M184" s="49">
        <f>'Annual Raw'!N85</f>
        <v>6370.99</v>
      </c>
      <c r="N184" s="49">
        <f>'Annual Raw'!O85</f>
        <v>7739.57</v>
      </c>
      <c r="O184" s="49">
        <f>'Annual Raw'!P85</f>
        <v>7852.71</v>
      </c>
      <c r="P184" s="49">
        <f>'Annual Raw'!Q85</f>
        <v>9151.6</v>
      </c>
      <c r="Q184" s="49">
        <f>'Annual Raw'!R85</f>
        <v>16777.8</v>
      </c>
      <c r="R184" s="49">
        <f>'Annual Raw'!S85</f>
        <v>19034.13</v>
      </c>
      <c r="S184" s="49">
        <f>'Annual Raw'!T85</f>
        <v>14363.57</v>
      </c>
      <c r="T184" s="49">
        <f>'Annual Raw'!U85</f>
        <v>19366.68</v>
      </c>
      <c r="U184" s="49">
        <f>'Annual Raw'!V85</f>
        <v>19202.93</v>
      </c>
      <c r="V184" s="49">
        <f>'Annual Raw'!W85</f>
        <v>21152.45</v>
      </c>
      <c r="W184" s="49">
        <f>'Annual Raw'!X85</f>
        <v>22118.99</v>
      </c>
      <c r="X184" s="49">
        <f>'Annual Raw'!Y85</f>
        <v>35932.480000000003</v>
      </c>
      <c r="Y184" s="49">
        <f>'Annual Raw'!Z85</f>
        <v>25769.94</v>
      </c>
      <c r="Z184" s="49">
        <f>'Annual Raw'!AA85</f>
        <v>10571.33</v>
      </c>
      <c r="AA184" s="49">
        <f>'Annual Raw'!AB85</f>
        <v>11263.23</v>
      </c>
      <c r="AB184" s="50"/>
      <c r="AC184" s="50"/>
      <c r="AD184" s="50"/>
      <c r="AE184" s="50"/>
      <c r="CM184" s="50"/>
      <c r="CN184" s="50"/>
      <c r="CO184" s="50"/>
      <c r="CP184" s="50"/>
      <c r="CQ184" s="50"/>
      <c r="CR184" s="50"/>
      <c r="CS184" s="50"/>
      <c r="CT184" s="50"/>
      <c r="CU184" s="50"/>
      <c r="CV184" s="50"/>
      <c r="CW184" s="50"/>
      <c r="CX184" s="50"/>
      <c r="CY184" s="50"/>
      <c r="CZ184" s="50"/>
      <c r="DA184" s="50"/>
      <c r="DB184" s="50"/>
      <c r="DE184" s="138"/>
    </row>
    <row r="185" spans="1:110" s="29" customFormat="1" x14ac:dyDescent="0.2">
      <c r="A185" s="29" t="s">
        <v>82</v>
      </c>
      <c r="B185" s="29">
        <f>'Annual Raw'!C95</f>
        <v>94.54</v>
      </c>
      <c r="C185" s="29">
        <f>'Annual Raw'!D95</f>
        <v>94.54</v>
      </c>
      <c r="D185" s="29">
        <f>'Annual Raw'!E95</f>
        <v>166.29</v>
      </c>
      <c r="E185" s="29">
        <f>'Annual Raw'!F95</f>
        <v>164.39</v>
      </c>
      <c r="F185" s="29">
        <f>'Annual Raw'!G95</f>
        <v>385.01</v>
      </c>
      <c r="G185" s="29">
        <f>'Annual Raw'!H95</f>
        <v>219.56</v>
      </c>
      <c r="H185" s="29">
        <f>'Annual Raw'!I95</f>
        <v>215.56</v>
      </c>
      <c r="I185" s="29">
        <f>'Annual Raw'!J95</f>
        <v>1109.67</v>
      </c>
      <c r="J185" s="29">
        <f>'Annual Raw'!K95</f>
        <v>930.97</v>
      </c>
      <c r="K185" s="29">
        <f>'Annual Raw'!L95</f>
        <v>622.37</v>
      </c>
      <c r="L185" s="29">
        <f>'Annual Raw'!M95</f>
        <v>662.73</v>
      </c>
      <c r="M185" s="29">
        <f>'Annual Raw'!N95</f>
        <v>682.07</v>
      </c>
      <c r="N185" s="29">
        <f>'Annual Raw'!O95</f>
        <v>598.97</v>
      </c>
      <c r="O185" s="29">
        <f>'Annual Raw'!P95</f>
        <v>0</v>
      </c>
      <c r="P185" s="29">
        <f>'Annual Raw'!Q95</f>
        <v>0</v>
      </c>
      <c r="Q185" s="29">
        <f>'Annual Raw'!R95</f>
        <v>0</v>
      </c>
      <c r="R185" s="29">
        <f>'Annual Raw'!S95</f>
        <v>0</v>
      </c>
      <c r="S185" s="29">
        <f>'Annual Raw'!T95</f>
        <v>0</v>
      </c>
      <c r="T185" s="29">
        <f>'Annual Raw'!U95</f>
        <v>0</v>
      </c>
      <c r="U185" s="29">
        <f>'Annual Raw'!V95</f>
        <v>0</v>
      </c>
      <c r="V185" s="29">
        <f>'Annual Raw'!W95</f>
        <v>0</v>
      </c>
      <c r="W185" s="29">
        <f>'Annual Raw'!X95</f>
        <v>0</v>
      </c>
      <c r="X185" s="29">
        <f>'Annual Raw'!Y95</f>
        <v>0</v>
      </c>
      <c r="Y185" s="29">
        <f>'Annual Raw'!Z95</f>
        <v>0</v>
      </c>
      <c r="Z185" s="29">
        <f>'Annual Raw'!AA95</f>
        <v>0</v>
      </c>
      <c r="AA185" s="29">
        <f>'Annual Raw'!AB95</f>
        <v>0</v>
      </c>
      <c r="AB185" s="30"/>
      <c r="AC185" s="30"/>
      <c r="AD185" s="30"/>
      <c r="AE185" s="30"/>
      <c r="CM185" s="30"/>
      <c r="CN185" s="30"/>
      <c r="CO185" s="30"/>
      <c r="CP185" s="30"/>
      <c r="CQ185" s="30"/>
      <c r="CR185" s="30"/>
      <c r="CS185" s="30"/>
      <c r="CT185" s="30"/>
      <c r="CU185" s="30"/>
      <c r="CV185" s="30"/>
      <c r="CW185" s="30"/>
      <c r="CX185" s="30"/>
      <c r="CY185" s="30"/>
      <c r="CZ185" s="30"/>
      <c r="DA185" s="30"/>
      <c r="DB185" s="30"/>
      <c r="DE185" s="139"/>
    </row>
    <row r="186" spans="1:110" s="29" customFormat="1" x14ac:dyDescent="0.2">
      <c r="A186" s="29" t="s">
        <v>83</v>
      </c>
      <c r="B186" s="29">
        <f>'Annual Raw'!C93</f>
        <v>1118.6600000000001</v>
      </c>
      <c r="C186" s="29">
        <f>'Annual Raw'!D93</f>
        <v>949.57</v>
      </c>
      <c r="D186" s="29">
        <f>'Annual Raw'!E93</f>
        <v>809.23</v>
      </c>
      <c r="E186" s="29">
        <f>'Annual Raw'!F93</f>
        <v>1164.9000000000001</v>
      </c>
      <c r="F186" s="29">
        <f>'Annual Raw'!G93</f>
        <v>1072.8800000000001</v>
      </c>
      <c r="G186" s="29">
        <f>'Annual Raw'!H93</f>
        <v>1399.59</v>
      </c>
      <c r="H186" s="29">
        <f>'Annual Raw'!I93</f>
        <v>1735.73</v>
      </c>
      <c r="I186" s="29">
        <f>'Annual Raw'!J93</f>
        <v>2528.7399999999998</v>
      </c>
      <c r="J186" s="29">
        <f>'Annual Raw'!K93</f>
        <v>3920.55</v>
      </c>
      <c r="K186" s="29">
        <f>'Annual Raw'!L93</f>
        <v>4502.22</v>
      </c>
      <c r="L186" s="29">
        <f>'Annual Raw'!M93</f>
        <v>4686.26</v>
      </c>
      <c r="M186" s="29">
        <f>'Annual Raw'!N93</f>
        <v>5463.63</v>
      </c>
      <c r="N186" s="29">
        <f>'Annual Raw'!O93</f>
        <v>6561.84</v>
      </c>
      <c r="O186" s="29">
        <f>'Annual Raw'!P93</f>
        <v>7355.03</v>
      </c>
      <c r="P186" s="29">
        <f>'Annual Raw'!Q93</f>
        <v>8670.43</v>
      </c>
      <c r="Q186" s="29">
        <f>'Annual Raw'!R93</f>
        <v>16777.8</v>
      </c>
      <c r="R186" s="29">
        <f>'Annual Raw'!S93</f>
        <v>19034.13</v>
      </c>
      <c r="S186" s="29">
        <f>'Annual Raw'!T93</f>
        <v>14363.57</v>
      </c>
      <c r="T186" s="29">
        <f>'Annual Raw'!U93</f>
        <v>19366.68</v>
      </c>
      <c r="U186" s="29">
        <f>'Annual Raw'!V93</f>
        <v>19202.93</v>
      </c>
      <c r="V186" s="29">
        <f>'Annual Raw'!W93</f>
        <v>21152.45</v>
      </c>
      <c r="W186" s="29">
        <f>'Annual Raw'!X93</f>
        <v>22118.99</v>
      </c>
      <c r="X186" s="29">
        <f>'Annual Raw'!Y93</f>
        <v>35932.480000000003</v>
      </c>
      <c r="Y186" s="29">
        <f>'Annual Raw'!Z93</f>
        <v>25769.94</v>
      </c>
      <c r="Z186" s="29">
        <f>'Annual Raw'!AA93</f>
        <v>10571.33</v>
      </c>
      <c r="AA186" s="29">
        <f>'Annual Raw'!AB93</f>
        <v>11263.23</v>
      </c>
      <c r="AB186" s="30"/>
      <c r="AC186" s="30"/>
      <c r="AD186" s="30"/>
      <c r="AE186" s="30"/>
      <c r="CM186" s="30"/>
      <c r="CN186" s="30"/>
      <c r="CO186" s="30"/>
      <c r="CP186" s="30"/>
      <c r="CQ186" s="30"/>
      <c r="CR186" s="30"/>
      <c r="CS186" s="30"/>
      <c r="CT186" s="30"/>
      <c r="CU186" s="30"/>
      <c r="CV186" s="30"/>
      <c r="CW186" s="30"/>
      <c r="CX186" s="30"/>
      <c r="CY186" s="30"/>
      <c r="CZ186" s="30"/>
      <c r="DA186" s="30"/>
      <c r="DB186" s="30"/>
      <c r="DE186" s="139"/>
    </row>
    <row r="187" spans="1:110" s="29" customFormat="1" x14ac:dyDescent="0.2">
      <c r="A187" s="29" t="s">
        <v>84</v>
      </c>
      <c r="B187" s="29">
        <f t="shared" ref="B187:V187" si="1513">B184-B185-B186</f>
        <v>155.65999999999985</v>
      </c>
      <c r="C187" s="29">
        <f t="shared" si="1513"/>
        <v>80.959999999999923</v>
      </c>
      <c r="D187" s="29">
        <f t="shared" si="1513"/>
        <v>90.339999999999918</v>
      </c>
      <c r="E187" s="29">
        <f t="shared" si="1513"/>
        <v>176.82999999999993</v>
      </c>
      <c r="F187" s="29">
        <f t="shared" si="1513"/>
        <v>384.01</v>
      </c>
      <c r="G187" s="29">
        <f t="shared" si="1513"/>
        <v>387.37000000000012</v>
      </c>
      <c r="H187" s="29">
        <f t="shared" si="1513"/>
        <v>386.69999999999982</v>
      </c>
      <c r="I187" s="29">
        <f t="shared" si="1513"/>
        <v>450.0300000000002</v>
      </c>
      <c r="J187" s="29">
        <f t="shared" si="1513"/>
        <v>497.90999999999985</v>
      </c>
      <c r="K187" s="29">
        <f t="shared" si="1513"/>
        <v>332.03999999999996</v>
      </c>
      <c r="L187" s="29">
        <f t="shared" si="1513"/>
        <v>286</v>
      </c>
      <c r="M187" s="29">
        <f t="shared" si="1513"/>
        <v>225.28999999999996</v>
      </c>
      <c r="N187" s="29">
        <f t="shared" si="1513"/>
        <v>578.75999999999931</v>
      </c>
      <c r="O187" s="29">
        <f t="shared" si="1513"/>
        <v>497.68000000000029</v>
      </c>
      <c r="P187" s="29">
        <f t="shared" si="1513"/>
        <v>481.17000000000007</v>
      </c>
      <c r="Q187" s="29">
        <f t="shared" si="1513"/>
        <v>0</v>
      </c>
      <c r="R187" s="29">
        <f t="shared" si="1513"/>
        <v>0</v>
      </c>
      <c r="S187" s="29">
        <f t="shared" si="1513"/>
        <v>0</v>
      </c>
      <c r="T187" s="29">
        <f t="shared" si="1513"/>
        <v>0</v>
      </c>
      <c r="U187" s="29">
        <f t="shared" si="1513"/>
        <v>0</v>
      </c>
      <c r="V187" s="29">
        <f t="shared" si="1513"/>
        <v>0</v>
      </c>
      <c r="W187" s="29">
        <f t="shared" ref="W187" si="1514">W184-W185-W186</f>
        <v>0</v>
      </c>
      <c r="X187" s="29">
        <f t="shared" ref="X187:Y187" si="1515">X184-X185-X186</f>
        <v>0</v>
      </c>
      <c r="Y187" s="29">
        <f t="shared" si="1515"/>
        <v>0</v>
      </c>
      <c r="Z187" s="29">
        <f t="shared" ref="Z187:AA187" si="1516">Z184-Z185-Z186</f>
        <v>0</v>
      </c>
      <c r="AA187" s="29">
        <f t="shared" si="1516"/>
        <v>0</v>
      </c>
      <c r="AB187" s="30">
        <f t="shared" ref="AA187:AD187" si="1517">AB184-AB185-AB186</f>
        <v>0</v>
      </c>
      <c r="AC187" s="30">
        <f t="shared" si="1517"/>
        <v>0</v>
      </c>
      <c r="AD187" s="30">
        <f t="shared" si="1517"/>
        <v>0</v>
      </c>
      <c r="AE187" s="30">
        <f t="shared" ref="AE187" si="1518">AE184-AE185-AE186</f>
        <v>0</v>
      </c>
      <c r="CM187" s="30"/>
      <c r="CN187" s="30"/>
      <c r="CO187" s="30"/>
      <c r="CP187" s="30"/>
      <c r="CQ187" s="30"/>
      <c r="CR187" s="30"/>
      <c r="CS187" s="30"/>
      <c r="CT187" s="30"/>
      <c r="CU187" s="30"/>
      <c r="CV187" s="30"/>
      <c r="CW187" s="30"/>
      <c r="CX187" s="30"/>
      <c r="CY187" s="30"/>
      <c r="CZ187" s="30"/>
      <c r="DA187" s="30"/>
      <c r="DB187" s="30"/>
      <c r="DE187" s="139"/>
      <c r="DF187" s="29">
        <v>0</v>
      </c>
    </row>
    <row r="188" spans="1:110" s="5" customFormat="1" x14ac:dyDescent="0.2">
      <c r="AB188" s="63"/>
      <c r="AC188" s="63"/>
      <c r="AD188" s="63"/>
      <c r="AE188" s="63"/>
      <c r="CE188" s="112"/>
      <c r="CG188" s="112"/>
      <c r="CM188" s="30"/>
      <c r="CN188" s="30"/>
      <c r="CO188" s="30"/>
      <c r="CP188" s="30"/>
      <c r="CQ188" s="30"/>
      <c r="CR188" s="30"/>
      <c r="CS188" s="30"/>
      <c r="CT188" s="30"/>
      <c r="CU188" s="30"/>
      <c r="CV188" s="30"/>
      <c r="CW188" s="30"/>
      <c r="CX188" s="30"/>
      <c r="CY188" s="30"/>
      <c r="CZ188" s="30"/>
      <c r="DA188" s="30"/>
      <c r="DB188" s="30"/>
      <c r="DE188" s="139"/>
      <c r="DF188" s="112"/>
    </row>
    <row r="189" spans="1:110" s="95" customFormat="1" x14ac:dyDescent="0.2">
      <c r="A189" s="95" t="s">
        <v>85</v>
      </c>
      <c r="B189" s="95">
        <f t="shared" ref="B189:W189" si="1519">B184/B134</f>
        <v>0.28002037463971047</v>
      </c>
      <c r="C189" s="95">
        <f t="shared" si="1519"/>
        <v>0.31975387588637361</v>
      </c>
      <c r="D189" s="95">
        <f t="shared" si="1519"/>
        <v>0.32353691112190386</v>
      </c>
      <c r="E189" s="95">
        <f t="shared" si="1519"/>
        <v>0.32343214478985027</v>
      </c>
      <c r="F189" s="95">
        <f t="shared" si="1519"/>
        <v>0.25103718605018838</v>
      </c>
      <c r="G189" s="95">
        <f t="shared" si="1519"/>
        <v>0.19515184052659834</v>
      </c>
      <c r="H189" s="95">
        <f t="shared" si="1519"/>
        <v>0.15970247942916707</v>
      </c>
      <c r="I189" s="95">
        <f t="shared" si="1519"/>
        <v>0.11957495794268974</v>
      </c>
      <c r="J189" s="95">
        <f t="shared" si="1519"/>
        <v>0.19289918339058423</v>
      </c>
      <c r="K189" s="95">
        <f t="shared" si="1519"/>
        <v>0.23899725596602914</v>
      </c>
      <c r="L189" s="95">
        <f t="shared" si="1519"/>
        <v>0.15836911282505423</v>
      </c>
      <c r="M189" s="95">
        <f t="shared" si="1519"/>
        <v>0.14795263743233147</v>
      </c>
      <c r="N189" s="95">
        <f t="shared" si="1519"/>
        <v>0.22399903912386618</v>
      </c>
      <c r="O189" s="95">
        <f t="shared" si="1519"/>
        <v>0.19207340786960148</v>
      </c>
      <c r="P189" s="95">
        <f t="shared" si="1519"/>
        <v>0.29023849627560672</v>
      </c>
      <c r="Q189" s="95">
        <f t="shared" si="1519"/>
        <v>0.40469829982717265</v>
      </c>
      <c r="R189" s="95">
        <f t="shared" si="1519"/>
        <v>0.53550412555367499</v>
      </c>
      <c r="S189" s="95">
        <f t="shared" si="1519"/>
        <v>0.24513043807711224</v>
      </c>
      <c r="T189" s="95">
        <f t="shared" si="1519"/>
        <v>0.29057249443661581</v>
      </c>
      <c r="U189" s="95">
        <f t="shared" si="1519"/>
        <v>0.26932089597244369</v>
      </c>
      <c r="V189" s="95">
        <f t="shared" si="1519"/>
        <v>0.28793036349754442</v>
      </c>
      <c r="W189" s="95">
        <f t="shared" si="1519"/>
        <v>0.19327509999734366</v>
      </c>
      <c r="X189" s="95">
        <f t="shared" ref="X189:Y189" si="1520">X184/X134</f>
        <v>0.34858117946762823</v>
      </c>
      <c r="Y189" s="95">
        <f t="shared" si="1520"/>
        <v>0.27999920900310921</v>
      </c>
      <c r="Z189" s="95">
        <f t="shared" ref="Z189:AA189" si="1521">Z184/Z134</f>
        <v>0.11595231877106443</v>
      </c>
      <c r="AA189" s="95">
        <f t="shared" si="1521"/>
        <v>0.11024262572350445</v>
      </c>
      <c r="AB189" s="87">
        <f t="shared" ref="AA189:AD189" si="1522">AB184/AB134</f>
        <v>0</v>
      </c>
      <c r="AC189" s="87">
        <f t="shared" si="1522"/>
        <v>0</v>
      </c>
      <c r="AD189" s="87">
        <f t="shared" si="1522"/>
        <v>0</v>
      </c>
      <c r="AE189" s="87">
        <f t="shared" ref="AE189" si="1523">AE184/AE134</f>
        <v>0</v>
      </c>
      <c r="CM189" s="96"/>
      <c r="CN189" s="96"/>
      <c r="CO189" s="96"/>
      <c r="CP189" s="96"/>
      <c r="CQ189" s="96"/>
      <c r="CR189" s="96"/>
      <c r="CS189" s="96"/>
      <c r="CT189" s="96"/>
      <c r="CU189" s="96"/>
      <c r="CV189" s="96"/>
      <c r="CW189" s="96"/>
      <c r="CX189" s="96"/>
      <c r="CY189" s="96"/>
      <c r="CZ189" s="96"/>
      <c r="DA189" s="96"/>
      <c r="DB189" s="96"/>
      <c r="DE189" s="140"/>
      <c r="DF189" s="95">
        <v>0</v>
      </c>
    </row>
    <row r="190" spans="1:110" x14ac:dyDescent="0.2">
      <c r="A190" s="152" t="s">
        <v>492</v>
      </c>
      <c r="AA190" s="2"/>
      <c r="CE190" s="111"/>
      <c r="CG190" s="111"/>
      <c r="CL190" s="2"/>
      <c r="DF190" s="111"/>
    </row>
    <row r="191" spans="1:110" s="6" customFormat="1" x14ac:dyDescent="0.2">
      <c r="AB191" s="19"/>
      <c r="AC191" s="19"/>
      <c r="AD191" s="19"/>
      <c r="AE191" s="19"/>
      <c r="CE191" s="113"/>
      <c r="CG191" s="113"/>
      <c r="CM191" s="24"/>
      <c r="CN191" s="24"/>
      <c r="CO191" s="24"/>
      <c r="CP191" s="24"/>
      <c r="CQ191" s="24"/>
      <c r="CR191" s="24"/>
      <c r="CS191" s="24"/>
      <c r="CT191" s="24"/>
      <c r="CU191" s="24"/>
      <c r="CV191" s="24"/>
      <c r="CW191" s="24"/>
      <c r="CX191" s="24"/>
      <c r="CY191" s="24"/>
      <c r="CZ191" s="24"/>
      <c r="DA191" s="24"/>
      <c r="DB191" s="24"/>
      <c r="DE191" s="123"/>
      <c r="DF191" s="113"/>
    </row>
    <row r="192" spans="1:110" s="62" customFormat="1" x14ac:dyDescent="0.2">
      <c r="A192" s="153" t="s">
        <v>493</v>
      </c>
      <c r="AB192" s="63"/>
      <c r="AC192" s="63"/>
      <c r="AD192" s="63"/>
      <c r="AE192" s="63"/>
      <c r="CE192" s="114"/>
      <c r="CG192" s="114"/>
      <c r="CM192" s="30"/>
      <c r="CN192" s="30"/>
      <c r="CO192" s="30"/>
      <c r="CP192" s="30"/>
      <c r="CQ192" s="30"/>
      <c r="CR192" s="30"/>
      <c r="CS192" s="30"/>
      <c r="CT192" s="30"/>
      <c r="CU192" s="30"/>
      <c r="CV192" s="30"/>
      <c r="CW192" s="30"/>
      <c r="CX192" s="30"/>
      <c r="CY192" s="30"/>
      <c r="CZ192" s="30"/>
      <c r="DA192" s="30"/>
      <c r="DB192" s="30"/>
      <c r="DE192" s="139"/>
      <c r="DF192" s="114"/>
    </row>
    <row r="193" spans="1:110" s="62" customFormat="1" outlineLevel="1" x14ac:dyDescent="0.2">
      <c r="A193" s="68" t="s">
        <v>464</v>
      </c>
      <c r="B193" s="67">
        <f t="shared" ref="B193:AE193" si="1524">B158/B17*365</f>
        <v>43.359578784035968</v>
      </c>
      <c r="C193" s="67">
        <f t="shared" si="1524"/>
        <v>51.308757625353373</v>
      </c>
      <c r="D193" s="67">
        <f t="shared" si="1524"/>
        <v>43.296019730282431</v>
      </c>
      <c r="E193" s="67">
        <f t="shared" si="1524"/>
        <v>40.535331092347313</v>
      </c>
      <c r="F193" s="67">
        <f t="shared" si="1524"/>
        <v>52.187111674625541</v>
      </c>
      <c r="G193" s="67">
        <f t="shared" si="1524"/>
        <v>45.449523485394757</v>
      </c>
      <c r="H193" s="67">
        <f t="shared" si="1524"/>
        <v>51.724038707904462</v>
      </c>
      <c r="I193" s="67">
        <f t="shared" si="1524"/>
        <v>62.783853321248628</v>
      </c>
      <c r="J193" s="67">
        <f t="shared" si="1524"/>
        <v>52.731782937673607</v>
      </c>
      <c r="K193" s="67">
        <f t="shared" si="1524"/>
        <v>65.438306864743041</v>
      </c>
      <c r="L193" s="67">
        <f t="shared" si="1524"/>
        <v>72.356572850717896</v>
      </c>
      <c r="M193" s="67">
        <f t="shared" si="1524"/>
        <v>68.712862811522896</v>
      </c>
      <c r="N193" s="67">
        <f t="shared" si="1524"/>
        <v>63.342545306860316</v>
      </c>
      <c r="O193" s="67">
        <f t="shared" si="1524"/>
        <v>64.036429334652809</v>
      </c>
      <c r="P193" s="67">
        <f t="shared" si="1524"/>
        <v>63.616226476863638</v>
      </c>
      <c r="Q193" s="67">
        <f t="shared" si="1524"/>
        <v>68.693539077328637</v>
      </c>
      <c r="R193" s="67">
        <f t="shared" si="1524"/>
        <v>79.521485873694019</v>
      </c>
      <c r="S193" s="67">
        <f t="shared" si="1524"/>
        <v>83.320082420639352</v>
      </c>
      <c r="T193" s="67">
        <f t="shared" si="1524"/>
        <v>73.283126250761171</v>
      </c>
      <c r="U193" s="67">
        <f t="shared" si="1524"/>
        <v>76.122391291608324</v>
      </c>
      <c r="V193" s="67">
        <f t="shared" si="1524"/>
        <v>77.620657679639351</v>
      </c>
      <c r="W193" s="67">
        <f t="shared" si="1524"/>
        <v>73.048708724496805</v>
      </c>
      <c r="X193" s="67">
        <f t="shared" si="1524"/>
        <v>81.616502574925306</v>
      </c>
      <c r="Y193" s="67">
        <f t="shared" si="1524"/>
        <v>78.293101546366429</v>
      </c>
      <c r="Z193" s="67">
        <f t="shared" si="1524"/>
        <v>74.472138624197186</v>
      </c>
      <c r="AA193" s="67">
        <f t="shared" ref="AA193" si="1525">AA158/AA17*365</f>
        <v>74.291245616760307</v>
      </c>
      <c r="AB193" s="18">
        <f t="shared" si="1524"/>
        <v>71.8915067848002</v>
      </c>
      <c r="AC193" s="18">
        <f t="shared" si="1524"/>
        <v>70.785487470684728</v>
      </c>
      <c r="AD193" s="18">
        <f t="shared" si="1524"/>
        <v>70.941584841590313</v>
      </c>
      <c r="AE193" s="18">
        <f t="shared" si="1524"/>
        <v>70.964110932473929</v>
      </c>
      <c r="AI193" s="67">
        <f>AJ158/AI17*90</f>
        <v>72.842755431504486</v>
      </c>
      <c r="AJ193" s="67">
        <f>AJ158/AJ17*90</f>
        <v>72.177918379221339</v>
      </c>
      <c r="AK193" s="67">
        <f t="shared" ref="AK193:CE193" si="1526">+AJ193</f>
        <v>72.177918379221339</v>
      </c>
      <c r="AL193" s="67">
        <f>AL158/AL17*90</f>
        <v>62.573670717886358</v>
      </c>
      <c r="AM193" s="67">
        <f t="shared" ref="AM193:AM194" si="1527">+AL193</f>
        <v>62.573670717886358</v>
      </c>
      <c r="AN193" s="67">
        <f>AN158/AN17*90</f>
        <v>72.261436724192649</v>
      </c>
      <c r="AO193" s="67">
        <f t="shared" ref="AO193:AO194" si="1528">+AN193</f>
        <v>72.261436724192649</v>
      </c>
      <c r="AP193" s="67">
        <f>AP158/AP17*90</f>
        <v>57.018882555290666</v>
      </c>
      <c r="AQ193" s="67">
        <f t="shared" ref="AQ193:AQ194" si="1529">+AP193</f>
        <v>57.018882555290666</v>
      </c>
      <c r="AR193" s="67">
        <f>AR158/AR17*90</f>
        <v>70.350265854340947</v>
      </c>
      <c r="AS193" s="67">
        <f t="shared" ref="AS193:AS194" si="1530">+AR193</f>
        <v>70.350265854340947</v>
      </c>
      <c r="AT193" s="67">
        <f>AT158/AT17*90</f>
        <v>67.233404562085752</v>
      </c>
      <c r="AU193" s="67">
        <f t="shared" ref="AU193:AU194" si="1531">+AT193</f>
        <v>67.233404562085752</v>
      </c>
      <c r="AV193" s="67">
        <f>AV158/AV17*90</f>
        <v>84.077424853312351</v>
      </c>
      <c r="AW193" s="67">
        <f t="shared" ref="AW193:AW194" si="1532">+AV193</f>
        <v>84.077424853312351</v>
      </c>
      <c r="AX193" s="67">
        <f>AX158/AX17*90</f>
        <v>66.535495577228403</v>
      </c>
      <c r="AY193" s="67">
        <f t="shared" ref="AY193:AY194" si="1533">+AX193</f>
        <v>66.535495577228403</v>
      </c>
      <c r="AZ193" s="67">
        <f>AZ158/AZ17*90</f>
        <v>73.940965314817859</v>
      </c>
      <c r="BA193" s="67">
        <f t="shared" ref="BA193:BA194" si="1534">+AZ193</f>
        <v>73.940965314817859</v>
      </c>
      <c r="BB193" s="67">
        <f>BB158/BB17*90</f>
        <v>63.23044201525623</v>
      </c>
      <c r="BC193" s="67">
        <f t="shared" ref="BC193:BC194" si="1535">+BB193</f>
        <v>63.23044201525623</v>
      </c>
      <c r="BD193" s="67">
        <f>BD158/BD17*90</f>
        <v>73.600991740424973</v>
      </c>
      <c r="BE193" s="67">
        <f t="shared" ref="BE193:BE194" si="1536">+BD193</f>
        <v>73.600991740424973</v>
      </c>
      <c r="BF193" s="67">
        <f>BF158/BF17*90</f>
        <v>75.650172407347739</v>
      </c>
      <c r="BG193" s="67">
        <f t="shared" ref="BG193:BG194" si="1537">+BF193</f>
        <v>75.650172407347739</v>
      </c>
      <c r="BH193" s="67">
        <f>BH158/BH17*90</f>
        <v>78.898466299371421</v>
      </c>
      <c r="BI193" s="67">
        <f t="shared" ref="BI193:BI194" si="1538">+BH193</f>
        <v>78.898466299371421</v>
      </c>
      <c r="BJ193" s="67">
        <f>BJ158/BJ17*90</f>
        <v>67.156760370225612</v>
      </c>
      <c r="BK193" s="67">
        <f t="shared" ref="BK193:BK194" si="1539">+BJ193</f>
        <v>67.156760370225612</v>
      </c>
      <c r="BL193" s="67">
        <f>BL158/BL17*90</f>
        <v>88.674069194237688</v>
      </c>
      <c r="BM193" s="67">
        <f t="shared" ref="BM193:BM194" si="1540">+BL193</f>
        <v>88.674069194237688</v>
      </c>
      <c r="BN193" s="67">
        <f>BN158/BN17*90</f>
        <v>77.651589016969766</v>
      </c>
      <c r="BO193" s="67">
        <f t="shared" ref="BO193:BO194" si="1541">+BN193</f>
        <v>77.651589016969766</v>
      </c>
      <c r="BP193" s="67">
        <f>BP158/BP17*90</f>
        <v>61.710834685415534</v>
      </c>
      <c r="BQ193" s="67">
        <f t="shared" ref="BQ193:BQ194" si="1542">+BP193</f>
        <v>61.710834685415534</v>
      </c>
      <c r="BR193" s="67">
        <f>BR158/BR17*90</f>
        <v>59.863517440204426</v>
      </c>
      <c r="BS193" s="67">
        <f t="shared" ref="BS193:BS194" si="1543">+BR193</f>
        <v>59.863517440204426</v>
      </c>
      <c r="BT193" s="67">
        <f>BT158/BT17*90</f>
        <v>64.149382492594043</v>
      </c>
      <c r="BU193" s="67">
        <f t="shared" ref="BU193:BU194" si="1544">+BT193</f>
        <v>64.149382492594043</v>
      </c>
      <c r="BV193" s="67">
        <f>BV158/BV17*90</f>
        <v>63.38680389766818</v>
      </c>
      <c r="BW193" s="67">
        <f t="shared" ref="BW193:BW194" si="1545">+BV193</f>
        <v>63.38680389766818</v>
      </c>
      <c r="BX193" s="67">
        <f>BX158/BX17*90</f>
        <v>86.54939115714879</v>
      </c>
      <c r="BY193" s="67">
        <f t="shared" ref="BY193:BY194" si="1546">+BX193</f>
        <v>86.54939115714879</v>
      </c>
      <c r="BZ193" s="67">
        <f>BZ158/BZ17*90</f>
        <v>77.783670793312879</v>
      </c>
      <c r="CA193" s="67">
        <f t="shared" ref="CA193:CA194" si="1547">+BZ193</f>
        <v>77.783670793312879</v>
      </c>
      <c r="CB193" s="67">
        <f>CB158/CB17*90</f>
        <v>79.475957460526246</v>
      </c>
      <c r="CC193" s="67">
        <f t="shared" ref="CC193:CC194" si="1548">+CB193</f>
        <v>79.475957460526246</v>
      </c>
      <c r="CD193" s="67">
        <f>CD158/CD17*90</f>
        <v>75.385562909596644</v>
      </c>
      <c r="CE193" s="67">
        <f t="shared" si="1526"/>
        <v>75.385562909596644</v>
      </c>
      <c r="CF193" s="67">
        <f>CF158/CF17*90</f>
        <v>85.43733191403868</v>
      </c>
      <c r="CG193" s="67">
        <f t="shared" ref="CG193:CI194" si="1549">+CF193</f>
        <v>85.43733191403868</v>
      </c>
      <c r="CH193" s="67">
        <f>CH158/CH17*90</f>
        <v>71.384374181202475</v>
      </c>
      <c r="CI193" s="67">
        <f t="shared" si="1549"/>
        <v>71.384374181202475</v>
      </c>
      <c r="CJ193" s="67">
        <f>CJ158/CJ17*90</f>
        <v>69.911278531398153</v>
      </c>
      <c r="CK193" s="67">
        <f t="shared" ref="CK193:CK194" si="1550">+CJ193</f>
        <v>69.911278531398153</v>
      </c>
      <c r="CL193" s="67">
        <f>CL158/CL17*90</f>
        <v>67.210701163408388</v>
      </c>
      <c r="CM193" s="30">
        <f>+CL193-2</f>
        <v>65.210701163408388</v>
      </c>
      <c r="CN193" s="30">
        <f>+CM193-2</f>
        <v>63.210701163408388</v>
      </c>
      <c r="CO193" s="30">
        <f t="shared" ref="CO193:CO194" si="1551">+CN193</f>
        <v>63.210701163408388</v>
      </c>
      <c r="CP193" s="30">
        <f t="shared" ref="CP193:CP194" si="1552">+CO193</f>
        <v>63.210701163408388</v>
      </c>
      <c r="CQ193" s="30">
        <f t="shared" ref="CQ193:CQ194" si="1553">+CP193</f>
        <v>63.210701163408388</v>
      </c>
      <c r="CR193" s="30">
        <f t="shared" ref="CR193:CR194" si="1554">+CQ193</f>
        <v>63.210701163408388</v>
      </c>
      <c r="CS193" s="30">
        <f t="shared" ref="CS193:CS194" si="1555">+CR193</f>
        <v>63.210701163408388</v>
      </c>
      <c r="CT193" s="30">
        <f t="shared" ref="CT193:CT194" si="1556">+CS193</f>
        <v>63.210701163408388</v>
      </c>
      <c r="CU193" s="30">
        <f t="shared" ref="CU193:CU194" si="1557">+CT193</f>
        <v>63.210701163408388</v>
      </c>
      <c r="CV193" s="30">
        <f t="shared" ref="CV193:CV194" si="1558">+CU193</f>
        <v>63.210701163408388</v>
      </c>
      <c r="CW193" s="30">
        <f t="shared" ref="CW193:CW194" si="1559">+CV193</f>
        <v>63.210701163408388</v>
      </c>
      <c r="CX193" s="30">
        <f t="shared" ref="CX193:CX194" si="1560">+CW193</f>
        <v>63.210701163408388</v>
      </c>
      <c r="CY193" s="30">
        <f t="shared" ref="CY193:CY194" si="1561">+CX193</f>
        <v>63.210701163408388</v>
      </c>
      <c r="CZ193" s="30">
        <f t="shared" ref="CZ193:CZ194" si="1562">+CY193</f>
        <v>63.210701163408388</v>
      </c>
      <c r="DA193" s="30">
        <f t="shared" ref="DA193:DA194" si="1563">+CZ193</f>
        <v>63.210701163408388</v>
      </c>
      <c r="DB193" s="30">
        <f t="shared" ref="DB193:DB194" si="1564">+DA193</f>
        <v>63.210701163408388</v>
      </c>
      <c r="DE193" s="139"/>
      <c r="DF193" s="114">
        <v>69.911278531398153</v>
      </c>
    </row>
    <row r="194" spans="1:110" s="62" customFormat="1" outlineLevel="1" x14ac:dyDescent="0.2">
      <c r="A194" s="68" t="s">
        <v>465</v>
      </c>
      <c r="B194" s="67">
        <f t="shared" ref="B194:AE194" si="1565">B159/B17*365</f>
        <v>60.17807341766931</v>
      </c>
      <c r="C194" s="67">
        <f t="shared" si="1565"/>
        <v>56.005695581014727</v>
      </c>
      <c r="D194" s="67">
        <f t="shared" si="1565"/>
        <v>37.767479051726504</v>
      </c>
      <c r="E194" s="67">
        <f t="shared" si="1565"/>
        <v>22.304403383948149</v>
      </c>
      <c r="F194" s="67">
        <f t="shared" si="1565"/>
        <v>27.751873149532685</v>
      </c>
      <c r="G194" s="67">
        <f t="shared" si="1565"/>
        <v>19.972611522736479</v>
      </c>
      <c r="H194" s="67">
        <f t="shared" si="1565"/>
        <v>22.436015000023687</v>
      </c>
      <c r="I194" s="67">
        <f t="shared" si="1565"/>
        <v>50.897670963362017</v>
      </c>
      <c r="J194" s="67">
        <f t="shared" si="1565"/>
        <v>31.713483700430185</v>
      </c>
      <c r="K194" s="67">
        <f t="shared" si="1565"/>
        <v>40.315143946795267</v>
      </c>
      <c r="L194" s="67">
        <f t="shared" si="1565"/>
        <v>44.553276896801087</v>
      </c>
      <c r="M194" s="67">
        <f t="shared" si="1565"/>
        <v>39.938391869833083</v>
      </c>
      <c r="N194" s="67">
        <f t="shared" si="1565"/>
        <v>36.794074735303276</v>
      </c>
      <c r="O194" s="67">
        <f t="shared" si="1565"/>
        <v>38.130668138084289</v>
      </c>
      <c r="P194" s="67">
        <f t="shared" si="1565"/>
        <v>33.667066971516526</v>
      </c>
      <c r="Q194" s="67">
        <f t="shared" si="1565"/>
        <v>41.415964014266699</v>
      </c>
      <c r="R194" s="67">
        <f t="shared" si="1565"/>
        <v>36.926878007261799</v>
      </c>
      <c r="S194" s="67">
        <f t="shared" si="1565"/>
        <v>36.513384249046148</v>
      </c>
      <c r="T194" s="67">
        <f t="shared" si="1565"/>
        <v>27.342186944940792</v>
      </c>
      <c r="U194" s="67">
        <f t="shared" si="1565"/>
        <v>19.319051583686594</v>
      </c>
      <c r="V194" s="67">
        <f t="shared" si="1565"/>
        <v>22.252680578792848</v>
      </c>
      <c r="W194" s="67">
        <f t="shared" si="1565"/>
        <v>18.322520731645383</v>
      </c>
      <c r="X194" s="67">
        <f t="shared" si="1565"/>
        <v>12.384874808657344</v>
      </c>
      <c r="Y194" s="67">
        <f t="shared" si="1565"/>
        <v>9.9759159959223425</v>
      </c>
      <c r="Z194" s="67">
        <f t="shared" si="1565"/>
        <v>8.7851187395989925</v>
      </c>
      <c r="AA194" s="67">
        <f t="shared" ref="AA194" si="1566">AA159/AA17*365</f>
        <v>7.7309611176775528</v>
      </c>
      <c r="AB194" s="18">
        <f t="shared" si="1565"/>
        <v>7.954653255881782</v>
      </c>
      <c r="AC194" s="18">
        <f t="shared" si="1565"/>
        <v>7.8322744029189053</v>
      </c>
      <c r="AD194" s="18">
        <f t="shared" si="1565"/>
        <v>7.849546268751757</v>
      </c>
      <c r="AE194" s="18">
        <f t="shared" si="1565"/>
        <v>7.8520387362239727</v>
      </c>
      <c r="AI194" s="67">
        <f>AJ159/AI17*90</f>
        <v>38.709457381760551</v>
      </c>
      <c r="AJ194" s="67">
        <f>AJ159/AJ17*90</f>
        <v>38.356155514076953</v>
      </c>
      <c r="AK194" s="67">
        <f>+AJ194</f>
        <v>38.356155514076953</v>
      </c>
      <c r="AL194" s="67">
        <f>AL159/AL17*90</f>
        <v>36.347455027305543</v>
      </c>
      <c r="AM194" s="67">
        <f t="shared" si="1527"/>
        <v>36.347455027305543</v>
      </c>
      <c r="AN194" s="67">
        <f>AN159/AN17*90</f>
        <v>36.730793843288929</v>
      </c>
      <c r="AO194" s="67">
        <f t="shared" si="1528"/>
        <v>36.730793843288929</v>
      </c>
      <c r="AP194" s="67">
        <f>AP159/AP17*90</f>
        <v>33.952050589173908</v>
      </c>
      <c r="AQ194" s="67">
        <f t="shared" si="1529"/>
        <v>33.952050589173908</v>
      </c>
      <c r="AR194" s="67">
        <f>AR159/AR17*90</f>
        <v>33.494779203798181</v>
      </c>
      <c r="AS194" s="67">
        <f t="shared" si="1530"/>
        <v>33.494779203798181</v>
      </c>
      <c r="AT194" s="67">
        <f>AT159/AT17*90</f>
        <v>35.581354938398121</v>
      </c>
      <c r="AU194" s="67">
        <f t="shared" si="1531"/>
        <v>35.581354938398121</v>
      </c>
      <c r="AV194" s="67">
        <f>AV159/AV17*90</f>
        <v>43.081784508473461</v>
      </c>
      <c r="AW194" s="67">
        <f t="shared" si="1532"/>
        <v>43.081784508473461</v>
      </c>
      <c r="AX194" s="67">
        <f>AX159/AX17*90</f>
        <v>40.114859818124458</v>
      </c>
      <c r="AY194" s="67">
        <f t="shared" si="1533"/>
        <v>40.114859818124458</v>
      </c>
      <c r="AZ194" s="67">
        <f>AZ159/AZ17*90</f>
        <v>32.159950441838298</v>
      </c>
      <c r="BA194" s="67">
        <f t="shared" si="1534"/>
        <v>32.159950441838298</v>
      </c>
      <c r="BB194" s="67">
        <f>BB159/BB17*90</f>
        <v>29.53737570064656</v>
      </c>
      <c r="BC194" s="67">
        <f t="shared" si="1535"/>
        <v>29.53737570064656</v>
      </c>
      <c r="BD194" s="67">
        <f>BD159/BD17*90</f>
        <v>33.785228870994274</v>
      </c>
      <c r="BE194" s="67">
        <f t="shared" si="1536"/>
        <v>33.785228870994274</v>
      </c>
      <c r="BF194" s="67">
        <f>BF159/BF17*90</f>
        <v>33.152197325861458</v>
      </c>
      <c r="BG194" s="67">
        <f t="shared" si="1537"/>
        <v>33.152197325861458</v>
      </c>
      <c r="BH194" s="67">
        <f>BH159/BH17*90</f>
        <v>32.337529060697619</v>
      </c>
      <c r="BI194" s="67">
        <f t="shared" si="1538"/>
        <v>32.337529060697619</v>
      </c>
      <c r="BJ194" s="67">
        <f>BJ159/BJ17*90</f>
        <v>25.056418722860204</v>
      </c>
      <c r="BK194" s="67">
        <f t="shared" si="1539"/>
        <v>25.056418722860204</v>
      </c>
      <c r="BL194" s="67">
        <f>BL159/BL17*90</f>
        <v>28.205466410713036</v>
      </c>
      <c r="BM194" s="67">
        <f t="shared" si="1540"/>
        <v>28.205466410713036</v>
      </c>
      <c r="BN194" s="67">
        <f>BN159/BN17*90</f>
        <v>19.707145667919214</v>
      </c>
      <c r="BO194" s="67">
        <f t="shared" si="1541"/>
        <v>19.707145667919214</v>
      </c>
      <c r="BP194" s="67">
        <f>BP159/BP17*90</f>
        <v>16.06971659432449</v>
      </c>
      <c r="BQ194" s="67">
        <f t="shared" si="1542"/>
        <v>16.06971659432449</v>
      </c>
      <c r="BR194" s="67">
        <f>BR159/BR17*90</f>
        <v>17.161974295784571</v>
      </c>
      <c r="BS194" s="67">
        <f t="shared" si="1543"/>
        <v>17.161974295784571</v>
      </c>
      <c r="BT194" s="67">
        <f>BT159/BT17*90</f>
        <v>17.365162080065733</v>
      </c>
      <c r="BU194" s="67">
        <f t="shared" si="1544"/>
        <v>17.365162080065733</v>
      </c>
      <c r="BV194" s="67">
        <f>BV159/BV17*90</f>
        <v>15.89906308827454</v>
      </c>
      <c r="BW194" s="67">
        <f t="shared" si="1545"/>
        <v>15.89906308827454</v>
      </c>
      <c r="BX194" s="67">
        <f>BX159/BX17*90</f>
        <v>13.906162112258491</v>
      </c>
      <c r="BY194" s="67">
        <f t="shared" si="1546"/>
        <v>13.906162112258491</v>
      </c>
      <c r="BZ194" s="67">
        <f>BZ159/BZ17*90</f>
        <v>11.803262753738233</v>
      </c>
      <c r="CA194" s="67">
        <f t="shared" si="1547"/>
        <v>11.803262753738233</v>
      </c>
      <c r="CB194" s="67">
        <f>CB159/CB17*90</f>
        <v>10.958154647297606</v>
      </c>
      <c r="CC194" s="67">
        <f t="shared" si="1548"/>
        <v>10.958154647297606</v>
      </c>
      <c r="CD194" s="67">
        <f>CD159/CD17*90</f>
        <v>9.6054445160291042</v>
      </c>
      <c r="CE194" s="114">
        <f t="shared" ref="CE194" si="1567">+CD194</f>
        <v>9.6054445160291042</v>
      </c>
      <c r="CF194" s="67">
        <f>CF159/CF17*90</f>
        <v>10.086448846492262</v>
      </c>
      <c r="CG194" s="67">
        <f t="shared" si="1549"/>
        <v>10.086448846492262</v>
      </c>
      <c r="CH194" s="67">
        <f>CH159/CH17*90</f>
        <v>8.4208700719394525</v>
      </c>
      <c r="CI194" s="67">
        <f t="shared" si="1549"/>
        <v>8.4208700719394525</v>
      </c>
      <c r="CJ194" s="67">
        <f>CJ159/CJ17*90</f>
        <v>8.8540583810095512</v>
      </c>
      <c r="CK194" s="67">
        <f t="shared" si="1550"/>
        <v>8.8540583810095512</v>
      </c>
      <c r="CL194" s="67">
        <f>CL159/CL17*90</f>
        <v>6.994139256549655</v>
      </c>
      <c r="CM194" s="30">
        <f t="shared" ref="CM194" si="1568">+CL194</f>
        <v>6.994139256549655</v>
      </c>
      <c r="CN194" s="30">
        <f t="shared" ref="CN194" si="1569">+CM194</f>
        <v>6.994139256549655</v>
      </c>
      <c r="CO194" s="30">
        <f t="shared" si="1551"/>
        <v>6.994139256549655</v>
      </c>
      <c r="CP194" s="30">
        <f t="shared" si="1552"/>
        <v>6.994139256549655</v>
      </c>
      <c r="CQ194" s="30">
        <f t="shared" si="1553"/>
        <v>6.994139256549655</v>
      </c>
      <c r="CR194" s="30">
        <f t="shared" si="1554"/>
        <v>6.994139256549655</v>
      </c>
      <c r="CS194" s="30">
        <f t="shared" si="1555"/>
        <v>6.994139256549655</v>
      </c>
      <c r="CT194" s="30">
        <f t="shared" si="1556"/>
        <v>6.994139256549655</v>
      </c>
      <c r="CU194" s="30">
        <f t="shared" si="1557"/>
        <v>6.994139256549655</v>
      </c>
      <c r="CV194" s="30">
        <f t="shared" si="1558"/>
        <v>6.994139256549655</v>
      </c>
      <c r="CW194" s="30">
        <f t="shared" si="1559"/>
        <v>6.994139256549655</v>
      </c>
      <c r="CX194" s="30">
        <f t="shared" si="1560"/>
        <v>6.994139256549655</v>
      </c>
      <c r="CY194" s="30">
        <f t="shared" si="1561"/>
        <v>6.994139256549655</v>
      </c>
      <c r="CZ194" s="30">
        <f t="shared" si="1562"/>
        <v>6.994139256549655</v>
      </c>
      <c r="DA194" s="30">
        <f t="shared" si="1563"/>
        <v>6.994139256549655</v>
      </c>
      <c r="DB194" s="30">
        <f t="shared" si="1564"/>
        <v>6.994139256549655</v>
      </c>
      <c r="DE194" s="139"/>
      <c r="DF194" s="114">
        <v>8.8540583810095512</v>
      </c>
    </row>
    <row r="195" spans="1:110" s="62" customFormat="1" outlineLevel="1" x14ac:dyDescent="0.2">
      <c r="A195" s="68" t="s">
        <v>466</v>
      </c>
      <c r="B195" s="67">
        <f>B196-B194-B193</f>
        <v>36.940101347519935</v>
      </c>
      <c r="C195" s="67">
        <f t="shared" ref="C195:U195" si="1570">C196-C194-C193</f>
        <v>36.70962654366911</v>
      </c>
      <c r="D195" s="67">
        <f t="shared" si="1570"/>
        <v>42.667703490531729</v>
      </c>
      <c r="E195" s="67">
        <f t="shared" si="1570"/>
        <v>20.287726115838865</v>
      </c>
      <c r="F195" s="67">
        <f t="shared" si="1570"/>
        <v>16.605599809813882</v>
      </c>
      <c r="G195" s="67">
        <f t="shared" si="1570"/>
        <v>18.670733930372201</v>
      </c>
      <c r="H195" s="67">
        <f t="shared" si="1570"/>
        <v>26.360019520878332</v>
      </c>
      <c r="I195" s="67">
        <f t="shared" si="1570"/>
        <v>42.107816080587213</v>
      </c>
      <c r="J195" s="67">
        <f t="shared" si="1570"/>
        <v>32.797812900415188</v>
      </c>
      <c r="K195" s="67">
        <f t="shared" si="1570"/>
        <v>24.014188644460049</v>
      </c>
      <c r="L195" s="67">
        <f t="shared" si="1570"/>
        <v>37.062498686604158</v>
      </c>
      <c r="M195" s="67">
        <f t="shared" si="1570"/>
        <v>29.564811132235789</v>
      </c>
      <c r="N195" s="67">
        <f t="shared" si="1570"/>
        <v>33.449259241063729</v>
      </c>
      <c r="O195" s="67">
        <f t="shared" si="1570"/>
        <v>30.391289134542902</v>
      </c>
      <c r="P195" s="67">
        <f t="shared" si="1570"/>
        <v>26.306554696810132</v>
      </c>
      <c r="Q195" s="67">
        <f t="shared" si="1570"/>
        <v>67.647381152816365</v>
      </c>
      <c r="R195" s="67">
        <f t="shared" si="1570"/>
        <v>30.513760695159618</v>
      </c>
      <c r="S195" s="67">
        <f t="shared" si="1570"/>
        <v>86.519597301387194</v>
      </c>
      <c r="T195" s="67">
        <f t="shared" si="1570"/>
        <v>85.986744761921813</v>
      </c>
      <c r="U195" s="67">
        <f t="shared" si="1570"/>
        <v>102.43526438677523</v>
      </c>
      <c r="V195" s="67">
        <f>V196-V194-V193</f>
        <v>69.619588515657881</v>
      </c>
      <c r="W195" s="67">
        <f t="shared" ref="W195" si="1571">W196-W194-W193</f>
        <v>55.325740983624428</v>
      </c>
      <c r="X195" s="67">
        <f t="shared" ref="X195:Y195" si="1572">X196-X194-X193</f>
        <v>34.678981358291139</v>
      </c>
      <c r="Y195" s="67">
        <f t="shared" si="1572"/>
        <v>25.142628130863798</v>
      </c>
      <c r="Z195" s="67">
        <f t="shared" ref="Z195:AA195" si="1573">Z196-Z194-Z193</f>
        <v>25.438273771084624</v>
      </c>
      <c r="AA195" s="67">
        <f t="shared" si="1573"/>
        <v>29.555495060436414</v>
      </c>
      <c r="AB195" s="18">
        <f t="shared" ref="AA195:AD195" si="1574">AB196-AB194-AB193</f>
        <v>46.706442845913642</v>
      </c>
      <c r="AC195" s="18">
        <f t="shared" si="1574"/>
        <v>45.987884699179489</v>
      </c>
      <c r="AD195" s="18">
        <f t="shared" si="1574"/>
        <v>46.089297971187023</v>
      </c>
      <c r="AE195" s="18">
        <f t="shared" ref="AE195" si="1575">AE196-AE194-AE193</f>
        <v>46.103932712110577</v>
      </c>
      <c r="AI195" s="67">
        <f t="shared" ref="AI195:AK195" si="1576">AI196-AI194-AI193</f>
        <v>-111.55221281326504</v>
      </c>
      <c r="AJ195" s="67">
        <f t="shared" ref="AJ195:AM195" si="1577">AJ196-AJ194-AJ193</f>
        <v>28.263646066400227</v>
      </c>
      <c r="AK195" s="67">
        <f t="shared" si="1576"/>
        <v>30.046755955217449</v>
      </c>
      <c r="AL195" s="67">
        <f t="shared" si="1577"/>
        <v>34.860176499770418</v>
      </c>
      <c r="AM195" s="67">
        <f t="shared" si="1577"/>
        <v>36.821497714205762</v>
      </c>
      <c r="AN195" s="67">
        <f t="shared" ref="AN195:AY195" si="1578">AN196-AN194-AN193</f>
        <v>33.815443299188544</v>
      </c>
      <c r="AO195" s="67">
        <f t="shared" si="1578"/>
        <v>33.731741934711167</v>
      </c>
      <c r="AP195" s="67">
        <f t="shared" si="1578"/>
        <v>28.192443442486756</v>
      </c>
      <c r="AQ195" s="67">
        <f t="shared" si="1578"/>
        <v>32.836728368711199</v>
      </c>
      <c r="AR195" s="67">
        <f t="shared" si="1578"/>
        <v>32.715479254752566</v>
      </c>
      <c r="AS195" s="67">
        <f t="shared" si="1578"/>
        <v>34.800859150310586</v>
      </c>
      <c r="AT195" s="67">
        <f t="shared" si="1578"/>
        <v>31.18700131704874</v>
      </c>
      <c r="AU195" s="67">
        <f t="shared" si="1578"/>
        <v>33.474130306470542</v>
      </c>
      <c r="AV195" s="67">
        <f t="shared" si="1578"/>
        <v>73.679647294063642</v>
      </c>
      <c r="AW195" s="67">
        <f t="shared" si="1578"/>
        <v>73.07990847300951</v>
      </c>
      <c r="AX195" s="67">
        <f t="shared" si="1578"/>
        <v>65.159759833860733</v>
      </c>
      <c r="AY195" s="67">
        <f t="shared" si="1578"/>
        <v>63.090252612680843</v>
      </c>
      <c r="AZ195" s="67">
        <f t="shared" ref="AZ195:BC195" si="1579">AZ196-AZ194-AZ193</f>
        <v>42.733759469609666</v>
      </c>
      <c r="BA195" s="67">
        <f t="shared" si="1579"/>
        <v>35.026550977704304</v>
      </c>
      <c r="BB195" s="67">
        <f t="shared" si="1579"/>
        <v>27.755622521412747</v>
      </c>
      <c r="BC195" s="67">
        <f t="shared" si="1579"/>
        <v>27.695538102398544</v>
      </c>
      <c r="BD195" s="67">
        <f t="shared" ref="BD195:CE195" si="1580">BD196-BD194-BD193</f>
        <v>27.55381476299695</v>
      </c>
      <c r="BE195" s="67">
        <f t="shared" si="1580"/>
        <v>26.744449361071105</v>
      </c>
      <c r="BF195" s="67">
        <f t="shared" si="1580"/>
        <v>78.559966960450467</v>
      </c>
      <c r="BG195" s="67">
        <f t="shared" si="1580"/>
        <v>74.600282638682259</v>
      </c>
      <c r="BH195" s="67">
        <f t="shared" si="1580"/>
        <v>73.853627000016644</v>
      </c>
      <c r="BI195" s="67">
        <f t="shared" si="1580"/>
        <v>77.737502663826632</v>
      </c>
      <c r="BJ195" s="67">
        <f t="shared" si="1580"/>
        <v>78.79837431105986</v>
      </c>
      <c r="BK195" s="67">
        <f t="shared" si="1580"/>
        <v>92.995826368239335</v>
      </c>
      <c r="BL195" s="67">
        <f t="shared" si="1580"/>
        <v>115.68886827275833</v>
      </c>
      <c r="BM195" s="67">
        <f t="shared" si="1580"/>
        <v>112.62331149893819</v>
      </c>
      <c r="BN195" s="67">
        <f t="shared" si="1580"/>
        <v>125.86194093370703</v>
      </c>
      <c r="BO195" s="67">
        <f t="shared" si="1580"/>
        <v>177.91146604528763</v>
      </c>
      <c r="BP195" s="67">
        <f t="shared" si="1580"/>
        <v>100.13913734843965</v>
      </c>
      <c r="BQ195" s="67">
        <f t="shared" si="1580"/>
        <v>92.986585735471408</v>
      </c>
      <c r="BR195" s="67">
        <f t="shared" si="1580"/>
        <v>70.694901712768171</v>
      </c>
      <c r="BS195" s="67">
        <f t="shared" si="1580"/>
        <v>66.150233898801531</v>
      </c>
      <c r="BT195" s="67">
        <f t="shared" si="1580"/>
        <v>62.687211662485012</v>
      </c>
      <c r="BU195" s="67">
        <f t="shared" si="1580"/>
        <v>62.278827128128185</v>
      </c>
      <c r="BV195" s="67">
        <f t="shared" si="1580"/>
        <v>58.832504129191371</v>
      </c>
      <c r="BW195" s="67">
        <f t="shared" si="1580"/>
        <v>64.298763977400597</v>
      </c>
      <c r="BX195" s="67">
        <f t="shared" si="1580"/>
        <v>58.937501085549286</v>
      </c>
      <c r="BY195" s="67">
        <f t="shared" si="1580"/>
        <v>61.82220239942987</v>
      </c>
      <c r="BZ195" s="67">
        <f t="shared" si="1580"/>
        <v>46.233481582566114</v>
      </c>
      <c r="CA195" s="67">
        <f t="shared" si="1580"/>
        <v>48.931716873150734</v>
      </c>
      <c r="CB195" s="67">
        <f t="shared" si="1580"/>
        <v>39.078284463200177</v>
      </c>
      <c r="CC195" s="67">
        <f t="shared" si="1580"/>
        <v>39.339727740225058</v>
      </c>
      <c r="CD195" s="67">
        <f t="shared" si="1580"/>
        <v>35.84226811554322</v>
      </c>
      <c r="CE195" s="114">
        <f t="shared" si="1580"/>
        <v>38.404836904814744</v>
      </c>
      <c r="CF195" s="67">
        <f t="shared" ref="CF195:CG195" si="1581">CF196-CF194-CF193</f>
        <v>37.620219086606738</v>
      </c>
      <c r="CG195" s="67">
        <f t="shared" si="1581"/>
        <v>37.800023486298727</v>
      </c>
      <c r="CH195" s="67">
        <f t="shared" ref="CH195" si="1582">CH196-CH194-CH193</f>
        <v>24.383551848327869</v>
      </c>
      <c r="CI195" s="67">
        <f>CH195</f>
        <v>24.383551848327869</v>
      </c>
      <c r="CJ195" s="67">
        <f t="shared" ref="CJ195:CL195" si="1583">CJ196-CJ194-CJ193</f>
        <v>37.832553435217903</v>
      </c>
      <c r="CK195" s="67">
        <f t="shared" ref="CK195:DB195" si="1584">CJ195</f>
        <v>37.832553435217903</v>
      </c>
      <c r="CL195" s="67">
        <f t="shared" si="1583"/>
        <v>41.066700827072751</v>
      </c>
      <c r="CM195" s="30">
        <f t="shared" si="1584"/>
        <v>41.066700827072751</v>
      </c>
      <c r="CN195" s="30">
        <f t="shared" si="1584"/>
        <v>41.066700827072751</v>
      </c>
      <c r="CO195" s="30">
        <f t="shared" si="1584"/>
        <v>41.066700827072751</v>
      </c>
      <c r="CP195" s="30">
        <f t="shared" si="1584"/>
        <v>41.066700827072751</v>
      </c>
      <c r="CQ195" s="30">
        <f t="shared" si="1584"/>
        <v>41.066700827072751</v>
      </c>
      <c r="CR195" s="30">
        <f t="shared" si="1584"/>
        <v>41.066700827072751</v>
      </c>
      <c r="CS195" s="30">
        <f t="shared" si="1584"/>
        <v>41.066700827072751</v>
      </c>
      <c r="CT195" s="30">
        <f t="shared" si="1584"/>
        <v>41.066700827072751</v>
      </c>
      <c r="CU195" s="30">
        <f t="shared" si="1584"/>
        <v>41.066700827072751</v>
      </c>
      <c r="CV195" s="30">
        <f t="shared" si="1584"/>
        <v>41.066700827072751</v>
      </c>
      <c r="CW195" s="30">
        <f t="shared" si="1584"/>
        <v>41.066700827072751</v>
      </c>
      <c r="CX195" s="30">
        <f t="shared" si="1584"/>
        <v>41.066700827072751</v>
      </c>
      <c r="CY195" s="30">
        <f t="shared" si="1584"/>
        <v>41.066700827072751</v>
      </c>
      <c r="CZ195" s="30">
        <f t="shared" si="1584"/>
        <v>41.066700827072751</v>
      </c>
      <c r="DA195" s="30">
        <f t="shared" si="1584"/>
        <v>41.066700827072751</v>
      </c>
      <c r="DB195" s="30">
        <f t="shared" si="1584"/>
        <v>41.066700827072751</v>
      </c>
      <c r="DE195" s="139"/>
      <c r="DF195" s="114">
        <v>37.832553435217903</v>
      </c>
    </row>
    <row r="196" spans="1:110" s="7" customFormat="1" outlineLevel="1" x14ac:dyDescent="0.2">
      <c r="A196" s="69" t="s">
        <v>467</v>
      </c>
      <c r="B196" s="70">
        <f t="shared" ref="B196:AE196" si="1585">B162/B17*365</f>
        <v>140.47775354922521</v>
      </c>
      <c r="C196" s="70">
        <f t="shared" si="1585"/>
        <v>144.0240797500372</v>
      </c>
      <c r="D196" s="70">
        <f t="shared" si="1585"/>
        <v>123.73120227254066</v>
      </c>
      <c r="E196" s="70">
        <f t="shared" si="1585"/>
        <v>83.127460592134327</v>
      </c>
      <c r="F196" s="70">
        <f t="shared" si="1585"/>
        <v>96.544584633972107</v>
      </c>
      <c r="G196" s="70">
        <f t="shared" si="1585"/>
        <v>84.092868938503429</v>
      </c>
      <c r="H196" s="70">
        <f t="shared" si="1585"/>
        <v>100.52007322880648</v>
      </c>
      <c r="I196" s="70">
        <f t="shared" si="1585"/>
        <v>155.78934036519786</v>
      </c>
      <c r="J196" s="70">
        <f t="shared" si="1585"/>
        <v>117.24307953851898</v>
      </c>
      <c r="K196" s="70">
        <f t="shared" si="1585"/>
        <v>129.76763945599836</v>
      </c>
      <c r="L196" s="70">
        <f t="shared" si="1585"/>
        <v>153.97234843412315</v>
      </c>
      <c r="M196" s="70">
        <f t="shared" si="1585"/>
        <v>138.21606581359177</v>
      </c>
      <c r="N196" s="70">
        <f t="shared" si="1585"/>
        <v>133.58587928322731</v>
      </c>
      <c r="O196" s="70">
        <f t="shared" si="1585"/>
        <v>132.55838660728</v>
      </c>
      <c r="P196" s="70">
        <f t="shared" si="1585"/>
        <v>123.58984814519029</v>
      </c>
      <c r="Q196" s="70">
        <f t="shared" si="1585"/>
        <v>177.75688424441171</v>
      </c>
      <c r="R196" s="70">
        <f t="shared" si="1585"/>
        <v>146.96212457611543</v>
      </c>
      <c r="S196" s="70">
        <f t="shared" si="1585"/>
        <v>206.35306397107269</v>
      </c>
      <c r="T196" s="70">
        <f t="shared" si="1585"/>
        <v>186.61205795762376</v>
      </c>
      <c r="U196" s="70">
        <f t="shared" si="1585"/>
        <v>197.87670726207014</v>
      </c>
      <c r="V196" s="70">
        <f t="shared" si="1585"/>
        <v>169.49292677409008</v>
      </c>
      <c r="W196" s="70">
        <f t="shared" si="1585"/>
        <v>146.6969704397666</v>
      </c>
      <c r="X196" s="70">
        <f t="shared" si="1585"/>
        <v>128.68035874187379</v>
      </c>
      <c r="Y196" s="70">
        <f t="shared" si="1585"/>
        <v>113.41164567315258</v>
      </c>
      <c r="Z196" s="70">
        <f t="shared" si="1585"/>
        <v>108.6955311348808</v>
      </c>
      <c r="AA196" s="70">
        <f t="shared" ref="AA196" si="1586">AA162/AA17*365</f>
        <v>111.57770179487427</v>
      </c>
      <c r="AB196" s="71">
        <f t="shared" si="1585"/>
        <v>126.55260288659562</v>
      </c>
      <c r="AC196" s="71">
        <f t="shared" si="1585"/>
        <v>124.60564657278312</v>
      </c>
      <c r="AD196" s="71">
        <f t="shared" si="1585"/>
        <v>124.88042908152909</v>
      </c>
      <c r="AE196" s="71">
        <f t="shared" si="1585"/>
        <v>124.92008238080848</v>
      </c>
      <c r="AI196" s="70">
        <f t="shared" ref="AI196:CD196" si="1587">AI162/AI17*90</f>
        <v>0</v>
      </c>
      <c r="AJ196" s="70">
        <f t="shared" si="1587"/>
        <v>138.79771995969853</v>
      </c>
      <c r="AK196" s="70">
        <f t="shared" si="1587"/>
        <v>140.58082984851575</v>
      </c>
      <c r="AL196" s="70">
        <f t="shared" si="1587"/>
        <v>133.78130224496232</v>
      </c>
      <c r="AM196" s="70">
        <f t="shared" si="1587"/>
        <v>135.74262345939766</v>
      </c>
      <c r="AN196" s="70">
        <f t="shared" si="1587"/>
        <v>142.80767386667011</v>
      </c>
      <c r="AO196" s="70">
        <f t="shared" si="1587"/>
        <v>142.72397250219274</v>
      </c>
      <c r="AP196" s="70">
        <f t="shared" si="1587"/>
        <v>119.16337658695133</v>
      </c>
      <c r="AQ196" s="70">
        <f t="shared" si="1587"/>
        <v>123.80766151317577</v>
      </c>
      <c r="AR196" s="70">
        <f t="shared" si="1587"/>
        <v>136.56052431289169</v>
      </c>
      <c r="AS196" s="70">
        <f t="shared" si="1587"/>
        <v>138.64590420844971</v>
      </c>
      <c r="AT196" s="70">
        <f t="shared" si="1587"/>
        <v>134.00176081753261</v>
      </c>
      <c r="AU196" s="70">
        <f t="shared" si="1587"/>
        <v>136.28888980695442</v>
      </c>
      <c r="AV196" s="70">
        <f t="shared" si="1587"/>
        <v>200.83885665584947</v>
      </c>
      <c r="AW196" s="70">
        <f t="shared" si="1587"/>
        <v>200.23911783479534</v>
      </c>
      <c r="AX196" s="70">
        <f t="shared" si="1587"/>
        <v>171.81011522921358</v>
      </c>
      <c r="AY196" s="70">
        <f t="shared" si="1587"/>
        <v>169.74060800803369</v>
      </c>
      <c r="AZ196" s="70">
        <f t="shared" si="1587"/>
        <v>148.83467522626583</v>
      </c>
      <c r="BA196" s="70">
        <f t="shared" si="1587"/>
        <v>141.12746673436047</v>
      </c>
      <c r="BB196" s="70">
        <f t="shared" si="1587"/>
        <v>120.52344023731554</v>
      </c>
      <c r="BC196" s="70">
        <f t="shared" si="1587"/>
        <v>120.46335581830134</v>
      </c>
      <c r="BD196" s="70">
        <f t="shared" si="1587"/>
        <v>134.9400353744162</v>
      </c>
      <c r="BE196" s="70">
        <f t="shared" si="1587"/>
        <v>134.13066997249035</v>
      </c>
      <c r="BF196" s="70">
        <f t="shared" si="1587"/>
        <v>187.36233669365967</v>
      </c>
      <c r="BG196" s="70">
        <f t="shared" si="1587"/>
        <v>183.40265237189146</v>
      </c>
      <c r="BH196" s="70">
        <f t="shared" si="1587"/>
        <v>185.08962236008568</v>
      </c>
      <c r="BI196" s="70">
        <f t="shared" si="1587"/>
        <v>188.97349802389567</v>
      </c>
      <c r="BJ196" s="70">
        <f t="shared" si="1587"/>
        <v>171.01155340414567</v>
      </c>
      <c r="BK196" s="70">
        <f t="shared" si="1587"/>
        <v>185.20900546132515</v>
      </c>
      <c r="BL196" s="70">
        <f t="shared" si="1587"/>
        <v>232.56840387770904</v>
      </c>
      <c r="BM196" s="70">
        <f t="shared" si="1587"/>
        <v>229.50284710388891</v>
      </c>
      <c r="BN196" s="70">
        <f t="shared" si="1587"/>
        <v>223.220675618596</v>
      </c>
      <c r="BO196" s="70">
        <f t="shared" si="1587"/>
        <v>275.27020073017661</v>
      </c>
      <c r="BP196" s="70">
        <f t="shared" si="1587"/>
        <v>177.91968862817967</v>
      </c>
      <c r="BQ196" s="70">
        <f t="shared" si="1587"/>
        <v>170.76713701521143</v>
      </c>
      <c r="BR196" s="70">
        <f t="shared" si="1587"/>
        <v>147.72039344875716</v>
      </c>
      <c r="BS196" s="70">
        <f t="shared" si="1587"/>
        <v>143.17572563479052</v>
      </c>
      <c r="BT196" s="70">
        <f t="shared" si="1587"/>
        <v>144.20175623514479</v>
      </c>
      <c r="BU196" s="70">
        <f t="shared" si="1587"/>
        <v>143.79337170078796</v>
      </c>
      <c r="BV196" s="70">
        <f t="shared" si="1587"/>
        <v>138.1183711151341</v>
      </c>
      <c r="BW196" s="70">
        <f t="shared" si="1587"/>
        <v>143.58463096334333</v>
      </c>
      <c r="BX196" s="70">
        <f t="shared" si="1587"/>
        <v>159.39305435495658</v>
      </c>
      <c r="BY196" s="70">
        <f t="shared" si="1587"/>
        <v>162.27775566883716</v>
      </c>
      <c r="BZ196" s="70">
        <f t="shared" si="1587"/>
        <v>135.82041512961723</v>
      </c>
      <c r="CA196" s="70">
        <f t="shared" si="1587"/>
        <v>138.51865042020185</v>
      </c>
      <c r="CB196" s="70">
        <f t="shared" si="1587"/>
        <v>129.51239657102403</v>
      </c>
      <c r="CC196" s="70">
        <f t="shared" si="1587"/>
        <v>129.77383984804891</v>
      </c>
      <c r="CD196" s="70">
        <f t="shared" si="1587"/>
        <v>120.83327554116897</v>
      </c>
      <c r="CE196" s="115">
        <f>CE162/CE19*90</f>
        <v>123.3958443304405</v>
      </c>
      <c r="CF196" s="70">
        <f>CF162/CF17*90</f>
        <v>133.14399984713768</v>
      </c>
      <c r="CG196" s="70">
        <f>CG162/CG19*90</f>
        <v>133.32380424682967</v>
      </c>
      <c r="CH196" s="70">
        <f>CH162/CH17*90</f>
        <v>104.18879610146979</v>
      </c>
      <c r="CI196" s="70">
        <f>CI193+CI194+CI195</f>
        <v>104.18879610146979</v>
      </c>
      <c r="CJ196" s="70">
        <f>CJ162/CJ17*90</f>
        <v>116.59789034762561</v>
      </c>
      <c r="CK196" s="70">
        <f t="shared" ref="CK196:DB196" si="1588">CK193+CK194+CK195</f>
        <v>116.59789034762561</v>
      </c>
      <c r="CL196" s="70">
        <f>CL162/CL17*90</f>
        <v>115.2715412470308</v>
      </c>
      <c r="CM196" s="50">
        <f t="shared" si="1588"/>
        <v>113.2715412470308</v>
      </c>
      <c r="CN196" s="50">
        <f t="shared" si="1588"/>
        <v>111.2715412470308</v>
      </c>
      <c r="CO196" s="50">
        <f t="shared" si="1588"/>
        <v>111.2715412470308</v>
      </c>
      <c r="CP196" s="50">
        <f t="shared" si="1588"/>
        <v>111.2715412470308</v>
      </c>
      <c r="CQ196" s="50">
        <f t="shared" si="1588"/>
        <v>111.2715412470308</v>
      </c>
      <c r="CR196" s="50">
        <f t="shared" si="1588"/>
        <v>111.2715412470308</v>
      </c>
      <c r="CS196" s="50">
        <f t="shared" si="1588"/>
        <v>111.2715412470308</v>
      </c>
      <c r="CT196" s="50">
        <f t="shared" si="1588"/>
        <v>111.2715412470308</v>
      </c>
      <c r="CU196" s="50">
        <f t="shared" si="1588"/>
        <v>111.2715412470308</v>
      </c>
      <c r="CV196" s="50">
        <f t="shared" si="1588"/>
        <v>111.2715412470308</v>
      </c>
      <c r="CW196" s="50">
        <f t="shared" si="1588"/>
        <v>111.2715412470308</v>
      </c>
      <c r="CX196" s="50">
        <f t="shared" si="1588"/>
        <v>111.2715412470308</v>
      </c>
      <c r="CY196" s="50">
        <f t="shared" si="1588"/>
        <v>111.2715412470308</v>
      </c>
      <c r="CZ196" s="50">
        <f t="shared" si="1588"/>
        <v>111.2715412470308</v>
      </c>
      <c r="DA196" s="50">
        <f t="shared" si="1588"/>
        <v>111.2715412470308</v>
      </c>
      <c r="DB196" s="50">
        <f t="shared" si="1588"/>
        <v>111.2715412470308</v>
      </c>
      <c r="DE196" s="138"/>
      <c r="DF196" s="115">
        <v>116.59789034762561</v>
      </c>
    </row>
    <row r="197" spans="1:110" s="62" customFormat="1" outlineLevel="1" x14ac:dyDescent="0.2">
      <c r="A197" s="68" t="s">
        <v>468</v>
      </c>
      <c r="B197" s="67">
        <f t="shared" ref="B197:AE197" si="1589">B167/B17*365</f>
        <v>74.701982359551721</v>
      </c>
      <c r="C197" s="67">
        <f t="shared" si="1589"/>
        <v>72.629840797500364</v>
      </c>
      <c r="D197" s="67">
        <f t="shared" si="1589"/>
        <v>65.522572913286083</v>
      </c>
      <c r="E197" s="67">
        <f t="shared" si="1589"/>
        <v>63.203184797288834</v>
      </c>
      <c r="F197" s="67">
        <f t="shared" si="1589"/>
        <v>66.024797123320084</v>
      </c>
      <c r="G197" s="67">
        <f t="shared" si="1589"/>
        <v>49.620481013499386</v>
      </c>
      <c r="H197" s="67">
        <f t="shared" si="1589"/>
        <v>67.579427487189875</v>
      </c>
      <c r="I197" s="67">
        <f t="shared" si="1589"/>
        <v>69.8438022632658</v>
      </c>
      <c r="J197" s="67">
        <f t="shared" si="1589"/>
        <v>53.088180386644154</v>
      </c>
      <c r="K197" s="67">
        <f t="shared" si="1589"/>
        <v>77.124909442910919</v>
      </c>
      <c r="L197" s="67">
        <f t="shared" si="1589"/>
        <v>55.518880554119114</v>
      </c>
      <c r="M197" s="67">
        <f t="shared" si="1589"/>
        <v>55.104908190854296</v>
      </c>
      <c r="N197" s="67">
        <f t="shared" si="1589"/>
        <v>50.849246375588038</v>
      </c>
      <c r="O197" s="67">
        <f t="shared" si="1589"/>
        <v>54.565255616061812</v>
      </c>
      <c r="P197" s="67">
        <f t="shared" si="1589"/>
        <v>48.540391588650074</v>
      </c>
      <c r="Q197" s="67">
        <f t="shared" si="1589"/>
        <v>63.693817900182736</v>
      </c>
      <c r="R197" s="67">
        <f t="shared" si="1589"/>
        <v>58.449050902257312</v>
      </c>
      <c r="S197" s="67">
        <f t="shared" si="1589"/>
        <v>60.035929910065846</v>
      </c>
      <c r="T197" s="67">
        <f t="shared" si="1589"/>
        <v>50.274251138413454</v>
      </c>
      <c r="U197" s="67">
        <f t="shared" si="1589"/>
        <v>52.385853998722311</v>
      </c>
      <c r="V197" s="67">
        <f t="shared" si="1589"/>
        <v>60.57190271566374</v>
      </c>
      <c r="W197" s="67">
        <f t="shared" si="1589"/>
        <v>55.005833763084212</v>
      </c>
      <c r="X197" s="67">
        <f t="shared" si="1589"/>
        <v>56.744296107842494</v>
      </c>
      <c r="Y197" s="67">
        <f t="shared" si="1589"/>
        <v>48.143522485720041</v>
      </c>
      <c r="Z197" s="67">
        <f t="shared" si="1589"/>
        <v>48.959576331396576</v>
      </c>
      <c r="AA197" s="67">
        <f t="shared" ref="AA197" si="1590">AA167/AA17*365</f>
        <v>54.73293867483553</v>
      </c>
      <c r="AB197" s="18">
        <f t="shared" si="1589"/>
        <v>56.316613446446979</v>
      </c>
      <c r="AC197" s="18">
        <f t="shared" si="1589"/>
        <v>55.450207038193561</v>
      </c>
      <c r="AD197" s="18">
        <f t="shared" si="1589"/>
        <v>55.57248678569713</v>
      </c>
      <c r="AE197" s="18">
        <f t="shared" si="1589"/>
        <v>55.59013272482801</v>
      </c>
      <c r="AI197" s="67">
        <f>AJ167/AI17*90</f>
        <v>0</v>
      </c>
      <c r="AJ197" s="67">
        <f>AJ167/AJ17*90</f>
        <v>0</v>
      </c>
      <c r="AK197" s="67">
        <f t="shared" ref="AK197:CE197" si="1591">+AJ197</f>
        <v>0</v>
      </c>
      <c r="AL197" s="67">
        <f>AL167/AL17*90</f>
        <v>50.232019940855061</v>
      </c>
      <c r="AM197" s="67">
        <f t="shared" ref="AM197" si="1592">+AL197</f>
        <v>50.232019940855061</v>
      </c>
      <c r="AN197" s="67">
        <f>AN167/AN17*90</f>
        <v>65.129421864822078</v>
      </c>
      <c r="AO197" s="67">
        <f t="shared" ref="AO197" si="1593">+AN197</f>
        <v>65.129421864822078</v>
      </c>
      <c r="AP197" s="67">
        <f>AP167/AP17*90</f>
        <v>48.58562436878433</v>
      </c>
      <c r="AQ197" s="67">
        <f t="shared" ref="AQ197" si="1594">+AP197</f>
        <v>48.58562436878433</v>
      </c>
      <c r="AR197" s="67">
        <f>AR167/AR17*90</f>
        <v>52.853385865990845</v>
      </c>
      <c r="AS197" s="67">
        <f t="shared" ref="AS197" si="1595">+AR197</f>
        <v>52.853385865990845</v>
      </c>
      <c r="AT197" s="67">
        <f>AT167/AT17*90</f>
        <v>51.300367312240361</v>
      </c>
      <c r="AU197" s="67">
        <f t="shared" ref="AU197" si="1596">+AT197</f>
        <v>51.300367312240361</v>
      </c>
      <c r="AV197" s="67">
        <f>AV167/AV17*90</f>
        <v>65.378732749860689</v>
      </c>
      <c r="AW197" s="67">
        <f t="shared" ref="AW197" si="1597">+AV197</f>
        <v>65.378732749860689</v>
      </c>
      <c r="AX197" s="67">
        <f>AX167/AX17*90</f>
        <v>61.692843258865686</v>
      </c>
      <c r="AY197" s="67">
        <f t="shared" ref="AY197" si="1598">+AX197</f>
        <v>61.692843258865686</v>
      </c>
      <c r="AZ197" s="67">
        <f>AZ167/AZ17*90</f>
        <v>57.204831183293301</v>
      </c>
      <c r="BA197" s="67">
        <f t="shared" ref="BA197" si="1599">+AZ197</f>
        <v>57.204831183293301</v>
      </c>
      <c r="BB197" s="67">
        <f>BB167/BB17*90</f>
        <v>47.350420862379117</v>
      </c>
      <c r="BC197" s="67">
        <f t="shared" ref="BC197" si="1600">+BB197</f>
        <v>47.350420862379117</v>
      </c>
      <c r="BD197" s="67">
        <f>BD167/BD17*90</f>
        <v>50.558773465121824</v>
      </c>
      <c r="BE197" s="67">
        <f t="shared" ref="BE197" si="1601">+BD197</f>
        <v>50.558773465121824</v>
      </c>
      <c r="BF197" s="67">
        <f>BF167/BF17*90</f>
        <v>54.509408973014736</v>
      </c>
      <c r="BG197" s="67">
        <f t="shared" ref="BG197" si="1602">+BF197</f>
        <v>54.509408973014736</v>
      </c>
      <c r="BH197" s="67">
        <f>BH167/BH17*90</f>
        <v>50.009563011221324</v>
      </c>
      <c r="BI197" s="67">
        <f t="shared" ref="BI197" si="1603">+BH197</f>
        <v>50.009563011221324</v>
      </c>
      <c r="BJ197" s="67">
        <f>BJ167/BJ17*90</f>
        <v>46.071394729286766</v>
      </c>
      <c r="BK197" s="67">
        <f t="shared" ref="BK197" si="1604">+BJ197</f>
        <v>46.071394729286766</v>
      </c>
      <c r="BL197" s="67">
        <f>BL167/BL17*90</f>
        <v>51.82654996445838</v>
      </c>
      <c r="BM197" s="67">
        <f t="shared" ref="BM197" si="1605">+BL197</f>
        <v>51.82654996445838</v>
      </c>
      <c r="BN197" s="67">
        <f>BN167/BN17*90</f>
        <v>53.438216219833897</v>
      </c>
      <c r="BO197" s="67">
        <f t="shared" ref="BO197" si="1606">+BN197</f>
        <v>53.438216219833897</v>
      </c>
      <c r="BP197" s="67">
        <f>BP167/BP17*90</f>
        <v>50.88354527510829</v>
      </c>
      <c r="BQ197" s="67">
        <f t="shared" ref="BQ197" si="1607">+BP197</f>
        <v>50.88354527510829</v>
      </c>
      <c r="BR197" s="67">
        <f>BR167/BR17*90</f>
        <v>46.71497592266148</v>
      </c>
      <c r="BS197" s="67">
        <f t="shared" ref="BS197" si="1608">+BR197</f>
        <v>46.71497592266148</v>
      </c>
      <c r="BT197" s="67">
        <f>BT167/BT17*90</f>
        <v>41.030265886125065</v>
      </c>
      <c r="BU197" s="67">
        <f t="shared" ref="BU197" si="1609">+BT197</f>
        <v>41.030265886125065</v>
      </c>
      <c r="BV197" s="67">
        <f>BV167/BV17*90</f>
        <v>47.730398782519636</v>
      </c>
      <c r="BW197" s="67">
        <f t="shared" ref="BW197" si="1610">+BV197</f>
        <v>47.730398782519636</v>
      </c>
      <c r="BX197" s="67">
        <f>BX167/BX17*90</f>
        <v>48.509438934678649</v>
      </c>
      <c r="BY197" s="67">
        <f t="shared" ref="BY197" si="1611">+BX197</f>
        <v>48.509438934678649</v>
      </c>
      <c r="BZ197" s="67">
        <f>BZ167/BZ17*90</f>
        <v>54.079499961405013</v>
      </c>
      <c r="CA197" s="67">
        <f t="shared" ref="CA197" si="1612">+BZ197</f>
        <v>54.079499961405013</v>
      </c>
      <c r="CB197" s="67">
        <f>CB167/CB17*90</f>
        <v>53.753594747883199</v>
      </c>
      <c r="CC197" s="67">
        <f t="shared" ref="CC197" si="1613">+CB197</f>
        <v>53.753594747883199</v>
      </c>
      <c r="CD197" s="67">
        <f>CD167/CD17*90</f>
        <v>46.355636337736385</v>
      </c>
      <c r="CE197" s="114">
        <f t="shared" si="1591"/>
        <v>46.355636337736385</v>
      </c>
      <c r="CF197" s="67">
        <f>CF167/CF17*90</f>
        <v>54.266493595828635</v>
      </c>
      <c r="CG197" s="67">
        <f t="shared" ref="CG197:CI197" si="1614">+CF197</f>
        <v>54.266493595828635</v>
      </c>
      <c r="CH197" s="67">
        <f>CH167/CH17*90</f>
        <v>46.929613962475798</v>
      </c>
      <c r="CI197" s="67">
        <f t="shared" si="1614"/>
        <v>46.929613962475798</v>
      </c>
      <c r="CJ197" s="67">
        <f>CJ167/CJ17*90</f>
        <v>46.122851375438344</v>
      </c>
      <c r="CK197" s="67">
        <f t="shared" ref="CK197" si="1615">+CJ197</f>
        <v>46.122851375438344</v>
      </c>
      <c r="CL197" s="67">
        <f>CL167/CL17*90</f>
        <v>49.516455869460053</v>
      </c>
      <c r="CM197" s="30">
        <f t="shared" ref="CM197" si="1616">+CL197</f>
        <v>49.516455869460053</v>
      </c>
      <c r="CN197" s="30">
        <f t="shared" ref="CN197" si="1617">+CM197</f>
        <v>49.516455869460053</v>
      </c>
      <c r="CO197" s="30">
        <f t="shared" ref="CO197" si="1618">+CN197</f>
        <v>49.516455869460053</v>
      </c>
      <c r="CP197" s="30">
        <f t="shared" ref="CP197" si="1619">+CO197</f>
        <v>49.516455869460053</v>
      </c>
      <c r="CQ197" s="30">
        <f t="shared" ref="CQ197" si="1620">+CP197</f>
        <v>49.516455869460053</v>
      </c>
      <c r="CR197" s="30">
        <f t="shared" ref="CR197" si="1621">+CQ197</f>
        <v>49.516455869460053</v>
      </c>
      <c r="CS197" s="30">
        <f t="shared" ref="CS197" si="1622">+CR197</f>
        <v>49.516455869460053</v>
      </c>
      <c r="CT197" s="30">
        <f t="shared" ref="CT197" si="1623">+CS197</f>
        <v>49.516455869460053</v>
      </c>
      <c r="CU197" s="30">
        <f t="shared" ref="CU197" si="1624">+CT197</f>
        <v>49.516455869460053</v>
      </c>
      <c r="CV197" s="30">
        <f t="shared" ref="CV197" si="1625">+CU197</f>
        <v>49.516455869460053</v>
      </c>
      <c r="CW197" s="30">
        <f t="shared" ref="CW197" si="1626">+CV197</f>
        <v>49.516455869460053</v>
      </c>
      <c r="CX197" s="30">
        <f t="shared" ref="CX197" si="1627">+CW197</f>
        <v>49.516455869460053</v>
      </c>
      <c r="CY197" s="30">
        <f t="shared" ref="CY197" si="1628">+CX197</f>
        <v>49.516455869460053</v>
      </c>
      <c r="CZ197" s="30">
        <f t="shared" ref="CZ197" si="1629">+CY197</f>
        <v>49.516455869460053</v>
      </c>
      <c r="DA197" s="30">
        <f t="shared" ref="DA197" si="1630">+CZ197</f>
        <v>49.516455869460053</v>
      </c>
      <c r="DB197" s="30">
        <f t="shared" ref="DB197" si="1631">+DA197</f>
        <v>49.516455869460053</v>
      </c>
      <c r="DE197" s="139"/>
      <c r="DF197" s="114">
        <v>46.122851375438344</v>
      </c>
    </row>
    <row r="198" spans="1:110" s="62" customFormat="1" outlineLevel="1" x14ac:dyDescent="0.2">
      <c r="A198" s="68" t="s">
        <v>466</v>
      </c>
      <c r="B198" s="67">
        <f>B199-B197</f>
        <v>23.475521429381516</v>
      </c>
      <c r="C198" s="67">
        <f t="shared" ref="C198:V198" si="1632">C199-C197</f>
        <v>22.24561226008035</v>
      </c>
      <c r="D198" s="67">
        <f t="shared" si="1632"/>
        <v>34.263750786904353</v>
      </c>
      <c r="E198" s="67">
        <f t="shared" si="1632"/>
        <v>21.975174034736618</v>
      </c>
      <c r="F198" s="67">
        <f t="shared" si="1632"/>
        <v>29.869832760248329</v>
      </c>
      <c r="G198" s="67">
        <f t="shared" si="1632"/>
        <v>21.954762766397835</v>
      </c>
      <c r="H198" s="67">
        <f t="shared" si="1632"/>
        <v>32.509626497369098</v>
      </c>
      <c r="I198" s="67">
        <f t="shared" si="1632"/>
        <v>19.49270535788132</v>
      </c>
      <c r="J198" s="67">
        <f t="shared" si="1632"/>
        <v>20.488631058558269</v>
      </c>
      <c r="K198" s="67">
        <f t="shared" si="1632"/>
        <v>27.884637727990153</v>
      </c>
      <c r="L198" s="67">
        <f t="shared" si="1632"/>
        <v>48.708978270767609</v>
      </c>
      <c r="M198" s="67">
        <f t="shared" si="1632"/>
        <v>48.050847519951382</v>
      </c>
      <c r="N198" s="67">
        <f t="shared" si="1632"/>
        <v>46.730475271993868</v>
      </c>
      <c r="O198" s="67">
        <f t="shared" si="1632"/>
        <v>47.577018211077551</v>
      </c>
      <c r="P198" s="67">
        <f t="shared" si="1632"/>
        <v>53.139671511166178</v>
      </c>
      <c r="Q198" s="67">
        <f t="shared" si="1632"/>
        <v>79.059697900844768</v>
      </c>
      <c r="R198" s="67">
        <f t="shared" si="1632"/>
        <v>68.588079673690856</v>
      </c>
      <c r="S198" s="67">
        <f t="shared" si="1632"/>
        <v>72.994476901843854</v>
      </c>
      <c r="T198" s="67">
        <f t="shared" si="1632"/>
        <v>63.19834800743002</v>
      </c>
      <c r="U198" s="67">
        <f t="shared" si="1632"/>
        <v>66.854530971014555</v>
      </c>
      <c r="V198" s="67">
        <f t="shared" si="1632"/>
        <v>121.53542652165747</v>
      </c>
      <c r="W198" s="67">
        <f t="shared" ref="W198" si="1633">W199-W197</f>
        <v>75.447668763588609</v>
      </c>
      <c r="X198" s="67">
        <f t="shared" ref="X198:Y198" si="1634">X199-X197</f>
        <v>79.314665681320378</v>
      </c>
      <c r="Y198" s="67">
        <f t="shared" si="1634"/>
        <v>89.5046650362668</v>
      </c>
      <c r="Z198" s="67">
        <f t="shared" ref="Z198:AA198" si="1635">Z199-Z197</f>
        <v>92.415856301824292</v>
      </c>
      <c r="AA198" s="67">
        <f t="shared" si="1635"/>
        <v>98.073751763699079</v>
      </c>
      <c r="AB198" s="18">
        <f t="shared" ref="AA198:AD198" si="1636">AB199-AB197</f>
        <v>100.91147490055056</v>
      </c>
      <c r="AC198" s="18">
        <f t="shared" si="1636"/>
        <v>99.358996099543077</v>
      </c>
      <c r="AD198" s="18">
        <f t="shared" si="1636"/>
        <v>99.578104261698201</v>
      </c>
      <c r="AE198" s="18">
        <f t="shared" ref="AE198" si="1637">AE199-AE197</f>
        <v>99.609723310407475</v>
      </c>
      <c r="AI198" s="67">
        <f t="shared" ref="AI198:AK198" si="1638">AI199-AI197</f>
        <v>0</v>
      </c>
      <c r="AJ198" s="67">
        <f t="shared" ref="AJ198:AM198" si="1639">AJ199-AJ197</f>
        <v>127.87241454170235</v>
      </c>
      <c r="AK198" s="67">
        <f t="shared" si="1638"/>
        <v>135.93968818150731</v>
      </c>
      <c r="AL198" s="67">
        <f t="shared" si="1639"/>
        <v>74.999580092275778</v>
      </c>
      <c r="AM198" s="67">
        <f t="shared" si="1639"/>
        <v>79.219245116338186</v>
      </c>
      <c r="AN198" s="67">
        <f t="shared" ref="AN198:AY198" si="1640">AN199-AN197</f>
        <v>77.535607283853224</v>
      </c>
      <c r="AO198" s="67">
        <f t="shared" si="1640"/>
        <v>77.343687986276066</v>
      </c>
      <c r="AP198" s="67">
        <f t="shared" si="1640"/>
        <v>70.39761667104662</v>
      </c>
      <c r="AQ198" s="67">
        <f t="shared" si="1640"/>
        <v>81.994574934506375</v>
      </c>
      <c r="AR198" s="67">
        <f t="shared" si="1640"/>
        <v>115.38177342999475</v>
      </c>
      <c r="AS198" s="67">
        <f t="shared" si="1640"/>
        <v>122.73654359096642</v>
      </c>
      <c r="AT198" s="67">
        <f t="shared" si="1640"/>
        <v>70.670634446794963</v>
      </c>
      <c r="AU198" s="67">
        <f t="shared" si="1640"/>
        <v>82.903867434500768</v>
      </c>
      <c r="AV198" s="67">
        <f t="shared" si="1640"/>
        <v>103.47598911725177</v>
      </c>
      <c r="AW198" s="67">
        <f t="shared" si="1640"/>
        <v>107.46829496720008</v>
      </c>
      <c r="AX198" s="67">
        <f t="shared" si="1640"/>
        <v>81.203881902800248</v>
      </c>
      <c r="AY198" s="67">
        <f t="shared" si="1640"/>
        <v>81.850631878467482</v>
      </c>
      <c r="AZ198" s="67">
        <f t="shared" ref="AZ198:BC198" si="1641">AZ199-AZ197</f>
        <v>76.792163615680892</v>
      </c>
      <c r="BA198" s="67">
        <f t="shared" si="1641"/>
        <v>69.108760334622332</v>
      </c>
      <c r="BB198" s="67">
        <f t="shared" si="1641"/>
        <v>58.523278220099236</v>
      </c>
      <c r="BC198" s="67">
        <f t="shared" si="1641"/>
        <v>64.695751219784057</v>
      </c>
      <c r="BD198" s="67">
        <f t="shared" ref="BD198:CE198" si="1642">BD199-BD197</f>
        <v>68.573638482337714</v>
      </c>
      <c r="BE198" s="67">
        <f t="shared" si="1642"/>
        <v>66.559357303881399</v>
      </c>
      <c r="BF198" s="67">
        <f t="shared" si="1642"/>
        <v>75.553483660910274</v>
      </c>
      <c r="BG198" s="67">
        <f t="shared" si="1642"/>
        <v>71.745336123657779</v>
      </c>
      <c r="BH198" s="67">
        <f t="shared" si="1642"/>
        <v>69.766507014178984</v>
      </c>
      <c r="BI198" s="67">
        <f t="shared" si="1642"/>
        <v>73.435445829348339</v>
      </c>
      <c r="BJ198" s="67">
        <f t="shared" si="1642"/>
        <v>78.432445798189988</v>
      </c>
      <c r="BK198" s="67">
        <f t="shared" si="1642"/>
        <v>92.563966894696136</v>
      </c>
      <c r="BL198" s="67">
        <f t="shared" si="1642"/>
        <v>94.808659430327722</v>
      </c>
      <c r="BM198" s="67">
        <f t="shared" si="1642"/>
        <v>92.296392412137138</v>
      </c>
      <c r="BN198" s="67">
        <f t="shared" si="1642"/>
        <v>75.792447910085627</v>
      </c>
      <c r="BO198" s="67">
        <f t="shared" si="1642"/>
        <v>107.13600491785519</v>
      </c>
      <c r="BP198" s="67">
        <f t="shared" si="1642"/>
        <v>79.341015933768759</v>
      </c>
      <c r="BQ198" s="67">
        <f t="shared" si="1642"/>
        <v>73.673993763236197</v>
      </c>
      <c r="BR198" s="67">
        <f t="shared" si="1642"/>
        <v>93.731982473144754</v>
      </c>
      <c r="BS198" s="67">
        <f t="shared" si="1642"/>
        <v>87.706360913958818</v>
      </c>
      <c r="BT198" s="67">
        <f t="shared" si="1642"/>
        <v>74.887940526400243</v>
      </c>
      <c r="BU198" s="67">
        <f t="shared" si="1642"/>
        <v>74.400072651761334</v>
      </c>
      <c r="BV198" s="67">
        <f t="shared" si="1642"/>
        <v>65.468461632779679</v>
      </c>
      <c r="BW198" s="67">
        <f t="shared" si="1642"/>
        <v>71.551283169008002</v>
      </c>
      <c r="BX198" s="67">
        <f t="shared" si="1642"/>
        <v>77.654969678102901</v>
      </c>
      <c r="BY198" s="67">
        <f t="shared" si="1642"/>
        <v>81.455799182812001</v>
      </c>
      <c r="BZ198" s="67">
        <f t="shared" si="1642"/>
        <v>75.589931567747527</v>
      </c>
      <c r="CA198" s="67">
        <f t="shared" si="1642"/>
        <v>80.001440586481749</v>
      </c>
      <c r="CB198" s="67">
        <f t="shared" si="1642"/>
        <v>81.768518081180019</v>
      </c>
      <c r="CC198" s="67">
        <f t="shared" si="1642"/>
        <v>82.31556945813449</v>
      </c>
      <c r="CD198" s="67">
        <f t="shared" si="1642"/>
        <v>86.180767188000274</v>
      </c>
      <c r="CE198" s="114">
        <f t="shared" si="1642"/>
        <v>92.34232324576756</v>
      </c>
      <c r="CF198" s="67">
        <f t="shared" ref="CF198:CG198" si="1643">CF199-CF197</f>
        <v>83.800259754667039</v>
      </c>
      <c r="CG198" s="67">
        <f t="shared" si="1643"/>
        <v>84.200779894237101</v>
      </c>
      <c r="CH198" s="67">
        <f t="shared" ref="CH198" si="1644">CH199-CH197</f>
        <v>88.584109284356941</v>
      </c>
      <c r="CI198" s="67">
        <f>CH198</f>
        <v>88.584109284356941</v>
      </c>
      <c r="CJ198" s="67">
        <f t="shared" ref="CJ198:CL198" si="1645">CJ199-CJ197</f>
        <v>85.281314529448238</v>
      </c>
      <c r="CK198" s="67">
        <f t="shared" ref="CK198:DB198" si="1646">CJ198</f>
        <v>85.281314529448238</v>
      </c>
      <c r="CL198" s="67">
        <f t="shared" si="1645"/>
        <v>88.726546002039186</v>
      </c>
      <c r="CM198" s="30">
        <f t="shared" si="1646"/>
        <v>88.726546002039186</v>
      </c>
      <c r="CN198" s="30">
        <f t="shared" si="1646"/>
        <v>88.726546002039186</v>
      </c>
      <c r="CO198" s="30">
        <f t="shared" si="1646"/>
        <v>88.726546002039186</v>
      </c>
      <c r="CP198" s="30">
        <f t="shared" si="1646"/>
        <v>88.726546002039186</v>
      </c>
      <c r="CQ198" s="30">
        <f t="shared" si="1646"/>
        <v>88.726546002039186</v>
      </c>
      <c r="CR198" s="30">
        <f t="shared" si="1646"/>
        <v>88.726546002039186</v>
      </c>
      <c r="CS198" s="30">
        <f t="shared" si="1646"/>
        <v>88.726546002039186</v>
      </c>
      <c r="CT198" s="30">
        <f t="shared" si="1646"/>
        <v>88.726546002039186</v>
      </c>
      <c r="CU198" s="30">
        <f t="shared" si="1646"/>
        <v>88.726546002039186</v>
      </c>
      <c r="CV198" s="30">
        <f t="shared" si="1646"/>
        <v>88.726546002039186</v>
      </c>
      <c r="CW198" s="30">
        <f t="shared" si="1646"/>
        <v>88.726546002039186</v>
      </c>
      <c r="CX198" s="30">
        <f t="shared" si="1646"/>
        <v>88.726546002039186</v>
      </c>
      <c r="CY198" s="30">
        <f t="shared" si="1646"/>
        <v>88.726546002039186</v>
      </c>
      <c r="CZ198" s="30">
        <f t="shared" si="1646"/>
        <v>88.726546002039186</v>
      </c>
      <c r="DA198" s="30">
        <f t="shared" si="1646"/>
        <v>88.726546002039186</v>
      </c>
      <c r="DB198" s="30">
        <f t="shared" si="1646"/>
        <v>88.726546002039186</v>
      </c>
      <c r="DE198" s="139"/>
      <c r="DF198" s="114">
        <v>85.281314529448238</v>
      </c>
    </row>
    <row r="199" spans="1:110" s="7" customFormat="1" outlineLevel="1" x14ac:dyDescent="0.2">
      <c r="A199" s="69" t="s">
        <v>469</v>
      </c>
      <c r="B199" s="70">
        <f t="shared" ref="B199:AE199" si="1647">B170/B17*365</f>
        <v>98.177503788933237</v>
      </c>
      <c r="C199" s="70">
        <f t="shared" si="1647"/>
        <v>94.875453057580714</v>
      </c>
      <c r="D199" s="70">
        <f t="shared" si="1647"/>
        <v>99.786323700190437</v>
      </c>
      <c r="E199" s="70">
        <f t="shared" si="1647"/>
        <v>85.178358832025452</v>
      </c>
      <c r="F199" s="70">
        <f t="shared" si="1647"/>
        <v>95.894629883568413</v>
      </c>
      <c r="G199" s="70">
        <f t="shared" si="1647"/>
        <v>71.575243779897221</v>
      </c>
      <c r="H199" s="70">
        <f t="shared" si="1647"/>
        <v>100.08905398455897</v>
      </c>
      <c r="I199" s="70">
        <f t="shared" si="1647"/>
        <v>89.336507621147121</v>
      </c>
      <c r="J199" s="70">
        <f t="shared" si="1647"/>
        <v>73.576811445202424</v>
      </c>
      <c r="K199" s="70">
        <f t="shared" si="1647"/>
        <v>105.00954717090107</v>
      </c>
      <c r="L199" s="70">
        <f t="shared" si="1647"/>
        <v>104.22785882488672</v>
      </c>
      <c r="M199" s="70">
        <f t="shared" si="1647"/>
        <v>103.15575571080568</v>
      </c>
      <c r="N199" s="70">
        <f t="shared" si="1647"/>
        <v>97.579721647581906</v>
      </c>
      <c r="O199" s="70">
        <f t="shared" si="1647"/>
        <v>102.14227382713936</v>
      </c>
      <c r="P199" s="70">
        <f t="shared" si="1647"/>
        <v>101.68006309981625</v>
      </c>
      <c r="Q199" s="70">
        <f t="shared" si="1647"/>
        <v>142.7535158010275</v>
      </c>
      <c r="R199" s="70">
        <f t="shared" si="1647"/>
        <v>127.03713057594817</v>
      </c>
      <c r="S199" s="70">
        <f t="shared" si="1647"/>
        <v>133.0304068119097</v>
      </c>
      <c r="T199" s="70">
        <f t="shared" si="1647"/>
        <v>113.47259914584347</v>
      </c>
      <c r="U199" s="70">
        <f t="shared" si="1647"/>
        <v>119.24038496973687</v>
      </c>
      <c r="V199" s="70">
        <f t="shared" si="1647"/>
        <v>182.10732923732121</v>
      </c>
      <c r="W199" s="70">
        <f t="shared" si="1647"/>
        <v>130.45350252667282</v>
      </c>
      <c r="X199" s="70">
        <f t="shared" si="1647"/>
        <v>136.05896178916288</v>
      </c>
      <c r="Y199" s="70">
        <f t="shared" si="1647"/>
        <v>137.64818752198684</v>
      </c>
      <c r="Z199" s="70">
        <f t="shared" si="1647"/>
        <v>141.37543263322087</v>
      </c>
      <c r="AA199" s="70">
        <f t="shared" ref="AA199" si="1648">AA170/AA17*365</f>
        <v>152.80669043853462</v>
      </c>
      <c r="AB199" s="71">
        <f t="shared" si="1647"/>
        <v>157.22808834699754</v>
      </c>
      <c r="AC199" s="71">
        <f t="shared" si="1647"/>
        <v>154.80920313773663</v>
      </c>
      <c r="AD199" s="71">
        <f t="shared" si="1647"/>
        <v>155.15059104739532</v>
      </c>
      <c r="AE199" s="71">
        <f t="shared" si="1647"/>
        <v>155.19985603523548</v>
      </c>
      <c r="AI199" s="70">
        <f t="shared" ref="AI199:CD199" si="1649">AI170/AI17*90</f>
        <v>0</v>
      </c>
      <c r="AJ199" s="70">
        <f t="shared" si="1649"/>
        <v>127.87241454170235</v>
      </c>
      <c r="AK199" s="70">
        <f>AK170/AK17*90</f>
        <v>135.93968818150731</v>
      </c>
      <c r="AL199" s="70">
        <f t="shared" si="1649"/>
        <v>125.23160003313085</v>
      </c>
      <c r="AM199" s="70">
        <f t="shared" si="1649"/>
        <v>129.45126505719324</v>
      </c>
      <c r="AN199" s="70">
        <f t="shared" si="1649"/>
        <v>142.6650291486753</v>
      </c>
      <c r="AO199" s="70">
        <f t="shared" si="1649"/>
        <v>142.47310985109814</v>
      </c>
      <c r="AP199" s="70">
        <f t="shared" si="1649"/>
        <v>118.98324103983096</v>
      </c>
      <c r="AQ199" s="70">
        <f t="shared" si="1649"/>
        <v>130.5801993032907</v>
      </c>
      <c r="AR199" s="70">
        <f t="shared" si="1649"/>
        <v>168.2351592959856</v>
      </c>
      <c r="AS199" s="70">
        <f t="shared" si="1649"/>
        <v>175.58992945695726</v>
      </c>
      <c r="AT199" s="70">
        <f t="shared" si="1649"/>
        <v>121.97100175903532</v>
      </c>
      <c r="AU199" s="70">
        <f t="shared" si="1649"/>
        <v>134.20423474674112</v>
      </c>
      <c r="AV199" s="70">
        <f t="shared" si="1649"/>
        <v>168.85472186711246</v>
      </c>
      <c r="AW199" s="70">
        <f t="shared" si="1649"/>
        <v>172.84702771706077</v>
      </c>
      <c r="AX199" s="70">
        <f t="shared" si="1649"/>
        <v>142.89672516166593</v>
      </c>
      <c r="AY199" s="70">
        <f t="shared" si="1649"/>
        <v>143.54347513733316</v>
      </c>
      <c r="AZ199" s="70">
        <f t="shared" si="1649"/>
        <v>133.99699479897419</v>
      </c>
      <c r="BA199" s="70">
        <f t="shared" si="1649"/>
        <v>126.31359151791564</v>
      </c>
      <c r="BB199" s="70">
        <f t="shared" si="1649"/>
        <v>105.87369908247835</v>
      </c>
      <c r="BC199" s="70">
        <f t="shared" si="1649"/>
        <v>112.04617208216318</v>
      </c>
      <c r="BD199" s="70">
        <f t="shared" si="1649"/>
        <v>119.13241194745954</v>
      </c>
      <c r="BE199" s="70">
        <f t="shared" si="1649"/>
        <v>117.11813076900323</v>
      </c>
      <c r="BF199" s="70">
        <f t="shared" si="1649"/>
        <v>130.062892633925</v>
      </c>
      <c r="BG199" s="70">
        <f t="shared" si="1649"/>
        <v>126.25474509667252</v>
      </c>
      <c r="BH199" s="70">
        <f t="shared" si="1649"/>
        <v>119.7760700254003</v>
      </c>
      <c r="BI199" s="70">
        <f t="shared" si="1649"/>
        <v>123.44500884056966</v>
      </c>
      <c r="BJ199" s="70">
        <f t="shared" si="1649"/>
        <v>124.50384052747675</v>
      </c>
      <c r="BK199" s="70">
        <f t="shared" si="1649"/>
        <v>138.6353616239829</v>
      </c>
      <c r="BL199" s="70">
        <f t="shared" si="1649"/>
        <v>146.6352093947861</v>
      </c>
      <c r="BM199" s="70">
        <f t="shared" si="1649"/>
        <v>144.12294237659552</v>
      </c>
      <c r="BN199" s="70">
        <f t="shared" si="1649"/>
        <v>129.23066412991952</v>
      </c>
      <c r="BO199" s="70">
        <f t="shared" si="1649"/>
        <v>160.57422113768908</v>
      </c>
      <c r="BP199" s="70">
        <f t="shared" si="1649"/>
        <v>130.22456120887705</v>
      </c>
      <c r="BQ199" s="70">
        <f t="shared" si="1649"/>
        <v>124.55753903834449</v>
      </c>
      <c r="BR199" s="70">
        <f t="shared" si="1649"/>
        <v>140.44695839580623</v>
      </c>
      <c r="BS199" s="70">
        <f t="shared" si="1649"/>
        <v>134.4213368366203</v>
      </c>
      <c r="BT199" s="70">
        <f t="shared" si="1649"/>
        <v>115.91820641252531</v>
      </c>
      <c r="BU199" s="70">
        <f t="shared" si="1649"/>
        <v>115.4303385378864</v>
      </c>
      <c r="BV199" s="70">
        <f t="shared" si="1649"/>
        <v>113.19886041529931</v>
      </c>
      <c r="BW199" s="70">
        <f t="shared" si="1649"/>
        <v>119.28168195152764</v>
      </c>
      <c r="BX199" s="70">
        <f t="shared" si="1649"/>
        <v>126.16440861278156</v>
      </c>
      <c r="BY199" s="70">
        <f t="shared" si="1649"/>
        <v>129.96523811749066</v>
      </c>
      <c r="BZ199" s="70">
        <f t="shared" si="1649"/>
        <v>129.66943152915255</v>
      </c>
      <c r="CA199" s="70">
        <f t="shared" si="1649"/>
        <v>134.08094054788677</v>
      </c>
      <c r="CB199" s="70">
        <f t="shared" si="1649"/>
        <v>135.52211282906322</v>
      </c>
      <c r="CC199" s="70">
        <f t="shared" si="1649"/>
        <v>136.06916420601769</v>
      </c>
      <c r="CD199" s="70">
        <f t="shared" si="1649"/>
        <v>132.53640352573666</v>
      </c>
      <c r="CE199" s="115">
        <f>CE170/CE19*90</f>
        <v>138.69795958350394</v>
      </c>
      <c r="CF199" s="70">
        <f>CF170/CF17*90</f>
        <v>138.06675335049567</v>
      </c>
      <c r="CG199" s="70">
        <f>CG170/CG19*90</f>
        <v>138.46727349006574</v>
      </c>
      <c r="CH199" s="70">
        <f>CH170/CH17*90</f>
        <v>135.51372324683274</v>
      </c>
      <c r="CI199" s="70">
        <f>CI197+CI198</f>
        <v>135.51372324683274</v>
      </c>
      <c r="CJ199" s="70">
        <f>CJ170/CJ17*90</f>
        <v>131.40416590488658</v>
      </c>
      <c r="CK199" s="70">
        <f t="shared" ref="CK199:DB199" si="1650">CK197+CK198</f>
        <v>131.40416590488658</v>
      </c>
      <c r="CL199" s="70">
        <f>CL170/CL17*90</f>
        <v>138.24300187149925</v>
      </c>
      <c r="CM199" s="50">
        <f t="shared" si="1650"/>
        <v>138.24300187149925</v>
      </c>
      <c r="CN199" s="50">
        <f t="shared" si="1650"/>
        <v>138.24300187149925</v>
      </c>
      <c r="CO199" s="50">
        <f t="shared" si="1650"/>
        <v>138.24300187149925</v>
      </c>
      <c r="CP199" s="50">
        <f t="shared" si="1650"/>
        <v>138.24300187149925</v>
      </c>
      <c r="CQ199" s="50">
        <f t="shared" si="1650"/>
        <v>138.24300187149925</v>
      </c>
      <c r="CR199" s="50">
        <f t="shared" si="1650"/>
        <v>138.24300187149925</v>
      </c>
      <c r="CS199" s="50">
        <f t="shared" si="1650"/>
        <v>138.24300187149925</v>
      </c>
      <c r="CT199" s="50">
        <f t="shared" si="1650"/>
        <v>138.24300187149925</v>
      </c>
      <c r="CU199" s="50">
        <f t="shared" si="1650"/>
        <v>138.24300187149925</v>
      </c>
      <c r="CV199" s="50">
        <f t="shared" si="1650"/>
        <v>138.24300187149925</v>
      </c>
      <c r="CW199" s="50">
        <f t="shared" si="1650"/>
        <v>138.24300187149925</v>
      </c>
      <c r="CX199" s="50">
        <f t="shared" si="1650"/>
        <v>138.24300187149925</v>
      </c>
      <c r="CY199" s="50">
        <f t="shared" si="1650"/>
        <v>138.24300187149925</v>
      </c>
      <c r="CZ199" s="50">
        <f t="shared" si="1650"/>
        <v>138.24300187149925</v>
      </c>
      <c r="DA199" s="50">
        <f t="shared" si="1650"/>
        <v>138.24300187149925</v>
      </c>
      <c r="DB199" s="50">
        <f t="shared" si="1650"/>
        <v>138.24300187149925</v>
      </c>
      <c r="DE199" s="138"/>
      <c r="DF199" s="115">
        <v>131.40416590488658</v>
      </c>
    </row>
    <row r="200" spans="1:110" s="7" customFormat="1" x14ac:dyDescent="0.2">
      <c r="A200" s="69" t="s">
        <v>470</v>
      </c>
      <c r="B200" s="70">
        <f>B196-B199</f>
        <v>42.300249760291976</v>
      </c>
      <c r="C200" s="70">
        <f t="shared" ref="C200:V200" si="1651">C196-C199</f>
        <v>49.148626692456489</v>
      </c>
      <c r="D200" s="70">
        <f t="shared" si="1651"/>
        <v>23.94487857235022</v>
      </c>
      <c r="E200" s="70">
        <f t="shared" si="1651"/>
        <v>-2.0508982398911257</v>
      </c>
      <c r="F200" s="70">
        <f t="shared" si="1651"/>
        <v>0.64995475040369399</v>
      </c>
      <c r="G200" s="70">
        <f t="shared" si="1651"/>
        <v>12.517625158606208</v>
      </c>
      <c r="H200" s="70">
        <f t="shared" si="1651"/>
        <v>0.43101924424750848</v>
      </c>
      <c r="I200" s="70">
        <f t="shared" si="1651"/>
        <v>66.452832744050738</v>
      </c>
      <c r="J200" s="70">
        <f t="shared" si="1651"/>
        <v>43.66626809331656</v>
      </c>
      <c r="K200" s="70">
        <f t="shared" si="1651"/>
        <v>24.758092285097291</v>
      </c>
      <c r="L200" s="70">
        <f t="shared" si="1651"/>
        <v>49.744489609236425</v>
      </c>
      <c r="M200" s="70">
        <f t="shared" si="1651"/>
        <v>35.06031010278609</v>
      </c>
      <c r="N200" s="70">
        <f t="shared" si="1651"/>
        <v>36.006157635645408</v>
      </c>
      <c r="O200" s="70">
        <f t="shared" si="1651"/>
        <v>30.416112780140637</v>
      </c>
      <c r="P200" s="70">
        <f t="shared" si="1651"/>
        <v>21.909785045374036</v>
      </c>
      <c r="Q200" s="70">
        <f t="shared" si="1651"/>
        <v>35.003368443384204</v>
      </c>
      <c r="R200" s="70">
        <f t="shared" si="1651"/>
        <v>19.92499400016726</v>
      </c>
      <c r="S200" s="70">
        <f t="shared" si="1651"/>
        <v>73.322657159162986</v>
      </c>
      <c r="T200" s="70">
        <f t="shared" si="1651"/>
        <v>73.139458811780287</v>
      </c>
      <c r="U200" s="70">
        <f t="shared" si="1651"/>
        <v>78.636322292333276</v>
      </c>
      <c r="V200" s="70">
        <f t="shared" si="1651"/>
        <v>-12.61440246323113</v>
      </c>
      <c r="W200" s="70">
        <f t="shared" ref="W200" si="1652">W196-W199</f>
        <v>16.243467913093781</v>
      </c>
      <c r="X200" s="70">
        <f t="shared" ref="X200:Y200" si="1653">X196-X199</f>
        <v>-7.37860304728909</v>
      </c>
      <c r="Y200" s="70">
        <f t="shared" si="1653"/>
        <v>-24.236541848834264</v>
      </c>
      <c r="Z200" s="70">
        <f t="shared" ref="Z200:AA200" si="1654">Z196-Z199</f>
        <v>-32.679901498340072</v>
      </c>
      <c r="AA200" s="70">
        <f t="shared" si="1654"/>
        <v>-41.228988643660344</v>
      </c>
      <c r="AB200" s="71">
        <f t="shared" ref="AA200:AD200" si="1655">AB196-AB199</f>
        <v>-30.675485460401916</v>
      </c>
      <c r="AC200" s="71">
        <f t="shared" si="1655"/>
        <v>-30.203556564953516</v>
      </c>
      <c r="AD200" s="71">
        <f t="shared" si="1655"/>
        <v>-30.270161965866237</v>
      </c>
      <c r="AE200" s="71">
        <f t="shared" ref="AE200" si="1656">AE196-AE199</f>
        <v>-30.279773654427004</v>
      </c>
      <c r="AI200" s="70">
        <f t="shared" ref="AI200:AK200" si="1657">AI196-AI199</f>
        <v>0</v>
      </c>
      <c r="AJ200" s="70">
        <f t="shared" ref="AJ200:AM200" si="1658">AJ196-AJ199</f>
        <v>10.925305417996171</v>
      </c>
      <c r="AK200" s="70">
        <f t="shared" si="1657"/>
        <v>4.6411416670084407</v>
      </c>
      <c r="AL200" s="70">
        <f t="shared" si="1658"/>
        <v>8.5497022118314732</v>
      </c>
      <c r="AM200" s="70">
        <f t="shared" si="1658"/>
        <v>6.2913584022044233</v>
      </c>
      <c r="AN200" s="70">
        <f t="shared" ref="AN200:AY200" si="1659">AN196-AN199</f>
        <v>0.14264471799481271</v>
      </c>
      <c r="AO200" s="70">
        <f t="shared" si="1659"/>
        <v>0.25086265109459305</v>
      </c>
      <c r="AP200" s="70">
        <f t="shared" si="1659"/>
        <v>0.18013554712037205</v>
      </c>
      <c r="AQ200" s="70">
        <f t="shared" si="1659"/>
        <v>-6.7725377901149244</v>
      </c>
      <c r="AR200" s="70">
        <f t="shared" si="1659"/>
        <v>-31.67463498309391</v>
      </c>
      <c r="AS200" s="70">
        <f t="shared" si="1659"/>
        <v>-36.944025248507558</v>
      </c>
      <c r="AT200" s="70">
        <f t="shared" si="1659"/>
        <v>12.030759058497296</v>
      </c>
      <c r="AU200" s="70">
        <f t="shared" si="1659"/>
        <v>2.0846550602132936</v>
      </c>
      <c r="AV200" s="70">
        <f t="shared" si="1659"/>
        <v>31.984134788737009</v>
      </c>
      <c r="AW200" s="70">
        <f t="shared" si="1659"/>
        <v>27.392090117734568</v>
      </c>
      <c r="AX200" s="70">
        <f t="shared" si="1659"/>
        <v>28.913390067547653</v>
      </c>
      <c r="AY200" s="70">
        <f t="shared" si="1659"/>
        <v>26.197132870700528</v>
      </c>
      <c r="AZ200" s="70">
        <f t="shared" ref="AZ200:BC200" si="1660">AZ196-AZ199</f>
        <v>14.837680427291644</v>
      </c>
      <c r="BA200" s="70">
        <f t="shared" si="1660"/>
        <v>14.813875216444828</v>
      </c>
      <c r="BB200" s="70">
        <f t="shared" si="1660"/>
        <v>14.649741154837187</v>
      </c>
      <c r="BC200" s="70">
        <f t="shared" si="1660"/>
        <v>8.4171837361381563</v>
      </c>
      <c r="BD200" s="70">
        <f t="shared" ref="BD200:CE200" si="1661">BD196-BD199</f>
        <v>15.807623426956653</v>
      </c>
      <c r="BE200" s="70">
        <f t="shared" si="1661"/>
        <v>17.012539203487123</v>
      </c>
      <c r="BF200" s="70">
        <f t="shared" si="1661"/>
        <v>57.299444059734668</v>
      </c>
      <c r="BG200" s="70">
        <f t="shared" si="1661"/>
        <v>57.147907275218941</v>
      </c>
      <c r="BH200" s="70">
        <f t="shared" si="1661"/>
        <v>65.313552334685383</v>
      </c>
      <c r="BI200" s="70">
        <f t="shared" si="1661"/>
        <v>65.528489183326016</v>
      </c>
      <c r="BJ200" s="70">
        <f t="shared" si="1661"/>
        <v>46.507712876668919</v>
      </c>
      <c r="BK200" s="70">
        <f t="shared" si="1661"/>
        <v>46.573643837342246</v>
      </c>
      <c r="BL200" s="70">
        <f t="shared" si="1661"/>
        <v>85.933194482922943</v>
      </c>
      <c r="BM200" s="70">
        <f t="shared" si="1661"/>
        <v>85.379904727293393</v>
      </c>
      <c r="BN200" s="70">
        <f t="shared" si="1661"/>
        <v>93.990011488676487</v>
      </c>
      <c r="BO200" s="70">
        <f t="shared" si="1661"/>
        <v>114.69597959248753</v>
      </c>
      <c r="BP200" s="70">
        <f t="shared" si="1661"/>
        <v>47.695127419302622</v>
      </c>
      <c r="BQ200" s="70">
        <f t="shared" si="1661"/>
        <v>46.209597976866945</v>
      </c>
      <c r="BR200" s="70">
        <f t="shared" si="1661"/>
        <v>7.27343505295093</v>
      </c>
      <c r="BS200" s="70">
        <f t="shared" si="1661"/>
        <v>8.7543887981702255</v>
      </c>
      <c r="BT200" s="70">
        <f t="shared" si="1661"/>
        <v>28.283549822619477</v>
      </c>
      <c r="BU200" s="70">
        <f t="shared" si="1661"/>
        <v>28.363033162901559</v>
      </c>
      <c r="BV200" s="70">
        <f t="shared" si="1661"/>
        <v>24.919510699834788</v>
      </c>
      <c r="BW200" s="70">
        <f t="shared" si="1661"/>
        <v>24.302949011815684</v>
      </c>
      <c r="BX200" s="70">
        <f t="shared" si="1661"/>
        <v>33.228645742175019</v>
      </c>
      <c r="BY200" s="70">
        <f t="shared" si="1661"/>
        <v>32.312517551346502</v>
      </c>
      <c r="BZ200" s="70">
        <f t="shared" si="1661"/>
        <v>6.1509836004646843</v>
      </c>
      <c r="CA200" s="70">
        <f t="shared" si="1661"/>
        <v>4.4377098723150823</v>
      </c>
      <c r="CB200" s="70">
        <f t="shared" si="1661"/>
        <v>-6.009716258039191</v>
      </c>
      <c r="CC200" s="70">
        <f t="shared" si="1661"/>
        <v>-6.2953243579687808</v>
      </c>
      <c r="CD200" s="70">
        <f t="shared" si="1661"/>
        <v>-11.703127984567686</v>
      </c>
      <c r="CE200" s="115">
        <f t="shared" si="1661"/>
        <v>-15.302115253063448</v>
      </c>
      <c r="CF200" s="70">
        <f t="shared" ref="CF200:CG200" si="1662">CF196-CF199</f>
        <v>-4.9227535033579954</v>
      </c>
      <c r="CG200" s="70">
        <f t="shared" si="1662"/>
        <v>-5.1434692432360691</v>
      </c>
      <c r="CH200" s="70">
        <f t="shared" ref="CH200:CI200" si="1663">CH196-CH199</f>
        <v>-31.324927145362949</v>
      </c>
      <c r="CI200" s="70">
        <f t="shared" si="1663"/>
        <v>-31.324927145362949</v>
      </c>
      <c r="CJ200" s="70">
        <f t="shared" ref="CJ200:DB200" si="1664">CJ196-CJ199</f>
        <v>-14.806275557260975</v>
      </c>
      <c r="CK200" s="70">
        <f t="shared" si="1664"/>
        <v>-14.806275557260975</v>
      </c>
      <c r="CL200" s="70">
        <f t="shared" ref="CL200" si="1665">CL196-CL199</f>
        <v>-22.971460624468449</v>
      </c>
      <c r="CM200" s="50">
        <f t="shared" si="1664"/>
        <v>-24.971460624468449</v>
      </c>
      <c r="CN200" s="50">
        <f t="shared" si="1664"/>
        <v>-26.971460624468449</v>
      </c>
      <c r="CO200" s="50">
        <f t="shared" si="1664"/>
        <v>-26.971460624468449</v>
      </c>
      <c r="CP200" s="50">
        <f t="shared" si="1664"/>
        <v>-26.971460624468449</v>
      </c>
      <c r="CQ200" s="50">
        <f t="shared" si="1664"/>
        <v>-26.971460624468449</v>
      </c>
      <c r="CR200" s="50">
        <f t="shared" si="1664"/>
        <v>-26.971460624468449</v>
      </c>
      <c r="CS200" s="50">
        <f t="shared" si="1664"/>
        <v>-26.971460624468449</v>
      </c>
      <c r="CT200" s="50">
        <f t="shared" si="1664"/>
        <v>-26.971460624468449</v>
      </c>
      <c r="CU200" s="50">
        <f t="shared" si="1664"/>
        <v>-26.971460624468449</v>
      </c>
      <c r="CV200" s="50">
        <f t="shared" si="1664"/>
        <v>-26.971460624468449</v>
      </c>
      <c r="CW200" s="50">
        <f t="shared" si="1664"/>
        <v>-26.971460624468449</v>
      </c>
      <c r="CX200" s="50">
        <f t="shared" si="1664"/>
        <v>-26.971460624468449</v>
      </c>
      <c r="CY200" s="50">
        <f t="shared" si="1664"/>
        <v>-26.971460624468449</v>
      </c>
      <c r="CZ200" s="50">
        <f t="shared" si="1664"/>
        <v>-26.971460624468449</v>
      </c>
      <c r="DA200" s="50">
        <f t="shared" si="1664"/>
        <v>-26.971460624468449</v>
      </c>
      <c r="DB200" s="50">
        <f t="shared" si="1664"/>
        <v>-26.971460624468449</v>
      </c>
      <c r="DE200" s="138"/>
      <c r="DF200" s="115">
        <v>-14.806275557260975</v>
      </c>
    </row>
    <row r="201" spans="1:110" s="7" customFormat="1" x14ac:dyDescent="0.2">
      <c r="A201" s="69" t="s">
        <v>86</v>
      </c>
      <c r="AB201" s="77"/>
      <c r="AC201" s="77"/>
      <c r="AD201" s="77"/>
      <c r="AE201" s="77"/>
      <c r="CE201" s="115"/>
      <c r="CG201" s="115"/>
      <c r="CM201" s="50"/>
      <c r="CN201" s="50"/>
      <c r="CO201" s="50"/>
      <c r="CP201" s="50"/>
      <c r="CQ201" s="50"/>
      <c r="CR201" s="50"/>
      <c r="CS201" s="50"/>
      <c r="CT201" s="50"/>
      <c r="CU201" s="50"/>
      <c r="CV201" s="50"/>
      <c r="CW201" s="50"/>
      <c r="CX201" s="50"/>
      <c r="CY201" s="50"/>
      <c r="CZ201" s="50"/>
      <c r="DA201" s="50"/>
      <c r="DB201" s="50"/>
      <c r="DE201" s="138"/>
      <c r="DF201" s="115"/>
    </row>
    <row r="202" spans="1:110" s="86" customFormat="1" x14ac:dyDescent="0.2">
      <c r="A202" s="86" t="s">
        <v>440</v>
      </c>
      <c r="C202" s="86">
        <f t="shared" ref="C202:Y202" si="1666">C19/B19-1</f>
        <v>8.4650243251187085E-2</v>
      </c>
      <c r="D202" s="86">
        <f t="shared" si="1666"/>
        <v>0.23179238287832815</v>
      </c>
      <c r="E202" s="86">
        <f t="shared" si="1666"/>
        <v>0.21808681795197904</v>
      </c>
      <c r="F202" s="86">
        <f t="shared" si="1666"/>
        <v>0.43750359407122019</v>
      </c>
      <c r="G202" s="86">
        <f t="shared" si="1666"/>
        <v>0.27024410245640085</v>
      </c>
      <c r="H202" s="86">
        <f t="shared" si="1666"/>
        <v>0.24063607474409698</v>
      </c>
      <c r="I202" s="86">
        <f t="shared" si="1666"/>
        <v>4.2170255247620405</v>
      </c>
      <c r="J202" s="86">
        <f t="shared" si="1666"/>
        <v>0.12008814779915999</v>
      </c>
      <c r="K202" s="86">
        <f t="shared" si="1666"/>
        <v>-0.30500485782661235</v>
      </c>
      <c r="L202" s="86">
        <f t="shared" si="1666"/>
        <v>0.15977635997418571</v>
      </c>
      <c r="M202" s="86">
        <f t="shared" si="1666"/>
        <v>0.11912596485886029</v>
      </c>
      <c r="N202" s="86">
        <f t="shared" si="1666"/>
        <v>1.363313837427782E-2</v>
      </c>
      <c r="O202" s="86">
        <f t="shared" si="1666"/>
        <v>0.10319835999202454</v>
      </c>
      <c r="P202" s="86">
        <f t="shared" si="1666"/>
        <v>-6.129871737805892E-2</v>
      </c>
      <c r="Q202" s="86">
        <f t="shared" si="1666"/>
        <v>-0.26908965086453229</v>
      </c>
      <c r="R202" s="86">
        <f t="shared" si="1666"/>
        <v>0.10135564536439667</v>
      </c>
      <c r="S202" s="86">
        <f t="shared" si="1666"/>
        <v>9.7504065470685575E-2</v>
      </c>
      <c r="T202" s="86">
        <f t="shared" si="1666"/>
        <v>0.27927123506895413</v>
      </c>
      <c r="U202" s="86">
        <f t="shared" si="1666"/>
        <v>-5.5161639584296207E-2</v>
      </c>
      <c r="V202" s="86">
        <f t="shared" si="1666"/>
        <v>5.0383324458046497E-2</v>
      </c>
      <c r="W202" s="86">
        <f t="shared" si="1666"/>
        <v>0.55906968035000593</v>
      </c>
      <c r="X202" s="86">
        <f t="shared" si="1666"/>
        <v>-2.4859897662383723E-3</v>
      </c>
      <c r="Y202" s="86">
        <f t="shared" si="1666"/>
        <v>-5.8277186087402622E-2</v>
      </c>
      <c r="Z202" s="86">
        <f>Z19/Y19-1</f>
        <v>-4.6377073028245563E-2</v>
      </c>
      <c r="AA202" s="86">
        <f>AA19/Z19-1</f>
        <v>6.2218696033096599E-2</v>
      </c>
      <c r="AB202" s="87">
        <f t="shared" ref="AA202:AE202" si="1667">AB19/AA19-1</f>
        <v>0.10763399095126669</v>
      </c>
      <c r="AC202" s="87">
        <f t="shared" si="1667"/>
        <v>5.5956091226743609E-2</v>
      </c>
      <c r="AD202" s="87">
        <f t="shared" si="1667"/>
        <v>6.9629601314973089E-2</v>
      </c>
      <c r="AE202" s="87">
        <f t="shared" si="1667"/>
        <v>7.0156116444871408E-2</v>
      </c>
      <c r="AN202" s="86">
        <f t="shared" ref="AN202:CI202" si="1668">+(AN19+AM19)/(AJ19+AI19)-1</f>
        <v>2.2011236141897594E-2</v>
      </c>
      <c r="AO202" s="86">
        <f t="shared" si="1668"/>
        <v>0.1078027478012864</v>
      </c>
      <c r="AP202" s="86">
        <f t="shared" si="1668"/>
        <v>0.18584038583765938</v>
      </c>
      <c r="AQ202" s="86">
        <f t="shared" si="1668"/>
        <v>0.16900090519256739</v>
      </c>
      <c r="AR202" s="86">
        <f t="shared" si="1668"/>
        <v>3.9663825664855601E-2</v>
      </c>
      <c r="AS202" s="86">
        <f t="shared" si="1668"/>
        <v>-5.4106453862329706E-2</v>
      </c>
      <c r="AT202" s="86">
        <f t="shared" si="1668"/>
        <v>-0.14987215758906169</v>
      </c>
      <c r="AU202" s="86">
        <f t="shared" si="1668"/>
        <v>-0.23145241040356712</v>
      </c>
      <c r="AV202" s="86">
        <f t="shared" si="1668"/>
        <v>-0.26149640353928982</v>
      </c>
      <c r="AW202" s="86">
        <f t="shared" si="1668"/>
        <v>-0.26449315764769343</v>
      </c>
      <c r="AX202" s="86">
        <f t="shared" si="1668"/>
        <v>-0.24781613984431672</v>
      </c>
      <c r="AY202" s="86">
        <f t="shared" si="1668"/>
        <v>-0.16260637495664487</v>
      </c>
      <c r="AZ202" s="86">
        <f t="shared" si="1668"/>
        <v>-4.8903900088422936E-2</v>
      </c>
      <c r="BA202" s="86">
        <f t="shared" si="1668"/>
        <v>5.0006287733747934E-2</v>
      </c>
      <c r="BB202" s="86">
        <f t="shared" si="1668"/>
        <v>0.21567265943957059</v>
      </c>
      <c r="BC202" s="86">
        <f t="shared" si="1668"/>
        <v>0.25149982009646621</v>
      </c>
      <c r="BD202" s="86">
        <f t="shared" si="1668"/>
        <v>0.22490172618042936</v>
      </c>
      <c r="BE202" s="86">
        <f t="shared" si="1668"/>
        <v>0.22957039766483089</v>
      </c>
      <c r="BF202" s="86">
        <f t="shared" si="1668"/>
        <v>9.1201203265365294E-2</v>
      </c>
      <c r="BG202" s="86">
        <f t="shared" si="1668"/>
        <v>8.9529070398150612E-2</v>
      </c>
      <c r="BH202" s="86">
        <f t="shared" si="1668"/>
        <v>0.22970833092541487</v>
      </c>
      <c r="BI202" s="86">
        <f t="shared" si="1668"/>
        <v>0.20998550463854615</v>
      </c>
      <c r="BJ202" s="86">
        <f t="shared" si="1668"/>
        <v>0.21036084588229076</v>
      </c>
      <c r="BK202" s="86">
        <f t="shared" si="1668"/>
        <v>0.13254254315877345</v>
      </c>
      <c r="BL202" s="86">
        <f t="shared" si="1668"/>
        <v>-7.6775164272761987E-2</v>
      </c>
      <c r="BM202" s="86">
        <f t="shared" si="1668"/>
        <v>-0.12101973842598168</v>
      </c>
      <c r="BN202" s="86">
        <f t="shared" si="1668"/>
        <v>-0.11993394501372689</v>
      </c>
      <c r="BO202" s="86">
        <f t="shared" si="1668"/>
        <v>-0.21547621523633054</v>
      </c>
      <c r="BP202" s="86">
        <f t="shared" si="1668"/>
        <v>-8.6660307808619996E-2</v>
      </c>
      <c r="BQ202" s="86">
        <f t="shared" si="1668"/>
        <v>0.15371787481210686</v>
      </c>
      <c r="BR202" s="86">
        <f t="shared" si="1668"/>
        <v>0.28566843068719106</v>
      </c>
      <c r="BS202" s="86">
        <f t="shared" si="1668"/>
        <v>0.68326695009050353</v>
      </c>
      <c r="BT202" s="86">
        <f t="shared" si="1668"/>
        <v>0.76750003027270575</v>
      </c>
      <c r="BU202" s="86">
        <f t="shared" si="1668"/>
        <v>0.49823821037735305</v>
      </c>
      <c r="BV202" s="86">
        <f t="shared" si="1668"/>
        <v>0.41476234396268596</v>
      </c>
      <c r="BW202" s="86">
        <f t="shared" si="1668"/>
        <v>0.28272002767315541</v>
      </c>
      <c r="BX202" s="86">
        <f t="shared" si="1668"/>
        <v>8.3046266153347759E-2</v>
      </c>
      <c r="BY202" s="86">
        <f t="shared" si="1668"/>
        <v>-3.4737572526059246E-2</v>
      </c>
      <c r="BZ202" s="86">
        <f t="shared" si="1668"/>
        <v>-7.7332811914782806E-2</v>
      </c>
      <c r="CA202" s="86">
        <f t="shared" si="1668"/>
        <v>-7.7605219957549876E-2</v>
      </c>
      <c r="CB202" s="86">
        <f t="shared" si="1668"/>
        <v>-6.598133983479848E-2</v>
      </c>
      <c r="CC202" s="86">
        <f t="shared" si="1668"/>
        <v>-5.1019279233741721E-2</v>
      </c>
      <c r="CD202" s="86">
        <f t="shared" si="1668"/>
        <v>-5.0363654992998441E-2</v>
      </c>
      <c r="CE202" s="86">
        <f t="shared" si="1668"/>
        <v>-7.3437418334814319E-2</v>
      </c>
      <c r="CF202" s="86">
        <f t="shared" si="1668"/>
        <v>-5.6398370466188674E-2</v>
      </c>
      <c r="CG202" s="86">
        <f t="shared" si="1668"/>
        <v>-3.0999926932862243E-2</v>
      </c>
      <c r="CH202" s="86">
        <f t="shared" si="1668"/>
        <v>-3.6252713725422048E-2</v>
      </c>
      <c r="CI202" s="86">
        <f t="shared" si="1668"/>
        <v>-3.5805716088761708E-2</v>
      </c>
      <c r="CJ202" s="86">
        <f>+(CJ19+CI19)/(CF19+CE19)-1</f>
        <v>2.9365334236322482E-2</v>
      </c>
      <c r="CL202" s="86">
        <f>+(CL19+CK19)/(CH19+CG19)-1</f>
        <v>9.4716119330739978E-2</v>
      </c>
      <c r="CM202" s="87"/>
      <c r="CN202" s="87"/>
      <c r="CO202" s="87"/>
      <c r="CP202" s="87"/>
      <c r="CQ202" s="87"/>
      <c r="CR202" s="87"/>
      <c r="CS202" s="87"/>
      <c r="CT202" s="87"/>
      <c r="CU202" s="87"/>
      <c r="CV202" s="87"/>
      <c r="CW202" s="87"/>
      <c r="CX202" s="87"/>
      <c r="CY202" s="87"/>
      <c r="CZ202" s="87"/>
      <c r="DA202" s="87"/>
      <c r="DB202" s="87"/>
      <c r="DE202" s="141"/>
      <c r="DF202" s="86">
        <v>6.2218696033096599E-2</v>
      </c>
    </row>
    <row r="203" spans="1:110" s="86" customFormat="1" x14ac:dyDescent="0.2">
      <c r="A203" s="86" t="s">
        <v>441</v>
      </c>
      <c r="C203" s="86">
        <f t="shared" ref="C203" si="1669">C200/B200-1</f>
        <v>0.1618992079473065</v>
      </c>
      <c r="D203" s="86">
        <f t="shared" ref="D203" si="1670">D200/C200-1</f>
        <v>-0.51280676218720544</v>
      </c>
      <c r="E203" s="86">
        <f>E200/D200-1</f>
        <v>-1.0856508097835731</v>
      </c>
      <c r="F203" s="86">
        <f t="shared" ref="F203" si="1671">F200/E200-1</f>
        <v>-1.3169122376535842</v>
      </c>
      <c r="G203" s="86">
        <f t="shared" ref="G203" si="1672">G200/F200-1</f>
        <v>18.259225585829437</v>
      </c>
      <c r="H203" s="86">
        <f t="shared" ref="H203" si="1673">H200/G200-1</f>
        <v>-0.96556701141101264</v>
      </c>
      <c r="I203" s="86">
        <f t="shared" ref="I203" si="1674">I200/H200-1</f>
        <v>153.17602260443587</v>
      </c>
      <c r="J203" s="86">
        <f t="shared" ref="J203" si="1675">J200/I200-1</f>
        <v>-0.3428983191506485</v>
      </c>
      <c r="K203" s="86">
        <f>K200/J200-1</f>
        <v>-0.43301561213822404</v>
      </c>
      <c r="L203" s="86">
        <f t="shared" ref="L203" si="1676">L200/K200-1</f>
        <v>1.0092214309734708</v>
      </c>
      <c r="M203" s="86">
        <f t="shared" ref="M203" si="1677">M200/L200-1</f>
        <v>-0.29519208301865485</v>
      </c>
      <c r="N203" s="86">
        <f t="shared" ref="N203" si="1678">N200/M200-1</f>
        <v>2.6977728664874467E-2</v>
      </c>
      <c r="O203" s="86">
        <f t="shared" ref="O203" si="1679">O200/N200-1</f>
        <v>-0.1552524685380684</v>
      </c>
      <c r="P203" s="86">
        <f t="shared" ref="P203" si="1680">P200/O200-1</f>
        <v>-0.27966518260415485</v>
      </c>
      <c r="Q203" s="86">
        <f t="shared" ref="Q203" si="1681">Q200/P200-1</f>
        <v>0.59761350332255803</v>
      </c>
      <c r="R203" s="86">
        <f t="shared" ref="R203" si="1682">R200/Q200-1</f>
        <v>-0.43076924061195099</v>
      </c>
      <c r="S203" s="86">
        <f t="shared" ref="S203" si="1683">S200/R200-1</f>
        <v>2.6799337133324848</v>
      </c>
      <c r="T203" s="86">
        <f t="shared" ref="T203" si="1684">T200/S200-1</f>
        <v>-2.4985230279506165E-3</v>
      </c>
      <c r="U203" s="86">
        <f t="shared" ref="U203" si="1685">U200/T200-1</f>
        <v>7.5155922259403374E-2</v>
      </c>
      <c r="V203" s="86">
        <f t="shared" ref="V203" si="1686">V200/U200-1</f>
        <v>-1.1604144509243024</v>
      </c>
      <c r="W203" s="86">
        <f t="shared" ref="W203:AA203" si="1687">W200/V200-1</f>
        <v>-2.2876922200984762</v>
      </c>
      <c r="X203" s="86">
        <f t="shared" si="1687"/>
        <v>-1.4542504769773474</v>
      </c>
      <c r="Y203" s="86">
        <f t="shared" si="1687"/>
        <v>2.2847060200289278</v>
      </c>
      <c r="Z203" s="86">
        <f t="shared" si="1687"/>
        <v>0.34837311783867042</v>
      </c>
      <c r="AA203" s="86">
        <f t="shared" si="1687"/>
        <v>0.26160076234484708</v>
      </c>
      <c r="AB203" s="87">
        <f t="shared" ref="AB203" si="1688">AB200/AA200-1</f>
        <v>-0.25597288535189933</v>
      </c>
      <c r="AC203" s="87">
        <f t="shared" ref="AC203" si="1689">AC200/AB200-1</f>
        <v>-1.5384561592598045E-2</v>
      </c>
      <c r="AD203" s="87">
        <f t="shared" ref="AD203" si="1690">AD200/AC200-1</f>
        <v>2.2052171494930661E-3</v>
      </c>
      <c r="AE203" s="87">
        <f t="shared" ref="AE203" si="1691">AE200/AD200-1</f>
        <v>3.175301331921343E-4</v>
      </c>
      <c r="AN203" s="86">
        <f t="shared" ref="AN203:CI203" si="1692">+AN200/AJ200-1</f>
        <v>-0.98694364024278458</v>
      </c>
      <c r="AO203" s="86">
        <f t="shared" si="1692"/>
        <v>-0.9459480728895111</v>
      </c>
      <c r="AP203" s="86">
        <f t="shared" si="1692"/>
        <v>-0.97893078113631937</v>
      </c>
      <c r="AQ203" s="86">
        <f t="shared" si="1692"/>
        <v>-2.0764825904278323</v>
      </c>
      <c r="AR203" s="86">
        <f t="shared" si="1692"/>
        <v>-223.05263137921281</v>
      </c>
      <c r="AS203" s="86">
        <f t="shared" si="1692"/>
        <v>-148.26793760374093</v>
      </c>
      <c r="AT203" s="86">
        <f t="shared" si="1692"/>
        <v>65.787256878610279</v>
      </c>
      <c r="AU203" s="86">
        <f t="shared" si="1692"/>
        <v>-1.3078100299796067</v>
      </c>
      <c r="AV203" s="86">
        <f t="shared" si="1692"/>
        <v>-2.0097712193308084</v>
      </c>
      <c r="AW203" s="86">
        <f t="shared" si="1692"/>
        <v>-1.741448446223145</v>
      </c>
      <c r="AX203" s="86">
        <f t="shared" si="1692"/>
        <v>1.4032889302297344</v>
      </c>
      <c r="AY203" s="86">
        <f t="shared" si="1692"/>
        <v>11.566651131252449</v>
      </c>
      <c r="AZ203" s="86">
        <f t="shared" si="1692"/>
        <v>-0.53609248693772293</v>
      </c>
      <c r="BA203" s="86">
        <f t="shared" si="1692"/>
        <v>-0.45919149824737826</v>
      </c>
      <c r="BB203" s="86">
        <f t="shared" si="1692"/>
        <v>-0.49332329690111176</v>
      </c>
      <c r="BC203" s="86">
        <f t="shared" si="1692"/>
        <v>-0.67869828436255608</v>
      </c>
      <c r="BD203" s="86">
        <f t="shared" si="1692"/>
        <v>6.5370258135560411E-2</v>
      </c>
      <c r="BE203" s="86">
        <f t="shared" si="1692"/>
        <v>0.14841923230199527</v>
      </c>
      <c r="BF203" s="86">
        <f t="shared" si="1692"/>
        <v>2.9112939576283918</v>
      </c>
      <c r="BG203" s="86">
        <f t="shared" si="1692"/>
        <v>5.7894332673125977</v>
      </c>
      <c r="BH203" s="86">
        <f t="shared" si="1692"/>
        <v>3.1317755724941261</v>
      </c>
      <c r="BI203" s="86">
        <f t="shared" si="1692"/>
        <v>2.8517759400603997</v>
      </c>
      <c r="BJ203" s="86">
        <f t="shared" si="1692"/>
        <v>-0.1883391952601734</v>
      </c>
      <c r="BK203" s="86">
        <f t="shared" si="1692"/>
        <v>-0.18503325742011933</v>
      </c>
      <c r="BL203" s="86">
        <f t="shared" si="1692"/>
        <v>0.31570235289877657</v>
      </c>
      <c r="BM203" s="86">
        <f t="shared" si="1692"/>
        <v>0.30294328148524818</v>
      </c>
      <c r="BN203" s="86">
        <f t="shared" si="1692"/>
        <v>1.0209553571882388</v>
      </c>
      <c r="BO203" s="86">
        <f t="shared" si="1692"/>
        <v>1.4626799653697171</v>
      </c>
      <c r="BP203" s="86">
        <f t="shared" si="1692"/>
        <v>-0.44497434656894053</v>
      </c>
      <c r="BQ203" s="86">
        <f t="shared" si="1692"/>
        <v>-0.45877665096415687</v>
      </c>
      <c r="BR203" s="86">
        <f t="shared" si="1692"/>
        <v>-0.9226148083424035</v>
      </c>
      <c r="BS203" s="86">
        <f t="shared" si="1692"/>
        <v>-0.92367309796494712</v>
      </c>
      <c r="BT203" s="86">
        <f t="shared" si="1692"/>
        <v>-0.40699288684208679</v>
      </c>
      <c r="BU203" s="86">
        <f t="shared" si="1692"/>
        <v>-0.38620904736932749</v>
      </c>
      <c r="BV203" s="86">
        <f t="shared" si="1692"/>
        <v>2.4260992939951542</v>
      </c>
      <c r="BW203" s="86">
        <f t="shared" si="1692"/>
        <v>1.7760874656258467</v>
      </c>
      <c r="BX203" s="86">
        <f t="shared" si="1692"/>
        <v>0.17484000242433329</v>
      </c>
      <c r="BY203" s="86">
        <f t="shared" si="1692"/>
        <v>0.13924760323627217</v>
      </c>
      <c r="BZ203" s="86">
        <f t="shared" si="1692"/>
        <v>-0.75316595600308223</v>
      </c>
      <c r="CA203" s="86">
        <f t="shared" si="1692"/>
        <v>-0.81740035457600047</v>
      </c>
      <c r="CB203" s="86">
        <f t="shared" si="1692"/>
        <v>-1.1808595001032931</v>
      </c>
      <c r="CC203" s="86">
        <f t="shared" si="1692"/>
        <v>-1.1948261799151099</v>
      </c>
      <c r="CD203" s="86">
        <f t="shared" si="1692"/>
        <v>-2.9026433404380327</v>
      </c>
      <c r="CE203" s="86">
        <f t="shared" si="1692"/>
        <v>-4.4482009174431631</v>
      </c>
      <c r="CF203" s="86">
        <f t="shared" si="1692"/>
        <v>-0.18086756645576518</v>
      </c>
      <c r="CG203" s="86">
        <f t="shared" si="1692"/>
        <v>-0.18296993915407456</v>
      </c>
      <c r="CH203" s="86">
        <f t="shared" si="1692"/>
        <v>1.6766286061871254</v>
      </c>
      <c r="CI203" s="86">
        <f t="shared" si="1692"/>
        <v>1.0470978441422845</v>
      </c>
      <c r="CJ203" s="86">
        <f>+CJ200/CF200-1</f>
        <v>2.0077223137744062</v>
      </c>
      <c r="CL203" s="86">
        <f>+CL200/CH200-1</f>
        <v>-0.26667153868005311</v>
      </c>
      <c r="CM203" s="87"/>
      <c r="CN203" s="87"/>
      <c r="CO203" s="87"/>
      <c r="CP203" s="87"/>
      <c r="CQ203" s="87"/>
      <c r="CR203" s="87"/>
      <c r="CS203" s="87"/>
      <c r="CT203" s="87"/>
      <c r="CU203" s="87"/>
      <c r="CV203" s="87"/>
      <c r="CW203" s="87"/>
      <c r="CX203" s="87"/>
      <c r="CY203" s="87"/>
      <c r="CZ203" s="87"/>
      <c r="DA203" s="87"/>
      <c r="DB203" s="87"/>
      <c r="DE203" s="141"/>
      <c r="DF203" s="86">
        <v>-0.22302492777588312</v>
      </c>
    </row>
    <row r="204" spans="1:110" s="103" customFormat="1" x14ac:dyDescent="0.2">
      <c r="A204" s="147" t="s">
        <v>87</v>
      </c>
      <c r="C204" s="103" t="str">
        <f>IF(C203&gt;C202,"RF",0)</f>
        <v>RF</v>
      </c>
      <c r="D204" s="103">
        <f>IF(D203&gt;D202,"RF",0)</f>
        <v>0</v>
      </c>
      <c r="E204" s="103">
        <f t="shared" ref="E204:U204" si="1693">IF(E203&gt;E202,"RF",0)</f>
        <v>0</v>
      </c>
      <c r="F204" s="103">
        <f t="shared" si="1693"/>
        <v>0</v>
      </c>
      <c r="G204" s="103" t="str">
        <f t="shared" si="1693"/>
        <v>RF</v>
      </c>
      <c r="H204" s="103">
        <f t="shared" si="1693"/>
        <v>0</v>
      </c>
      <c r="I204" s="103" t="str">
        <f t="shared" si="1693"/>
        <v>RF</v>
      </c>
      <c r="J204" s="103">
        <f t="shared" si="1693"/>
        <v>0</v>
      </c>
      <c r="K204" s="103">
        <f t="shared" si="1693"/>
        <v>0</v>
      </c>
      <c r="L204" s="103" t="str">
        <f t="shared" si="1693"/>
        <v>RF</v>
      </c>
      <c r="M204" s="103">
        <f t="shared" si="1693"/>
        <v>0</v>
      </c>
      <c r="N204" s="103" t="str">
        <f t="shared" si="1693"/>
        <v>RF</v>
      </c>
      <c r="O204" s="103">
        <f t="shared" si="1693"/>
        <v>0</v>
      </c>
      <c r="P204" s="103">
        <f t="shared" si="1693"/>
        <v>0</v>
      </c>
      <c r="Q204" s="103" t="str">
        <f t="shared" si="1693"/>
        <v>RF</v>
      </c>
      <c r="R204" s="103">
        <f t="shared" si="1693"/>
        <v>0</v>
      </c>
      <c r="S204" s="103" t="str">
        <f t="shared" si="1693"/>
        <v>RF</v>
      </c>
      <c r="T204" s="103">
        <f t="shared" si="1693"/>
        <v>0</v>
      </c>
      <c r="U204" s="103" t="str">
        <f t="shared" si="1693"/>
        <v>RF</v>
      </c>
      <c r="V204" s="103">
        <f>IF(V203&gt;V202,"RF",0)</f>
        <v>0</v>
      </c>
      <c r="W204" s="103">
        <f t="shared" ref="W204" si="1694">IF(W203&gt;W202,"RF",0)</f>
        <v>0</v>
      </c>
      <c r="X204" s="103">
        <f t="shared" ref="X204:Y204" si="1695">IF(X203&gt;X202,"RF",0)</f>
        <v>0</v>
      </c>
      <c r="Y204" s="103" t="str">
        <f t="shared" si="1695"/>
        <v>RF</v>
      </c>
      <c r="Z204" s="103" t="str">
        <f t="shared" ref="Z204:AA204" si="1696">IF(Z203&gt;Z202,"RF",0)</f>
        <v>RF</v>
      </c>
      <c r="AA204" s="103" t="str">
        <f t="shared" si="1696"/>
        <v>RF</v>
      </c>
      <c r="AB204" s="73">
        <f t="shared" ref="AA204:AD204" si="1697">IF(AB203&gt;AB202,"RF",0)</f>
        <v>0</v>
      </c>
      <c r="AC204" s="73">
        <f t="shared" si="1697"/>
        <v>0</v>
      </c>
      <c r="AD204" s="73">
        <f t="shared" si="1697"/>
        <v>0</v>
      </c>
      <c r="AE204" s="73">
        <f t="shared" ref="AE204" si="1698">IF(AE203&gt;AE202,"RF",0)</f>
        <v>0</v>
      </c>
      <c r="CM204" s="73"/>
      <c r="CN204" s="73"/>
      <c r="CO204" s="73"/>
      <c r="CP204" s="73"/>
      <c r="CQ204" s="73"/>
      <c r="CR204" s="73"/>
      <c r="CS204" s="73"/>
      <c r="CT204" s="73"/>
      <c r="CU204" s="73"/>
      <c r="CV204" s="73"/>
      <c r="CW204" s="73"/>
      <c r="CX204" s="73"/>
      <c r="CY204" s="73"/>
      <c r="CZ204" s="73"/>
      <c r="DA204" s="73"/>
      <c r="DB204" s="73"/>
      <c r="DE204" s="142"/>
      <c r="DF204" s="103">
        <v>0</v>
      </c>
    </row>
    <row r="205" spans="1:110" x14ac:dyDescent="0.2">
      <c r="A205" s="153" t="s">
        <v>494</v>
      </c>
      <c r="AA205" s="2"/>
      <c r="CL205" s="2"/>
      <c r="DF205" s="111"/>
    </row>
    <row r="206" spans="1:110" x14ac:dyDescent="0.2">
      <c r="A206" s="152" t="s">
        <v>495</v>
      </c>
      <c r="AA206" s="2"/>
      <c r="CL206" s="2"/>
      <c r="DF206" s="111"/>
    </row>
    <row r="207" spans="1:110" s="23" customFormat="1" x14ac:dyDescent="0.2">
      <c r="A207" s="23" t="s">
        <v>22</v>
      </c>
      <c r="C207" s="23">
        <f t="shared" ref="C207:AE207" si="1699">C57</f>
        <v>192.42000000000053</v>
      </c>
      <c r="D207" s="23">
        <f t="shared" si="1699"/>
        <v>1042.0799999999992</v>
      </c>
      <c r="E207" s="23">
        <f t="shared" si="1699"/>
        <v>1788.7800000000007</v>
      </c>
      <c r="F207" s="23">
        <f t="shared" si="1699"/>
        <v>3603.2599999999993</v>
      </c>
      <c r="G207" s="23">
        <f t="shared" si="1699"/>
        <v>3734.62</v>
      </c>
      <c r="H207" s="23">
        <f t="shared" si="1699"/>
        <v>4177.2700000000013</v>
      </c>
      <c r="I207" s="23">
        <f t="shared" si="1699"/>
        <v>12349.979999999949</v>
      </c>
      <c r="J207" s="23">
        <f t="shared" si="1699"/>
        <v>4950.9000000000251</v>
      </c>
      <c r="K207" s="23">
        <f t="shared" si="1699"/>
        <v>-2009.2200000000016</v>
      </c>
      <c r="L207" s="23">
        <f t="shared" si="1699"/>
        <v>8982.6899999999823</v>
      </c>
      <c r="M207" s="23">
        <f t="shared" si="1699"/>
        <v>5389.7700000000223</v>
      </c>
      <c r="N207" s="23">
        <f t="shared" si="1699"/>
        <v>-7057.6199999999772</v>
      </c>
      <c r="O207" s="23">
        <f t="shared" si="1699"/>
        <v>3594.8900000000281</v>
      </c>
      <c r="P207" s="23">
        <f t="shared" si="1699"/>
        <v>-3925.5200000000145</v>
      </c>
      <c r="Q207" s="23">
        <f t="shared" si="1699"/>
        <v>-382.78000000000338</v>
      </c>
      <c r="R207" s="23">
        <f t="shared" si="1699"/>
        <v>-4240.7999999999911</v>
      </c>
      <c r="S207" s="23">
        <f t="shared" si="1699"/>
        <v>13434.330000000005</v>
      </c>
      <c r="T207" s="23">
        <f t="shared" si="1699"/>
        <v>10218.329999999982</v>
      </c>
      <c r="U207" s="23">
        <f t="shared" si="1699"/>
        <v>1556.5399999999836</v>
      </c>
      <c r="V207" s="23">
        <f t="shared" si="1699"/>
        <v>7490.2200000000103</v>
      </c>
      <c r="W207" s="23">
        <f t="shared" si="1699"/>
        <v>40153.930000000022</v>
      </c>
      <c r="X207" s="23">
        <f t="shared" si="1699"/>
        <v>8760.4000000000233</v>
      </c>
      <c r="Y207" s="23">
        <f t="shared" si="1699"/>
        <v>-4437.440000000016</v>
      </c>
      <c r="Z207" s="23">
        <f t="shared" si="1699"/>
        <v>3420.509999999997</v>
      </c>
      <c r="AA207" s="23">
        <f t="shared" ref="AA207" si="1700">AA57</f>
        <v>10793.870000000014</v>
      </c>
      <c r="AB207" s="24">
        <f t="shared" si="1699"/>
        <v>17412.764858288763</v>
      </c>
      <c r="AC207" s="24">
        <f t="shared" si="1699"/>
        <v>20535.818334535412</v>
      </c>
      <c r="AD207" s="24">
        <f t="shared" si="1699"/>
        <v>24703.942836475228</v>
      </c>
      <c r="AE207" s="24">
        <f t="shared" si="1699"/>
        <v>30242.612494041394</v>
      </c>
      <c r="AI207" s="23">
        <f t="shared" ref="AI207:BN207" si="1701">AI57</f>
        <v>597.88000000000807</v>
      </c>
      <c r="AJ207" s="23">
        <f t="shared" si="1701"/>
        <v>-363.92999999999836</v>
      </c>
      <c r="AK207" s="23">
        <f t="shared" si="1701"/>
        <v>-763.05999999999813</v>
      </c>
      <c r="AL207" s="23">
        <f t="shared" si="1701"/>
        <v>-6528.5100000000011</v>
      </c>
      <c r="AM207" s="23">
        <f t="shared" si="1701"/>
        <v>1139.0099999999975</v>
      </c>
      <c r="AN207" s="23">
        <f t="shared" si="1701"/>
        <v>916.76999999999532</v>
      </c>
      <c r="AO207" s="23">
        <f t="shared" si="1701"/>
        <v>503.24000000000416</v>
      </c>
      <c r="AP207" s="23">
        <f t="shared" si="1701"/>
        <v>1035.8699999999947</v>
      </c>
      <c r="AQ207" s="23">
        <f t="shared" si="1701"/>
        <v>337.32999999999618</v>
      </c>
      <c r="AR207" s="23">
        <f t="shared" si="1701"/>
        <v>1254.3299999999995</v>
      </c>
      <c r="AS207" s="23">
        <f t="shared" si="1701"/>
        <v>157.11000000000294</v>
      </c>
      <c r="AT207" s="23">
        <f t="shared" si="1701"/>
        <v>-5674.2900000000027</v>
      </c>
      <c r="AU207" s="23">
        <f t="shared" si="1701"/>
        <v>-319.11999999999978</v>
      </c>
      <c r="AV207" s="23">
        <f t="shared" si="1701"/>
        <v>5628.7099999999955</v>
      </c>
      <c r="AW207" s="23">
        <f t="shared" si="1701"/>
        <v>-2793.7799999999997</v>
      </c>
      <c r="AX207" s="23">
        <f t="shared" si="1701"/>
        <v>-2991.0800000000036</v>
      </c>
      <c r="AY207" s="23">
        <f t="shared" si="1701"/>
        <v>-3206.6799999999994</v>
      </c>
      <c r="AZ207" s="23">
        <f t="shared" si="1701"/>
        <v>-59.610000000001833</v>
      </c>
      <c r="BA207" s="23">
        <f t="shared" si="1701"/>
        <v>201.90000000000128</v>
      </c>
      <c r="BB207" s="23">
        <f t="shared" si="1701"/>
        <v>-1176.4099999999939</v>
      </c>
      <c r="BC207" s="23">
        <f t="shared" si="1701"/>
        <v>906.26999999999828</v>
      </c>
      <c r="BD207" s="23">
        <f t="shared" si="1701"/>
        <v>1005.7999999999998</v>
      </c>
      <c r="BE207" s="23">
        <f t="shared" si="1701"/>
        <v>1286.4200000000005</v>
      </c>
      <c r="BF207" s="23">
        <f t="shared" si="1701"/>
        <v>10235.839999999995</v>
      </c>
      <c r="BG207" s="23">
        <f t="shared" si="1701"/>
        <v>1951.0599999999981</v>
      </c>
      <c r="BH207" s="23">
        <f t="shared" si="1701"/>
        <v>3598.7299999999937</v>
      </c>
      <c r="BI207" s="23">
        <f t="shared" si="1701"/>
        <v>2285.9799999999991</v>
      </c>
      <c r="BJ207" s="23">
        <f t="shared" si="1701"/>
        <v>2382.5500000000029</v>
      </c>
      <c r="BK207" s="23">
        <f t="shared" si="1701"/>
        <v>717.07000000000119</v>
      </c>
      <c r="BL207" s="23">
        <f t="shared" si="1701"/>
        <v>3405.4300000000012</v>
      </c>
      <c r="BM207" s="23">
        <f t="shared" si="1701"/>
        <v>-1084.6199999999928</v>
      </c>
      <c r="BN207" s="23">
        <f t="shared" si="1701"/>
        <v>-1481.3400000000051</v>
      </c>
      <c r="BO207" s="23">
        <f t="shared" ref="BO207:CT207" si="1702">BO57</f>
        <v>-4416.5600000000031</v>
      </c>
      <c r="BP207" s="23">
        <f t="shared" si="1702"/>
        <v>1565.4099999999992</v>
      </c>
      <c r="BQ207" s="23">
        <f t="shared" si="1702"/>
        <v>3697.2200000000039</v>
      </c>
      <c r="BR207" s="23">
        <f t="shared" si="1702"/>
        <v>6644.1500000000015</v>
      </c>
      <c r="BS207" s="23">
        <f t="shared" si="1702"/>
        <v>8906.9499999999989</v>
      </c>
      <c r="BT207" s="23">
        <f t="shared" si="1702"/>
        <v>11918.110000000004</v>
      </c>
      <c r="BU207" s="23">
        <f t="shared" si="1702"/>
        <v>9572.67</v>
      </c>
      <c r="BV207" s="23">
        <f t="shared" si="1702"/>
        <v>9756.200000000008</v>
      </c>
      <c r="BW207" s="23">
        <f t="shared" si="1702"/>
        <v>7764.9599999999946</v>
      </c>
      <c r="BX207" s="23">
        <f t="shared" si="1702"/>
        <v>1514.4200000000069</v>
      </c>
      <c r="BY207" s="23">
        <f t="shared" si="1702"/>
        <v>-2223.84</v>
      </c>
      <c r="BZ207" s="23">
        <f t="shared" si="1702"/>
        <v>1704.8600000000008</v>
      </c>
      <c r="CA207" s="23">
        <f t="shared" si="1702"/>
        <v>633.95000000000459</v>
      </c>
      <c r="CB207" s="23">
        <f t="shared" si="1702"/>
        <v>-6196.24</v>
      </c>
      <c r="CC207" s="23">
        <f t="shared" si="1702"/>
        <v>513.37000000001035</v>
      </c>
      <c r="CD207" s="23">
        <f t="shared" si="1702"/>
        <v>611.47999999999388</v>
      </c>
      <c r="CE207" s="23">
        <f t="shared" si="1702"/>
        <v>959.61000000000058</v>
      </c>
      <c r="CF207" s="23">
        <f t="shared" si="1702"/>
        <v>833.450000000008</v>
      </c>
      <c r="CG207" s="23">
        <f t="shared" si="1702"/>
        <v>326.63999999999822</v>
      </c>
      <c r="CH207" s="23">
        <f t="shared" si="1702"/>
        <v>1300.810000000009</v>
      </c>
      <c r="CI207" s="23">
        <f t="shared" si="1702"/>
        <v>2077.6800000000003</v>
      </c>
      <c r="CJ207" s="23">
        <f t="shared" si="1702"/>
        <v>3101.7500000000009</v>
      </c>
      <c r="CK207" s="23">
        <f t="shared" si="1702"/>
        <v>2688.7000000000012</v>
      </c>
      <c r="CL207" s="23">
        <f t="shared" ref="CL207" si="1703">CL57</f>
        <v>2925.7399999999966</v>
      </c>
      <c r="CM207" s="24">
        <f t="shared" si="1702"/>
        <v>3214.9984052471395</v>
      </c>
      <c r="CN207" s="24">
        <f t="shared" si="1702"/>
        <v>4002.0383334082458</v>
      </c>
      <c r="CO207" s="24">
        <f t="shared" si="1702"/>
        <v>4621.8869138821992</v>
      </c>
      <c r="CP207" s="24">
        <f t="shared" si="1702"/>
        <v>5573.8412057511587</v>
      </c>
      <c r="CQ207" s="24">
        <f t="shared" si="1702"/>
        <v>4035.2347688499844</v>
      </c>
      <c r="CR207" s="24">
        <f t="shared" si="1702"/>
        <v>4695.6643869199197</v>
      </c>
      <c r="CS207" s="24">
        <f t="shared" si="1702"/>
        <v>5555.0926116335713</v>
      </c>
      <c r="CT207" s="24">
        <f t="shared" si="1702"/>
        <v>6249.8265671319659</v>
      </c>
      <c r="CU207" s="24">
        <f t="shared" ref="CU207:DB207" si="1704">CU57</f>
        <v>4917.9787209143997</v>
      </c>
      <c r="CV207" s="24">
        <f t="shared" si="1704"/>
        <v>5680.310969121263</v>
      </c>
      <c r="CW207" s="24">
        <f t="shared" si="1704"/>
        <v>6669.7241716881854</v>
      </c>
      <c r="CX207" s="24">
        <f t="shared" si="1704"/>
        <v>7435.9289747513831</v>
      </c>
      <c r="CY207" s="24">
        <f t="shared" si="1704"/>
        <v>6244.5252687205402</v>
      </c>
      <c r="CZ207" s="24">
        <f t="shared" si="1704"/>
        <v>7032.557690826101</v>
      </c>
      <c r="DA207" s="24">
        <f t="shared" si="1704"/>
        <v>8076.0606381447105</v>
      </c>
      <c r="DB207" s="24">
        <f t="shared" si="1704"/>
        <v>8889.4688963500521</v>
      </c>
      <c r="DE207" s="123"/>
      <c r="DF207" s="23">
        <v>3399.1096018517555</v>
      </c>
    </row>
    <row r="208" spans="1:110" s="23" customFormat="1" x14ac:dyDescent="0.2">
      <c r="A208" s="23" t="s">
        <v>88</v>
      </c>
      <c r="C208" s="23">
        <f t="shared" ref="C208:AE208" si="1705">C41</f>
        <v>547.32000000000005</v>
      </c>
      <c r="D208" s="23">
        <f t="shared" si="1705"/>
        <v>569.69000000000005</v>
      </c>
      <c r="E208" s="23">
        <f t="shared" si="1705"/>
        <v>640.54999999999995</v>
      </c>
      <c r="F208" s="23">
        <f t="shared" si="1705"/>
        <v>645.46</v>
      </c>
      <c r="G208" s="23">
        <f t="shared" si="1705"/>
        <v>860.37</v>
      </c>
      <c r="H208" s="23">
        <f t="shared" si="1705"/>
        <v>1010.98</v>
      </c>
      <c r="I208" s="23">
        <f t="shared" si="1705"/>
        <v>4136.95</v>
      </c>
      <c r="J208" s="23">
        <f t="shared" si="1705"/>
        <v>4265.3900000000003</v>
      </c>
      <c r="K208" s="23">
        <f t="shared" si="1705"/>
        <v>4491.7299999999996</v>
      </c>
      <c r="L208" s="23">
        <f t="shared" si="1705"/>
        <v>4414.82</v>
      </c>
      <c r="M208" s="23">
        <f t="shared" si="1705"/>
        <v>4516.6499999999996</v>
      </c>
      <c r="N208" s="23">
        <f t="shared" si="1705"/>
        <v>5575.32</v>
      </c>
      <c r="O208" s="23">
        <f t="shared" si="1705"/>
        <v>5841.22</v>
      </c>
      <c r="P208" s="23">
        <f t="shared" si="1705"/>
        <v>5943.6</v>
      </c>
      <c r="Q208" s="23">
        <f t="shared" si="1705"/>
        <v>5306.35</v>
      </c>
      <c r="R208" s="23">
        <f t="shared" si="1705"/>
        <v>5672.88</v>
      </c>
      <c r="S208" s="23">
        <f t="shared" si="1705"/>
        <v>5741.7</v>
      </c>
      <c r="T208" s="23">
        <f t="shared" si="1705"/>
        <v>7341.83</v>
      </c>
      <c r="U208" s="23">
        <f t="shared" si="1705"/>
        <v>8707.67</v>
      </c>
      <c r="V208" s="23">
        <f t="shared" si="1705"/>
        <v>9233.64</v>
      </c>
      <c r="W208" s="23">
        <f t="shared" si="1705"/>
        <v>9100.8700000000008</v>
      </c>
      <c r="X208" s="23">
        <f t="shared" si="1705"/>
        <v>9335.2000000000007</v>
      </c>
      <c r="Y208" s="23">
        <f t="shared" si="1705"/>
        <v>9882.16</v>
      </c>
      <c r="Z208" s="23">
        <f t="shared" si="1705"/>
        <v>10421.33</v>
      </c>
      <c r="AA208" s="23">
        <f t="shared" ref="AA208" si="1706">AA41</f>
        <v>11954.51</v>
      </c>
      <c r="AB208" s="24">
        <f t="shared" si="1705"/>
        <v>12782.9220767856</v>
      </c>
      <c r="AC208" s="24">
        <f t="shared" si="1705"/>
        <v>13607.832172704522</v>
      </c>
      <c r="AD208" s="24">
        <f t="shared" si="1705"/>
        <v>12746.411799399011</v>
      </c>
      <c r="AE208" s="24">
        <f t="shared" si="1705"/>
        <v>11637.374471672094</v>
      </c>
      <c r="AI208" s="23">
        <f t="shared" ref="AI208:BN208" si="1707">AI41</f>
        <v>1307.98</v>
      </c>
      <c r="AJ208" s="23">
        <f t="shared" si="1707"/>
        <v>1334.94</v>
      </c>
      <c r="AK208" s="23">
        <f t="shared" si="1707"/>
        <v>1462.84</v>
      </c>
      <c r="AL208" s="23">
        <f t="shared" si="1707"/>
        <v>1469.56</v>
      </c>
      <c r="AM208" s="23">
        <f t="shared" si="1707"/>
        <v>1403.27</v>
      </c>
      <c r="AN208" s="23">
        <f t="shared" si="1707"/>
        <v>1443.99</v>
      </c>
      <c r="AO208" s="23">
        <f t="shared" si="1707"/>
        <v>1522.09</v>
      </c>
      <c r="AP208" s="23">
        <f t="shared" si="1707"/>
        <v>1471.87</v>
      </c>
      <c r="AQ208" s="23">
        <f t="shared" si="1707"/>
        <v>1550.28</v>
      </c>
      <c r="AR208" s="23">
        <f t="shared" si="1707"/>
        <v>1429.51</v>
      </c>
      <c r="AS208" s="23">
        <f t="shared" si="1707"/>
        <v>1451.09</v>
      </c>
      <c r="AT208" s="23">
        <f t="shared" si="1707"/>
        <v>1512.72</v>
      </c>
      <c r="AU208" s="23">
        <f t="shared" si="1707"/>
        <v>1337.09</v>
      </c>
      <c r="AV208" s="23">
        <f t="shared" si="1707"/>
        <v>1316.4</v>
      </c>
      <c r="AW208" s="23">
        <f t="shared" si="1707"/>
        <v>1288.6099999999999</v>
      </c>
      <c r="AX208" s="23">
        <f t="shared" si="1707"/>
        <v>1364.25</v>
      </c>
      <c r="AY208" s="23">
        <f t="shared" si="1707"/>
        <v>1237.77</v>
      </c>
      <c r="AZ208" s="23">
        <f t="shared" si="1707"/>
        <v>1466.91</v>
      </c>
      <c r="BA208" s="23">
        <f t="shared" si="1707"/>
        <v>1378.98</v>
      </c>
      <c r="BB208" s="23">
        <f t="shared" si="1707"/>
        <v>1589.22</v>
      </c>
      <c r="BC208" s="23">
        <f t="shared" si="1707"/>
        <v>1501.13</v>
      </c>
      <c r="BD208" s="23">
        <f t="shared" si="1707"/>
        <v>1473.28</v>
      </c>
      <c r="BE208" s="23">
        <f t="shared" si="1707"/>
        <v>1475.09</v>
      </c>
      <c r="BF208" s="23">
        <f t="shared" si="1707"/>
        <v>1461.85</v>
      </c>
      <c r="BG208" s="23">
        <f t="shared" si="1707"/>
        <v>1747.55</v>
      </c>
      <c r="BH208" s="23">
        <f t="shared" si="1707"/>
        <v>1847.54</v>
      </c>
      <c r="BI208" s="23">
        <f t="shared" si="1707"/>
        <v>1866.2</v>
      </c>
      <c r="BJ208" s="23">
        <f t="shared" si="1707"/>
        <v>1880.54</v>
      </c>
      <c r="BK208" s="23">
        <f t="shared" si="1707"/>
        <v>2070.7800000000002</v>
      </c>
      <c r="BL208" s="23">
        <f t="shared" si="1707"/>
        <v>2127.16</v>
      </c>
      <c r="BM208" s="23">
        <f t="shared" si="1707"/>
        <v>2018.67</v>
      </c>
      <c r="BN208" s="23">
        <f t="shared" si="1707"/>
        <v>2288.4899999999998</v>
      </c>
      <c r="BO208" s="23">
        <f t="shared" ref="BO208:CT208" si="1708">BO41</f>
        <v>2174.65</v>
      </c>
      <c r="BP208" s="23">
        <f t="shared" si="1708"/>
        <v>2325.0500000000002</v>
      </c>
      <c r="BQ208" s="23">
        <f t="shared" si="1708"/>
        <v>2341.5300000000002</v>
      </c>
      <c r="BR208" s="23">
        <f t="shared" si="1708"/>
        <v>2392.41</v>
      </c>
      <c r="BS208" s="23">
        <f t="shared" si="1708"/>
        <v>2324.54</v>
      </c>
      <c r="BT208" s="23">
        <f t="shared" si="1708"/>
        <v>2288.85</v>
      </c>
      <c r="BU208" s="23">
        <f t="shared" si="1708"/>
        <v>2244.09</v>
      </c>
      <c r="BV208" s="23">
        <f t="shared" si="1708"/>
        <v>2243.39</v>
      </c>
      <c r="BW208" s="23">
        <f t="shared" si="1708"/>
        <v>2236.79</v>
      </c>
      <c r="BX208" s="23">
        <f t="shared" si="1708"/>
        <v>2347.8200000000002</v>
      </c>
      <c r="BY208" s="23">
        <f t="shared" si="1708"/>
        <v>2368.38</v>
      </c>
      <c r="BZ208" s="23">
        <f t="shared" si="1708"/>
        <v>2382.21</v>
      </c>
      <c r="CA208" s="23">
        <f t="shared" si="1708"/>
        <v>2412.3200000000002</v>
      </c>
      <c r="CB208" s="23">
        <f t="shared" si="1708"/>
        <v>2479.85</v>
      </c>
      <c r="CC208" s="23">
        <f t="shared" si="1708"/>
        <v>2422.04</v>
      </c>
      <c r="CD208" s="23">
        <f t="shared" si="1708"/>
        <v>2567.9499999999998</v>
      </c>
      <c r="CE208" s="23">
        <f t="shared" si="1708"/>
        <v>2535.4299999999998</v>
      </c>
      <c r="CF208" s="23">
        <f t="shared" si="1708"/>
        <v>2596.7399999999998</v>
      </c>
      <c r="CG208" s="23">
        <f t="shared" si="1708"/>
        <v>2569.19</v>
      </c>
      <c r="CH208" s="23">
        <f t="shared" si="1708"/>
        <v>2719.97</v>
      </c>
      <c r="CI208" s="23">
        <f t="shared" si="1708"/>
        <v>2744.3</v>
      </c>
      <c r="CJ208" s="23">
        <f t="shared" si="1708"/>
        <v>2893</v>
      </c>
      <c r="CK208" s="23">
        <f t="shared" si="1708"/>
        <v>3048.81</v>
      </c>
      <c r="CL208" s="23">
        <f t="shared" ref="CL208" si="1709">CL41</f>
        <v>3268.4</v>
      </c>
      <c r="CM208" s="24">
        <f t="shared" si="1708"/>
        <v>3265.7618000000002</v>
      </c>
      <c r="CN208" s="24">
        <f t="shared" si="1708"/>
        <v>3218.4465640000003</v>
      </c>
      <c r="CO208" s="24">
        <f t="shared" si="1708"/>
        <v>3172.0776327200001</v>
      </c>
      <c r="CP208" s="24">
        <f t="shared" si="1708"/>
        <v>3126.6360800656003</v>
      </c>
      <c r="CQ208" s="24">
        <f t="shared" si="1708"/>
        <v>3467.3662782723245</v>
      </c>
      <c r="CR208" s="24">
        <f t="shared" si="1708"/>
        <v>3423.1005370111975</v>
      </c>
      <c r="CS208" s="24">
        <f t="shared" si="1708"/>
        <v>3379.8307749284454</v>
      </c>
      <c r="CT208" s="24">
        <f t="shared" si="1708"/>
        <v>3337.5345824925557</v>
      </c>
      <c r="CU208" s="24">
        <f t="shared" ref="CU208:DB208" si="1710">CU41</f>
        <v>3296.1900543864731</v>
      </c>
      <c r="CV208" s="24">
        <f t="shared" si="1710"/>
        <v>3222.0257781627774</v>
      </c>
      <c r="CW208" s="24">
        <f t="shared" si="1710"/>
        <v>3149.5301981541147</v>
      </c>
      <c r="CX208" s="24">
        <f t="shared" si="1710"/>
        <v>3078.6657686956469</v>
      </c>
      <c r="CY208" s="24">
        <f t="shared" si="1710"/>
        <v>3009.3957888999948</v>
      </c>
      <c r="CZ208" s="24">
        <f t="shared" si="1710"/>
        <v>2941.6843836497451</v>
      </c>
      <c r="DA208" s="24">
        <f t="shared" si="1710"/>
        <v>2875.4964850176252</v>
      </c>
      <c r="DB208" s="24">
        <f t="shared" si="1710"/>
        <v>2810.7978141047288</v>
      </c>
      <c r="DE208" s="123"/>
      <c r="DF208" s="23">
        <v>3306.0677350105912</v>
      </c>
    </row>
    <row r="209" spans="1:110" s="22" customFormat="1" x14ac:dyDescent="0.2">
      <c r="A209" s="22" t="s">
        <v>89</v>
      </c>
      <c r="C209" s="22">
        <f t="shared" ref="C209:W209" si="1711">C207+C208</f>
        <v>739.74000000000058</v>
      </c>
      <c r="D209" s="22">
        <f t="shared" si="1711"/>
        <v>1611.7699999999993</v>
      </c>
      <c r="E209" s="22">
        <f t="shared" si="1711"/>
        <v>2429.3300000000008</v>
      </c>
      <c r="F209" s="22">
        <f t="shared" si="1711"/>
        <v>4248.7199999999993</v>
      </c>
      <c r="G209" s="22">
        <f t="shared" si="1711"/>
        <v>4594.99</v>
      </c>
      <c r="H209" s="22">
        <f t="shared" si="1711"/>
        <v>5188.2500000000018</v>
      </c>
      <c r="I209" s="22">
        <f t="shared" si="1711"/>
        <v>16486.929999999949</v>
      </c>
      <c r="J209" s="22">
        <f t="shared" si="1711"/>
        <v>9216.2900000000263</v>
      </c>
      <c r="K209" s="22">
        <f t="shared" si="1711"/>
        <v>2482.5099999999979</v>
      </c>
      <c r="L209" s="22">
        <f t="shared" si="1711"/>
        <v>13397.509999999982</v>
      </c>
      <c r="M209" s="22">
        <f t="shared" si="1711"/>
        <v>9906.4200000000219</v>
      </c>
      <c r="N209" s="22">
        <f t="shared" si="1711"/>
        <v>-1482.2999999999774</v>
      </c>
      <c r="O209" s="22">
        <f t="shared" si="1711"/>
        <v>9436.1100000000279</v>
      </c>
      <c r="P209" s="22">
        <f t="shared" si="1711"/>
        <v>2018.0799999999858</v>
      </c>
      <c r="Q209" s="22">
        <f t="shared" si="1711"/>
        <v>4923.569999999997</v>
      </c>
      <c r="R209" s="22">
        <f t="shared" si="1711"/>
        <v>1432.080000000009</v>
      </c>
      <c r="S209" s="22">
        <f t="shared" si="1711"/>
        <v>19176.030000000006</v>
      </c>
      <c r="T209" s="22">
        <f t="shared" si="1711"/>
        <v>17560.159999999982</v>
      </c>
      <c r="U209" s="22">
        <f t="shared" si="1711"/>
        <v>10264.209999999985</v>
      </c>
      <c r="V209" s="22">
        <f t="shared" si="1711"/>
        <v>16723.860000000008</v>
      </c>
      <c r="W209" s="22">
        <f t="shared" si="1711"/>
        <v>49254.800000000025</v>
      </c>
      <c r="X209" s="22">
        <f t="shared" ref="X209:Y209" si="1712">X207+X208</f>
        <v>18095.600000000024</v>
      </c>
      <c r="Y209" s="22">
        <f t="shared" si="1712"/>
        <v>5444.7199999999839</v>
      </c>
      <c r="Z209" s="22">
        <f t="shared" ref="Z209:AA209" si="1713">Z207+Z208</f>
        <v>13841.839999999997</v>
      </c>
      <c r="AA209" s="22">
        <f t="shared" si="1713"/>
        <v>22748.380000000012</v>
      </c>
      <c r="AB209" s="21">
        <f t="shared" ref="AA209:AD209" si="1714">AB207+AB208</f>
        <v>30195.686935074365</v>
      </c>
      <c r="AC209" s="21">
        <f t="shared" si="1714"/>
        <v>34143.65050723993</v>
      </c>
      <c r="AD209" s="21">
        <f t="shared" si="1714"/>
        <v>37450.354635874239</v>
      </c>
      <c r="AE209" s="21">
        <f t="shared" ref="AE209" si="1715">AE207+AE208</f>
        <v>41879.986965713484</v>
      </c>
      <c r="AI209" s="22">
        <f t="shared" ref="AI209" si="1716">AI207+AI208</f>
        <v>1905.8600000000081</v>
      </c>
      <c r="AJ209" s="22">
        <f t="shared" ref="AJ209:AL209" si="1717">AJ207+AJ208</f>
        <v>971.0100000000017</v>
      </c>
      <c r="AK209" s="22">
        <f t="shared" si="1717"/>
        <v>699.78000000000179</v>
      </c>
      <c r="AL209" s="22">
        <f t="shared" si="1717"/>
        <v>-5058.9500000000007</v>
      </c>
      <c r="AM209" s="22">
        <f t="shared" ref="AM209" si="1718">AM207+AM208</f>
        <v>2542.2799999999975</v>
      </c>
      <c r="AN209" s="22">
        <f t="shared" ref="AN209:CD209" si="1719">AN207+AN208</f>
        <v>2360.7599999999952</v>
      </c>
      <c r="AO209" s="22">
        <f t="shared" si="1719"/>
        <v>2025.330000000004</v>
      </c>
      <c r="AP209" s="22">
        <f t="shared" si="1719"/>
        <v>2507.7399999999943</v>
      </c>
      <c r="AQ209" s="22">
        <f t="shared" si="1719"/>
        <v>1887.609999999996</v>
      </c>
      <c r="AR209" s="22">
        <f t="shared" si="1719"/>
        <v>2683.8399999999992</v>
      </c>
      <c r="AS209" s="22">
        <f t="shared" si="1719"/>
        <v>1608.2000000000028</v>
      </c>
      <c r="AT209" s="22">
        <f t="shared" si="1719"/>
        <v>-4161.5700000000024</v>
      </c>
      <c r="AU209" s="22">
        <f t="shared" si="1719"/>
        <v>1017.9700000000001</v>
      </c>
      <c r="AV209" s="22">
        <f t="shared" si="1719"/>
        <v>6945.1099999999951</v>
      </c>
      <c r="AW209" s="22">
        <f t="shared" si="1719"/>
        <v>-1505.1699999999998</v>
      </c>
      <c r="AX209" s="22">
        <f t="shared" si="1719"/>
        <v>-1626.8300000000036</v>
      </c>
      <c r="AY209" s="22">
        <f t="shared" si="1719"/>
        <v>-1968.9099999999994</v>
      </c>
      <c r="AZ209" s="22">
        <f t="shared" si="1719"/>
        <v>1407.2999999999984</v>
      </c>
      <c r="BA209" s="22">
        <f t="shared" si="1719"/>
        <v>1580.8800000000012</v>
      </c>
      <c r="BB209" s="22">
        <f t="shared" si="1719"/>
        <v>412.81000000000608</v>
      </c>
      <c r="BC209" s="22">
        <f t="shared" si="1719"/>
        <v>2407.3999999999983</v>
      </c>
      <c r="BD209" s="22">
        <f t="shared" si="1719"/>
        <v>2479.08</v>
      </c>
      <c r="BE209" s="22">
        <f t="shared" si="1719"/>
        <v>2761.51</v>
      </c>
      <c r="BF209" s="22">
        <f t="shared" si="1719"/>
        <v>11697.689999999995</v>
      </c>
      <c r="BG209" s="22">
        <f t="shared" si="1719"/>
        <v>3698.6099999999979</v>
      </c>
      <c r="BH209" s="22">
        <f t="shared" si="1719"/>
        <v>5446.2699999999932</v>
      </c>
      <c r="BI209" s="22">
        <f t="shared" si="1719"/>
        <v>4152.1799999999994</v>
      </c>
      <c r="BJ209" s="22">
        <f t="shared" si="1719"/>
        <v>4263.0900000000029</v>
      </c>
      <c r="BK209" s="22">
        <f t="shared" si="1719"/>
        <v>2787.8500000000013</v>
      </c>
      <c r="BL209" s="22">
        <f t="shared" si="1719"/>
        <v>5532.5900000000011</v>
      </c>
      <c r="BM209" s="22">
        <f t="shared" si="1719"/>
        <v>934.05000000000723</v>
      </c>
      <c r="BN209" s="22">
        <f t="shared" si="1719"/>
        <v>807.14999999999463</v>
      </c>
      <c r="BO209" s="22">
        <f t="shared" si="1719"/>
        <v>-2241.910000000003</v>
      </c>
      <c r="BP209" s="22">
        <f t="shared" si="1719"/>
        <v>3890.4599999999991</v>
      </c>
      <c r="BQ209" s="22">
        <f t="shared" si="1719"/>
        <v>6038.7500000000036</v>
      </c>
      <c r="BR209" s="22">
        <f t="shared" si="1719"/>
        <v>9036.5600000000013</v>
      </c>
      <c r="BS209" s="22">
        <f t="shared" si="1719"/>
        <v>11231.489999999998</v>
      </c>
      <c r="BT209" s="22">
        <f t="shared" si="1719"/>
        <v>14206.960000000005</v>
      </c>
      <c r="BU209" s="22">
        <f t="shared" si="1719"/>
        <v>11816.76</v>
      </c>
      <c r="BV209" s="22">
        <f t="shared" si="1719"/>
        <v>11999.590000000007</v>
      </c>
      <c r="BW209" s="22">
        <f t="shared" si="1719"/>
        <v>10001.749999999995</v>
      </c>
      <c r="BX209" s="22">
        <f t="shared" si="1719"/>
        <v>3862.2400000000071</v>
      </c>
      <c r="BY209" s="22">
        <f t="shared" si="1719"/>
        <v>144.53999999999996</v>
      </c>
      <c r="BZ209" s="22">
        <f t="shared" si="1719"/>
        <v>4087.0700000000006</v>
      </c>
      <c r="CA209" s="22">
        <f t="shared" si="1719"/>
        <v>3046.270000000005</v>
      </c>
      <c r="CB209" s="22">
        <f t="shared" si="1719"/>
        <v>-3716.39</v>
      </c>
      <c r="CC209" s="22">
        <f t="shared" si="1719"/>
        <v>2935.4100000000103</v>
      </c>
      <c r="CD209" s="22">
        <f t="shared" si="1719"/>
        <v>3179.4299999999939</v>
      </c>
      <c r="CE209" s="22">
        <f t="shared" ref="CE209:CF209" si="1720">CE207+CE208</f>
        <v>3495.0400000000004</v>
      </c>
      <c r="CF209" s="22">
        <f t="shared" si="1720"/>
        <v>3430.1900000000078</v>
      </c>
      <c r="CG209" s="22">
        <f t="shared" ref="CG209:CH209" si="1721">CG207+CG208</f>
        <v>2895.8299999999981</v>
      </c>
      <c r="CH209" s="22">
        <f t="shared" si="1721"/>
        <v>4020.7800000000088</v>
      </c>
      <c r="CI209" s="22">
        <f t="shared" ref="CI209:CJ209" si="1722">CI207+CI208</f>
        <v>4821.9800000000005</v>
      </c>
      <c r="CJ209" s="22">
        <f t="shared" si="1722"/>
        <v>5994.7500000000009</v>
      </c>
      <c r="CK209" s="22">
        <f t="shared" ref="CK209:DB209" si="1723">CK207+CK208</f>
        <v>5737.5100000000011</v>
      </c>
      <c r="CL209" s="22">
        <f t="shared" si="1723"/>
        <v>6194.1399999999967</v>
      </c>
      <c r="CM209" s="21">
        <f t="shared" si="1723"/>
        <v>6480.7602052471393</v>
      </c>
      <c r="CN209" s="21">
        <f t="shared" si="1723"/>
        <v>7220.4848974082461</v>
      </c>
      <c r="CO209" s="21">
        <f t="shared" si="1723"/>
        <v>7793.9645466021993</v>
      </c>
      <c r="CP209" s="21">
        <f t="shared" si="1723"/>
        <v>8700.4772858167598</v>
      </c>
      <c r="CQ209" s="21">
        <f t="shared" si="1723"/>
        <v>7502.601047122309</v>
      </c>
      <c r="CR209" s="21">
        <f t="shared" si="1723"/>
        <v>8118.7649239311177</v>
      </c>
      <c r="CS209" s="21">
        <f t="shared" si="1723"/>
        <v>8934.9233865620172</v>
      </c>
      <c r="CT209" s="21">
        <f t="shared" si="1723"/>
        <v>9587.3611496245212</v>
      </c>
      <c r="CU209" s="21">
        <f t="shared" si="1723"/>
        <v>8214.1687753008737</v>
      </c>
      <c r="CV209" s="21">
        <f t="shared" si="1723"/>
        <v>8902.33674728404</v>
      </c>
      <c r="CW209" s="21">
        <f t="shared" si="1723"/>
        <v>9819.2543698422996</v>
      </c>
      <c r="CX209" s="21">
        <f t="shared" si="1723"/>
        <v>10514.594743447029</v>
      </c>
      <c r="CY209" s="21">
        <f t="shared" si="1723"/>
        <v>9253.9210576205351</v>
      </c>
      <c r="CZ209" s="21">
        <f t="shared" si="1723"/>
        <v>9974.2420744758456</v>
      </c>
      <c r="DA209" s="21">
        <f t="shared" si="1723"/>
        <v>10951.557123162336</v>
      </c>
      <c r="DB209" s="21">
        <f t="shared" si="1723"/>
        <v>11700.26671045478</v>
      </c>
      <c r="DE209" s="126"/>
      <c r="DF209" s="22">
        <v>6705.1773368623471</v>
      </c>
    </row>
    <row r="210" spans="1:110" s="23" customFormat="1" x14ac:dyDescent="0.2">
      <c r="A210" s="23" t="s">
        <v>65</v>
      </c>
      <c r="C210" s="23">
        <f t="shared" ref="C210:AA210" si="1724">B162-C162+B177+B178-C177-C178</f>
        <v>989.29000000000019</v>
      </c>
      <c r="D210" s="23">
        <f t="shared" si="1724"/>
        <v>298.8100000000004</v>
      </c>
      <c r="E210" s="23">
        <f>D162-E162+D177+D178-E177-E178</f>
        <v>496.62999999999977</v>
      </c>
      <c r="F210" s="23">
        <f t="shared" si="1724"/>
        <v>-1851.2500000000002</v>
      </c>
      <c r="G210" s="23">
        <f t="shared" si="1724"/>
        <v>-421.9499999999997</v>
      </c>
      <c r="H210" s="23">
        <f t="shared" si="1724"/>
        <v>-2584.8500000000004</v>
      </c>
      <c r="I210" s="23">
        <f t="shared" si="1724"/>
        <v>-47952.150000000009</v>
      </c>
      <c r="J210" s="23">
        <f>I162-J162+I177+I178-J177-J178</f>
        <v>8358.84</v>
      </c>
      <c r="K210" s="23">
        <f>J162-K162+J177+J178-K177-K178</f>
        <v>11170.809999999994</v>
      </c>
      <c r="L210" s="23">
        <f t="shared" si="1724"/>
        <v>-13773.629999999994</v>
      </c>
      <c r="M210" s="23">
        <f t="shared" si="1724"/>
        <v>-1274.0599999999952</v>
      </c>
      <c r="N210" s="23">
        <f t="shared" si="1724"/>
        <v>1703.8199999999915</v>
      </c>
      <c r="O210" s="23">
        <f t="shared" si="1724"/>
        <v>-5206.9100000000044</v>
      </c>
      <c r="P210" s="23">
        <f t="shared" si="1724"/>
        <v>6527.2700000000114</v>
      </c>
      <c r="Q210" s="23">
        <f t="shared" si="1724"/>
        <v>4431.3499999999913</v>
      </c>
      <c r="R210" s="23">
        <f t="shared" si="1724"/>
        <v>4861.3700000000044</v>
      </c>
      <c r="S210" s="23">
        <f t="shared" si="1724"/>
        <v>-22498.160000000003</v>
      </c>
      <c r="T210" s="23">
        <f t="shared" si="1724"/>
        <v>-8328.399999999996</v>
      </c>
      <c r="U210" s="23">
        <f t="shared" si="1724"/>
        <v>-3810.840000000012</v>
      </c>
      <c r="V210" s="23">
        <f t="shared" si="1724"/>
        <v>7771.5800000000099</v>
      </c>
      <c r="W210" s="23">
        <f t="shared" si="1724"/>
        <v>-23748.559999999983</v>
      </c>
      <c r="X210" s="23">
        <f t="shared" si="1724"/>
        <v>14443.60999999997</v>
      </c>
      <c r="Y210" s="23">
        <f t="shared" si="1724"/>
        <v>11978.090000000009</v>
      </c>
      <c r="Z210" s="23">
        <f t="shared" si="1724"/>
        <v>7738.8100000000068</v>
      </c>
      <c r="AA210" s="23">
        <f t="shared" si="1724"/>
        <v>-5783.5000000000146</v>
      </c>
      <c r="AB210" s="24">
        <f t="shared" ref="AB210" si="1725">AA162-AB162+AA177+AA178-AB177-AB178</f>
        <v>-18187.218443654696</v>
      </c>
      <c r="AC210" s="24">
        <f t="shared" ref="AC210" si="1726">AB162-AC162+AB177+AB178-AC177-AC178</f>
        <v>-3540.230762761581</v>
      </c>
      <c r="AD210" s="24">
        <f t="shared" ref="AD210" si="1727">AC162-AD162+AC177+AC178-AD177-AD178</f>
        <v>-6672.6628568098968</v>
      </c>
      <c r="AE210" s="24">
        <f t="shared" ref="AE210" si="1728">AD162-AE162+AD177+AD178-AE177-AE178</f>
        <v>-7004.7225211601617</v>
      </c>
      <c r="AI210" s="23">
        <f>AH162-AI162+AH177+AH178-AI177-AJ178</f>
        <v>0</v>
      </c>
      <c r="AJ210" s="23">
        <f t="shared" ref="AJ210:AL210" si="1729">AI162-AJ162+AI177+AI178-AJ177-AK178</f>
        <v>-50394.790000000008</v>
      </c>
      <c r="AK210" s="23">
        <f t="shared" si="1729"/>
        <v>2487.7412748614079</v>
      </c>
      <c r="AL210" s="23">
        <f t="shared" si="1729"/>
        <v>-480.96127486140131</v>
      </c>
      <c r="AM210" s="23">
        <f t="shared" ref="AM210" si="1730">AL162-AM162+AL177+AL178-AM177-AM178</f>
        <v>2028.6304818376229</v>
      </c>
      <c r="AN210" s="23">
        <f t="shared" ref="AN210" si="1731">AM162-AN162+AM177+AM178-AN177-AN178</f>
        <v>-9400.8704818376282</v>
      </c>
      <c r="AO210" s="23">
        <f t="shared" ref="AO210" si="1732">AN162-AO162+AN177+AN178-AO177-AO178</f>
        <v>-110.11848361667944</v>
      </c>
      <c r="AP210" s="23">
        <f t="shared" ref="AP210" si="1733">AO162-AP162+AO177+AO178-AP177-AP178</f>
        <v>2249.0384836166909</v>
      </c>
      <c r="AQ210" s="23">
        <f t="shared" ref="AQ210" si="1734">AP162-AQ162+AP177+AP178-AQ177-AQ178</f>
        <v>6065.5779383403133</v>
      </c>
      <c r="AR210" s="23">
        <f t="shared" ref="AR210" si="1735">AQ162-AR162+AQ177+AQ178-AR177-AR178</f>
        <v>-4127.557938340321</v>
      </c>
      <c r="AS210" s="23">
        <f t="shared" ref="AS210" si="1736">AR162-AS162+AR177+AR178-AS177-AS178</f>
        <v>2473.6812799915861</v>
      </c>
      <c r="AT210" s="23">
        <f t="shared" ref="AT210" si="1737">AS162-AT162+AS177+AS178-AT177-AT178</f>
        <v>1945.5287200084158</v>
      </c>
      <c r="AU210" s="23">
        <f t="shared" ref="AU210" si="1738">AT162-AU162+AT177+AT178-AU177-AU178</f>
        <v>7686.362877083171</v>
      </c>
      <c r="AV210" s="23">
        <f t="shared" ref="AV210" si="1739">AU162-AV162+AU177+AU178-AV177-AV178</f>
        <v>-18880.262877083176</v>
      </c>
      <c r="AW210" s="23">
        <f t="shared" ref="AW210" si="1740">AV162-AW162+AV177+AV178-AW177-AW178</f>
        <v>3941.6953005976757</v>
      </c>
      <c r="AX210" s="23">
        <f t="shared" ref="AX210" si="1741">AW162-AX162+AW177+AW178-AX177-AX178</f>
        <v>11630.674699402329</v>
      </c>
      <c r="AY210" s="23">
        <f t="shared" ref="AY210" si="1742">AX162-AY162+AX177+AX178-AY177-AY178</f>
        <v>2698.1354911075468</v>
      </c>
      <c r="AZ210" s="23">
        <f t="shared" ref="AZ210" si="1743">AY162-AZ162+AY177+AY178-AZ177-AZ178</f>
        <v>3733.4845088924558</v>
      </c>
      <c r="BA210" s="23">
        <f t="shared" ref="BA210" si="1744">AZ162-BA162+AZ177+AZ178-BA177-BA178</f>
        <v>-664.85191611250048</v>
      </c>
      <c r="BB210" s="23">
        <f t="shared" ref="BB210" si="1745">BA162-BB162+BA177+BA178-BB177-BB178</f>
        <v>-1015.4480838875006</v>
      </c>
      <c r="BC210" s="23">
        <f t="shared" ref="BC210" si="1746">BB162-BC162+BB177+BB178-BC177-BC178</f>
        <v>5821.2836370259174</v>
      </c>
      <c r="BD210" s="23">
        <f t="shared" ref="BD210" si="1747">BC162-BD162+BC177+BC178-BD177-BD178</f>
        <v>-7664.2536370259222</v>
      </c>
      <c r="BE210" s="23">
        <f t="shared" ref="BE210" si="1748">BD162-BE162+BD177+BD178-BE177-BE178</f>
        <v>-1172.2518477988342</v>
      </c>
      <c r="BF210" s="23">
        <f t="shared" ref="BF210" si="1749">BE162-BF162+BE177+BE178-BF177-BF178</f>
        <v>-19483.708152201172</v>
      </c>
      <c r="BG210" s="23">
        <f t="shared" ref="BG210" si="1750">BF162-BG162+BF177+BF178-BG177-BG178</f>
        <v>-2162.7735055567173</v>
      </c>
      <c r="BH210" s="23">
        <f t="shared" ref="BH210" si="1751">BG162-BH162+BG177+BG178-BH177-BH178</f>
        <v>-10566.926494443278</v>
      </c>
      <c r="BI210" s="23">
        <f t="shared" ref="BI210" si="1752">BH162-BI162+BH177+BH178-BI177-BI178</f>
        <v>2525.4031622146722</v>
      </c>
      <c r="BJ210" s="23">
        <f t="shared" ref="BJ210" si="1753">BI162-BJ162+BI177+BI178-BJ177-BJ178</f>
        <v>1877.69683778533</v>
      </c>
      <c r="BK210" s="23">
        <f t="shared" ref="BK210" si="1754">BJ162-BK162+BJ177+BJ178-BK177-BK178</f>
        <v>6636.0189743460505</v>
      </c>
      <c r="BL210" s="23">
        <f t="shared" ref="BL210" si="1755">BK162-BL162+BK177+BK178-BL177-BL178</f>
        <v>-19369.988974346055</v>
      </c>
      <c r="BM210" s="23">
        <f t="shared" ref="BM210" si="1756">BL162-BM162+BL177+BL178-BM177-BM178</f>
        <v>-1222.3391699716449</v>
      </c>
      <c r="BN210" s="23">
        <f t="shared" ref="BN210" si="1757">BM162-BN162+BM177+BM178-BN177-BN178</f>
        <v>1595.6891699716371</v>
      </c>
      <c r="BO210" s="23">
        <f t="shared" ref="BO210" si="1758">BN162-BO162+BN177+BN178-BO177-BO178</f>
        <v>11396.218512167805</v>
      </c>
      <c r="BP210" s="23">
        <f t="shared" ref="BP210" si="1759">BO162-BP162+BO177+BO178-BP177-BP178</f>
        <v>821.03148783221604</v>
      </c>
      <c r="BQ210" s="23">
        <f t="shared" ref="BQ210" si="1760">BP162-BQ162+BP177+BP178-BQ177-BQ178</f>
        <v>-2588.5972425740765</v>
      </c>
      <c r="BR210" s="23">
        <f t="shared" ref="BR210" si="1761">BQ162-BR162+BQ177+BQ178-BR177-BR178</f>
        <v>-2758.2427574259327</v>
      </c>
      <c r="BS210" s="23">
        <f t="shared" ref="BS210" si="1762">BR162-BS162+BR177+BR178-BS177-BS178</f>
        <v>-2941.5692958455475</v>
      </c>
      <c r="BT210" s="23">
        <f t="shared" ref="BT210" si="1763">BS162-BT162+BS177+BS178-BT177-BT178</f>
        <v>-8974.5307041544565</v>
      </c>
      <c r="BU210" s="23">
        <f t="shared" ref="BU210" si="1764">BT162-BU162+BT177+BT178-BU177-BU178</f>
        <v>-358.6458817764651</v>
      </c>
      <c r="BV210" s="23">
        <f t="shared" ref="BV210" si="1765">BU162-BV162+BU177+BU178-BV177-BV178</f>
        <v>-10360.564118223525</v>
      </c>
      <c r="BW210" s="23">
        <f t="shared" ref="BW210" si="1766">BV162-BW162+BV177+BV178-BW177-BW178</f>
        <v>5191.841189677376</v>
      </c>
      <c r="BX210" s="23">
        <f t="shared" ref="BX210" si="1767">BW162-BX162+BW177+BW178-BX177-BX178</f>
        <v>-2575.8911896773807</v>
      </c>
      <c r="BY210" s="23">
        <f t="shared" ref="BY210" si="1768">BX162-BY162+BX177+BX178-BY177-BY178</f>
        <v>3118.5421956954815</v>
      </c>
      <c r="BZ210" s="23">
        <f t="shared" ref="BZ210" si="1769">BY162-BZ162+BY177+BY178-BZ177-BZ178</f>
        <v>7824.2978043045005</v>
      </c>
      <c r="CA210" s="23">
        <f t="shared" ref="CA210" si="1770">BZ162-CA162+BZ177+BZ178-CA177-CA178</f>
        <v>3455.9453649259522</v>
      </c>
      <c r="CB210" s="23">
        <f t="shared" ref="CB210" si="1771">CA162-CB162+CA177+CA178-CB177-CB178</f>
        <v>9272.3046350740624</v>
      </c>
      <c r="CC210" s="23">
        <f t="shared" ref="CC210" si="1772">CB162-CC162+CB177+CB178-CC177-CC178</f>
        <v>371.83492428333557</v>
      </c>
      <c r="CD210" s="23">
        <f t="shared" ref="CD210" si="1773">CC162-CD162+CC177+CC178-CD177-CD178</f>
        <v>514.63507571664923</v>
      </c>
      <c r="CE210" s="23">
        <f t="shared" ref="CE210" si="1774">CD162-CE162+CD177+CD178-CE177-CE178</f>
        <v>3697.977619979516</v>
      </c>
      <c r="CF210" s="23">
        <f t="shared" ref="CF210" si="1775">CE162-CF162+CE177+CE178-CF177-CF178</f>
        <v>-3511.7176199795085</v>
      </c>
      <c r="CG210" s="23">
        <f t="shared" ref="CG210" si="1776">CF162-CG162+CF177+CF178-CG177-CG178</f>
        <v>272.14725138676295</v>
      </c>
      <c r="CH210" s="23">
        <f t="shared" ref="CH210:CL210" si="1777">CG162-CH162+CG177+CG178-CH177-CH178</f>
        <v>14866.29274861325</v>
      </c>
      <c r="CI210" s="23">
        <f t="shared" si="1777"/>
        <v>3519.2544251167419</v>
      </c>
      <c r="CJ210" s="23">
        <f t="shared" si="1777"/>
        <v>-14747.414425116749</v>
      </c>
      <c r="CK210" s="23">
        <f t="shared" ref="CK210" si="1778">CJ162-CK162+CJ177+CJ178-CK177-CK178</f>
        <v>2185.4201694278454</v>
      </c>
      <c r="CL210" s="23">
        <f t="shared" si="1777"/>
        <v>-6813.4201694278563</v>
      </c>
      <c r="CM210" s="24">
        <f t="shared" ref="CM210" si="1779">CL162-CM162+CL177+CL178-CM177-CM178</f>
        <v>9304.5941740153794</v>
      </c>
      <c r="CN210" s="24">
        <f t="shared" ref="CN210" si="1780">CM162-CN162+CM177+CM178-CN177-CN178</f>
        <v>-4178.2453122519946</v>
      </c>
      <c r="CO210" s="24">
        <f t="shared" ref="CO210" si="1781">CN162-CO162+CN177+CN178-CO177-CO178</f>
        <v>-6462.9903879198391</v>
      </c>
      <c r="CP210" s="24">
        <f t="shared" ref="CP210" si="1782">CO162-CP162+CO177+CO178-CP177-CP178</f>
        <v>-6777.916917498238</v>
      </c>
      <c r="CQ210" s="24">
        <f t="shared" ref="CQ210" si="1783">CP162-CQ162+CP177+CP178-CQ177-CQ178</f>
        <v>14275.9735008071</v>
      </c>
      <c r="CR210" s="24">
        <f t="shared" ref="CR210" si="1784">CQ162-CR162+CQ177+CQ178-CR177-CR178</f>
        <v>-5607.174167461897</v>
      </c>
      <c r="CS210" s="24">
        <f t="shared" ref="CS210" si="1785">CR162-CS162+CR177+CR178-CS177-CS178</f>
        <v>-7157.1517009353265</v>
      </c>
      <c r="CT210" s="24">
        <f t="shared" ref="CT210" si="1786">CS162-CT162+CS177+CS178-CT177-CT178</f>
        <v>-5051.8783951714577</v>
      </c>
      <c r="CU210" s="24">
        <f t="shared" ref="CU210" si="1787">CT162-CU162+CT177+CT178-CU177-CU178</f>
        <v>12784.396177139861</v>
      </c>
      <c r="CV210" s="24">
        <f t="shared" ref="CV210" si="1788">CU162-CV162+CU177+CU178-CV177-CV178</f>
        <v>-6076.4864520312112</v>
      </c>
      <c r="CW210" s="24">
        <f t="shared" ref="CW210" si="1789">CV162-CW162+CV177+CV178-CW177-CW178</f>
        <v>-7824.1421424562141</v>
      </c>
      <c r="CX210" s="24">
        <f t="shared" ref="CX210" si="1790">CW162-CX162+CW177+CW178-CX177-CX178</f>
        <v>-5556.4304394623323</v>
      </c>
      <c r="CY210" s="24">
        <f t="shared" ref="CY210" si="1791">CX162-CY162+CX177+CX178-CY177-CY178</f>
        <v>13905.323338588714</v>
      </c>
      <c r="CZ210" s="24">
        <f t="shared" ref="CZ210" si="1792">CY162-CZ162+CY177+CY178-CZ177-CZ178</f>
        <v>-6547.6873811330879</v>
      </c>
      <c r="DA210" s="24">
        <f t="shared" ref="DA210" si="1793">CZ162-DA162+CZ177+CZ178-DA177-DA178</f>
        <v>-8412.0648793801083</v>
      </c>
      <c r="DB210" s="24">
        <f t="shared" ref="DB210" si="1794">DA162-DB162+DA177+DA178-DB177-DB178</f>
        <v>-5950.2935992356797</v>
      </c>
      <c r="DE210" s="123"/>
      <c r="DF210" s="23">
        <v>-7591.4455670611642</v>
      </c>
    </row>
    <row r="211" spans="1:110" s="23" customFormat="1" x14ac:dyDescent="0.2">
      <c r="A211" s="23" t="s">
        <v>73</v>
      </c>
      <c r="C211" s="23">
        <f t="shared" ref="C211:AA211" si="1795">B170-C170</f>
        <v>-96.629999999999654</v>
      </c>
      <c r="D211" s="23">
        <f t="shared" si="1795"/>
        <v>-612.98000000000047</v>
      </c>
      <c r="E211" s="23">
        <f>D170-E170</f>
        <v>-90.579999999999472</v>
      </c>
      <c r="F211" s="23">
        <f t="shared" si="1795"/>
        <v>-1687.9099999999999</v>
      </c>
      <c r="G211" s="23">
        <f t="shared" si="1795"/>
        <v>207.73999999999978</v>
      </c>
      <c r="H211" s="23">
        <f t="shared" si="1795"/>
        <v>-3156.2700000000004</v>
      </c>
      <c r="I211" s="23">
        <f t="shared" si="1795"/>
        <v>-25294.989999999998</v>
      </c>
      <c r="J211" s="23">
        <f>I170-J170</f>
        <v>2584.7400000000016</v>
      </c>
      <c r="K211" s="23">
        <f>J170-K170</f>
        <v>247.35999999999694</v>
      </c>
      <c r="L211" s="23">
        <f t="shared" si="1795"/>
        <v>-4664.3299999999945</v>
      </c>
      <c r="M211" s="23">
        <f t="shared" si="1795"/>
        <v>-3778.2300000000032</v>
      </c>
      <c r="N211" s="23">
        <f t="shared" si="1795"/>
        <v>1316.5299999999988</v>
      </c>
      <c r="O211" s="23">
        <f t="shared" si="1795"/>
        <v>-5762.6699999999983</v>
      </c>
      <c r="P211" s="23">
        <f t="shared" si="1795"/>
        <v>2677.3600000000006</v>
      </c>
      <c r="Q211" s="23">
        <f t="shared" si="1795"/>
        <v>-1392.1400000000067</v>
      </c>
      <c r="R211" s="23">
        <f t="shared" si="1795"/>
        <v>722.4800000000032</v>
      </c>
      <c r="S211" s="23">
        <f t="shared" si="1795"/>
        <v>-4366.2200000000012</v>
      </c>
      <c r="T211" s="23">
        <f t="shared" si="1795"/>
        <v>-3782.8700000000026</v>
      </c>
      <c r="U211" s="23">
        <f t="shared" si="1795"/>
        <v>349.77000000000407</v>
      </c>
      <c r="V211" s="23">
        <f t="shared" si="1795"/>
        <v>-29403.390000000014</v>
      </c>
      <c r="W211" s="23">
        <f t="shared" si="1795"/>
        <v>-9122.3199999999924</v>
      </c>
      <c r="X211" s="23">
        <f t="shared" si="1795"/>
        <v>-3520.5099999999948</v>
      </c>
      <c r="Y211" s="23">
        <f t="shared" si="1795"/>
        <v>4288.6900000000169</v>
      </c>
      <c r="Z211" s="23">
        <f t="shared" si="1795"/>
        <v>1776.4399999999878</v>
      </c>
      <c r="AA211" s="23">
        <f t="shared" si="1795"/>
        <v>-12536.970000000001</v>
      </c>
      <c r="AB211" s="24">
        <f t="shared" ref="AB211" si="1796">AA170-AB170</f>
        <v>-13575.088663138769</v>
      </c>
      <c r="AC211" s="24">
        <f t="shared" ref="AC211" si="1797">AB170-AC170</f>
        <v>-4398.3584884068405</v>
      </c>
      <c r="AD211" s="24">
        <f t="shared" ref="AD211" si="1798">AC170-AD170</f>
        <v>-8290.0706996944646</v>
      </c>
      <c r="AE211" s="24">
        <f t="shared" ref="AE211" si="1799">AD170-AE170</f>
        <v>-8702.6193557637598</v>
      </c>
      <c r="AI211" s="23">
        <f t="shared" ref="AI211" si="1800">AH170-AI170</f>
        <v>0</v>
      </c>
      <c r="AJ211" s="23">
        <f t="shared" ref="AJ211" si="1801">AI170-AJ170</f>
        <v>-48495.94</v>
      </c>
      <c r="AK211" s="23">
        <f t="shared" ref="AK211" si="1802">AJ170-AK170</f>
        <v>0</v>
      </c>
      <c r="AL211" s="23">
        <f t="shared" ref="AL211" si="1803">AK170-AL170</f>
        <v>281.12000000000262</v>
      </c>
      <c r="AM211" s="23">
        <f t="shared" ref="AM211" si="1804">AL170-AM170</f>
        <v>1030.1359396048574</v>
      </c>
      <c r="AN211" s="23">
        <f t="shared" ref="AN211" si="1805">AM170-AN170</f>
        <v>-10903.585939604855</v>
      </c>
      <c r="AO211" s="23">
        <f t="shared" ref="AO211" si="1806">AN170-AO170</f>
        <v>-65.802425890753511</v>
      </c>
      <c r="AP211" s="23">
        <f t="shared" ref="AP211" si="1807">AO170-AP170</f>
        <v>2062.6624258907541</v>
      </c>
      <c r="AQ211" s="23">
        <f t="shared" ref="AQ211" si="1808">AP170-AQ170</f>
        <v>3239.4950904130674</v>
      </c>
      <c r="AR211" s="23">
        <f t="shared" ref="AR211" si="1809">AQ170-AR170</f>
        <v>-14025.505090413069</v>
      </c>
      <c r="AS211" s="23">
        <f t="shared" ref="AS211" si="1810">AR170-AS170</f>
        <v>1259.0146321153443</v>
      </c>
      <c r="AT211" s="23">
        <f t="shared" ref="AT211" si="1811">AS170-AT170</f>
        <v>19992.875367884662</v>
      </c>
      <c r="AU211" s="23">
        <f t="shared" ref="AU211" si="1812">AT170-AU170</f>
        <v>3835.181260018202</v>
      </c>
      <c r="AV211" s="23">
        <f t="shared" ref="AV211" si="1813">AU170-AV170</f>
        <v>-9722.1612600182052</v>
      </c>
      <c r="AW211" s="23">
        <f t="shared" ref="AW211" si="1814">AV170-AW170</f>
        <v>2026.6172220838198</v>
      </c>
      <c r="AX211" s="23">
        <f t="shared" ref="AX211" si="1815">AW170-AX170</f>
        <v>6503.7327779161715</v>
      </c>
      <c r="AY211" s="23">
        <f t="shared" ref="AY211" si="1816">AX170-AY170</f>
        <v>1560.760386845679</v>
      </c>
      <c r="AZ211" s="23">
        <f t="shared" ref="AZ211" si="1817">AY170-AZ170</f>
        <v>1044.1596131543192</v>
      </c>
      <c r="BA211" s="23">
        <f t="shared" ref="BA211" si="1818">AZ170-BA170</f>
        <v>-358.45818437922571</v>
      </c>
      <c r="BB211" s="23">
        <f t="shared" ref="BB211" si="1819">BA170-BB170</f>
        <v>-796.07181562076585</v>
      </c>
      <c r="BC211" s="23">
        <f t="shared" ref="BC211" si="1820">BB170-BC170</f>
        <v>2971.2915206930265</v>
      </c>
      <c r="BD211" s="23">
        <f t="shared" ref="BD211" si="1821">BC170-BD170</f>
        <v>-4412.0915206930222</v>
      </c>
      <c r="BE211" s="23">
        <f t="shared" ref="BE211" si="1822">BD170-BE170</f>
        <v>-551.91080642826273</v>
      </c>
      <c r="BF211" s="23">
        <f t="shared" ref="BF211" si="1823">BE170-BF170</f>
        <v>-5184.1591935717443</v>
      </c>
      <c r="BG211" s="23">
        <f t="shared" ref="BG211" si="1824">BF170-BG170</f>
        <v>-1083.5380315655857</v>
      </c>
      <c r="BH211" s="23">
        <f t="shared" ref="BH211" si="1825">BG170-BH170</f>
        <v>-4635.6119684344158</v>
      </c>
      <c r="BI211" s="23">
        <f t="shared" ref="BI211" si="1826">BH170-BI170</f>
        <v>1135.3726656618674</v>
      </c>
      <c r="BJ211" s="23">
        <f t="shared" ref="BJ211" si="1827">BI170-BJ170</f>
        <v>-5395.7326656618679</v>
      </c>
      <c r="BK211" s="23">
        <f t="shared" ref="BK211" si="1828">BJ170-BK170</f>
        <v>3315.4767312545373</v>
      </c>
      <c r="BL211" s="23">
        <f t="shared" ref="BL211" si="1829">BK170-BL170</f>
        <v>-966.4967312545341</v>
      </c>
      <c r="BM211" s="23">
        <f t="shared" ref="BM211" si="1830">BL170-BM170</f>
        <v>-542.00781803386053</v>
      </c>
      <c r="BN211" s="23">
        <f t="shared" ref="BN211" si="1831">BM170-BN170</f>
        <v>5175.4578180338576</v>
      </c>
      <c r="BO211" s="23">
        <f t="shared" ref="BO211" si="1832">BN170-BO170</f>
        <v>6255.1510238168557</v>
      </c>
      <c r="BP211" s="23">
        <f t="shared" ref="BP211" si="1833">BO170-BP170</f>
        <v>-10893.17102381686</v>
      </c>
      <c r="BQ211" s="23">
        <f t="shared" ref="BQ211" si="1834">BP170-BQ170</f>
        <v>-1693.4439628463879</v>
      </c>
      <c r="BR211" s="23">
        <f t="shared" ref="BR211" si="1835">BQ170-BR170</f>
        <v>-20033.176037153622</v>
      </c>
      <c r="BS211" s="23">
        <f t="shared" ref="BS211" si="1836">BR170-BS170</f>
        <v>-1784.0241682749183</v>
      </c>
      <c r="BT211" s="23">
        <f t="shared" ref="BT211" si="1837">BS170-BT170</f>
        <v>2076.9641682749352</v>
      </c>
      <c r="BU211" s="23">
        <f t="shared" ref="BU211" si="1838">BT170-BU170</f>
        <v>-180.52405206208641</v>
      </c>
      <c r="BV211" s="23">
        <f t="shared" ref="BV211" si="1839">BU170-BV170</f>
        <v>-9234.7359479379229</v>
      </c>
      <c r="BW211" s="23">
        <f t="shared" ref="BW211" si="1840">BV170-BW170</f>
        <v>3125.5084899651702</v>
      </c>
      <c r="BX211" s="23">
        <f t="shared" ref="BX211" si="1841">BW170-BX170</f>
        <v>129.26151003483392</v>
      </c>
      <c r="BY211" s="23">
        <f t="shared" ref="BY211" si="1842">BX170-BY170</f>
        <v>1505.9270222881751</v>
      </c>
      <c r="BZ211" s="23">
        <f t="shared" ref="BZ211" si="1843">BY170-BZ170</f>
        <v>-8281.2070222881739</v>
      </c>
      <c r="CA211" s="23">
        <f t="shared" ref="CA211" si="1844">BZ170-CA170</f>
        <v>2086.1948258444754</v>
      </c>
      <c r="CB211" s="23">
        <f t="shared" ref="CB211" si="1845">CA170-CB170</f>
        <v>4781.0751741555287</v>
      </c>
      <c r="CC211" s="23">
        <f t="shared" ref="CC211" si="1846">CB170-CC170</f>
        <v>221.01686373837583</v>
      </c>
      <c r="CD211" s="23">
        <f t="shared" ref="CD211" si="1847">CC170-CD170</f>
        <v>-2799.5968637383776</v>
      </c>
      <c r="CE211" s="23">
        <f t="shared" ref="CE211" si="1848">CD170-CE170</f>
        <v>2016.9440383074252</v>
      </c>
      <c r="CF211" s="23">
        <f t="shared" ref="CF211" si="1849">CE170-CF170</f>
        <v>1713.6859616925794</v>
      </c>
      <c r="CG211" s="23">
        <f t="shared" ref="CG211" si="1850">CF170-CG170</f>
        <v>154.60524025451741</v>
      </c>
      <c r="CH211" s="23">
        <f t="shared" ref="CH211:CL211" si="1851">CG170-CH170</f>
        <v>-2108.7952402545197</v>
      </c>
      <c r="CI211" s="23">
        <f t="shared" si="1851"/>
        <v>4577.3373725904239</v>
      </c>
      <c r="CJ211" s="23">
        <f t="shared" si="1851"/>
        <v>-5618.357372590428</v>
      </c>
      <c r="CK211" s="23">
        <f t="shared" ref="CK211" si="1852">CJ170-CK170</f>
        <v>2462.9374824810366</v>
      </c>
      <c r="CL211" s="23">
        <f t="shared" si="1851"/>
        <v>-13958.887482481034</v>
      </c>
      <c r="CM211" s="24">
        <f t="shared" ref="CM211" si="1853">CL170-CM170</f>
        <v>9639.8879876684659</v>
      </c>
      <c r="CN211" s="24">
        <f t="shared" ref="CN211" si="1854">CM170-CN170</f>
        <v>-6764.5639676621504</v>
      </c>
      <c r="CO211" s="24">
        <f t="shared" ref="CO211" si="1855">CN170-CO170</f>
        <v>-8029.5750582723704</v>
      </c>
      <c r="CP211" s="24">
        <f t="shared" ref="CP211" si="1856">CO170-CP170</f>
        <v>-8420.8376248727145</v>
      </c>
      <c r="CQ211" s="24">
        <f t="shared" ref="CQ211" si="1857">CP170-CQ170</f>
        <v>17736.371845592745</v>
      </c>
      <c r="CR211" s="24">
        <f t="shared" ref="CR211" si="1858">CQ170-CR170</f>
        <v>-6966.3148388082918</v>
      </c>
      <c r="CS211" s="24">
        <f t="shared" ref="CS211" si="1859">CR170-CS170</f>
        <v>-8891.9963262700767</v>
      </c>
      <c r="CT211" s="24">
        <f t="shared" ref="CT211" si="1860">CS170-CT170</f>
        <v>-6276.4191689212166</v>
      </c>
      <c r="CU211" s="24">
        <f t="shared" ref="CU211" si="1861">CT170-CU170</f>
        <v>15883.246379401593</v>
      </c>
      <c r="CV211" s="24">
        <f t="shared" ref="CV211" si="1862">CU170-CV170</f>
        <v>-7549.3852115822083</v>
      </c>
      <c r="CW211" s="24">
        <f t="shared" ref="CW211" si="1863">CV170-CW170</f>
        <v>-9720.6606893414864</v>
      </c>
      <c r="CX211" s="24">
        <f t="shared" ref="CX211" si="1864">CW170-CX170</f>
        <v>-6903.2711781723629</v>
      </c>
      <c r="CY211" s="24">
        <f t="shared" ref="CY211" si="1865">CX170-CY170</f>
        <v>17275.878618888266</v>
      </c>
      <c r="CZ211" s="24">
        <f t="shared" ref="CZ211" si="1866">CY170-CZ170</f>
        <v>-8134.8020234071155</v>
      </c>
      <c r="DA211" s="24">
        <f t="shared" ref="DA211" si="1867">CZ170-DA170</f>
        <v>-10451.091876956867</v>
      </c>
      <c r="DB211" s="24">
        <f t="shared" ref="DB211" si="1868">DA170-DB170</f>
        <v>-7392.6040742880432</v>
      </c>
      <c r="DE211" s="123"/>
      <c r="DF211" s="23">
        <v>-8555.4513017167483</v>
      </c>
    </row>
    <row r="212" spans="1:110" s="22" customFormat="1" x14ac:dyDescent="0.2">
      <c r="A212" s="22" t="s">
        <v>90</v>
      </c>
      <c r="C212" s="22">
        <f t="shared" ref="C212:W212" si="1869">C210-C211</f>
        <v>1085.9199999999998</v>
      </c>
      <c r="D212" s="22">
        <f t="shared" si="1869"/>
        <v>911.79000000000087</v>
      </c>
      <c r="E212" s="22">
        <f t="shared" si="1869"/>
        <v>587.20999999999924</v>
      </c>
      <c r="F212" s="22">
        <f t="shared" si="1869"/>
        <v>-163.34000000000037</v>
      </c>
      <c r="G212" s="22">
        <f t="shared" si="1869"/>
        <v>-629.68999999999949</v>
      </c>
      <c r="H212" s="22">
        <f t="shared" si="1869"/>
        <v>571.42000000000007</v>
      </c>
      <c r="I212" s="22">
        <f t="shared" si="1869"/>
        <v>-22657.160000000011</v>
      </c>
      <c r="J212" s="22">
        <f>J210-J211</f>
        <v>5774.0999999999985</v>
      </c>
      <c r="K212" s="22">
        <f t="shared" si="1869"/>
        <v>10923.449999999997</v>
      </c>
      <c r="L212" s="22">
        <f t="shared" si="1869"/>
        <v>-9109.2999999999993</v>
      </c>
      <c r="M212" s="22">
        <f t="shared" si="1869"/>
        <v>2504.1700000000083</v>
      </c>
      <c r="N212" s="22">
        <f t="shared" si="1869"/>
        <v>387.28999999999269</v>
      </c>
      <c r="O212" s="22">
        <f t="shared" si="1869"/>
        <v>555.75999999999385</v>
      </c>
      <c r="P212" s="22">
        <f t="shared" si="1869"/>
        <v>3849.9100000000108</v>
      </c>
      <c r="Q212" s="22">
        <f t="shared" si="1869"/>
        <v>5823.489999999998</v>
      </c>
      <c r="R212" s="22">
        <f t="shared" si="1869"/>
        <v>4138.8900000000012</v>
      </c>
      <c r="S212" s="22">
        <f t="shared" si="1869"/>
        <v>-18131.940000000002</v>
      </c>
      <c r="T212" s="22">
        <f t="shared" si="1869"/>
        <v>-4545.5299999999934</v>
      </c>
      <c r="U212" s="22">
        <f t="shared" si="1869"/>
        <v>-4160.610000000016</v>
      </c>
      <c r="V212" s="22">
        <f t="shared" si="1869"/>
        <v>37174.970000000023</v>
      </c>
      <c r="W212" s="22">
        <f t="shared" si="1869"/>
        <v>-14626.239999999991</v>
      </c>
      <c r="X212" s="22">
        <f t="shared" ref="X212:Y212" si="1870">X210-X211</f>
        <v>17964.119999999966</v>
      </c>
      <c r="Y212" s="22">
        <f t="shared" si="1870"/>
        <v>7689.3999999999924</v>
      </c>
      <c r="Z212" s="22">
        <f t="shared" ref="Z212:AA212" si="1871">Z210-Z211</f>
        <v>5962.370000000019</v>
      </c>
      <c r="AA212" s="22">
        <f t="shared" si="1871"/>
        <v>6753.4699999999866</v>
      </c>
      <c r="AB212" s="21">
        <f t="shared" ref="AA212:AD212" si="1872">AB210-AB211</f>
        <v>-4612.1297805159265</v>
      </c>
      <c r="AC212" s="21">
        <f t="shared" si="1872"/>
        <v>858.12772564525949</v>
      </c>
      <c r="AD212" s="21">
        <f t="shared" si="1872"/>
        <v>1617.4078428845678</v>
      </c>
      <c r="AE212" s="21">
        <f t="shared" ref="AE212" si="1873">AE210-AE211</f>
        <v>1697.8968346035981</v>
      </c>
      <c r="AI212" s="22">
        <f t="shared" ref="AI212" si="1874">AI210-AI211</f>
        <v>0</v>
      </c>
      <c r="AJ212" s="22">
        <f t="shared" ref="AJ212:AL212" si="1875">AJ210-AJ211</f>
        <v>-1898.8500000000058</v>
      </c>
      <c r="AK212" s="22">
        <f t="shared" si="1875"/>
        <v>2487.7412748614079</v>
      </c>
      <c r="AL212" s="22">
        <f t="shared" si="1875"/>
        <v>-762.08127486140393</v>
      </c>
      <c r="AM212" s="22">
        <f t="shared" ref="AM212" si="1876">AM210-AM211</f>
        <v>998.49454223276553</v>
      </c>
      <c r="AN212" s="22">
        <f t="shared" ref="AN212:CD212" si="1877">AN210-AN211</f>
        <v>1502.7154577672263</v>
      </c>
      <c r="AO212" s="22">
        <f t="shared" si="1877"/>
        <v>-44.31605772592593</v>
      </c>
      <c r="AP212" s="22">
        <f t="shared" si="1877"/>
        <v>186.37605772593679</v>
      </c>
      <c r="AQ212" s="22">
        <f t="shared" si="1877"/>
        <v>2826.0828479272459</v>
      </c>
      <c r="AR212" s="22">
        <f t="shared" si="1877"/>
        <v>9897.9471520727493</v>
      </c>
      <c r="AS212" s="22">
        <f t="shared" si="1877"/>
        <v>1214.6666478762418</v>
      </c>
      <c r="AT212" s="22">
        <f t="shared" si="1877"/>
        <v>-18047.346647876246</v>
      </c>
      <c r="AU212" s="22">
        <f t="shared" si="1877"/>
        <v>3851.181617064969</v>
      </c>
      <c r="AV212" s="22">
        <f t="shared" si="1877"/>
        <v>-9158.1016170649709</v>
      </c>
      <c r="AW212" s="22">
        <f t="shared" si="1877"/>
        <v>1915.0780785138559</v>
      </c>
      <c r="AX212" s="22">
        <f t="shared" si="1877"/>
        <v>5126.9419214861573</v>
      </c>
      <c r="AY212" s="22">
        <f t="shared" si="1877"/>
        <v>1137.3751042618678</v>
      </c>
      <c r="AZ212" s="22">
        <f t="shared" si="1877"/>
        <v>2689.3248957381365</v>
      </c>
      <c r="BA212" s="22">
        <f t="shared" si="1877"/>
        <v>-306.39373173327476</v>
      </c>
      <c r="BB212" s="22">
        <f t="shared" si="1877"/>
        <v>-219.37626826673477</v>
      </c>
      <c r="BC212" s="22">
        <f t="shared" si="1877"/>
        <v>2849.9921163328909</v>
      </c>
      <c r="BD212" s="22">
        <f t="shared" si="1877"/>
        <v>-3252.1621163329</v>
      </c>
      <c r="BE212" s="22">
        <f t="shared" si="1877"/>
        <v>-620.34104137057147</v>
      </c>
      <c r="BF212" s="22">
        <f t="shared" si="1877"/>
        <v>-14299.548958629428</v>
      </c>
      <c r="BG212" s="22">
        <f t="shared" si="1877"/>
        <v>-1079.2354739911316</v>
      </c>
      <c r="BH212" s="22">
        <f t="shared" si="1877"/>
        <v>-5931.3145260088622</v>
      </c>
      <c r="BI212" s="22">
        <f t="shared" si="1877"/>
        <v>1390.0304965528048</v>
      </c>
      <c r="BJ212" s="22">
        <f t="shared" si="1877"/>
        <v>7273.4295034471979</v>
      </c>
      <c r="BK212" s="22">
        <f t="shared" si="1877"/>
        <v>3320.5422430915132</v>
      </c>
      <c r="BL212" s="22">
        <f t="shared" si="1877"/>
        <v>-18403.492243091521</v>
      </c>
      <c r="BM212" s="22">
        <f t="shared" si="1877"/>
        <v>-680.33135193778435</v>
      </c>
      <c r="BN212" s="22">
        <f t="shared" si="1877"/>
        <v>-3579.7686480622206</v>
      </c>
      <c r="BO212" s="22">
        <f t="shared" si="1877"/>
        <v>5141.0674883509491</v>
      </c>
      <c r="BP212" s="22">
        <f t="shared" si="1877"/>
        <v>11714.202511649077</v>
      </c>
      <c r="BQ212" s="22">
        <f t="shared" si="1877"/>
        <v>-895.15327972768864</v>
      </c>
      <c r="BR212" s="22">
        <f t="shared" si="1877"/>
        <v>17274.933279727687</v>
      </c>
      <c r="BS212" s="22">
        <f t="shared" si="1877"/>
        <v>-1157.5451275706291</v>
      </c>
      <c r="BT212" s="22">
        <f t="shared" si="1877"/>
        <v>-11051.494872429392</v>
      </c>
      <c r="BU212" s="22">
        <f t="shared" si="1877"/>
        <v>-178.12182971437869</v>
      </c>
      <c r="BV212" s="22">
        <f t="shared" si="1877"/>
        <v>-1125.828170285602</v>
      </c>
      <c r="BW212" s="22">
        <f t="shared" si="1877"/>
        <v>2066.3326997122058</v>
      </c>
      <c r="BX212" s="22">
        <f t="shared" si="1877"/>
        <v>-2705.1526997122146</v>
      </c>
      <c r="BY212" s="22">
        <f t="shared" si="1877"/>
        <v>1612.6151734073064</v>
      </c>
      <c r="BZ212" s="22">
        <f t="shared" si="1877"/>
        <v>16105.504826592674</v>
      </c>
      <c r="CA212" s="22">
        <f t="shared" si="1877"/>
        <v>1369.7505390814767</v>
      </c>
      <c r="CB212" s="22">
        <f t="shared" si="1877"/>
        <v>4491.2294609185337</v>
      </c>
      <c r="CC212" s="22">
        <f t="shared" si="1877"/>
        <v>150.81806054495974</v>
      </c>
      <c r="CD212" s="22">
        <f t="shared" si="1877"/>
        <v>3314.2319394550268</v>
      </c>
      <c r="CE212" s="22">
        <f t="shared" ref="CE212:CF212" si="1878">CE210-CE211</f>
        <v>1681.0335816720908</v>
      </c>
      <c r="CF212" s="22">
        <f t="shared" si="1878"/>
        <v>-5225.403581672088</v>
      </c>
      <c r="CG212" s="22">
        <f t="shared" ref="CG212:CH212" si="1879">CG210-CG211</f>
        <v>117.54201113224553</v>
      </c>
      <c r="CH212" s="22">
        <f t="shared" si="1879"/>
        <v>16975.08798886777</v>
      </c>
      <c r="CI212" s="22">
        <f t="shared" ref="CI212:CJ212" si="1880">CI210-CI211</f>
        <v>-1058.082947473682</v>
      </c>
      <c r="CJ212" s="22">
        <f t="shared" si="1880"/>
        <v>-9129.0570525263211</v>
      </c>
      <c r="CK212" s="22">
        <f t="shared" ref="CK212:DB212" si="1881">CK210-CK211</f>
        <v>-277.51731305319117</v>
      </c>
      <c r="CL212" s="22">
        <f t="shared" si="1881"/>
        <v>7145.4673130531773</v>
      </c>
      <c r="CM212" s="21">
        <f t="shared" si="1881"/>
        <v>-335.29381365308654</v>
      </c>
      <c r="CN212" s="21">
        <f t="shared" si="1881"/>
        <v>2586.3186554101558</v>
      </c>
      <c r="CO212" s="21">
        <f t="shared" si="1881"/>
        <v>1566.5846703525312</v>
      </c>
      <c r="CP212" s="21">
        <f t="shared" si="1881"/>
        <v>1642.9207073744765</v>
      </c>
      <c r="CQ212" s="21">
        <f t="shared" si="1881"/>
        <v>-3460.3983447856444</v>
      </c>
      <c r="CR212" s="21">
        <f t="shared" si="1881"/>
        <v>1359.1406713463948</v>
      </c>
      <c r="CS212" s="21">
        <f t="shared" si="1881"/>
        <v>1734.8446253347502</v>
      </c>
      <c r="CT212" s="21">
        <f t="shared" si="1881"/>
        <v>1224.540773749759</v>
      </c>
      <c r="CU212" s="21">
        <f t="shared" si="1881"/>
        <v>-3098.8502022617322</v>
      </c>
      <c r="CV212" s="21">
        <f t="shared" si="1881"/>
        <v>1472.8987595509971</v>
      </c>
      <c r="CW212" s="21">
        <f t="shared" si="1881"/>
        <v>1896.5185468852724</v>
      </c>
      <c r="CX212" s="21">
        <f t="shared" si="1881"/>
        <v>1346.8407387100306</v>
      </c>
      <c r="CY212" s="21">
        <f t="shared" si="1881"/>
        <v>-3370.5552802995517</v>
      </c>
      <c r="CZ212" s="21">
        <f t="shared" si="1881"/>
        <v>1587.1146422740276</v>
      </c>
      <c r="DA212" s="21">
        <f t="shared" si="1881"/>
        <v>2039.0269975767587</v>
      </c>
      <c r="DB212" s="21">
        <f t="shared" si="1881"/>
        <v>1442.3104750523635</v>
      </c>
      <c r="DE212" s="126"/>
      <c r="DF212" s="22">
        <v>964.00573465558409</v>
      </c>
    </row>
    <row r="213" spans="1:110" s="22" customFormat="1" x14ac:dyDescent="0.2">
      <c r="A213" s="22" t="s">
        <v>91</v>
      </c>
      <c r="C213" s="22">
        <f t="shared" ref="C213:W213" si="1882">C209+C212</f>
        <v>1825.6600000000003</v>
      </c>
      <c r="D213" s="22">
        <f>D209+D212</f>
        <v>2523.5600000000004</v>
      </c>
      <c r="E213" s="22">
        <f t="shared" si="1882"/>
        <v>3016.54</v>
      </c>
      <c r="F213" s="22">
        <f t="shared" si="1882"/>
        <v>4085.3799999999992</v>
      </c>
      <c r="G213" s="22">
        <f t="shared" si="1882"/>
        <v>3965.3</v>
      </c>
      <c r="H213" s="22">
        <f t="shared" si="1882"/>
        <v>5759.6700000000019</v>
      </c>
      <c r="I213" s="22">
        <f t="shared" si="1882"/>
        <v>-6170.2300000000614</v>
      </c>
      <c r="J213" s="22">
        <f>J209+J212</f>
        <v>14990.390000000025</v>
      </c>
      <c r="K213" s="22">
        <f t="shared" si="1882"/>
        <v>13405.959999999995</v>
      </c>
      <c r="L213" s="22">
        <f t="shared" si="1882"/>
        <v>4288.2099999999828</v>
      </c>
      <c r="M213" s="22">
        <f t="shared" si="1882"/>
        <v>12410.590000000029</v>
      </c>
      <c r="N213" s="22">
        <f t="shared" si="1882"/>
        <v>-1095.0099999999848</v>
      </c>
      <c r="O213" s="22">
        <f t="shared" si="1882"/>
        <v>9991.8700000000208</v>
      </c>
      <c r="P213" s="22">
        <f t="shared" si="1882"/>
        <v>5867.9899999999961</v>
      </c>
      <c r="Q213" s="22">
        <f t="shared" si="1882"/>
        <v>10747.059999999994</v>
      </c>
      <c r="R213" s="22">
        <f t="shared" si="1882"/>
        <v>5570.9700000000103</v>
      </c>
      <c r="S213" s="22">
        <f t="shared" si="1882"/>
        <v>1044.0900000000038</v>
      </c>
      <c r="T213" s="22">
        <f t="shared" si="1882"/>
        <v>13014.629999999988</v>
      </c>
      <c r="U213" s="22">
        <f t="shared" si="1882"/>
        <v>6103.5999999999685</v>
      </c>
      <c r="V213" s="22">
        <f t="shared" si="1882"/>
        <v>53898.830000000031</v>
      </c>
      <c r="W213" s="22">
        <f t="shared" si="1882"/>
        <v>34628.560000000034</v>
      </c>
      <c r="X213" s="22">
        <f t="shared" ref="X213:Y213" si="1883">X209+X212</f>
        <v>36059.719999999987</v>
      </c>
      <c r="Y213" s="22">
        <f t="shared" si="1883"/>
        <v>13134.119999999977</v>
      </c>
      <c r="Z213" s="22">
        <f t="shared" ref="Z213:AA213" si="1884">Z209+Z212</f>
        <v>19804.210000000014</v>
      </c>
      <c r="AA213" s="22">
        <f t="shared" si="1884"/>
        <v>29501.85</v>
      </c>
      <c r="AB213" s="21">
        <f t="shared" ref="AA213:AD213" si="1885">AB209+AB212</f>
        <v>25583.557154558439</v>
      </c>
      <c r="AC213" s="21">
        <f t="shared" si="1885"/>
        <v>35001.77823288519</v>
      </c>
      <c r="AD213" s="21">
        <f t="shared" si="1885"/>
        <v>39067.762478758807</v>
      </c>
      <c r="AE213" s="21">
        <f t="shared" ref="AE213" si="1886">AE209+AE212</f>
        <v>43577.883800317082</v>
      </c>
      <c r="AI213" s="22">
        <f t="shared" ref="AI213" si="1887">AI209+AI212</f>
        <v>1905.8600000000081</v>
      </c>
      <c r="AJ213" s="22">
        <f t="shared" ref="AJ213:AL213" si="1888">AJ209+AJ212</f>
        <v>-927.84000000000412</v>
      </c>
      <c r="AK213" s="22">
        <f t="shared" si="1888"/>
        <v>3187.5212748614094</v>
      </c>
      <c r="AL213" s="22">
        <f t="shared" si="1888"/>
        <v>-5821.0312748614051</v>
      </c>
      <c r="AM213" s="22">
        <f t="shared" ref="AM213" si="1889">AM209+AM212</f>
        <v>3540.774542232763</v>
      </c>
      <c r="AN213" s="22">
        <f t="shared" ref="AN213:CD213" si="1890">AN209+AN212</f>
        <v>3863.4754577672215</v>
      </c>
      <c r="AO213" s="22">
        <f t="shared" si="1890"/>
        <v>1981.0139422740781</v>
      </c>
      <c r="AP213" s="22">
        <f t="shared" si="1890"/>
        <v>2694.1160577259311</v>
      </c>
      <c r="AQ213" s="22">
        <f t="shared" si="1890"/>
        <v>4713.6928479272419</v>
      </c>
      <c r="AR213" s="22">
        <f t="shared" si="1890"/>
        <v>12581.787152072749</v>
      </c>
      <c r="AS213" s="22">
        <f t="shared" si="1890"/>
        <v>2822.8666478762443</v>
      </c>
      <c r="AT213" s="22">
        <f t="shared" si="1890"/>
        <v>-22208.916647876249</v>
      </c>
      <c r="AU213" s="22">
        <f t="shared" si="1890"/>
        <v>4869.1516170649693</v>
      </c>
      <c r="AV213" s="22">
        <f t="shared" si="1890"/>
        <v>-2212.9916170649758</v>
      </c>
      <c r="AW213" s="22">
        <f t="shared" si="1890"/>
        <v>409.90807851385603</v>
      </c>
      <c r="AX213" s="22">
        <f t="shared" si="1890"/>
        <v>3500.1119214861537</v>
      </c>
      <c r="AY213" s="22">
        <f t="shared" si="1890"/>
        <v>-831.53489573813158</v>
      </c>
      <c r="AZ213" s="22">
        <f t="shared" si="1890"/>
        <v>4096.6248957381349</v>
      </c>
      <c r="BA213" s="22">
        <f t="shared" si="1890"/>
        <v>1274.4862682667265</v>
      </c>
      <c r="BB213" s="22">
        <f t="shared" si="1890"/>
        <v>193.43373173327132</v>
      </c>
      <c r="BC213" s="22">
        <f t="shared" si="1890"/>
        <v>5257.3921163328887</v>
      </c>
      <c r="BD213" s="22">
        <f t="shared" si="1890"/>
        <v>-773.08211633290011</v>
      </c>
      <c r="BE213" s="22">
        <f t="shared" si="1890"/>
        <v>2141.1689586294287</v>
      </c>
      <c r="BF213" s="22">
        <f t="shared" si="1890"/>
        <v>-2601.8589586294329</v>
      </c>
      <c r="BG213" s="22">
        <f t="shared" si="1890"/>
        <v>2619.3745260088663</v>
      </c>
      <c r="BH213" s="22">
        <f t="shared" si="1890"/>
        <v>-485.04452600886907</v>
      </c>
      <c r="BI213" s="22">
        <f t="shared" si="1890"/>
        <v>5542.2104965528042</v>
      </c>
      <c r="BJ213" s="22">
        <f t="shared" si="1890"/>
        <v>11536.519503447202</v>
      </c>
      <c r="BK213" s="22">
        <f t="shared" si="1890"/>
        <v>6108.3922430915145</v>
      </c>
      <c r="BL213" s="22">
        <f t="shared" si="1890"/>
        <v>-12870.902243091521</v>
      </c>
      <c r="BM213" s="22">
        <f t="shared" si="1890"/>
        <v>253.71864806222288</v>
      </c>
      <c r="BN213" s="22">
        <f t="shared" si="1890"/>
        <v>-2772.6186480622259</v>
      </c>
      <c r="BO213" s="22">
        <f t="shared" si="1890"/>
        <v>2899.1574883509461</v>
      </c>
      <c r="BP213" s="22">
        <f t="shared" si="1890"/>
        <v>15604.662511649076</v>
      </c>
      <c r="BQ213" s="22">
        <f t="shared" si="1890"/>
        <v>5143.596720272315</v>
      </c>
      <c r="BR213" s="22">
        <f t="shared" si="1890"/>
        <v>26311.493279727689</v>
      </c>
      <c r="BS213" s="22">
        <f t="shared" si="1890"/>
        <v>10073.944872429369</v>
      </c>
      <c r="BT213" s="22">
        <f t="shared" si="1890"/>
        <v>3155.4651275706128</v>
      </c>
      <c r="BU213" s="22">
        <f t="shared" si="1890"/>
        <v>11638.638170285622</v>
      </c>
      <c r="BV213" s="22">
        <f t="shared" si="1890"/>
        <v>10873.761829714405</v>
      </c>
      <c r="BW213" s="22">
        <f t="shared" si="1890"/>
        <v>12068.0826997122</v>
      </c>
      <c r="BX213" s="22">
        <f t="shared" si="1890"/>
        <v>1157.0873002877925</v>
      </c>
      <c r="BY213" s="22">
        <f t="shared" si="1890"/>
        <v>1757.1551734073064</v>
      </c>
      <c r="BZ213" s="22">
        <f t="shared" si="1890"/>
        <v>20192.574826592674</v>
      </c>
      <c r="CA213" s="22">
        <f t="shared" si="1890"/>
        <v>4416.0205390814817</v>
      </c>
      <c r="CB213" s="22">
        <f t="shared" si="1890"/>
        <v>774.83946091853386</v>
      </c>
      <c r="CC213" s="22">
        <f t="shared" si="1890"/>
        <v>3086.22806054497</v>
      </c>
      <c r="CD213" s="22">
        <f t="shared" si="1890"/>
        <v>6493.6619394550207</v>
      </c>
      <c r="CE213" s="22">
        <f t="shared" ref="CE213:CF213" si="1891">CE209+CE212</f>
        <v>5176.0735816720917</v>
      </c>
      <c r="CF213" s="22">
        <f t="shared" si="1891"/>
        <v>-1795.2135816720802</v>
      </c>
      <c r="CG213" s="22">
        <f t="shared" ref="CG213:CH213" si="1892">CG209+CG212</f>
        <v>3013.3720111322436</v>
      </c>
      <c r="CH213" s="22">
        <f t="shared" si="1892"/>
        <v>20995.86798886778</v>
      </c>
      <c r="CI213" s="22">
        <f t="shared" ref="CI213:CJ213" si="1893">CI209+CI212</f>
        <v>3763.8970525263185</v>
      </c>
      <c r="CJ213" s="22">
        <f t="shared" si="1893"/>
        <v>-3134.3070525263201</v>
      </c>
      <c r="CK213" s="22">
        <f t="shared" ref="CK213:DB213" si="1894">CK209+CK212</f>
        <v>5459.99268694681</v>
      </c>
      <c r="CL213" s="22">
        <f t="shared" si="1894"/>
        <v>13339.607313053173</v>
      </c>
      <c r="CM213" s="21">
        <f t="shared" si="1894"/>
        <v>6145.4663915940528</v>
      </c>
      <c r="CN213" s="21">
        <f t="shared" si="1894"/>
        <v>9806.8035528184009</v>
      </c>
      <c r="CO213" s="21">
        <f t="shared" si="1894"/>
        <v>9360.5492169547306</v>
      </c>
      <c r="CP213" s="21">
        <f t="shared" si="1894"/>
        <v>10343.397993191236</v>
      </c>
      <c r="CQ213" s="21">
        <f t="shared" si="1894"/>
        <v>4042.2027023366645</v>
      </c>
      <c r="CR213" s="21">
        <f t="shared" si="1894"/>
        <v>9477.9055952775125</v>
      </c>
      <c r="CS213" s="21">
        <f t="shared" si="1894"/>
        <v>10669.768011896767</v>
      </c>
      <c r="CT213" s="21">
        <f t="shared" si="1894"/>
        <v>10811.90192337428</v>
      </c>
      <c r="CU213" s="21">
        <f t="shared" si="1894"/>
        <v>5115.3185730391415</v>
      </c>
      <c r="CV213" s="21">
        <f t="shared" si="1894"/>
        <v>10375.235506835037</v>
      </c>
      <c r="CW213" s="21">
        <f t="shared" si="1894"/>
        <v>11715.772916727572</v>
      </c>
      <c r="CX213" s="21">
        <f t="shared" si="1894"/>
        <v>11861.43548215706</v>
      </c>
      <c r="CY213" s="21">
        <f t="shared" si="1894"/>
        <v>5883.3657773209834</v>
      </c>
      <c r="CZ213" s="21">
        <f t="shared" si="1894"/>
        <v>11561.356716749873</v>
      </c>
      <c r="DA213" s="21">
        <f t="shared" si="1894"/>
        <v>12990.584120739095</v>
      </c>
      <c r="DB213" s="21">
        <f t="shared" si="1894"/>
        <v>13142.577185507143</v>
      </c>
      <c r="DE213" s="126"/>
      <c r="DF213" s="22">
        <v>7669.1830715179312</v>
      </c>
    </row>
    <row r="214" spans="1:110" s="23" customFormat="1" x14ac:dyDescent="0.2">
      <c r="AB214" s="24"/>
      <c r="AC214" s="24"/>
      <c r="AD214" s="24"/>
      <c r="AE214" s="24"/>
      <c r="CM214" s="24"/>
      <c r="CN214" s="24"/>
      <c r="CO214" s="24"/>
      <c r="CP214" s="24"/>
      <c r="CQ214" s="24"/>
      <c r="CR214" s="24"/>
      <c r="CS214" s="24"/>
      <c r="CT214" s="24"/>
      <c r="CU214" s="24"/>
      <c r="CV214" s="24"/>
      <c r="CW214" s="24"/>
      <c r="CX214" s="24"/>
      <c r="CY214" s="24"/>
      <c r="CZ214" s="24"/>
      <c r="DA214" s="24"/>
      <c r="DB214" s="24"/>
      <c r="DE214" s="123"/>
    </row>
    <row r="215" spans="1:110" s="22" customFormat="1" x14ac:dyDescent="0.2">
      <c r="A215" s="22" t="s">
        <v>92</v>
      </c>
      <c r="C215" s="22">
        <f t="shared" ref="C215:W215" si="1895">C216+C217</f>
        <v>-759.37999999999965</v>
      </c>
      <c r="D215" s="22">
        <f>D216+D217</f>
        <v>-455.09000000000026</v>
      </c>
      <c r="E215" s="22">
        <f t="shared" si="1895"/>
        <v>-1070.6700000000005</v>
      </c>
      <c r="F215" s="22">
        <f t="shared" si="1895"/>
        <v>-2803.71</v>
      </c>
      <c r="G215" s="22">
        <f t="shared" si="1895"/>
        <v>-2271.3000000000011</v>
      </c>
      <c r="H215" s="22">
        <f t="shared" si="1895"/>
        <v>-15891.839999999998</v>
      </c>
      <c r="I215" s="22">
        <f t="shared" si="1895"/>
        <v>-39249.30000000001</v>
      </c>
      <c r="J215" s="22">
        <f t="shared" si="1895"/>
        <v>-5699.5899999999911</v>
      </c>
      <c r="K215" s="22">
        <f t="shared" si="1895"/>
        <v>-4631.7899999999991</v>
      </c>
      <c r="L215" s="22">
        <f t="shared" si="1895"/>
        <v>-10696.220000000007</v>
      </c>
      <c r="M215" s="22">
        <f t="shared" si="1895"/>
        <v>-16516.830000000002</v>
      </c>
      <c r="N215" s="22">
        <f t="shared" si="1895"/>
        <v>-8245.1299999999701</v>
      </c>
      <c r="O215" s="22">
        <f t="shared" si="1895"/>
        <v>-25220.080000000034</v>
      </c>
      <c r="P215" s="22">
        <f t="shared" si="1895"/>
        <v>-648.02999999996882</v>
      </c>
      <c r="Q215" s="22">
        <f t="shared" si="1895"/>
        <v>-20693.480000000043</v>
      </c>
      <c r="R215" s="22">
        <f t="shared" si="1895"/>
        <v>-6001.5399999999627</v>
      </c>
      <c r="S215" s="22">
        <f t="shared" si="1895"/>
        <v>-6876.8299999999927</v>
      </c>
      <c r="T215" s="22">
        <f t="shared" si="1895"/>
        <v>-37928.460000000021</v>
      </c>
      <c r="U215" s="22">
        <f t="shared" si="1895"/>
        <v>-19312.040000000037</v>
      </c>
      <c r="V215" s="22">
        <f t="shared" si="1895"/>
        <v>-10578.459999999981</v>
      </c>
      <c r="W215" s="22">
        <f t="shared" si="1895"/>
        <v>-10804.059999999983</v>
      </c>
      <c r="X215" s="22">
        <f t="shared" ref="X215:Y215" si="1896">X216+X217</f>
        <v>-32001.120000000017</v>
      </c>
      <c r="Y215" s="22">
        <f t="shared" si="1896"/>
        <v>-15963.679999999997</v>
      </c>
      <c r="Z215" s="22">
        <f t="shared" ref="Z215:AA215" si="1897">Z216+Z217</f>
        <v>-20012.949999999986</v>
      </c>
      <c r="AA215" s="22">
        <f t="shared" si="1897"/>
        <v>-28156.79</v>
      </c>
      <c r="AB215" s="21">
        <f t="shared" ref="AA215:AD215" si="1898">AB216+AB217</f>
        <v>-17527.340000000026</v>
      </c>
      <c r="AC215" s="21">
        <f t="shared" si="1898"/>
        <v>-26000</v>
      </c>
      <c r="AD215" s="21">
        <f t="shared" si="1898"/>
        <v>0</v>
      </c>
      <c r="AE215" s="21">
        <f t="shared" ref="AE215" si="1899">AE216+AE217</f>
        <v>0</v>
      </c>
      <c r="AI215" s="22">
        <f t="shared" ref="AI215" si="1900">AI216+AI217</f>
        <v>-1307.98</v>
      </c>
      <c r="AJ215" s="22">
        <f t="shared" ref="AJ215:AL215" si="1901">AJ216+AJ217</f>
        <v>-89660.290000000008</v>
      </c>
      <c r="AK215" s="22">
        <f t="shared" si="1901"/>
        <v>-1462.8399999999965</v>
      </c>
      <c r="AL215" s="22">
        <f t="shared" si="1901"/>
        <v>2080.2000000000003</v>
      </c>
      <c r="AM215" s="22">
        <f t="shared" ref="AM215" si="1902">AM216+AM217</f>
        <v>-1403.2700000000041</v>
      </c>
      <c r="AN215" s="22">
        <f t="shared" ref="AN215:CD215" si="1903">AN216+AN217</f>
        <v>-16296.17</v>
      </c>
      <c r="AO215" s="22">
        <f t="shared" si="1903"/>
        <v>-1522.0899999999965</v>
      </c>
      <c r="AP215" s="22">
        <f t="shared" si="1903"/>
        <v>-5998.5500000000047</v>
      </c>
      <c r="AQ215" s="22">
        <f t="shared" si="1903"/>
        <v>-1550.2799999999988</v>
      </c>
      <c r="AR215" s="22">
        <f t="shared" si="1903"/>
        <v>-1111.329999999984</v>
      </c>
      <c r="AS215" s="22">
        <f t="shared" si="1903"/>
        <v>-1451.0899999999965</v>
      </c>
      <c r="AT215" s="22">
        <f t="shared" si="1903"/>
        <v>3464.669999999996</v>
      </c>
      <c r="AU215" s="22">
        <f t="shared" si="1903"/>
        <v>-1337.0899999999965</v>
      </c>
      <c r="AV215" s="22">
        <f t="shared" si="1903"/>
        <v>827.40000000000737</v>
      </c>
      <c r="AW215" s="22">
        <f t="shared" si="1903"/>
        <v>-1288.6100000000006</v>
      </c>
      <c r="AX215" s="22">
        <f t="shared" si="1903"/>
        <v>-19004.200000000012</v>
      </c>
      <c r="AY215" s="22">
        <f t="shared" si="1903"/>
        <v>-1237.7700000000041</v>
      </c>
      <c r="AZ215" s="22">
        <f t="shared" si="1903"/>
        <v>-3386.8300000000027</v>
      </c>
      <c r="BA215" s="22">
        <f t="shared" si="1903"/>
        <v>-1378.9799999999959</v>
      </c>
      <c r="BB215" s="22">
        <f t="shared" si="1903"/>
        <v>111.06000000001131</v>
      </c>
      <c r="BC215" s="22">
        <f t="shared" si="1903"/>
        <v>-1501.1300000000047</v>
      </c>
      <c r="BD215" s="22">
        <f t="shared" si="1903"/>
        <v>479.41999999999734</v>
      </c>
      <c r="BE215" s="22">
        <f t="shared" si="1903"/>
        <v>-1475.0899999999965</v>
      </c>
      <c r="BF215" s="22">
        <f t="shared" si="1903"/>
        <v>-4549.6800000000121</v>
      </c>
      <c r="BG215" s="22">
        <f t="shared" si="1903"/>
        <v>-1747.5500000000029</v>
      </c>
      <c r="BH215" s="22">
        <f t="shared" si="1903"/>
        <v>-35448.049999999996</v>
      </c>
      <c r="BI215" s="22">
        <f t="shared" si="1903"/>
        <v>-1866.2000000000116</v>
      </c>
      <c r="BJ215" s="22">
        <f t="shared" si="1903"/>
        <v>1133.3399999999988</v>
      </c>
      <c r="BK215" s="22">
        <f t="shared" si="1903"/>
        <v>-2070.7799999999988</v>
      </c>
      <c r="BL215" s="22">
        <f t="shared" si="1903"/>
        <v>-3989.0800000000186</v>
      </c>
      <c r="BM215" s="22">
        <f t="shared" si="1903"/>
        <v>-2018.6700000000128</v>
      </c>
      <c r="BN215" s="22">
        <f t="shared" si="1903"/>
        <v>-2481.1599999999721</v>
      </c>
      <c r="BO215" s="22">
        <f t="shared" si="1903"/>
        <v>-2174.6499999999942</v>
      </c>
      <c r="BP215" s="22">
        <f t="shared" si="1903"/>
        <v>-2353.4400000000023</v>
      </c>
      <c r="BQ215" s="22">
        <f t="shared" si="1903"/>
        <v>-2341.5299999999988</v>
      </c>
      <c r="BR215" s="22">
        <f t="shared" si="1903"/>
        <v>-2807.6700000000023</v>
      </c>
      <c r="BS215" s="22">
        <f t="shared" si="1903"/>
        <v>-2324.5400000000081</v>
      </c>
      <c r="BT215" s="22">
        <f t="shared" si="1903"/>
        <v>-2848.4000000000151</v>
      </c>
      <c r="BU215" s="22">
        <f t="shared" si="1903"/>
        <v>-2244.0899999999965</v>
      </c>
      <c r="BV215" s="22">
        <f t="shared" si="1903"/>
        <v>-4500.2800000000225</v>
      </c>
      <c r="BW215" s="22">
        <f t="shared" si="1903"/>
        <v>-2236.7900000000081</v>
      </c>
      <c r="BX215" s="22">
        <f t="shared" si="1903"/>
        <v>-15941.439999999986</v>
      </c>
      <c r="BY215" s="22">
        <f t="shared" si="1903"/>
        <v>-2368.3800000000047</v>
      </c>
      <c r="BZ215" s="22">
        <f t="shared" si="1903"/>
        <v>-10569.689999999982</v>
      </c>
      <c r="CA215" s="22">
        <f t="shared" si="1903"/>
        <v>-2412.320000000007</v>
      </c>
      <c r="CB215" s="22">
        <f t="shared" si="1903"/>
        <v>-4335.3100000000022</v>
      </c>
      <c r="CC215" s="22">
        <f t="shared" si="1903"/>
        <v>-2422.0400000000081</v>
      </c>
      <c r="CD215" s="22">
        <f t="shared" si="1903"/>
        <v>-8430.640000000014</v>
      </c>
      <c r="CE215" s="22">
        <f t="shared" ref="CE215:CF215" si="1904">CE216+CE217</f>
        <v>-2535.429999999993</v>
      </c>
      <c r="CF215" s="22">
        <f t="shared" si="1904"/>
        <v>-8633.2300000000178</v>
      </c>
      <c r="CG215" s="22">
        <f t="shared" ref="CG215:CH215" si="1905">CG216+CG217</f>
        <v>-2569.1900000000023</v>
      </c>
      <c r="CH215" s="22">
        <f t="shared" si="1905"/>
        <v>-13860.989999999987</v>
      </c>
      <c r="CI215" s="22">
        <f t="shared" ref="CI215:CJ215" si="1906">CI216+CI217</f>
        <v>0</v>
      </c>
      <c r="CJ215" s="22">
        <f t="shared" si="1906"/>
        <v>-4213.5600000000322</v>
      </c>
      <c r="CK215" s="22">
        <f t="shared" ref="CK215:DB215" si="1907">CK216+CK217</f>
        <v>-5999.9999999999709</v>
      </c>
      <c r="CL215" s="22">
        <f t="shared" si="1907"/>
        <v>-7870.5699999999961</v>
      </c>
      <c r="CM215" s="21">
        <f t="shared" si="1907"/>
        <v>-6900.0000000000291</v>
      </c>
      <c r="CN215" s="21">
        <f t="shared" si="1907"/>
        <v>-6900</v>
      </c>
      <c r="CO215" s="21">
        <f t="shared" si="1907"/>
        <v>-6900</v>
      </c>
      <c r="CP215" s="21">
        <f t="shared" si="1907"/>
        <v>-6900.0000000000291</v>
      </c>
      <c r="CQ215" s="21">
        <f t="shared" si="1907"/>
        <v>-6500</v>
      </c>
      <c r="CR215" s="21">
        <f t="shared" si="1907"/>
        <v>-6500</v>
      </c>
      <c r="CS215" s="21">
        <f t="shared" si="1907"/>
        <v>-6500</v>
      </c>
      <c r="CT215" s="21">
        <f t="shared" si="1907"/>
        <v>-6500</v>
      </c>
      <c r="CU215" s="21">
        <f t="shared" si="1907"/>
        <v>0</v>
      </c>
      <c r="CV215" s="21">
        <f t="shared" si="1907"/>
        <v>0</v>
      </c>
      <c r="CW215" s="21">
        <f t="shared" si="1907"/>
        <v>0</v>
      </c>
      <c r="CX215" s="21">
        <f t="shared" si="1907"/>
        <v>0</v>
      </c>
      <c r="CY215" s="21">
        <f t="shared" si="1907"/>
        <v>0</v>
      </c>
      <c r="CZ215" s="21">
        <f t="shared" si="1907"/>
        <v>0</v>
      </c>
      <c r="DA215" s="21">
        <f t="shared" si="1907"/>
        <v>0</v>
      </c>
      <c r="DB215" s="21">
        <f t="shared" si="1907"/>
        <v>0</v>
      </c>
      <c r="DE215" s="126"/>
      <c r="DF215" s="22">
        <v>-6000</v>
      </c>
    </row>
    <row r="216" spans="1:110" s="23" customFormat="1" x14ac:dyDescent="0.2">
      <c r="A216" s="23" t="s">
        <v>93</v>
      </c>
      <c r="C216" s="23">
        <f t="shared" ref="C216:AA216" si="1908">B154-C154</f>
        <v>23.769999999999982</v>
      </c>
      <c r="D216" s="23">
        <f t="shared" si="1908"/>
        <v>1.1699999999999591</v>
      </c>
      <c r="E216" s="23">
        <f>D154-E154</f>
        <v>-72.969999999999914</v>
      </c>
      <c r="F216" s="23">
        <f t="shared" si="1908"/>
        <v>-356.97000000000014</v>
      </c>
      <c r="G216" s="23">
        <f t="shared" si="1908"/>
        <v>-327.75</v>
      </c>
      <c r="H216" s="23">
        <f t="shared" si="1908"/>
        <v>-11342.77</v>
      </c>
      <c r="I216" s="23">
        <f t="shared" si="1908"/>
        <v>10463.709999999999</v>
      </c>
      <c r="J216" s="23">
        <f>I154-J154</f>
        <v>-779.67000000000007</v>
      </c>
      <c r="K216" s="23">
        <f>J154-K154</f>
        <v>-473.19000000000005</v>
      </c>
      <c r="L216" s="23">
        <f t="shared" si="1908"/>
        <v>-1201.5100000000002</v>
      </c>
      <c r="M216" s="23">
        <f t="shared" si="1908"/>
        <v>2065.1800000000003</v>
      </c>
      <c r="N216" s="23">
        <f t="shared" si="1908"/>
        <v>125.51000000000022</v>
      </c>
      <c r="O216" s="23">
        <f t="shared" si="1908"/>
        <v>72.299999999999727</v>
      </c>
      <c r="P216" s="23">
        <f t="shared" si="1908"/>
        <v>344.64000000000033</v>
      </c>
      <c r="Q216" s="23">
        <f t="shared" si="1908"/>
        <v>-3969.73</v>
      </c>
      <c r="R216" s="23">
        <f t="shared" si="1908"/>
        <v>-733.82999999999993</v>
      </c>
      <c r="S216" s="23">
        <f t="shared" si="1908"/>
        <v>3793.49</v>
      </c>
      <c r="T216" s="23">
        <f t="shared" si="1908"/>
        <v>-222.80999999999995</v>
      </c>
      <c r="U216" s="23">
        <f t="shared" si="1908"/>
        <v>360</v>
      </c>
      <c r="V216" s="23">
        <f t="shared" si="1908"/>
        <v>-609.73</v>
      </c>
      <c r="W216" s="23">
        <f t="shared" si="1908"/>
        <v>-1152.3900000000003</v>
      </c>
      <c r="X216" s="23">
        <f t="shared" si="1908"/>
        <v>-164.81999999999971</v>
      </c>
      <c r="Y216" s="23">
        <f t="shared" si="1908"/>
        <v>-746.09000000000015</v>
      </c>
      <c r="Z216" s="23">
        <f t="shared" si="1908"/>
        <v>-225.11999999999989</v>
      </c>
      <c r="AA216" s="23">
        <f t="shared" si="1908"/>
        <v>-333.85000000000036</v>
      </c>
      <c r="AB216" s="24">
        <f t="shared" ref="AB216" si="1909">AA154-AB154</f>
        <v>0</v>
      </c>
      <c r="AC216" s="24">
        <f t="shared" ref="AC216" si="1910">AB154-AC154</f>
        <v>0</v>
      </c>
      <c r="AD216" s="24">
        <f t="shared" ref="AD216" si="1911">AC154-AD154</f>
        <v>0</v>
      </c>
      <c r="AE216" s="24">
        <f t="shared" ref="AE216" si="1912">AD154-AE154</f>
        <v>0</v>
      </c>
      <c r="AI216" s="23">
        <f t="shared" ref="AI216" si="1913">AH154-AI154</f>
        <v>0</v>
      </c>
      <c r="AJ216" s="23">
        <f t="shared" ref="AJ216" si="1914">AI154-AJ154</f>
        <v>-2458.8200000000002</v>
      </c>
      <c r="AK216" s="23">
        <f t="shared" ref="AK216" si="1915">AJ154-AK154</f>
        <v>0</v>
      </c>
      <c r="AL216" s="23">
        <f t="shared" ref="AL216" si="1916">AK154-AL154</f>
        <v>-38.549999999999727</v>
      </c>
      <c r="AM216" s="23">
        <f t="shared" ref="AM216" si="1917">AL154-AM154</f>
        <v>0</v>
      </c>
      <c r="AN216" s="23">
        <f t="shared" ref="AN216" si="1918">AM154-AN154</f>
        <v>-73.7800000000002</v>
      </c>
      <c r="AO216" s="23">
        <f t="shared" ref="AO216" si="1919">AN154-AO154</f>
        <v>0</v>
      </c>
      <c r="AP216" s="23">
        <f t="shared" ref="AP216" si="1920">AO154-AP154</f>
        <v>146.07999999999993</v>
      </c>
      <c r="AQ216" s="23">
        <f t="shared" ref="AQ216" si="1921">AP154-AQ154</f>
        <v>0</v>
      </c>
      <c r="AR216" s="23">
        <f t="shared" ref="AR216" si="1922">AQ154-AR154</f>
        <v>-55.549999999999727</v>
      </c>
      <c r="AS216" s="23">
        <f t="shared" ref="AS216" si="1923">AR154-AS154</f>
        <v>0</v>
      </c>
      <c r="AT216" s="23">
        <f t="shared" ref="AT216" si="1924">AS154-AT154</f>
        <v>400.19000000000005</v>
      </c>
      <c r="AU216" s="23">
        <f t="shared" ref="AU216" si="1925">AT154-AU154</f>
        <v>0</v>
      </c>
      <c r="AV216" s="23">
        <f t="shared" ref="AV216" si="1926">AU154-AV154</f>
        <v>-58.5300000000002</v>
      </c>
      <c r="AW216" s="23">
        <f t="shared" ref="AW216" si="1927">AV154-AW154</f>
        <v>0</v>
      </c>
      <c r="AX216" s="23">
        <f t="shared" ref="AX216" si="1928">AW154-AX154</f>
        <v>-4020.2200000000003</v>
      </c>
      <c r="AY216" s="23">
        <f t="shared" ref="AY216" si="1929">AX154-AY154</f>
        <v>0</v>
      </c>
      <c r="AZ216" s="23">
        <f t="shared" ref="AZ216" si="1930">AY154-AZ154</f>
        <v>-1286.7799999999997</v>
      </c>
      <c r="BA216" s="23">
        <f t="shared" ref="BA216" si="1931">AZ154-BA154</f>
        <v>0</v>
      </c>
      <c r="BB216" s="23">
        <f t="shared" ref="BB216" si="1932">BA154-BB154</f>
        <v>661.97000000000025</v>
      </c>
      <c r="BC216" s="23">
        <f t="shared" ref="BC216" si="1933">BB154-BC154</f>
        <v>0</v>
      </c>
      <c r="BD216" s="23">
        <f t="shared" ref="BD216" si="1934">BC154-BD154</f>
        <v>4060.1099999999997</v>
      </c>
      <c r="BE216" s="23">
        <f t="shared" ref="BE216" si="1935">BD154-BE154</f>
        <v>0</v>
      </c>
      <c r="BF216" s="23">
        <f t="shared" ref="BF216" si="1936">BE154-BF154</f>
        <v>-266.61999999999989</v>
      </c>
      <c r="BG216" s="23">
        <f t="shared" ref="BG216" si="1937">BF154-BG154</f>
        <v>0</v>
      </c>
      <c r="BH216" s="23">
        <f t="shared" ref="BH216" si="1938">BG154-BH154</f>
        <v>-114.11999999999989</v>
      </c>
      <c r="BI216" s="23">
        <f t="shared" ref="BI216" si="1939">BH154-BI154</f>
        <v>0</v>
      </c>
      <c r="BJ216" s="23">
        <f t="shared" ref="BJ216" si="1940">BI154-BJ154</f>
        <v>-108.69000000000005</v>
      </c>
      <c r="BK216" s="23">
        <f t="shared" ref="BK216" si="1941">BJ154-BK154</f>
        <v>0</v>
      </c>
      <c r="BL216" s="23">
        <f t="shared" ref="BL216" si="1942">BK154-BL154</f>
        <v>139.94000000000005</v>
      </c>
      <c r="BM216" s="23">
        <f t="shared" ref="BM216" si="1943">BL154-BM154</f>
        <v>0</v>
      </c>
      <c r="BN216" s="23">
        <f t="shared" ref="BN216" si="1944">BM154-BN154</f>
        <v>220.05999999999995</v>
      </c>
      <c r="BO216" s="23">
        <f t="shared" ref="BO216" si="1945">BN154-BO154</f>
        <v>0</v>
      </c>
      <c r="BP216" s="23">
        <f t="shared" ref="BP216" si="1946">BO154-BP154</f>
        <v>-235</v>
      </c>
      <c r="BQ216" s="23">
        <f t="shared" ref="BQ216" si="1947">BP154-BQ154</f>
        <v>0</v>
      </c>
      <c r="BR216" s="23">
        <f t="shared" ref="BR216" si="1948">BQ154-BR154</f>
        <v>-374.73</v>
      </c>
      <c r="BS216" s="23">
        <f t="shared" ref="BS216" si="1949">BR154-BS154</f>
        <v>0</v>
      </c>
      <c r="BT216" s="23">
        <f t="shared" ref="BT216" si="1950">BS154-BT154</f>
        <v>-579.04</v>
      </c>
      <c r="BU216" s="23">
        <f t="shared" ref="BU216" si="1951">BT154-BU154</f>
        <v>0</v>
      </c>
      <c r="BV216" s="23">
        <f t="shared" ref="BV216" si="1952">BU154-BV154</f>
        <v>-573.35000000000036</v>
      </c>
      <c r="BW216" s="23">
        <f t="shared" ref="BW216" si="1953">BV154-BW154</f>
        <v>0</v>
      </c>
      <c r="BX216" s="23">
        <f t="shared" ref="BX216" si="1954">BW154-BX154</f>
        <v>6.1700000000000728</v>
      </c>
      <c r="BY216" s="23">
        <f t="shared" ref="BY216" si="1955">BX154-BY154</f>
        <v>0</v>
      </c>
      <c r="BZ216" s="23">
        <f t="shared" ref="BZ216" si="1956">BY154-BZ154</f>
        <v>-170.98999999999978</v>
      </c>
      <c r="CA216" s="23">
        <f t="shared" ref="CA216" si="1957">BZ154-CA154</f>
        <v>0</v>
      </c>
      <c r="CB216" s="23">
        <f t="shared" ref="CB216" si="1958">CA154-CB154</f>
        <v>-254.36999999999989</v>
      </c>
      <c r="CC216" s="23">
        <f t="shared" ref="CC216" si="1959">CB154-CC154</f>
        <v>0</v>
      </c>
      <c r="CD216" s="23">
        <f t="shared" ref="CD216" si="1960">CC154-CD154</f>
        <v>-491.72000000000025</v>
      </c>
      <c r="CE216" s="23">
        <f t="shared" ref="CE216" si="1961">CD154-CE154</f>
        <v>0</v>
      </c>
      <c r="CF216" s="23">
        <f t="shared" ref="CF216" si="1962">CE154-CF154</f>
        <v>-440.18000000000029</v>
      </c>
      <c r="CG216" s="23">
        <f t="shared" ref="CG216" si="1963">CF154-CG154</f>
        <v>0</v>
      </c>
      <c r="CH216" s="23">
        <f t="shared" ref="CH216:CL216" si="1964">CG154-CH154</f>
        <v>215.0600000000004</v>
      </c>
      <c r="CI216" s="23">
        <f t="shared" si="1964"/>
        <v>0</v>
      </c>
      <c r="CJ216" s="23">
        <f t="shared" si="1964"/>
        <v>-323.14999999999964</v>
      </c>
      <c r="CK216" s="23">
        <f t="shared" ref="CK216" si="1965">CJ154-CK154</f>
        <v>0</v>
      </c>
      <c r="CL216" s="23">
        <f t="shared" si="1964"/>
        <v>-10.700000000000728</v>
      </c>
      <c r="CM216" s="24">
        <f t="shared" ref="CM216" si="1966">CL154-CM154</f>
        <v>0</v>
      </c>
      <c r="CN216" s="24">
        <f t="shared" ref="CN216" si="1967">CM154-CN154</f>
        <v>0</v>
      </c>
      <c r="CO216" s="24">
        <f t="shared" ref="CO216" si="1968">CN154-CO154</f>
        <v>0</v>
      </c>
      <c r="CP216" s="24">
        <f t="shared" ref="CP216" si="1969">CO154-CP154</f>
        <v>0</v>
      </c>
      <c r="CQ216" s="24">
        <f t="shared" ref="CQ216" si="1970">CP154-CQ154</f>
        <v>0</v>
      </c>
      <c r="CR216" s="24">
        <f t="shared" ref="CR216" si="1971">CQ154-CR154</f>
        <v>0</v>
      </c>
      <c r="CS216" s="24">
        <f t="shared" ref="CS216" si="1972">CR154-CS154</f>
        <v>0</v>
      </c>
      <c r="CT216" s="24">
        <f t="shared" ref="CT216" si="1973">CS154-CT154</f>
        <v>0</v>
      </c>
      <c r="CU216" s="24">
        <f t="shared" ref="CU216" si="1974">CT154-CU154</f>
        <v>0</v>
      </c>
      <c r="CV216" s="24">
        <f t="shared" ref="CV216" si="1975">CU154-CV154</f>
        <v>0</v>
      </c>
      <c r="CW216" s="24">
        <f t="shared" ref="CW216" si="1976">CV154-CW154</f>
        <v>0</v>
      </c>
      <c r="CX216" s="24">
        <f t="shared" ref="CX216" si="1977">CW154-CX154</f>
        <v>0</v>
      </c>
      <c r="CY216" s="24">
        <f t="shared" ref="CY216" si="1978">CX154-CY154</f>
        <v>0</v>
      </c>
      <c r="CZ216" s="24">
        <f t="shared" ref="CZ216" si="1979">CY154-CZ154</f>
        <v>0</v>
      </c>
      <c r="DA216" s="24">
        <f t="shared" ref="DA216" si="1980">CZ154-DA154</f>
        <v>0</v>
      </c>
      <c r="DB216" s="24">
        <f t="shared" ref="DB216" si="1981">DA154-DB154</f>
        <v>0</v>
      </c>
      <c r="DE216" s="123"/>
      <c r="DF216" s="23">
        <v>0</v>
      </c>
    </row>
    <row r="217" spans="1:110" s="23" customFormat="1" x14ac:dyDescent="0.2">
      <c r="A217" s="23" t="s">
        <v>94</v>
      </c>
      <c r="C217" s="23">
        <f t="shared" ref="C217:AE217" si="1982">B152-C41-C152</f>
        <v>-783.14999999999964</v>
      </c>
      <c r="D217" s="23">
        <f t="shared" si="1982"/>
        <v>-456.26000000000022</v>
      </c>
      <c r="E217" s="23">
        <f t="shared" si="1982"/>
        <v>-997.70000000000073</v>
      </c>
      <c r="F217" s="23">
        <f t="shared" si="1982"/>
        <v>-2446.7399999999998</v>
      </c>
      <c r="G217" s="23">
        <f t="shared" si="1982"/>
        <v>-1943.5500000000011</v>
      </c>
      <c r="H217" s="23">
        <f t="shared" si="1982"/>
        <v>-4549.0699999999979</v>
      </c>
      <c r="I217" s="23">
        <f t="shared" si="1982"/>
        <v>-49713.010000000009</v>
      </c>
      <c r="J217" s="23">
        <f t="shared" si="1982"/>
        <v>-4919.919999999991</v>
      </c>
      <c r="K217" s="23">
        <f t="shared" si="1982"/>
        <v>-4158.5999999999985</v>
      </c>
      <c r="L217" s="23">
        <f t="shared" si="1982"/>
        <v>-9494.7100000000064</v>
      </c>
      <c r="M217" s="23">
        <f t="shared" si="1982"/>
        <v>-18582.010000000002</v>
      </c>
      <c r="N217" s="23">
        <f t="shared" si="1982"/>
        <v>-8370.6399999999703</v>
      </c>
      <c r="O217" s="23">
        <f t="shared" si="1982"/>
        <v>-25292.380000000034</v>
      </c>
      <c r="P217" s="23">
        <f t="shared" si="1982"/>
        <v>-992.66999999996915</v>
      </c>
      <c r="Q217" s="23">
        <f t="shared" si="1982"/>
        <v>-16723.750000000044</v>
      </c>
      <c r="R217" s="23">
        <f t="shared" si="1982"/>
        <v>-5267.7099999999627</v>
      </c>
      <c r="S217" s="23">
        <f t="shared" si="1982"/>
        <v>-10670.319999999992</v>
      </c>
      <c r="T217" s="23">
        <f t="shared" si="1982"/>
        <v>-37705.650000000023</v>
      </c>
      <c r="U217" s="23">
        <f t="shared" si="1982"/>
        <v>-19672.040000000037</v>
      </c>
      <c r="V217" s="23">
        <f t="shared" si="1982"/>
        <v>-9968.7299999999814</v>
      </c>
      <c r="W217" s="23">
        <f t="shared" si="1982"/>
        <v>-9651.6699999999837</v>
      </c>
      <c r="X217" s="23">
        <f t="shared" si="1982"/>
        <v>-31836.300000000017</v>
      </c>
      <c r="Y217" s="23">
        <f t="shared" si="1982"/>
        <v>-15217.589999999997</v>
      </c>
      <c r="Z217" s="23">
        <f t="shared" si="1982"/>
        <v>-19787.829999999987</v>
      </c>
      <c r="AA217" s="23">
        <f t="shared" si="1982"/>
        <v>-27822.940000000002</v>
      </c>
      <c r="AB217" s="24">
        <f t="shared" si="1982"/>
        <v>-17527.340000000026</v>
      </c>
      <c r="AC217" s="24">
        <f t="shared" si="1982"/>
        <v>-26000</v>
      </c>
      <c r="AD217" s="24">
        <f t="shared" si="1982"/>
        <v>0</v>
      </c>
      <c r="AE217" s="24">
        <f t="shared" si="1982"/>
        <v>0</v>
      </c>
      <c r="AI217" s="23">
        <f t="shared" ref="AI217:BN217" si="1983">AH152-AI41-AI152</f>
        <v>-1307.98</v>
      </c>
      <c r="AJ217" s="23">
        <f t="shared" si="1983"/>
        <v>-87201.47</v>
      </c>
      <c r="AK217" s="23">
        <f t="shared" si="1983"/>
        <v>-1462.8399999999965</v>
      </c>
      <c r="AL217" s="23">
        <f t="shared" si="1983"/>
        <v>2118.75</v>
      </c>
      <c r="AM217" s="23">
        <f t="shared" si="1983"/>
        <v>-1403.2700000000041</v>
      </c>
      <c r="AN217" s="23">
        <f t="shared" si="1983"/>
        <v>-16222.39</v>
      </c>
      <c r="AO217" s="23">
        <f t="shared" si="1983"/>
        <v>-1522.0899999999965</v>
      </c>
      <c r="AP217" s="23">
        <f t="shared" si="1983"/>
        <v>-6144.6300000000047</v>
      </c>
      <c r="AQ217" s="23">
        <f t="shared" si="1983"/>
        <v>-1550.2799999999988</v>
      </c>
      <c r="AR217" s="23">
        <f t="shared" si="1983"/>
        <v>-1055.7799999999843</v>
      </c>
      <c r="AS217" s="23">
        <f t="shared" si="1983"/>
        <v>-1451.0899999999965</v>
      </c>
      <c r="AT217" s="23">
        <f t="shared" si="1983"/>
        <v>3064.4799999999959</v>
      </c>
      <c r="AU217" s="23">
        <f t="shared" si="1983"/>
        <v>-1337.0899999999965</v>
      </c>
      <c r="AV217" s="23">
        <f t="shared" si="1983"/>
        <v>885.93000000000757</v>
      </c>
      <c r="AW217" s="23">
        <f t="shared" si="1983"/>
        <v>-1288.6100000000006</v>
      </c>
      <c r="AX217" s="23">
        <f t="shared" si="1983"/>
        <v>-14983.98000000001</v>
      </c>
      <c r="AY217" s="23">
        <f t="shared" si="1983"/>
        <v>-1237.7700000000041</v>
      </c>
      <c r="AZ217" s="23">
        <f t="shared" si="1983"/>
        <v>-2100.0500000000029</v>
      </c>
      <c r="BA217" s="23">
        <f t="shared" si="1983"/>
        <v>-1378.9799999999959</v>
      </c>
      <c r="BB217" s="23">
        <f t="shared" si="1983"/>
        <v>-550.90999999998894</v>
      </c>
      <c r="BC217" s="23">
        <f t="shared" si="1983"/>
        <v>-1501.1300000000047</v>
      </c>
      <c r="BD217" s="23">
        <f t="shared" si="1983"/>
        <v>-3580.6900000000023</v>
      </c>
      <c r="BE217" s="23">
        <f t="shared" si="1983"/>
        <v>-1475.0899999999965</v>
      </c>
      <c r="BF217" s="23">
        <f t="shared" si="1983"/>
        <v>-4283.0600000000122</v>
      </c>
      <c r="BG217" s="23">
        <f t="shared" si="1983"/>
        <v>-1747.5500000000029</v>
      </c>
      <c r="BH217" s="23">
        <f t="shared" si="1983"/>
        <v>-35333.929999999993</v>
      </c>
      <c r="BI217" s="23">
        <f t="shared" si="1983"/>
        <v>-1866.2000000000116</v>
      </c>
      <c r="BJ217" s="23">
        <f t="shared" si="1983"/>
        <v>1242.0299999999988</v>
      </c>
      <c r="BK217" s="23">
        <f t="shared" si="1983"/>
        <v>-2070.7799999999988</v>
      </c>
      <c r="BL217" s="23">
        <f t="shared" si="1983"/>
        <v>-4129.0200000000186</v>
      </c>
      <c r="BM217" s="23">
        <f t="shared" si="1983"/>
        <v>-2018.6700000000128</v>
      </c>
      <c r="BN217" s="23">
        <f t="shared" si="1983"/>
        <v>-2701.2199999999721</v>
      </c>
      <c r="BO217" s="23">
        <f t="shared" ref="BO217:CT217" si="1984">BN152-BO41-BO152</f>
        <v>-2174.6499999999942</v>
      </c>
      <c r="BP217" s="23">
        <f t="shared" si="1984"/>
        <v>-2118.4400000000023</v>
      </c>
      <c r="BQ217" s="23">
        <f t="shared" si="1984"/>
        <v>-2341.5299999999988</v>
      </c>
      <c r="BR217" s="23">
        <f t="shared" si="1984"/>
        <v>-2432.9400000000023</v>
      </c>
      <c r="BS217" s="23">
        <f t="shared" si="1984"/>
        <v>-2324.5400000000081</v>
      </c>
      <c r="BT217" s="23">
        <f t="shared" si="1984"/>
        <v>-2269.3600000000151</v>
      </c>
      <c r="BU217" s="23">
        <f t="shared" si="1984"/>
        <v>-2244.0899999999965</v>
      </c>
      <c r="BV217" s="23">
        <f t="shared" si="1984"/>
        <v>-3926.9300000000221</v>
      </c>
      <c r="BW217" s="23">
        <f t="shared" si="1984"/>
        <v>-2236.7900000000081</v>
      </c>
      <c r="BX217" s="23">
        <f t="shared" si="1984"/>
        <v>-15947.609999999986</v>
      </c>
      <c r="BY217" s="23">
        <f t="shared" si="1984"/>
        <v>-2368.3800000000047</v>
      </c>
      <c r="BZ217" s="23">
        <f t="shared" si="1984"/>
        <v>-10398.699999999983</v>
      </c>
      <c r="CA217" s="23">
        <f t="shared" si="1984"/>
        <v>-2412.320000000007</v>
      </c>
      <c r="CB217" s="23">
        <f t="shared" si="1984"/>
        <v>-4080.9400000000023</v>
      </c>
      <c r="CC217" s="23">
        <f t="shared" si="1984"/>
        <v>-2422.0400000000081</v>
      </c>
      <c r="CD217" s="23">
        <f t="shared" si="1984"/>
        <v>-7938.9200000000128</v>
      </c>
      <c r="CE217" s="23">
        <f t="shared" si="1984"/>
        <v>-2535.429999999993</v>
      </c>
      <c r="CF217" s="23">
        <f t="shared" si="1984"/>
        <v>-8193.0500000000175</v>
      </c>
      <c r="CG217" s="23">
        <f t="shared" si="1984"/>
        <v>-2569.1900000000023</v>
      </c>
      <c r="CH217" s="23">
        <f t="shared" si="1984"/>
        <v>-14076.049999999988</v>
      </c>
      <c r="CI217" s="23">
        <f t="shared" si="1984"/>
        <v>0</v>
      </c>
      <c r="CJ217" s="23">
        <f t="shared" si="1984"/>
        <v>-3890.4100000000326</v>
      </c>
      <c r="CK217" s="23">
        <f t="shared" si="1984"/>
        <v>-5999.9999999999709</v>
      </c>
      <c r="CL217" s="23">
        <f t="shared" si="1984"/>
        <v>-7859.8699999999953</v>
      </c>
      <c r="CM217" s="24">
        <f t="shared" si="1984"/>
        <v>-6900.0000000000291</v>
      </c>
      <c r="CN217" s="24">
        <f t="shared" si="1984"/>
        <v>-6900</v>
      </c>
      <c r="CO217" s="24">
        <f t="shared" si="1984"/>
        <v>-6900</v>
      </c>
      <c r="CP217" s="24">
        <f t="shared" si="1984"/>
        <v>-6900.0000000000291</v>
      </c>
      <c r="CQ217" s="24">
        <f t="shared" si="1984"/>
        <v>-6500</v>
      </c>
      <c r="CR217" s="24">
        <f t="shared" si="1984"/>
        <v>-6500</v>
      </c>
      <c r="CS217" s="24">
        <f t="shared" si="1984"/>
        <v>-6500</v>
      </c>
      <c r="CT217" s="24">
        <f t="shared" si="1984"/>
        <v>-6500</v>
      </c>
      <c r="CU217" s="24">
        <f t="shared" ref="CU217:DB217" si="1985">CT152-CU41-CU152</f>
        <v>0</v>
      </c>
      <c r="CV217" s="24">
        <f t="shared" si="1985"/>
        <v>0</v>
      </c>
      <c r="CW217" s="24">
        <f t="shared" si="1985"/>
        <v>0</v>
      </c>
      <c r="CX217" s="24">
        <f t="shared" si="1985"/>
        <v>0</v>
      </c>
      <c r="CY217" s="24">
        <f t="shared" si="1985"/>
        <v>0</v>
      </c>
      <c r="CZ217" s="24">
        <f t="shared" si="1985"/>
        <v>0</v>
      </c>
      <c r="DA217" s="24">
        <f t="shared" si="1985"/>
        <v>0</v>
      </c>
      <c r="DB217" s="24">
        <f t="shared" si="1985"/>
        <v>0</v>
      </c>
      <c r="DE217" s="123"/>
      <c r="DF217" s="23">
        <v>-6000</v>
      </c>
    </row>
    <row r="218" spans="1:110" s="23" customFormat="1" x14ac:dyDescent="0.2">
      <c r="AB218" s="24"/>
      <c r="AC218" s="24"/>
      <c r="AD218" s="24"/>
      <c r="AE218" s="24"/>
      <c r="CM218" s="24"/>
      <c r="CN218" s="24"/>
      <c r="CO218" s="24"/>
      <c r="CP218" s="24"/>
      <c r="CQ218" s="24"/>
      <c r="CR218" s="24"/>
      <c r="CS218" s="24"/>
      <c r="CT218" s="24"/>
      <c r="CU218" s="24"/>
      <c r="CV218" s="24"/>
      <c r="CW218" s="24"/>
      <c r="CX218" s="24"/>
      <c r="CY218" s="24"/>
      <c r="CZ218" s="24"/>
      <c r="DA218" s="24"/>
      <c r="DB218" s="24"/>
      <c r="DE218" s="123"/>
    </row>
    <row r="219" spans="1:110" s="22" customFormat="1" x14ac:dyDescent="0.2">
      <c r="A219" s="22" t="s">
        <v>95</v>
      </c>
      <c r="C219" s="22">
        <f t="shared" ref="C219:W219" si="1986">C220+C221</f>
        <v>-1092.1200000000013</v>
      </c>
      <c r="D219" s="22">
        <f t="shared" si="1986"/>
        <v>-1482.3499999999988</v>
      </c>
      <c r="E219" s="22">
        <f t="shared" si="1986"/>
        <v>-1107.4900000000011</v>
      </c>
      <c r="F219" s="22">
        <f t="shared" si="1986"/>
        <v>-1111.5699999999983</v>
      </c>
      <c r="G219" s="22">
        <f t="shared" si="1986"/>
        <v>-826.01000000000045</v>
      </c>
      <c r="H219" s="22">
        <f t="shared" si="1986"/>
        <v>21919.209999999995</v>
      </c>
      <c r="I219" s="22">
        <f t="shared" si="1986"/>
        <v>36097.070000000051</v>
      </c>
      <c r="J219" s="22">
        <f t="shared" si="1986"/>
        <v>-5110.3000000000266</v>
      </c>
      <c r="K219" s="22">
        <f t="shared" si="1986"/>
        <v>-9573.9199999999892</v>
      </c>
      <c r="L219" s="22">
        <f t="shared" si="1986"/>
        <v>11679.990000000022</v>
      </c>
      <c r="M219" s="22">
        <f t="shared" si="1986"/>
        <v>2285.0899999999747</v>
      </c>
      <c r="N219" s="22">
        <f t="shared" si="1986"/>
        <v>7737.1699999999846</v>
      </c>
      <c r="O219" s="22">
        <f t="shared" si="1986"/>
        <v>15906.899999999958</v>
      </c>
      <c r="P219" s="22">
        <f t="shared" si="1986"/>
        <v>-6368.2999999999711</v>
      </c>
      <c r="Q219" s="22">
        <f t="shared" si="1986"/>
        <v>10671.749999999985</v>
      </c>
      <c r="R219" s="22">
        <f t="shared" si="1986"/>
        <v>175.8899999999901</v>
      </c>
      <c r="S219" s="22">
        <f t="shared" si="1986"/>
        <v>18084.350000000006</v>
      </c>
      <c r="T219" s="22">
        <f t="shared" si="1986"/>
        <v>7933.2400000000325</v>
      </c>
      <c r="U219" s="22">
        <f t="shared" si="1986"/>
        <v>18828.800000000003</v>
      </c>
      <c r="V219" s="22">
        <f t="shared" si="1986"/>
        <v>-41805.890000000014</v>
      </c>
      <c r="W219" s="22">
        <f t="shared" si="1986"/>
        <v>-12402.220000000021</v>
      </c>
      <c r="X219" s="22">
        <f t="shared" ref="X219:Y219" si="1987">X220+X221</f>
        <v>-11494.630000000019</v>
      </c>
      <c r="Y219" s="22">
        <f t="shared" si="1987"/>
        <v>-4748.8099999999795</v>
      </c>
      <c r="Z219" s="22">
        <f t="shared" ref="Z219:AA219" si="1988">Z220+Z221</f>
        <v>2889.42</v>
      </c>
      <c r="AA219" s="22">
        <f t="shared" si="1988"/>
        <v>-2373.620000000019</v>
      </c>
      <c r="AB219" s="21">
        <f t="shared" ref="AA219:AD219" si="1989">AB220+AB221</f>
        <v>-1.4551915228366852E-11</v>
      </c>
      <c r="AC219" s="21">
        <f t="shared" si="1989"/>
        <v>4.3655745685100555E-11</v>
      </c>
      <c r="AD219" s="21">
        <f t="shared" si="1989"/>
        <v>0</v>
      </c>
      <c r="AE219" s="21">
        <f t="shared" ref="AE219" si="1990">AE220+AE221</f>
        <v>0</v>
      </c>
      <c r="AI219" s="22">
        <f t="shared" ref="AI219" si="1991">AI220+AI221</f>
        <v>-597.88000000000807</v>
      </c>
      <c r="AJ219" s="22">
        <f t="shared" ref="AJ219:AL219" si="1992">AJ220+AJ221</f>
        <v>100178.5</v>
      </c>
      <c r="AK219" s="22">
        <f t="shared" si="1992"/>
        <v>0</v>
      </c>
      <c r="AL219" s="22">
        <f t="shared" si="1992"/>
        <v>3019.9900000000084</v>
      </c>
      <c r="AM219" s="22">
        <f t="shared" ref="AM219" si="1993">AM220+AM221</f>
        <v>0</v>
      </c>
      <c r="AN219" s="22">
        <f t="shared" ref="AN219:CD219" si="1994">AN220+AN221</f>
        <v>12432.340000000004</v>
      </c>
      <c r="AO219" s="22">
        <f t="shared" si="1994"/>
        <v>0</v>
      </c>
      <c r="AP219" s="22">
        <f t="shared" si="1994"/>
        <v>1387.0500000000027</v>
      </c>
      <c r="AQ219" s="22">
        <f t="shared" si="1994"/>
        <v>-7.2759576141834259E-12</v>
      </c>
      <c r="AR219" s="22">
        <f t="shared" si="1994"/>
        <v>-11543.949999999992</v>
      </c>
      <c r="AS219" s="22">
        <f t="shared" si="1994"/>
        <v>0</v>
      </c>
      <c r="AT219" s="22">
        <f t="shared" si="1994"/>
        <v>13134.210000000003</v>
      </c>
      <c r="AU219" s="22">
        <f t="shared" si="1994"/>
        <v>0</v>
      </c>
      <c r="AV219" s="22">
        <f t="shared" si="1994"/>
        <v>-5132.3799999999992</v>
      </c>
      <c r="AW219" s="22">
        <f t="shared" si="1994"/>
        <v>0</v>
      </c>
      <c r="AX219" s="22">
        <f t="shared" si="1994"/>
        <v>20094.029999999992</v>
      </c>
      <c r="AY219" s="22">
        <f t="shared" si="1994"/>
        <v>0</v>
      </c>
      <c r="AZ219" s="22">
        <f t="shared" si="1994"/>
        <v>-775.6399999999976</v>
      </c>
      <c r="BA219" s="22">
        <f t="shared" si="1994"/>
        <v>0</v>
      </c>
      <c r="BB219" s="22">
        <f t="shared" si="1994"/>
        <v>1679.4399999999982</v>
      </c>
      <c r="BC219" s="22">
        <f t="shared" si="1994"/>
        <v>0</v>
      </c>
      <c r="BD219" s="22">
        <f t="shared" si="1994"/>
        <v>-2119.4600000000028</v>
      </c>
      <c r="BE219" s="22">
        <f t="shared" si="1994"/>
        <v>0</v>
      </c>
      <c r="BF219" s="22">
        <f t="shared" si="1994"/>
        <v>17394.96000000001</v>
      </c>
      <c r="BG219" s="22">
        <f t="shared" si="1994"/>
        <v>0</v>
      </c>
      <c r="BH219" s="22">
        <f t="shared" si="1994"/>
        <v>26603.429999999997</v>
      </c>
      <c r="BI219" s="22">
        <f t="shared" si="1994"/>
        <v>0</v>
      </c>
      <c r="BJ219" s="22">
        <f t="shared" si="1994"/>
        <v>-24868.619999999988</v>
      </c>
      <c r="BK219" s="22">
        <f t="shared" si="1994"/>
        <v>0</v>
      </c>
      <c r="BL219" s="22">
        <f t="shared" si="1994"/>
        <v>11491.8</v>
      </c>
      <c r="BM219" s="22">
        <f t="shared" si="1994"/>
        <v>0</v>
      </c>
      <c r="BN219" s="22">
        <f t="shared" si="1994"/>
        <v>13969.659999999994</v>
      </c>
      <c r="BO219" s="22">
        <f t="shared" si="1994"/>
        <v>0</v>
      </c>
      <c r="BP219" s="22">
        <f t="shared" si="1994"/>
        <v>-7690.7799999999952</v>
      </c>
      <c r="BQ219" s="22">
        <f t="shared" si="1994"/>
        <v>0</v>
      </c>
      <c r="BR219" s="22">
        <f t="shared" si="1994"/>
        <v>-31076.360000000011</v>
      </c>
      <c r="BS219" s="22">
        <f t="shared" si="1994"/>
        <v>0</v>
      </c>
      <c r="BT219" s="22">
        <f t="shared" si="1994"/>
        <v>-11833.710000000015</v>
      </c>
      <c r="BU219" s="22">
        <f t="shared" si="1994"/>
        <v>0</v>
      </c>
      <c r="BV219" s="22">
        <f t="shared" si="1994"/>
        <v>-568.50999999999112</v>
      </c>
      <c r="BW219" s="22">
        <f t="shared" si="1994"/>
        <v>0</v>
      </c>
      <c r="BX219" s="22">
        <f t="shared" si="1994"/>
        <v>-3788.7800000000007</v>
      </c>
      <c r="BY219" s="22">
        <f t="shared" si="1994"/>
        <v>0</v>
      </c>
      <c r="BZ219" s="22">
        <f t="shared" si="1994"/>
        <v>-7705.8500000000058</v>
      </c>
      <c r="CA219" s="22">
        <f t="shared" si="1994"/>
        <v>0</v>
      </c>
      <c r="CB219" s="22">
        <f t="shared" si="1994"/>
        <v>-2840.4100000000162</v>
      </c>
      <c r="CC219" s="22">
        <f t="shared" si="1994"/>
        <v>0</v>
      </c>
      <c r="CD219" s="22">
        <f t="shared" si="1994"/>
        <v>-1908.3999999999924</v>
      </c>
      <c r="CE219" s="22">
        <f t="shared" ref="CE219:CF219" si="1995">CE220+CE221</f>
        <v>0</v>
      </c>
      <c r="CF219" s="22">
        <f t="shared" si="1995"/>
        <v>8817.2699999999786</v>
      </c>
      <c r="CG219" s="22">
        <f t="shared" ref="CG219:CH219" si="1996">CG220+CG221</f>
        <v>0</v>
      </c>
      <c r="CH219" s="22">
        <f t="shared" si="1996"/>
        <v>-5927.8500000000076</v>
      </c>
      <c r="CI219" s="22">
        <f t="shared" ref="CI219:CJ219" si="1997">CI220+CI221</f>
        <v>0</v>
      </c>
      <c r="CJ219" s="22">
        <f t="shared" si="1997"/>
        <v>-20.049999999994725</v>
      </c>
      <c r="CK219" s="22">
        <f t="shared" ref="CK219:DB219" si="1998">CK220+CK221</f>
        <v>0</v>
      </c>
      <c r="CL219" s="22">
        <f t="shared" si="1998"/>
        <v>-2353.5699999999802</v>
      </c>
      <c r="CM219" s="21">
        <f t="shared" si="1998"/>
        <v>0</v>
      </c>
      <c r="CN219" s="21">
        <f t="shared" si="1998"/>
        <v>0</v>
      </c>
      <c r="CO219" s="21">
        <f t="shared" si="1998"/>
        <v>0</v>
      </c>
      <c r="CP219" s="21">
        <f t="shared" si="1998"/>
        <v>0</v>
      </c>
      <c r="CQ219" s="21">
        <f t="shared" si="1998"/>
        <v>0</v>
      </c>
      <c r="CR219" s="21">
        <f t="shared" si="1998"/>
        <v>0</v>
      </c>
      <c r="CS219" s="21">
        <f t="shared" si="1998"/>
        <v>0</v>
      </c>
      <c r="CT219" s="21">
        <f t="shared" si="1998"/>
        <v>0</v>
      </c>
      <c r="CU219" s="21">
        <f t="shared" si="1998"/>
        <v>0</v>
      </c>
      <c r="CV219" s="21">
        <f t="shared" si="1998"/>
        <v>0</v>
      </c>
      <c r="CW219" s="21">
        <f t="shared" si="1998"/>
        <v>0</v>
      </c>
      <c r="CX219" s="21">
        <f t="shared" si="1998"/>
        <v>0</v>
      </c>
      <c r="CY219" s="21">
        <f t="shared" si="1998"/>
        <v>0</v>
      </c>
      <c r="CZ219" s="21">
        <f t="shared" si="1998"/>
        <v>0</v>
      </c>
      <c r="DA219" s="21">
        <f t="shared" si="1998"/>
        <v>0</v>
      </c>
      <c r="DB219" s="21">
        <f t="shared" si="1998"/>
        <v>-2.9103830456733704E-11</v>
      </c>
      <c r="DE219" s="126"/>
      <c r="DF219" s="22">
        <v>0</v>
      </c>
    </row>
    <row r="220" spans="1:110" s="23" customFormat="1" x14ac:dyDescent="0.2">
      <c r="A220" s="23" t="s">
        <v>49</v>
      </c>
      <c r="C220" s="23">
        <f t="shared" ref="C220:AA220" si="1999">C142-B142</f>
        <v>446.54999999999927</v>
      </c>
      <c r="D220" s="23">
        <f t="shared" si="1999"/>
        <v>-223.45999999999913</v>
      </c>
      <c r="E220" s="23">
        <f>E142-D142</f>
        <v>-698.68000000000029</v>
      </c>
      <c r="F220" s="23">
        <f t="shared" si="1999"/>
        <v>-233.64999999999964</v>
      </c>
      <c r="G220" s="23">
        <f t="shared" si="1999"/>
        <v>-66.1200000000008</v>
      </c>
      <c r="H220" s="23">
        <f t="shared" si="1999"/>
        <v>21263.839999999997</v>
      </c>
      <c r="I220" s="23">
        <f t="shared" si="1999"/>
        <v>28660.959999999995</v>
      </c>
      <c r="J220" s="23">
        <f>J142-I142</f>
        <v>6238.1200000000026</v>
      </c>
      <c r="K220" s="23">
        <f>K142-J142</f>
        <v>-6671.9399999999951</v>
      </c>
      <c r="L220" s="23">
        <f t="shared" si="1999"/>
        <v>7907.8300000000017</v>
      </c>
      <c r="M220" s="23">
        <f t="shared" si="1999"/>
        <v>-7.0299999999988358</v>
      </c>
      <c r="N220" s="23">
        <f t="shared" si="1999"/>
        <v>8610.5500000000029</v>
      </c>
      <c r="O220" s="23">
        <f t="shared" si="1999"/>
        <v>13101.329999999987</v>
      </c>
      <c r="P220" s="23">
        <f t="shared" si="1999"/>
        <v>-907.35999999998603</v>
      </c>
      <c r="Q220" s="23">
        <f t="shared" si="1999"/>
        <v>1285.6399999999849</v>
      </c>
      <c r="R220" s="23">
        <f t="shared" si="1999"/>
        <v>1027.5599999999977</v>
      </c>
      <c r="S220" s="23">
        <f t="shared" si="1999"/>
        <v>9132.5600000000122</v>
      </c>
      <c r="T220" s="23">
        <f t="shared" si="1999"/>
        <v>8669.1700000000128</v>
      </c>
      <c r="U220" s="23">
        <f t="shared" si="1999"/>
        <v>15511.979999999981</v>
      </c>
      <c r="V220" s="23">
        <f t="shared" si="1999"/>
        <v>-37161.22</v>
      </c>
      <c r="W220" s="23">
        <f t="shared" si="1999"/>
        <v>-12613.300000000003</v>
      </c>
      <c r="X220" s="23">
        <f t="shared" si="1999"/>
        <v>9189.0200000000041</v>
      </c>
      <c r="Y220" s="23">
        <f t="shared" si="1999"/>
        <v>3556.2200000000012</v>
      </c>
      <c r="Z220" s="23">
        <f t="shared" si="1999"/>
        <v>7389.8899999999994</v>
      </c>
      <c r="AA220" s="23">
        <f t="shared" si="1999"/>
        <v>-4007.4200000000128</v>
      </c>
      <c r="AB220" s="24">
        <f t="shared" ref="AB220" si="2000">AB142-AA142</f>
        <v>0</v>
      </c>
      <c r="AC220" s="24">
        <f t="shared" ref="AC220" si="2001">AC142-AB142</f>
        <v>0</v>
      </c>
      <c r="AD220" s="24">
        <f t="shared" ref="AD220" si="2002">AD142-AC142</f>
        <v>0</v>
      </c>
      <c r="AE220" s="24">
        <f t="shared" ref="AE220" si="2003">AE142-AD142</f>
        <v>0</v>
      </c>
      <c r="AI220" s="23">
        <f t="shared" ref="AI220" si="2004">AI142-AH142</f>
        <v>0</v>
      </c>
      <c r="AJ220" s="23">
        <f t="shared" ref="AJ220" si="2005">AJ142-AI142</f>
        <v>53431.189999999995</v>
      </c>
      <c r="AK220" s="23">
        <f t="shared" ref="AK220" si="2006">AK142-AJ142</f>
        <v>0</v>
      </c>
      <c r="AL220" s="23">
        <f t="shared" ref="AL220" si="2007">AL142-AK142</f>
        <v>3973.9900000000052</v>
      </c>
      <c r="AM220" s="23">
        <f t="shared" ref="AM220" si="2008">AM142-AL142</f>
        <v>0</v>
      </c>
      <c r="AN220" s="23">
        <f t="shared" ref="AN220" si="2009">AN142-AM142</f>
        <v>7768.9599999999991</v>
      </c>
      <c r="AO220" s="23">
        <f t="shared" ref="AO220" si="2010">AO142-AN142</f>
        <v>0</v>
      </c>
      <c r="AP220" s="23">
        <f t="shared" ref="AP220" si="2011">AP142-AO142</f>
        <v>3218.4499999999971</v>
      </c>
      <c r="AQ220" s="23">
        <f t="shared" ref="AQ220" si="2012">AQ142-AP142</f>
        <v>0</v>
      </c>
      <c r="AR220" s="23">
        <f t="shared" ref="AR220" si="2013">AR142-AQ142</f>
        <v>-11501.429999999993</v>
      </c>
      <c r="AS220" s="23">
        <f t="shared" ref="AS220" si="2014">AS142-AR142</f>
        <v>0</v>
      </c>
      <c r="AT220" s="23">
        <f t="shared" ref="AT220" si="2015">AT142-AS142</f>
        <v>18382.589999999997</v>
      </c>
      <c r="AU220" s="23">
        <f t="shared" ref="AU220" si="2016">AU142-AT142</f>
        <v>0</v>
      </c>
      <c r="AV220" s="23">
        <f t="shared" ref="AV220" si="2017">AV142-AU142</f>
        <v>-3475.3899999999994</v>
      </c>
      <c r="AW220" s="23">
        <f t="shared" ref="AW220" si="2018">AW142-AV142</f>
        <v>0</v>
      </c>
      <c r="AX220" s="23">
        <f t="shared" ref="AX220" si="2019">AX142-AW142</f>
        <v>8796.5399999999936</v>
      </c>
      <c r="AY220" s="23">
        <f t="shared" ref="AY220" si="2020">AY142-AX142</f>
        <v>0</v>
      </c>
      <c r="AZ220" s="23">
        <f t="shared" ref="AZ220" si="2021">AZ142-AY142</f>
        <v>2182.6100000000006</v>
      </c>
      <c r="BA220" s="23">
        <f t="shared" ref="BA220" si="2022">BA142-AZ142</f>
        <v>0</v>
      </c>
      <c r="BB220" s="23">
        <f t="shared" ref="BB220" si="2023">BB142-BA142</f>
        <v>-427.13999999999942</v>
      </c>
      <c r="BC220" s="23">
        <f t="shared" ref="BC220" si="2024">BC142-BB142</f>
        <v>0</v>
      </c>
      <c r="BD220" s="23">
        <f t="shared" ref="BD220" si="2025">BD142-BC142</f>
        <v>7185.1199999999953</v>
      </c>
      <c r="BE220" s="23">
        <f t="shared" ref="BE220" si="2026">BE142-BD142</f>
        <v>0</v>
      </c>
      <c r="BF220" s="23">
        <f t="shared" ref="BF220" si="2027">BF142-BE142</f>
        <v>-861.40999999998894</v>
      </c>
      <c r="BG220" s="23">
        <f t="shared" ref="BG220" si="2028">BG142-BF142</f>
        <v>0</v>
      </c>
      <c r="BH220" s="23">
        <f t="shared" ref="BH220" si="2029">BH142-BG142</f>
        <v>26354.949999999997</v>
      </c>
      <c r="BI220" s="23">
        <f t="shared" ref="BI220" si="2030">BI142-BH142</f>
        <v>0</v>
      </c>
      <c r="BJ220" s="23">
        <f t="shared" ref="BJ220" si="2031">BJ142-BI142</f>
        <v>-23884.22</v>
      </c>
      <c r="BK220" s="23">
        <f t="shared" ref="BK220" si="2032">BK142-BJ142</f>
        <v>0</v>
      </c>
      <c r="BL220" s="23">
        <f t="shared" ref="BL220" si="2033">BL142-BK142</f>
        <v>11600.820000000007</v>
      </c>
      <c r="BM220" s="23">
        <f t="shared" ref="BM220" si="2034">BM142-BL142</f>
        <v>0</v>
      </c>
      <c r="BN220" s="23">
        <f t="shared" ref="BN220" si="2035">BN142-BM142</f>
        <v>10543.819999999992</v>
      </c>
      <c r="BO220" s="23">
        <f t="shared" ref="BO220" si="2036">BO142-BN142</f>
        <v>0</v>
      </c>
      <c r="BP220" s="23">
        <f t="shared" ref="BP220" si="2037">BP142-BO142</f>
        <v>-1928.9599999999919</v>
      </c>
      <c r="BQ220" s="23">
        <f t="shared" ref="BQ220" si="2038">BQ142-BP142</f>
        <v>0</v>
      </c>
      <c r="BR220" s="23">
        <f t="shared" ref="BR220" si="2039">BR142-BQ142</f>
        <v>-30693.510000000009</v>
      </c>
      <c r="BS220" s="23">
        <f t="shared" ref="BS220" si="2040">BS142-BR142</f>
        <v>0</v>
      </c>
      <c r="BT220" s="23">
        <f t="shared" ref="BT220" si="2041">BT142-BS142</f>
        <v>-9723.7400000000052</v>
      </c>
      <c r="BU220" s="23">
        <f t="shared" ref="BU220" si="2042">BU142-BT142</f>
        <v>0</v>
      </c>
      <c r="BV220" s="23">
        <f t="shared" ref="BV220" si="2043">BV142-BU142</f>
        <v>-2114.5599999999977</v>
      </c>
      <c r="BW220" s="23">
        <f t="shared" ref="BW220" si="2044">BW142-BV142</f>
        <v>0</v>
      </c>
      <c r="BX220" s="23">
        <f t="shared" ref="BX220" si="2045">BX142-BW142</f>
        <v>12559.150000000009</v>
      </c>
      <c r="BY220" s="23">
        <f t="shared" ref="BY220" si="2046">BY142-BX142</f>
        <v>0</v>
      </c>
      <c r="BZ220" s="23">
        <f t="shared" ref="BZ220" si="2047">BZ142-BY142</f>
        <v>-3370.1300000000047</v>
      </c>
      <c r="CA220" s="23">
        <f t="shared" ref="CA220" si="2048">CA142-BZ142</f>
        <v>0</v>
      </c>
      <c r="CB220" s="23">
        <f t="shared" ref="CB220" si="2049">CB142-CA142</f>
        <v>5970.2599999999948</v>
      </c>
      <c r="CC220" s="23">
        <f t="shared" ref="CC220" si="2050">CC142-CB142</f>
        <v>0</v>
      </c>
      <c r="CD220" s="23">
        <f t="shared" ref="CD220" si="2051">CD142-CC142</f>
        <v>-2414.0399999999936</v>
      </c>
      <c r="CE220" s="23">
        <f t="shared" ref="CE220" si="2052">CE142-CD142</f>
        <v>0</v>
      </c>
      <c r="CF220" s="23">
        <f t="shared" ref="CF220" si="2053">CF142-CE142</f>
        <v>12534.029999999999</v>
      </c>
      <c r="CG220" s="23">
        <f t="shared" ref="CG220" si="2054">CG142-CF142</f>
        <v>0</v>
      </c>
      <c r="CH220" s="23">
        <f t="shared" ref="CH220:CL220" si="2055">CH142-CG142</f>
        <v>-5144.1399999999994</v>
      </c>
      <c r="CI220" s="23">
        <f t="shared" si="2055"/>
        <v>0</v>
      </c>
      <c r="CJ220" s="23">
        <f t="shared" si="2055"/>
        <v>580.25</v>
      </c>
      <c r="CK220" s="23">
        <f t="shared" ref="CK220" si="2056">CK142-CJ142</f>
        <v>0</v>
      </c>
      <c r="CL220" s="23">
        <f t="shared" si="2055"/>
        <v>-4587.6699999999983</v>
      </c>
      <c r="CM220" s="24">
        <f t="shared" ref="CM220" si="2057">CM142-CL142</f>
        <v>0</v>
      </c>
      <c r="CN220" s="24">
        <f t="shared" ref="CN220" si="2058">CN142-CM142</f>
        <v>0</v>
      </c>
      <c r="CO220" s="24">
        <f t="shared" ref="CO220" si="2059">CO142-CN142</f>
        <v>0</v>
      </c>
      <c r="CP220" s="24">
        <f t="shared" ref="CP220" si="2060">CP142-CO142</f>
        <v>0</v>
      </c>
      <c r="CQ220" s="24">
        <f t="shared" ref="CQ220" si="2061">CQ142-CP142</f>
        <v>0</v>
      </c>
      <c r="CR220" s="24">
        <f t="shared" ref="CR220" si="2062">CR142-CQ142</f>
        <v>0</v>
      </c>
      <c r="CS220" s="24">
        <f t="shared" ref="CS220" si="2063">CS142-CR142</f>
        <v>0</v>
      </c>
      <c r="CT220" s="24">
        <f t="shared" ref="CT220" si="2064">CT142-CS142</f>
        <v>0</v>
      </c>
      <c r="CU220" s="24">
        <f t="shared" ref="CU220" si="2065">CU142-CT142</f>
        <v>0</v>
      </c>
      <c r="CV220" s="24">
        <f t="shared" ref="CV220" si="2066">CV142-CU142</f>
        <v>0</v>
      </c>
      <c r="CW220" s="24">
        <f t="shared" ref="CW220" si="2067">CW142-CV142</f>
        <v>0</v>
      </c>
      <c r="CX220" s="24">
        <f t="shared" ref="CX220" si="2068">CX142-CW142</f>
        <v>0</v>
      </c>
      <c r="CY220" s="24">
        <f t="shared" ref="CY220" si="2069">CY142-CX142</f>
        <v>0</v>
      </c>
      <c r="CZ220" s="24">
        <f t="shared" ref="CZ220" si="2070">CZ142-CY142</f>
        <v>0</v>
      </c>
      <c r="DA220" s="24">
        <f t="shared" ref="DA220" si="2071">DA142-CZ142</f>
        <v>0</v>
      </c>
      <c r="DB220" s="24">
        <f t="shared" ref="DB220" si="2072">DB142-DA142</f>
        <v>0</v>
      </c>
      <c r="DE220" s="123"/>
      <c r="DF220" s="23">
        <v>0</v>
      </c>
    </row>
    <row r="221" spans="1:110" s="23" customFormat="1" x14ac:dyDescent="0.2">
      <c r="A221" s="23" t="s">
        <v>27</v>
      </c>
      <c r="C221" s="23">
        <f t="shared" ref="C221:AE221" si="2073">C134-C57-B134+C136-B136</f>
        <v>-1538.6700000000005</v>
      </c>
      <c r="D221" s="23">
        <f t="shared" si="2073"/>
        <v>-1258.8899999999996</v>
      </c>
      <c r="E221" s="23">
        <f t="shared" si="2073"/>
        <v>-408.81000000000097</v>
      </c>
      <c r="F221" s="23">
        <f t="shared" si="2073"/>
        <v>-877.91999999999882</v>
      </c>
      <c r="G221" s="23">
        <f t="shared" si="2073"/>
        <v>-759.88999999999965</v>
      </c>
      <c r="H221" s="23">
        <f t="shared" si="2073"/>
        <v>655.36999999999921</v>
      </c>
      <c r="I221" s="23">
        <f t="shared" si="2073"/>
        <v>7436.1100000000533</v>
      </c>
      <c r="J221" s="23">
        <f t="shared" si="2073"/>
        <v>-11348.420000000029</v>
      </c>
      <c r="K221" s="23">
        <f t="shared" si="2073"/>
        <v>-2901.9799999999946</v>
      </c>
      <c r="L221" s="23">
        <f t="shared" si="2073"/>
        <v>3772.1600000000194</v>
      </c>
      <c r="M221" s="23">
        <f t="shared" si="2073"/>
        <v>2292.1199999999735</v>
      </c>
      <c r="N221" s="23">
        <f t="shared" si="2073"/>
        <v>-873.38000000001853</v>
      </c>
      <c r="O221" s="23">
        <f t="shared" si="2073"/>
        <v>2805.5699999999706</v>
      </c>
      <c r="P221" s="23">
        <f t="shared" si="2073"/>
        <v>-5460.939999999985</v>
      </c>
      <c r="Q221" s="23">
        <f t="shared" si="2073"/>
        <v>9386.11</v>
      </c>
      <c r="R221" s="23">
        <f t="shared" si="2073"/>
        <v>-851.67000000000758</v>
      </c>
      <c r="S221" s="23">
        <f t="shared" si="2073"/>
        <v>8951.7899999999936</v>
      </c>
      <c r="T221" s="23">
        <f t="shared" si="2073"/>
        <v>-735.92999999998074</v>
      </c>
      <c r="U221" s="23">
        <f t="shared" si="2073"/>
        <v>3316.8200000000224</v>
      </c>
      <c r="V221" s="23">
        <f t="shared" si="2073"/>
        <v>-4644.6700000000146</v>
      </c>
      <c r="W221" s="23">
        <f t="shared" si="2073"/>
        <v>211.07999999998219</v>
      </c>
      <c r="X221" s="23">
        <f t="shared" si="2073"/>
        <v>-20683.650000000023</v>
      </c>
      <c r="Y221" s="23">
        <f t="shared" si="2073"/>
        <v>-8305.0299999999806</v>
      </c>
      <c r="Z221" s="23">
        <f t="shared" si="2073"/>
        <v>-4500.4699999999993</v>
      </c>
      <c r="AA221" s="23">
        <f t="shared" si="2073"/>
        <v>1633.799999999994</v>
      </c>
      <c r="AB221" s="24">
        <f t="shared" si="2073"/>
        <v>-1.4551915228366852E-11</v>
      </c>
      <c r="AC221" s="24">
        <f t="shared" si="2073"/>
        <v>4.3655745685100555E-11</v>
      </c>
      <c r="AD221" s="24">
        <f t="shared" si="2073"/>
        <v>0</v>
      </c>
      <c r="AE221" s="24">
        <f t="shared" si="2073"/>
        <v>0</v>
      </c>
      <c r="AI221" s="23">
        <f t="shared" ref="AI221:BN221" si="2074">AI134-AI57-AH134+AI136-AH136</f>
        <v>-597.88000000000807</v>
      </c>
      <c r="AJ221" s="23">
        <f t="shared" si="2074"/>
        <v>46747.31</v>
      </c>
      <c r="AK221" s="23">
        <f t="shared" si="2074"/>
        <v>0</v>
      </c>
      <c r="AL221" s="23">
        <f t="shared" si="2074"/>
        <v>-953.99999999999682</v>
      </c>
      <c r="AM221" s="23">
        <f t="shared" si="2074"/>
        <v>0</v>
      </c>
      <c r="AN221" s="23">
        <f t="shared" si="2074"/>
        <v>4663.3800000000047</v>
      </c>
      <c r="AO221" s="23">
        <f t="shared" si="2074"/>
        <v>0</v>
      </c>
      <c r="AP221" s="23">
        <f t="shared" si="2074"/>
        <v>-1831.3999999999944</v>
      </c>
      <c r="AQ221" s="23">
        <f t="shared" si="2074"/>
        <v>-7.2759576141834259E-12</v>
      </c>
      <c r="AR221" s="23">
        <f t="shared" si="2074"/>
        <v>-42.519999999998845</v>
      </c>
      <c r="AS221" s="23">
        <f t="shared" si="2074"/>
        <v>0</v>
      </c>
      <c r="AT221" s="23">
        <f t="shared" si="2074"/>
        <v>-5248.3799999999928</v>
      </c>
      <c r="AU221" s="23">
        <f t="shared" si="2074"/>
        <v>0</v>
      </c>
      <c r="AV221" s="23">
        <f t="shared" si="2074"/>
        <v>-1656.99</v>
      </c>
      <c r="AW221" s="23">
        <f t="shared" si="2074"/>
        <v>0</v>
      </c>
      <c r="AX221" s="23">
        <f t="shared" si="2074"/>
        <v>11297.49</v>
      </c>
      <c r="AY221" s="23">
        <f t="shared" si="2074"/>
        <v>0</v>
      </c>
      <c r="AZ221" s="23">
        <f t="shared" si="2074"/>
        <v>-2958.2499999999982</v>
      </c>
      <c r="BA221" s="23">
        <f t="shared" si="2074"/>
        <v>0</v>
      </c>
      <c r="BB221" s="23">
        <f t="shared" si="2074"/>
        <v>2106.5799999999977</v>
      </c>
      <c r="BC221" s="23">
        <f t="shared" si="2074"/>
        <v>0</v>
      </c>
      <c r="BD221" s="23">
        <f t="shared" si="2074"/>
        <v>-9304.5799999999981</v>
      </c>
      <c r="BE221" s="23">
        <f t="shared" si="2074"/>
        <v>0</v>
      </c>
      <c r="BF221" s="23">
        <f t="shared" si="2074"/>
        <v>18256.37</v>
      </c>
      <c r="BG221" s="23">
        <f t="shared" si="2074"/>
        <v>0</v>
      </c>
      <c r="BH221" s="23">
        <f t="shared" si="2074"/>
        <v>248.48000000000116</v>
      </c>
      <c r="BI221" s="23">
        <f t="shared" si="2074"/>
        <v>0</v>
      </c>
      <c r="BJ221" s="23">
        <f t="shared" si="2074"/>
        <v>-984.39999999998713</v>
      </c>
      <c r="BK221" s="23">
        <f t="shared" si="2074"/>
        <v>0</v>
      </c>
      <c r="BL221" s="23">
        <f t="shared" si="2074"/>
        <v>-109.02000000000817</v>
      </c>
      <c r="BM221" s="23">
        <f t="shared" si="2074"/>
        <v>0</v>
      </c>
      <c r="BN221" s="23">
        <f t="shared" si="2074"/>
        <v>3425.8400000000015</v>
      </c>
      <c r="BO221" s="23">
        <f t="shared" ref="BO221:CT221" si="2075">BO134-BO57-BN134+BO136-BN136</f>
        <v>0</v>
      </c>
      <c r="BP221" s="23">
        <f t="shared" si="2075"/>
        <v>-5761.8200000000033</v>
      </c>
      <c r="BQ221" s="23">
        <f t="shared" si="2075"/>
        <v>0</v>
      </c>
      <c r="BR221" s="23">
        <f t="shared" si="2075"/>
        <v>-382.85000000000355</v>
      </c>
      <c r="BS221" s="23">
        <f t="shared" si="2075"/>
        <v>0</v>
      </c>
      <c r="BT221" s="23">
        <f t="shared" si="2075"/>
        <v>-2109.9700000000098</v>
      </c>
      <c r="BU221" s="23">
        <f t="shared" si="2075"/>
        <v>0</v>
      </c>
      <c r="BV221" s="23">
        <f t="shared" si="2075"/>
        <v>1546.0500000000065</v>
      </c>
      <c r="BW221" s="23">
        <f t="shared" si="2075"/>
        <v>0</v>
      </c>
      <c r="BX221" s="23">
        <f t="shared" si="2075"/>
        <v>-16347.930000000009</v>
      </c>
      <c r="BY221" s="23">
        <f t="shared" si="2075"/>
        <v>0</v>
      </c>
      <c r="BZ221" s="23">
        <f t="shared" si="2075"/>
        <v>-4335.7200000000012</v>
      </c>
      <c r="CA221" s="23">
        <f t="shared" si="2075"/>
        <v>0</v>
      </c>
      <c r="CB221" s="23">
        <f t="shared" si="2075"/>
        <v>-8810.670000000011</v>
      </c>
      <c r="CC221" s="23">
        <f t="shared" si="2075"/>
        <v>0</v>
      </c>
      <c r="CD221" s="23">
        <f t="shared" si="2075"/>
        <v>505.64000000000124</v>
      </c>
      <c r="CE221" s="23">
        <f t="shared" si="2075"/>
        <v>0</v>
      </c>
      <c r="CF221" s="23">
        <f t="shared" si="2075"/>
        <v>-3716.7600000000198</v>
      </c>
      <c r="CG221" s="23">
        <f t="shared" si="2075"/>
        <v>0</v>
      </c>
      <c r="CH221" s="23">
        <f t="shared" si="2075"/>
        <v>-783.71000000000868</v>
      </c>
      <c r="CI221" s="23">
        <f t="shared" si="2075"/>
        <v>0</v>
      </c>
      <c r="CJ221" s="23">
        <f t="shared" si="2075"/>
        <v>-600.29999999999472</v>
      </c>
      <c r="CK221" s="23">
        <f t="shared" si="2075"/>
        <v>0</v>
      </c>
      <c r="CL221" s="23">
        <f t="shared" si="2075"/>
        <v>2234.1000000000181</v>
      </c>
      <c r="CM221" s="24">
        <f t="shared" si="2075"/>
        <v>0</v>
      </c>
      <c r="CN221" s="24">
        <f t="shared" si="2075"/>
        <v>0</v>
      </c>
      <c r="CO221" s="24">
        <f t="shared" si="2075"/>
        <v>0</v>
      </c>
      <c r="CP221" s="24">
        <f t="shared" si="2075"/>
        <v>0</v>
      </c>
      <c r="CQ221" s="24">
        <f t="shared" si="2075"/>
        <v>0</v>
      </c>
      <c r="CR221" s="24">
        <f t="shared" si="2075"/>
        <v>0</v>
      </c>
      <c r="CS221" s="24">
        <f t="shared" si="2075"/>
        <v>0</v>
      </c>
      <c r="CT221" s="24">
        <f t="shared" si="2075"/>
        <v>0</v>
      </c>
      <c r="CU221" s="24">
        <f t="shared" ref="CU221:DB221" si="2076">CU134-CU57-CT134+CU136-CT136</f>
        <v>0</v>
      </c>
      <c r="CV221" s="24">
        <f t="shared" si="2076"/>
        <v>0</v>
      </c>
      <c r="CW221" s="24">
        <f t="shared" si="2076"/>
        <v>0</v>
      </c>
      <c r="CX221" s="24">
        <f t="shared" si="2076"/>
        <v>0</v>
      </c>
      <c r="CY221" s="24">
        <f t="shared" si="2076"/>
        <v>0</v>
      </c>
      <c r="CZ221" s="24">
        <f t="shared" si="2076"/>
        <v>0</v>
      </c>
      <c r="DA221" s="24">
        <f t="shared" si="2076"/>
        <v>0</v>
      </c>
      <c r="DB221" s="24">
        <f t="shared" si="2076"/>
        <v>-2.9103830456733704E-11</v>
      </c>
      <c r="DE221" s="123"/>
      <c r="DF221" s="23">
        <v>0</v>
      </c>
    </row>
    <row r="222" spans="1:110" s="23" customFormat="1" x14ac:dyDescent="0.2">
      <c r="AB222" s="24"/>
      <c r="AC222" s="24"/>
      <c r="AD222" s="24"/>
      <c r="AE222" s="24"/>
      <c r="CM222" s="24"/>
      <c r="CN222" s="24"/>
      <c r="CO222" s="24"/>
      <c r="CP222" s="24"/>
      <c r="CQ222" s="24"/>
      <c r="CR222" s="24"/>
      <c r="CS222" s="24"/>
      <c r="CT222" s="24"/>
      <c r="CU222" s="24"/>
      <c r="CV222" s="24"/>
      <c r="CW222" s="24"/>
      <c r="CX222" s="24"/>
      <c r="CY222" s="24"/>
      <c r="CZ222" s="24"/>
      <c r="DA222" s="24"/>
      <c r="DB222" s="24"/>
      <c r="DE222" s="123"/>
    </row>
    <row r="223" spans="1:110" s="23" customFormat="1" x14ac:dyDescent="0.2">
      <c r="A223" s="23" t="s">
        <v>442</v>
      </c>
      <c r="C223" s="23">
        <f t="shared" ref="C223" si="2077">B175</f>
        <v>464.27</v>
      </c>
      <c r="D223" s="23">
        <f t="shared" ref="D223" si="2078">C175</f>
        <v>438.43</v>
      </c>
      <c r="E223" s="23">
        <f>D175</f>
        <v>1024.55</v>
      </c>
      <c r="F223" s="23">
        <f t="shared" ref="F223" si="2079">E175</f>
        <v>1862.9299999999998</v>
      </c>
      <c r="G223" s="23">
        <f t="shared" ref="G223" si="2080">F175</f>
        <v>2033.03</v>
      </c>
      <c r="H223" s="23">
        <f t="shared" ref="H223" si="2081">G175</f>
        <v>2901.02</v>
      </c>
      <c r="I223" s="23">
        <f t="shared" ref="I223" si="2082">H175</f>
        <v>14688.06</v>
      </c>
      <c r="J223" s="23">
        <f>I175</f>
        <v>5365.5999999999995</v>
      </c>
      <c r="K223" s="23">
        <f>J175</f>
        <v>9546.0999999999985</v>
      </c>
      <c r="L223" s="23">
        <f t="shared" ref="L223" si="2083">K175</f>
        <v>8746.35</v>
      </c>
      <c r="M223" s="23">
        <f t="shared" ref="M223" si="2084">L175</f>
        <v>14018.33</v>
      </c>
      <c r="N223" s="23">
        <f t="shared" ref="N223" si="2085">M175</f>
        <v>12197.18</v>
      </c>
      <c r="O223" s="23">
        <f t="shared" ref="O223" si="2086">N175</f>
        <v>10594.21</v>
      </c>
      <c r="P223" s="23">
        <f t="shared" ref="P223" si="2087">O175</f>
        <v>11272.9</v>
      </c>
      <c r="Q223" s="23">
        <f t="shared" ref="Q223" si="2088">P175</f>
        <v>10124.560000000001</v>
      </c>
      <c r="R223" s="23">
        <f t="shared" ref="R223" si="2089">Q175</f>
        <v>10849.89</v>
      </c>
      <c r="S223" s="23">
        <f t="shared" ref="S223" si="2090">R175</f>
        <v>10595.21</v>
      </c>
      <c r="T223" s="23">
        <f t="shared" ref="T223" si="2091">S175</f>
        <v>22846.82</v>
      </c>
      <c r="U223" s="23">
        <f t="shared" ref="U223" si="2092">T175</f>
        <v>5866.23</v>
      </c>
      <c r="V223" s="23">
        <f t="shared" ref="V223" si="2093">U175</f>
        <v>11486.59</v>
      </c>
      <c r="W223" s="23">
        <f t="shared" ref="W223:AA223" si="2094">V175</f>
        <v>13001.07</v>
      </c>
      <c r="X223" s="23">
        <f t="shared" si="2094"/>
        <v>24423.35</v>
      </c>
      <c r="Y223" s="23">
        <f t="shared" si="2094"/>
        <v>16987.32</v>
      </c>
      <c r="Z223" s="23">
        <f t="shared" si="2094"/>
        <v>9408.9499999999989</v>
      </c>
      <c r="AA223" s="23">
        <f t="shared" si="2094"/>
        <v>12089.63</v>
      </c>
      <c r="AB223" s="24">
        <f t="shared" ref="AB223" si="2095">AA175</f>
        <v>11061.07</v>
      </c>
      <c r="AC223" s="24">
        <f t="shared" ref="AC223" si="2096">AB175</f>
        <v>19117.287154558362</v>
      </c>
      <c r="AD223" s="24">
        <f t="shared" ref="AD223" si="2097">AC175</f>
        <v>28119.065387443588</v>
      </c>
      <c r="AE223" s="24">
        <f t="shared" ref="AE223" si="2098">AD175</f>
        <v>67186.827866202395</v>
      </c>
      <c r="AI223" s="23">
        <f t="shared" ref="AI223" si="2099">AH175</f>
        <v>0</v>
      </c>
      <c r="AJ223" s="23">
        <f t="shared" ref="AJ223" si="2100">AI175</f>
        <v>0</v>
      </c>
      <c r="AK223" s="23">
        <f t="shared" ref="AK223" si="2101">AJ175</f>
        <v>9590.369999999999</v>
      </c>
      <c r="AL223" s="23">
        <f t="shared" ref="AL223" si="2102">AK175</f>
        <v>11315.051274861413</v>
      </c>
      <c r="AM223" s="23">
        <f t="shared" ref="AM223" si="2103">AL175</f>
        <v>10594.21</v>
      </c>
      <c r="AN223" s="23">
        <f t="shared" ref="AN223" si="2104">AM175</f>
        <v>12731.714542232758</v>
      </c>
      <c r="AO223" s="23">
        <f t="shared" ref="AO223" si="2105">AN175</f>
        <v>12731.36</v>
      </c>
      <c r="AP223" s="23">
        <f t="shared" ref="AP223" si="2106">AO175</f>
        <v>13190.283942274082</v>
      </c>
      <c r="AQ223" s="23">
        <f t="shared" ref="AQ223" si="2107">AP175</f>
        <v>11272.9</v>
      </c>
      <c r="AR223" s="23">
        <f t="shared" ref="AR223" si="2108">AQ175</f>
        <v>14436.312847927235</v>
      </c>
      <c r="AS223" s="23">
        <f t="shared" ref="AS223" si="2109">AR175</f>
        <v>14362.82</v>
      </c>
      <c r="AT223" s="23">
        <f t="shared" ref="AT223" si="2110">AS175</f>
        <v>15734.596647876248</v>
      </c>
      <c r="AU223" s="23">
        <f t="shared" ref="AU223" si="2111">AT175</f>
        <v>10124.560000000001</v>
      </c>
      <c r="AV223" s="23">
        <f t="shared" ref="AV223" si="2112">AU175</f>
        <v>13656.621617064975</v>
      </c>
      <c r="AW223" s="23">
        <f t="shared" ref="AW223" si="2113">AV175</f>
        <v>7138.65</v>
      </c>
      <c r="AX223" s="23">
        <f t="shared" ref="AX223" si="2114">AW175</f>
        <v>6259.9480785138549</v>
      </c>
      <c r="AY223" s="23">
        <f t="shared" ref="AY223" si="2115">AX175</f>
        <v>10849.89</v>
      </c>
      <c r="AZ223" s="23">
        <f t="shared" ref="AZ223" si="2116">AY175</f>
        <v>8780.5851042618633</v>
      </c>
      <c r="BA223" s="23">
        <f t="shared" ref="BA223" si="2117">AZ175</f>
        <v>8714.74</v>
      </c>
      <c r="BB223" s="23">
        <f t="shared" ref="BB223" si="2118">BA175</f>
        <v>8610.2462682667301</v>
      </c>
      <c r="BC223" s="23">
        <f t="shared" ref="BC223" si="2119">BB175</f>
        <v>10594.18</v>
      </c>
      <c r="BD223" s="23">
        <f t="shared" ref="BD223" si="2120">BC175</f>
        <v>14350.442116332884</v>
      </c>
      <c r="BE223" s="23">
        <f t="shared" ref="BE223" si="2121">BD175</f>
        <v>11937.32</v>
      </c>
      <c r="BF223" s="23">
        <f t="shared" ref="BF223" si="2122">BE175</f>
        <v>12603.398958629432</v>
      </c>
      <c r="BG223" s="23">
        <f t="shared" ref="BG223" si="2123">BF175</f>
        <v>22846.82</v>
      </c>
      <c r="BH223" s="23">
        <f t="shared" ref="BH223" si="2124">BG175</f>
        <v>23718.644526008862</v>
      </c>
      <c r="BI223" s="23">
        <f t="shared" ref="BI223" si="2125">BH175</f>
        <v>14388.98</v>
      </c>
      <c r="BJ223" s="23">
        <f t="shared" ref="BJ223" si="2126">BI175</f>
        <v>18064.990496552793</v>
      </c>
      <c r="BK223" s="23">
        <f t="shared" ref="BK223" si="2127">BJ175</f>
        <v>5866.23</v>
      </c>
      <c r="BL223" s="23">
        <f t="shared" ref="BL223" si="2128">BK175</f>
        <v>9903.8422430915161</v>
      </c>
      <c r="BM223" s="23">
        <f t="shared" ref="BM223" si="2129">BL175</f>
        <v>4535.66</v>
      </c>
      <c r="BN223" s="23">
        <f t="shared" ref="BN223" si="2130">BM175</f>
        <v>2770.7086480622102</v>
      </c>
      <c r="BO223" s="23">
        <f t="shared" ref="BO223" si="2131">BN175</f>
        <v>11486.59</v>
      </c>
      <c r="BP223" s="23">
        <f t="shared" ref="BP223" si="2132">BO175</f>
        <v>12211.097488350952</v>
      </c>
      <c r="BQ223" s="23">
        <f t="shared" ref="BQ223" si="2133">BP175</f>
        <v>17771.54</v>
      </c>
      <c r="BR223" s="23">
        <f t="shared" ref="BR223" si="2134">BQ175</f>
        <v>20573.606720272317</v>
      </c>
      <c r="BS223" s="23">
        <f t="shared" ref="BS223" si="2135">BR175</f>
        <v>13001.07</v>
      </c>
      <c r="BT223" s="23">
        <f t="shared" ref="BT223" si="2136">BS175</f>
        <v>20750.47487242936</v>
      </c>
      <c r="BU223" s="23">
        <f t="shared" ref="BU223" si="2137">BT175</f>
        <v>9223.83</v>
      </c>
      <c r="BV223" s="23">
        <f t="shared" ref="BV223" si="2138">BU175</f>
        <v>18618.378170285625</v>
      </c>
      <c r="BW223" s="23">
        <f t="shared" ref="BW223" si="2139">BV175</f>
        <v>24423.35</v>
      </c>
      <c r="BX223" s="23">
        <f t="shared" ref="BX223" si="2140">BW175</f>
        <v>34254.642699712189</v>
      </c>
      <c r="BY223" s="23">
        <f t="shared" ref="BY223" si="2141">BX175</f>
        <v>15681.51</v>
      </c>
      <c r="BZ223" s="23">
        <f t="shared" ref="BZ223" si="2142">BY175</f>
        <v>15070.285173407301</v>
      </c>
      <c r="CA223" s="23">
        <f t="shared" ref="CA223" si="2143">BZ175</f>
        <v>16987.32</v>
      </c>
      <c r="CB223" s="23">
        <f t="shared" ref="CB223" si="2144">CA175</f>
        <v>18991.020539081474</v>
      </c>
      <c r="CC223" s="23">
        <f t="shared" ref="CC223" si="2145">CB175</f>
        <v>12590.14</v>
      </c>
      <c r="CD223" s="23">
        <f t="shared" ref="CD223" si="2146">CC175</f>
        <v>13254.328060544962</v>
      </c>
      <c r="CE223" s="23">
        <f t="shared" ref="CE223" si="2147">CD175</f>
        <v>9408.9499999999989</v>
      </c>
      <c r="CF223" s="23">
        <f t="shared" ref="CF223" si="2148">CE175</f>
        <v>12049.593581672098</v>
      </c>
      <c r="CG223" s="23">
        <f t="shared" ref="CG223" si="2149">CF175</f>
        <v>10438.42</v>
      </c>
      <c r="CH223" s="23">
        <f t="shared" ref="CH223:CL223" si="2150">CG175</f>
        <v>10882.602011132241</v>
      </c>
      <c r="CI223" s="23">
        <f t="shared" si="2150"/>
        <v>12089.63</v>
      </c>
      <c r="CJ223" s="23">
        <f t="shared" si="2150"/>
        <v>15853.527052526319</v>
      </c>
      <c r="CK223" s="23">
        <f t="shared" ref="CK223" si="2151">CJ175</f>
        <v>8485.61</v>
      </c>
      <c r="CL223" s="23">
        <f t="shared" si="2150"/>
        <v>7945.6026869468396</v>
      </c>
      <c r="CM223" s="24">
        <f t="shared" ref="CM223" si="2152">CL175</f>
        <v>11061.07</v>
      </c>
      <c r="CN223" s="24">
        <f t="shared" ref="CN223" si="2153">CM175</f>
        <v>10306.536391594023</v>
      </c>
      <c r="CO223" s="24">
        <f t="shared" ref="CO223" si="2154">CN175</f>
        <v>13213.339944412424</v>
      </c>
      <c r="CP223" s="24">
        <f t="shared" ref="CP223" si="2155">CO175</f>
        <v>15673.889161367155</v>
      </c>
      <c r="CQ223" s="24">
        <f t="shared" ref="CQ223" si="2156">CP175</f>
        <v>19117.287154558362</v>
      </c>
      <c r="CR223" s="24">
        <f t="shared" ref="CR223" si="2157">CQ175</f>
        <v>16659.489856895027</v>
      </c>
      <c r="CS223" s="24">
        <f t="shared" ref="CS223" si="2158">CR175</f>
        <v>19637.395452172539</v>
      </c>
      <c r="CT223" s="24">
        <f t="shared" ref="CT223" si="2159">CS175</f>
        <v>23807.163464069308</v>
      </c>
      <c r="CU223" s="24">
        <f t="shared" ref="CU223" si="2160">CT175</f>
        <v>28119.065387443588</v>
      </c>
      <c r="CV223" s="24">
        <f t="shared" ref="CV223" si="2161">CU175</f>
        <v>33234.38396048273</v>
      </c>
      <c r="CW223" s="24">
        <f t="shared" ref="CW223" si="2162">CV175</f>
        <v>43609.619467317767</v>
      </c>
      <c r="CX223" s="24">
        <f t="shared" ref="CX223" si="2163">CW175</f>
        <v>55325.392384045335</v>
      </c>
      <c r="CY223" s="24">
        <f t="shared" ref="CY223" si="2164">CX175</f>
        <v>67186.827866202395</v>
      </c>
      <c r="CZ223" s="24">
        <f t="shared" ref="CZ223" si="2165">CY175</f>
        <v>73070.19364352338</v>
      </c>
      <c r="DA223" s="24">
        <f t="shared" ref="DA223" si="2166">CZ175</f>
        <v>84631.55036027325</v>
      </c>
      <c r="DB223" s="24">
        <f t="shared" ref="DB223" si="2167">DA175</f>
        <v>97622.134481012341</v>
      </c>
      <c r="DE223" s="123"/>
      <c r="DF223" s="23">
        <v>7945.6026869468396</v>
      </c>
    </row>
    <row r="224" spans="1:110" s="23" customFormat="1" x14ac:dyDescent="0.2">
      <c r="A224" s="23" t="s">
        <v>443</v>
      </c>
      <c r="C224" s="23">
        <f t="shared" ref="C224:W224" si="2168">C223+C219+C215+C213</f>
        <v>438.42999999999938</v>
      </c>
      <c r="D224" s="23">
        <f t="shared" si="2168"/>
        <v>1024.5500000000015</v>
      </c>
      <c r="E224" s="23">
        <f t="shared" si="2168"/>
        <v>1862.9299999999982</v>
      </c>
      <c r="F224" s="23">
        <f t="shared" si="2168"/>
        <v>2033.0300000000007</v>
      </c>
      <c r="G224" s="23">
        <f t="shared" si="2168"/>
        <v>2901.0199999999986</v>
      </c>
      <c r="H224" s="23">
        <f t="shared" si="2168"/>
        <v>14688.06</v>
      </c>
      <c r="I224" s="23">
        <f t="shared" si="2168"/>
        <v>5365.5999999999767</v>
      </c>
      <c r="J224" s="23">
        <f>J223+J219+J215+J213</f>
        <v>9546.1000000000058</v>
      </c>
      <c r="K224" s="23">
        <f>K223+K219+K215+K213</f>
        <v>8746.3500000000058</v>
      </c>
      <c r="L224" s="23">
        <f>L223+L219+L215+L213</f>
        <v>14018.329999999998</v>
      </c>
      <c r="M224" s="23">
        <f>M223+M219+M215+M213</f>
        <v>12197.180000000002</v>
      </c>
      <c r="N224" s="23">
        <f t="shared" si="2168"/>
        <v>10594.210000000028</v>
      </c>
      <c r="O224" s="23">
        <f t="shared" si="2168"/>
        <v>11272.899999999943</v>
      </c>
      <c r="P224" s="23">
        <f t="shared" si="2168"/>
        <v>10124.560000000056</v>
      </c>
      <c r="Q224" s="23">
        <f t="shared" si="2168"/>
        <v>10849.889999999938</v>
      </c>
      <c r="R224" s="23">
        <f t="shared" si="2168"/>
        <v>10595.210000000037</v>
      </c>
      <c r="S224" s="23">
        <f t="shared" si="2168"/>
        <v>22846.820000000014</v>
      </c>
      <c r="T224" s="23">
        <f t="shared" si="2168"/>
        <v>5866.2300000000014</v>
      </c>
      <c r="U224" s="23">
        <f t="shared" si="2168"/>
        <v>11486.589999999935</v>
      </c>
      <c r="V224" s="23">
        <f t="shared" si="2168"/>
        <v>13001.070000000036</v>
      </c>
      <c r="W224" s="23">
        <f t="shared" si="2168"/>
        <v>24423.350000000028</v>
      </c>
      <c r="X224" s="23">
        <f t="shared" ref="X224:Y224" si="2169">X223+X219+X215+X213</f>
        <v>16987.319999999949</v>
      </c>
      <c r="Y224" s="23">
        <f t="shared" si="2169"/>
        <v>9408.9500000000007</v>
      </c>
      <c r="Z224" s="23">
        <f t="shared" ref="Z224:AA224" si="2170">Z223+Z219+Z215+Z213</f>
        <v>12089.630000000026</v>
      </c>
      <c r="AA224" s="23">
        <f t="shared" si="2170"/>
        <v>11061.069999999978</v>
      </c>
      <c r="AB224" s="24">
        <f t="shared" ref="AA224:AD224" si="2171">AB223+AB219+AB215+AB213</f>
        <v>19117.287154558398</v>
      </c>
      <c r="AC224" s="24">
        <f t="shared" si="2171"/>
        <v>28119.065387443596</v>
      </c>
      <c r="AD224" s="24">
        <f t="shared" si="2171"/>
        <v>67186.827866202395</v>
      </c>
      <c r="AE224" s="24">
        <f t="shared" ref="AE224" si="2172">AE223+AE219+AE215+AE213</f>
        <v>110764.71166651948</v>
      </c>
      <c r="AI224" s="23">
        <f t="shared" ref="AI224" si="2173">AI223+AI219+AI215+AI213</f>
        <v>0</v>
      </c>
      <c r="AJ224" s="23">
        <f t="shared" ref="AJ224:AL224" si="2174">AJ223+AJ219+AJ215+AJ213</f>
        <v>9590.3699999999881</v>
      </c>
      <c r="AK224" s="23">
        <f t="shared" si="2174"/>
        <v>11315.051274861413</v>
      </c>
      <c r="AL224" s="23">
        <f t="shared" si="2174"/>
        <v>10594.210000000017</v>
      </c>
      <c r="AM224" s="23">
        <f t="shared" ref="AM224" si="2175">AM223+AM219+AM215+AM213</f>
        <v>12731.714542232758</v>
      </c>
      <c r="AN224" s="23">
        <f t="shared" ref="AN224:CD224" si="2176">AN223+AN219+AN215+AN213</f>
        <v>12731.359999999984</v>
      </c>
      <c r="AO224" s="23">
        <f t="shared" si="2176"/>
        <v>13190.283942274082</v>
      </c>
      <c r="AP224" s="23">
        <f t="shared" si="2176"/>
        <v>11272.900000000011</v>
      </c>
      <c r="AQ224" s="23">
        <f t="shared" si="2176"/>
        <v>14436.312847927235</v>
      </c>
      <c r="AR224" s="23">
        <f t="shared" si="2176"/>
        <v>14362.820000000009</v>
      </c>
      <c r="AS224" s="23">
        <f t="shared" si="2176"/>
        <v>15734.596647876248</v>
      </c>
      <c r="AT224" s="23">
        <f t="shared" si="2176"/>
        <v>10124.559999999994</v>
      </c>
      <c r="AU224" s="23">
        <f t="shared" si="2176"/>
        <v>13656.621617064975</v>
      </c>
      <c r="AV224" s="23">
        <f t="shared" si="2176"/>
        <v>7138.6500000000069</v>
      </c>
      <c r="AW224" s="23">
        <f t="shared" si="2176"/>
        <v>6259.9480785138549</v>
      </c>
      <c r="AX224" s="23">
        <f t="shared" si="2176"/>
        <v>10849.889999999989</v>
      </c>
      <c r="AY224" s="23">
        <f t="shared" si="2176"/>
        <v>8780.5851042618633</v>
      </c>
      <c r="AZ224" s="23">
        <f t="shared" si="2176"/>
        <v>8714.739999999998</v>
      </c>
      <c r="BA224" s="23">
        <f t="shared" si="2176"/>
        <v>8610.2462682667301</v>
      </c>
      <c r="BB224" s="23">
        <f t="shared" si="2176"/>
        <v>10594.180000000011</v>
      </c>
      <c r="BC224" s="23">
        <f t="shared" si="2176"/>
        <v>14350.442116332884</v>
      </c>
      <c r="BD224" s="23">
        <f t="shared" si="2176"/>
        <v>11937.31999999998</v>
      </c>
      <c r="BE224" s="23">
        <f t="shared" si="2176"/>
        <v>12603.398958629432</v>
      </c>
      <c r="BF224" s="23">
        <f t="shared" si="2176"/>
        <v>22846.819999999996</v>
      </c>
      <c r="BG224" s="23">
        <f t="shared" si="2176"/>
        <v>23718.644526008862</v>
      </c>
      <c r="BH224" s="23">
        <f t="shared" si="2176"/>
        <v>14388.979999999994</v>
      </c>
      <c r="BI224" s="23">
        <f t="shared" si="2176"/>
        <v>18064.990496552793</v>
      </c>
      <c r="BJ224" s="23">
        <f t="shared" si="2176"/>
        <v>5866.230000000005</v>
      </c>
      <c r="BK224" s="23">
        <f t="shared" si="2176"/>
        <v>9903.8422430915161</v>
      </c>
      <c r="BL224" s="23">
        <f t="shared" si="2176"/>
        <v>4535.6599999999744</v>
      </c>
      <c r="BM224" s="23">
        <f t="shared" si="2176"/>
        <v>2770.7086480622102</v>
      </c>
      <c r="BN224" s="23">
        <f t="shared" si="2176"/>
        <v>11486.590000000007</v>
      </c>
      <c r="BO224" s="23">
        <f t="shared" si="2176"/>
        <v>12211.097488350952</v>
      </c>
      <c r="BP224" s="23">
        <f t="shared" si="2176"/>
        <v>17771.54000000003</v>
      </c>
      <c r="BQ224" s="23">
        <f t="shared" si="2176"/>
        <v>20573.606720272317</v>
      </c>
      <c r="BR224" s="23">
        <f t="shared" si="2176"/>
        <v>13001.069999999992</v>
      </c>
      <c r="BS224" s="23">
        <f t="shared" si="2176"/>
        <v>20750.47487242936</v>
      </c>
      <c r="BT224" s="23">
        <f t="shared" si="2176"/>
        <v>9223.8299999999435</v>
      </c>
      <c r="BU224" s="23">
        <f t="shared" si="2176"/>
        <v>18618.378170285625</v>
      </c>
      <c r="BV224" s="23">
        <f t="shared" si="2176"/>
        <v>24423.350000000017</v>
      </c>
      <c r="BW224" s="23">
        <f t="shared" si="2176"/>
        <v>34254.642699712189</v>
      </c>
      <c r="BX224" s="23">
        <f t="shared" si="2176"/>
        <v>15681.509999999997</v>
      </c>
      <c r="BY224" s="23">
        <f t="shared" si="2176"/>
        <v>15070.285173407301</v>
      </c>
      <c r="BZ224" s="23">
        <f t="shared" si="2176"/>
        <v>16987.319999999985</v>
      </c>
      <c r="CA224" s="23">
        <f t="shared" si="2176"/>
        <v>18991.020539081474</v>
      </c>
      <c r="CB224" s="23">
        <f t="shared" si="2176"/>
        <v>12590.139999999989</v>
      </c>
      <c r="CC224" s="23">
        <f t="shared" si="2176"/>
        <v>13254.328060544962</v>
      </c>
      <c r="CD224" s="23">
        <f t="shared" si="2176"/>
        <v>9408.9499999999753</v>
      </c>
      <c r="CE224" s="23">
        <f t="shared" ref="CE224:CF224" si="2177">CE223+CE219+CE215+CE213</f>
        <v>12049.593581672098</v>
      </c>
      <c r="CF224" s="23">
        <f t="shared" si="2177"/>
        <v>10438.41999999998</v>
      </c>
      <c r="CG224" s="23">
        <f t="shared" ref="CG224:CH224" si="2178">CG223+CG219+CG215+CG213</f>
        <v>10882.602011132241</v>
      </c>
      <c r="CH224" s="23">
        <f t="shared" si="2178"/>
        <v>12089.630000000026</v>
      </c>
      <c r="CI224" s="23">
        <f t="shared" ref="CI224:CJ224" si="2179">CI223+CI219+CI215+CI213</f>
        <v>15853.527052526319</v>
      </c>
      <c r="CJ224" s="23">
        <f t="shared" si="2179"/>
        <v>8485.6099999999715</v>
      </c>
      <c r="CK224" s="23">
        <f t="shared" ref="CK224:DB224" si="2180">CK223+CK219+CK215+CK213</f>
        <v>7945.6026869468396</v>
      </c>
      <c r="CL224" s="23">
        <f t="shared" si="2180"/>
        <v>11061.070000000036</v>
      </c>
      <c r="CM224" s="24">
        <f t="shared" si="2180"/>
        <v>10306.536391594023</v>
      </c>
      <c r="CN224" s="24">
        <f t="shared" si="2180"/>
        <v>13213.339944412424</v>
      </c>
      <c r="CO224" s="24">
        <f t="shared" si="2180"/>
        <v>15673.889161367155</v>
      </c>
      <c r="CP224" s="24">
        <f t="shared" si="2180"/>
        <v>19117.287154558362</v>
      </c>
      <c r="CQ224" s="24">
        <f t="shared" si="2180"/>
        <v>16659.489856895027</v>
      </c>
      <c r="CR224" s="24">
        <f t="shared" si="2180"/>
        <v>19637.395452172539</v>
      </c>
      <c r="CS224" s="24">
        <f t="shared" si="2180"/>
        <v>23807.163464069308</v>
      </c>
      <c r="CT224" s="24">
        <f t="shared" si="2180"/>
        <v>28119.065387443588</v>
      </c>
      <c r="CU224" s="24">
        <f t="shared" si="2180"/>
        <v>33234.38396048273</v>
      </c>
      <c r="CV224" s="24">
        <f t="shared" si="2180"/>
        <v>43609.619467317767</v>
      </c>
      <c r="CW224" s="24">
        <f t="shared" si="2180"/>
        <v>55325.392384045335</v>
      </c>
      <c r="CX224" s="24">
        <f t="shared" si="2180"/>
        <v>67186.827866202395</v>
      </c>
      <c r="CY224" s="24">
        <f t="shared" si="2180"/>
        <v>73070.19364352338</v>
      </c>
      <c r="CZ224" s="24">
        <f t="shared" si="2180"/>
        <v>84631.55036027325</v>
      </c>
      <c r="DA224" s="24">
        <f t="shared" si="2180"/>
        <v>97622.134481012341</v>
      </c>
      <c r="DB224" s="24">
        <f t="shared" si="2180"/>
        <v>110764.71166651946</v>
      </c>
      <c r="DE224" s="123"/>
      <c r="DF224" s="23">
        <v>9614.7857584647718</v>
      </c>
    </row>
    <row r="225" spans="1:110" s="28" customFormat="1" x14ac:dyDescent="0.2">
      <c r="A225" s="28" t="s">
        <v>444</v>
      </c>
      <c r="C225" s="28">
        <f t="shared" ref="C225:W225" si="2181">C224-C175</f>
        <v>-6.2527760746888816E-13</v>
      </c>
      <c r="D225" s="28">
        <f t="shared" si="2181"/>
        <v>0</v>
      </c>
      <c r="E225" s="28">
        <f t="shared" si="2181"/>
        <v>0</v>
      </c>
      <c r="F225" s="28">
        <f t="shared" si="2181"/>
        <v>0</v>
      </c>
      <c r="G225" s="28">
        <f t="shared" si="2181"/>
        <v>0</v>
      </c>
      <c r="H225" s="28">
        <f t="shared" si="2181"/>
        <v>0</v>
      </c>
      <c r="I225" s="28">
        <f t="shared" si="2181"/>
        <v>-2.2737367544323206E-11</v>
      </c>
      <c r="J225" s="28">
        <f>J224-J175</f>
        <v>0</v>
      </c>
      <c r="K225" s="28">
        <f t="shared" si="2181"/>
        <v>0</v>
      </c>
      <c r="L225" s="28">
        <f t="shared" si="2181"/>
        <v>0</v>
      </c>
      <c r="M225" s="28">
        <f t="shared" si="2181"/>
        <v>0</v>
      </c>
      <c r="N225" s="28">
        <f t="shared" si="2181"/>
        <v>2.9103830456733704E-11</v>
      </c>
      <c r="O225" s="28">
        <f t="shared" si="2181"/>
        <v>-5.6388671509921551E-11</v>
      </c>
      <c r="P225" s="28">
        <f t="shared" si="2181"/>
        <v>5.4569682106375694E-11</v>
      </c>
      <c r="Q225" s="28">
        <f t="shared" si="2181"/>
        <v>-6.184563972055912E-11</v>
      </c>
      <c r="R225" s="28">
        <f t="shared" si="2181"/>
        <v>3.8198777474462986E-11</v>
      </c>
      <c r="S225" s="28">
        <f t="shared" si="2181"/>
        <v>0</v>
      </c>
      <c r="T225" s="28">
        <f t="shared" si="2181"/>
        <v>0</v>
      </c>
      <c r="U225" s="28">
        <f t="shared" si="2181"/>
        <v>-6.5483618527650833E-11</v>
      </c>
      <c r="V225" s="28">
        <f t="shared" si="2181"/>
        <v>3.637978807091713E-11</v>
      </c>
      <c r="W225" s="28">
        <f t="shared" si="2181"/>
        <v>2.9103830456733704E-11</v>
      </c>
      <c r="X225" s="28">
        <f t="shared" ref="X225:Y225" si="2182">X224-X175</f>
        <v>-5.0931703299283981E-11</v>
      </c>
      <c r="Y225" s="28">
        <f t="shared" si="2182"/>
        <v>0</v>
      </c>
      <c r="Z225" s="28">
        <f t="shared" ref="Z225:AA225" si="2183">Z224-Z175</f>
        <v>2.7284841053187847E-11</v>
      </c>
      <c r="AA225" s="28">
        <f t="shared" si="2183"/>
        <v>-2.1827872842550278E-11</v>
      </c>
      <c r="AB225" s="30">
        <f t="shared" ref="AA225:AD225" si="2184">AB224-AB175</f>
        <v>3.637978807091713E-11</v>
      </c>
      <c r="AC225" s="30">
        <f t="shared" si="2184"/>
        <v>0</v>
      </c>
      <c r="AD225" s="30">
        <f t="shared" si="2184"/>
        <v>0</v>
      </c>
      <c r="AE225" s="30">
        <f t="shared" ref="AE225" si="2185">AE224-AE175</f>
        <v>0</v>
      </c>
      <c r="AI225" s="28">
        <f t="shared" ref="AI225" si="2186">AI224-AI175</f>
        <v>0</v>
      </c>
      <c r="AJ225" s="28">
        <f t="shared" ref="AJ225:AL225" si="2187">AJ224-AJ175</f>
        <v>0</v>
      </c>
      <c r="AK225" s="28">
        <f t="shared" si="2187"/>
        <v>0</v>
      </c>
      <c r="AL225" s="28">
        <f t="shared" si="2187"/>
        <v>1.8189894035458565E-11</v>
      </c>
      <c r="AM225" s="28">
        <f t="shared" ref="AM225" si="2188">AM224-AM175</f>
        <v>0</v>
      </c>
      <c r="AN225" s="28">
        <f t="shared" ref="AN225:CD225" si="2189">AN224-AN175</f>
        <v>-1.6370904631912708E-11</v>
      </c>
      <c r="AO225" s="28">
        <f t="shared" si="2189"/>
        <v>0</v>
      </c>
      <c r="AP225" s="28">
        <f t="shared" si="2189"/>
        <v>0</v>
      </c>
      <c r="AQ225" s="28">
        <f t="shared" si="2189"/>
        <v>0</v>
      </c>
      <c r="AR225" s="28">
        <f t="shared" si="2189"/>
        <v>0</v>
      </c>
      <c r="AS225" s="28">
        <f t="shared" si="2189"/>
        <v>0</v>
      </c>
      <c r="AT225" s="28">
        <f t="shared" si="2189"/>
        <v>0</v>
      </c>
      <c r="AU225" s="28">
        <f t="shared" si="2189"/>
        <v>0</v>
      </c>
      <c r="AV225" s="28">
        <f t="shared" si="2189"/>
        <v>7.2759576141834259E-12</v>
      </c>
      <c r="AW225" s="28">
        <f t="shared" si="2189"/>
        <v>0</v>
      </c>
      <c r="AX225" s="28">
        <f t="shared" si="2189"/>
        <v>0</v>
      </c>
      <c r="AY225" s="28">
        <f t="shared" si="2189"/>
        <v>0</v>
      </c>
      <c r="AZ225" s="28">
        <f t="shared" si="2189"/>
        <v>0</v>
      </c>
      <c r="BA225" s="28">
        <f t="shared" si="2189"/>
        <v>0</v>
      </c>
      <c r="BB225" s="28">
        <f t="shared" si="2189"/>
        <v>0</v>
      </c>
      <c r="BC225" s="28">
        <f t="shared" si="2189"/>
        <v>0</v>
      </c>
      <c r="BD225" s="28">
        <f t="shared" si="2189"/>
        <v>-2.0008883439004421E-11</v>
      </c>
      <c r="BE225" s="28">
        <f t="shared" si="2189"/>
        <v>0</v>
      </c>
      <c r="BF225" s="28">
        <f t="shared" si="2189"/>
        <v>0</v>
      </c>
      <c r="BG225" s="28">
        <f t="shared" si="2189"/>
        <v>0</v>
      </c>
      <c r="BH225" s="28">
        <f t="shared" si="2189"/>
        <v>0</v>
      </c>
      <c r="BI225" s="28">
        <f t="shared" si="2189"/>
        <v>0</v>
      </c>
      <c r="BJ225" s="28">
        <f t="shared" si="2189"/>
        <v>0</v>
      </c>
      <c r="BK225" s="28">
        <f t="shared" si="2189"/>
        <v>0</v>
      </c>
      <c r="BL225" s="28">
        <f t="shared" si="2189"/>
        <v>-2.5465851649641991E-11</v>
      </c>
      <c r="BM225" s="28">
        <f t="shared" si="2189"/>
        <v>0</v>
      </c>
      <c r="BN225" s="28">
        <f t="shared" si="2189"/>
        <v>0</v>
      </c>
      <c r="BO225" s="28">
        <f t="shared" si="2189"/>
        <v>0</v>
      </c>
      <c r="BP225" s="28">
        <f t="shared" si="2189"/>
        <v>2.9103830456733704E-11</v>
      </c>
      <c r="BQ225" s="28">
        <f t="shared" si="2189"/>
        <v>0</v>
      </c>
      <c r="BR225" s="28">
        <f t="shared" si="2189"/>
        <v>0</v>
      </c>
      <c r="BS225" s="28">
        <f t="shared" si="2189"/>
        <v>0</v>
      </c>
      <c r="BT225" s="28">
        <f t="shared" si="2189"/>
        <v>-5.6388671509921551E-11</v>
      </c>
      <c r="BU225" s="28">
        <f t="shared" si="2189"/>
        <v>0</v>
      </c>
      <c r="BV225" s="28">
        <f t="shared" si="2189"/>
        <v>0</v>
      </c>
      <c r="BW225" s="28">
        <f t="shared" si="2189"/>
        <v>0</v>
      </c>
      <c r="BX225" s="28">
        <f t="shared" si="2189"/>
        <v>0</v>
      </c>
      <c r="BY225" s="28">
        <f t="shared" si="2189"/>
        <v>0</v>
      </c>
      <c r="BZ225" s="28">
        <f t="shared" si="2189"/>
        <v>0</v>
      </c>
      <c r="CA225" s="28">
        <f t="shared" si="2189"/>
        <v>0</v>
      </c>
      <c r="CB225" s="28">
        <f t="shared" si="2189"/>
        <v>0</v>
      </c>
      <c r="CC225" s="28">
        <f t="shared" si="2189"/>
        <v>0</v>
      </c>
      <c r="CD225" s="28">
        <f t="shared" si="2189"/>
        <v>-2.3646862246096134E-11</v>
      </c>
      <c r="CE225" s="28">
        <f t="shared" ref="CE225:CF225" si="2190">CE224-CE175</f>
        <v>0</v>
      </c>
      <c r="CF225" s="28">
        <f t="shared" si="2190"/>
        <v>-2.0008883439004421E-11</v>
      </c>
      <c r="CG225" s="28">
        <f t="shared" ref="CG225:CH225" si="2191">CG224-CG175</f>
        <v>0</v>
      </c>
      <c r="CH225" s="28">
        <f t="shared" si="2191"/>
        <v>2.7284841053187847E-11</v>
      </c>
      <c r="CI225" s="28">
        <f t="shared" ref="CI225:CJ225" si="2192">CI224-CI175</f>
        <v>0</v>
      </c>
      <c r="CJ225" s="28">
        <f t="shared" si="2192"/>
        <v>-2.9103830456733704E-11</v>
      </c>
      <c r="CK225" s="28">
        <f t="shared" ref="CK225:DB225" si="2193">CK224-CK175</f>
        <v>0</v>
      </c>
      <c r="CL225" s="28">
        <f t="shared" si="2193"/>
        <v>3.637978807091713E-11</v>
      </c>
      <c r="CM225" s="30">
        <f t="shared" si="2193"/>
        <v>0</v>
      </c>
      <c r="CN225" s="30">
        <f t="shared" si="2193"/>
        <v>0</v>
      </c>
      <c r="CO225" s="30">
        <f t="shared" si="2193"/>
        <v>0</v>
      </c>
      <c r="CP225" s="30">
        <f t="shared" si="2193"/>
        <v>0</v>
      </c>
      <c r="CQ225" s="30">
        <f t="shared" si="2193"/>
        <v>0</v>
      </c>
      <c r="CR225" s="30">
        <f t="shared" si="2193"/>
        <v>0</v>
      </c>
      <c r="CS225" s="30">
        <f t="shared" si="2193"/>
        <v>0</v>
      </c>
      <c r="CT225" s="30">
        <f t="shared" si="2193"/>
        <v>0</v>
      </c>
      <c r="CU225" s="30">
        <f t="shared" si="2193"/>
        <v>0</v>
      </c>
      <c r="CV225" s="30">
        <f t="shared" si="2193"/>
        <v>0</v>
      </c>
      <c r="CW225" s="30">
        <f t="shared" si="2193"/>
        <v>0</v>
      </c>
      <c r="CX225" s="30">
        <f t="shared" si="2193"/>
        <v>0</v>
      </c>
      <c r="CY225" s="30">
        <f t="shared" si="2193"/>
        <v>0</v>
      </c>
      <c r="CZ225" s="30">
        <f t="shared" si="2193"/>
        <v>0</v>
      </c>
      <c r="DA225" s="30">
        <f t="shared" si="2193"/>
        <v>0</v>
      </c>
      <c r="DB225" s="30">
        <f t="shared" si="2193"/>
        <v>0</v>
      </c>
      <c r="DE225" s="139"/>
      <c r="DF225" s="28">
        <v>0</v>
      </c>
    </row>
    <row r="226" spans="1:110" s="23" customFormat="1" x14ac:dyDescent="0.2">
      <c r="AB226" s="24"/>
      <c r="AC226" s="24"/>
      <c r="AD226" s="24"/>
      <c r="AE226" s="24"/>
      <c r="CM226" s="24"/>
      <c r="CN226" s="24"/>
      <c r="CO226" s="24"/>
      <c r="CP226" s="24"/>
      <c r="CQ226" s="24"/>
      <c r="CR226" s="24"/>
      <c r="CS226" s="24"/>
      <c r="CT226" s="24"/>
      <c r="CU226" s="24"/>
      <c r="CV226" s="24"/>
      <c r="CW226" s="24"/>
      <c r="CX226" s="24"/>
      <c r="CY226" s="24"/>
      <c r="CZ226" s="24"/>
      <c r="DA226" s="24"/>
      <c r="DB226" s="24"/>
      <c r="DE226" s="123"/>
    </row>
    <row r="227" spans="1:110" s="22" customFormat="1" x14ac:dyDescent="0.2">
      <c r="A227" s="22" t="s">
        <v>96</v>
      </c>
      <c r="C227" s="22">
        <f t="shared" ref="C227:W227" si="2194">C213+C215</f>
        <v>1066.2800000000007</v>
      </c>
      <c r="D227" s="22">
        <f t="shared" si="2194"/>
        <v>2068.4700000000003</v>
      </c>
      <c r="E227" s="22">
        <f t="shared" si="2194"/>
        <v>1945.8699999999994</v>
      </c>
      <c r="F227" s="22">
        <f t="shared" si="2194"/>
        <v>1281.6699999999992</v>
      </c>
      <c r="G227" s="22">
        <f t="shared" si="2194"/>
        <v>1693.9999999999991</v>
      </c>
      <c r="H227" s="22">
        <f t="shared" si="2194"/>
        <v>-10132.169999999996</v>
      </c>
      <c r="I227" s="22">
        <f t="shared" si="2194"/>
        <v>-45419.530000000072</v>
      </c>
      <c r="J227" s="22">
        <f>J213+J215</f>
        <v>9290.8000000000338</v>
      </c>
      <c r="K227" s="22">
        <f t="shared" si="2194"/>
        <v>8774.1699999999964</v>
      </c>
      <c r="L227" s="22">
        <f t="shared" si="2194"/>
        <v>-6408.0100000000239</v>
      </c>
      <c r="M227" s="22">
        <f t="shared" si="2194"/>
        <v>-4106.2399999999725</v>
      </c>
      <c r="N227" s="22">
        <f t="shared" si="2194"/>
        <v>-9340.1399999999558</v>
      </c>
      <c r="O227" s="22">
        <f t="shared" si="2194"/>
        <v>-15228.210000000014</v>
      </c>
      <c r="P227" s="22">
        <f t="shared" si="2194"/>
        <v>5219.9600000000273</v>
      </c>
      <c r="Q227" s="22">
        <f t="shared" si="2194"/>
        <v>-9946.4200000000492</v>
      </c>
      <c r="R227" s="22">
        <f t="shared" si="2194"/>
        <v>-430.56999999995242</v>
      </c>
      <c r="S227" s="22">
        <f t="shared" si="2194"/>
        <v>-5832.7399999999889</v>
      </c>
      <c r="T227" s="22">
        <f t="shared" si="2194"/>
        <v>-24913.830000000031</v>
      </c>
      <c r="U227" s="22">
        <f t="shared" si="2194"/>
        <v>-13208.440000000068</v>
      </c>
      <c r="V227" s="22">
        <f t="shared" si="2194"/>
        <v>43320.370000000054</v>
      </c>
      <c r="W227" s="22">
        <f t="shared" si="2194"/>
        <v>23824.500000000051</v>
      </c>
      <c r="X227" s="22">
        <f t="shared" ref="X227:Y227" si="2195">X213+X215</f>
        <v>4058.5999999999694</v>
      </c>
      <c r="Y227" s="22">
        <f t="shared" si="2195"/>
        <v>-2829.5600000000195</v>
      </c>
      <c r="Z227" s="22">
        <f t="shared" ref="Z227:AA227" si="2196">Z213+Z215</f>
        <v>-208.7399999999725</v>
      </c>
      <c r="AA227" s="22">
        <f t="shared" si="2196"/>
        <v>1345.0599999999977</v>
      </c>
      <c r="AB227" s="21">
        <f t="shared" ref="AA227:AD227" si="2197">AB213+AB215</f>
        <v>8056.2171545584133</v>
      </c>
      <c r="AC227" s="21">
        <f t="shared" si="2197"/>
        <v>9001.7782328851899</v>
      </c>
      <c r="AD227" s="21">
        <f t="shared" si="2197"/>
        <v>39067.762478758807</v>
      </c>
      <c r="AE227" s="21">
        <f t="shared" ref="AE227" si="2198">AE213+AE215</f>
        <v>43577.883800317082</v>
      </c>
      <c r="AI227" s="22">
        <f t="shared" ref="AI227" si="2199">AI213+AI215</f>
        <v>597.88000000000807</v>
      </c>
      <c r="AJ227" s="22">
        <f t="shared" ref="AJ227:AL227" si="2200">AJ213+AJ215</f>
        <v>-90588.130000000019</v>
      </c>
      <c r="AK227" s="22">
        <f t="shared" si="2200"/>
        <v>1724.6812748614129</v>
      </c>
      <c r="AL227" s="22">
        <f t="shared" si="2200"/>
        <v>-3740.8312748614048</v>
      </c>
      <c r="AM227" s="22">
        <f t="shared" ref="AM227" si="2201">AM213+AM215</f>
        <v>2137.5045422327589</v>
      </c>
      <c r="AN227" s="22">
        <f t="shared" ref="AN227:CD227" si="2202">AN213+AN215</f>
        <v>-12432.694542232779</v>
      </c>
      <c r="AO227" s="22">
        <f t="shared" si="2202"/>
        <v>458.92394227408158</v>
      </c>
      <c r="AP227" s="22">
        <f t="shared" si="2202"/>
        <v>-3304.4339422740736</v>
      </c>
      <c r="AQ227" s="22">
        <f t="shared" si="2202"/>
        <v>3163.4128479272431</v>
      </c>
      <c r="AR227" s="22">
        <f t="shared" si="2202"/>
        <v>11470.457152072766</v>
      </c>
      <c r="AS227" s="22">
        <f t="shared" si="2202"/>
        <v>1371.7766478762478</v>
      </c>
      <c r="AT227" s="22">
        <f t="shared" si="2202"/>
        <v>-18744.246647876254</v>
      </c>
      <c r="AU227" s="22">
        <f t="shared" si="2202"/>
        <v>3532.0616170649728</v>
      </c>
      <c r="AV227" s="22">
        <f t="shared" si="2202"/>
        <v>-1385.5916170649684</v>
      </c>
      <c r="AW227" s="22">
        <f t="shared" si="2202"/>
        <v>-878.70192148614456</v>
      </c>
      <c r="AX227" s="22">
        <f t="shared" si="2202"/>
        <v>-15504.088078513858</v>
      </c>
      <c r="AY227" s="22">
        <f t="shared" si="2202"/>
        <v>-2069.3048957381357</v>
      </c>
      <c r="AZ227" s="22">
        <f t="shared" si="2202"/>
        <v>709.79489573813225</v>
      </c>
      <c r="BA227" s="22">
        <f t="shared" si="2202"/>
        <v>-104.49373173326944</v>
      </c>
      <c r="BB227" s="22">
        <f t="shared" si="2202"/>
        <v>304.49373173328263</v>
      </c>
      <c r="BC227" s="22">
        <f t="shared" si="2202"/>
        <v>3756.262116332884</v>
      </c>
      <c r="BD227" s="22">
        <f t="shared" si="2202"/>
        <v>-293.66211633290277</v>
      </c>
      <c r="BE227" s="22">
        <f t="shared" si="2202"/>
        <v>666.07895862943224</v>
      </c>
      <c r="BF227" s="22">
        <f t="shared" si="2202"/>
        <v>-7151.538958629445</v>
      </c>
      <c r="BG227" s="22">
        <f t="shared" si="2202"/>
        <v>871.82452600886336</v>
      </c>
      <c r="BH227" s="22">
        <f t="shared" si="2202"/>
        <v>-35933.094526008863</v>
      </c>
      <c r="BI227" s="22">
        <f t="shared" si="2202"/>
        <v>3676.0104965527926</v>
      </c>
      <c r="BJ227" s="22">
        <f t="shared" si="2202"/>
        <v>12669.8595034472</v>
      </c>
      <c r="BK227" s="22">
        <f t="shared" si="2202"/>
        <v>4037.6122430915157</v>
      </c>
      <c r="BL227" s="22">
        <f t="shared" si="2202"/>
        <v>-16859.982243091541</v>
      </c>
      <c r="BM227" s="22">
        <f t="shared" si="2202"/>
        <v>-1764.9513519377899</v>
      </c>
      <c r="BN227" s="22">
        <f t="shared" si="2202"/>
        <v>-5253.778648062198</v>
      </c>
      <c r="BO227" s="22">
        <f t="shared" si="2202"/>
        <v>724.50748835095192</v>
      </c>
      <c r="BP227" s="22">
        <f t="shared" si="2202"/>
        <v>13251.222511649074</v>
      </c>
      <c r="BQ227" s="22">
        <f t="shared" si="2202"/>
        <v>2802.0667202723162</v>
      </c>
      <c r="BR227" s="22">
        <f t="shared" si="2202"/>
        <v>23503.823279727687</v>
      </c>
      <c r="BS227" s="22">
        <f t="shared" si="2202"/>
        <v>7749.4048724293607</v>
      </c>
      <c r="BT227" s="22">
        <f t="shared" si="2202"/>
        <v>307.06512757059772</v>
      </c>
      <c r="BU227" s="22">
        <f t="shared" si="2202"/>
        <v>9394.548170285625</v>
      </c>
      <c r="BV227" s="22">
        <f t="shared" si="2202"/>
        <v>6373.4818297143829</v>
      </c>
      <c r="BW227" s="22">
        <f t="shared" si="2202"/>
        <v>9831.2926997121922</v>
      </c>
      <c r="BX227" s="22">
        <f t="shared" si="2202"/>
        <v>-14784.352699712193</v>
      </c>
      <c r="BY227" s="22">
        <f t="shared" si="2202"/>
        <v>-611.22482659269826</v>
      </c>
      <c r="BZ227" s="22">
        <f t="shared" si="2202"/>
        <v>9622.8848265926918</v>
      </c>
      <c r="CA227" s="22">
        <f t="shared" si="2202"/>
        <v>2003.7005390814747</v>
      </c>
      <c r="CB227" s="22">
        <f t="shared" si="2202"/>
        <v>-3560.4705390814684</v>
      </c>
      <c r="CC227" s="22">
        <f t="shared" si="2202"/>
        <v>664.1880605449619</v>
      </c>
      <c r="CD227" s="22">
        <f t="shared" si="2202"/>
        <v>-1936.9780605449932</v>
      </c>
      <c r="CE227" s="22">
        <f t="shared" ref="CE227:CF227" si="2203">CE213+CE215</f>
        <v>2640.6435816720987</v>
      </c>
      <c r="CF227" s="22">
        <f t="shared" si="2203"/>
        <v>-10428.443581672098</v>
      </c>
      <c r="CG227" s="22">
        <f t="shared" ref="CG227:CH227" si="2204">CG213+CG215</f>
        <v>444.18201113224131</v>
      </c>
      <c r="CH227" s="22">
        <f t="shared" si="2204"/>
        <v>7134.8779888677927</v>
      </c>
      <c r="CI227" s="22">
        <f t="shared" ref="CI227:CJ227" si="2205">CI213+CI215</f>
        <v>3763.8970525263185</v>
      </c>
      <c r="CJ227" s="22">
        <f t="shared" si="2205"/>
        <v>-7347.8670525263524</v>
      </c>
      <c r="CK227" s="22">
        <f t="shared" ref="CK227:DB227" si="2206">CK213+CK215</f>
        <v>-540.00731305316094</v>
      </c>
      <c r="CL227" s="22">
        <f t="shared" si="2206"/>
        <v>5469.0373130531771</v>
      </c>
      <c r="CM227" s="21">
        <f t="shared" si="2206"/>
        <v>-754.53360840597634</v>
      </c>
      <c r="CN227" s="21">
        <f t="shared" si="2206"/>
        <v>2906.8035528184009</v>
      </c>
      <c r="CO227" s="21">
        <f t="shared" si="2206"/>
        <v>2460.5492169547306</v>
      </c>
      <c r="CP227" s="21">
        <f t="shared" si="2206"/>
        <v>3443.3979931912072</v>
      </c>
      <c r="CQ227" s="21">
        <f t="shared" si="2206"/>
        <v>-2457.7972976633355</v>
      </c>
      <c r="CR227" s="21">
        <f t="shared" si="2206"/>
        <v>2977.9055952775125</v>
      </c>
      <c r="CS227" s="21">
        <f t="shared" si="2206"/>
        <v>4169.7680118967673</v>
      </c>
      <c r="CT227" s="21">
        <f t="shared" si="2206"/>
        <v>4311.9019233742802</v>
      </c>
      <c r="CU227" s="21">
        <f t="shared" si="2206"/>
        <v>5115.3185730391415</v>
      </c>
      <c r="CV227" s="21">
        <f t="shared" si="2206"/>
        <v>10375.235506835037</v>
      </c>
      <c r="CW227" s="21">
        <f t="shared" si="2206"/>
        <v>11715.772916727572</v>
      </c>
      <c r="CX227" s="21">
        <f t="shared" si="2206"/>
        <v>11861.43548215706</v>
      </c>
      <c r="CY227" s="21">
        <f t="shared" si="2206"/>
        <v>5883.3657773209834</v>
      </c>
      <c r="CZ227" s="21">
        <f t="shared" si="2206"/>
        <v>11561.356716749873</v>
      </c>
      <c r="DA227" s="21">
        <f t="shared" si="2206"/>
        <v>12990.584120739095</v>
      </c>
      <c r="DB227" s="21">
        <f t="shared" si="2206"/>
        <v>13142.577185507143</v>
      </c>
      <c r="DE227" s="126"/>
      <c r="DF227" s="22">
        <v>1669.1830715179312</v>
      </c>
    </row>
    <row r="228" spans="1:110" x14ac:dyDescent="0.2">
      <c r="A228" s="152" t="s">
        <v>496</v>
      </c>
      <c r="AA228" s="2"/>
      <c r="CL228" s="2"/>
      <c r="DF228" s="111"/>
    </row>
    <row r="229" spans="1:110" x14ac:dyDescent="0.2">
      <c r="AA229" s="2"/>
      <c r="CL229" s="2"/>
      <c r="DF229" s="111"/>
    </row>
    <row r="230" spans="1:110" s="7" customFormat="1" hidden="1" outlineLevel="1" x14ac:dyDescent="0.2">
      <c r="A230" s="61" t="s">
        <v>97</v>
      </c>
      <c r="AB230" s="77"/>
      <c r="AC230" s="77"/>
      <c r="AD230" s="77"/>
      <c r="AE230" s="77"/>
      <c r="CM230" s="50"/>
      <c r="CN230" s="50"/>
      <c r="CO230" s="50"/>
      <c r="CP230" s="50"/>
      <c r="CQ230" s="50"/>
      <c r="CR230" s="50"/>
      <c r="CS230" s="50"/>
      <c r="CT230" s="50"/>
      <c r="CU230" s="50"/>
      <c r="CV230" s="50"/>
      <c r="CW230" s="50"/>
      <c r="CX230" s="50"/>
      <c r="CY230" s="50"/>
      <c r="CZ230" s="50"/>
      <c r="DA230" s="50"/>
      <c r="DB230" s="50"/>
      <c r="DE230" s="138"/>
      <c r="DF230" s="115"/>
    </row>
    <row r="231" spans="1:110" s="62" customFormat="1" hidden="1" outlineLevel="1" x14ac:dyDescent="0.2">
      <c r="A231" s="62" t="s">
        <v>98</v>
      </c>
      <c r="AB231" s="63"/>
      <c r="AC231" s="63"/>
      <c r="AD231" s="63"/>
      <c r="AE231" s="63"/>
      <c r="CM231" s="30"/>
      <c r="CN231" s="30"/>
      <c r="CO231" s="30"/>
      <c r="CP231" s="30"/>
      <c r="CQ231" s="30"/>
      <c r="CR231" s="30"/>
      <c r="CS231" s="30"/>
      <c r="CT231" s="30"/>
      <c r="CU231" s="30"/>
      <c r="CV231" s="30"/>
      <c r="CW231" s="30"/>
      <c r="CX231" s="30"/>
      <c r="CY231" s="30"/>
      <c r="CZ231" s="30"/>
      <c r="DA231" s="30"/>
      <c r="DB231" s="30"/>
      <c r="DE231" s="139"/>
      <c r="DF231" s="114"/>
    </row>
    <row r="232" spans="1:110" s="62" customFormat="1" hidden="1" outlineLevel="1" x14ac:dyDescent="0.2">
      <c r="A232" s="62" t="s">
        <v>99</v>
      </c>
      <c r="AB232" s="63"/>
      <c r="AC232" s="63"/>
      <c r="AD232" s="63"/>
      <c r="AE232" s="63"/>
      <c r="CM232" s="30"/>
      <c r="CN232" s="30"/>
      <c r="CO232" s="30"/>
      <c r="CP232" s="30"/>
      <c r="CQ232" s="30"/>
      <c r="CR232" s="30"/>
      <c r="CS232" s="30"/>
      <c r="CT232" s="30"/>
      <c r="CU232" s="30"/>
      <c r="CV232" s="30"/>
      <c r="CW232" s="30"/>
      <c r="CX232" s="30"/>
      <c r="CY232" s="30"/>
      <c r="CZ232" s="30"/>
      <c r="DA232" s="30"/>
      <c r="DB232" s="30"/>
      <c r="DE232" s="139"/>
      <c r="DF232" s="114"/>
    </row>
    <row r="233" spans="1:110" s="62" customFormat="1" hidden="1" outlineLevel="1" x14ac:dyDescent="0.2">
      <c r="A233" s="62" t="s">
        <v>100</v>
      </c>
      <c r="AB233" s="63"/>
      <c r="AC233" s="63"/>
      <c r="AD233" s="63"/>
      <c r="AE233" s="63"/>
      <c r="CM233" s="30"/>
      <c r="CN233" s="30"/>
      <c r="CO233" s="30"/>
      <c r="CP233" s="30"/>
      <c r="CQ233" s="30"/>
      <c r="CR233" s="30"/>
      <c r="CS233" s="30"/>
      <c r="CT233" s="30"/>
      <c r="CU233" s="30"/>
      <c r="CV233" s="30"/>
      <c r="CW233" s="30"/>
      <c r="CX233" s="30"/>
      <c r="CY233" s="30"/>
      <c r="CZ233" s="30"/>
      <c r="DA233" s="30"/>
      <c r="DB233" s="30"/>
      <c r="DE233" s="139"/>
      <c r="DF233" s="114"/>
    </row>
    <row r="234" spans="1:110" s="62" customFormat="1" hidden="1" outlineLevel="1" x14ac:dyDescent="0.2">
      <c r="AB234" s="63"/>
      <c r="AC234" s="63"/>
      <c r="AD234" s="63"/>
      <c r="AE234" s="63"/>
      <c r="CM234" s="30"/>
      <c r="CN234" s="30"/>
      <c r="CO234" s="30"/>
      <c r="CP234" s="30"/>
      <c r="CQ234" s="30"/>
      <c r="CR234" s="30"/>
      <c r="CS234" s="30"/>
      <c r="CT234" s="30"/>
      <c r="CU234" s="30"/>
      <c r="CV234" s="30"/>
      <c r="CW234" s="30"/>
      <c r="CX234" s="30"/>
      <c r="CY234" s="30"/>
      <c r="CZ234" s="30"/>
      <c r="DA234" s="30"/>
      <c r="DB234" s="30"/>
      <c r="DE234" s="139"/>
      <c r="DF234" s="114"/>
    </row>
    <row r="235" spans="1:110" s="62" customFormat="1" hidden="1" outlineLevel="1" x14ac:dyDescent="0.2">
      <c r="AB235" s="63"/>
      <c r="AC235" s="63"/>
      <c r="AD235" s="63"/>
      <c r="AE235" s="63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39"/>
      <c r="DF235" s="114"/>
    </row>
    <row r="236" spans="1:110" s="62" customFormat="1" hidden="1" outlineLevel="1" x14ac:dyDescent="0.2">
      <c r="AB236" s="63"/>
      <c r="AC236" s="63"/>
      <c r="AD236" s="63"/>
      <c r="AE236" s="63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  <c r="DF236" s="114"/>
    </row>
    <row r="237" spans="1:110" s="11" customFormat="1" collapsed="1" x14ac:dyDescent="0.2">
      <c r="AB237" s="63"/>
      <c r="AC237" s="63"/>
      <c r="AD237" s="63"/>
      <c r="AE237" s="63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  <c r="DF237" s="191"/>
    </row>
    <row r="238" spans="1:110" s="83" customFormat="1" x14ac:dyDescent="0.2">
      <c r="A238" s="82" t="s">
        <v>101</v>
      </c>
      <c r="AB238" s="72"/>
      <c r="AC238" s="72"/>
      <c r="AD238" s="72"/>
      <c r="AE238" s="72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10" s="66" customFormat="1" x14ac:dyDescent="0.2">
      <c r="A239" s="66" t="s">
        <v>471</v>
      </c>
      <c r="AB239" s="50"/>
      <c r="AC239" s="50"/>
      <c r="AD239" s="50"/>
      <c r="AE239" s="50"/>
      <c r="AL239" s="66">
        <f t="shared" ref="AL239:BQ239" si="2207">SUM(AI19:AL19)</f>
        <v>134711.54</v>
      </c>
      <c r="AM239" s="66">
        <f t="shared" si="2207"/>
        <v>133695.13</v>
      </c>
      <c r="AN239" s="66">
        <f t="shared" si="2207"/>
        <v>136207.28999999998</v>
      </c>
      <c r="AO239" s="66">
        <f t="shared" si="2207"/>
        <v>140835.97</v>
      </c>
      <c r="AP239" s="66">
        <f t="shared" si="2207"/>
        <v>148613.54999999999</v>
      </c>
      <c r="AQ239" s="66">
        <f t="shared" si="2207"/>
        <v>152235.96999999997</v>
      </c>
      <c r="AR239" s="66">
        <f t="shared" si="2207"/>
        <v>151368.19</v>
      </c>
      <c r="AS239" s="66">
        <f t="shared" si="2207"/>
        <v>148265.60000000001</v>
      </c>
      <c r="AT239" s="66">
        <f t="shared" si="2207"/>
        <v>139503.73000000001</v>
      </c>
      <c r="AU239" s="66">
        <f t="shared" si="2207"/>
        <v>130014.35999999999</v>
      </c>
      <c r="AV239" s="66">
        <f t="shared" si="2207"/>
        <v>120622.56</v>
      </c>
      <c r="AW239" s="66">
        <f t="shared" si="2207"/>
        <v>111655.8</v>
      </c>
      <c r="AX239" s="66">
        <f t="shared" si="2207"/>
        <v>103944.68</v>
      </c>
      <c r="AY239" s="66">
        <f t="shared" si="2207"/>
        <v>101801.2</v>
      </c>
      <c r="AZ239" s="66">
        <f t="shared" si="2207"/>
        <v>101336.97</v>
      </c>
      <c r="BA239" s="66">
        <f t="shared" si="2207"/>
        <v>104354.11</v>
      </c>
      <c r="BB239" s="66">
        <f t="shared" si="2207"/>
        <v>112254.65000000001</v>
      </c>
      <c r="BC239" s="66">
        <f t="shared" si="2207"/>
        <v>117117.58000000002</v>
      </c>
      <c r="BD239" s="66">
        <f t="shared" si="2207"/>
        <v>123660.64</v>
      </c>
      <c r="BE239" s="66">
        <f t="shared" si="2207"/>
        <v>129423.63</v>
      </c>
      <c r="BF239" s="66">
        <f t="shared" si="2207"/>
        <v>129273.09</v>
      </c>
      <c r="BG239" s="66">
        <f t="shared" si="2207"/>
        <v>135109.88</v>
      </c>
      <c r="BH239" s="66">
        <f t="shared" si="2207"/>
        <v>143542.9</v>
      </c>
      <c r="BI239" s="66">
        <f t="shared" si="2207"/>
        <v>148950.18</v>
      </c>
      <c r="BJ239" s="66">
        <f t="shared" si="2207"/>
        <v>157668.97999999998</v>
      </c>
      <c r="BK239" s="66">
        <f t="shared" si="2207"/>
        <v>158122.01</v>
      </c>
      <c r="BL239" s="66">
        <f t="shared" si="2207"/>
        <v>151804.03</v>
      </c>
      <c r="BM239" s="66">
        <f t="shared" si="2207"/>
        <v>148470.56</v>
      </c>
      <c r="BN239" s="66">
        <f t="shared" si="2207"/>
        <v>142056.07</v>
      </c>
      <c r="BO239" s="66">
        <f t="shared" si="2207"/>
        <v>131583.47999999998</v>
      </c>
      <c r="BP239" s="66">
        <f t="shared" si="2207"/>
        <v>135944.24</v>
      </c>
      <c r="BQ239" s="66">
        <f t="shared" si="2207"/>
        <v>142359.04000000001</v>
      </c>
      <c r="BR239" s="66">
        <f t="shared" ref="BR239:CW239" si="2208">SUM(BO19:BR19)</f>
        <v>156378.04</v>
      </c>
      <c r="BS239" s="66">
        <f t="shared" si="2208"/>
        <v>184368.95</v>
      </c>
      <c r="BT239" s="66">
        <f t="shared" si="2208"/>
        <v>205816.14</v>
      </c>
      <c r="BU239" s="66">
        <f t="shared" si="2208"/>
        <v>224664.03999999998</v>
      </c>
      <c r="BV239" s="66">
        <f t="shared" si="2208"/>
        <v>243959.16999999998</v>
      </c>
      <c r="BW239" s="66">
        <f t="shared" si="2208"/>
        <v>253923.81</v>
      </c>
      <c r="BX239" s="66">
        <f t="shared" si="2208"/>
        <v>253414.2</v>
      </c>
      <c r="BY239" s="66">
        <f t="shared" si="2208"/>
        <v>249714.65000000002</v>
      </c>
      <c r="BZ239" s="66">
        <f t="shared" si="2208"/>
        <v>243352.69</v>
      </c>
      <c r="CA239" s="66">
        <f t="shared" si="2208"/>
        <v>239412.28</v>
      </c>
      <c r="CB239" s="66">
        <f t="shared" si="2208"/>
        <v>235216.69</v>
      </c>
      <c r="CC239" s="66">
        <f t="shared" si="2208"/>
        <v>233445.01</v>
      </c>
      <c r="CD239" s="66">
        <f t="shared" si="2208"/>
        <v>229170.78</v>
      </c>
      <c r="CE239" s="66">
        <f t="shared" si="2208"/>
        <v>224452.51</v>
      </c>
      <c r="CF239" s="66">
        <f t="shared" si="2208"/>
        <v>222675.29000000004</v>
      </c>
      <c r="CG239" s="66">
        <f t="shared" si="2208"/>
        <v>221011.71</v>
      </c>
      <c r="CH239" s="66">
        <f t="shared" si="2208"/>
        <v>218542.51</v>
      </c>
      <c r="CI239" s="66">
        <f t="shared" si="2208"/>
        <v>216949.24</v>
      </c>
      <c r="CJ239" s="66">
        <f t="shared" si="2208"/>
        <v>221733.82</v>
      </c>
      <c r="CK239" s="66">
        <f t="shared" si="2208"/>
        <v>225087.92</v>
      </c>
      <c r="CL239" s="66">
        <f t="shared" si="2208"/>
        <v>232139.94</v>
      </c>
      <c r="CM239" s="50">
        <f t="shared" si="2208"/>
        <v>235956.11753727173</v>
      </c>
      <c r="CN239" s="50">
        <f t="shared" si="2208"/>
        <v>238665.04244357959</v>
      </c>
      <c r="CO239" s="50">
        <f t="shared" si="2208"/>
        <v>248288.33176422521</v>
      </c>
      <c r="CP239" s="50">
        <f t="shared" si="2208"/>
        <v>257126.08820138761</v>
      </c>
      <c r="CQ239" s="50">
        <f t="shared" si="2208"/>
        <v>260692.81075366281</v>
      </c>
      <c r="CR239" s="50">
        <f t="shared" si="2208"/>
        <v>264390.87867718533</v>
      </c>
      <c r="CS239" s="50">
        <f t="shared" si="2208"/>
        <v>268650.40658833127</v>
      </c>
      <c r="CT239" s="50">
        <f t="shared" si="2208"/>
        <v>271513.85904956015</v>
      </c>
      <c r="CU239" s="50">
        <f t="shared" si="2208"/>
        <v>275583.74720517767</v>
      </c>
      <c r="CV239" s="50">
        <f t="shared" si="2208"/>
        <v>280033.23022519506</v>
      </c>
      <c r="CW239" s="50">
        <f t="shared" si="2208"/>
        <v>285022.19655841304</v>
      </c>
      <c r="CX239" s="50">
        <f t="shared" ref="CX239:DB239" si="2209">SUM(CU19:CX19)</f>
        <v>290419.26080667082</v>
      </c>
      <c r="CY239" s="50">
        <f t="shared" si="2209"/>
        <v>294909.68312834261</v>
      </c>
      <c r="CZ239" s="50">
        <f t="shared" si="2209"/>
        <v>299781.22791083326</v>
      </c>
      <c r="DA239" s="50">
        <f t="shared" si="2209"/>
        <v>305128.30350497755</v>
      </c>
      <c r="DB239" s="50">
        <f t="shared" si="2209"/>
        <v>310793.9482856571</v>
      </c>
      <c r="DE239" s="138"/>
      <c r="DF239" s="66">
        <v>231731.92237557145</v>
      </c>
    </row>
    <row r="240" spans="1:110" s="66" customFormat="1" x14ac:dyDescent="0.2">
      <c r="A240" s="66" t="s">
        <v>472</v>
      </c>
      <c r="AB240" s="50"/>
      <c r="AC240" s="50"/>
      <c r="AD240" s="50"/>
      <c r="AE240" s="50"/>
      <c r="AL240" s="66">
        <f t="shared" ref="AL240:BQ240" si="2210">SUM(AI37:AL37)</f>
        <v>12321.21000000001</v>
      </c>
      <c r="AM240" s="66">
        <f t="shared" si="2210"/>
        <v>12605.97</v>
      </c>
      <c r="AN240" s="66">
        <f t="shared" si="2210"/>
        <v>14001.239999999993</v>
      </c>
      <c r="AO240" s="66">
        <f t="shared" si="2210"/>
        <v>15768.869999999995</v>
      </c>
      <c r="AP240" s="66">
        <f t="shared" si="2210"/>
        <v>16411.009999999991</v>
      </c>
      <c r="AQ240" s="66">
        <f t="shared" si="2210"/>
        <v>16995.53999999999</v>
      </c>
      <c r="AR240" s="66">
        <f t="shared" si="2210"/>
        <v>16933.009999999995</v>
      </c>
      <c r="AS240" s="66">
        <f t="shared" si="2210"/>
        <v>16003.859999999993</v>
      </c>
      <c r="AT240" s="66">
        <f t="shared" si="2210"/>
        <v>12535.749999999996</v>
      </c>
      <c r="AU240" s="66">
        <f t="shared" si="2210"/>
        <v>10945.94</v>
      </c>
      <c r="AV240" s="66">
        <f t="shared" si="2210"/>
        <v>9087.1699999999964</v>
      </c>
      <c r="AW240" s="66">
        <f t="shared" si="2210"/>
        <v>6848.0399999999936</v>
      </c>
      <c r="AX240" s="66">
        <f t="shared" si="2210"/>
        <v>7550.799999999992</v>
      </c>
      <c r="AY240" s="66">
        <f t="shared" si="2210"/>
        <v>8143.4099999999926</v>
      </c>
      <c r="AZ240" s="66">
        <f t="shared" si="2210"/>
        <v>9430.4499999999953</v>
      </c>
      <c r="BA240" s="66">
        <f t="shared" si="2210"/>
        <v>12228.339999999997</v>
      </c>
      <c r="BB240" s="66">
        <f t="shared" si="2210"/>
        <v>17007.820000000007</v>
      </c>
      <c r="BC240" s="66">
        <f t="shared" si="2210"/>
        <v>18706.460000000006</v>
      </c>
      <c r="BD240" s="66">
        <f t="shared" si="2210"/>
        <v>20356.040000000008</v>
      </c>
      <c r="BE240" s="66">
        <f t="shared" si="2210"/>
        <v>22416.830000000009</v>
      </c>
      <c r="BF240" s="66">
        <f t="shared" si="2210"/>
        <v>21790.899999999994</v>
      </c>
      <c r="BG240" s="66">
        <f t="shared" si="2210"/>
        <v>23169.629999999997</v>
      </c>
      <c r="BH240" s="66">
        <f t="shared" si="2210"/>
        <v>27250.499999999989</v>
      </c>
      <c r="BI240" s="66">
        <f t="shared" si="2210"/>
        <v>28269.339999999989</v>
      </c>
      <c r="BJ240" s="66">
        <f t="shared" si="2210"/>
        <v>29383.339999999993</v>
      </c>
      <c r="BK240" s="66">
        <f t="shared" si="2210"/>
        <v>28407.499999999996</v>
      </c>
      <c r="BL240" s="66">
        <f t="shared" si="2210"/>
        <v>23425.520000000004</v>
      </c>
      <c r="BM240" s="66">
        <f t="shared" si="2210"/>
        <v>20329.48000000001</v>
      </c>
      <c r="BN240" s="66">
        <f t="shared" si="2210"/>
        <v>17615.390000000007</v>
      </c>
      <c r="BO240" s="66">
        <f t="shared" si="2210"/>
        <v>12777.720000000001</v>
      </c>
      <c r="BP240" s="66">
        <f t="shared" si="2210"/>
        <v>15170.869999999999</v>
      </c>
      <c r="BQ240" s="66">
        <f t="shared" si="2210"/>
        <v>21119.369999999995</v>
      </c>
      <c r="BR240" s="66">
        <f t="shared" ref="BR240:CW240" si="2211">SUM(BO37:BR37)</f>
        <v>30504.260000000002</v>
      </c>
      <c r="BS240" s="66">
        <f t="shared" si="2211"/>
        <v>46075.58</v>
      </c>
      <c r="BT240" s="66">
        <f t="shared" si="2211"/>
        <v>56318.990000000013</v>
      </c>
      <c r="BU240" s="66">
        <f t="shared" si="2211"/>
        <v>62644.42</v>
      </c>
      <c r="BV240" s="66">
        <f t="shared" si="2211"/>
        <v>63489.950000000004</v>
      </c>
      <c r="BW240" s="66">
        <f t="shared" si="2211"/>
        <v>62352.200000000004</v>
      </c>
      <c r="BX240" s="66">
        <f t="shared" si="2211"/>
        <v>51956.400000000009</v>
      </c>
      <c r="BY240" s="66">
        <f t="shared" si="2211"/>
        <v>40110.570000000007</v>
      </c>
      <c r="BZ240" s="66">
        <f t="shared" si="2211"/>
        <v>32300.160000000003</v>
      </c>
      <c r="CA240" s="66">
        <f t="shared" si="2211"/>
        <v>22501.240000000013</v>
      </c>
      <c r="CB240" s="66">
        <f t="shared" si="2211"/>
        <v>20708.740000000005</v>
      </c>
      <c r="CC240" s="66">
        <f t="shared" si="2211"/>
        <v>22924.470000000016</v>
      </c>
      <c r="CD240" s="66">
        <f t="shared" si="2211"/>
        <v>22305.900000000009</v>
      </c>
      <c r="CE240" s="66">
        <f t="shared" si="2211"/>
        <v>23826.490000000005</v>
      </c>
      <c r="CF240" s="66">
        <f t="shared" si="2211"/>
        <v>25699.940000000013</v>
      </c>
      <c r="CG240" s="66">
        <f t="shared" si="2211"/>
        <v>25339.86</v>
      </c>
      <c r="CH240" s="66">
        <f t="shared" si="2211"/>
        <v>25298.450000000015</v>
      </c>
      <c r="CI240" s="66">
        <f t="shared" si="2211"/>
        <v>26031.520000000015</v>
      </c>
      <c r="CJ240" s="66">
        <f t="shared" si="2211"/>
        <v>28786.790000000008</v>
      </c>
      <c r="CK240" s="66">
        <f t="shared" si="2211"/>
        <v>31083.000000000011</v>
      </c>
      <c r="CL240" s="66">
        <f t="shared" si="2211"/>
        <v>34352.44</v>
      </c>
      <c r="CM240" s="50">
        <f t="shared" si="2211"/>
        <v>36147.114293389735</v>
      </c>
      <c r="CN240" s="50">
        <f t="shared" si="2211"/>
        <v>37522.049999405033</v>
      </c>
      <c r="CO240" s="50">
        <f t="shared" si="2211"/>
        <v>40538.127023117107</v>
      </c>
      <c r="CP240" s="50">
        <f t="shared" si="2211"/>
        <v>43289.34338523716</v>
      </c>
      <c r="CQ240" s="50">
        <f t="shared" si="2211"/>
        <v>44529.245166070454</v>
      </c>
      <c r="CR240" s="50">
        <f t="shared" si="2211"/>
        <v>45682.841487082304</v>
      </c>
      <c r="CS240" s="50">
        <f t="shared" si="2211"/>
        <v>47055.479140708398</v>
      </c>
      <c r="CT240" s="50">
        <f t="shared" si="2211"/>
        <v>47964.774987206576</v>
      </c>
      <c r="CU240" s="50">
        <f t="shared" si="2211"/>
        <v>48906.407209990386</v>
      </c>
      <c r="CV240" s="50">
        <f t="shared" si="2211"/>
        <v>49816.453005980075</v>
      </c>
      <c r="CW240" s="50">
        <f t="shared" si="2211"/>
        <v>50720.824186825419</v>
      </c>
      <c r="CX240" s="50">
        <f t="shared" ref="CX240:DB240" si="2212">SUM(CU37:CX37)</f>
        <v>51528.518673509396</v>
      </c>
      <c r="CY240" s="50">
        <f t="shared" si="2212"/>
        <v>52385.750311773387</v>
      </c>
      <c r="CZ240" s="50">
        <f t="shared" si="2212"/>
        <v>53268.505876063216</v>
      </c>
      <c r="DA240" s="50">
        <f t="shared" si="2212"/>
        <v>54207.202635068803</v>
      </c>
      <c r="DB240" s="50">
        <f t="shared" si="2212"/>
        <v>55193.734904632467</v>
      </c>
      <c r="DE240" s="138"/>
      <c r="DF240" s="66">
        <v>34024.988918333911</v>
      </c>
    </row>
    <row r="241" spans="1:110" s="66" customFormat="1" x14ac:dyDescent="0.2">
      <c r="A241" s="66" t="s">
        <v>473</v>
      </c>
      <c r="AB241" s="50"/>
      <c r="AC241" s="50"/>
      <c r="AD241" s="50"/>
      <c r="AE241" s="50"/>
      <c r="AL241" s="66">
        <f t="shared" ref="AL241:BQ241" si="2213">SUM(AI50:AL50)</f>
        <v>27.490000000010127</v>
      </c>
      <c r="AM241" s="66">
        <f t="shared" si="2213"/>
        <v>635.01999999999953</v>
      </c>
      <c r="AN241" s="66">
        <f t="shared" si="2213"/>
        <v>2041.9199999999933</v>
      </c>
      <c r="AO241" s="66">
        <f t="shared" si="2213"/>
        <v>3309.8399999999956</v>
      </c>
      <c r="AP241" s="66">
        <f t="shared" si="2213"/>
        <v>3691.6099999999915</v>
      </c>
      <c r="AQ241" s="66">
        <f t="shared" si="2213"/>
        <v>3172.6899999999905</v>
      </c>
      <c r="AR241" s="66">
        <f t="shared" si="2213"/>
        <v>2349.019999999995</v>
      </c>
      <c r="AS241" s="66">
        <f t="shared" si="2213"/>
        <v>1981.2799999999932</v>
      </c>
      <c r="AT241" s="66">
        <f t="shared" si="2213"/>
        <v>-26.830000000003793</v>
      </c>
      <c r="AU241" s="66">
        <f t="shared" si="2213"/>
        <v>-472.46999999999969</v>
      </c>
      <c r="AV241" s="66">
        <f t="shared" si="2213"/>
        <v>-937.68000000000359</v>
      </c>
      <c r="AW241" s="66">
        <f t="shared" si="2213"/>
        <v>-2741.0800000000063</v>
      </c>
      <c r="AX241" s="66">
        <f t="shared" si="2213"/>
        <v>-2257.4800000000077</v>
      </c>
      <c r="AY241" s="66">
        <f t="shared" si="2213"/>
        <v>-2054.4600000000073</v>
      </c>
      <c r="AZ241" s="66">
        <f t="shared" si="2213"/>
        <v>-1717.8900000000049</v>
      </c>
      <c r="BA241" s="66">
        <f t="shared" si="2213"/>
        <v>255.63999999999623</v>
      </c>
      <c r="BB241" s="66">
        <f t="shared" si="2213"/>
        <v>4012.2000000000066</v>
      </c>
      <c r="BC241" s="66">
        <f t="shared" si="2213"/>
        <v>5193.2800000000034</v>
      </c>
      <c r="BD241" s="66">
        <f t="shared" si="2213"/>
        <v>6165.5400000000054</v>
      </c>
      <c r="BE241" s="66">
        <f t="shared" si="2213"/>
        <v>8033.7200000000048</v>
      </c>
      <c r="BF241" s="66">
        <f t="shared" si="2213"/>
        <v>7847.1999999999953</v>
      </c>
      <c r="BG241" s="66">
        <f t="shared" si="2213"/>
        <v>8507.3699999999953</v>
      </c>
      <c r="BH241" s="66">
        <f t="shared" si="2213"/>
        <v>10395.679999999988</v>
      </c>
      <c r="BI241" s="66">
        <f t="shared" si="2213"/>
        <v>9960.319999999987</v>
      </c>
      <c r="BJ241" s="66">
        <f t="shared" si="2213"/>
        <v>9083.5599999999922</v>
      </c>
      <c r="BK241" s="66">
        <f t="shared" si="2213"/>
        <v>7506.2499999999964</v>
      </c>
      <c r="BL241" s="66">
        <f t="shared" si="2213"/>
        <v>8701.6100000000042</v>
      </c>
      <c r="BM241" s="66">
        <f t="shared" si="2213"/>
        <v>6109.720000000013</v>
      </c>
      <c r="BN241" s="66">
        <f t="shared" si="2213"/>
        <v>5969.3800000000047</v>
      </c>
      <c r="BO241" s="66">
        <f t="shared" si="2213"/>
        <v>620.92000000000098</v>
      </c>
      <c r="BP241" s="66">
        <f t="shared" si="2213"/>
        <v>-1885.2900000000013</v>
      </c>
      <c r="BQ241" s="66">
        <f t="shared" si="2213"/>
        <v>3048.439999999996</v>
      </c>
      <c r="BR241" s="66">
        <f t="shared" ref="BR241:CW241" si="2214">SUM(BO50:BR50)</f>
        <v>8905.6100000000024</v>
      </c>
      <c r="BS241" s="66">
        <f t="shared" si="2214"/>
        <v>23455.500000000004</v>
      </c>
      <c r="BT241" s="66">
        <f t="shared" si="2214"/>
        <v>33753.62000000001</v>
      </c>
      <c r="BU241" s="66">
        <f t="shared" si="2214"/>
        <v>39286.79</v>
      </c>
      <c r="BV241" s="66">
        <f t="shared" si="2214"/>
        <v>41234.220000000008</v>
      </c>
      <c r="BW241" s="66">
        <f t="shared" si="2214"/>
        <v>38999.540000000008</v>
      </c>
      <c r="BX241" s="66">
        <f t="shared" si="2214"/>
        <v>28367.69000000001</v>
      </c>
      <c r="BY241" s="66">
        <f t="shared" si="2214"/>
        <v>16035.63000000001</v>
      </c>
      <c r="BZ241" s="66">
        <f t="shared" si="2214"/>
        <v>7543.97</v>
      </c>
      <c r="CA241" s="66">
        <f t="shared" si="2214"/>
        <v>732.96000000001209</v>
      </c>
      <c r="CB241" s="66">
        <f t="shared" si="2214"/>
        <v>-196.82999999999515</v>
      </c>
      <c r="CC241" s="66">
        <f t="shared" si="2214"/>
        <v>3308.8200000000152</v>
      </c>
      <c r="CD241" s="66">
        <f t="shared" si="2214"/>
        <v>2962.4500000000085</v>
      </c>
      <c r="CE241" s="66">
        <f t="shared" si="2214"/>
        <v>3363.7300000000046</v>
      </c>
      <c r="CF241" s="66">
        <f t="shared" si="2214"/>
        <v>3845.1200000000126</v>
      </c>
      <c r="CG241" s="66">
        <f t="shared" si="2214"/>
        <v>3436.9500000000007</v>
      </c>
      <c r="CH241" s="66">
        <f t="shared" si="2214"/>
        <v>3837.610000000016</v>
      </c>
      <c r="CI241" s="66">
        <f t="shared" si="2214"/>
        <v>4713.3800000000156</v>
      </c>
      <c r="CJ241" s="66">
        <f t="shared" si="2214"/>
        <v>7499.9000000000087</v>
      </c>
      <c r="CK241" s="66">
        <f t="shared" si="2214"/>
        <v>9891.4900000000107</v>
      </c>
      <c r="CL241" s="66">
        <f t="shared" si="2214"/>
        <v>11549.779999999999</v>
      </c>
      <c r="CM241" s="50">
        <f t="shared" si="2214"/>
        <v>12610.20840524714</v>
      </c>
      <c r="CN241" s="50">
        <f t="shared" si="2214"/>
        <v>12964.686738655384</v>
      </c>
      <c r="CO241" s="50">
        <f t="shared" si="2214"/>
        <v>14725.473652537581</v>
      </c>
      <c r="CP241" s="50">
        <f t="shared" si="2214"/>
        <v>17033.524858288743</v>
      </c>
      <c r="CQ241" s="50">
        <f t="shared" si="2214"/>
        <v>17853.761221891589</v>
      </c>
      <c r="CR241" s="50">
        <f t="shared" si="2214"/>
        <v>18547.387275403264</v>
      </c>
      <c r="CS241" s="50">
        <f t="shared" si="2214"/>
        <v>19480.592973154635</v>
      </c>
      <c r="CT241" s="50">
        <f t="shared" si="2214"/>
        <v>20156.578334535443</v>
      </c>
      <c r="CU241" s="50">
        <f t="shared" si="2214"/>
        <v>21039.322286599858</v>
      </c>
      <c r="CV241" s="50">
        <f t="shared" si="2214"/>
        <v>22023.968868801203</v>
      </c>
      <c r="CW241" s="50">
        <f t="shared" si="2214"/>
        <v>23138.600428855818</v>
      </c>
      <c r="CX241" s="50">
        <f t="shared" ref="CX241:DB241" si="2215">SUM(CU50:CX50)</f>
        <v>24324.702836475233</v>
      </c>
      <c r="CY241" s="50">
        <f t="shared" si="2215"/>
        <v>25651.249384281375</v>
      </c>
      <c r="CZ241" s="50">
        <f t="shared" si="2215"/>
        <v>27003.496105986211</v>
      </c>
      <c r="DA241" s="50">
        <f t="shared" si="2215"/>
        <v>28409.832572442734</v>
      </c>
      <c r="DB241" s="50">
        <f t="shared" si="2215"/>
        <v>29863.37249404141</v>
      </c>
      <c r="DE241" s="138"/>
      <c r="DF241" s="66">
        <v>11715.619601851758</v>
      </c>
    </row>
    <row r="242" spans="1:110" s="93" customFormat="1" x14ac:dyDescent="0.2">
      <c r="AB242" s="30"/>
      <c r="AC242" s="30"/>
      <c r="AD242" s="30"/>
      <c r="AE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9"/>
    </row>
    <row r="243" spans="1:110" s="11" customFormat="1" x14ac:dyDescent="0.2">
      <c r="AB243" s="63"/>
      <c r="AC243" s="63"/>
      <c r="AD243" s="63"/>
      <c r="AE243" s="63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  <c r="DF243" s="191"/>
    </row>
    <row r="244" spans="1:110" s="62" customFormat="1" hidden="1" outlineLevel="1" x14ac:dyDescent="0.2">
      <c r="A244" s="61" t="s">
        <v>339</v>
      </c>
      <c r="AB244" s="63"/>
      <c r="AC244" s="63"/>
      <c r="AD244" s="63"/>
      <c r="AE244" s="63"/>
      <c r="CM244" s="30"/>
      <c r="CN244" s="30"/>
      <c r="CO244" s="30"/>
      <c r="CP244" s="30"/>
      <c r="CQ244" s="30"/>
      <c r="CR244" s="30"/>
      <c r="CS244" s="30"/>
      <c r="CT244" s="30"/>
      <c r="CU244" s="30"/>
      <c r="CV244" s="30"/>
      <c r="CW244" s="30"/>
      <c r="CX244" s="30"/>
      <c r="CY244" s="30"/>
      <c r="CZ244" s="30"/>
      <c r="DA244" s="30"/>
      <c r="DB244" s="30"/>
      <c r="DE244" s="139"/>
      <c r="DF244" s="114"/>
    </row>
    <row r="245" spans="1:110" s="64" customFormat="1" hidden="1" outlineLevel="1" x14ac:dyDescent="0.2">
      <c r="A245" s="64" t="s">
        <v>474</v>
      </c>
      <c r="B245" s="64">
        <f t="shared" ref="B245:Z245" si="2216">B17-B251</f>
        <v>7759.44</v>
      </c>
      <c r="C245" s="64">
        <f t="shared" si="2216"/>
        <v>8401.25</v>
      </c>
      <c r="D245" s="64">
        <f t="shared" si="2216"/>
        <v>10229.959999999999</v>
      </c>
      <c r="E245" s="64">
        <f t="shared" si="2216"/>
        <v>12372.53</v>
      </c>
      <c r="F245" s="64">
        <f t="shared" si="2216"/>
        <v>17414.52</v>
      </c>
      <c r="G245" s="64">
        <f t="shared" si="2216"/>
        <v>22272.14</v>
      </c>
      <c r="H245" s="64">
        <f t="shared" si="2216"/>
        <v>27437.29</v>
      </c>
      <c r="I245" s="64">
        <f t="shared" si="2216"/>
        <v>134086.76999999999</v>
      </c>
      <c r="J245" s="64">
        <f t="shared" si="2216"/>
        <v>149984.94</v>
      </c>
      <c r="K245" s="64">
        <f t="shared" si="2216"/>
        <v>104229.83</v>
      </c>
      <c r="L245" s="64">
        <f t="shared" si="2216"/>
        <v>121345.75</v>
      </c>
      <c r="M245" s="64">
        <f t="shared" si="2216"/>
        <v>135975.56</v>
      </c>
      <c r="N245" s="64">
        <f t="shared" si="2216"/>
        <v>138821.14000000001</v>
      </c>
      <c r="O245" s="64">
        <f t="shared" si="2216"/>
        <v>153212.79</v>
      </c>
      <c r="P245" s="64">
        <f t="shared" si="2216"/>
        <v>144298.35999999999</v>
      </c>
      <c r="Q245" s="64">
        <f t="shared" si="2216"/>
        <v>106339.92</v>
      </c>
      <c r="R245" s="64">
        <f t="shared" si="2216"/>
        <v>117419.94</v>
      </c>
      <c r="S245" s="64">
        <f t="shared" si="2216"/>
        <v>124109.69</v>
      </c>
      <c r="T245" s="64">
        <f t="shared" si="2216"/>
        <v>157668.99</v>
      </c>
      <c r="U245" s="64">
        <f t="shared" si="2216"/>
        <v>148971.71</v>
      </c>
      <c r="V245" s="64">
        <f t="shared" si="2216"/>
        <v>156477.4</v>
      </c>
      <c r="W245" s="64">
        <f t="shared" si="2216"/>
        <v>243959.17</v>
      </c>
      <c r="X245" s="64">
        <f t="shared" si="2216"/>
        <v>243352.69</v>
      </c>
      <c r="Y245" s="64">
        <f t="shared" si="2216"/>
        <v>229170.78</v>
      </c>
      <c r="Z245" s="64">
        <f t="shared" si="2216"/>
        <v>218542.51</v>
      </c>
      <c r="AA245" s="64">
        <f t="shared" ref="AA245" si="2217">AA17-AA251</f>
        <v>232139.94</v>
      </c>
      <c r="AB245" s="30"/>
      <c r="AC245" s="30"/>
      <c r="AD245" s="30"/>
      <c r="AE245" s="30"/>
      <c r="AI245" s="64">
        <f t="shared" ref="AI245:BN245" si="2218">AI17-AI251</f>
        <v>33821.200000000004</v>
      </c>
      <c r="AJ245" s="64">
        <f t="shared" si="2218"/>
        <v>34132.730000000003</v>
      </c>
      <c r="AK245" s="64">
        <f t="shared" si="2218"/>
        <v>32107.14</v>
      </c>
      <c r="AL245" s="64">
        <f t="shared" si="2218"/>
        <v>34650.47</v>
      </c>
      <c r="AM245" s="64">
        <f t="shared" si="2218"/>
        <v>32804.79</v>
      </c>
      <c r="AN245" s="64">
        <f t="shared" si="2218"/>
        <v>36644.89</v>
      </c>
      <c r="AO245" s="64">
        <f t="shared" si="2218"/>
        <v>36735.82</v>
      </c>
      <c r="AP245" s="64">
        <f t="shared" si="2218"/>
        <v>42428.049999999996</v>
      </c>
      <c r="AQ245" s="64">
        <f t="shared" si="2218"/>
        <v>36427.21</v>
      </c>
      <c r="AR245" s="64">
        <f t="shared" si="2218"/>
        <v>35777.11</v>
      </c>
      <c r="AS245" s="64">
        <f t="shared" si="2218"/>
        <v>33633.230000000003</v>
      </c>
      <c r="AT245" s="64">
        <f t="shared" si="2218"/>
        <v>33666.18</v>
      </c>
      <c r="AU245" s="64">
        <f t="shared" si="2218"/>
        <v>28025.43</v>
      </c>
      <c r="AV245" s="64">
        <f t="shared" si="2218"/>
        <v>27456.3</v>
      </c>
      <c r="AW245" s="64">
        <f t="shared" si="2218"/>
        <v>25766.89</v>
      </c>
      <c r="AX245" s="64">
        <f t="shared" si="2218"/>
        <v>27071.26</v>
      </c>
      <c r="AY245" s="64">
        <f t="shared" si="2218"/>
        <v>25970.71</v>
      </c>
      <c r="AZ245" s="64">
        <f t="shared" si="2218"/>
        <v>27119.649999999998</v>
      </c>
      <c r="BA245" s="64">
        <f t="shared" si="2218"/>
        <v>29024.69</v>
      </c>
      <c r="BB245" s="64">
        <f t="shared" si="2218"/>
        <v>35304.890000000007</v>
      </c>
      <c r="BC245" s="64">
        <f t="shared" si="2218"/>
        <v>30973.33</v>
      </c>
      <c r="BD245" s="64">
        <f t="shared" si="2218"/>
        <v>32464.14</v>
      </c>
      <c r="BE245" s="64">
        <f t="shared" si="2218"/>
        <v>33446.6</v>
      </c>
      <c r="BF245" s="64">
        <f t="shared" si="2218"/>
        <v>33705.06</v>
      </c>
      <c r="BG245" s="64">
        <f t="shared" si="2218"/>
        <v>35494.080000000002</v>
      </c>
      <c r="BH245" s="64">
        <f t="shared" si="2218"/>
        <v>40897.159999999996</v>
      </c>
      <c r="BI245" s="64">
        <f t="shared" si="2218"/>
        <v>38853.879999999997</v>
      </c>
      <c r="BJ245" s="64">
        <f t="shared" si="2218"/>
        <v>42423.86</v>
      </c>
      <c r="BK245" s="64">
        <f t="shared" si="2218"/>
        <v>35947.11</v>
      </c>
      <c r="BL245" s="64">
        <f t="shared" si="2218"/>
        <v>34579.18</v>
      </c>
      <c r="BM245" s="64">
        <f t="shared" si="2218"/>
        <v>35520.410000000003</v>
      </c>
      <c r="BN245" s="64">
        <f t="shared" si="2218"/>
        <v>36009.369999999995</v>
      </c>
      <c r="BO245" s="64">
        <f t="shared" ref="BO245:CT245" si="2219">BO17-BO251</f>
        <v>25474.52</v>
      </c>
      <c r="BP245" s="64">
        <f t="shared" si="2219"/>
        <v>38939.94</v>
      </c>
      <c r="BQ245" s="64">
        <f t="shared" si="2219"/>
        <v>41935.210000000006</v>
      </c>
      <c r="BR245" s="64">
        <f t="shared" si="2219"/>
        <v>50028.37</v>
      </c>
      <c r="BS245" s="64">
        <f t="shared" si="2219"/>
        <v>53465.43</v>
      </c>
      <c r="BT245" s="64">
        <f t="shared" si="2219"/>
        <v>60387.130000000005</v>
      </c>
      <c r="BU245" s="64">
        <f t="shared" si="2219"/>
        <v>60783.11</v>
      </c>
      <c r="BV245" s="64">
        <f t="shared" si="2219"/>
        <v>69323.5</v>
      </c>
      <c r="BW245" s="64">
        <f t="shared" si="2219"/>
        <v>63430.07</v>
      </c>
      <c r="BX245" s="64">
        <f t="shared" si="2219"/>
        <v>59877.520000000004</v>
      </c>
      <c r="BY245" s="64">
        <f t="shared" si="2219"/>
        <v>57083.56</v>
      </c>
      <c r="BZ245" s="64">
        <f t="shared" si="2219"/>
        <v>62961.54</v>
      </c>
      <c r="CA245" s="64">
        <f t="shared" si="2219"/>
        <v>59489.66</v>
      </c>
      <c r="CB245" s="64">
        <f t="shared" si="2219"/>
        <v>55681.93</v>
      </c>
      <c r="CC245" s="64">
        <f t="shared" si="2219"/>
        <v>55311.880000000005</v>
      </c>
      <c r="CD245" s="64">
        <f t="shared" si="2219"/>
        <v>58687.31</v>
      </c>
      <c r="CE245" s="64">
        <f t="shared" si="2219"/>
        <v>54771.39</v>
      </c>
      <c r="CF245" s="64">
        <f t="shared" si="2219"/>
        <v>53904.710000000006</v>
      </c>
      <c r="CG245" s="64">
        <f t="shared" si="2219"/>
        <v>53648.299999999996</v>
      </c>
      <c r="CH245" s="64">
        <f t="shared" si="2219"/>
        <v>56218.11</v>
      </c>
      <c r="CI245" s="64">
        <f t="shared" si="2219"/>
        <v>53178.12</v>
      </c>
      <c r="CJ245" s="64">
        <f t="shared" si="2219"/>
        <v>58689.29</v>
      </c>
      <c r="CK245" s="64">
        <f t="shared" si="2219"/>
        <v>57002.400000000001</v>
      </c>
      <c r="CL245" s="64">
        <f t="shared" ref="CL245" si="2220">CL17-CL251</f>
        <v>63270.13</v>
      </c>
      <c r="CM245" s="30">
        <f t="shared" si="2219"/>
        <v>56994.297537271712</v>
      </c>
      <c r="CN245" s="30">
        <f t="shared" si="2219"/>
        <v>61398.214906307869</v>
      </c>
      <c r="CO245" s="30">
        <f t="shared" si="2219"/>
        <v>66625.689320645659</v>
      </c>
      <c r="CP245" s="30">
        <f t="shared" si="2219"/>
        <v>72107.886437162349</v>
      </c>
      <c r="CQ245" s="30">
        <f t="shared" si="2219"/>
        <v>60561.020089546953</v>
      </c>
      <c r="CR245" s="30">
        <f t="shared" si="2219"/>
        <v>65096.282829830401</v>
      </c>
      <c r="CS245" s="30">
        <f t="shared" si="2219"/>
        <v>70885.217231791583</v>
      </c>
      <c r="CT245" s="30">
        <f t="shared" si="2219"/>
        <v>74971.338898391245</v>
      </c>
      <c r="CU245" s="30">
        <f t="shared" ref="CU245:DB245" si="2221">CU17-CU251</f>
        <v>64630.908245164435</v>
      </c>
      <c r="CV245" s="30">
        <f t="shared" si="2221"/>
        <v>69545.765849847827</v>
      </c>
      <c r="CW245" s="30">
        <f t="shared" si="2221"/>
        <v>75874.18356500956</v>
      </c>
      <c r="CX245" s="30">
        <f t="shared" si="2221"/>
        <v>80368.403146649027</v>
      </c>
      <c r="CY245" s="30">
        <f t="shared" si="2221"/>
        <v>69121.330566836259</v>
      </c>
      <c r="CZ245" s="30">
        <f t="shared" si="2221"/>
        <v>74417.310632338442</v>
      </c>
      <c r="DA245" s="30">
        <f t="shared" si="2221"/>
        <v>81221.259159153793</v>
      </c>
      <c r="DB245" s="30">
        <f t="shared" si="2221"/>
        <v>86034.047927328618</v>
      </c>
      <c r="DE245" s="139"/>
      <c r="DF245" s="64">
        <v>62862.112375571451</v>
      </c>
    </row>
    <row r="246" spans="1:110" s="64" customFormat="1" hidden="1" outlineLevel="1" x14ac:dyDescent="0.2">
      <c r="A246" s="64" t="s">
        <v>475</v>
      </c>
      <c r="B246" s="64">
        <f t="shared" ref="B246:Z246" si="2222">B37-B252</f>
        <v>1702</v>
      </c>
      <c r="C246" s="64">
        <f t="shared" si="2222"/>
        <v>1296.1900000000005</v>
      </c>
      <c r="D246" s="64">
        <f t="shared" si="2222"/>
        <v>2303.8399999999992</v>
      </c>
      <c r="E246" s="64">
        <f t="shared" si="2222"/>
        <v>3509.0900000000011</v>
      </c>
      <c r="F246" s="64">
        <f t="shared" si="2222"/>
        <v>6119.23</v>
      </c>
      <c r="G246" s="64">
        <f t="shared" si="2222"/>
        <v>6288.13</v>
      </c>
      <c r="H246" s="64">
        <f t="shared" si="2222"/>
        <v>7387.68</v>
      </c>
      <c r="I246" s="64">
        <f t="shared" si="2222"/>
        <v>17782.429999999949</v>
      </c>
      <c r="J246" s="64">
        <f t="shared" si="2222"/>
        <v>18112.660000000025</v>
      </c>
      <c r="K246" s="64">
        <f t="shared" si="2222"/>
        <v>7998.739999999998</v>
      </c>
      <c r="L246" s="64">
        <f t="shared" si="2222"/>
        <v>16746.669999999984</v>
      </c>
      <c r="M246" s="64">
        <f t="shared" si="2222"/>
        <v>12366.320000000022</v>
      </c>
      <c r="N246" s="64">
        <f t="shared" si="2222"/>
        <v>12177.720000000023</v>
      </c>
      <c r="O246" s="64">
        <f t="shared" si="2222"/>
        <v>16354.890000000029</v>
      </c>
      <c r="P246" s="64">
        <f t="shared" si="2222"/>
        <v>12444.249999999985</v>
      </c>
      <c r="Q246" s="64">
        <f t="shared" si="2222"/>
        <v>7856.4499999999971</v>
      </c>
      <c r="R246" s="64">
        <f t="shared" si="2222"/>
        <v>16939.87000000001</v>
      </c>
      <c r="S246" s="64">
        <f t="shared" si="2222"/>
        <v>21303.630000000005</v>
      </c>
      <c r="T246" s="64">
        <f t="shared" si="2222"/>
        <v>29383.339999999982</v>
      </c>
      <c r="U246" s="64">
        <f t="shared" si="2222"/>
        <v>17821.949999999983</v>
      </c>
      <c r="V246" s="64">
        <f t="shared" si="2222"/>
        <v>30504.260000000009</v>
      </c>
      <c r="W246" s="64">
        <f t="shared" si="2222"/>
        <v>63489.950000000012</v>
      </c>
      <c r="X246" s="64">
        <f t="shared" si="2222"/>
        <v>32256.590000000026</v>
      </c>
      <c r="Y246" s="64">
        <f t="shared" si="2222"/>
        <v>22278.029999999984</v>
      </c>
      <c r="Z246" s="64">
        <f t="shared" si="2222"/>
        <v>25298.449999999997</v>
      </c>
      <c r="AA246" s="64">
        <f t="shared" ref="AA246" si="2223">AA37-AA252</f>
        <v>34352.440000000017</v>
      </c>
      <c r="AB246" s="30"/>
      <c r="AC246" s="30"/>
      <c r="AD246" s="30"/>
      <c r="AE246" s="30"/>
      <c r="AI246" s="64">
        <f t="shared" ref="AI246:BN246" si="2224">AI37-AI252</f>
        <v>3403.2800000000079</v>
      </c>
      <c r="AJ246" s="64">
        <f t="shared" si="2224"/>
        <v>2310.0800000000017</v>
      </c>
      <c r="AK246" s="64">
        <f t="shared" si="2224"/>
        <v>2238.9100000000017</v>
      </c>
      <c r="AL246" s="64">
        <f t="shared" si="2224"/>
        <v>4368.9399999999987</v>
      </c>
      <c r="AM246" s="64">
        <f t="shared" si="2224"/>
        <v>3688.0399999999972</v>
      </c>
      <c r="AN246" s="64">
        <f t="shared" si="2224"/>
        <v>3705.3499999999949</v>
      </c>
      <c r="AO246" s="64">
        <f t="shared" si="2224"/>
        <v>4006.5400000000045</v>
      </c>
      <c r="AP246" s="64">
        <f t="shared" si="2224"/>
        <v>5011.0799999999945</v>
      </c>
      <c r="AQ246" s="64">
        <f t="shared" si="2224"/>
        <v>4272.5699999999961</v>
      </c>
      <c r="AR246" s="64">
        <f t="shared" si="2224"/>
        <v>3642.8199999999997</v>
      </c>
      <c r="AS246" s="64">
        <f t="shared" si="2224"/>
        <v>3077.3900000000031</v>
      </c>
      <c r="AT246" s="64">
        <f t="shared" si="2224"/>
        <v>1542.9699999999975</v>
      </c>
      <c r="AU246" s="64">
        <f t="shared" si="2224"/>
        <v>2682.76</v>
      </c>
      <c r="AV246" s="64">
        <f t="shared" si="2224"/>
        <v>1784.0499999999956</v>
      </c>
      <c r="AW246" s="64">
        <f t="shared" si="2224"/>
        <v>838.26000000000022</v>
      </c>
      <c r="AX246" s="64">
        <f t="shared" si="2224"/>
        <v>2245.7299999999959</v>
      </c>
      <c r="AY246" s="64">
        <f t="shared" si="2224"/>
        <v>3275.3700000000008</v>
      </c>
      <c r="AZ246" s="64">
        <f t="shared" si="2224"/>
        <v>3071.0899999999983</v>
      </c>
      <c r="BA246" s="64">
        <f t="shared" si="2224"/>
        <v>3636.1500000000015</v>
      </c>
      <c r="BB246" s="64">
        <f t="shared" si="2224"/>
        <v>7025.2100000000064</v>
      </c>
      <c r="BC246" s="64">
        <f t="shared" si="2224"/>
        <v>4974.0099999999984</v>
      </c>
      <c r="BD246" s="64">
        <f t="shared" si="2224"/>
        <v>4720.67</v>
      </c>
      <c r="BE246" s="64">
        <f t="shared" si="2224"/>
        <v>5696.9400000000005</v>
      </c>
      <c r="BF246" s="64">
        <f t="shared" si="2224"/>
        <v>6399.279999999997</v>
      </c>
      <c r="BG246" s="64">
        <f t="shared" si="2224"/>
        <v>6352.739999999998</v>
      </c>
      <c r="BH246" s="64">
        <f t="shared" si="2224"/>
        <v>8801.5399999999936</v>
      </c>
      <c r="BI246" s="64">
        <f t="shared" si="2224"/>
        <v>6715.7799999999988</v>
      </c>
      <c r="BJ246" s="64">
        <f t="shared" si="2224"/>
        <v>7513.2800000000025</v>
      </c>
      <c r="BK246" s="64">
        <f t="shared" si="2224"/>
        <v>5376.9000000000015</v>
      </c>
      <c r="BL246" s="64">
        <f t="shared" si="2224"/>
        <v>3819.5600000000013</v>
      </c>
      <c r="BM246" s="64">
        <f t="shared" si="2224"/>
        <v>3619.7400000000071</v>
      </c>
      <c r="BN246" s="64">
        <f t="shared" si="2224"/>
        <v>4799.1899999999951</v>
      </c>
      <c r="BO246" s="64">
        <f t="shared" ref="BO246:CT246" si="2225">BO37-BO252</f>
        <v>539.22999999999774</v>
      </c>
      <c r="BP246" s="64">
        <f t="shared" si="2225"/>
        <v>6212.7099999999991</v>
      </c>
      <c r="BQ246" s="64">
        <f t="shared" si="2225"/>
        <v>9568.2400000000052</v>
      </c>
      <c r="BR246" s="64">
        <f t="shared" si="2225"/>
        <v>14184.080000000002</v>
      </c>
      <c r="BS246" s="64">
        <f t="shared" si="2225"/>
        <v>16110.55</v>
      </c>
      <c r="BT246" s="64">
        <f t="shared" si="2225"/>
        <v>16456.120000000003</v>
      </c>
      <c r="BU246" s="64">
        <f t="shared" si="2225"/>
        <v>15893.669999999998</v>
      </c>
      <c r="BV246" s="64">
        <f t="shared" si="2225"/>
        <v>15029.610000000008</v>
      </c>
      <c r="BW246" s="64">
        <f t="shared" si="2225"/>
        <v>14972.799999999996</v>
      </c>
      <c r="BX246" s="64">
        <f t="shared" si="2225"/>
        <v>6060.320000000007</v>
      </c>
      <c r="BY246" s="64">
        <f t="shared" si="2225"/>
        <v>4047.84</v>
      </c>
      <c r="BZ246" s="64">
        <f t="shared" si="2225"/>
        <v>7219.2000000000007</v>
      </c>
      <c r="CA246" s="64">
        <f t="shared" si="2225"/>
        <v>5173.8800000000047</v>
      </c>
      <c r="CB246" s="64">
        <f t="shared" si="2225"/>
        <v>4267.82</v>
      </c>
      <c r="CC246" s="64">
        <f t="shared" si="2225"/>
        <v>6263.5700000000106</v>
      </c>
      <c r="CD246" s="64">
        <f t="shared" si="2225"/>
        <v>6600.6299999999937</v>
      </c>
      <c r="CE246" s="64">
        <f t="shared" si="2225"/>
        <v>6694.4700000000012</v>
      </c>
      <c r="CF246" s="64">
        <f t="shared" si="2225"/>
        <v>6141.2700000000077</v>
      </c>
      <c r="CG246" s="64">
        <f t="shared" si="2225"/>
        <v>5903.489999999998</v>
      </c>
      <c r="CH246" s="64">
        <f t="shared" si="2225"/>
        <v>6559.2200000000084</v>
      </c>
      <c r="CI246" s="64">
        <f t="shared" si="2225"/>
        <v>7427.5400000000009</v>
      </c>
      <c r="CJ246" s="64">
        <f t="shared" si="2225"/>
        <v>8896.5400000000009</v>
      </c>
      <c r="CK246" s="64">
        <f t="shared" si="2225"/>
        <v>8199.7000000000007</v>
      </c>
      <c r="CL246" s="64">
        <f t="shared" ref="CL246" si="2226">CL37-CL252</f>
        <v>9828.6599999999962</v>
      </c>
      <c r="CM246" s="30">
        <f t="shared" si="2225"/>
        <v>9222.2142933897339</v>
      </c>
      <c r="CN246" s="30">
        <f t="shared" si="2225"/>
        <v>10271.475706015302</v>
      </c>
      <c r="CO246" s="30">
        <f t="shared" si="2225"/>
        <v>11215.777023712071</v>
      </c>
      <c r="CP246" s="30">
        <f t="shared" si="2225"/>
        <v>12579.876362120052</v>
      </c>
      <c r="CQ246" s="30">
        <f t="shared" si="2225"/>
        <v>10462.116074223031</v>
      </c>
      <c r="CR246" s="30">
        <f t="shared" si="2225"/>
        <v>11425.072027027152</v>
      </c>
      <c r="CS246" s="30">
        <f t="shared" si="2225"/>
        <v>12588.414677338162</v>
      </c>
      <c r="CT246" s="30">
        <f t="shared" si="2225"/>
        <v>13489.172208618227</v>
      </c>
      <c r="CU246" s="30">
        <f t="shared" ref="CU246:DB246" si="2227">CU37-CU252</f>
        <v>11403.748297006841</v>
      </c>
      <c r="CV246" s="30">
        <f t="shared" si="2227"/>
        <v>12335.117823016844</v>
      </c>
      <c r="CW246" s="30">
        <f t="shared" si="2227"/>
        <v>13492.78585818351</v>
      </c>
      <c r="CX246" s="30">
        <f t="shared" si="2227"/>
        <v>14296.866695302197</v>
      </c>
      <c r="CY246" s="30">
        <f t="shared" si="2227"/>
        <v>12260.97993527084</v>
      </c>
      <c r="CZ246" s="30">
        <f t="shared" si="2227"/>
        <v>13217.873387306674</v>
      </c>
      <c r="DA246" s="30">
        <f t="shared" si="2227"/>
        <v>14431.482617189096</v>
      </c>
      <c r="DB246" s="30">
        <f t="shared" si="2227"/>
        <v>15283.398964865861</v>
      </c>
      <c r="DE246" s="139"/>
      <c r="DF246" s="64">
        <v>9501.2089183339049</v>
      </c>
    </row>
    <row r="247" spans="1:110" s="89" customFormat="1" hidden="1" outlineLevel="1" x14ac:dyDescent="0.2">
      <c r="A247" s="86" t="s">
        <v>476</v>
      </c>
      <c r="B247" s="86">
        <f>+B246/B245</f>
        <v>0.21934572598022539</v>
      </c>
      <c r="C247" s="86">
        <f t="shared" ref="C247" si="2228">+C246/C245</f>
        <v>0.15428537420026789</v>
      </c>
      <c r="D247" s="86">
        <f t="shared" ref="D247" si="2229">+D246/D245</f>
        <v>0.22520518164293893</v>
      </c>
      <c r="E247" s="86">
        <f t="shared" ref="E247" si="2230">+E246/E245</f>
        <v>0.28361943757663155</v>
      </c>
      <c r="F247" s="86">
        <f t="shared" ref="F247" si="2231">+F246/F245</f>
        <v>0.35138665894896898</v>
      </c>
      <c r="G247" s="86">
        <f t="shared" ref="G247" si="2232">+G246/G245</f>
        <v>0.28233164841815828</v>
      </c>
      <c r="H247" s="86">
        <f t="shared" ref="H247" si="2233">+H246/H245</f>
        <v>0.2692569127636148</v>
      </c>
      <c r="I247" s="86">
        <f t="shared" ref="I247" si="2234">+I246/I245</f>
        <v>0.1326188258543326</v>
      </c>
      <c r="J247" s="86">
        <f t="shared" ref="J247" si="2235">+J246/J245</f>
        <v>0.12076319129107246</v>
      </c>
      <c r="K247" s="86">
        <f t="shared" ref="K247" si="2236">+K246/K245</f>
        <v>7.6741370488659505E-2</v>
      </c>
      <c r="L247" s="86">
        <f t="shared" ref="L247" si="2237">+L246/L245</f>
        <v>0.13800788243510781</v>
      </c>
      <c r="M247" s="86">
        <f t="shared" ref="M247" si="2238">+M246/M245</f>
        <v>9.0945166910877381E-2</v>
      </c>
      <c r="N247" s="86">
        <f t="shared" ref="N247" si="2239">+N246/N245</f>
        <v>8.772237427239124E-2</v>
      </c>
      <c r="O247" s="86">
        <f t="shared" ref="O247" si="2240">+O246/O245</f>
        <v>0.10674624487942572</v>
      </c>
      <c r="P247" s="86">
        <f t="shared" ref="P247" si="2241">+P246/P245</f>
        <v>8.623971887137169E-2</v>
      </c>
      <c r="Q247" s="86">
        <f t="shared" ref="Q247" si="2242">+Q246/Q245</f>
        <v>7.3880533293611633E-2</v>
      </c>
      <c r="R247" s="86">
        <f t="shared" ref="R247" si="2243">+R246/R245</f>
        <v>0.14426740466738452</v>
      </c>
      <c r="S247" s="86">
        <f t="shared" ref="S247" si="2244">+S246/S245</f>
        <v>0.17165162526793842</v>
      </c>
      <c r="T247" s="86">
        <f t="shared" ref="T247" si="2245">+T246/T245</f>
        <v>0.186360932482665</v>
      </c>
      <c r="U247" s="86">
        <f t="shared" ref="U247" si="2246">+U246/U245</f>
        <v>0.11963311691864169</v>
      </c>
      <c r="V247" s="86">
        <f t="shared" ref="V247" si="2247">+V246/V245</f>
        <v>0.19494355095368412</v>
      </c>
      <c r="W247" s="86">
        <f t="shared" ref="W247" si="2248">+W246/W245</f>
        <v>0.26024826203499546</v>
      </c>
      <c r="X247" s="86">
        <f t="shared" ref="X247:Y247" si="2249">+X246/X245</f>
        <v>0.13255078462457112</v>
      </c>
      <c r="Y247" s="86">
        <f t="shared" si="2249"/>
        <v>9.7211476960544385E-2</v>
      </c>
      <c r="Z247" s="86">
        <f t="shared" ref="Z247:AA247" si="2250">+Z246/Z245</f>
        <v>0.1157598583451796</v>
      </c>
      <c r="AA247" s="86">
        <f t="shared" si="2250"/>
        <v>0.14798160109802741</v>
      </c>
      <c r="AB247" s="87"/>
      <c r="AC247" s="87"/>
      <c r="AD247" s="87"/>
      <c r="AE247" s="87"/>
      <c r="AF247" s="86"/>
      <c r="AG247" s="86"/>
      <c r="AH247" s="86"/>
      <c r="AI247" s="86">
        <f t="shared" ref="AI247" si="2251">+AI246/AI245</f>
        <v>0.10062564308776765</v>
      </c>
      <c r="AJ247" s="86">
        <f t="shared" ref="AJ247" si="2252">+AJ246/AJ245</f>
        <v>6.7679321284878219E-2</v>
      </c>
      <c r="AK247" s="86">
        <f t="shared" ref="AK247" si="2253">+AK246/AK245</f>
        <v>6.9732464492321705E-2</v>
      </c>
      <c r="AL247" s="86">
        <f t="shared" ref="AL247" si="2254">+AL246/AL245</f>
        <v>0.12608602422997434</v>
      </c>
      <c r="AM247" s="86">
        <f t="shared" ref="AM247" si="2255">+AM246/AM245</f>
        <v>0.11242382591078916</v>
      </c>
      <c r="AN247" s="86">
        <f t="shared" ref="AN247" si="2256">+AN246/AN245</f>
        <v>0.10111505314929298</v>
      </c>
      <c r="AO247" s="86">
        <f t="shared" ref="AO247" si="2257">+AO246/AO245</f>
        <v>0.10906357881762281</v>
      </c>
      <c r="AP247" s="86">
        <f t="shared" ref="AP247" si="2258">+AP246/AP245</f>
        <v>0.11810771411837204</v>
      </c>
      <c r="AQ247" s="86">
        <f t="shared" ref="AQ247" si="2259">+AQ246/AQ245</f>
        <v>0.11729061874351607</v>
      </c>
      <c r="AR247" s="86">
        <f t="shared" ref="AR247" si="2260">+AR246/AR245</f>
        <v>0.1018198507369656</v>
      </c>
      <c r="AS247" s="86">
        <f t="shared" ref="AS247" si="2261">+AS246/AS245</f>
        <v>9.1498497170804077E-2</v>
      </c>
      <c r="AT247" s="86">
        <f t="shared" ref="AT247" si="2262">+AT246/AT245</f>
        <v>4.5831454593303948E-2</v>
      </c>
      <c r="AU247" s="86">
        <f t="shared" ref="AU247" si="2263">+AU246/AU245</f>
        <v>9.5725917497073196E-2</v>
      </c>
      <c r="AV247" s="86">
        <f t="shared" ref="AV247" si="2264">+AV246/AV245</f>
        <v>6.4977801087546236E-2</v>
      </c>
      <c r="AW247" s="86">
        <f t="shared" ref="AW247" si="2265">+AW246/AW245</f>
        <v>3.2532447648901369E-2</v>
      </c>
      <c r="AX247" s="86">
        <f t="shared" ref="AX247" si="2266">+AX246/AX245</f>
        <v>8.2956242154964194E-2</v>
      </c>
      <c r="AY247" s="86">
        <f t="shared" ref="AY247" si="2267">+AY246/AY245</f>
        <v>0.12611784583478852</v>
      </c>
      <c r="AZ247" s="86">
        <f t="shared" ref="AZ247" si="2268">+AZ246/AZ245</f>
        <v>0.11324224317054234</v>
      </c>
      <c r="BA247" s="86">
        <f t="shared" ref="BA247" si="2269">+BA246/BA245</f>
        <v>0.12527782381138272</v>
      </c>
      <c r="BB247" s="86">
        <f t="shared" ref="BB247" si="2270">+BB246/BB245</f>
        <v>0.1989868825536634</v>
      </c>
      <c r="BC247" s="86">
        <f t="shared" ref="BC247" si="2271">+BC246/BC245</f>
        <v>0.16059009476862832</v>
      </c>
      <c r="BD247" s="86">
        <f t="shared" ref="BD247" si="2272">+BD246/BD245</f>
        <v>0.14541182979127124</v>
      </c>
      <c r="BE247" s="86">
        <f t="shared" ref="BE247" si="2273">+BE246/BE245</f>
        <v>0.17032942062870368</v>
      </c>
      <c r="BF247" s="86">
        <f t="shared" ref="BF247" si="2274">+BF246/BF245</f>
        <v>0.18986110690798347</v>
      </c>
      <c r="BG247" s="86">
        <f t="shared" ref="BG247" si="2275">+BG246/BG245</f>
        <v>0.17898026938576792</v>
      </c>
      <c r="BH247" s="86">
        <f t="shared" ref="BH247" si="2276">+BH246/BH245</f>
        <v>0.21521152079997719</v>
      </c>
      <c r="BI247" s="86">
        <f t="shared" ref="BI247" si="2277">+BI246/BI245</f>
        <v>0.17284708760103237</v>
      </c>
      <c r="BJ247" s="86">
        <f t="shared" ref="BJ247" si="2278">+BJ246/BJ245</f>
        <v>0.17710033929020136</v>
      </c>
      <c r="BK247" s="86">
        <f t="shared" ref="BK247" si="2279">+BK246/BK245</f>
        <v>0.14957808847498455</v>
      </c>
      <c r="BL247" s="86">
        <f t="shared" ref="BL247" si="2280">+BL246/BL245</f>
        <v>0.11045837408521547</v>
      </c>
      <c r="BM247" s="86">
        <f t="shared" ref="BM247" si="2281">+BM246/BM245</f>
        <v>0.1019059183156953</v>
      </c>
      <c r="BN247" s="86">
        <f t="shared" ref="BN247" si="2282">+BN246/BN245</f>
        <v>0.13327614451460817</v>
      </c>
      <c r="BO247" s="86">
        <f t="shared" ref="BO247" si="2283">+BO246/BO245</f>
        <v>2.1167425333234846E-2</v>
      </c>
      <c r="BP247" s="86">
        <f t="shared" ref="BP247" si="2284">+BP246/BP245</f>
        <v>0.15954595718432024</v>
      </c>
      <c r="BQ247" s="86">
        <f t="shared" ref="BQ247" si="2285">+BQ246/BQ245</f>
        <v>0.2281672131843385</v>
      </c>
      <c r="BR247" s="86">
        <f t="shared" ref="BR247" si="2286">+BR246/BR245</f>
        <v>0.28352073033760644</v>
      </c>
      <c r="BS247" s="86">
        <f t="shared" ref="BS247" si="2287">+BS246/BS245</f>
        <v>0.30132648329958256</v>
      </c>
      <c r="BT247" s="86">
        <f t="shared" ref="BT247" si="2288">+BT246/BT245</f>
        <v>0.27251038424909418</v>
      </c>
      <c r="BU247" s="86">
        <f t="shared" ref="BU247" si="2289">+BU246/BU245</f>
        <v>0.26148168463245791</v>
      </c>
      <c r="BV247" s="86">
        <f t="shared" ref="BV247" si="2290">+BV246/BV245</f>
        <v>0.21680396979379299</v>
      </c>
      <c r="BW247" s="86">
        <f t="shared" ref="BW247" si="2291">+BW246/BW245</f>
        <v>0.23605208066142755</v>
      </c>
      <c r="BX247" s="86">
        <f t="shared" ref="BX247" si="2292">+BX246/BX245</f>
        <v>0.10121194064149629</v>
      </c>
      <c r="BY247" s="86">
        <f t="shared" ref="BY247" si="2293">+BY246/BY245</f>
        <v>7.0910784120682038E-2</v>
      </c>
      <c r="BZ247" s="86">
        <f t="shared" ref="BZ247" si="2294">+BZ246/BZ245</f>
        <v>0.11466047367964635</v>
      </c>
      <c r="CA247" s="86">
        <f t="shared" ref="CA247" si="2295">+CA246/CA245</f>
        <v>8.6971080352451241E-2</v>
      </c>
      <c r="CB247" s="86">
        <f t="shared" ref="CB247:CC247" si="2296">+CB246/CB245</f>
        <v>7.6646409346802447E-2</v>
      </c>
      <c r="CC247" s="86">
        <f t="shared" si="2296"/>
        <v>0.11324095293813934</v>
      </c>
      <c r="CD247" s="86">
        <f t="shared" ref="CD247" si="2297">+CD246/CD245</f>
        <v>0.11247116284593713</v>
      </c>
      <c r="CE247" s="86">
        <f t="shared" ref="CE247:CF247" si="2298">+CE246/CE245</f>
        <v>0.12222567292887768</v>
      </c>
      <c r="CF247" s="86">
        <f t="shared" si="2298"/>
        <v>0.11392826341149051</v>
      </c>
      <c r="CG247" s="86">
        <f t="shared" ref="CG247:CH247" si="2299">+CG246/CG245</f>
        <v>0.11004057910502286</v>
      </c>
      <c r="CH247" s="86">
        <f t="shared" si="2299"/>
        <v>0.1166745022200143</v>
      </c>
      <c r="CI247" s="86">
        <f t="shared" ref="CI247:CJ247" si="2300">+CI246/CI245</f>
        <v>0.13967285793480477</v>
      </c>
      <c r="CJ247" s="86">
        <f t="shared" si="2300"/>
        <v>0.15158711240159833</v>
      </c>
      <c r="CK247" s="86">
        <f t="shared" ref="CK247:DB247" si="2301">+CK246/CK245</f>
        <v>0.14384832919315679</v>
      </c>
      <c r="CL247" s="86">
        <f t="shared" si="2301"/>
        <v>0.15534439395019414</v>
      </c>
      <c r="CM247" s="47">
        <f t="shared" si="2301"/>
        <v>0.16180942115057773</v>
      </c>
      <c r="CN247" s="47">
        <f t="shared" si="2301"/>
        <v>0.16729274168132274</v>
      </c>
      <c r="CO247" s="47">
        <f t="shared" si="2301"/>
        <v>0.16834012733038364</v>
      </c>
      <c r="CP247" s="47">
        <f t="shared" si="2301"/>
        <v>0.17445909155973738</v>
      </c>
      <c r="CQ247" s="47">
        <f t="shared" si="2301"/>
        <v>0.17275330003942305</v>
      </c>
      <c r="CR247" s="47">
        <f t="shared" si="2301"/>
        <v>0.17551035989095845</v>
      </c>
      <c r="CS247" s="47">
        <f t="shared" si="2301"/>
        <v>0.177588715517011</v>
      </c>
      <c r="CT247" s="47">
        <f t="shared" si="2301"/>
        <v>0.17992438719682091</v>
      </c>
      <c r="CU247" s="47">
        <f t="shared" si="2301"/>
        <v>0.17644419066105338</v>
      </c>
      <c r="CV247" s="47">
        <f t="shared" si="2301"/>
        <v>0.17736691331646087</v>
      </c>
      <c r="CW247" s="47">
        <f t="shared" si="2301"/>
        <v>0.17783105167283667</v>
      </c>
      <c r="CX247" s="47">
        <f t="shared" si="2301"/>
        <v>0.17789163571179287</v>
      </c>
      <c r="CY247" s="47">
        <f t="shared" si="2301"/>
        <v>0.17738344784053592</v>
      </c>
      <c r="CZ247" s="47">
        <f t="shared" si="2301"/>
        <v>0.17761826213540666</v>
      </c>
      <c r="DA247" s="47">
        <f t="shared" si="2301"/>
        <v>0.1776810993401429</v>
      </c>
      <c r="DB247" s="47">
        <f t="shared" si="2301"/>
        <v>0.17764361125696965</v>
      </c>
      <c r="DE247" s="130"/>
      <c r="DF247" s="89">
        <v>0.15114364693264945</v>
      </c>
    </row>
    <row r="248" spans="1:110" s="64" customFormat="1" hidden="1" outlineLevel="1" x14ac:dyDescent="0.2">
      <c r="A248" s="64" t="s">
        <v>477</v>
      </c>
      <c r="B248" s="64">
        <f t="shared" ref="B248:Z248" si="2302">B50-B254</f>
        <v>839.28000000000009</v>
      </c>
      <c r="C248" s="64">
        <f t="shared" si="2302"/>
        <v>410.1400000000005</v>
      </c>
      <c r="D248" s="64">
        <f t="shared" si="2302"/>
        <v>1255.8299999999992</v>
      </c>
      <c r="E248" s="64">
        <f t="shared" si="2302"/>
        <v>1989.0300000000007</v>
      </c>
      <c r="F248" s="64">
        <f t="shared" si="2302"/>
        <v>3668.8799999999992</v>
      </c>
      <c r="G248" s="64">
        <f t="shared" si="2302"/>
        <v>3775.2699999999995</v>
      </c>
      <c r="H248" s="64">
        <f t="shared" si="2302"/>
        <v>4318.6400000000012</v>
      </c>
      <c r="I248" s="64">
        <f t="shared" si="2302"/>
        <v>5986.6299999999492</v>
      </c>
      <c r="J248" s="64">
        <f t="shared" si="2302"/>
        <v>8943.7700000000259</v>
      </c>
      <c r="K248" s="64">
        <f t="shared" si="2302"/>
        <v>-437.12000000000171</v>
      </c>
      <c r="L248" s="64">
        <f t="shared" si="2302"/>
        <v>5810.1499999999833</v>
      </c>
      <c r="M248" s="64">
        <f t="shared" si="2302"/>
        <v>1586.6000000000222</v>
      </c>
      <c r="N248" s="64">
        <f t="shared" si="2302"/>
        <v>27.490000000023429</v>
      </c>
      <c r="O248" s="64">
        <f t="shared" si="2302"/>
        <v>3691.6100000000279</v>
      </c>
      <c r="P248" s="64">
        <f t="shared" si="2302"/>
        <v>-26.830000000014479</v>
      </c>
      <c r="Q248" s="64">
        <f t="shared" si="2302"/>
        <v>-1837.1700000000033</v>
      </c>
      <c r="R248" s="64">
        <f t="shared" si="2302"/>
        <v>4012.2000000000089</v>
      </c>
      <c r="S248" s="64">
        <f t="shared" si="2302"/>
        <v>7725.5200000000041</v>
      </c>
      <c r="T248" s="64">
        <f t="shared" si="2302"/>
        <v>9083.5599999999813</v>
      </c>
      <c r="U248" s="64">
        <f t="shared" si="2302"/>
        <v>5914.0699999999833</v>
      </c>
      <c r="V248" s="64">
        <f t="shared" si="2302"/>
        <v>8905.6100000000097</v>
      </c>
      <c r="W248" s="64">
        <f t="shared" si="2302"/>
        <v>41234.220000000016</v>
      </c>
      <c r="X248" s="64">
        <f t="shared" si="2302"/>
        <v>7543.970000000023</v>
      </c>
      <c r="Y248" s="64">
        <f t="shared" si="2302"/>
        <v>2962.4499999999839</v>
      </c>
      <c r="Z248" s="64">
        <f t="shared" si="2302"/>
        <v>3837.6099999999969</v>
      </c>
      <c r="AA248" s="64">
        <f t="shared" ref="AA248" si="2303">AA50-AA254</f>
        <v>11549.780000000013</v>
      </c>
      <c r="AB248" s="30"/>
      <c r="AC248" s="30"/>
      <c r="AD248" s="30"/>
      <c r="AE248" s="30"/>
      <c r="AI248" s="64">
        <f t="shared" ref="AI248:BN248" si="2304">AI50-AI254</f>
        <v>517.04000000000804</v>
      </c>
      <c r="AJ248" s="64">
        <f t="shared" si="2304"/>
        <v>-455.94999999999834</v>
      </c>
      <c r="AK248" s="64">
        <f t="shared" si="2304"/>
        <v>-768.85999999999819</v>
      </c>
      <c r="AL248" s="64">
        <f t="shared" si="2304"/>
        <v>735.25999999999863</v>
      </c>
      <c r="AM248" s="64">
        <f t="shared" si="2304"/>
        <v>1124.5699999999974</v>
      </c>
      <c r="AN248" s="64">
        <f t="shared" si="2304"/>
        <v>950.94999999999538</v>
      </c>
      <c r="AO248" s="64">
        <f t="shared" si="2304"/>
        <v>499.06000000000415</v>
      </c>
      <c r="AP248" s="64">
        <f t="shared" si="2304"/>
        <v>1117.0299999999945</v>
      </c>
      <c r="AQ248" s="64">
        <f t="shared" si="2304"/>
        <v>605.64999999999623</v>
      </c>
      <c r="AR248" s="64">
        <f t="shared" si="2304"/>
        <v>127.27999999999952</v>
      </c>
      <c r="AS248" s="64">
        <f t="shared" si="2304"/>
        <v>131.32000000000295</v>
      </c>
      <c r="AT248" s="64">
        <f t="shared" si="2304"/>
        <v>-891.08000000000243</v>
      </c>
      <c r="AU248" s="64">
        <f t="shared" si="2304"/>
        <v>160.0100000000003</v>
      </c>
      <c r="AV248" s="64">
        <f t="shared" si="2304"/>
        <v>-337.93000000000438</v>
      </c>
      <c r="AW248" s="64">
        <f t="shared" si="2304"/>
        <v>-1672.0799999999997</v>
      </c>
      <c r="AX248" s="64">
        <f t="shared" si="2304"/>
        <v>-407.48000000000411</v>
      </c>
      <c r="AY248" s="64">
        <f t="shared" si="2304"/>
        <v>363.03000000000088</v>
      </c>
      <c r="AZ248" s="64">
        <f t="shared" si="2304"/>
        <v>-1.3600000000018326</v>
      </c>
      <c r="BA248" s="64">
        <f t="shared" si="2304"/>
        <v>301.4500000000013</v>
      </c>
      <c r="BB248" s="64">
        <f t="shared" si="2304"/>
        <v>3349.0800000000063</v>
      </c>
      <c r="BC248" s="64">
        <f t="shared" si="2304"/>
        <v>1544.1099999999981</v>
      </c>
      <c r="BD248" s="64">
        <f t="shared" si="2304"/>
        <v>970.89999999999986</v>
      </c>
      <c r="BE248" s="64">
        <f t="shared" si="2304"/>
        <v>2169.6300000000006</v>
      </c>
      <c r="BF248" s="64">
        <f t="shared" si="2304"/>
        <v>3162.5599999999968</v>
      </c>
      <c r="BG248" s="64">
        <f t="shared" si="2304"/>
        <v>2204.2799999999979</v>
      </c>
      <c r="BH248" s="64">
        <f t="shared" si="2304"/>
        <v>2859.2099999999932</v>
      </c>
      <c r="BI248" s="64">
        <f t="shared" si="2304"/>
        <v>1734.2699999999991</v>
      </c>
      <c r="BJ248" s="64">
        <f t="shared" si="2304"/>
        <v>2285.8000000000025</v>
      </c>
      <c r="BK248" s="64">
        <f t="shared" si="2304"/>
        <v>626.97000000000116</v>
      </c>
      <c r="BL248" s="64">
        <f t="shared" si="2304"/>
        <v>4054.5700000000015</v>
      </c>
      <c r="BM248" s="64">
        <f t="shared" si="2304"/>
        <v>-857.61999999999284</v>
      </c>
      <c r="BN248" s="64">
        <f t="shared" si="2304"/>
        <v>2145.459999999995</v>
      </c>
      <c r="BO248" s="64">
        <f t="shared" ref="BO248:CT248" si="2305">BO50-BO254</f>
        <v>-4721.4900000000025</v>
      </c>
      <c r="BP248" s="64">
        <f t="shared" si="2305"/>
        <v>1548.3599999999992</v>
      </c>
      <c r="BQ248" s="64">
        <f t="shared" si="2305"/>
        <v>4076.1100000000042</v>
      </c>
      <c r="BR248" s="64">
        <f t="shared" si="2305"/>
        <v>8002.6300000000019</v>
      </c>
      <c r="BS248" s="64">
        <f t="shared" si="2305"/>
        <v>9828.3999999999978</v>
      </c>
      <c r="BT248" s="64">
        <f t="shared" si="2305"/>
        <v>11846.480000000003</v>
      </c>
      <c r="BU248" s="64">
        <f t="shared" si="2305"/>
        <v>9609.2799999999988</v>
      </c>
      <c r="BV248" s="64">
        <f t="shared" si="2305"/>
        <v>9950.0600000000086</v>
      </c>
      <c r="BW248" s="64">
        <f t="shared" si="2305"/>
        <v>7593.7199999999939</v>
      </c>
      <c r="BX248" s="64">
        <f t="shared" si="2305"/>
        <v>1214.6300000000069</v>
      </c>
      <c r="BY248" s="64">
        <f t="shared" si="2305"/>
        <v>-2722.78</v>
      </c>
      <c r="BZ248" s="64">
        <f t="shared" si="2305"/>
        <v>1458.4000000000008</v>
      </c>
      <c r="CA248" s="64">
        <f t="shared" si="2305"/>
        <v>782.71000000000458</v>
      </c>
      <c r="CB248" s="64">
        <f t="shared" si="2305"/>
        <v>284.83999999999969</v>
      </c>
      <c r="CC248" s="64">
        <f t="shared" si="2305"/>
        <v>782.87000000001035</v>
      </c>
      <c r="CD248" s="64">
        <f t="shared" si="2305"/>
        <v>1112.0299999999938</v>
      </c>
      <c r="CE248" s="64">
        <f t="shared" si="2305"/>
        <v>1183.9900000000007</v>
      </c>
      <c r="CF248" s="64">
        <f t="shared" si="2305"/>
        <v>766.23000000000798</v>
      </c>
      <c r="CG248" s="64">
        <f t="shared" si="2305"/>
        <v>374.69999999999823</v>
      </c>
      <c r="CH248" s="64">
        <f t="shared" si="2305"/>
        <v>1512.6900000000091</v>
      </c>
      <c r="CI248" s="64">
        <f t="shared" si="2305"/>
        <v>2059.7600000000002</v>
      </c>
      <c r="CJ248" s="64">
        <f t="shared" si="2305"/>
        <v>3552.7500000000009</v>
      </c>
      <c r="CK248" s="64">
        <f t="shared" si="2305"/>
        <v>2766.2900000000013</v>
      </c>
      <c r="CL248" s="64">
        <f t="shared" ref="CL248" si="2306">CL50-CL254</f>
        <v>3170.9799999999968</v>
      </c>
      <c r="CM248" s="30">
        <f t="shared" si="2305"/>
        <v>3120.1884052471396</v>
      </c>
      <c r="CN248" s="30">
        <f t="shared" si="2305"/>
        <v>3907.2283334082458</v>
      </c>
      <c r="CO248" s="30">
        <f t="shared" si="2305"/>
        <v>4527.0769138821997</v>
      </c>
      <c r="CP248" s="30">
        <f t="shared" si="2305"/>
        <v>5479.0312057511592</v>
      </c>
      <c r="CQ248" s="30">
        <f t="shared" si="2305"/>
        <v>3940.4247688499845</v>
      </c>
      <c r="CR248" s="30">
        <f t="shared" si="2305"/>
        <v>4600.8543869199202</v>
      </c>
      <c r="CS248" s="30">
        <f t="shared" si="2305"/>
        <v>5460.2826116335718</v>
      </c>
      <c r="CT248" s="30">
        <f t="shared" si="2305"/>
        <v>6155.0165671319664</v>
      </c>
      <c r="CU248" s="30">
        <f t="shared" ref="CU248:DB248" si="2307">CU50-CU254</f>
        <v>4823.1687209144002</v>
      </c>
      <c r="CV248" s="30">
        <f t="shared" si="2307"/>
        <v>5585.5009691212636</v>
      </c>
      <c r="CW248" s="30">
        <f t="shared" si="2307"/>
        <v>6574.9141716881859</v>
      </c>
      <c r="CX248" s="30">
        <f t="shared" si="2307"/>
        <v>7341.1189747513836</v>
      </c>
      <c r="CY248" s="30">
        <f t="shared" si="2307"/>
        <v>6149.7152687205407</v>
      </c>
      <c r="CZ248" s="30">
        <f t="shared" si="2307"/>
        <v>6937.7476908261015</v>
      </c>
      <c r="DA248" s="30">
        <f t="shared" si="2307"/>
        <v>7981.250638144711</v>
      </c>
      <c r="DB248" s="30">
        <f t="shared" si="2307"/>
        <v>8794.6588963500526</v>
      </c>
      <c r="DE248" s="139"/>
      <c r="DF248" s="64">
        <v>3336.8196018517556</v>
      </c>
    </row>
    <row r="249" spans="1:110" s="64" customFormat="1" hidden="1" outlineLevel="1" x14ac:dyDescent="0.2">
      <c r="AB249" s="30"/>
      <c r="AC249" s="30"/>
      <c r="AD249" s="30"/>
      <c r="AE249" s="30"/>
      <c r="CM249" s="30"/>
      <c r="CN249" s="30"/>
      <c r="CO249" s="30"/>
      <c r="CP249" s="30"/>
      <c r="CQ249" s="30"/>
      <c r="CR249" s="30"/>
      <c r="CS249" s="30"/>
      <c r="CT249" s="30"/>
      <c r="CU249" s="30"/>
      <c r="CV249" s="30"/>
      <c r="CW249" s="30"/>
      <c r="CX249" s="30"/>
      <c r="CY249" s="30"/>
      <c r="CZ249" s="30"/>
      <c r="DA249" s="30"/>
      <c r="DB249" s="30"/>
      <c r="DE249" s="139"/>
    </row>
    <row r="250" spans="1:110" s="64" customFormat="1" hidden="1" outlineLevel="1" x14ac:dyDescent="0.2">
      <c r="A250" s="65" t="s">
        <v>352</v>
      </c>
      <c r="AB250" s="30"/>
      <c r="AC250" s="30"/>
      <c r="AD250" s="30"/>
      <c r="AE250" s="30"/>
      <c r="CM250" s="30"/>
      <c r="CN250" s="30"/>
      <c r="CO250" s="30"/>
      <c r="CP250" s="30"/>
      <c r="CQ250" s="30"/>
      <c r="CR250" s="30"/>
      <c r="CS250" s="30"/>
      <c r="CT250" s="30"/>
      <c r="CU250" s="30"/>
      <c r="CV250" s="30"/>
      <c r="CW250" s="30"/>
      <c r="CX250" s="30"/>
      <c r="CY250" s="30"/>
      <c r="CZ250" s="30"/>
      <c r="DA250" s="30"/>
      <c r="DB250" s="30"/>
      <c r="DE250" s="139"/>
    </row>
    <row r="251" spans="1:110" s="64" customFormat="1" hidden="1" outlineLevel="1" x14ac:dyDescent="0.2">
      <c r="A251" s="64" t="s">
        <v>478</v>
      </c>
      <c r="AB251" s="30"/>
      <c r="AC251" s="30"/>
      <c r="AD251" s="30"/>
      <c r="AE251" s="30"/>
      <c r="CM251" s="30"/>
      <c r="CN251" s="30"/>
      <c r="CO251" s="30"/>
      <c r="CP251" s="30"/>
      <c r="CQ251" s="30"/>
      <c r="CR251" s="30"/>
      <c r="CS251" s="30"/>
      <c r="CT251" s="30"/>
      <c r="CU251" s="30"/>
      <c r="CV251" s="30"/>
      <c r="CW251" s="30"/>
      <c r="CX251" s="30"/>
      <c r="CY251" s="30"/>
      <c r="CZ251" s="30"/>
      <c r="DA251" s="30"/>
      <c r="DB251" s="30"/>
      <c r="DE251" s="139"/>
    </row>
    <row r="252" spans="1:110" s="64" customFormat="1" hidden="1" outlineLevel="1" x14ac:dyDescent="0.2">
      <c r="A252" s="64" t="s">
        <v>479</v>
      </c>
      <c r="AB252" s="30"/>
      <c r="AC252" s="30"/>
      <c r="AD252" s="30"/>
      <c r="AE252" s="30"/>
      <c r="CM252" s="30"/>
      <c r="CN252" s="30"/>
      <c r="CO252" s="30"/>
      <c r="CP252" s="30"/>
      <c r="CQ252" s="30"/>
      <c r="CR252" s="30"/>
      <c r="CS252" s="30"/>
      <c r="CT252" s="30"/>
      <c r="CU252" s="30"/>
      <c r="CV252" s="30"/>
      <c r="CW252" s="30"/>
      <c r="CX252" s="30"/>
      <c r="CY252" s="30"/>
      <c r="CZ252" s="30"/>
      <c r="DA252" s="30"/>
      <c r="DB252" s="30"/>
      <c r="DE252" s="139"/>
    </row>
    <row r="253" spans="1:110" s="89" customFormat="1" hidden="1" outlineLevel="1" x14ac:dyDescent="0.2">
      <c r="A253" s="86" t="s">
        <v>480</v>
      </c>
      <c r="B253" s="86" t="e">
        <f>+B252/B251</f>
        <v>#DIV/0!</v>
      </c>
      <c r="C253" s="86" t="e">
        <f t="shared" ref="C253:X253" si="2308">+C252/C251</f>
        <v>#DIV/0!</v>
      </c>
      <c r="D253" s="86" t="e">
        <f t="shared" si="2308"/>
        <v>#DIV/0!</v>
      </c>
      <c r="E253" s="86" t="e">
        <f t="shared" si="2308"/>
        <v>#DIV/0!</v>
      </c>
      <c r="F253" s="86" t="e">
        <f t="shared" si="2308"/>
        <v>#DIV/0!</v>
      </c>
      <c r="G253" s="86" t="e">
        <f t="shared" si="2308"/>
        <v>#DIV/0!</v>
      </c>
      <c r="H253" s="86" t="e">
        <f t="shared" si="2308"/>
        <v>#DIV/0!</v>
      </c>
      <c r="I253" s="86" t="e">
        <f t="shared" si="2308"/>
        <v>#DIV/0!</v>
      </c>
      <c r="J253" s="86" t="e">
        <f t="shared" si="2308"/>
        <v>#DIV/0!</v>
      </c>
      <c r="K253" s="86" t="e">
        <f t="shared" si="2308"/>
        <v>#DIV/0!</v>
      </c>
      <c r="L253" s="86" t="e">
        <f t="shared" si="2308"/>
        <v>#DIV/0!</v>
      </c>
      <c r="M253" s="86" t="e">
        <f t="shared" si="2308"/>
        <v>#DIV/0!</v>
      </c>
      <c r="N253" s="86" t="e">
        <f t="shared" si="2308"/>
        <v>#DIV/0!</v>
      </c>
      <c r="O253" s="86" t="e">
        <f t="shared" si="2308"/>
        <v>#DIV/0!</v>
      </c>
      <c r="P253" s="86" t="e">
        <f t="shared" si="2308"/>
        <v>#DIV/0!</v>
      </c>
      <c r="Q253" s="86" t="e">
        <f t="shared" si="2308"/>
        <v>#DIV/0!</v>
      </c>
      <c r="R253" s="86" t="e">
        <f t="shared" si="2308"/>
        <v>#DIV/0!</v>
      </c>
      <c r="S253" s="86" t="e">
        <f t="shared" si="2308"/>
        <v>#DIV/0!</v>
      </c>
      <c r="T253" s="86" t="e">
        <f t="shared" si="2308"/>
        <v>#DIV/0!</v>
      </c>
      <c r="U253" s="86" t="e">
        <f t="shared" si="2308"/>
        <v>#DIV/0!</v>
      </c>
      <c r="V253" s="86" t="e">
        <f t="shared" si="2308"/>
        <v>#DIV/0!</v>
      </c>
      <c r="W253" s="86" t="e">
        <f t="shared" si="2308"/>
        <v>#DIV/0!</v>
      </c>
      <c r="X253" s="86" t="e">
        <f t="shared" si="2308"/>
        <v>#DIV/0!</v>
      </c>
      <c r="Y253" s="86" t="e">
        <f t="shared" ref="Y253:Z253" si="2309">+Y252/Y251</f>
        <v>#DIV/0!</v>
      </c>
      <c r="Z253" s="86" t="e">
        <f t="shared" si="2309"/>
        <v>#DIV/0!</v>
      </c>
      <c r="AA253" s="86" t="e">
        <f t="shared" ref="AA253" si="2310">+AA252/AA251</f>
        <v>#DIV/0!</v>
      </c>
      <c r="AB253" s="87"/>
      <c r="AC253" s="87"/>
      <c r="AD253" s="87"/>
      <c r="AE253" s="87"/>
      <c r="AF253" s="86"/>
      <c r="AG253" s="86"/>
      <c r="AH253" s="86"/>
      <c r="AI253" s="86" t="e">
        <f t="shared" ref="AI253" si="2311">+AI252/AI251</f>
        <v>#DIV/0!</v>
      </c>
      <c r="AJ253" s="86" t="e">
        <f t="shared" ref="AJ253" si="2312">+AJ252/AJ251</f>
        <v>#DIV/0!</v>
      </c>
      <c r="AK253" s="86" t="e">
        <f t="shared" ref="AK253" si="2313">+AK252/AK251</f>
        <v>#DIV/0!</v>
      </c>
      <c r="AL253" s="86" t="e">
        <f t="shared" ref="AL253" si="2314">+AL252/AL251</f>
        <v>#DIV/0!</v>
      </c>
      <c r="AM253" s="86" t="e">
        <f t="shared" ref="AM253" si="2315">+AM252/AM251</f>
        <v>#DIV/0!</v>
      </c>
      <c r="AN253" s="86" t="e">
        <f t="shared" ref="AN253" si="2316">+AN252/AN251</f>
        <v>#DIV/0!</v>
      </c>
      <c r="AO253" s="86" t="e">
        <f t="shared" ref="AO253" si="2317">+AO252/AO251</f>
        <v>#DIV/0!</v>
      </c>
      <c r="AP253" s="86" t="e">
        <f t="shared" ref="AP253" si="2318">+AP252/AP251</f>
        <v>#DIV/0!</v>
      </c>
      <c r="AQ253" s="86" t="e">
        <f t="shared" ref="AQ253" si="2319">+AQ252/AQ251</f>
        <v>#DIV/0!</v>
      </c>
      <c r="AR253" s="86" t="e">
        <f t="shared" ref="AR253" si="2320">+AR252/AR251</f>
        <v>#DIV/0!</v>
      </c>
      <c r="AS253" s="86" t="e">
        <f t="shared" ref="AS253" si="2321">+AS252/AS251</f>
        <v>#DIV/0!</v>
      </c>
      <c r="AT253" s="86" t="e">
        <f t="shared" ref="AT253" si="2322">+AT252/AT251</f>
        <v>#DIV/0!</v>
      </c>
      <c r="AU253" s="86" t="e">
        <f t="shared" ref="AU253" si="2323">+AU252/AU251</f>
        <v>#DIV/0!</v>
      </c>
      <c r="AV253" s="86" t="e">
        <f t="shared" ref="AV253" si="2324">+AV252/AV251</f>
        <v>#DIV/0!</v>
      </c>
      <c r="AW253" s="86" t="e">
        <f t="shared" ref="AW253" si="2325">+AW252/AW251</f>
        <v>#DIV/0!</v>
      </c>
      <c r="AX253" s="86" t="e">
        <f t="shared" ref="AX253" si="2326">+AX252/AX251</f>
        <v>#DIV/0!</v>
      </c>
      <c r="AY253" s="86" t="e">
        <f t="shared" ref="AY253" si="2327">+AY252/AY251</f>
        <v>#DIV/0!</v>
      </c>
      <c r="AZ253" s="86" t="e">
        <f t="shared" ref="AZ253" si="2328">+AZ252/AZ251</f>
        <v>#DIV/0!</v>
      </c>
      <c r="BA253" s="86" t="e">
        <f t="shared" ref="BA253" si="2329">+BA252/BA251</f>
        <v>#DIV/0!</v>
      </c>
      <c r="BB253" s="86" t="e">
        <f t="shared" ref="BB253" si="2330">+BB252/BB251</f>
        <v>#DIV/0!</v>
      </c>
      <c r="BC253" s="86" t="e">
        <f t="shared" ref="BC253" si="2331">+BC252/BC251</f>
        <v>#DIV/0!</v>
      </c>
      <c r="BD253" s="86" t="e">
        <f t="shared" ref="BD253" si="2332">+BD252/BD251</f>
        <v>#DIV/0!</v>
      </c>
      <c r="BE253" s="86" t="e">
        <f t="shared" ref="BE253" si="2333">+BE252/BE251</f>
        <v>#DIV/0!</v>
      </c>
      <c r="BF253" s="86" t="e">
        <f t="shared" ref="BF253" si="2334">+BF252/BF251</f>
        <v>#DIV/0!</v>
      </c>
      <c r="BG253" s="86" t="e">
        <f t="shared" ref="BG253" si="2335">+BG252/BG251</f>
        <v>#DIV/0!</v>
      </c>
      <c r="BH253" s="86" t="e">
        <f t="shared" ref="BH253" si="2336">+BH252/BH251</f>
        <v>#DIV/0!</v>
      </c>
      <c r="BI253" s="86" t="e">
        <f t="shared" ref="BI253" si="2337">+BI252/BI251</f>
        <v>#DIV/0!</v>
      </c>
      <c r="BJ253" s="86" t="e">
        <f t="shared" ref="BJ253" si="2338">+BJ252/BJ251</f>
        <v>#DIV/0!</v>
      </c>
      <c r="BK253" s="86" t="e">
        <f t="shared" ref="BK253" si="2339">+BK252/BK251</f>
        <v>#DIV/0!</v>
      </c>
      <c r="BL253" s="86" t="e">
        <f t="shared" ref="BL253" si="2340">+BL252/BL251</f>
        <v>#DIV/0!</v>
      </c>
      <c r="BM253" s="86" t="e">
        <f t="shared" ref="BM253" si="2341">+BM252/BM251</f>
        <v>#DIV/0!</v>
      </c>
      <c r="BN253" s="86" t="e">
        <f t="shared" ref="BN253" si="2342">+BN252/BN251</f>
        <v>#DIV/0!</v>
      </c>
      <c r="BO253" s="86" t="e">
        <f t="shared" ref="BO253" si="2343">+BO252/BO251</f>
        <v>#DIV/0!</v>
      </c>
      <c r="BP253" s="86" t="e">
        <f t="shared" ref="BP253" si="2344">+BP252/BP251</f>
        <v>#DIV/0!</v>
      </c>
      <c r="BQ253" s="86" t="e">
        <f t="shared" ref="BQ253" si="2345">+BQ252/BQ251</f>
        <v>#DIV/0!</v>
      </c>
      <c r="BR253" s="86" t="e">
        <f t="shared" ref="BR253" si="2346">+BR252/BR251</f>
        <v>#DIV/0!</v>
      </c>
      <c r="BS253" s="86" t="e">
        <f t="shared" ref="BS253" si="2347">+BS252/BS251</f>
        <v>#DIV/0!</v>
      </c>
      <c r="BT253" s="86" t="e">
        <f t="shared" ref="BT253" si="2348">+BT252/BT251</f>
        <v>#DIV/0!</v>
      </c>
      <c r="BU253" s="86" t="e">
        <f t="shared" ref="BU253" si="2349">+BU252/BU251</f>
        <v>#DIV/0!</v>
      </c>
      <c r="BV253" s="86" t="e">
        <f t="shared" ref="BV253" si="2350">+BV252/BV251</f>
        <v>#DIV/0!</v>
      </c>
      <c r="BW253" s="86" t="e">
        <f t="shared" ref="BW253" si="2351">+BW252/BW251</f>
        <v>#DIV/0!</v>
      </c>
      <c r="BX253" s="86" t="e">
        <f t="shared" ref="BX253" si="2352">+BX252/BX251</f>
        <v>#DIV/0!</v>
      </c>
      <c r="BY253" s="86" t="e">
        <f t="shared" ref="BY253" si="2353">+BY252/BY251</f>
        <v>#DIV/0!</v>
      </c>
      <c r="BZ253" s="86" t="e">
        <f t="shared" ref="BZ253" si="2354">+BZ252/BZ251</f>
        <v>#DIV/0!</v>
      </c>
      <c r="CA253" s="86" t="e">
        <f t="shared" ref="CA253" si="2355">+CA252/CA251</f>
        <v>#DIV/0!</v>
      </c>
      <c r="CB253" s="86" t="e">
        <f t="shared" ref="CB253:CC253" si="2356">+CB252/CB251</f>
        <v>#DIV/0!</v>
      </c>
      <c r="CC253" s="86" t="e">
        <f t="shared" si="2356"/>
        <v>#DIV/0!</v>
      </c>
      <c r="CD253" s="86" t="e">
        <f t="shared" ref="CD253" si="2357">+CD252/CD251</f>
        <v>#DIV/0!</v>
      </c>
      <c r="CE253" s="86" t="e">
        <f t="shared" ref="CE253:CF253" si="2358">+CE252/CE251</f>
        <v>#DIV/0!</v>
      </c>
      <c r="CF253" s="86" t="e">
        <f t="shared" si="2358"/>
        <v>#DIV/0!</v>
      </c>
      <c r="CG253" s="86" t="e">
        <f t="shared" ref="CG253:CH253" si="2359">+CG252/CG251</f>
        <v>#DIV/0!</v>
      </c>
      <c r="CH253" s="86" t="e">
        <f t="shared" si="2359"/>
        <v>#DIV/0!</v>
      </c>
      <c r="CI253" s="86" t="e">
        <f t="shared" ref="CI253:CJ253" si="2360">+CI252/CI251</f>
        <v>#DIV/0!</v>
      </c>
      <c r="CJ253" s="86" t="e">
        <f t="shared" si="2360"/>
        <v>#DIV/0!</v>
      </c>
      <c r="CK253" s="86" t="e">
        <f t="shared" ref="CK253:DB253" si="2361">+CK252/CK251</f>
        <v>#DIV/0!</v>
      </c>
      <c r="CL253" s="86" t="e">
        <f t="shared" si="2361"/>
        <v>#DIV/0!</v>
      </c>
      <c r="CM253" s="47" t="e">
        <f t="shared" si="2361"/>
        <v>#DIV/0!</v>
      </c>
      <c r="CN253" s="47" t="e">
        <f t="shared" si="2361"/>
        <v>#DIV/0!</v>
      </c>
      <c r="CO253" s="47" t="e">
        <f t="shared" si="2361"/>
        <v>#DIV/0!</v>
      </c>
      <c r="CP253" s="47" t="e">
        <f t="shared" si="2361"/>
        <v>#DIV/0!</v>
      </c>
      <c r="CQ253" s="47" t="e">
        <f t="shared" si="2361"/>
        <v>#DIV/0!</v>
      </c>
      <c r="CR253" s="47" t="e">
        <f t="shared" si="2361"/>
        <v>#DIV/0!</v>
      </c>
      <c r="CS253" s="47" t="e">
        <f t="shared" si="2361"/>
        <v>#DIV/0!</v>
      </c>
      <c r="CT253" s="47" t="e">
        <f t="shared" si="2361"/>
        <v>#DIV/0!</v>
      </c>
      <c r="CU253" s="47" t="e">
        <f t="shared" si="2361"/>
        <v>#DIV/0!</v>
      </c>
      <c r="CV253" s="47" t="e">
        <f t="shared" si="2361"/>
        <v>#DIV/0!</v>
      </c>
      <c r="CW253" s="47" t="e">
        <f t="shared" si="2361"/>
        <v>#DIV/0!</v>
      </c>
      <c r="CX253" s="47" t="e">
        <f t="shared" si="2361"/>
        <v>#DIV/0!</v>
      </c>
      <c r="CY253" s="47" t="e">
        <f t="shared" si="2361"/>
        <v>#DIV/0!</v>
      </c>
      <c r="CZ253" s="47" t="e">
        <f t="shared" si="2361"/>
        <v>#DIV/0!</v>
      </c>
      <c r="DA253" s="47" t="e">
        <f t="shared" si="2361"/>
        <v>#DIV/0!</v>
      </c>
      <c r="DB253" s="47" t="e">
        <f t="shared" si="2361"/>
        <v>#DIV/0!</v>
      </c>
      <c r="DE253" s="130"/>
    </row>
    <row r="254" spans="1:110" s="64" customFormat="1" hidden="1" outlineLevel="1" x14ac:dyDescent="0.2">
      <c r="A254" s="64" t="s">
        <v>481</v>
      </c>
      <c r="AB254" s="30"/>
      <c r="AC254" s="30"/>
      <c r="AD254" s="30"/>
      <c r="AE254" s="30"/>
      <c r="CM254" s="30"/>
      <c r="CN254" s="30"/>
      <c r="CO254" s="30"/>
      <c r="CP254" s="30"/>
      <c r="CQ254" s="30"/>
      <c r="CR254" s="30"/>
      <c r="CS254" s="30"/>
      <c r="CT254" s="30"/>
      <c r="CU254" s="30"/>
      <c r="CV254" s="30"/>
      <c r="CW254" s="30"/>
      <c r="CX254" s="30"/>
      <c r="CY254" s="30"/>
      <c r="CZ254" s="30"/>
      <c r="DA254" s="30"/>
      <c r="DB254" s="30"/>
      <c r="DE254" s="139"/>
    </row>
    <row r="255" spans="1:110" s="62" customFormat="1" hidden="1" outlineLevel="1" x14ac:dyDescent="0.2">
      <c r="AB255" s="63"/>
      <c r="AC255" s="63"/>
      <c r="AD255" s="63"/>
      <c r="AE255" s="63"/>
      <c r="CM255" s="30"/>
      <c r="CN255" s="30"/>
      <c r="CO255" s="30"/>
      <c r="CP255" s="30"/>
      <c r="CQ255" s="30"/>
      <c r="CR255" s="30"/>
      <c r="CS255" s="30"/>
      <c r="CT255" s="30"/>
      <c r="CU255" s="30"/>
      <c r="CV255" s="30"/>
      <c r="CW255" s="30"/>
      <c r="CX255" s="30"/>
      <c r="CY255" s="30"/>
      <c r="CZ255" s="30"/>
      <c r="DA255" s="30"/>
      <c r="DB255" s="30"/>
      <c r="DE255" s="139"/>
      <c r="DF255" s="114"/>
    </row>
    <row r="256" spans="1:110" s="11" customFormat="1" collapsed="1" x14ac:dyDescent="0.2">
      <c r="AB256" s="63"/>
      <c r="AC256" s="63"/>
      <c r="AD256" s="63"/>
      <c r="AE256" s="63"/>
      <c r="CM256" s="30"/>
      <c r="CN256" s="30"/>
      <c r="CO256" s="30"/>
      <c r="CP256" s="30"/>
      <c r="CQ256" s="30"/>
      <c r="CR256" s="30"/>
      <c r="CS256" s="30"/>
      <c r="CT256" s="30"/>
      <c r="CU256" s="30"/>
      <c r="CV256" s="30"/>
      <c r="CW256" s="30"/>
      <c r="CX256" s="30"/>
      <c r="CY256" s="30"/>
      <c r="CZ256" s="30"/>
      <c r="DA256" s="30"/>
      <c r="DB256" s="30"/>
      <c r="DE256" s="139"/>
      <c r="DF256" s="191"/>
    </row>
    <row r="257" spans="1:110" s="62" customFormat="1" x14ac:dyDescent="0.2">
      <c r="A257" s="154" t="s">
        <v>497</v>
      </c>
      <c r="G257" s="180"/>
      <c r="H257" s="180"/>
      <c r="I257" s="180"/>
      <c r="J257" s="180"/>
      <c r="K257" s="180"/>
      <c r="L257" s="180"/>
      <c r="M257" s="180"/>
      <c r="N257" s="180"/>
      <c r="O257" s="180"/>
      <c r="P257" s="180"/>
      <c r="Q257" s="180"/>
      <c r="R257" s="180"/>
      <c r="S257" s="180"/>
      <c r="T257" s="180"/>
      <c r="U257" s="180"/>
      <c r="V257" s="180"/>
      <c r="W257" s="180"/>
      <c r="X257" s="180"/>
      <c r="Y257" s="180"/>
      <c r="Z257" s="180"/>
      <c r="AA257" s="180"/>
      <c r="AB257" s="63"/>
      <c r="AC257" s="63"/>
      <c r="AD257" s="63"/>
      <c r="AE257" s="63"/>
      <c r="AL257" s="180"/>
      <c r="CF257" s="180"/>
      <c r="CG257" s="180"/>
      <c r="CH257" s="180"/>
      <c r="CI257" s="180"/>
      <c r="CJ257" s="180"/>
      <c r="CK257" s="180"/>
      <c r="CL257" s="180"/>
      <c r="CM257" s="30"/>
      <c r="CN257" s="30"/>
      <c r="CO257" s="30"/>
      <c r="CP257" s="30"/>
      <c r="CQ257" s="30"/>
      <c r="CR257" s="30"/>
      <c r="CS257" s="30"/>
      <c r="CT257" s="30"/>
      <c r="CU257" s="30"/>
      <c r="CV257" s="30"/>
      <c r="CW257" s="30"/>
      <c r="CX257" s="30"/>
      <c r="CY257" s="30"/>
      <c r="CZ257" s="30"/>
      <c r="DA257" s="30"/>
      <c r="DB257" s="30"/>
      <c r="DE257" s="139"/>
      <c r="DF257" s="114"/>
    </row>
    <row r="258" spans="1:110" s="84" customFormat="1" x14ac:dyDescent="0.2">
      <c r="A258" s="84" t="s">
        <v>512</v>
      </c>
      <c r="B258" s="84">
        <f>B17/B179</f>
        <v>0.74297237207218081</v>
      </c>
      <c r="C258" s="84">
        <f>C17/C179</f>
        <v>0.88025770949111892</v>
      </c>
      <c r="D258" s="84">
        <f>D17/D179</f>
        <v>1.1237009559733782</v>
      </c>
      <c r="E258" s="84">
        <f t="shared" ref="E258:Y258" si="2362">E19/(E175+E162+E152)</f>
        <v>0.87644634705084212</v>
      </c>
      <c r="F258" s="84">
        <f t="shared" si="2362"/>
        <v>0.97207590871171146</v>
      </c>
      <c r="G258" s="84">
        <f t="shared" si="2362"/>
        <v>1.073290297093707</v>
      </c>
      <c r="H258" s="84">
        <f t="shared" si="2362"/>
        <v>0.68727778366886638</v>
      </c>
      <c r="I258" s="84">
        <f t="shared" si="2362"/>
        <v>1.0727562820123642</v>
      </c>
      <c r="J258" s="84">
        <f t="shared" si="2362"/>
        <v>1.244396660543897</v>
      </c>
      <c r="K258" s="84">
        <f t="shared" si="2362"/>
        <v>0.96469324650510724</v>
      </c>
      <c r="L258" s="84">
        <f t="shared" si="2362"/>
        <v>0.90911750856136508</v>
      </c>
      <c r="M258" s="84">
        <f t="shared" si="2362"/>
        <v>0.92826169299809025</v>
      </c>
      <c r="N258" s="84">
        <f t="shared" si="2362"/>
        <v>0.93758423267357749</v>
      </c>
      <c r="O258" s="84">
        <f t="shared" si="2362"/>
        <v>0.88122052501605008</v>
      </c>
      <c r="P258" s="84">
        <f t="shared" si="2362"/>
        <v>0.89561664831718146</v>
      </c>
      <c r="Q258" s="84">
        <f t="shared" si="2362"/>
        <v>0.59686491838296896</v>
      </c>
      <c r="R258" s="84">
        <f t="shared" si="2362"/>
        <v>0.67787715064125831</v>
      </c>
      <c r="S258" s="84">
        <f t="shared" si="2362"/>
        <v>0.59907688481946697</v>
      </c>
      <c r="T258" s="84">
        <f t="shared" si="2362"/>
        <v>0.68683089698546518</v>
      </c>
      <c r="U258" s="84">
        <f t="shared" si="2362"/>
        <v>0.60484873859608079</v>
      </c>
      <c r="V258" s="84">
        <f t="shared" si="2362"/>
        <v>0.65077939488737901</v>
      </c>
      <c r="W258" s="84">
        <f t="shared" si="2362"/>
        <v>0.87816303190309919</v>
      </c>
      <c r="X258" s="84">
        <f t="shared" si="2362"/>
        <v>0.86721034292007992</v>
      </c>
      <c r="Y258" s="84">
        <f t="shared" si="2362"/>
        <v>0.86877510746586772</v>
      </c>
      <c r="Z258" s="84">
        <f>Z19/(Z175+Z162+Z152)</f>
        <v>0.81029566442294887</v>
      </c>
      <c r="AA258" s="84">
        <f>AA19/(AA175+AA162+AA152)</f>
        <v>0.79929928559896379</v>
      </c>
      <c r="AB258" s="50">
        <f t="shared" ref="AA258:AE258" si="2363">AB19/(AB175+AB162+AB152)</f>
        <v>0.79997622212930186</v>
      </c>
      <c r="AC258" s="50">
        <f t="shared" si="2363"/>
        <v>0.78392611034679327</v>
      </c>
      <c r="AD258" s="50">
        <f t="shared" si="2363"/>
        <v>0.76558011805286907</v>
      </c>
      <c r="AE258" s="50">
        <f t="shared" si="2363"/>
        <v>0.74300966573991623</v>
      </c>
      <c r="AL258" s="84">
        <f>SUM(AI19:AL19)/(AL175+AL162+AL152)</f>
        <v>0.93304154560502706</v>
      </c>
      <c r="AM258" s="84">
        <f t="shared" ref="AM258:CL258" si="2364">SUM(AJ19:AM19)/(AM175+AM162+AM152)</f>
        <v>0.92530390969272502</v>
      </c>
      <c r="AN258" s="84">
        <f t="shared" si="2364"/>
        <v>0.81107472188682306</v>
      </c>
      <c r="AO258" s="84">
        <f t="shared" si="2364"/>
        <v>0.83580505228131785</v>
      </c>
      <c r="AP258" s="84">
        <f t="shared" si="2364"/>
        <v>0.87844172499112039</v>
      </c>
      <c r="AQ258" s="84">
        <f t="shared" si="2364"/>
        <v>0.91555944729741201</v>
      </c>
      <c r="AR258" s="84">
        <f t="shared" si="2364"/>
        <v>0.89037765357712939</v>
      </c>
      <c r="AS258" s="84">
        <f t="shared" si="2364"/>
        <v>0.87781728417736971</v>
      </c>
      <c r="AT258" s="84">
        <f t="shared" si="2364"/>
        <v>0.88839542690461959</v>
      </c>
      <c r="AU258" s="84">
        <f t="shared" si="2364"/>
        <v>0.85046427977917094</v>
      </c>
      <c r="AV258" s="84">
        <f t="shared" si="2364"/>
        <v>0.74008526445553047</v>
      </c>
      <c r="AW258" s="84">
        <f t="shared" si="2364"/>
        <v>0.70594825860134103</v>
      </c>
      <c r="AX258" s="84">
        <f t="shared" si="2364"/>
        <v>0.60884343640505434</v>
      </c>
      <c r="AY258" s="84">
        <f t="shared" si="2364"/>
        <v>0.61341777251168783</v>
      </c>
      <c r="AZ258" s="84">
        <f t="shared" si="2364"/>
        <v>0.62402686092910986</v>
      </c>
      <c r="BA258" s="84">
        <f t="shared" si="2364"/>
        <v>0.64039643956501813</v>
      </c>
      <c r="BB258" s="84">
        <f t="shared" si="2364"/>
        <v>0.67760690383113031</v>
      </c>
      <c r="BC258" s="84">
        <f t="shared" si="2364"/>
        <v>0.71588481136755322</v>
      </c>
      <c r="BD258" s="84">
        <f t="shared" si="2364"/>
        <v>0.72523985251538636</v>
      </c>
      <c r="BE258" s="84">
        <f t="shared" si="2364"/>
        <v>0.75094221628861235</v>
      </c>
      <c r="BF258" s="84">
        <f t="shared" si="2364"/>
        <v>0.62835234758141412</v>
      </c>
      <c r="BG258" s="84">
        <f t="shared" si="2364"/>
        <v>0.64717703568958895</v>
      </c>
      <c r="BH258" s="84">
        <f t="shared" si="2364"/>
        <v>0.58660341579860997</v>
      </c>
      <c r="BI258" s="84">
        <f t="shared" si="2364"/>
        <v>0.60585207902594229</v>
      </c>
      <c r="BJ258" s="84">
        <f t="shared" si="2364"/>
        <v>0.68683085342389372</v>
      </c>
      <c r="BK258" s="84">
        <f t="shared" si="2364"/>
        <v>0.69669020715342245</v>
      </c>
      <c r="BL258" s="84">
        <f t="shared" si="2364"/>
        <v>0.63522584461976517</v>
      </c>
      <c r="BM258" s="84">
        <f t="shared" si="2364"/>
        <v>0.62269075943613938</v>
      </c>
      <c r="BN258" s="84">
        <f t="shared" si="2364"/>
        <v>0.57677014481082733</v>
      </c>
      <c r="BO258" s="84">
        <f t="shared" si="2364"/>
        <v>0.55844661293877418</v>
      </c>
      <c r="BP258" s="84">
        <f t="shared" si="2364"/>
        <v>0.56633418657134127</v>
      </c>
      <c r="BQ258" s="84">
        <f t="shared" si="2364"/>
        <v>0.58003194231512589</v>
      </c>
      <c r="BR258" s="84">
        <f t="shared" si="2364"/>
        <v>0.65036616306811323</v>
      </c>
      <c r="BS258" s="84">
        <f t="shared" si="2364"/>
        <v>0.73413658219827038</v>
      </c>
      <c r="BT258" s="84">
        <f t="shared" si="2364"/>
        <v>0.81903587776310915</v>
      </c>
      <c r="BU258" s="84">
        <f t="shared" si="2364"/>
        <v>0.86063685873208151</v>
      </c>
      <c r="BV258" s="84">
        <f t="shared" si="2364"/>
        <v>0.87816303190309908</v>
      </c>
      <c r="BW258" s="84">
        <f t="shared" si="2364"/>
        <v>0.89901817458234623</v>
      </c>
      <c r="BX258" s="84">
        <f t="shared" si="2364"/>
        <v>0.89760666982853998</v>
      </c>
      <c r="BY258" s="84">
        <f t="shared" si="2364"/>
        <v>0.89634430111893248</v>
      </c>
      <c r="BZ258" s="84">
        <f t="shared" si="2364"/>
        <v>0.86721034292007992</v>
      </c>
      <c r="CA258" s="84">
        <f t="shared" si="2364"/>
        <v>0.85760661489079093</v>
      </c>
      <c r="CB258" s="84">
        <f t="shared" si="2364"/>
        <v>0.89459484365801423</v>
      </c>
      <c r="CC258" s="84">
        <f t="shared" si="2364"/>
        <v>0.88687053722497688</v>
      </c>
      <c r="CD258" s="84">
        <f t="shared" si="2364"/>
        <v>0.86877510746586772</v>
      </c>
      <c r="CE258" s="84">
        <f t="shared" si="2364"/>
        <v>0.85431272158063176</v>
      </c>
      <c r="CF258" s="84">
        <f t="shared" si="2364"/>
        <v>0.82057731422032187</v>
      </c>
      <c r="CG258" s="84">
        <f t="shared" si="2364"/>
        <v>0.81393087914829532</v>
      </c>
      <c r="CH258" s="84">
        <f t="shared" si="2364"/>
        <v>0.81029566442294887</v>
      </c>
      <c r="CI258" s="84">
        <f t="shared" si="2364"/>
        <v>0.81191310252629834</v>
      </c>
      <c r="CJ258" s="84">
        <f t="shared" si="2364"/>
        <v>0.80539985272547776</v>
      </c>
      <c r="CK258" s="84">
        <f t="shared" ref="CK258" si="2365">SUM(CH19:CK19)/(CK175+CK162+CK152)</f>
        <v>0.81691299534235162</v>
      </c>
      <c r="CL258" s="84">
        <f t="shared" si="2364"/>
        <v>0.79929928559896379</v>
      </c>
      <c r="CM258" s="50">
        <f t="shared" ref="CM258:DB258" si="2366">SUM(CJ19:CM19)/(CM175+CM162+CM152)</f>
        <v>0.83081846821376815</v>
      </c>
      <c r="CN258" s="50">
        <f t="shared" si="2366"/>
        <v>0.80966249749514518</v>
      </c>
      <c r="CO258" s="50">
        <f t="shared" si="2366"/>
        <v>0.80764532241012299</v>
      </c>
      <c r="CP258" s="50">
        <f t="shared" si="2366"/>
        <v>0.79997622212930186</v>
      </c>
      <c r="CQ258" s="50">
        <f t="shared" si="2366"/>
        <v>0.84718632879046729</v>
      </c>
      <c r="CR258" s="50">
        <f t="shared" si="2366"/>
        <v>0.82783057688082495</v>
      </c>
      <c r="CS258" s="50">
        <f t="shared" si="2366"/>
        <v>0.80476396450525678</v>
      </c>
      <c r="CT258" s="50">
        <f t="shared" si="2366"/>
        <v>0.78392611034679327</v>
      </c>
      <c r="CU258" s="50">
        <f t="shared" si="2366"/>
        <v>0.82169108871519891</v>
      </c>
      <c r="CV258" s="50">
        <f t="shared" si="2366"/>
        <v>0.80327184032906651</v>
      </c>
      <c r="CW258" s="50">
        <f t="shared" si="2366"/>
        <v>0.78086956520494621</v>
      </c>
      <c r="CX258" s="50">
        <f t="shared" si="2366"/>
        <v>0.76558011805286907</v>
      </c>
      <c r="CY258" s="50">
        <f t="shared" si="2366"/>
        <v>0.80070179983294965</v>
      </c>
      <c r="CZ258" s="50">
        <f t="shared" si="2366"/>
        <v>0.78173611285726308</v>
      </c>
      <c r="DA258" s="50">
        <f t="shared" si="2366"/>
        <v>0.75900955780845025</v>
      </c>
      <c r="DB258" s="50">
        <f t="shared" si="2366"/>
        <v>0.74300966573991623</v>
      </c>
      <c r="DE258" s="138"/>
      <c r="DF258" s="84">
        <v>0.80605403942842269</v>
      </c>
    </row>
    <row r="259" spans="1:110" s="84" customFormat="1" x14ac:dyDescent="0.2">
      <c r="A259" s="84" t="s">
        <v>513</v>
      </c>
      <c r="E259" s="181">
        <f>+E51</f>
        <v>0.17871788697364832</v>
      </c>
      <c r="F259" s="181">
        <f t="shared" ref="F259:AE259" si="2367">+F51</f>
        <v>0.22932492260265105</v>
      </c>
      <c r="G259" s="181">
        <f t="shared" si="2367"/>
        <v>0.18577128196144696</v>
      </c>
      <c r="H259" s="181">
        <f t="shared" si="2367"/>
        <v>0.17129045334077944</v>
      </c>
      <c r="I259" s="181">
        <f t="shared" si="2367"/>
        <v>4.5514063589668668E-2</v>
      </c>
      <c r="J259" s="181">
        <f t="shared" si="2367"/>
        <v>6.070599960931064E-2</v>
      </c>
      <c r="K259" s="181">
        <f t="shared" si="2367"/>
        <v>-4.2690368259117577E-3</v>
      </c>
      <c r="L259" s="181">
        <f t="shared" si="2367"/>
        <v>4.8926293473383974E-2</v>
      </c>
      <c r="M259" s="181">
        <f t="shared" si="2367"/>
        <v>1.1938326422106462E-2</v>
      </c>
      <c r="N259" s="181">
        <f t="shared" si="2367"/>
        <v>2.0406566505010206E-4</v>
      </c>
      <c r="O259" s="181">
        <f t="shared" si="2367"/>
        <v>2.4840332526879463E-2</v>
      </c>
      <c r="P259" s="181">
        <f t="shared" si="2367"/>
        <v>-1.9232460666115868E-4</v>
      </c>
      <c r="Q259" s="181">
        <f t="shared" si="2367"/>
        <v>-1.8017702593602997E-2</v>
      </c>
      <c r="R259" s="181">
        <f t="shared" si="2367"/>
        <v>3.5727700107444978E-2</v>
      </c>
      <c r="S259" s="181">
        <f t="shared" si="2367"/>
        <v>6.268217683103007E-2</v>
      </c>
      <c r="T259" s="181">
        <f t="shared" si="2367"/>
        <v>5.7611582340953552E-2</v>
      </c>
      <c r="U259" s="181">
        <f t="shared" si="2367"/>
        <v>3.9699282501355349E-2</v>
      </c>
      <c r="V259" s="181">
        <f t="shared" si="2367"/>
        <v>5.6913074987186715E-2</v>
      </c>
      <c r="W259" s="181">
        <f t="shared" si="2367"/>
        <v>0.16902098822520184</v>
      </c>
      <c r="X259" s="181">
        <f t="shared" si="2367"/>
        <v>3.1000150440087689E-2</v>
      </c>
      <c r="Y259" s="181">
        <f t="shared" si="2367"/>
        <v>1.2926822520741885E-2</v>
      </c>
      <c r="Z259" s="181">
        <f t="shared" si="2367"/>
        <v>1.7560016126839564E-2</v>
      </c>
      <c r="AA259" s="181">
        <f t="shared" ref="AA259" si="2368">+AA51</f>
        <v>4.9753523671971368E-2</v>
      </c>
      <c r="AB259" s="182">
        <f t="shared" si="2367"/>
        <v>6.624580561793357E-2</v>
      </c>
      <c r="AC259" s="182">
        <f t="shared" si="2367"/>
        <v>7.4237751270207458E-2</v>
      </c>
      <c r="AD259" s="182">
        <f t="shared" si="2367"/>
        <v>8.3757195610617369E-2</v>
      </c>
      <c r="AE259" s="182">
        <f t="shared" si="2367"/>
        <v>9.6087368041649759E-2</v>
      </c>
      <c r="AL259" s="181">
        <f t="shared" ref="AL259:CW259" si="2369">+AL51</f>
        <v>2.1219336996006075E-2</v>
      </c>
      <c r="AM259" s="181">
        <f t="shared" si="2369"/>
        <v>3.428066450051951E-2</v>
      </c>
      <c r="AN259" s="181">
        <f t="shared" si="2369"/>
        <v>2.5950412185709804E-2</v>
      </c>
      <c r="AO259" s="181">
        <f t="shared" si="2369"/>
        <v>1.3585105763257882E-2</v>
      </c>
      <c r="AP259" s="181">
        <f t="shared" si="2369"/>
        <v>2.6327629952354506E-2</v>
      </c>
      <c r="AQ259" s="181">
        <f t="shared" si="2369"/>
        <v>1.6626307642007065E-2</v>
      </c>
      <c r="AR259" s="181">
        <f t="shared" si="2369"/>
        <v>3.5575819287807071E-3</v>
      </c>
      <c r="AS259" s="181">
        <f t="shared" si="2369"/>
        <v>3.9044718571485085E-3</v>
      </c>
      <c r="AT259" s="181">
        <f t="shared" si="2369"/>
        <v>-2.6468105380533295E-2</v>
      </c>
      <c r="AU259" s="181">
        <f t="shared" si="2369"/>
        <v>5.9399714305230231E-3</v>
      </c>
      <c r="AV259" s="181">
        <f t="shared" si="2369"/>
        <v>-1.280750538841516E-2</v>
      </c>
      <c r="AW259" s="181">
        <f t="shared" si="2369"/>
        <v>-6.778756749547056E-2</v>
      </c>
      <c r="AX259" s="181">
        <f t="shared" si="2369"/>
        <v>-1.5699443576705434E-2</v>
      </c>
      <c r="AY259" s="181">
        <f t="shared" si="2369"/>
        <v>1.4641636243081122E-2</v>
      </c>
      <c r="AZ259" s="181">
        <f t="shared" si="2369"/>
        <v>-5.2466949679636528E-5</v>
      </c>
      <c r="BA259" s="181">
        <f t="shared" si="2369"/>
        <v>1.0889114533834326E-2</v>
      </c>
      <c r="BB259" s="181">
        <f t="shared" si="2369"/>
        <v>9.892248254350848E-2</v>
      </c>
      <c r="BC259" s="181">
        <f t="shared" si="2369"/>
        <v>5.2065107769455603E-2</v>
      </c>
      <c r="BD259" s="181">
        <f t="shared" si="2369"/>
        <v>2.9906844906410577E-2</v>
      </c>
      <c r="BE259" s="181">
        <f t="shared" si="2369"/>
        <v>6.4868476915441356E-2</v>
      </c>
      <c r="BF259" s="181">
        <f t="shared" si="2369"/>
        <v>9.3830421901043848E-2</v>
      </c>
      <c r="BG259" s="181">
        <f t="shared" si="2369"/>
        <v>6.2102750655883963E-2</v>
      </c>
      <c r="BH259" s="181">
        <f t="shared" si="2369"/>
        <v>6.9912189501666944E-2</v>
      </c>
      <c r="BI259" s="181">
        <f t="shared" si="2369"/>
        <v>4.463569661511281E-2</v>
      </c>
      <c r="BJ259" s="181">
        <f t="shared" si="2369"/>
        <v>5.3880057118800659E-2</v>
      </c>
      <c r="BK259" s="181">
        <f t="shared" si="2369"/>
        <v>1.7441457741665497E-2</v>
      </c>
      <c r="BL259" s="181">
        <f t="shared" si="2369"/>
        <v>0.11725466017412794</v>
      </c>
      <c r="BM259" s="181">
        <f t="shared" si="2369"/>
        <v>-2.4144428513071577E-2</v>
      </c>
      <c r="BN259" s="181">
        <f t="shared" si="2369"/>
        <v>5.9580603604006271E-2</v>
      </c>
      <c r="BO259" s="181">
        <f t="shared" si="2369"/>
        <v>-0.18534166688911125</v>
      </c>
      <c r="BP259" s="181">
        <f t="shared" si="2369"/>
        <v>3.976277313216197E-2</v>
      </c>
      <c r="BQ259" s="181">
        <f t="shared" si="2369"/>
        <v>9.7200180945797188E-2</v>
      </c>
      <c r="BR259" s="181">
        <f t="shared" si="2369"/>
        <v>0.15996183765331554</v>
      </c>
      <c r="BS259" s="181">
        <f t="shared" si="2369"/>
        <v>0.18382719450680557</v>
      </c>
      <c r="BT259" s="181">
        <f t="shared" si="2369"/>
        <v>0.19617557582219924</v>
      </c>
      <c r="BU259" s="181">
        <f t="shared" si="2369"/>
        <v>0.15809128555613555</v>
      </c>
      <c r="BV259" s="181">
        <f t="shared" si="2369"/>
        <v>0.14353083730625268</v>
      </c>
      <c r="BW259" s="181">
        <f t="shared" si="2369"/>
        <v>0.11971798233866042</v>
      </c>
      <c r="BX259" s="181">
        <f t="shared" si="2369"/>
        <v>2.0285242274563256E-2</v>
      </c>
      <c r="BY259" s="181">
        <f t="shared" si="2369"/>
        <v>-4.7698146366484506E-2</v>
      </c>
      <c r="BZ259" s="181">
        <f t="shared" si="2369"/>
        <v>2.3163347021054454E-2</v>
      </c>
      <c r="CA259" s="181">
        <f t="shared" si="2369"/>
        <v>1.3157076372599953E-2</v>
      </c>
      <c r="CB259" s="181">
        <f t="shared" si="2369"/>
        <v>5.115483604824755E-3</v>
      </c>
      <c r="CC259" s="181">
        <f t="shared" si="2369"/>
        <v>1.415374057074195E-2</v>
      </c>
      <c r="CD259" s="181">
        <f t="shared" si="2369"/>
        <v>1.8948389353677889E-2</v>
      </c>
      <c r="CE259" s="181">
        <f t="shared" si="2369"/>
        <v>2.1616942714070261E-2</v>
      </c>
      <c r="CF259" s="181">
        <f t="shared" si="2369"/>
        <v>1.4214527821409445E-2</v>
      </c>
      <c r="CG259" s="181">
        <f t="shared" si="2369"/>
        <v>6.9843778833625341E-3</v>
      </c>
      <c r="CH259" s="181">
        <f t="shared" si="2369"/>
        <v>2.6907521437487123E-2</v>
      </c>
      <c r="CI259" s="181">
        <f t="shared" si="2369"/>
        <v>3.8733223363293025E-2</v>
      </c>
      <c r="CJ259" s="181">
        <f t="shared" si="2369"/>
        <v>6.0534894867530359E-2</v>
      </c>
      <c r="CK259" s="181">
        <f t="shared" si="2369"/>
        <v>4.8529360167291223E-2</v>
      </c>
      <c r="CL259" s="181">
        <f t="shared" ref="CL259" si="2370">+CL51</f>
        <v>5.0118120509630645E-2</v>
      </c>
      <c r="CM259" s="182">
        <f t="shared" si="2369"/>
        <v>5.4745624388241237E-2</v>
      </c>
      <c r="CN259" s="182">
        <f t="shared" si="2369"/>
        <v>6.363749075393442E-2</v>
      </c>
      <c r="CO259" s="182">
        <f t="shared" si="2369"/>
        <v>6.7947918588804307E-2</v>
      </c>
      <c r="CP259" s="182">
        <f t="shared" si="2369"/>
        <v>7.5983799782091827E-2</v>
      </c>
      <c r="CQ259" s="182">
        <f t="shared" si="2369"/>
        <v>6.5065363215870198E-2</v>
      </c>
      <c r="CR259" s="182">
        <f t="shared" si="2369"/>
        <v>7.0677682148873433E-2</v>
      </c>
      <c r="CS259" s="182">
        <f t="shared" si="2369"/>
        <v>7.7029919987106552E-2</v>
      </c>
      <c r="CT259" s="182">
        <f t="shared" si="2369"/>
        <v>8.209826124986068E-2</v>
      </c>
      <c r="CU259" s="182">
        <f t="shared" si="2369"/>
        <v>7.4626349093202801E-2</v>
      </c>
      <c r="CV259" s="182">
        <f t="shared" si="2369"/>
        <v>8.0314033512559058E-2</v>
      </c>
      <c r="CW259" s="182">
        <f t="shared" si="2369"/>
        <v>8.6655484945742461E-2</v>
      </c>
      <c r="CX259" s="182">
        <f t="shared" ref="CX259:DB259" si="2371">+CX51</f>
        <v>9.1343347476445069E-2</v>
      </c>
      <c r="CY259" s="182">
        <f t="shared" si="2371"/>
        <v>8.8969862389644369E-2</v>
      </c>
      <c r="CZ259" s="182">
        <f t="shared" si="2371"/>
        <v>9.3227605672318747E-2</v>
      </c>
      <c r="DA259" s="182">
        <f t="shared" si="2371"/>
        <v>9.8265536889860061E-2</v>
      </c>
      <c r="DB259" s="182">
        <f t="shared" si="2371"/>
        <v>0.10222300482454039</v>
      </c>
      <c r="DE259" s="138"/>
      <c r="DF259" s="192">
        <v>5.3081569736566178E-2</v>
      </c>
    </row>
    <row r="260" spans="1:110" s="84" customFormat="1" x14ac:dyDescent="0.2">
      <c r="A260" s="84" t="s">
        <v>514</v>
      </c>
      <c r="E260" s="84">
        <f>(E175+E162+E152+E154)/E134</f>
        <v>2.8707748868292433</v>
      </c>
      <c r="F260" s="84">
        <f t="shared" ref="F260:AE260" si="2372">(F175+F162+F152+F154)/F134</f>
        <v>2.3830841906132618</v>
      </c>
      <c r="G260" s="84">
        <f t="shared" si="2372"/>
        <v>1.9732907728577764</v>
      </c>
      <c r="H260" s="84">
        <f t="shared" si="2372"/>
        <v>3.3731527917998099</v>
      </c>
      <c r="I260" s="84">
        <f t="shared" si="2372"/>
        <v>3.6513954954807399</v>
      </c>
      <c r="J260" s="84">
        <f t="shared" si="2372"/>
        <v>4.3779254385047608</v>
      </c>
      <c r="K260" s="84">
        <f t="shared" si="2372"/>
        <v>4.8016061249115802</v>
      </c>
      <c r="L260" s="84">
        <f t="shared" si="2372"/>
        <v>3.8029078138362857</v>
      </c>
      <c r="M260" s="84">
        <f t="shared" si="2372"/>
        <v>3.3857401393975666</v>
      </c>
      <c r="N260" s="84">
        <f t="shared" si="2372"/>
        <v>4.2306557111351646</v>
      </c>
      <c r="O260" s="84">
        <f t="shared" si="2372"/>
        <v>4.1842925943953491</v>
      </c>
      <c r="P260" s="84">
        <f t="shared" si="2372"/>
        <v>5.0059195130173766</v>
      </c>
      <c r="Q260" s="84">
        <f t="shared" si="2372"/>
        <v>4.2666291182185159</v>
      </c>
      <c r="R260" s="84">
        <f t="shared" si="2372"/>
        <v>4.8516153917137803</v>
      </c>
      <c r="S260" s="84">
        <f t="shared" si="2372"/>
        <v>3.5620775068170616</v>
      </c>
      <c r="T260" s="84">
        <f t="shared" si="2372"/>
        <v>3.4924705266670348</v>
      </c>
      <c r="U260" s="84">
        <f t="shared" si="2372"/>
        <v>3.4943138484151062</v>
      </c>
      <c r="V260" s="84">
        <f t="shared" si="2372"/>
        <v>3.3201289560827059</v>
      </c>
      <c r="W260" s="84">
        <f t="shared" si="2372"/>
        <v>2.4677924494141363</v>
      </c>
      <c r="X260" s="84">
        <f t="shared" si="2372"/>
        <v>2.7686259787101739</v>
      </c>
      <c r="Y260" s="84">
        <f t="shared" si="2372"/>
        <v>2.926171522895014</v>
      </c>
      <c r="Z260" s="84">
        <f t="shared" si="2372"/>
        <v>3.0213853012236642</v>
      </c>
      <c r="AA260" s="84">
        <f t="shared" ref="AA260" si="2373">(AA175+AA162+AA152+AA154)/AA134</f>
        <v>2.9022358838634341</v>
      </c>
      <c r="AB260" s="50">
        <f t="shared" si="2372"/>
        <v>2.7387634832137109</v>
      </c>
      <c r="AC260" s="50">
        <f t="shared" si="2372"/>
        <v>2.5153163363973388</v>
      </c>
      <c r="AD260" s="50">
        <f t="shared" si="2372"/>
        <v>2.3384920048381876</v>
      </c>
      <c r="AE260" s="50">
        <f t="shared" si="2372"/>
        <v>2.175586122514416</v>
      </c>
      <c r="AL260" s="84">
        <f t="shared" ref="AL260:CW260" si="2374">(AL175+AL162+AL152+AL154)/AL134</f>
        <v>4.0274895149094618</v>
      </c>
      <c r="AM260" s="84">
        <f t="shared" si="2374"/>
        <v>3.9084047170533487</v>
      </c>
      <c r="AN260" s="84">
        <f t="shared" si="2374"/>
        <v>3.9708601794445078</v>
      </c>
      <c r="AO260" s="84">
        <f t="shared" si="2374"/>
        <v>3.9379602339347288</v>
      </c>
      <c r="AP260" s="84">
        <f t="shared" si="2374"/>
        <v>4.0069077982653907</v>
      </c>
      <c r="AQ260" s="84">
        <f t="shared" si="2374"/>
        <v>3.9083583886028697</v>
      </c>
      <c r="AR260" s="84">
        <f t="shared" si="2374"/>
        <v>3.8899607564901988</v>
      </c>
      <c r="AS260" s="84">
        <f t="shared" si="2374"/>
        <v>3.8514635506129387</v>
      </c>
      <c r="AT260" s="84">
        <f t="shared" si="2374"/>
        <v>4.7291451982662194</v>
      </c>
      <c r="AU260" s="84">
        <f t="shared" si="2374"/>
        <v>4.6497719521715126</v>
      </c>
      <c r="AV260" s="84">
        <f t="shared" si="2374"/>
        <v>4.4222052370053717</v>
      </c>
      <c r="AW260" s="84">
        <f t="shared" si="2374"/>
        <v>4.640299878825382</v>
      </c>
      <c r="AX260" s="84">
        <f t="shared" si="2374"/>
        <v>4.0446758764352868</v>
      </c>
      <c r="AY260" s="84">
        <f t="shared" si="2374"/>
        <v>4.2470784615642883</v>
      </c>
      <c r="AZ260" s="84">
        <f t="shared" si="2374"/>
        <v>4.5356839553861095</v>
      </c>
      <c r="BA260" s="84">
        <f t="shared" si="2374"/>
        <v>4.5262436583985552</v>
      </c>
      <c r="BB260" s="84">
        <f t="shared" si="2374"/>
        <v>4.5597691867542833</v>
      </c>
      <c r="BC260" s="84">
        <f t="shared" si="2374"/>
        <v>4.3997353811602862</v>
      </c>
      <c r="BD260" s="84">
        <f t="shared" si="2374"/>
        <v>4.6737038201137704</v>
      </c>
      <c r="BE260" s="84">
        <f t="shared" si="2374"/>
        <v>4.5648696617008753</v>
      </c>
      <c r="BF260" s="84">
        <f t="shared" si="2374"/>
        <v>3.4289767378745282</v>
      </c>
      <c r="BG260" s="84">
        <f t="shared" si="2374"/>
        <v>3.3707875693799596</v>
      </c>
      <c r="BH260" s="84">
        <f t="shared" si="2374"/>
        <v>3.7381250091451972</v>
      </c>
      <c r="BI260" s="84">
        <f t="shared" si="2374"/>
        <v>3.6302957675885494</v>
      </c>
      <c r="BJ260" s="84">
        <f t="shared" si="2374"/>
        <v>3.3771950645541504</v>
      </c>
      <c r="BK260" s="84">
        <f t="shared" si="2374"/>
        <v>3.3051109603701989</v>
      </c>
      <c r="BL260" s="84">
        <f t="shared" si="2374"/>
        <v>3.3319871389754101</v>
      </c>
      <c r="BM260" s="84">
        <f t="shared" si="2374"/>
        <v>3.3749069527295728</v>
      </c>
      <c r="BN260" s="84">
        <f t="shared" si="2374"/>
        <v>3.3862686761905665</v>
      </c>
      <c r="BO260" s="84">
        <f t="shared" si="2374"/>
        <v>3.4482114735564817</v>
      </c>
      <c r="BP260" s="84">
        <f t="shared" si="2374"/>
        <v>3.7366898221969418</v>
      </c>
      <c r="BQ260" s="84">
        <f t="shared" si="2374"/>
        <v>3.6141719462165409</v>
      </c>
      <c r="BR260" s="84">
        <f t="shared" si="2374"/>
        <v>3.2854691692763764</v>
      </c>
      <c r="BS260" s="84">
        <f t="shared" si="2374"/>
        <v>3.0620958501324536</v>
      </c>
      <c r="BT260" s="84">
        <f t="shared" si="2374"/>
        <v>2.7899598616497698</v>
      </c>
      <c r="BU260" s="84">
        <f t="shared" si="2374"/>
        <v>2.6222481047749904</v>
      </c>
      <c r="BV260" s="84">
        <f t="shared" si="2374"/>
        <v>2.4677924494141363</v>
      </c>
      <c r="BW260" s="84">
        <f t="shared" si="2374"/>
        <v>2.3489552362368653</v>
      </c>
      <c r="BX260" s="84">
        <f t="shared" si="2374"/>
        <v>2.6691622016497694</v>
      </c>
      <c r="BY260" s="84">
        <f t="shared" si="2374"/>
        <v>2.6901170952152831</v>
      </c>
      <c r="BZ260" s="84">
        <f t="shared" si="2374"/>
        <v>2.7686259787101739</v>
      </c>
      <c r="CA260" s="84">
        <f t="shared" si="2374"/>
        <v>2.7377010132390835</v>
      </c>
      <c r="CB260" s="84">
        <f t="shared" si="2374"/>
        <v>3.0041931814219702</v>
      </c>
      <c r="CC260" s="84">
        <f t="shared" si="2374"/>
        <v>2.9902604903621333</v>
      </c>
      <c r="CD260" s="84">
        <f t="shared" si="2374"/>
        <v>2.926171522895014</v>
      </c>
      <c r="CE260" s="84">
        <f t="shared" si="2374"/>
        <v>2.8846068999100987</v>
      </c>
      <c r="CF260" s="84">
        <f t="shared" si="2374"/>
        <v>3.0764246606767527</v>
      </c>
      <c r="CG260" s="84">
        <f t="shared" si="2374"/>
        <v>3.0672192406783489</v>
      </c>
      <c r="CH260" s="84">
        <f t="shared" si="2374"/>
        <v>3.0213853012236642</v>
      </c>
      <c r="CI260" s="84">
        <f t="shared" si="2374"/>
        <v>2.9272578761511681</v>
      </c>
      <c r="CJ260" s="84">
        <f t="shared" si="2374"/>
        <v>2.9635766367237402</v>
      </c>
      <c r="CK260" s="84">
        <f t="shared" si="2374"/>
        <v>2.8842779560563621</v>
      </c>
      <c r="CL260" s="84">
        <f t="shared" ref="CL260" si="2375">(CL175+CL162+CL152+CL154)/CL134</f>
        <v>2.9022358838634341</v>
      </c>
      <c r="CM260" s="50">
        <f t="shared" si="2374"/>
        <v>2.7527276530576801</v>
      </c>
      <c r="CN260" s="50">
        <f t="shared" si="2374"/>
        <v>2.7504428790609645</v>
      </c>
      <c r="CO260" s="50">
        <f t="shared" si="2374"/>
        <v>2.7499098047301542</v>
      </c>
      <c r="CP260" s="50">
        <f t="shared" si="2374"/>
        <v>2.7387634832137109</v>
      </c>
      <c r="CQ260" s="50">
        <f t="shared" si="2374"/>
        <v>2.5385243485853297</v>
      </c>
      <c r="CR260" s="50">
        <f t="shared" si="2374"/>
        <v>2.5365129970904436</v>
      </c>
      <c r="CS260" s="50">
        <f t="shared" si="2374"/>
        <v>2.5391762816099934</v>
      </c>
      <c r="CT260" s="50">
        <f t="shared" si="2374"/>
        <v>2.5153163363973388</v>
      </c>
      <c r="CU260" s="50">
        <f t="shared" si="2374"/>
        <v>2.3544195412940092</v>
      </c>
      <c r="CV260" s="50">
        <f t="shared" si="2374"/>
        <v>2.3534631705152331</v>
      </c>
      <c r="CW260" s="50">
        <f t="shared" si="2374"/>
        <v>2.3578691684371598</v>
      </c>
      <c r="CX260" s="50">
        <f t="shared" ref="CX260:DB260" si="2376">(CX175+CX162+CX152+CX154)/CX134</f>
        <v>2.3384920048381876</v>
      </c>
      <c r="CY260" s="50">
        <f t="shared" si="2376"/>
        <v>2.1886415355679532</v>
      </c>
      <c r="CZ260" s="50">
        <f t="shared" si="2376"/>
        <v>2.1873816164065882</v>
      </c>
      <c r="DA260" s="50">
        <f t="shared" si="2376"/>
        <v>2.1920102385097202</v>
      </c>
      <c r="DB260" s="50">
        <f t="shared" si="2376"/>
        <v>2.175586122514416</v>
      </c>
      <c r="DE260" s="138"/>
      <c r="DF260" s="84">
        <v>2.9055634677681104</v>
      </c>
    </row>
    <row r="261" spans="1:110" s="84" customFormat="1" x14ac:dyDescent="0.2">
      <c r="A261" s="154" t="s">
        <v>498</v>
      </c>
      <c r="AB261" s="50"/>
      <c r="AC261" s="50"/>
      <c r="AD261" s="50"/>
      <c r="AE261" s="50"/>
      <c r="CM261" s="50"/>
      <c r="CN261" s="50"/>
      <c r="CO261" s="50"/>
      <c r="CP261" s="50"/>
      <c r="CQ261" s="50"/>
      <c r="CR261" s="50"/>
      <c r="CS261" s="50"/>
      <c r="CT261" s="50"/>
      <c r="CU261" s="50"/>
      <c r="CV261" s="50"/>
      <c r="CW261" s="50"/>
      <c r="CX261" s="50"/>
      <c r="CY261" s="50"/>
      <c r="CZ261" s="50"/>
      <c r="DA261" s="50"/>
      <c r="DB261" s="50"/>
      <c r="DE261" s="138"/>
    </row>
    <row r="262" spans="1:110" s="88" customFormat="1" x14ac:dyDescent="0.2">
      <c r="A262" s="88" t="s">
        <v>102</v>
      </c>
      <c r="B262" s="88">
        <f t="shared" ref="B262:AE262" si="2377">B175/B134</f>
        <v>9.4973232714797989E-2</v>
      </c>
      <c r="C262" s="88">
        <f t="shared" si="2377"/>
        <v>0.12460530616305011</v>
      </c>
      <c r="D262" s="88">
        <f t="shared" si="2377"/>
        <v>0.31099745021855274</v>
      </c>
      <c r="F262" s="88">
        <f t="shared" si="2377"/>
        <v>0.27708677471937371</v>
      </c>
      <c r="G262" s="88">
        <f t="shared" si="2377"/>
        <v>0.28214988756876203</v>
      </c>
      <c r="H262" s="88">
        <f t="shared" si="2377"/>
        <v>1.0033060877096873</v>
      </c>
      <c r="I262" s="88">
        <f t="shared" si="2377"/>
        <v>0.15692816681602176</v>
      </c>
      <c r="J262" s="88">
        <f t="shared" si="2377"/>
        <v>0.344230113220447</v>
      </c>
      <c r="K262" s="88">
        <f t="shared" si="2377"/>
        <v>0.38308510009263574</v>
      </c>
      <c r="L262" s="88">
        <f t="shared" si="2377"/>
        <v>0.39397948982852538</v>
      </c>
      <c r="M262" s="88">
        <f t="shared" si="2377"/>
        <v>0.28325345829092258</v>
      </c>
      <c r="N262" s="88">
        <f t="shared" si="2377"/>
        <v>0.3066181790818423</v>
      </c>
      <c r="O262" s="88">
        <f t="shared" si="2377"/>
        <v>0.27572956591714587</v>
      </c>
      <c r="P262" s="88">
        <f t="shared" si="2377"/>
        <v>0.32109544449628008</v>
      </c>
      <c r="Q262" s="88">
        <f t="shared" si="2377"/>
        <v>0.26171083433536235</v>
      </c>
      <c r="R262" s="88">
        <f t="shared" si="2377"/>
        <v>0.29808447594439841</v>
      </c>
      <c r="S262" s="88">
        <f t="shared" si="2377"/>
        <v>0.38990661759360168</v>
      </c>
      <c r="T262" s="88">
        <f t="shared" si="2377"/>
        <v>8.8015348218636782E-2</v>
      </c>
      <c r="U262" s="88">
        <f t="shared" si="2377"/>
        <v>0.16109930674475781</v>
      </c>
      <c r="V262" s="88">
        <f t="shared" si="2377"/>
        <v>0.17697254034199442</v>
      </c>
      <c r="W262" s="88">
        <f t="shared" si="2377"/>
        <v>0.21341053156225137</v>
      </c>
      <c r="X262" s="88">
        <f t="shared" si="2377"/>
        <v>0.1647940816106773</v>
      </c>
      <c r="Y262" s="88">
        <f t="shared" si="2377"/>
        <v>0.10223145872865066</v>
      </c>
      <c r="Z262" s="88">
        <f t="shared" si="2377"/>
        <v>0.13260589079938132</v>
      </c>
      <c r="AA262" s="88">
        <f t="shared" ref="AA262" si="2378">AA175/AA134</f>
        <v>0.10826391719883935</v>
      </c>
      <c r="AB262" s="42">
        <f t="shared" si="2377"/>
        <v>0.15986971760562713</v>
      </c>
      <c r="AC262" s="42">
        <f t="shared" si="2377"/>
        <v>0.20068385187565588</v>
      </c>
      <c r="AD262" s="42">
        <f t="shared" si="2377"/>
        <v>0.40763715635310843</v>
      </c>
      <c r="AE262" s="42">
        <f t="shared" si="2377"/>
        <v>0.56784132178683366</v>
      </c>
      <c r="AL262" s="88">
        <f t="shared" ref="AL262:CW262" si="2379">AL175/AL134</f>
        <v>0.29050343516107752</v>
      </c>
      <c r="AM262" s="88">
        <f t="shared" si="2379"/>
        <v>0.33854226108949548</v>
      </c>
      <c r="AN262" s="88">
        <f t="shared" si="2379"/>
        <v>0.29649751113085998</v>
      </c>
      <c r="AO262" s="88">
        <f t="shared" si="2379"/>
        <v>0.30362682240708688</v>
      </c>
      <c r="AP262" s="88">
        <f t="shared" si="2379"/>
        <v>0.26321971020123769</v>
      </c>
      <c r="AQ262" s="88">
        <f t="shared" si="2379"/>
        <v>0.33445037200721328</v>
      </c>
      <c r="AR262" s="88">
        <f t="shared" si="2379"/>
        <v>0.3239167102116795</v>
      </c>
      <c r="AS262" s="88">
        <f t="shared" si="2379"/>
        <v>0.35360074447677092</v>
      </c>
      <c r="AT262" s="88">
        <f t="shared" si="2379"/>
        <v>0.30092844546835568</v>
      </c>
      <c r="AU262" s="88">
        <f t="shared" si="2379"/>
        <v>0.40979753265657926</v>
      </c>
      <c r="AV262" s="88">
        <f t="shared" si="2379"/>
        <v>0.19118144085939723</v>
      </c>
      <c r="AW262" s="88">
        <f t="shared" si="2379"/>
        <v>0.18120679162070427</v>
      </c>
      <c r="AX262" s="88">
        <f t="shared" si="2379"/>
        <v>0.24809644075179701</v>
      </c>
      <c r="AY262" s="88">
        <f t="shared" si="2379"/>
        <v>0.21666617161486884</v>
      </c>
      <c r="AZ262" s="88">
        <f t="shared" si="2379"/>
        <v>0.23273540493162745</v>
      </c>
      <c r="BA262" s="88">
        <f t="shared" si="2379"/>
        <v>0.22871160340222635</v>
      </c>
      <c r="BB262" s="88">
        <f t="shared" si="2379"/>
        <v>0.28012613658838925</v>
      </c>
      <c r="BC262" s="88">
        <f t="shared" si="2379"/>
        <v>0.37056742366824846</v>
      </c>
      <c r="BD262" s="88">
        <f t="shared" si="2379"/>
        <v>0.32205883344821956</v>
      </c>
      <c r="BE262" s="88">
        <f t="shared" si="2379"/>
        <v>0.32862369511292172</v>
      </c>
      <c r="BF262" s="88">
        <f t="shared" si="2379"/>
        <v>0.37533411028177471</v>
      </c>
      <c r="BG262" s="88">
        <f t="shared" si="2379"/>
        <v>0.37755508171715346</v>
      </c>
      <c r="BH262" s="88">
        <f t="shared" si="2379"/>
        <v>0.21705575801952678</v>
      </c>
      <c r="BI262" s="88">
        <f t="shared" si="2379"/>
        <v>0.26342403149588905</v>
      </c>
      <c r="BJ262" s="88">
        <f t="shared" si="2379"/>
        <v>8.5110238537263933E-2</v>
      </c>
      <c r="BK262" s="88">
        <f t="shared" si="2379"/>
        <v>0.14221046080701866</v>
      </c>
      <c r="BL262" s="88">
        <f t="shared" si="2379"/>
        <v>6.2436565902151422E-2</v>
      </c>
      <c r="BM262" s="88">
        <f t="shared" si="2379"/>
        <v>3.8718857256639247E-2</v>
      </c>
      <c r="BN262" s="88">
        <f t="shared" si="2379"/>
        <v>0.15611807062872146</v>
      </c>
      <c r="BO262" s="88">
        <f t="shared" si="2379"/>
        <v>0.17656366967763254</v>
      </c>
      <c r="BP262" s="88">
        <f t="shared" si="2379"/>
        <v>0.27313177227794444</v>
      </c>
      <c r="BQ262" s="88">
        <f t="shared" si="2379"/>
        <v>0.29919575563020301</v>
      </c>
      <c r="BR262" s="88">
        <f t="shared" si="2379"/>
        <v>0.17512507278878675</v>
      </c>
      <c r="BS262" s="88">
        <f t="shared" si="2379"/>
        <v>0.24956756490207024</v>
      </c>
      <c r="BT262" s="88">
        <f t="shared" si="2379"/>
        <v>0.10078655169678337</v>
      </c>
      <c r="BU262" s="88">
        <f t="shared" si="2379"/>
        <v>0.18417420173546015</v>
      </c>
      <c r="BV262" s="88">
        <f t="shared" si="2379"/>
        <v>0.21341053156225137</v>
      </c>
      <c r="BW262" s="88">
        <f t="shared" si="2379"/>
        <v>0.28029787493218272</v>
      </c>
      <c r="BX262" s="88">
        <f t="shared" si="2379"/>
        <v>0.1458763299933227</v>
      </c>
      <c r="BY262" s="88">
        <f t="shared" si="2379"/>
        <v>0.14315184935397943</v>
      </c>
      <c r="BZ262" s="88">
        <f t="shared" si="2379"/>
        <v>0.1647940816106773</v>
      </c>
      <c r="CA262" s="88">
        <f t="shared" si="2379"/>
        <v>0.18310589864424523</v>
      </c>
      <c r="CB262" s="88">
        <f t="shared" si="2379"/>
        <v>0.14114951379073712</v>
      </c>
      <c r="CC262" s="88">
        <f t="shared" si="2379"/>
        <v>0.14774546118701032</v>
      </c>
      <c r="CD262" s="88">
        <f t="shared" si="2379"/>
        <v>0.10223145872865066</v>
      </c>
      <c r="CE262" s="88">
        <f t="shared" si="2379"/>
        <v>0.12957197311728633</v>
      </c>
      <c r="CF262" s="88">
        <f t="shared" si="2379"/>
        <v>0.11579321260322575</v>
      </c>
      <c r="CG262" s="88">
        <f t="shared" si="2379"/>
        <v>0.12028467505406257</v>
      </c>
      <c r="CH262" s="88">
        <f t="shared" si="2379"/>
        <v>0.13260589079938132</v>
      </c>
      <c r="CI262" s="88">
        <f t="shared" si="2379"/>
        <v>0.17001591844876082</v>
      </c>
      <c r="CJ262" s="88">
        <f t="shared" si="2379"/>
        <v>8.9371788349958348E-2</v>
      </c>
      <c r="CK262" s="88">
        <f t="shared" si="2379"/>
        <v>8.1379846439293288E-2</v>
      </c>
      <c r="CL262" s="88">
        <f t="shared" ref="CL262" si="2380">CL175/CL134</f>
        <v>0.10826391719883935</v>
      </c>
      <c r="CM262" s="42">
        <f t="shared" si="2379"/>
        <v>9.7801075865548717E-2</v>
      </c>
      <c r="CN262" s="42">
        <f t="shared" si="2379"/>
        <v>0.12079698117143274</v>
      </c>
      <c r="CO262" s="42">
        <f t="shared" si="2379"/>
        <v>0.1374823280729153</v>
      </c>
      <c r="CP262" s="42">
        <f t="shared" si="2379"/>
        <v>0.15986971760562713</v>
      </c>
      <c r="CQ262" s="42">
        <f t="shared" si="2379"/>
        <v>0.13476845291955317</v>
      </c>
      <c r="CR262" s="42">
        <f t="shared" si="2379"/>
        <v>0.15304492517332441</v>
      </c>
      <c r="CS262" s="42">
        <f t="shared" si="2379"/>
        <v>0.17784270202035984</v>
      </c>
      <c r="CT262" s="42">
        <f t="shared" si="2379"/>
        <v>0.20068385187565588</v>
      </c>
      <c r="CU262" s="42">
        <f t="shared" si="2379"/>
        <v>0.22914858171704622</v>
      </c>
      <c r="CV262" s="42">
        <f t="shared" si="2379"/>
        <v>0.28935247004173947</v>
      </c>
      <c r="CW262" s="42">
        <f t="shared" si="2379"/>
        <v>0.35153068632637685</v>
      </c>
      <c r="CX262" s="42">
        <f t="shared" ref="CX262:DB262" si="2381">CX175/CX134</f>
        <v>0.40763715635310843</v>
      </c>
      <c r="CY262" s="42">
        <f t="shared" si="2381"/>
        <v>0.42714945333008419</v>
      </c>
      <c r="CZ262" s="42">
        <f t="shared" si="2381"/>
        <v>0.4751985001946244</v>
      </c>
      <c r="DA262" s="42">
        <f t="shared" si="2381"/>
        <v>0.52436157166131014</v>
      </c>
      <c r="DB262" s="42">
        <f t="shared" si="2381"/>
        <v>0.56784132178683366</v>
      </c>
      <c r="DE262" s="125"/>
      <c r="DF262" s="88">
        <v>9.5162818116926687E-2</v>
      </c>
    </row>
    <row r="263" spans="1:110" s="89" customFormat="1" x14ac:dyDescent="0.2">
      <c r="A263" s="89" t="s">
        <v>103</v>
      </c>
      <c r="C263" s="89">
        <f t="shared" ref="C263:AE263" si="2382">C142/B142-1</f>
        <v>8.0381974133042711E-2</v>
      </c>
      <c r="D263" s="89">
        <f t="shared" si="2382"/>
        <v>-3.7231543344607432E-2</v>
      </c>
      <c r="F263" s="89">
        <f t="shared" si="2382"/>
        <v>-4.5996267540198699E-2</v>
      </c>
      <c r="G263" s="89">
        <f t="shared" si="2382"/>
        <v>-1.3643932968917527E-2</v>
      </c>
      <c r="H263" s="89">
        <f t="shared" si="2382"/>
        <v>4.4485113985594111</v>
      </c>
      <c r="I263" s="89">
        <f t="shared" si="2382"/>
        <v>1.1004894441408961</v>
      </c>
      <c r="J263" s="89">
        <f t="shared" si="2382"/>
        <v>0.11403242750771914</v>
      </c>
      <c r="K263" s="89">
        <f>K142/J142-1</f>
        <v>-0.10947852670638791</v>
      </c>
      <c r="L263" s="89">
        <f t="shared" si="2382"/>
        <v>0.14571012826931229</v>
      </c>
      <c r="M263" s="89">
        <f t="shared" si="2382"/>
        <v>-1.1306104331376687E-4</v>
      </c>
      <c r="N263" s="89">
        <f t="shared" si="2382"/>
        <v>0.13849613739483368</v>
      </c>
      <c r="O263" s="89">
        <f t="shared" si="2382"/>
        <v>0.18509325492580619</v>
      </c>
      <c r="P263" s="89">
        <f t="shared" si="2382"/>
        <v>-1.0816887438731881E-2</v>
      </c>
      <c r="Q263" s="89">
        <f t="shared" si="2382"/>
        <v>1.5494064629787418E-2</v>
      </c>
      <c r="R263" s="89">
        <f t="shared" si="2382"/>
        <v>1.2194831046476118E-2</v>
      </c>
      <c r="S263" s="89">
        <f t="shared" si="2382"/>
        <v>0.10707720259553688</v>
      </c>
      <c r="T263" s="89">
        <f t="shared" si="2382"/>
        <v>9.1812982243024921E-2</v>
      </c>
      <c r="U263" s="89">
        <f t="shared" si="2382"/>
        <v>0.15046848800508883</v>
      </c>
      <c r="V263" s="89">
        <f t="shared" si="2382"/>
        <v>-0.31332392380644036</v>
      </c>
      <c r="W263" s="89">
        <f t="shared" si="2382"/>
        <v>-0.1548746727424849</v>
      </c>
      <c r="X263" s="89">
        <f t="shared" si="2382"/>
        <v>0.13350568396778795</v>
      </c>
      <c r="Y263" s="89">
        <f t="shared" si="2382"/>
        <v>4.5582220444847721E-2</v>
      </c>
      <c r="Z263" s="89">
        <f t="shared" si="2382"/>
        <v>9.0591331150936538E-2</v>
      </c>
      <c r="AA263" s="89">
        <f t="shared" si="2382"/>
        <v>-4.5045507830656195E-2</v>
      </c>
      <c r="AB263" s="47">
        <f t="shared" si="2382"/>
        <v>0</v>
      </c>
      <c r="AC263" s="47">
        <f t="shared" si="2382"/>
        <v>0</v>
      </c>
      <c r="AD263" s="47">
        <f t="shared" si="2382"/>
        <v>0</v>
      </c>
      <c r="AE263" s="47">
        <f t="shared" si="2382"/>
        <v>0</v>
      </c>
      <c r="AL263" s="89">
        <f t="shared" ref="AL263:CW263" si="2383">AL142/AK142-1</f>
        <v>7.4375846766654652E-2</v>
      </c>
      <c r="AM263" s="89">
        <f t="shared" si="2383"/>
        <v>0</v>
      </c>
      <c r="AN263" s="89">
        <f t="shared" si="2383"/>
        <v>0.13533552198599508</v>
      </c>
      <c r="AO263" s="89">
        <f t="shared" si="2383"/>
        <v>0</v>
      </c>
      <c r="AP263" s="89">
        <f t="shared" si="2383"/>
        <v>4.9382316360445877E-2</v>
      </c>
      <c r="AQ263" s="89">
        <f t="shared" si="2383"/>
        <v>0</v>
      </c>
      <c r="AR263" s="89">
        <f t="shared" si="2383"/>
        <v>-0.16816777957962981</v>
      </c>
      <c r="AS263" s="89">
        <f t="shared" si="2383"/>
        <v>0</v>
      </c>
      <c r="AT263" s="89">
        <f t="shared" si="2383"/>
        <v>0.32311856534477412</v>
      </c>
      <c r="AU263" s="89">
        <f t="shared" si="2383"/>
        <v>0</v>
      </c>
      <c r="AV263" s="89">
        <f t="shared" si="2383"/>
        <v>-4.6170012786661996E-2</v>
      </c>
      <c r="AW263" s="89">
        <f t="shared" si="2383"/>
        <v>0</v>
      </c>
      <c r="AX263" s="89">
        <f t="shared" si="2383"/>
        <v>0.12251728312457266</v>
      </c>
      <c r="AY263" s="89">
        <f t="shared" si="2383"/>
        <v>0</v>
      </c>
      <c r="AZ263" s="89">
        <f t="shared" si="2383"/>
        <v>2.7081242113334625E-2</v>
      </c>
      <c r="BA263" s="89">
        <f t="shared" si="2383"/>
        <v>0</v>
      </c>
      <c r="BB263" s="89">
        <f t="shared" si="2383"/>
        <v>-5.1600972293077696E-3</v>
      </c>
      <c r="BC263" s="89">
        <f t="shared" si="2383"/>
        <v>0</v>
      </c>
      <c r="BD263" s="89">
        <f t="shared" si="2383"/>
        <v>8.7250609802967505E-2</v>
      </c>
      <c r="BE263" s="89">
        <f t="shared" si="2383"/>
        <v>0</v>
      </c>
      <c r="BF263" s="89">
        <f t="shared" si="2383"/>
        <v>-9.6208777100564857E-3</v>
      </c>
      <c r="BG263" s="89">
        <f t="shared" si="2383"/>
        <v>0</v>
      </c>
      <c r="BH263" s="89">
        <f t="shared" si="2383"/>
        <v>0.29721142863844774</v>
      </c>
      <c r="BI263" s="89">
        <f t="shared" si="2383"/>
        <v>0</v>
      </c>
      <c r="BJ263" s="89">
        <f t="shared" si="2383"/>
        <v>-0.20763645490186267</v>
      </c>
      <c r="BK263" s="89">
        <f t="shared" si="2383"/>
        <v>0</v>
      </c>
      <c r="BL263" s="89">
        <f t="shared" si="2383"/>
        <v>0.12727899701584766</v>
      </c>
      <c r="BM263" s="89">
        <f t="shared" si="2383"/>
        <v>0</v>
      </c>
      <c r="BN263" s="89">
        <f t="shared" si="2383"/>
        <v>0.1026206175386728</v>
      </c>
      <c r="BO263" s="89">
        <f t="shared" si="2383"/>
        <v>0</v>
      </c>
      <c r="BP263" s="89">
        <f t="shared" si="2383"/>
        <v>-1.7026828182147513E-2</v>
      </c>
      <c r="BQ263" s="89">
        <f t="shared" si="2383"/>
        <v>0</v>
      </c>
      <c r="BR263" s="89">
        <f t="shared" si="2383"/>
        <v>-0.27562297902963617</v>
      </c>
      <c r="BS263" s="89">
        <f t="shared" si="2383"/>
        <v>0</v>
      </c>
      <c r="BT263" s="89">
        <f t="shared" si="2383"/>
        <v>-0.12054176318488685</v>
      </c>
      <c r="BU263" s="89">
        <f t="shared" si="2383"/>
        <v>0</v>
      </c>
      <c r="BV263" s="89">
        <f t="shared" si="2383"/>
        <v>-2.980636350975796E-2</v>
      </c>
      <c r="BW263" s="89">
        <f t="shared" si="2383"/>
        <v>0</v>
      </c>
      <c r="BX263" s="89">
        <f t="shared" si="2383"/>
        <v>0.18246972047117582</v>
      </c>
      <c r="BY263" s="89">
        <f t="shared" si="2383"/>
        <v>0</v>
      </c>
      <c r="BZ263" s="89">
        <f t="shared" si="2383"/>
        <v>-4.1408279345941601E-2</v>
      </c>
      <c r="CA263" s="89">
        <f t="shared" si="2383"/>
        <v>0</v>
      </c>
      <c r="CB263" s="89">
        <f t="shared" si="2383"/>
        <v>7.6524429712744535E-2</v>
      </c>
      <c r="CC263" s="89">
        <f t="shared" si="2383"/>
        <v>0</v>
      </c>
      <c r="CD263" s="89">
        <f t="shared" si="2383"/>
        <v>-2.8742691214312055E-2</v>
      </c>
      <c r="CE263" s="89">
        <f t="shared" si="2383"/>
        <v>0</v>
      </c>
      <c r="CF263" s="89">
        <f t="shared" si="2383"/>
        <v>0.15365241734122859</v>
      </c>
      <c r="CG263" s="89">
        <f t="shared" si="2383"/>
        <v>0</v>
      </c>
      <c r="CH263" s="89">
        <f t="shared" si="2383"/>
        <v>-5.4662119406490128E-2</v>
      </c>
      <c r="CI263" s="89">
        <f t="shared" si="2383"/>
        <v>0</v>
      </c>
      <c r="CJ263" s="89">
        <f t="shared" si="2383"/>
        <v>6.5223150852014022E-3</v>
      </c>
      <c r="CK263" s="89">
        <f t="shared" si="2383"/>
        <v>0</v>
      </c>
      <c r="CL263" s="89">
        <f t="shared" si="2383"/>
        <v>-5.1233660836910833E-2</v>
      </c>
      <c r="CM263" s="47">
        <f t="shared" si="2383"/>
        <v>0</v>
      </c>
      <c r="CN263" s="47">
        <f t="shared" si="2383"/>
        <v>0</v>
      </c>
      <c r="CO263" s="47">
        <f t="shared" si="2383"/>
        <v>0</v>
      </c>
      <c r="CP263" s="47">
        <f t="shared" si="2383"/>
        <v>0</v>
      </c>
      <c r="CQ263" s="47">
        <f t="shared" si="2383"/>
        <v>0</v>
      </c>
      <c r="CR263" s="47">
        <f t="shared" si="2383"/>
        <v>0</v>
      </c>
      <c r="CS263" s="47">
        <f t="shared" si="2383"/>
        <v>0</v>
      </c>
      <c r="CT263" s="47">
        <f t="shared" si="2383"/>
        <v>0</v>
      </c>
      <c r="CU263" s="47">
        <f t="shared" si="2383"/>
        <v>0</v>
      </c>
      <c r="CV263" s="47">
        <f t="shared" si="2383"/>
        <v>0</v>
      </c>
      <c r="CW263" s="47">
        <f t="shared" si="2383"/>
        <v>0</v>
      </c>
      <c r="CX263" s="47">
        <f t="shared" ref="CX263:DB263" si="2384">CX142/CW142-1</f>
        <v>0</v>
      </c>
      <c r="CY263" s="47">
        <f t="shared" si="2384"/>
        <v>0</v>
      </c>
      <c r="CZ263" s="47">
        <f t="shared" si="2384"/>
        <v>0</v>
      </c>
      <c r="DA263" s="47">
        <f t="shared" si="2384"/>
        <v>0</v>
      </c>
      <c r="DB263" s="47">
        <f t="shared" si="2384"/>
        <v>0</v>
      </c>
      <c r="DE263" s="130"/>
      <c r="DF263" s="89">
        <v>0</v>
      </c>
    </row>
    <row r="264" spans="1:110" s="89" customFormat="1" x14ac:dyDescent="0.2">
      <c r="A264" s="89" t="s">
        <v>104</v>
      </c>
      <c r="C264" s="89">
        <f>C37/B37-1</f>
        <v>-0.23843125734430048</v>
      </c>
      <c r="D264" s="89">
        <f>D37/C37-1</f>
        <v>0.77739374628719426</v>
      </c>
      <c r="F264" s="89">
        <f t="shared" ref="F264:AE264" si="2385">F37/E37-1</f>
        <v>0.74382247249286793</v>
      </c>
      <c r="G264" s="89">
        <f t="shared" si="2385"/>
        <v>2.7601511954935543E-2</v>
      </c>
      <c r="H264" s="89">
        <f t="shared" si="2385"/>
        <v>0.1748612067498605</v>
      </c>
      <c r="I264" s="89">
        <f t="shared" si="2385"/>
        <v>1.407038474866257</v>
      </c>
      <c r="J264" s="89">
        <f t="shared" si="2385"/>
        <v>1.8570577811923172E-2</v>
      </c>
      <c r="K264" s="89">
        <f t="shared" si="2385"/>
        <v>-0.55838954631732796</v>
      </c>
      <c r="L264" s="89">
        <f t="shared" si="2385"/>
        <v>1.0936635020015637</v>
      </c>
      <c r="M264" s="89">
        <f t="shared" si="2385"/>
        <v>-0.26156543360560436</v>
      </c>
      <c r="N264" s="89">
        <f t="shared" si="2385"/>
        <v>-1.5251101378582987E-2</v>
      </c>
      <c r="O264" s="89">
        <f t="shared" si="2385"/>
        <v>0.34301741212640779</v>
      </c>
      <c r="P264" s="89">
        <f t="shared" si="2385"/>
        <v>-0.23911136057778659</v>
      </c>
      <c r="Q264" s="89">
        <f t="shared" si="2385"/>
        <v>-0.36866826044156886</v>
      </c>
      <c r="R264" s="89">
        <f t="shared" si="2385"/>
        <v>1.1561735898529255</v>
      </c>
      <c r="S264" s="89">
        <f t="shared" si="2385"/>
        <v>0.25760292139195817</v>
      </c>
      <c r="T264" s="89">
        <f t="shared" si="2385"/>
        <v>0.37926447276825481</v>
      </c>
      <c r="U264" s="89">
        <f t="shared" si="2385"/>
        <v>-0.39346752275268937</v>
      </c>
      <c r="V264" s="89">
        <f t="shared" si="2385"/>
        <v>0.71161180454439821</v>
      </c>
      <c r="W264" s="89">
        <f t="shared" si="2385"/>
        <v>1.0813469987470601</v>
      </c>
      <c r="X264" s="89">
        <f t="shared" si="2385"/>
        <v>-0.49194179551251782</v>
      </c>
      <c r="Y264" s="89">
        <f t="shared" si="2385"/>
        <v>-0.30934950036566278</v>
      </c>
      <c r="Z264" s="89">
        <f t="shared" si="2385"/>
        <v>0.13557841514712088</v>
      </c>
      <c r="AA264" s="89">
        <f t="shared" si="2385"/>
        <v>0.3578871432834827</v>
      </c>
      <c r="AB264" s="47">
        <f t="shared" si="2385"/>
        <v>0.26015338023258794</v>
      </c>
      <c r="AC264" s="47">
        <f t="shared" si="2385"/>
        <v>0.10800421619616918</v>
      </c>
      <c r="AD264" s="47">
        <f t="shared" si="2385"/>
        <v>7.4299184917543837E-2</v>
      </c>
      <c r="AE264" s="47">
        <f t="shared" si="2385"/>
        <v>7.1129858289664893E-2</v>
      </c>
      <c r="AL264" s="89">
        <f t="shared" ref="AL264:CW264" si="2386">AL37/AK37-1</f>
        <v>0.95136919304482781</v>
      </c>
      <c r="AM264" s="89">
        <f t="shared" si="2386"/>
        <v>-0.15585016045081912</v>
      </c>
      <c r="AN264" s="89">
        <f t="shared" si="2386"/>
        <v>4.6935499614966236E-3</v>
      </c>
      <c r="AO264" s="89">
        <f t="shared" si="2386"/>
        <v>8.1285168742496694E-2</v>
      </c>
      <c r="AP264" s="89">
        <f t="shared" si="2386"/>
        <v>0.25072506451950782</v>
      </c>
      <c r="AQ264" s="89">
        <f t="shared" si="2386"/>
        <v>-0.14737541607797111</v>
      </c>
      <c r="AR264" s="89">
        <f t="shared" si="2386"/>
        <v>-0.14739372321576871</v>
      </c>
      <c r="AS264" s="89">
        <f t="shared" si="2386"/>
        <v>-0.15521766104281753</v>
      </c>
      <c r="AT264" s="89">
        <f t="shared" si="2386"/>
        <v>-0.49861083580566778</v>
      </c>
      <c r="AU264" s="89">
        <f t="shared" si="2386"/>
        <v>0.73869874333266661</v>
      </c>
      <c r="AV264" s="89">
        <f t="shared" si="2386"/>
        <v>-0.3349945578434167</v>
      </c>
      <c r="AW264" s="89">
        <f t="shared" si="2386"/>
        <v>-0.53013648720607476</v>
      </c>
      <c r="AX264" s="89">
        <f t="shared" si="2386"/>
        <v>1.6790375301219136</v>
      </c>
      <c r="AY264" s="89">
        <f t="shared" si="2386"/>
        <v>0.45848788589902023</v>
      </c>
      <c r="AZ264" s="89">
        <f t="shared" si="2386"/>
        <v>-6.2368526303899219E-2</v>
      </c>
      <c r="BA264" s="89">
        <f t="shared" si="2386"/>
        <v>0.18399330530853986</v>
      </c>
      <c r="BB264" s="89">
        <f t="shared" si="2386"/>
        <v>0.93204625771764182</v>
      </c>
      <c r="BC264" s="89">
        <f t="shared" si="2386"/>
        <v>-0.29197703698537214</v>
      </c>
      <c r="BD264" s="89">
        <f t="shared" si="2386"/>
        <v>-5.0932748426319674E-2</v>
      </c>
      <c r="BE264" s="89">
        <f t="shared" si="2386"/>
        <v>0.20680750825624328</v>
      </c>
      <c r="BF264" s="89">
        <f t="shared" si="2386"/>
        <v>0.12328372775560159</v>
      </c>
      <c r="BG264" s="89">
        <f t="shared" si="2386"/>
        <v>-7.2726931779824033E-3</v>
      </c>
      <c r="BH264" s="89">
        <f t="shared" si="2386"/>
        <v>0.38547146585567749</v>
      </c>
      <c r="BI264" s="89">
        <f t="shared" si="2386"/>
        <v>-0.23697671089377503</v>
      </c>
      <c r="BJ264" s="89">
        <f t="shared" si="2386"/>
        <v>0.11875016751591083</v>
      </c>
      <c r="BK264" s="89">
        <f t="shared" si="2386"/>
        <v>-0.28434718258869629</v>
      </c>
      <c r="BL264" s="89">
        <f t="shared" si="2386"/>
        <v>-0.28963529171083702</v>
      </c>
      <c r="BM264" s="89">
        <f t="shared" si="2386"/>
        <v>-5.2314926326591071E-2</v>
      </c>
      <c r="BN264" s="89">
        <f t="shared" si="2386"/>
        <v>0.32583831987932443</v>
      </c>
      <c r="BO264" s="89">
        <f t="shared" si="2386"/>
        <v>-0.88764145616239443</v>
      </c>
      <c r="BP264" s="89">
        <f t="shared" si="2386"/>
        <v>10.521447248854896</v>
      </c>
      <c r="BQ264" s="89">
        <f t="shared" si="2386"/>
        <v>0.54010729617188091</v>
      </c>
      <c r="BR264" s="89">
        <f t="shared" si="2386"/>
        <v>0.48241264851216048</v>
      </c>
      <c r="BS264" s="89">
        <f t="shared" si="2386"/>
        <v>0.13581917191668391</v>
      </c>
      <c r="BT264" s="89">
        <f t="shared" si="2386"/>
        <v>2.1449919462712463E-2</v>
      </c>
      <c r="BU264" s="89">
        <f t="shared" si="2386"/>
        <v>-3.4178773611276747E-2</v>
      </c>
      <c r="BV264" s="89">
        <f t="shared" si="2386"/>
        <v>-5.4365039666734671E-2</v>
      </c>
      <c r="BW264" s="89">
        <f t="shared" si="2386"/>
        <v>-3.7798718662701569E-3</v>
      </c>
      <c r="BX264" s="89">
        <f t="shared" si="2386"/>
        <v>-0.59524471040820637</v>
      </c>
      <c r="BY264" s="89">
        <f t="shared" si="2386"/>
        <v>-0.33207487393405044</v>
      </c>
      <c r="BZ264" s="89">
        <f t="shared" si="2386"/>
        <v>0.7834697023597772</v>
      </c>
      <c r="CA264" s="89">
        <f t="shared" si="2386"/>
        <v>-0.28331671099290723</v>
      </c>
      <c r="CB264" s="89">
        <f t="shared" si="2386"/>
        <v>-0.17512195876209036</v>
      </c>
      <c r="CC264" s="89">
        <f t="shared" si="2386"/>
        <v>0.46762750069122205</v>
      </c>
      <c r="CD264" s="89">
        <f t="shared" si="2386"/>
        <v>5.3812761731725223E-2</v>
      </c>
      <c r="CE264" s="89">
        <f t="shared" si="2386"/>
        <v>1.4216824757637969E-2</v>
      </c>
      <c r="CF264" s="89">
        <f t="shared" si="2386"/>
        <v>-8.2635369192780472E-2</v>
      </c>
      <c r="CG264" s="89">
        <f t="shared" si="2386"/>
        <v>-3.8718375840829267E-2</v>
      </c>
      <c r="CH264" s="89">
        <f t="shared" si="2386"/>
        <v>0.11107497429486801</v>
      </c>
      <c r="CI264" s="89">
        <f t="shared" si="2386"/>
        <v>0.13238159415296202</v>
      </c>
      <c r="CJ264" s="89">
        <f t="shared" si="2386"/>
        <v>0.19777746063972734</v>
      </c>
      <c r="CK264" s="89">
        <f t="shared" si="2386"/>
        <v>-7.8327079965919366E-2</v>
      </c>
      <c r="CL264" s="89">
        <f t="shared" si="2386"/>
        <v>0.19866092661926604</v>
      </c>
      <c r="CM264" s="47">
        <f t="shared" si="2386"/>
        <v>-6.1701768767081444E-2</v>
      </c>
      <c r="CN264" s="47">
        <f t="shared" si="2386"/>
        <v>0.11377543171791782</v>
      </c>
      <c r="CO264" s="47">
        <f t="shared" si="2386"/>
        <v>9.1934337842395575E-2</v>
      </c>
      <c r="CP264" s="47">
        <f t="shared" si="2386"/>
        <v>0.12162325762397397</v>
      </c>
      <c r="CQ264" s="47">
        <f t="shared" si="2386"/>
        <v>-0.16834507962843925</v>
      </c>
      <c r="CR264" s="47">
        <f t="shared" si="2386"/>
        <v>9.204217827182104E-2</v>
      </c>
      <c r="CS264" s="47">
        <f t="shared" si="2386"/>
        <v>0.10182366006612531</v>
      </c>
      <c r="CT264" s="47">
        <f t="shared" si="2386"/>
        <v>7.155448516496854E-2</v>
      </c>
      <c r="CU264" s="47">
        <f t="shared" si="2386"/>
        <v>-0.15459984344176503</v>
      </c>
      <c r="CV264" s="47">
        <f t="shared" si="2386"/>
        <v>8.1672227565252387E-2</v>
      </c>
      <c r="CW264" s="47">
        <f t="shared" si="2386"/>
        <v>9.3851396620347138E-2</v>
      </c>
      <c r="CX264" s="47">
        <f t="shared" ref="CX264:DB264" si="2387">CX37/CW37-1</f>
        <v>5.9593389057679635E-2</v>
      </c>
      <c r="CY264" s="47">
        <f t="shared" si="2387"/>
        <v>-0.14240090527670157</v>
      </c>
      <c r="CZ264" s="47">
        <f t="shared" si="2387"/>
        <v>7.804379887150481E-2</v>
      </c>
      <c r="DA264" s="47">
        <f t="shared" si="2387"/>
        <v>9.1815770534454444E-2</v>
      </c>
      <c r="DB264" s="47">
        <f t="shared" si="2387"/>
        <v>5.903179668193359E-2</v>
      </c>
      <c r="DE264" s="130"/>
      <c r="DF264" s="89">
        <v>0.15872640686048323</v>
      </c>
    </row>
    <row r="265" spans="1:110" s="103" customFormat="1" x14ac:dyDescent="0.2">
      <c r="A265" s="147" t="s">
        <v>105</v>
      </c>
      <c r="C265" s="103" t="str">
        <f>IF(C263&gt;C264,"RF",0)</f>
        <v>RF</v>
      </c>
      <c r="D265" s="103">
        <f t="shared" ref="D265:U265" si="2388">IF(D263&gt;D264,"RF",0)</f>
        <v>0</v>
      </c>
      <c r="F265" s="103">
        <f t="shared" si="2388"/>
        <v>0</v>
      </c>
      <c r="G265" s="103">
        <f t="shared" si="2388"/>
        <v>0</v>
      </c>
      <c r="H265" s="103" t="str">
        <f t="shared" si="2388"/>
        <v>RF</v>
      </c>
      <c r="I265" s="103">
        <f t="shared" si="2388"/>
        <v>0</v>
      </c>
      <c r="J265" s="103" t="str">
        <f t="shared" si="2388"/>
        <v>RF</v>
      </c>
      <c r="K265" s="103" t="str">
        <f t="shared" si="2388"/>
        <v>RF</v>
      </c>
      <c r="L265" s="103">
        <f t="shared" si="2388"/>
        <v>0</v>
      </c>
      <c r="M265" s="103" t="str">
        <f t="shared" si="2388"/>
        <v>RF</v>
      </c>
      <c r="N265" s="103" t="str">
        <f t="shared" si="2388"/>
        <v>RF</v>
      </c>
      <c r="O265" s="103">
        <f t="shared" si="2388"/>
        <v>0</v>
      </c>
      <c r="P265" s="103" t="str">
        <f t="shared" si="2388"/>
        <v>RF</v>
      </c>
      <c r="Q265" s="103" t="str">
        <f t="shared" si="2388"/>
        <v>RF</v>
      </c>
      <c r="R265" s="103">
        <f t="shared" si="2388"/>
        <v>0</v>
      </c>
      <c r="S265" s="103">
        <f t="shared" si="2388"/>
        <v>0</v>
      </c>
      <c r="T265" s="103">
        <f t="shared" si="2388"/>
        <v>0</v>
      </c>
      <c r="U265" s="103" t="str">
        <f t="shared" si="2388"/>
        <v>RF</v>
      </c>
      <c r="V265" s="103">
        <f>IF(V263&gt;V264,"RF",0)</f>
        <v>0</v>
      </c>
      <c r="W265" s="103">
        <f t="shared" ref="W265:AE265" si="2389">IF(W263&gt;W264,"RF",0)</f>
        <v>0</v>
      </c>
      <c r="X265" s="103" t="str">
        <f t="shared" si="2389"/>
        <v>RF</v>
      </c>
      <c r="Y265" s="103" t="str">
        <f t="shared" si="2389"/>
        <v>RF</v>
      </c>
      <c r="Z265" s="103">
        <f t="shared" si="2389"/>
        <v>0</v>
      </c>
      <c r="AA265" s="103">
        <f t="shared" ref="AA265" si="2390">IF(AA263&gt;AA264,"RF",0)</f>
        <v>0</v>
      </c>
      <c r="AB265" s="73">
        <f t="shared" si="2389"/>
        <v>0</v>
      </c>
      <c r="AC265" s="73">
        <f t="shared" si="2389"/>
        <v>0</v>
      </c>
      <c r="AD265" s="73">
        <f t="shared" si="2389"/>
        <v>0</v>
      </c>
      <c r="AE265" s="73">
        <f t="shared" si="2389"/>
        <v>0</v>
      </c>
      <c r="AL265" s="103">
        <f t="shared" ref="AL265:CW265" si="2391">IF(AL263&gt;AL264,"RF",0)</f>
        <v>0</v>
      </c>
      <c r="AM265" s="103" t="str">
        <f t="shared" si="2391"/>
        <v>RF</v>
      </c>
      <c r="AN265" s="103" t="str">
        <f t="shared" si="2391"/>
        <v>RF</v>
      </c>
      <c r="AO265" s="103">
        <f t="shared" si="2391"/>
        <v>0</v>
      </c>
      <c r="AP265" s="103">
        <f t="shared" si="2391"/>
        <v>0</v>
      </c>
      <c r="AQ265" s="103" t="str">
        <f t="shared" si="2391"/>
        <v>RF</v>
      </c>
      <c r="AR265" s="103">
        <f t="shared" si="2391"/>
        <v>0</v>
      </c>
      <c r="AS265" s="103" t="str">
        <f t="shared" si="2391"/>
        <v>RF</v>
      </c>
      <c r="AT265" s="103" t="str">
        <f t="shared" si="2391"/>
        <v>RF</v>
      </c>
      <c r="AU265" s="103">
        <f t="shared" si="2391"/>
        <v>0</v>
      </c>
      <c r="AV265" s="103" t="str">
        <f t="shared" si="2391"/>
        <v>RF</v>
      </c>
      <c r="AW265" s="103" t="str">
        <f t="shared" si="2391"/>
        <v>RF</v>
      </c>
      <c r="AX265" s="103">
        <f t="shared" si="2391"/>
        <v>0</v>
      </c>
      <c r="AY265" s="103">
        <f t="shared" si="2391"/>
        <v>0</v>
      </c>
      <c r="AZ265" s="103" t="str">
        <f t="shared" si="2391"/>
        <v>RF</v>
      </c>
      <c r="BA265" s="103">
        <f t="shared" si="2391"/>
        <v>0</v>
      </c>
      <c r="BB265" s="103">
        <f t="shared" si="2391"/>
        <v>0</v>
      </c>
      <c r="BC265" s="103" t="str">
        <f t="shared" si="2391"/>
        <v>RF</v>
      </c>
      <c r="BD265" s="103" t="str">
        <f t="shared" si="2391"/>
        <v>RF</v>
      </c>
      <c r="BE265" s="103">
        <f t="shared" si="2391"/>
        <v>0</v>
      </c>
      <c r="BF265" s="103">
        <f t="shared" si="2391"/>
        <v>0</v>
      </c>
      <c r="BG265" s="103" t="str">
        <f t="shared" si="2391"/>
        <v>RF</v>
      </c>
      <c r="BH265" s="103">
        <f t="shared" si="2391"/>
        <v>0</v>
      </c>
      <c r="BI265" s="103" t="str">
        <f t="shared" si="2391"/>
        <v>RF</v>
      </c>
      <c r="BJ265" s="103">
        <f t="shared" si="2391"/>
        <v>0</v>
      </c>
      <c r="BK265" s="103" t="str">
        <f t="shared" si="2391"/>
        <v>RF</v>
      </c>
      <c r="BL265" s="103" t="str">
        <f t="shared" si="2391"/>
        <v>RF</v>
      </c>
      <c r="BM265" s="103" t="str">
        <f t="shared" si="2391"/>
        <v>RF</v>
      </c>
      <c r="BN265" s="103">
        <f t="shared" si="2391"/>
        <v>0</v>
      </c>
      <c r="BO265" s="103" t="str">
        <f t="shared" si="2391"/>
        <v>RF</v>
      </c>
      <c r="BP265" s="103">
        <f t="shared" si="2391"/>
        <v>0</v>
      </c>
      <c r="BQ265" s="103">
        <f t="shared" si="2391"/>
        <v>0</v>
      </c>
      <c r="BR265" s="103">
        <f t="shared" si="2391"/>
        <v>0</v>
      </c>
      <c r="BS265" s="103">
        <f t="shared" si="2391"/>
        <v>0</v>
      </c>
      <c r="BT265" s="103">
        <f t="shared" si="2391"/>
        <v>0</v>
      </c>
      <c r="BU265" s="103" t="str">
        <f t="shared" si="2391"/>
        <v>RF</v>
      </c>
      <c r="BV265" s="103" t="str">
        <f t="shared" si="2391"/>
        <v>RF</v>
      </c>
      <c r="BW265" s="103" t="str">
        <f t="shared" si="2391"/>
        <v>RF</v>
      </c>
      <c r="BX265" s="103" t="str">
        <f t="shared" si="2391"/>
        <v>RF</v>
      </c>
      <c r="BY265" s="103" t="str">
        <f t="shared" si="2391"/>
        <v>RF</v>
      </c>
      <c r="BZ265" s="103">
        <f t="shared" si="2391"/>
        <v>0</v>
      </c>
      <c r="CA265" s="103" t="str">
        <f t="shared" si="2391"/>
        <v>RF</v>
      </c>
      <c r="CB265" s="103" t="str">
        <f t="shared" si="2391"/>
        <v>RF</v>
      </c>
      <c r="CC265" s="103">
        <f t="shared" si="2391"/>
        <v>0</v>
      </c>
      <c r="CD265" s="103">
        <f t="shared" si="2391"/>
        <v>0</v>
      </c>
      <c r="CE265" s="103">
        <f t="shared" si="2391"/>
        <v>0</v>
      </c>
      <c r="CF265" s="103" t="str">
        <f t="shared" si="2391"/>
        <v>RF</v>
      </c>
      <c r="CG265" s="103" t="str">
        <f t="shared" si="2391"/>
        <v>RF</v>
      </c>
      <c r="CH265" s="103">
        <f t="shared" si="2391"/>
        <v>0</v>
      </c>
      <c r="CI265" s="103">
        <f t="shared" si="2391"/>
        <v>0</v>
      </c>
      <c r="CJ265" s="103">
        <f t="shared" si="2391"/>
        <v>0</v>
      </c>
      <c r="CK265" s="103" t="str">
        <f t="shared" si="2391"/>
        <v>RF</v>
      </c>
      <c r="CL265" s="103">
        <f t="shared" ref="CL265" si="2392">IF(CL263&gt;CL264,"RF",0)</f>
        <v>0</v>
      </c>
      <c r="CM265" s="73" t="str">
        <f t="shared" si="2391"/>
        <v>RF</v>
      </c>
      <c r="CN265" s="73">
        <f t="shared" si="2391"/>
        <v>0</v>
      </c>
      <c r="CO265" s="73">
        <f t="shared" si="2391"/>
        <v>0</v>
      </c>
      <c r="CP265" s="73">
        <f t="shared" si="2391"/>
        <v>0</v>
      </c>
      <c r="CQ265" s="73" t="str">
        <f t="shared" si="2391"/>
        <v>RF</v>
      </c>
      <c r="CR265" s="73">
        <f t="shared" si="2391"/>
        <v>0</v>
      </c>
      <c r="CS265" s="73">
        <f t="shared" si="2391"/>
        <v>0</v>
      </c>
      <c r="CT265" s="73">
        <f t="shared" si="2391"/>
        <v>0</v>
      </c>
      <c r="CU265" s="73" t="str">
        <f t="shared" si="2391"/>
        <v>RF</v>
      </c>
      <c r="CV265" s="73">
        <f t="shared" si="2391"/>
        <v>0</v>
      </c>
      <c r="CW265" s="73">
        <f t="shared" si="2391"/>
        <v>0</v>
      </c>
      <c r="CX265" s="73">
        <f t="shared" ref="CX265:DB265" si="2393">IF(CX263&gt;CX264,"RF",0)</f>
        <v>0</v>
      </c>
      <c r="CY265" s="73" t="str">
        <f t="shared" si="2393"/>
        <v>RF</v>
      </c>
      <c r="CZ265" s="73">
        <f t="shared" si="2393"/>
        <v>0</v>
      </c>
      <c r="DA265" s="73">
        <f t="shared" si="2393"/>
        <v>0</v>
      </c>
      <c r="DB265" s="73">
        <f t="shared" si="2393"/>
        <v>0</v>
      </c>
      <c r="DE265" s="142"/>
      <c r="DF265" s="103">
        <v>0</v>
      </c>
    </row>
    <row r="266" spans="1:110" s="86" customFormat="1" x14ac:dyDescent="0.2">
      <c r="A266" s="86" t="s">
        <v>432</v>
      </c>
      <c r="B266" s="86">
        <f>B45/B17</f>
        <v>5.3146876578722177E-2</v>
      </c>
      <c r="C266" s="86">
        <f>C45/C17</f>
        <v>5.1647076327927387E-2</v>
      </c>
      <c r="D266" s="86">
        <f>D45/D17</f>
        <v>3.4562207476862082E-2</v>
      </c>
      <c r="F266" s="86">
        <f t="shared" ref="F266:AE266" si="2394">F45/F17</f>
        <v>1.3701210254431358E-2</v>
      </c>
      <c r="G266" s="86">
        <f t="shared" si="2394"/>
        <v>9.319266132486596E-3</v>
      </c>
      <c r="H266" s="86">
        <f t="shared" si="2394"/>
        <v>2.310978963301405E-2</v>
      </c>
      <c r="I266" s="86">
        <f t="shared" si="2394"/>
        <v>3.3853973811137375E-2</v>
      </c>
      <c r="J266" s="86">
        <f t="shared" si="2394"/>
        <v>2.5273804156603991E-2</v>
      </c>
      <c r="K266" s="86">
        <f t="shared" si="2394"/>
        <v>3.3524951542183268E-2</v>
      </c>
      <c r="L266" s="86">
        <f t="shared" si="2394"/>
        <v>3.2599246368331815E-2</v>
      </c>
      <c r="M266" s="86">
        <f t="shared" si="2394"/>
        <v>3.1256425787104677E-2</v>
      </c>
      <c r="N266" s="86">
        <f t="shared" si="2394"/>
        <v>2.8584335210040775E-2</v>
      </c>
      <c r="O266" s="86">
        <f t="shared" si="2394"/>
        <v>2.8305926678836666E-2</v>
      </c>
      <c r="P266" s="86">
        <f t="shared" si="2394"/>
        <v>3.3595322912886888E-2</v>
      </c>
      <c r="Q266" s="86">
        <f t="shared" si="2394"/>
        <v>3.9697321570300224E-2</v>
      </c>
      <c r="R266" s="86">
        <f t="shared" si="2394"/>
        <v>4.3197092418885578E-2</v>
      </c>
      <c r="S266" s="86">
        <f t="shared" si="2394"/>
        <v>4.3950959832386977E-2</v>
      </c>
      <c r="T266" s="86">
        <f t="shared" si="2394"/>
        <v>4.8583427850968038E-2</v>
      </c>
      <c r="U266" s="86">
        <f t="shared" si="2394"/>
        <v>5.088697713142986E-2</v>
      </c>
      <c r="V266" s="86">
        <f t="shared" si="2394"/>
        <v>4.8612195754786314E-2</v>
      </c>
      <c r="W266" s="86">
        <f t="shared" si="2394"/>
        <v>2.2389812196852446E-2</v>
      </c>
      <c r="X266" s="86">
        <f t="shared" si="2394"/>
        <v>2.5883009552925013E-2</v>
      </c>
      <c r="Y266" s="86">
        <f t="shared" si="2394"/>
        <v>3.2759717447398834E-2</v>
      </c>
      <c r="Z266" s="86">
        <f t="shared" si="2394"/>
        <v>3.3590490014963219E-2</v>
      </c>
      <c r="AA266" s="86">
        <f t="shared" ref="AA266" si="2395">AA45/AA17</f>
        <v>3.0873877196659912E-2</v>
      </c>
      <c r="AB266" s="87">
        <f t="shared" si="2394"/>
        <v>2.2523636285076396E-2</v>
      </c>
      <c r="AC266" s="87">
        <f t="shared" si="2394"/>
        <v>1.9196384669611728E-2</v>
      </c>
      <c r="AD266" s="87">
        <f t="shared" si="2394"/>
        <v>1.2363993923958552E-2</v>
      </c>
      <c r="AE266" s="87">
        <f t="shared" si="2394"/>
        <v>1.1142336422248602E-3</v>
      </c>
      <c r="AL266" s="86">
        <f t="shared" ref="AL266:CW266" si="2396">AL45/AL17</f>
        <v>2.8707835709010584E-2</v>
      </c>
      <c r="AM266" s="86">
        <f t="shared" si="2396"/>
        <v>3.025289904309706E-2</v>
      </c>
      <c r="AN266" s="86">
        <f t="shared" si="2396"/>
        <v>2.9106923229951023E-2</v>
      </c>
      <c r="AO266" s="86">
        <f t="shared" si="2396"/>
        <v>3.0172730593736579E-2</v>
      </c>
      <c r="AP266" s="86">
        <f t="shared" si="2396"/>
        <v>2.7560776420316277E-2</v>
      </c>
      <c r="AQ266" s="86">
        <f t="shared" si="2396"/>
        <v>3.4380069184546384E-2</v>
      </c>
      <c r="AR266" s="86">
        <f t="shared" si="2396"/>
        <v>3.4457226981161979E-2</v>
      </c>
      <c r="AS266" s="86">
        <f t="shared" si="2396"/>
        <v>3.4710017444057557E-2</v>
      </c>
      <c r="AT266" s="86">
        <f t="shared" si="2396"/>
        <v>3.5501206255060716E-2</v>
      </c>
      <c r="AU266" s="86">
        <f t="shared" si="2396"/>
        <v>4.0925331029711229E-2</v>
      </c>
      <c r="AV266" s="86">
        <f t="shared" si="2396"/>
        <v>4.0065850096334905E-2</v>
      </c>
      <c r="AW266" s="86">
        <f t="shared" si="2396"/>
        <v>3.8326317223382408E-2</v>
      </c>
      <c r="AX266" s="86">
        <f t="shared" si="2396"/>
        <v>3.6474105749048996E-2</v>
      </c>
      <c r="AY266" s="86">
        <f t="shared" si="2396"/>
        <v>4.1226443173867797E-2</v>
      </c>
      <c r="AZ266" s="86">
        <f t="shared" si="2396"/>
        <v>4.981701460011468E-2</v>
      </c>
      <c r="BA266" s="86">
        <f t="shared" si="2396"/>
        <v>4.7799993729476534E-2</v>
      </c>
      <c r="BB266" s="86">
        <f t="shared" si="2396"/>
        <v>3.5777480116777012E-2</v>
      </c>
      <c r="BC266" s="86">
        <f t="shared" si="2396"/>
        <v>4.3382807079510019E-2</v>
      </c>
      <c r="BD266" s="86">
        <f t="shared" si="2396"/>
        <v>4.1582188839747493E-2</v>
      </c>
      <c r="BE266" s="86">
        <f t="shared" si="2396"/>
        <v>3.9683555279161412E-2</v>
      </c>
      <c r="BF266" s="86">
        <f t="shared" si="2396"/>
        <v>4.3601465180599E-2</v>
      </c>
      <c r="BG266" s="86">
        <f t="shared" si="2396"/>
        <v>4.6706662068716806E-2</v>
      </c>
      <c r="BH266" s="86">
        <f t="shared" si="2396"/>
        <v>5.2289938959086658E-2</v>
      </c>
      <c r="BI266" s="86">
        <f t="shared" si="2396"/>
        <v>4.9571111044765671E-2</v>
      </c>
      <c r="BJ266" s="86">
        <f t="shared" si="2396"/>
        <v>4.5675947450326299E-2</v>
      </c>
      <c r="BK266" s="86">
        <f t="shared" si="2396"/>
        <v>5.0252440321349894E-2</v>
      </c>
      <c r="BL266" s="86">
        <f t="shared" si="2396"/>
        <v>5.411840303905413E-2</v>
      </c>
      <c r="BM266" s="86">
        <f t="shared" si="2396"/>
        <v>5.4351287048769979E-2</v>
      </c>
      <c r="BN266" s="86">
        <f t="shared" si="2396"/>
        <v>5.370130052261398E-2</v>
      </c>
      <c r="BO266" s="86">
        <f t="shared" si="2396"/>
        <v>7.876222986733411E-2</v>
      </c>
      <c r="BP266" s="86">
        <f t="shared" si="2396"/>
        <v>5.0025757615445733E-2</v>
      </c>
      <c r="BQ266" s="86">
        <f t="shared" si="2396"/>
        <v>4.2589747374580926E-2</v>
      </c>
      <c r="BR266" s="86">
        <f t="shared" si="2396"/>
        <v>3.7304233577867912E-2</v>
      </c>
      <c r="BS266" s="86">
        <f t="shared" si="2396"/>
        <v>3.3880397108935624E-2</v>
      </c>
      <c r="BT266" s="86">
        <f t="shared" si="2396"/>
        <v>1.6887207588769326E-2</v>
      </c>
      <c r="BU266" s="86">
        <f t="shared" si="2396"/>
        <v>2.5212431545539541E-2</v>
      </c>
      <c r="BV266" s="86">
        <f t="shared" si="2396"/>
        <v>1.5846141640280711E-2</v>
      </c>
      <c r="BW266" s="86">
        <f t="shared" si="2396"/>
        <v>1.9203983221207227E-2</v>
      </c>
      <c r="BX266" s="86">
        <f t="shared" si="2396"/>
        <v>2.5369621186715811E-2</v>
      </c>
      <c r="BY266" s="86">
        <f t="shared" si="2396"/>
        <v>3.097073833517041E-2</v>
      </c>
      <c r="BZ266" s="86">
        <f t="shared" si="2396"/>
        <v>2.8487232046738371E-2</v>
      </c>
      <c r="CA266" s="86">
        <f t="shared" si="2396"/>
        <v>3.0680121553896929E-2</v>
      </c>
      <c r="CB266" s="86">
        <f t="shared" si="2396"/>
        <v>3.5188974232753786E-2</v>
      </c>
      <c r="CC266" s="86">
        <f t="shared" si="2396"/>
        <v>3.4003183402914527E-2</v>
      </c>
      <c r="CD266" s="86">
        <f t="shared" si="2396"/>
        <v>3.1390942948313696E-2</v>
      </c>
      <c r="CE266" s="86">
        <f t="shared" si="2396"/>
        <v>3.243865090880476E-2</v>
      </c>
      <c r="CF266" s="86">
        <f t="shared" si="2396"/>
        <v>3.6571943342242265E-2</v>
      </c>
      <c r="CG266" s="86">
        <f t="shared" si="2396"/>
        <v>3.3628092595664731E-2</v>
      </c>
      <c r="CH266" s="86">
        <f t="shared" si="2396"/>
        <v>3.1818038706744142E-2</v>
      </c>
      <c r="CI266" s="86">
        <f t="shared" si="2396"/>
        <v>3.4834439427343426E-2</v>
      </c>
      <c r="CJ266" s="86">
        <f t="shared" si="2396"/>
        <v>3.0243337413010107E-2</v>
      </c>
      <c r="CK266" s="86">
        <f t="shared" si="2396"/>
        <v>3.0652919877057806E-2</v>
      </c>
      <c r="CL266" s="86">
        <f t="shared" ref="CL266" si="2397">CL45/CL17</f>
        <v>2.8329007700790249E-2</v>
      </c>
      <c r="CM266" s="87">
        <f t="shared" si="2396"/>
        <v>2.5930776654164666E-2</v>
      </c>
      <c r="CN266" s="87">
        <f t="shared" si="2396"/>
        <v>2.4316620189143861E-2</v>
      </c>
      <c r="CO266" s="87">
        <f t="shared" si="2396"/>
        <v>2.1536152432228926E-2</v>
      </c>
      <c r="CP266" s="87">
        <f t="shared" si="2396"/>
        <v>1.9216344913675524E-2</v>
      </c>
      <c r="CQ266" s="87">
        <f t="shared" si="2396"/>
        <v>2.1743062698775677E-2</v>
      </c>
      <c r="CR266" s="87">
        <f t="shared" si="2396"/>
        <v>2.0983348717972538E-2</v>
      </c>
      <c r="CS266" s="87">
        <f t="shared" si="2396"/>
        <v>1.8429511003468377E-2</v>
      </c>
      <c r="CT266" s="87">
        <f t="shared" si="2396"/>
        <v>1.6312694273422624E-2</v>
      </c>
      <c r="CU266" s="87">
        <f t="shared" si="2396"/>
        <v>1.7588279711915972E-2</v>
      </c>
      <c r="CV266" s="87">
        <f t="shared" si="2396"/>
        <v>1.4874235809319352E-2</v>
      </c>
      <c r="CW266" s="87">
        <f t="shared" si="2396"/>
        <v>1.0898771779799388E-2</v>
      </c>
      <c r="CX266" s="87">
        <f t="shared" ref="CX266:DB266" si="2398">CX45/CX17</f>
        <v>7.3737927981191035E-3</v>
      </c>
      <c r="CY266" s="87">
        <f t="shared" si="2398"/>
        <v>5.1415567345352194E-3</v>
      </c>
      <c r="CZ266" s="87">
        <f t="shared" si="2398"/>
        <v>3.1944708174690231E-3</v>
      </c>
      <c r="DA266" s="87">
        <f t="shared" si="2398"/>
        <v>7.9988821421796366E-5</v>
      </c>
      <c r="DB266" s="87">
        <f t="shared" si="2398"/>
        <v>-2.9443562836217736E-3</v>
      </c>
      <c r="DE266" s="141"/>
      <c r="DF266" s="86">
        <v>2.255251983606139E-2</v>
      </c>
    </row>
    <row r="267" spans="1:110" s="86" customFormat="1" x14ac:dyDescent="0.2">
      <c r="A267" s="86" t="s">
        <v>433</v>
      </c>
      <c r="B267" s="86">
        <f>B41/B17</f>
        <v>6.3438856412318417E-2</v>
      </c>
      <c r="C267" s="86">
        <f>C41/C17</f>
        <v>6.5147448296384469E-2</v>
      </c>
      <c r="D267" s="86">
        <f>D41/D17</f>
        <v>5.5688389788425378E-2</v>
      </c>
      <c r="F267" s="86">
        <f t="shared" ref="F267:AE267" si="2399">F41/F17</f>
        <v>3.70644726354789E-2</v>
      </c>
      <c r="G267" s="86">
        <f t="shared" si="2399"/>
        <v>3.8629875710192198E-2</v>
      </c>
      <c r="H267" s="86">
        <f t="shared" si="2399"/>
        <v>3.6846933498169823E-2</v>
      </c>
      <c r="I267" s="86">
        <f t="shared" si="2399"/>
        <v>3.085278286590094E-2</v>
      </c>
      <c r="J267" s="86">
        <f t="shared" si="2399"/>
        <v>2.8438788587707542E-2</v>
      </c>
      <c r="K267" s="86">
        <f t="shared" si="2399"/>
        <v>4.3094476888238226E-2</v>
      </c>
      <c r="L267" s="86">
        <f t="shared" si="2399"/>
        <v>3.638215594695323E-2</v>
      </c>
      <c r="M267" s="86">
        <f t="shared" si="2399"/>
        <v>3.3216630988686491E-2</v>
      </c>
      <c r="N267" s="86">
        <f t="shared" si="2399"/>
        <v>4.0161894650915554E-2</v>
      </c>
      <c r="O267" s="86">
        <f t="shared" si="2399"/>
        <v>3.8124885004704893E-2</v>
      </c>
      <c r="P267" s="86">
        <f t="shared" si="2399"/>
        <v>4.1189657318350677E-2</v>
      </c>
      <c r="Q267" s="86">
        <f t="shared" si="2399"/>
        <v>4.989988707909504E-2</v>
      </c>
      <c r="R267" s="86">
        <f t="shared" si="2399"/>
        <v>4.8312748243611772E-2</v>
      </c>
      <c r="S267" s="86">
        <f t="shared" si="2399"/>
        <v>4.6263108061908781E-2</v>
      </c>
      <c r="T267" s="86">
        <f t="shared" si="2399"/>
        <v>4.6564831803641286E-2</v>
      </c>
      <c r="U267" s="86">
        <f t="shared" si="2399"/>
        <v>5.8451836258038528E-2</v>
      </c>
      <c r="V267" s="86">
        <f t="shared" si="2399"/>
        <v>5.9009416056248376E-2</v>
      </c>
      <c r="W267" s="86">
        <f t="shared" si="2399"/>
        <v>3.7304889994501947E-2</v>
      </c>
      <c r="X267" s="86">
        <f t="shared" si="2399"/>
        <v>3.8360784094887142E-2</v>
      </c>
      <c r="Y267" s="86">
        <f t="shared" si="2399"/>
        <v>4.3121378737725639E-2</v>
      </c>
      <c r="Z267" s="86">
        <f t="shared" si="2399"/>
        <v>4.768559672898421E-2</v>
      </c>
      <c r="AA267" s="86">
        <f t="shared" ref="AA267" si="2400">AA41/AA17</f>
        <v>5.1496997888428854E-2</v>
      </c>
      <c r="AB267" s="87">
        <f t="shared" si="2399"/>
        <v>4.971460564815848E-2</v>
      </c>
      <c r="AC267" s="87">
        <f t="shared" si="2399"/>
        <v>5.0118370459390243E-2</v>
      </c>
      <c r="AD267" s="87">
        <f t="shared" si="2399"/>
        <v>4.3889691627182294E-2</v>
      </c>
      <c r="AE267" s="87">
        <f t="shared" si="2399"/>
        <v>3.744401889375254E-2</v>
      </c>
      <c r="AL267" s="86">
        <f t="shared" ref="AL267:CW267" si="2401">AL41/AL17</f>
        <v>4.2410968740106553E-2</v>
      </c>
      <c r="AM267" s="86">
        <f t="shared" si="2401"/>
        <v>4.2776375035475003E-2</v>
      </c>
      <c r="AN267" s="86">
        <f t="shared" si="2401"/>
        <v>3.940494841163393E-2</v>
      </c>
      <c r="AO267" s="86">
        <f t="shared" si="2401"/>
        <v>4.1433402058263569E-2</v>
      </c>
      <c r="AP267" s="86">
        <f t="shared" si="2401"/>
        <v>3.4690965057314678E-2</v>
      </c>
      <c r="AQ267" s="86">
        <f t="shared" si="2401"/>
        <v>4.2558296394371128E-2</v>
      </c>
      <c r="AR267" s="86">
        <f t="shared" si="2401"/>
        <v>3.9955994209705588E-2</v>
      </c>
      <c r="AS267" s="86">
        <f t="shared" si="2401"/>
        <v>4.3144532951488741E-2</v>
      </c>
      <c r="AT267" s="86">
        <f t="shared" si="2401"/>
        <v>4.4932926753198613E-2</v>
      </c>
      <c r="AU267" s="86">
        <f t="shared" si="2401"/>
        <v>4.770988348796075E-2</v>
      </c>
      <c r="AV267" s="86">
        <f t="shared" si="2401"/>
        <v>4.7945280318178345E-2</v>
      </c>
      <c r="AW267" s="86">
        <f t="shared" si="2401"/>
        <v>5.001030392103975E-2</v>
      </c>
      <c r="AX267" s="86">
        <f t="shared" si="2401"/>
        <v>5.0394772906765334E-2</v>
      </c>
      <c r="AY267" s="86">
        <f t="shared" si="2401"/>
        <v>4.7660229543204632E-2</v>
      </c>
      <c r="AZ267" s="86">
        <f t="shared" si="2401"/>
        <v>5.4090299837940392E-2</v>
      </c>
      <c r="BA267" s="86">
        <f t="shared" si="2401"/>
        <v>4.7510584953706657E-2</v>
      </c>
      <c r="BB267" s="86">
        <f t="shared" si="2401"/>
        <v>4.5014160927848795E-2</v>
      </c>
      <c r="BC267" s="86">
        <f t="shared" si="2401"/>
        <v>4.8465244130999154E-2</v>
      </c>
      <c r="BD267" s="86">
        <f t="shared" si="2401"/>
        <v>4.5381765849950129E-2</v>
      </c>
      <c r="BE267" s="86">
        <f t="shared" si="2401"/>
        <v>4.4102838554591496E-2</v>
      </c>
      <c r="BF267" s="86">
        <f t="shared" si="2401"/>
        <v>4.3371826070032218E-2</v>
      </c>
      <c r="BG267" s="86">
        <f t="shared" si="2401"/>
        <v>4.9234971014884735E-2</v>
      </c>
      <c r="BH267" s="86">
        <f t="shared" si="2401"/>
        <v>4.5175264003661869E-2</v>
      </c>
      <c r="BI267" s="86">
        <f t="shared" si="2401"/>
        <v>4.8031239093753321E-2</v>
      </c>
      <c r="BJ267" s="86">
        <f t="shared" si="2401"/>
        <v>4.4327413865687844E-2</v>
      </c>
      <c r="BK267" s="86">
        <f t="shared" si="2401"/>
        <v>5.7606299922302519E-2</v>
      </c>
      <c r="BL267" s="86">
        <f t="shared" si="2401"/>
        <v>6.1515628768524871E-2</v>
      </c>
      <c r="BM267" s="86">
        <f t="shared" si="2401"/>
        <v>5.6831269684105561E-2</v>
      </c>
      <c r="BN267" s="86">
        <f t="shared" si="2401"/>
        <v>6.3552625330573681E-2</v>
      </c>
      <c r="BO267" s="86">
        <f t="shared" si="2401"/>
        <v>8.5365690894273968E-2</v>
      </c>
      <c r="BP267" s="86">
        <f t="shared" si="2401"/>
        <v>5.9708617938291637E-2</v>
      </c>
      <c r="BQ267" s="86">
        <f t="shared" si="2401"/>
        <v>5.5836849272961786E-2</v>
      </c>
      <c r="BR267" s="86">
        <f t="shared" si="2401"/>
        <v>4.7821066326966075E-2</v>
      </c>
      <c r="BS267" s="86">
        <f t="shared" si="2401"/>
        <v>4.347743953429347E-2</v>
      </c>
      <c r="BT267" s="86">
        <f t="shared" si="2401"/>
        <v>3.7902943888871679E-2</v>
      </c>
      <c r="BU267" s="86">
        <f t="shared" si="2401"/>
        <v>3.6919631127791917E-2</v>
      </c>
      <c r="BV267" s="86">
        <f t="shared" si="2401"/>
        <v>3.2361176224512608E-2</v>
      </c>
      <c r="BW267" s="86">
        <f t="shared" si="2401"/>
        <v>3.5263874058471006E-2</v>
      </c>
      <c r="BX267" s="86">
        <f t="shared" si="2401"/>
        <v>3.9210374778380935E-2</v>
      </c>
      <c r="BY267" s="86">
        <f t="shared" si="2401"/>
        <v>4.1489703865701444E-2</v>
      </c>
      <c r="BZ267" s="86">
        <f t="shared" si="2401"/>
        <v>3.783595509258509E-2</v>
      </c>
      <c r="CA267" s="86">
        <f t="shared" si="2401"/>
        <v>4.0550240159382321E-2</v>
      </c>
      <c r="CB267" s="86">
        <f t="shared" si="2401"/>
        <v>4.4535992197109547E-2</v>
      </c>
      <c r="CC267" s="86">
        <f t="shared" si="2401"/>
        <v>4.3788784615529243E-2</v>
      </c>
      <c r="CD267" s="86">
        <f t="shared" si="2401"/>
        <v>4.3756478189237162E-2</v>
      </c>
      <c r="CE267" s="86">
        <f t="shared" si="2401"/>
        <v>4.6291138494020327E-2</v>
      </c>
      <c r="CF267" s="86">
        <f t="shared" si="2401"/>
        <v>4.8172784901356479E-2</v>
      </c>
      <c r="CG267" s="86">
        <f t="shared" si="2401"/>
        <v>4.7889495100497129E-2</v>
      </c>
      <c r="CH267" s="86">
        <f t="shared" si="2401"/>
        <v>4.8382451846922636E-2</v>
      </c>
      <c r="CI267" s="86">
        <f t="shared" si="2401"/>
        <v>5.1605810810912457E-2</v>
      </c>
      <c r="CJ267" s="86">
        <f t="shared" si="2401"/>
        <v>4.9293491197456983E-2</v>
      </c>
      <c r="CK267" s="86">
        <f t="shared" si="2401"/>
        <v>5.3485642709780637E-2</v>
      </c>
      <c r="CL267" s="86">
        <f t="shared" ref="CL267" si="2402">CL41/CL17</f>
        <v>5.1657867622525833E-2</v>
      </c>
      <c r="CM267" s="87">
        <f t="shared" si="2401"/>
        <v>5.7299799122260235E-2</v>
      </c>
      <c r="CN267" s="87">
        <f t="shared" si="2401"/>
        <v>5.2419220475892807E-2</v>
      </c>
      <c r="CO267" s="87">
        <f t="shared" si="2401"/>
        <v>4.7610428725981695E-2</v>
      </c>
      <c r="CP267" s="87">
        <f t="shared" si="2401"/>
        <v>4.3360528709855808E-2</v>
      </c>
      <c r="CQ267" s="87">
        <f t="shared" si="2401"/>
        <v>5.7254093031217028E-2</v>
      </c>
      <c r="CR267" s="87">
        <f t="shared" si="2401"/>
        <v>5.2585192090915521E-2</v>
      </c>
      <c r="CS267" s="87">
        <f t="shared" si="2401"/>
        <v>4.7680333176895622E-2</v>
      </c>
      <c r="CT267" s="87">
        <f t="shared" si="2401"/>
        <v>4.4517473364266855E-2</v>
      </c>
      <c r="CU267" s="87">
        <f t="shared" si="2401"/>
        <v>5.1000212497138903E-2</v>
      </c>
      <c r="CV267" s="87">
        <f t="shared" si="2401"/>
        <v>4.6329575047304297E-2</v>
      </c>
      <c r="CW267" s="87">
        <f t="shared" si="2401"/>
        <v>4.1509905611776025E-2</v>
      </c>
      <c r="CX267" s="87">
        <f t="shared" ref="CX267:DB267" si="2403">CX41/CX17</f>
        <v>3.8306917248038072E-2</v>
      </c>
      <c r="CY267" s="87">
        <f t="shared" si="2403"/>
        <v>4.3537874115286111E-2</v>
      </c>
      <c r="CZ267" s="87">
        <f t="shared" si="2403"/>
        <v>3.9529571260418811E-2</v>
      </c>
      <c r="DA267" s="87">
        <f t="shared" si="2403"/>
        <v>3.5403249282100688E-2</v>
      </c>
      <c r="DB267" s="87">
        <f t="shared" si="2403"/>
        <v>3.2670760958254087E-2</v>
      </c>
      <c r="DE267" s="141"/>
      <c r="DF267" s="86">
        <v>5.2592374167422136E-2</v>
      </c>
    </row>
    <row r="268" spans="1:110" s="85" customFormat="1" x14ac:dyDescent="0.2">
      <c r="AB268" s="58"/>
      <c r="AC268" s="58"/>
      <c r="AD268" s="58"/>
      <c r="AE268" s="58"/>
      <c r="CM268" s="72"/>
      <c r="CN268" s="72"/>
      <c r="CO268" s="72"/>
      <c r="CP268" s="72"/>
      <c r="CQ268" s="72"/>
      <c r="CR268" s="72"/>
      <c r="CS268" s="72"/>
      <c r="CT268" s="72"/>
      <c r="CU268" s="72"/>
      <c r="CV268" s="72"/>
      <c r="CW268" s="72"/>
      <c r="CX268" s="72"/>
      <c r="CY268" s="72"/>
      <c r="CZ268" s="72"/>
      <c r="DA268" s="72"/>
      <c r="DB268" s="72"/>
      <c r="DE268" s="143"/>
      <c r="DF268" s="193"/>
    </row>
  </sheetData>
  <sortState xmlns:xlrd2="http://schemas.microsoft.com/office/spreadsheetml/2017/richdata2" ref="A29:DE34">
    <sortCondition ref="A29:A34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100470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Tata Steel Ltd.</v>
      </c>
    </row>
    <row r="5" spans="1:74" x14ac:dyDescent="0.25">
      <c r="A5" t="s">
        <v>252</v>
      </c>
      <c r="B5" t="s">
        <v>275</v>
      </c>
      <c r="C5">
        <f>_xll.EQNXTDZ($A$1,$B5,C$1,$B$1)</f>
        <v>201206</v>
      </c>
      <c r="D5">
        <f>_xll.EQNXTDZ($A$1,$B5,D$1,$B$1)</f>
        <v>201209</v>
      </c>
      <c r="E5">
        <f>_xll.EQNXTDZ($A$1,$B5,E$1,$B$1)</f>
        <v>201212</v>
      </c>
      <c r="F5">
        <f>_xll.EQNXTDZ($A$1,$B5,F$1,$B$1)</f>
        <v>201303</v>
      </c>
      <c r="G5">
        <f>_xll.EQNXTDZ($A$1,$B5,G$1,$B$1)</f>
        <v>201306</v>
      </c>
      <c r="H5">
        <f>_xll.EQNXTDZ($A$1,$B5,H$1,$B$1)</f>
        <v>201309</v>
      </c>
      <c r="I5">
        <f>_xll.EQNXTDZ($A$1,$B5,I$1,$B$1)</f>
        <v>201312</v>
      </c>
      <c r="J5">
        <f>_xll.EQNXTDZ($A$1,$B5,J$1,$B$1)</f>
        <v>201403</v>
      </c>
      <c r="K5">
        <f>_xll.EQNXTDZ($A$1,$B5,K$1,$B$1)</f>
        <v>201406</v>
      </c>
      <c r="L5">
        <f>_xll.EQNXTDZ($A$1,$B5,L$1,$B$1)</f>
        <v>201409</v>
      </c>
      <c r="M5">
        <f>_xll.EQNXTDZ($A$1,$B5,M$1,$B$1)</f>
        <v>201412</v>
      </c>
      <c r="N5">
        <f>_xll.EQNXTDZ($A$1,$B5,N$1,$B$1)</f>
        <v>201503</v>
      </c>
      <c r="O5">
        <f>_xll.EQNXTDZ($A$1,$B5,O$1,$B$1)</f>
        <v>201506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33547.730000000003</v>
      </c>
      <c r="D6">
        <f>_xll.EQNXTDZ($A$1,$B6,D$1,$B$1)</f>
        <v>33867.32</v>
      </c>
      <c r="E6">
        <f>_xll.EQNXTDZ($A$1,$B6,E$1,$B$1)</f>
        <v>31821.5</v>
      </c>
      <c r="F6">
        <f>_xll.EQNXTDZ($A$1,$B6,F$1,$B$1)</f>
        <v>34219.46</v>
      </c>
      <c r="G6">
        <f>_xll.EQNXTDZ($A$1,$B6,G$1,$B$1)</f>
        <v>32558.61</v>
      </c>
      <c r="H6">
        <f>_xll.EQNXTDZ($A$1,$B6,H$1,$B$1)</f>
        <v>36361.24</v>
      </c>
      <c r="I6">
        <f>_xll.EQNXTDZ($A$1,$B6,I$1,$B$1)</f>
        <v>36409.800000000003</v>
      </c>
      <c r="J6">
        <f>_xll.EQNXTDZ($A$1,$B6,J$1,$B$1)</f>
        <v>42017.63</v>
      </c>
      <c r="K6">
        <f>_xll.EQNXTDZ($A$1,$B6,K$1,$B$1)</f>
        <v>36143.269999999997</v>
      </c>
      <c r="L6">
        <f>_xll.EQNXTDZ($A$1,$B6,L$1,$B$1)</f>
        <v>35507.71</v>
      </c>
      <c r="M6">
        <f>_xll.EQNXTDZ($A$1,$B6,M$1,$B$1)</f>
        <v>33327.61</v>
      </c>
      <c r="N6">
        <f>_xll.EQNXTDZ($A$1,$B6,N$1,$B$1)</f>
        <v>33336.81</v>
      </c>
      <c r="O6">
        <f>_xll.EQNXTDZ($A$1,$B6,O$1,$B$1)</f>
        <v>27761.66</v>
      </c>
      <c r="P6">
        <f>_xll.EQNXTDZ($A$1,$B6,P$1,$B$1)</f>
        <v>27339.37</v>
      </c>
      <c r="Q6">
        <f>_xll.EQNXTDZ($A$1,$B6,Q$1,$B$1)</f>
        <v>25662.36</v>
      </c>
      <c r="R6">
        <f>_xll.EQNXTDZ($A$1,$B6,R$1,$B$1)</f>
        <v>26899.75</v>
      </c>
      <c r="S6">
        <f>_xll.EQNXTDZ($A$1,$B6,S$1,$B$1)</f>
        <v>25896.94</v>
      </c>
      <c r="T6">
        <f>_xll.EQNXTDZ($A$1,$B6,T$1,$B$1)</f>
        <v>27040.55</v>
      </c>
      <c r="U6">
        <f>_xll.EQNXTDZ($A$1,$B6,U$1,$B$1)</f>
        <v>28912.1</v>
      </c>
      <c r="V6">
        <f>_xll.EQNXTDZ($A$1,$B6,V$1,$B$1)</f>
        <v>34832.980000000003</v>
      </c>
      <c r="W6">
        <f>_xll.EQNXTDZ($A$1,$B6,W$1,$B$1)</f>
        <v>30780.11</v>
      </c>
      <c r="X6">
        <f>_xll.EQNXTDZ($A$1,$B6,X$1,$B$1)</f>
        <v>32063.47</v>
      </c>
      <c r="Y6">
        <f>_xll.EQNXTDZ($A$1,$B6,Y$1,$B$1)</f>
        <v>33071.839999999997</v>
      </c>
      <c r="Z6">
        <f>_xll.EQNXTDZ($A$1,$B6,Z$1,$B$1)</f>
        <v>33278.22</v>
      </c>
      <c r="AA6">
        <f>_xll.EQNXTDZ($A$1,$B6,AA$1,$B$1)</f>
        <v>35106.07</v>
      </c>
      <c r="AB6">
        <f>_xll.EQNXTDZ($A$1,$B6,AB$1,$B$1)</f>
        <v>40313.03</v>
      </c>
      <c r="AC6">
        <f>_xll.EQNXTDZ($A$1,$B6,AC$1,$B$1)</f>
        <v>38086.29</v>
      </c>
      <c r="AD6">
        <f>_xll.EQNXTDZ($A$1,$B6,AD$1,$B$1)</f>
        <v>41186.44</v>
      </c>
      <c r="AE6">
        <f>_xll.EQNXTDZ($A$1,$B6,AE$1,$B$1)</f>
        <v>35382.160000000003</v>
      </c>
      <c r="AF6">
        <f>_xll.EQNXTDZ($A$1,$B6,AF$1,$B$1)</f>
        <v>33953.75</v>
      </c>
      <c r="AG6">
        <f>_xll.EQNXTDZ($A$1,$B6,AG$1,$B$1)</f>
        <v>34774.29</v>
      </c>
      <c r="AH6">
        <f>_xll.EQNXTDZ($A$1,$B6,AH$1,$B$1)</f>
        <v>35107.81</v>
      </c>
      <c r="AI6">
        <f>_xll.EQNXTDZ($A$1,$B6,AI$1,$B$1)</f>
        <v>24997</v>
      </c>
      <c r="AJ6">
        <f>_xll.EQNXTDZ($A$1,$B6,AJ$1,$B$1)</f>
        <v>38248.83</v>
      </c>
      <c r="AK6">
        <f>_xll.EQNXTDZ($A$1,$B6,AK$1,$B$1)</f>
        <v>41473.410000000003</v>
      </c>
      <c r="AL6">
        <f>_xll.EQNXTDZ($A$1,$B6,AL$1,$B$1)</f>
        <v>49499.33</v>
      </c>
      <c r="AM6">
        <f>_xll.EQNXTDZ($A$1,$B6,AM$1,$B$1)</f>
        <v>53142.22</v>
      </c>
      <c r="AN6">
        <f>_xll.EQNXTDZ($A$1,$B6,AN$1,$B$1)</f>
        <v>59949.33</v>
      </c>
      <c r="AO6">
        <f>_xll.EQNXTDZ($A$1,$B6,AO$1,$B$1)</f>
        <v>60524.72</v>
      </c>
      <c r="AP6">
        <f>_xll.EQNXTDZ($A$1,$B6,AP$1,$B$1)</f>
        <v>68710.600000000006</v>
      </c>
      <c r="AQ6">
        <f>_xll.EQNXTDZ($A$1,$B6,AQ$1,$B$1)</f>
        <v>63128.32</v>
      </c>
      <c r="AR6">
        <f>_xll.EQNXTDZ($A$1,$B6,AR$1,$B$1)</f>
        <v>59512.54</v>
      </c>
      <c r="AS6">
        <f>_xll.EQNXTDZ($A$1,$B6,AS$1,$B$1)</f>
        <v>56756.61</v>
      </c>
      <c r="AT6">
        <f>_xll.EQNXTDZ($A$1,$B6,AT$1,$B$1)</f>
        <v>62238.78</v>
      </c>
      <c r="AU6">
        <f>_xll.EQNXTDZ($A$1,$B6,AU$1,$B$1)</f>
        <v>59015.8</v>
      </c>
      <c r="AV6">
        <f>_xll.EQNXTDZ($A$1,$B6,AV$1,$B$1)</f>
        <v>55107.21</v>
      </c>
      <c r="AW6">
        <f>_xll.EQNXTDZ($A$1,$B6,AW$1,$B$1)</f>
        <v>54727.3</v>
      </c>
      <c r="AX6">
        <f>_xll.EQNXTDZ($A$1,$B6,AX$1,$B$1)</f>
        <v>58445.89</v>
      </c>
      <c r="AY6">
        <f>_xll.EQNXTDZ($A$1,$B6,AY$1,$B$1)</f>
        <v>54412.35</v>
      </c>
      <c r="AZ6">
        <f>_xll.EQNXTDZ($A$1,$B6,AZ$1,$B$1)</f>
        <v>53489.73</v>
      </c>
      <c r="BA6">
        <f>_xll.EQNXTDZ($A$1,$B6,BA$1,$B$1)</f>
        <v>53231.28</v>
      </c>
      <c r="BB6">
        <f>_xll.EQNXTDZ($A$1,$B6,BB$1,$B$1)</f>
        <v>55706.99</v>
      </c>
      <c r="BC6">
        <f>_xll.EQNXTDZ($A$1,$B6,BC$1,$B$1)</f>
        <v>52744.07</v>
      </c>
      <c r="BD6">
        <f>_xll.EQNXTDZ($A$1,$B6,BD$1,$B$1)</f>
        <v>58216.04</v>
      </c>
      <c r="BE6">
        <f>_xll.EQNXTDZ($A$1,$B6,BE$1,$B$1)</f>
        <v>56646.05</v>
      </c>
      <c r="BF6">
        <f>_xll.EQNXTDZ($A$1,$B6,BF$1,$B$1)</f>
        <v>62687.31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1087.5899999999999</v>
      </c>
      <c r="P7">
        <f>_xll.EQNXTDZ($A$1,$B7,P$1,$B$1)</f>
        <v>1070.99</v>
      </c>
      <c r="Q7">
        <f>_xll.EQNXTDZ($A$1,$B7,Q$1,$B$1)</f>
        <v>1100.42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273.47000000000003</v>
      </c>
      <c r="D8">
        <f>_xll.EQNXTDZ($A$1,$B8,D$1,$B$1)</f>
        <v>265.41000000000003</v>
      </c>
      <c r="E8">
        <f>_xll.EQNXTDZ($A$1,$B8,E$1,$B$1)</f>
        <v>285.64</v>
      </c>
      <c r="F8">
        <f>_xll.EQNXTDZ($A$1,$B8,F$1,$B$1)</f>
        <v>431.01</v>
      </c>
      <c r="G8">
        <f>_xll.EQNXTDZ($A$1,$B8,G$1,$B$1)</f>
        <v>246.18</v>
      </c>
      <c r="H8">
        <f>_xll.EQNXTDZ($A$1,$B8,H$1,$B$1)</f>
        <v>283.64999999999998</v>
      </c>
      <c r="I8">
        <f>_xll.EQNXTDZ($A$1,$B8,I$1,$B$1)</f>
        <v>326.02</v>
      </c>
      <c r="J8">
        <f>_xll.EQNXTDZ($A$1,$B8,J$1,$B$1)</f>
        <v>410.42</v>
      </c>
      <c r="K8">
        <f>_xll.EQNXTDZ($A$1,$B8,K$1,$B$1)</f>
        <v>283.94</v>
      </c>
      <c r="L8">
        <f>_xll.EQNXTDZ($A$1,$B8,L$1,$B$1)</f>
        <v>269.39999999999998</v>
      </c>
      <c r="M8">
        <f>_xll.EQNXTDZ($A$1,$B8,M$1,$B$1)</f>
        <v>305.62</v>
      </c>
      <c r="N8">
        <f>_xll.EQNXTDZ($A$1,$B8,N$1,$B$1)</f>
        <v>329.37</v>
      </c>
      <c r="O8">
        <f>_xll.EQNXTDZ($A$1,$B8,O$1,$B$1)</f>
        <v>263.77</v>
      </c>
      <c r="P8">
        <f>_xll.EQNXTDZ($A$1,$B8,P$1,$B$1)</f>
        <v>116.93</v>
      </c>
      <c r="Q8">
        <f>_xll.EQNXTDZ($A$1,$B8,Q$1,$B$1)</f>
        <v>104.53</v>
      </c>
      <c r="R8">
        <f>_xll.EQNXTDZ($A$1,$B8,R$1,$B$1)</f>
        <v>171.51</v>
      </c>
      <c r="S8">
        <f>_xll.EQNXTDZ($A$1,$B8,S$1,$B$1)</f>
        <v>73.77</v>
      </c>
      <c r="T8">
        <f>_xll.EQNXTDZ($A$1,$B8,T$1,$B$1)</f>
        <v>79.099999999999994</v>
      </c>
      <c r="U8">
        <f>_xll.EQNXTDZ($A$1,$B8,U$1,$B$1)</f>
        <v>112.59</v>
      </c>
      <c r="V8">
        <f>_xll.EQNXTDZ($A$1,$B8,V$1,$B$1)</f>
        <v>471.91</v>
      </c>
      <c r="W8">
        <f>_xll.EQNXTDZ($A$1,$B8,W$1,$B$1)</f>
        <v>193.22</v>
      </c>
      <c r="X8">
        <f>_xll.EQNXTDZ($A$1,$B8,X$1,$B$1)</f>
        <v>400.67</v>
      </c>
      <c r="Y8">
        <f>_xll.EQNXTDZ($A$1,$B8,Y$1,$B$1)</f>
        <v>374.76</v>
      </c>
      <c r="Z8">
        <f>_xll.EQNXTDZ($A$1,$B8,Z$1,$B$1)</f>
        <v>426.84</v>
      </c>
      <c r="AA8">
        <f>_xll.EQNXTDZ($A$1,$B8,AA$1,$B$1)</f>
        <v>388.01</v>
      </c>
      <c r="AB8">
        <f>_xll.EQNXTDZ($A$1,$B8,AB$1,$B$1)</f>
        <v>584.13</v>
      </c>
      <c r="AC8">
        <f>_xll.EQNXTDZ($A$1,$B8,AC$1,$B$1)</f>
        <v>767.59</v>
      </c>
      <c r="AD8">
        <f>_xll.EQNXTDZ($A$1,$B8,AD$1,$B$1)</f>
        <v>1237.42</v>
      </c>
      <c r="AE8">
        <f>_xll.EQNXTDZ($A$1,$B8,AE$1,$B$1)</f>
        <v>564.95000000000005</v>
      </c>
      <c r="AF8">
        <f>_xll.EQNXTDZ($A$1,$B8,AF$1,$B$1)</f>
        <v>625.42999999999995</v>
      </c>
      <c r="AG8">
        <f>_xll.EQNXTDZ($A$1,$B8,AG$1,$B$1)</f>
        <v>746.12</v>
      </c>
      <c r="AH8">
        <f>_xll.EQNXTDZ($A$1,$B8,AH$1,$B$1)</f>
        <v>901.56</v>
      </c>
      <c r="AI8">
        <f>_xll.EQNXTDZ($A$1,$B8,AI$1,$B$1)</f>
        <v>477.52</v>
      </c>
      <c r="AJ8">
        <f>_xll.EQNXTDZ($A$1,$B8,AJ$1,$B$1)</f>
        <v>691.11</v>
      </c>
      <c r="AK8">
        <f>_xll.EQNXTDZ($A$1,$B8,AK$1,$B$1)</f>
        <v>461.8</v>
      </c>
      <c r="AL8">
        <f>_xll.EQNXTDZ($A$1,$B8,AL$1,$B$1)</f>
        <v>529.04</v>
      </c>
      <c r="AM8">
        <f>_xll.EQNXTDZ($A$1,$B8,AM$1,$B$1)</f>
        <v>323.20999999999998</v>
      </c>
      <c r="AN8">
        <f>_xll.EQNXTDZ($A$1,$B8,AN$1,$B$1)</f>
        <v>437.8</v>
      </c>
      <c r="AO8">
        <f>_xll.EQNXTDZ($A$1,$B8,AO$1,$B$1)</f>
        <v>258.39</v>
      </c>
      <c r="AP8">
        <f>_xll.EQNXTDZ($A$1,$B8,AP$1,$B$1)</f>
        <v>612.9</v>
      </c>
      <c r="AQ8">
        <f>_xll.EQNXTDZ($A$1,$B8,AQ$1,$B$1)</f>
        <v>301.75</v>
      </c>
      <c r="AR8">
        <f>_xll.EQNXTDZ($A$1,$B8,AR$1,$B$1)</f>
        <v>364.98</v>
      </c>
      <c r="AS8">
        <f>_xll.EQNXTDZ($A$1,$B8,AS$1,$B$1)</f>
        <v>326.95</v>
      </c>
      <c r="AT8">
        <f>_xll.EQNXTDZ($A$1,$B8,AT$1,$B$1)</f>
        <v>722.76</v>
      </c>
      <c r="AU8">
        <f>_xll.EQNXTDZ($A$1,$B8,AU$1,$B$1)</f>
        <v>473.86</v>
      </c>
      <c r="AV8">
        <f>_xll.EQNXTDZ($A$1,$B8,AV$1,$B$1)</f>
        <v>574.72</v>
      </c>
      <c r="AW8">
        <f>_xll.EQNXTDZ($A$1,$B8,AW$1,$B$1)</f>
        <v>584.58000000000004</v>
      </c>
      <c r="AX8">
        <f>_xll.EQNXTDZ($A$1,$B8,AX$1,$B$1)</f>
        <v>241.42</v>
      </c>
      <c r="AY8">
        <f>_xll.EQNXTDZ($A$1,$B8,AY$1,$B$1)</f>
        <v>359.04</v>
      </c>
      <c r="AZ8">
        <f>_xll.EQNXTDZ($A$1,$B8,AZ$1,$B$1)</f>
        <v>414.98</v>
      </c>
      <c r="BA8">
        <f>_xll.EQNXTDZ($A$1,$B8,BA$1,$B$1)</f>
        <v>417.02</v>
      </c>
      <c r="BB8">
        <f>_xll.EQNXTDZ($A$1,$B8,BB$1,$B$1)</f>
        <v>511.12</v>
      </c>
      <c r="BC8">
        <f>_xll.EQNXTDZ($A$1,$B8,BC$1,$B$1)</f>
        <v>434.05</v>
      </c>
      <c r="BD8">
        <f>_xll.EQNXTDZ($A$1,$B8,BD$1,$B$1)</f>
        <v>473.25</v>
      </c>
      <c r="BE8">
        <f>_xll.EQNXTDZ($A$1,$B8,BE$1,$B$1)</f>
        <v>356.35</v>
      </c>
      <c r="BF8">
        <f>_xll.EQNXTDZ($A$1,$B8,BF$1,$B$1)</f>
        <v>582.82000000000005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33821.199999999997</v>
      </c>
      <c r="D9">
        <f>_xll.EQNXTDZ($A$1,$B9,D$1,$B$1)</f>
        <v>34132.730000000003</v>
      </c>
      <c r="E9">
        <f>_xll.EQNXTDZ($A$1,$B9,E$1,$B$1)</f>
        <v>32107.14</v>
      </c>
      <c r="F9">
        <f>_xll.EQNXTDZ($A$1,$B9,F$1,$B$1)</f>
        <v>34650.47</v>
      </c>
      <c r="G9">
        <f>_xll.EQNXTDZ($A$1,$B9,G$1,$B$1)</f>
        <v>32804.79</v>
      </c>
      <c r="H9">
        <f>_xll.EQNXTDZ($A$1,$B9,H$1,$B$1)</f>
        <v>36644.89</v>
      </c>
      <c r="I9">
        <f>_xll.EQNXTDZ($A$1,$B9,I$1,$B$1)</f>
        <v>36735.82</v>
      </c>
      <c r="J9">
        <f>_xll.EQNXTDZ($A$1,$B9,J$1,$B$1)</f>
        <v>42428.05</v>
      </c>
      <c r="K9">
        <f>_xll.EQNXTDZ($A$1,$B9,K$1,$B$1)</f>
        <v>36427.21</v>
      </c>
      <c r="L9">
        <f>_xll.EQNXTDZ($A$1,$B9,L$1,$B$1)</f>
        <v>35777.11</v>
      </c>
      <c r="M9">
        <f>_xll.EQNXTDZ($A$1,$B9,M$1,$B$1)</f>
        <v>33633.230000000003</v>
      </c>
      <c r="N9">
        <f>_xll.EQNXTDZ($A$1,$B9,N$1,$B$1)</f>
        <v>33666.18</v>
      </c>
      <c r="O9">
        <f>_xll.EQNXTDZ($A$1,$B9,O$1,$B$1)</f>
        <v>26937.84</v>
      </c>
      <c r="P9">
        <f>_xll.EQNXTDZ($A$1,$B9,P$1,$B$1)</f>
        <v>26385.31</v>
      </c>
      <c r="Q9">
        <f>_xll.EQNXTDZ($A$1,$B9,Q$1,$B$1)</f>
        <v>24666.47</v>
      </c>
      <c r="R9">
        <f>_xll.EQNXTDZ($A$1,$B9,R$1,$B$1)</f>
        <v>27071.26</v>
      </c>
      <c r="S9">
        <f>_xll.EQNXTDZ($A$1,$B9,S$1,$B$1)</f>
        <v>25970.71</v>
      </c>
      <c r="T9">
        <f>_xll.EQNXTDZ($A$1,$B9,T$1,$B$1)</f>
        <v>27119.65</v>
      </c>
      <c r="U9">
        <f>_xll.EQNXTDZ($A$1,$B9,U$1,$B$1)</f>
        <v>29024.69</v>
      </c>
      <c r="V9">
        <f>_xll.EQNXTDZ($A$1,$B9,V$1,$B$1)</f>
        <v>35304.89</v>
      </c>
      <c r="W9">
        <f>_xll.EQNXTDZ($A$1,$B9,W$1,$B$1)</f>
        <v>30973.33</v>
      </c>
      <c r="X9">
        <f>_xll.EQNXTDZ($A$1,$B9,X$1,$B$1)</f>
        <v>32464.14</v>
      </c>
      <c r="Y9">
        <f>_xll.EQNXTDZ($A$1,$B9,Y$1,$B$1)</f>
        <v>33446.6</v>
      </c>
      <c r="Z9">
        <f>_xll.EQNXTDZ($A$1,$B9,Z$1,$B$1)</f>
        <v>33705.06</v>
      </c>
      <c r="AA9">
        <f>_xll.EQNXTDZ($A$1,$B9,AA$1,$B$1)</f>
        <v>35494.080000000002</v>
      </c>
      <c r="AB9">
        <f>_xll.EQNXTDZ($A$1,$B9,AB$1,$B$1)</f>
        <v>40897.160000000003</v>
      </c>
      <c r="AC9">
        <f>_xll.EQNXTDZ($A$1,$B9,AC$1,$B$1)</f>
        <v>38853.879999999997</v>
      </c>
      <c r="AD9">
        <f>_xll.EQNXTDZ($A$1,$B9,AD$1,$B$1)</f>
        <v>42423.86</v>
      </c>
      <c r="AE9">
        <f>_xll.EQNXTDZ($A$1,$B9,AE$1,$B$1)</f>
        <v>35947.11</v>
      </c>
      <c r="AF9">
        <f>_xll.EQNXTDZ($A$1,$B9,AF$1,$B$1)</f>
        <v>34579.18</v>
      </c>
      <c r="AG9">
        <f>_xll.EQNXTDZ($A$1,$B9,AG$1,$B$1)</f>
        <v>35520.410000000003</v>
      </c>
      <c r="AH9">
        <f>_xll.EQNXTDZ($A$1,$B9,AH$1,$B$1)</f>
        <v>36009.370000000003</v>
      </c>
      <c r="AI9">
        <f>_xll.EQNXTDZ($A$1,$B9,AI$1,$B$1)</f>
        <v>25474.52</v>
      </c>
      <c r="AJ9">
        <f>_xll.EQNXTDZ($A$1,$B9,AJ$1,$B$1)</f>
        <v>38939.94</v>
      </c>
      <c r="AK9">
        <f>_xll.EQNXTDZ($A$1,$B9,AK$1,$B$1)</f>
        <v>41935.21</v>
      </c>
      <c r="AL9">
        <f>_xll.EQNXTDZ($A$1,$B9,AL$1,$B$1)</f>
        <v>50028.37</v>
      </c>
      <c r="AM9">
        <f>_xll.EQNXTDZ($A$1,$B9,AM$1,$B$1)</f>
        <v>53465.43</v>
      </c>
      <c r="AN9">
        <f>_xll.EQNXTDZ($A$1,$B9,AN$1,$B$1)</f>
        <v>60387.13</v>
      </c>
      <c r="AO9">
        <f>_xll.EQNXTDZ($A$1,$B9,AO$1,$B$1)</f>
        <v>60783.11</v>
      </c>
      <c r="AP9">
        <f>_xll.EQNXTDZ($A$1,$B9,AP$1,$B$1)</f>
        <v>69323.5</v>
      </c>
      <c r="AQ9">
        <f>_xll.EQNXTDZ($A$1,$B9,AQ$1,$B$1)</f>
        <v>63430.07</v>
      </c>
      <c r="AR9">
        <f>_xll.EQNXTDZ($A$1,$B9,AR$1,$B$1)</f>
        <v>59877.52</v>
      </c>
      <c r="AS9">
        <f>_xll.EQNXTDZ($A$1,$B9,AS$1,$B$1)</f>
        <v>57083.56</v>
      </c>
      <c r="AT9">
        <f>_xll.EQNXTDZ($A$1,$B9,AT$1,$B$1)</f>
        <v>62961.54</v>
      </c>
      <c r="AU9">
        <f>_xll.EQNXTDZ($A$1,$B9,AU$1,$B$1)</f>
        <v>59489.66</v>
      </c>
      <c r="AV9">
        <f>_xll.EQNXTDZ($A$1,$B9,AV$1,$B$1)</f>
        <v>55681.93</v>
      </c>
      <c r="AW9">
        <f>_xll.EQNXTDZ($A$1,$B9,AW$1,$B$1)</f>
        <v>55311.88</v>
      </c>
      <c r="AX9">
        <f>_xll.EQNXTDZ($A$1,$B9,AX$1,$B$1)</f>
        <v>58687.31</v>
      </c>
      <c r="AY9">
        <f>_xll.EQNXTDZ($A$1,$B9,AY$1,$B$1)</f>
        <v>54771.39</v>
      </c>
      <c r="AZ9">
        <f>_xll.EQNXTDZ($A$1,$B9,AZ$1,$B$1)</f>
        <v>53904.71</v>
      </c>
      <c r="BA9">
        <f>_xll.EQNXTDZ($A$1,$B9,BA$1,$B$1)</f>
        <v>53648.3</v>
      </c>
      <c r="BB9">
        <f>_xll.EQNXTDZ($A$1,$B9,BB$1,$B$1)</f>
        <v>56218.11</v>
      </c>
      <c r="BC9">
        <f>_xll.EQNXTDZ($A$1,$B9,BC$1,$B$1)</f>
        <v>53178.12</v>
      </c>
      <c r="BD9">
        <f>_xll.EQNXTDZ($A$1,$B9,BD$1,$B$1)</f>
        <v>58689.29</v>
      </c>
      <c r="BE9">
        <f>_xll.EQNXTDZ($A$1,$B9,BE$1,$B$1)</f>
        <v>57002.400000000001</v>
      </c>
      <c r="BF9">
        <f>_xll.EQNXTDZ($A$1,$B9,BF$1,$B$1)</f>
        <v>63270.13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-2673.01</v>
      </c>
      <c r="D10">
        <f>_xll.EQNXTDZ($A$1,$B10,D$1,$B$1)</f>
        <v>1265.01</v>
      </c>
      <c r="E10">
        <f>_xll.EQNXTDZ($A$1,$B10,E$1,$B$1)</f>
        <v>202.63</v>
      </c>
      <c r="F10">
        <f>_xll.EQNXTDZ($A$1,$B10,F$1,$B$1)</f>
        <v>2624.29</v>
      </c>
      <c r="G10">
        <f>_xll.EQNXTDZ($A$1,$B10,G$1,$B$1)</f>
        <v>-1466.03</v>
      </c>
      <c r="H10">
        <f>_xll.EQNXTDZ($A$1,$B10,H$1,$B$1)</f>
        <v>184.54</v>
      </c>
      <c r="I10">
        <f>_xll.EQNXTDZ($A$1,$B10,I$1,$B$1)</f>
        <v>-1508.37</v>
      </c>
      <c r="J10">
        <f>_xll.EQNXTDZ($A$1,$B10,J$1,$B$1)</f>
        <v>2275.19</v>
      </c>
      <c r="K10">
        <f>_xll.EQNXTDZ($A$1,$B10,K$1,$B$1)</f>
        <v>-592.64</v>
      </c>
      <c r="L10">
        <f>_xll.EQNXTDZ($A$1,$B10,L$1,$B$1)</f>
        <v>33.380000000000003</v>
      </c>
      <c r="M10">
        <f>_xll.EQNXTDZ($A$1,$B10,M$1,$B$1)</f>
        <v>-511.91</v>
      </c>
      <c r="N10">
        <f>_xll.EQNXTDZ($A$1,$B10,N$1,$B$1)</f>
        <v>2193.35</v>
      </c>
      <c r="O10">
        <f>_xll.EQNXTDZ($A$1,$B10,O$1,$B$1)</f>
        <v>-743.96</v>
      </c>
      <c r="P10">
        <f>_xll.EQNXTDZ($A$1,$B10,P$1,$B$1)</f>
        <v>265.25</v>
      </c>
      <c r="Q10">
        <f>_xll.EQNXTDZ($A$1,$B10,Q$1,$B$1)</f>
        <v>911.86</v>
      </c>
      <c r="R10">
        <f>_xll.EQNXTDZ($A$1,$B10,R$1,$B$1)</f>
        <v>1773.33</v>
      </c>
      <c r="S10">
        <f>_xll.EQNXTDZ($A$1,$B10,S$1,$B$1)</f>
        <v>-1593.61</v>
      </c>
      <c r="T10">
        <f>_xll.EQNXTDZ($A$1,$B10,T$1,$B$1)</f>
        <v>-1083.25</v>
      </c>
      <c r="U10">
        <f>_xll.EQNXTDZ($A$1,$B10,U$1,$B$1)</f>
        <v>-1565.96</v>
      </c>
      <c r="V10">
        <f>_xll.EQNXTDZ($A$1,$B10,V$1,$B$1)</f>
        <v>-295.31</v>
      </c>
      <c r="W10">
        <f>_xll.EQNXTDZ($A$1,$B10,W$1,$B$1)</f>
        <v>-1967.28</v>
      </c>
      <c r="X10">
        <f>_xll.EQNXTDZ($A$1,$B10,X$1,$B$1)</f>
        <v>1308.42</v>
      </c>
      <c r="Y10">
        <f>_xll.EQNXTDZ($A$1,$B10,Y$1,$B$1)</f>
        <v>148</v>
      </c>
      <c r="Z10">
        <f>_xll.EQNXTDZ($A$1,$B10,Z$1,$B$1)</f>
        <v>467.64</v>
      </c>
      <c r="AA10">
        <f>_xll.EQNXTDZ($A$1,$B10,AA$1,$B$1)</f>
        <v>-1422.38</v>
      </c>
      <c r="AB10">
        <f>_xll.EQNXTDZ($A$1,$B10,AB$1,$B$1)</f>
        <v>-176.52</v>
      </c>
      <c r="AC10">
        <f>_xll.EQNXTDZ($A$1,$B10,AC$1,$B$1)</f>
        <v>-528.94000000000005</v>
      </c>
      <c r="AD10">
        <f>_xll.EQNXTDZ($A$1,$B10,AD$1,$B$1)</f>
        <v>2031.13</v>
      </c>
      <c r="AE10">
        <f>_xll.EQNXTDZ($A$1,$B10,AE$1,$B$1)</f>
        <v>-2364.54</v>
      </c>
      <c r="AF10">
        <f>_xll.EQNXTDZ($A$1,$B10,AF$1,$B$1)</f>
        <v>-16.32</v>
      </c>
      <c r="AG10">
        <f>_xll.EQNXTDZ($A$1,$B10,AG$1,$B$1)</f>
        <v>3356.09</v>
      </c>
      <c r="AH10">
        <f>_xll.EQNXTDZ($A$1,$B10,AH$1,$B$1)</f>
        <v>-1518.86</v>
      </c>
      <c r="AI10">
        <f>_xll.EQNXTDZ($A$1,$B10,AI$1,$B$1)</f>
        <v>703.33</v>
      </c>
      <c r="AJ10">
        <f>_xll.EQNXTDZ($A$1,$B10,AJ$1,$B$1)</f>
        <v>3297.4</v>
      </c>
      <c r="AK10">
        <f>_xll.EQNXTDZ($A$1,$B10,AK$1,$B$1)</f>
        <v>-841.85</v>
      </c>
      <c r="AL10">
        <f>_xll.EQNXTDZ($A$1,$B10,AL$1,$B$1)</f>
        <v>-1642.11</v>
      </c>
      <c r="AM10">
        <f>_xll.EQNXTDZ($A$1,$B10,AM$1,$B$1)</f>
        <v>-3291.86</v>
      </c>
      <c r="AN10">
        <f>_xll.EQNXTDZ($A$1,$B10,AN$1,$B$1)</f>
        <v>-3103.18</v>
      </c>
      <c r="AO10">
        <f>_xll.EQNXTDZ($A$1,$B10,AO$1,$B$1)</f>
        <v>-3960.26</v>
      </c>
      <c r="AP10">
        <f>_xll.EQNXTDZ($A$1,$B10,AP$1,$B$1)</f>
        <v>2757.43</v>
      </c>
      <c r="AQ10">
        <f>_xll.EQNXTDZ($A$1,$B10,AQ$1,$B$1)</f>
        <v>-8098.74</v>
      </c>
      <c r="AR10">
        <f>_xll.EQNXTDZ($A$1,$B10,AR$1,$B$1)</f>
        <v>280.58999999999997</v>
      </c>
      <c r="AS10">
        <f>_xll.EQNXTDZ($A$1,$B10,AS$1,$B$1)</f>
        <v>1791.28</v>
      </c>
      <c r="AT10">
        <f>_xll.EQNXTDZ($A$1,$B10,AT$1,$B$1)</f>
        <v>2667.98</v>
      </c>
      <c r="AU10">
        <f>_xll.EQNXTDZ($A$1,$B10,AU$1,$B$1)</f>
        <v>1514.62</v>
      </c>
      <c r="AV10">
        <f>_xll.EQNXTDZ($A$1,$B10,AV$1,$B$1)</f>
        <v>756.14</v>
      </c>
      <c r="AW10">
        <f>_xll.EQNXTDZ($A$1,$B10,AW$1,$B$1)</f>
        <v>320.7</v>
      </c>
      <c r="AX10">
        <f>_xll.EQNXTDZ($A$1,$B10,AX$1,$B$1)</f>
        <v>1817.89</v>
      </c>
      <c r="AY10">
        <f>_xll.EQNXTDZ($A$1,$B10,AY$1,$B$1)</f>
        <v>-2570.0700000000002</v>
      </c>
      <c r="AZ10">
        <f>_xll.EQNXTDZ($A$1,$B10,AZ$1,$B$1)</f>
        <v>-746.59</v>
      </c>
      <c r="BA10">
        <f>_xll.EQNXTDZ($A$1,$B10,BA$1,$B$1)</f>
        <v>501.45</v>
      </c>
      <c r="BB10">
        <f>_xll.EQNXTDZ($A$1,$B10,BB$1,$B$1)</f>
        <v>2718.56</v>
      </c>
      <c r="BC10">
        <f>_xll.EQNXTDZ($A$1,$B10,BC$1,$B$1)</f>
        <v>-1397.85</v>
      </c>
      <c r="BD10">
        <f>_xll.EQNXTDZ($A$1,$B10,BD$1,$B$1)</f>
        <v>979.14</v>
      </c>
      <c r="BE10">
        <f>_xll.EQNXTDZ($A$1,$B10,BE$1,$B$1)</f>
        <v>-545.02</v>
      </c>
      <c r="BF10">
        <f>_xll.EQNXTDZ($A$1,$B10,BF$1,$B$1)</f>
        <v>1953.35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11584.64</v>
      </c>
      <c r="D11">
        <f>_xll.EQNXTDZ($A$1,$B11,D$1,$B$1)</f>
        <v>10534.88</v>
      </c>
      <c r="E11">
        <f>_xll.EQNXTDZ($A$1,$B11,E$1,$B$1)</f>
        <v>9769.2199999999993</v>
      </c>
      <c r="F11">
        <f>_xll.EQNXTDZ($A$1,$B11,F$1,$B$1)</f>
        <v>8754.7199999999993</v>
      </c>
      <c r="G11">
        <f>_xll.EQNXTDZ($A$1,$B11,G$1,$B$1)</f>
        <v>10440.58</v>
      </c>
      <c r="H11">
        <f>_xll.EQNXTDZ($A$1,$B11,H$1,$B$1)</f>
        <v>11567</v>
      </c>
      <c r="I11">
        <f>_xll.EQNXTDZ($A$1,$B11,I$1,$B$1)</f>
        <v>11632.73</v>
      </c>
      <c r="J11">
        <f>_xll.EQNXTDZ($A$1,$B11,J$1,$B$1)</f>
        <v>12602.67</v>
      </c>
      <c r="K11">
        <f>_xll.EQNXTDZ($A$1,$B11,K$1,$B$1)</f>
        <v>11010.12</v>
      </c>
      <c r="L11">
        <f>_xll.EQNXTDZ($A$1,$B11,L$1,$B$1)</f>
        <v>10395.719999999999</v>
      </c>
      <c r="M11">
        <f>_xll.EQNXTDZ($A$1,$B11,M$1,$B$1)</f>
        <v>10553.44</v>
      </c>
      <c r="N11">
        <f>_xll.EQNXTDZ($A$1,$B11,N$1,$B$1)</f>
        <v>8781.76</v>
      </c>
      <c r="O11">
        <f>_xll.EQNXTDZ($A$1,$B11,O$1,$B$1)</f>
        <v>7763.78</v>
      </c>
      <c r="P11">
        <f>_xll.EQNXTDZ($A$1,$B11,P$1,$B$1)</f>
        <v>8045.45</v>
      </c>
      <c r="Q11">
        <f>_xll.EQNXTDZ($A$1,$B11,Q$1,$B$1)</f>
        <v>6770.33</v>
      </c>
      <c r="R11">
        <f>_xll.EQNXTDZ($A$1,$B11,R$1,$B$1)</f>
        <v>6367.2</v>
      </c>
      <c r="S11">
        <f>_xll.EQNXTDZ($A$1,$B11,S$1,$B$1)</f>
        <v>6815.11</v>
      </c>
      <c r="T11">
        <f>_xll.EQNXTDZ($A$1,$B11,T$1,$B$1)</f>
        <v>7634.04</v>
      </c>
      <c r="U11">
        <f>_xll.EQNXTDZ($A$1,$B11,U$1,$B$1)</f>
        <v>8011.3</v>
      </c>
      <c r="V11">
        <f>_xll.EQNXTDZ($A$1,$B11,V$1,$B$1)</f>
        <v>9957.64</v>
      </c>
      <c r="W11">
        <f>_xll.EQNXTDZ($A$1,$B11,W$1,$B$1)</f>
        <v>10279.43</v>
      </c>
      <c r="X11">
        <f>_xll.EQNXTDZ($A$1,$B11,X$1,$B$1)</f>
        <v>10354.59</v>
      </c>
      <c r="Y11">
        <f>_xll.EQNXTDZ($A$1,$B11,Y$1,$B$1)</f>
        <v>10201.64</v>
      </c>
      <c r="Z11">
        <f>_xll.EQNXTDZ($A$1,$B11,Z$1,$B$1)</f>
        <v>10248.18</v>
      </c>
      <c r="AA11">
        <f>_xll.EQNXTDZ($A$1,$B11,AA$1,$B$1)</f>
        <v>12430.08</v>
      </c>
      <c r="AB11">
        <f>_xll.EQNXTDZ($A$1,$B11,AB$1,$B$1)</f>
        <v>13930.57</v>
      </c>
      <c r="AC11">
        <f>_xll.EQNXTDZ($A$1,$B11,AC$1,$B$1)</f>
        <v>13707.11</v>
      </c>
      <c r="AD11">
        <f>_xll.EQNXTDZ($A$1,$B11,AD$1,$B$1)</f>
        <v>14241.31</v>
      </c>
      <c r="AE11">
        <f>_xll.EQNXTDZ($A$1,$B11,AE$1,$B$1)</f>
        <v>14491.23</v>
      </c>
      <c r="AF11">
        <f>_xll.EQNXTDZ($A$1,$B11,AF$1,$B$1)</f>
        <v>13676.17</v>
      </c>
      <c r="AG11">
        <f>_xll.EQNXTDZ($A$1,$B11,AG$1,$B$1)</f>
        <v>12850.01</v>
      </c>
      <c r="AH11">
        <f>_xll.EQNXTDZ($A$1,$B11,AH$1,$B$1)</f>
        <v>12309.12</v>
      </c>
      <c r="AI11">
        <f>_xll.EQNXTDZ($A$1,$B11,AI$1,$B$1)</f>
        <v>9095.9500000000007</v>
      </c>
      <c r="AJ11">
        <f>_xll.EQNXTDZ($A$1,$B11,AJ$1,$B$1)</f>
        <v>11319.01</v>
      </c>
      <c r="AK11">
        <f>_xll.EQNXTDZ($A$1,$B11,AK$1,$B$1)</f>
        <v>12243.98</v>
      </c>
      <c r="AL11">
        <f>_xll.EQNXTDZ($A$1,$B11,AL$1,$B$1)</f>
        <v>12927.23</v>
      </c>
      <c r="AM11">
        <f>_xll.EQNXTDZ($A$1,$B11,AM$1,$B$1)</f>
        <v>16034.08</v>
      </c>
      <c r="AN11">
        <f>_xll.EQNXTDZ($A$1,$B11,AN$1,$B$1)</f>
        <v>17762.12</v>
      </c>
      <c r="AO11">
        <f>_xll.EQNXTDZ($A$1,$B11,AO$1,$B$1)</f>
        <v>20546.54</v>
      </c>
      <c r="AP11">
        <f>_xll.EQNXTDZ($A$1,$B11,AP$1,$B$1)</f>
        <v>21420.959999999999</v>
      </c>
      <c r="AQ11">
        <f>_xll.EQNXTDZ($A$1,$B11,AQ$1,$B$1)</f>
        <v>26319.86</v>
      </c>
      <c r="AR11">
        <f>_xll.EQNXTDZ($A$1,$B11,AR$1,$B$1)</f>
        <v>27788.5</v>
      </c>
      <c r="AS11">
        <f>_xll.EQNXTDZ($A$1,$B11,AS$1,$B$1)</f>
        <v>24695.38</v>
      </c>
      <c r="AT11">
        <f>_xll.EQNXTDZ($A$1,$B11,AT$1,$B$1)</f>
        <v>22679.34</v>
      </c>
      <c r="AU11">
        <f>_xll.EQNXTDZ($A$1,$B11,AU$1,$B$1)</f>
        <v>22267.94</v>
      </c>
      <c r="AV11">
        <f>_xll.EQNXTDZ($A$1,$B11,AV$1,$B$1)</f>
        <v>20473.43</v>
      </c>
      <c r="AW11">
        <f>_xll.EQNXTDZ($A$1,$B11,AW$1,$B$1)</f>
        <v>19114.599999999999</v>
      </c>
      <c r="AX11">
        <f>_xll.EQNXTDZ($A$1,$B11,AX$1,$B$1)</f>
        <v>20677.63</v>
      </c>
      <c r="AY11">
        <f>_xll.EQNXTDZ($A$1,$B11,AY$1,$B$1)</f>
        <v>20642.169999999998</v>
      </c>
      <c r="AZ11">
        <f>_xll.EQNXTDZ($A$1,$B11,AZ$1,$B$1)</f>
        <v>20186.87</v>
      </c>
      <c r="BA11">
        <f>_xll.EQNXTDZ($A$1,$B11,BA$1,$B$1)</f>
        <v>19403.990000000002</v>
      </c>
      <c r="BB11">
        <f>_xll.EQNXTDZ($A$1,$B11,BB$1,$B$1)</f>
        <v>16846.59</v>
      </c>
      <c r="BC11">
        <f>_xll.EQNXTDZ($A$1,$B11,BC$1,$B$1)</f>
        <v>18028.080000000002</v>
      </c>
      <c r="BD11">
        <f>_xll.EQNXTDZ($A$1,$B11,BD$1,$B$1)</f>
        <v>17859.37</v>
      </c>
      <c r="BE11">
        <f>_xll.EQNXTDZ($A$1,$B11,BE$1,$B$1)</f>
        <v>18916.96</v>
      </c>
      <c r="BF11">
        <f>_xll.EQNXTDZ($A$1,$B11,BF$1,$B$1)</f>
        <v>19664.52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6138.14</v>
      </c>
      <c r="D12">
        <f>_xll.EQNXTDZ($A$1,$B12,D$1,$B$1)</f>
        <v>4697.26</v>
      </c>
      <c r="E12">
        <f>_xll.EQNXTDZ($A$1,$B12,E$1,$B$1)</f>
        <v>3949.07</v>
      </c>
      <c r="F12">
        <f>_xll.EQNXTDZ($A$1,$B12,F$1,$B$1)</f>
        <v>3689.4</v>
      </c>
      <c r="G12">
        <f>_xll.EQNXTDZ($A$1,$B12,G$1,$B$1)</f>
        <v>4204.0600000000004</v>
      </c>
      <c r="H12">
        <f>_xll.EQNXTDZ($A$1,$B12,H$1,$B$1)</f>
        <v>3775.47</v>
      </c>
      <c r="I12">
        <f>_xll.EQNXTDZ($A$1,$B12,I$1,$B$1)</f>
        <v>4790.1499999999996</v>
      </c>
      <c r="J12">
        <f>_xll.EQNXTDZ($A$1,$B12,J$1,$B$1)</f>
        <v>4238.53</v>
      </c>
      <c r="K12">
        <f>_xll.EQNXTDZ($A$1,$B12,K$1,$B$1)</f>
        <v>4128.8</v>
      </c>
      <c r="L12">
        <f>_xll.EQNXTDZ($A$1,$B12,L$1,$B$1)</f>
        <v>3667.32</v>
      </c>
      <c r="M12">
        <f>_xll.EQNXTDZ($A$1,$B12,M$1,$B$1)</f>
        <v>3548.77</v>
      </c>
      <c r="N12">
        <f>_xll.EQNXTDZ($A$1,$B12,N$1,$B$1)</f>
        <v>2459.33</v>
      </c>
      <c r="O12">
        <f>_xll.EQNXTDZ($A$1,$B12,O$1,$B$1)</f>
        <v>3113.81</v>
      </c>
      <c r="P12">
        <f>_xll.EQNXTDZ($A$1,$B12,P$1,$B$1)</f>
        <v>2360.61</v>
      </c>
      <c r="Q12">
        <f>_xll.EQNXTDZ($A$1,$B12,Q$1,$B$1)</f>
        <v>2436.81</v>
      </c>
      <c r="R12">
        <f>_xll.EQNXTDZ($A$1,$B12,R$1,$B$1)</f>
        <v>2149.75</v>
      </c>
      <c r="S12">
        <f>_xll.EQNXTDZ($A$1,$B12,S$1,$B$1)</f>
        <v>2916.14</v>
      </c>
      <c r="T12">
        <f>_xll.EQNXTDZ($A$1,$B12,T$1,$B$1)</f>
        <v>2790.91</v>
      </c>
      <c r="U12">
        <f>_xll.EQNXTDZ($A$1,$B12,U$1,$B$1)</f>
        <v>2933.09</v>
      </c>
      <c r="V12">
        <f>_xll.EQNXTDZ($A$1,$B12,V$1,$B$1)</f>
        <v>2784.8</v>
      </c>
      <c r="W12">
        <f>_xll.EQNXTDZ($A$1,$B12,W$1,$B$1)</f>
        <v>2757.7</v>
      </c>
      <c r="X12">
        <f>_xll.EQNXTDZ($A$1,$B12,X$1,$B$1)</f>
        <v>2626.61</v>
      </c>
      <c r="Y12">
        <f>_xll.EQNXTDZ($A$1,$B12,Y$1,$B$1)</f>
        <v>2778.23</v>
      </c>
      <c r="Z12">
        <f>_xll.EQNXTDZ($A$1,$B12,Z$1,$B$1)</f>
        <v>1349.65</v>
      </c>
      <c r="AA12">
        <f>_xll.EQNXTDZ($A$1,$B12,AA$1,$B$1)</f>
        <v>1410.83</v>
      </c>
      <c r="AB12">
        <f>_xll.EQNXTDZ($A$1,$B12,AB$1,$B$1)</f>
        <v>1972.46</v>
      </c>
      <c r="AC12">
        <f>_xll.EQNXTDZ($A$1,$B12,AC$1,$B$1)</f>
        <v>1682.21</v>
      </c>
      <c r="AD12">
        <f>_xll.EQNXTDZ($A$1,$B12,AD$1,$B$1)</f>
        <v>1502.49</v>
      </c>
      <c r="AE12">
        <f>_xll.EQNXTDZ($A$1,$B12,AE$1,$B$1)</f>
        <v>1635.42</v>
      </c>
      <c r="AF12">
        <f>_xll.EQNXTDZ($A$1,$B12,AF$1,$B$1)</f>
        <v>1187.83</v>
      </c>
      <c r="AG12">
        <f>_xll.EQNXTDZ($A$1,$B12,AG$1,$B$1)</f>
        <v>903.67</v>
      </c>
      <c r="AH12">
        <f>_xll.EQNXTDZ($A$1,$B12,AH$1,$B$1)</f>
        <v>2429.44</v>
      </c>
      <c r="AI12">
        <f>_xll.EQNXTDZ($A$1,$B12,AI$1,$B$1)</f>
        <v>1283.6500000000001</v>
      </c>
      <c r="AJ12">
        <f>_xll.EQNXTDZ($A$1,$B12,AJ$1,$B$1)</f>
        <v>1739.76</v>
      </c>
      <c r="AK12">
        <f>_xll.EQNXTDZ($A$1,$B12,AK$1,$B$1)</f>
        <v>2882.56</v>
      </c>
      <c r="AL12">
        <f>_xll.EQNXTDZ($A$1,$B12,AL$1,$B$1)</f>
        <v>3738.13</v>
      </c>
      <c r="AM12">
        <f>_xll.EQNXTDZ($A$1,$B12,AM$1,$B$1)</f>
        <v>3922.14</v>
      </c>
      <c r="AN12">
        <f>_xll.EQNXTDZ($A$1,$B12,AN$1,$B$1)</f>
        <v>4399.49</v>
      </c>
      <c r="AO12">
        <f>_xll.EQNXTDZ($A$1,$B12,AO$1,$B$1)</f>
        <v>3539.48</v>
      </c>
      <c r="AP12">
        <f>_xll.EQNXTDZ($A$1,$B12,AP$1,$B$1)</f>
        <v>3451.81</v>
      </c>
      <c r="AQ12">
        <f>_xll.EQNXTDZ($A$1,$B12,AQ$1,$B$1)</f>
        <v>4999.5</v>
      </c>
      <c r="AR12">
        <f>_xll.EQNXTDZ($A$1,$B12,AR$1,$B$1)</f>
        <v>3269.93</v>
      </c>
      <c r="AS12">
        <f>_xll.EQNXTDZ($A$1,$B12,AS$1,$B$1)</f>
        <v>3535.93</v>
      </c>
      <c r="AT12">
        <f>_xll.EQNXTDZ($A$1,$B12,AT$1,$B$1)</f>
        <v>3308.75</v>
      </c>
      <c r="AU12">
        <f>_xll.EQNXTDZ($A$1,$B12,AU$1,$B$1)</f>
        <v>3692.61</v>
      </c>
      <c r="AV12">
        <f>_xll.EQNXTDZ($A$1,$B12,AV$1,$B$1)</f>
        <v>4673.5600000000004</v>
      </c>
      <c r="AW12">
        <f>_xll.EQNXTDZ($A$1,$B12,AW$1,$B$1)</f>
        <v>3011.21</v>
      </c>
      <c r="AX12">
        <f>_xll.EQNXTDZ($A$1,$B12,AX$1,$B$1)</f>
        <v>3595.41</v>
      </c>
      <c r="AY12">
        <f>_xll.EQNXTDZ($A$1,$B12,AY$1,$B$1)</f>
        <v>4350.87</v>
      </c>
      <c r="AZ12">
        <f>_xll.EQNXTDZ($A$1,$B12,AZ$1,$B$1)</f>
        <v>4502.78</v>
      </c>
      <c r="BA12">
        <f>_xll.EQNXTDZ($A$1,$B12,BA$1,$B$1)</f>
        <v>4025</v>
      </c>
      <c r="BB12">
        <f>_xll.EQNXTDZ($A$1,$B12,BB$1,$B$1)</f>
        <v>5139.03</v>
      </c>
      <c r="BC12">
        <f>_xll.EQNXTDZ($A$1,$B12,BC$1,$B$1)</f>
        <v>3948.43</v>
      </c>
      <c r="BD12">
        <f>_xll.EQNXTDZ($A$1,$B12,BD$1,$B$1)</f>
        <v>5587.57</v>
      </c>
      <c r="BE12">
        <f>_xll.EQNXTDZ($A$1,$B12,BE$1,$B$1)</f>
        <v>4069.81</v>
      </c>
      <c r="BF12">
        <f>_xll.EQNXTDZ($A$1,$B12,BF$1,$B$1)</f>
        <v>4553.33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1116.2</v>
      </c>
      <c r="S13">
        <f>_xll.EQNXTDZ($A$1,$B13,S$1,$B$1)</f>
        <v>1176.3499999999999</v>
      </c>
      <c r="T13">
        <f>_xll.EQNXTDZ($A$1,$B13,T$1,$B$1)</f>
        <v>1198.57</v>
      </c>
      <c r="U13">
        <f>_xll.EQNXTDZ($A$1,$B13,U$1,$B$1)</f>
        <v>1341.08</v>
      </c>
      <c r="V13">
        <f>_xll.EQNXTDZ($A$1,$B13,V$1,$B$1)</f>
        <v>1449.29</v>
      </c>
      <c r="W13">
        <f>_xll.EQNXTDZ($A$1,$B13,W$1,$B$1)</f>
        <v>1316.04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7459.25</v>
      </c>
      <c r="D14">
        <f>_xll.EQNXTDZ($A$1,$B14,D$1,$B$1)</f>
        <v>7617.48</v>
      </c>
      <c r="E14">
        <f>_xll.EQNXTDZ($A$1,$B14,E$1,$B$1)</f>
        <v>7894.86</v>
      </c>
      <c r="F14">
        <f>_xll.EQNXTDZ($A$1,$B14,F$1,$B$1)</f>
        <v>6982.21</v>
      </c>
      <c r="G14">
        <f>_xll.EQNXTDZ($A$1,$B14,G$1,$B$1)</f>
        <v>7698.27</v>
      </c>
      <c r="H14">
        <f>_xll.EQNXTDZ($A$1,$B14,H$1,$B$1)</f>
        <v>8523.7000000000007</v>
      </c>
      <c r="I14">
        <f>_xll.EQNXTDZ($A$1,$B14,I$1,$B$1)</f>
        <v>9190.56</v>
      </c>
      <c r="J14">
        <f>_xll.EQNXTDZ($A$1,$B14,J$1,$B$1)</f>
        <v>8706.39</v>
      </c>
      <c r="K14">
        <f>_xll.EQNXTDZ($A$1,$B14,K$1,$B$1)</f>
        <v>8177.13</v>
      </c>
      <c r="L14">
        <f>_xll.EQNXTDZ($A$1,$B14,L$1,$B$1)</f>
        <v>8920.18</v>
      </c>
      <c r="M14">
        <f>_xll.EQNXTDZ($A$1,$B14,M$1,$B$1)</f>
        <v>8542.06</v>
      </c>
      <c r="N14">
        <f>_xll.EQNXTDZ($A$1,$B14,N$1,$B$1)</f>
        <v>9526.7099999999991</v>
      </c>
      <c r="O14">
        <f>_xll.EQNXTDZ($A$1,$B14,O$1,$B$1)</f>
        <v>6541.39</v>
      </c>
      <c r="P14">
        <f>_xll.EQNXTDZ($A$1,$B14,P$1,$B$1)</f>
        <v>6259.29</v>
      </c>
      <c r="Q14">
        <f>_xll.EQNXTDZ($A$1,$B14,Q$1,$B$1)</f>
        <v>6479.33</v>
      </c>
      <c r="R14">
        <f>_xll.EQNXTDZ($A$1,$B14,R$1,$B$1)</f>
        <v>8895.9599999999991</v>
      </c>
      <c r="S14">
        <f>_xll.EQNXTDZ($A$1,$B14,S$1,$B$1)</f>
        <v>8878.02</v>
      </c>
      <c r="T14">
        <f>_xll.EQNXTDZ($A$1,$B14,T$1,$B$1)</f>
        <v>9155.5499999999993</v>
      </c>
      <c r="U14">
        <f>_xll.EQNXTDZ($A$1,$B14,U$1,$B$1)</f>
        <v>10489.82</v>
      </c>
      <c r="V14">
        <f>_xll.EQNXTDZ($A$1,$B14,V$1,$B$1)</f>
        <v>10166.32</v>
      </c>
      <c r="W14">
        <f>_xll.EQNXTDZ($A$1,$B14,W$1,$B$1)</f>
        <v>9309.57</v>
      </c>
      <c r="X14">
        <f>_xll.EQNXTDZ($A$1,$B14,X$1,$B$1)</f>
        <v>9159.75</v>
      </c>
      <c r="Y14">
        <f>_xll.EQNXTDZ($A$1,$B14,Y$1,$B$1)</f>
        <v>10196.219999999999</v>
      </c>
      <c r="Z14">
        <f>_xll.EQNXTDZ($A$1,$B14,Z$1,$B$1)</f>
        <v>10824.65</v>
      </c>
      <c r="AA14">
        <f>_xll.EQNXTDZ($A$1,$B14,AA$1,$B$1)</f>
        <v>11983.38</v>
      </c>
      <c r="AB14">
        <f>_xll.EQNXTDZ($A$1,$B14,AB$1,$B$1)</f>
        <v>11613.83</v>
      </c>
      <c r="AC14">
        <f>_xll.EQNXTDZ($A$1,$B14,AC$1,$B$1)</f>
        <v>12664.52</v>
      </c>
      <c r="AD14">
        <f>_xll.EQNXTDZ($A$1,$B14,AD$1,$B$1)</f>
        <v>12484.7</v>
      </c>
      <c r="AE14">
        <f>_xll.EQNXTDZ($A$1,$B14,AE$1,$B$1)</f>
        <v>11908.74</v>
      </c>
      <c r="AF14">
        <f>_xll.EQNXTDZ($A$1,$B14,AF$1,$B$1)</f>
        <v>11307.14</v>
      </c>
      <c r="AG14">
        <f>_xll.EQNXTDZ($A$1,$B14,AG$1,$B$1)</f>
        <v>10496.48</v>
      </c>
      <c r="AH14">
        <f>_xll.EQNXTDZ($A$1,$B14,AH$1,$B$1)</f>
        <v>13096.55</v>
      </c>
      <c r="AI14">
        <f>_xll.EQNXTDZ($A$1,$B14,AI$1,$B$1)</f>
        <v>9173.5400000000009</v>
      </c>
      <c r="AJ14">
        <f>_xll.EQNXTDZ($A$1,$B14,AJ$1,$B$1)</f>
        <v>11995.78</v>
      </c>
      <c r="AK14">
        <f>_xll.EQNXTDZ($A$1,$B14,AK$1,$B$1)</f>
        <v>12618.74</v>
      </c>
      <c r="AL14">
        <f>_xll.EQNXTDZ($A$1,$B14,AL$1,$B$1)</f>
        <v>15429.87</v>
      </c>
      <c r="AM14">
        <f>_xll.EQNXTDZ($A$1,$B14,AM$1,$B$1)</f>
        <v>15027.95</v>
      </c>
      <c r="AN14">
        <f>_xll.EQNXTDZ($A$1,$B14,AN$1,$B$1)</f>
        <v>19010.73</v>
      </c>
      <c r="AO14">
        <f>_xll.EQNXTDZ($A$1,$B14,AO$1,$B$1)</f>
        <v>19080.240000000002</v>
      </c>
      <c r="AP14">
        <f>_xll.EQNXTDZ($A$1,$B14,AP$1,$B$1)</f>
        <v>20607.45</v>
      </c>
      <c r="AQ14">
        <f>_xll.EQNXTDZ($A$1,$B14,AQ$1,$B$1)</f>
        <v>19273.25</v>
      </c>
      <c r="AR14">
        <f>_xll.EQNXTDZ($A$1,$B14,AR$1,$B$1)</f>
        <v>17159.93</v>
      </c>
      <c r="AS14">
        <f>_xll.EQNXTDZ($A$1,$B14,AS$1,$B$1)</f>
        <v>17670.73</v>
      </c>
      <c r="AT14">
        <f>_xll.EQNXTDZ($A$1,$B14,AT$1,$B$1)</f>
        <v>21291</v>
      </c>
      <c r="AU14">
        <f>_xll.EQNXTDZ($A$1,$B14,AU$1,$B$1)</f>
        <v>20915.23</v>
      </c>
      <c r="AV14">
        <f>_xll.EQNXTDZ($A$1,$B14,AV$1,$B$1)</f>
        <v>19594.45</v>
      </c>
      <c r="AW14">
        <f>_xll.EQNXTDZ($A$1,$B14,AW$1,$B$1)</f>
        <v>20074.73</v>
      </c>
      <c r="AX14">
        <f>_xll.EQNXTDZ($A$1,$B14,AX$1,$B$1)</f>
        <v>19855.150000000001</v>
      </c>
      <c r="AY14">
        <f>_xll.EQNXTDZ($A$1,$B14,AY$1,$B$1)</f>
        <v>19187.02</v>
      </c>
      <c r="AZ14">
        <f>_xll.EQNXTDZ($A$1,$B14,AZ$1,$B$1)</f>
        <v>17493.810000000001</v>
      </c>
      <c r="BA14">
        <f>_xll.EQNXTDZ($A$1,$B14,BA$1,$B$1)</f>
        <v>17741.900000000001</v>
      </c>
      <c r="BB14">
        <f>_xll.EQNXTDZ($A$1,$B14,BB$1,$B$1)</f>
        <v>18931.689999999999</v>
      </c>
      <c r="BC14">
        <f>_xll.EQNXTDZ($A$1,$B14,BC$1,$B$1)</f>
        <v>18573.349999999999</v>
      </c>
      <c r="BD14">
        <f>_xll.EQNXTDZ($A$1,$B14,BD$1,$B$1)</f>
        <v>19017.59</v>
      </c>
      <c r="BE14">
        <f>_xll.EQNXTDZ($A$1,$B14,BE$1,$B$1)</f>
        <v>20007.77</v>
      </c>
      <c r="BF14">
        <f>_xll.EQNXTDZ($A$1,$B14,BF$1,$B$1)</f>
        <v>20572.12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1390.61</v>
      </c>
      <c r="D15">
        <f>_xll.EQNXTDZ($A$1,$B15,D$1,$B$1)</f>
        <v>1373.49</v>
      </c>
      <c r="E15">
        <f>_xll.EQNXTDZ($A$1,$B15,E$1,$B$1)</f>
        <v>1443.1</v>
      </c>
      <c r="F15">
        <f>_xll.EQNXTDZ($A$1,$B15,F$1,$B$1)</f>
        <v>1346.81</v>
      </c>
      <c r="G15">
        <f>_xll.EQNXTDZ($A$1,$B15,G$1,$B$1)</f>
        <v>1463.41</v>
      </c>
      <c r="H15">
        <f>_xll.EQNXTDZ($A$1,$B15,H$1,$B$1)</f>
        <v>1571.92</v>
      </c>
      <c r="I15">
        <f>_xll.EQNXTDZ($A$1,$B15,I$1,$B$1)</f>
        <v>1405.25</v>
      </c>
      <c r="J15">
        <f>_xll.EQNXTDZ($A$1,$B15,J$1,$B$1)</f>
        <v>1595.19</v>
      </c>
      <c r="K15">
        <f>_xll.EQNXTDZ($A$1,$B15,K$1,$B$1)</f>
        <v>1606.67</v>
      </c>
      <c r="L15">
        <f>_xll.EQNXTDZ($A$1,$B15,L$1,$B$1)</f>
        <v>1527.9</v>
      </c>
      <c r="M15">
        <f>_xll.EQNXTDZ($A$1,$B15,M$1,$B$1)</f>
        <v>1343.53</v>
      </c>
      <c r="N15">
        <f>_xll.EQNXTDZ($A$1,$B15,N$1,$B$1)</f>
        <v>1435.18</v>
      </c>
      <c r="O15">
        <f>_xll.EQNXTDZ($A$1,$B15,O$1,$B$1)</f>
        <v>1249.9100000000001</v>
      </c>
      <c r="P15">
        <f>_xll.EQNXTDZ($A$1,$B15,P$1,$B$1)</f>
        <v>1188.1500000000001</v>
      </c>
      <c r="Q15">
        <f>_xll.EQNXTDZ($A$1,$B15,Q$1,$B$1)</f>
        <v>1115.1300000000001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4782.4799999999996</v>
      </c>
      <c r="D16">
        <f>_xll.EQNXTDZ($A$1,$B16,D$1,$B$1)</f>
        <v>4539.34</v>
      </c>
      <c r="E16">
        <f>_xll.EQNXTDZ($A$1,$B16,E$1,$B$1)</f>
        <v>4737.1499999999996</v>
      </c>
      <c r="F16">
        <f>_xll.EQNXTDZ($A$1,$B16,F$1,$B$1)</f>
        <v>4853.03</v>
      </c>
      <c r="G16">
        <f>_xll.EQNXTDZ($A$1,$B16,G$1,$B$1)</f>
        <v>4791.17</v>
      </c>
      <c r="H16">
        <f>_xll.EQNXTDZ($A$1,$B16,H$1,$B$1)</f>
        <v>5170.88</v>
      </c>
      <c r="I16">
        <f>_xll.EQNXTDZ($A$1,$B16,I$1,$B$1)</f>
        <v>4986.01</v>
      </c>
      <c r="J16">
        <f>_xll.EQNXTDZ($A$1,$B16,J$1,$B$1)</f>
        <v>5355.35</v>
      </c>
      <c r="K16">
        <f>_xll.EQNXTDZ($A$1,$B16,K$1,$B$1)</f>
        <v>5634.28</v>
      </c>
      <c r="L16">
        <f>_xll.EQNXTDZ($A$1,$B16,L$1,$B$1)</f>
        <v>5399.31</v>
      </c>
      <c r="M16">
        <f>_xll.EQNXTDZ($A$1,$B16,M$1,$B$1)</f>
        <v>4950.12</v>
      </c>
      <c r="N16">
        <f>_xll.EQNXTDZ($A$1,$B16,N$1,$B$1)</f>
        <v>5426.06</v>
      </c>
      <c r="O16">
        <f>_xll.EQNXTDZ($A$1,$B16,O$1,$B$1)</f>
        <v>4619.25</v>
      </c>
      <c r="P16">
        <f>_xll.EQNXTDZ($A$1,$B16,P$1,$B$1)</f>
        <v>4735.63</v>
      </c>
      <c r="Q16">
        <f>_xll.EQNXTDZ($A$1,$B16,Q$1,$B$1)</f>
        <v>4412.2700000000004</v>
      </c>
      <c r="R16">
        <f>_xll.EQNXTDZ($A$1,$B16,R$1,$B$1)</f>
        <v>4523.09</v>
      </c>
      <c r="S16">
        <f>_xll.EQNXTDZ($A$1,$B16,S$1,$B$1)</f>
        <v>4503.33</v>
      </c>
      <c r="T16">
        <f>_xll.EQNXTDZ($A$1,$B16,T$1,$B$1)</f>
        <v>4352.74</v>
      </c>
      <c r="U16">
        <f>_xll.EQNXTDZ($A$1,$B16,U$1,$B$1)</f>
        <v>4179.21</v>
      </c>
      <c r="V16">
        <f>_xll.EQNXTDZ($A$1,$B16,V$1,$B$1)</f>
        <v>4216.9399999999996</v>
      </c>
      <c r="W16">
        <f>_xll.EQNXTDZ($A$1,$B16,W$1,$B$1)</f>
        <v>4303.8599999999997</v>
      </c>
      <c r="X16">
        <f>_xll.EQNXTDZ($A$1,$B16,X$1,$B$1)</f>
        <v>4294.1000000000004</v>
      </c>
      <c r="Y16">
        <f>_xll.EQNXTDZ($A$1,$B16,Y$1,$B$1)</f>
        <v>4425.57</v>
      </c>
      <c r="Z16">
        <f>_xll.EQNXTDZ($A$1,$B16,Z$1,$B$1)</f>
        <v>4415.66</v>
      </c>
      <c r="AA16">
        <f>_xll.EQNXTDZ($A$1,$B16,AA$1,$B$1)</f>
        <v>4739.43</v>
      </c>
      <c r="AB16">
        <f>_xll.EQNXTDZ($A$1,$B16,AB$1,$B$1)</f>
        <v>4755.28</v>
      </c>
      <c r="AC16">
        <f>_xll.EQNXTDZ($A$1,$B16,AC$1,$B$1)</f>
        <v>4613.2</v>
      </c>
      <c r="AD16">
        <f>_xll.EQNXTDZ($A$1,$B16,AD$1,$B$1)</f>
        <v>4650.95</v>
      </c>
      <c r="AE16">
        <f>_xll.EQNXTDZ($A$1,$B16,AE$1,$B$1)</f>
        <v>4899.3599999999997</v>
      </c>
      <c r="AF16">
        <f>_xll.EQNXTDZ($A$1,$B16,AF$1,$B$1)</f>
        <v>4604.8</v>
      </c>
      <c r="AG16">
        <f>_xll.EQNXTDZ($A$1,$B16,AG$1,$B$1)</f>
        <v>4294.42</v>
      </c>
      <c r="AH16">
        <f>_xll.EQNXTDZ($A$1,$B16,AH$1,$B$1)</f>
        <v>4893.93</v>
      </c>
      <c r="AI16">
        <f>_xll.EQNXTDZ($A$1,$B16,AI$1,$B$1)</f>
        <v>4678.82</v>
      </c>
      <c r="AJ16">
        <f>_xll.EQNXTDZ($A$1,$B16,AJ$1,$B$1)</f>
        <v>4375.28</v>
      </c>
      <c r="AK16">
        <f>_xll.EQNXTDZ($A$1,$B16,AK$1,$B$1)</f>
        <v>5463.54</v>
      </c>
      <c r="AL16">
        <f>_xll.EQNXTDZ($A$1,$B16,AL$1,$B$1)</f>
        <v>5391.17</v>
      </c>
      <c r="AM16">
        <f>_xll.EQNXTDZ($A$1,$B16,AM$1,$B$1)</f>
        <v>5662.57</v>
      </c>
      <c r="AN16">
        <f>_xll.EQNXTDZ($A$1,$B16,AN$1,$B$1)</f>
        <v>5861.85</v>
      </c>
      <c r="AO16">
        <f>_xll.EQNXTDZ($A$1,$B16,AO$1,$B$1)</f>
        <v>5683.44</v>
      </c>
      <c r="AP16">
        <f>_xll.EQNXTDZ($A$1,$B16,AP$1,$B$1)</f>
        <v>6056.24</v>
      </c>
      <c r="AQ16">
        <f>_xll.EQNXTDZ($A$1,$B16,AQ$1,$B$1)</f>
        <v>5963.4</v>
      </c>
      <c r="AR16">
        <f>_xll.EQNXTDZ($A$1,$B16,AR$1,$B$1)</f>
        <v>5318.25</v>
      </c>
      <c r="AS16">
        <f>_xll.EQNXTDZ($A$1,$B16,AS$1,$B$1)</f>
        <v>5342.4</v>
      </c>
      <c r="AT16">
        <f>_xll.EQNXTDZ($A$1,$B16,AT$1,$B$1)</f>
        <v>5795.27</v>
      </c>
      <c r="AU16">
        <f>_xll.EQNXTDZ($A$1,$B16,AU$1,$B$1)</f>
        <v>5925.38</v>
      </c>
      <c r="AV16">
        <f>_xll.EQNXTDZ($A$1,$B16,AV$1,$B$1)</f>
        <v>5916.53</v>
      </c>
      <c r="AW16">
        <f>_xll.EQNXTDZ($A$1,$B16,AW$1,$B$1)</f>
        <v>6527.07</v>
      </c>
      <c r="AX16">
        <f>_xll.EQNXTDZ($A$1,$B16,AX$1,$B$1)</f>
        <v>6140.6</v>
      </c>
      <c r="AY16">
        <f>_xll.EQNXTDZ($A$1,$B16,AY$1,$B$1)</f>
        <v>6466.93</v>
      </c>
      <c r="AZ16">
        <f>_xll.EQNXTDZ($A$1,$B16,AZ$1,$B$1)</f>
        <v>6326.57</v>
      </c>
      <c r="BA16">
        <f>_xll.EQNXTDZ($A$1,$B16,BA$1,$B$1)</f>
        <v>6072.47</v>
      </c>
      <c r="BB16">
        <f>_xll.EQNXTDZ($A$1,$B16,BB$1,$B$1)</f>
        <v>6023.02</v>
      </c>
      <c r="BC16">
        <f>_xll.EQNXTDZ($A$1,$B16,BC$1,$B$1)</f>
        <v>6598.57</v>
      </c>
      <c r="BD16">
        <f>_xll.EQNXTDZ($A$1,$B16,BD$1,$B$1)</f>
        <v>6349.08</v>
      </c>
      <c r="BE16">
        <f>_xll.EQNXTDZ($A$1,$B16,BE$1,$B$1)</f>
        <v>6353.18</v>
      </c>
      <c r="BF16">
        <f>_xll.EQNXTDZ($A$1,$B16,BF$1,$B$1)</f>
        <v>6698.15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1735.81</v>
      </c>
      <c r="D18">
        <f>_xll.EQNXTDZ($A$1,$B18,D$1,$B$1)</f>
        <v>1795.19</v>
      </c>
      <c r="E18">
        <f>_xll.EQNXTDZ($A$1,$B18,E$1,$B$1)</f>
        <v>1872.2</v>
      </c>
      <c r="F18">
        <f>_xll.EQNXTDZ($A$1,$B18,F$1,$B$1)</f>
        <v>2031.07</v>
      </c>
      <c r="G18">
        <f>_xll.EQNXTDZ($A$1,$B18,G$1,$B$1)</f>
        <v>1985.29</v>
      </c>
      <c r="H18">
        <f>_xll.EQNXTDZ($A$1,$B18,H$1,$B$1)</f>
        <v>2146.0300000000002</v>
      </c>
      <c r="I18">
        <f>_xll.EQNXTDZ($A$1,$B18,I$1,$B$1)</f>
        <v>2232.9499999999998</v>
      </c>
      <c r="J18">
        <f>_xll.EQNXTDZ($A$1,$B18,J$1,$B$1)</f>
        <v>2643.65</v>
      </c>
      <c r="K18">
        <f>_xll.EQNXTDZ($A$1,$B18,K$1,$B$1)</f>
        <v>2190.2800000000002</v>
      </c>
      <c r="L18">
        <f>_xll.EQNXTDZ($A$1,$B18,L$1,$B$1)</f>
        <v>2190.48</v>
      </c>
      <c r="M18">
        <f>_xll.EQNXTDZ($A$1,$B18,M$1,$B$1)</f>
        <v>2129.83</v>
      </c>
      <c r="N18">
        <f>_xll.EQNXTDZ($A$1,$B18,N$1,$B$1)</f>
        <v>2300.8200000000002</v>
      </c>
      <c r="O18">
        <f>_xll.EQNXTDZ($A$1,$B18,O$1,$B$1)</f>
        <v>1710.9</v>
      </c>
      <c r="P18">
        <f>_xll.EQNXTDZ($A$1,$B18,P$1,$B$1)</f>
        <v>1746.88</v>
      </c>
      <c r="Q18">
        <f>_xll.EQNXTDZ($A$1,$B18,Q$1,$B$1)</f>
        <v>1702.48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3403.28</v>
      </c>
      <c r="D22">
        <f>_xll.EQNXTDZ($A$1,$B22,D$1,$B$1)</f>
        <v>2310.08</v>
      </c>
      <c r="E22">
        <f>_xll.EQNXTDZ($A$1,$B22,E$1,$B$1)</f>
        <v>2238.91</v>
      </c>
      <c r="F22">
        <f>_xll.EQNXTDZ($A$1,$B22,F$1,$B$1)</f>
        <v>4368.9399999999996</v>
      </c>
      <c r="G22">
        <f>_xll.EQNXTDZ($A$1,$B22,G$1,$B$1)</f>
        <v>3688.04</v>
      </c>
      <c r="H22">
        <f>_xll.EQNXTDZ($A$1,$B22,H$1,$B$1)</f>
        <v>3705.35</v>
      </c>
      <c r="I22">
        <f>_xll.EQNXTDZ($A$1,$B22,I$1,$B$1)</f>
        <v>4006.54</v>
      </c>
      <c r="J22">
        <f>_xll.EQNXTDZ($A$1,$B22,J$1,$B$1)</f>
        <v>5011.08</v>
      </c>
      <c r="K22">
        <f>_xll.EQNXTDZ($A$1,$B22,K$1,$B$1)</f>
        <v>4272.57</v>
      </c>
      <c r="L22">
        <f>_xll.EQNXTDZ($A$1,$B22,L$1,$B$1)</f>
        <v>3642.82</v>
      </c>
      <c r="M22">
        <f>_xll.EQNXTDZ($A$1,$B22,M$1,$B$1)</f>
        <v>3077.39</v>
      </c>
      <c r="N22">
        <f>_xll.EQNXTDZ($A$1,$B22,N$1,$B$1)</f>
        <v>1542.97</v>
      </c>
      <c r="O22">
        <f>_xll.EQNXTDZ($A$1,$B22,O$1,$B$1)</f>
        <v>2682.76</v>
      </c>
      <c r="P22">
        <f>_xll.EQNXTDZ($A$1,$B22,P$1,$B$1)</f>
        <v>1784.05</v>
      </c>
      <c r="Q22">
        <f>_xll.EQNXTDZ($A$1,$B22,Q$1,$B$1)</f>
        <v>838.26000000000101</v>
      </c>
      <c r="R22">
        <f>_xll.EQNXTDZ($A$1,$B22,R$1,$B$1)</f>
        <v>2245.73</v>
      </c>
      <c r="S22">
        <f>_xll.EQNXTDZ($A$1,$B22,S$1,$B$1)</f>
        <v>3275.37</v>
      </c>
      <c r="T22">
        <f>_xll.EQNXTDZ($A$1,$B22,T$1,$B$1)</f>
        <v>3071.09</v>
      </c>
      <c r="U22">
        <f>_xll.EQNXTDZ($A$1,$B22,U$1,$B$1)</f>
        <v>3636.15</v>
      </c>
      <c r="V22">
        <f>_xll.EQNXTDZ($A$1,$B22,V$1,$B$1)</f>
        <v>7025.21</v>
      </c>
      <c r="W22">
        <f>_xll.EQNXTDZ($A$1,$B22,W$1,$B$1)</f>
        <v>4974.01</v>
      </c>
      <c r="X22">
        <f>_xll.EQNXTDZ($A$1,$B22,X$1,$B$1)</f>
        <v>4720.67</v>
      </c>
      <c r="Y22">
        <f>_xll.EQNXTDZ($A$1,$B22,Y$1,$B$1)</f>
        <v>5696.94</v>
      </c>
      <c r="Z22">
        <f>_xll.EQNXTDZ($A$1,$B22,Z$1,$B$1)</f>
        <v>6399.28</v>
      </c>
      <c r="AA22">
        <f>_xll.EQNXTDZ($A$1,$B22,AA$1,$B$1)</f>
        <v>6352.74</v>
      </c>
      <c r="AB22">
        <f>_xll.EQNXTDZ($A$1,$B22,AB$1,$B$1)</f>
        <v>8801.5400000000009</v>
      </c>
      <c r="AC22">
        <f>_xll.EQNXTDZ($A$1,$B22,AC$1,$B$1)</f>
        <v>6715.78</v>
      </c>
      <c r="AD22">
        <f>_xll.EQNXTDZ($A$1,$B22,AD$1,$B$1)</f>
        <v>7513.2799999999897</v>
      </c>
      <c r="AE22">
        <f>_xll.EQNXTDZ($A$1,$B22,AE$1,$B$1)</f>
        <v>5376.9</v>
      </c>
      <c r="AF22">
        <f>_xll.EQNXTDZ($A$1,$B22,AF$1,$B$1)</f>
        <v>3819.56</v>
      </c>
      <c r="AG22">
        <f>_xll.EQNXTDZ($A$1,$B22,AG$1,$B$1)</f>
        <v>3619.74</v>
      </c>
      <c r="AH22">
        <f>_xll.EQNXTDZ($A$1,$B22,AH$1,$B$1)</f>
        <v>4799.1899999999996</v>
      </c>
      <c r="AI22">
        <f>_xll.EQNXTDZ($A$1,$B22,AI$1,$B$1)</f>
        <v>539.229999999999</v>
      </c>
      <c r="AJ22">
        <f>_xll.EQNXTDZ($A$1,$B22,AJ$1,$B$1)</f>
        <v>6212.71</v>
      </c>
      <c r="AK22">
        <f>_xll.EQNXTDZ($A$1,$B22,AK$1,$B$1)</f>
        <v>9568.24</v>
      </c>
      <c r="AL22">
        <f>_xll.EQNXTDZ($A$1,$B22,AL$1,$B$1)</f>
        <v>14184.08</v>
      </c>
      <c r="AM22">
        <f>_xll.EQNXTDZ($A$1,$B22,AM$1,$B$1)</f>
        <v>16110.55</v>
      </c>
      <c r="AN22">
        <f>_xll.EQNXTDZ($A$1,$B22,AN$1,$B$1)</f>
        <v>16456.12</v>
      </c>
      <c r="AO22">
        <f>_xll.EQNXTDZ($A$1,$B22,AO$1,$B$1)</f>
        <v>15893.67</v>
      </c>
      <c r="AP22">
        <f>_xll.EQNXTDZ($A$1,$B22,AP$1,$B$1)</f>
        <v>15029.61</v>
      </c>
      <c r="AQ22">
        <f>_xll.EQNXTDZ($A$1,$B22,AQ$1,$B$1)</f>
        <v>14972.8</v>
      </c>
      <c r="AR22">
        <f>_xll.EQNXTDZ($A$1,$B22,AR$1,$B$1)</f>
        <v>6060.32</v>
      </c>
      <c r="AS22">
        <f>_xll.EQNXTDZ($A$1,$B22,AS$1,$B$1)</f>
        <v>4047.84</v>
      </c>
      <c r="AT22">
        <f>_xll.EQNXTDZ($A$1,$B22,AT$1,$B$1)</f>
        <v>7219.2000000000098</v>
      </c>
      <c r="AU22">
        <f>_xll.EQNXTDZ($A$1,$B22,AU$1,$B$1)</f>
        <v>5173.8799999999901</v>
      </c>
      <c r="AV22">
        <f>_xll.EQNXTDZ($A$1,$B22,AV$1,$B$1)</f>
        <v>4267.8200000000097</v>
      </c>
      <c r="AW22">
        <f>_xll.EQNXTDZ($A$1,$B22,AW$1,$B$1)</f>
        <v>6263.5700000000097</v>
      </c>
      <c r="AX22">
        <f>_xll.EQNXTDZ($A$1,$B22,AX$1,$B$1)</f>
        <v>6600.63</v>
      </c>
      <c r="AY22">
        <f>_xll.EQNXTDZ($A$1,$B22,AY$1,$B$1)</f>
        <v>6694.47</v>
      </c>
      <c r="AZ22">
        <f>_xll.EQNXTDZ($A$1,$B22,AZ$1,$B$1)</f>
        <v>6141.27</v>
      </c>
      <c r="BA22">
        <f>_xll.EQNXTDZ($A$1,$B22,BA$1,$B$1)</f>
        <v>5903.49</v>
      </c>
      <c r="BB22">
        <f>_xll.EQNXTDZ($A$1,$B22,BB$1,$B$1)</f>
        <v>6559.22</v>
      </c>
      <c r="BC22">
        <f>_xll.EQNXTDZ($A$1,$B22,BC$1,$B$1)</f>
        <v>7427.54</v>
      </c>
      <c r="BD22">
        <f>_xll.EQNXTDZ($A$1,$B22,BD$1,$B$1)</f>
        <v>8896.5400000000009</v>
      </c>
      <c r="BE22">
        <f>_xll.EQNXTDZ($A$1,$B22,BE$1,$B$1)</f>
        <v>8199.7000000000098</v>
      </c>
      <c r="BF22">
        <f>_xll.EQNXTDZ($A$1,$B22,BF$1,$B$1)</f>
        <v>9828.66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289.38</v>
      </c>
      <c r="D23">
        <f>_xll.EQNXTDZ($A$1,$B23,D$1,$B$1)</f>
        <v>201.77</v>
      </c>
      <c r="E23">
        <f>_xll.EQNXTDZ($A$1,$B23,E$1,$B$1)</f>
        <v>55.86</v>
      </c>
      <c r="F23">
        <f>_xll.EQNXTDZ($A$1,$B23,F$1,$B$1)</f>
        <v>-67.86</v>
      </c>
      <c r="G23">
        <f>_xll.EQNXTDZ($A$1,$B23,G$1,$B$1)</f>
        <v>183.63</v>
      </c>
      <c r="H23">
        <f>_xll.EQNXTDZ($A$1,$B23,H$1,$B$1)</f>
        <v>203.36</v>
      </c>
      <c r="I23">
        <f>_xll.EQNXTDZ($A$1,$B23,I$1,$B$1)</f>
        <v>18.12</v>
      </c>
      <c r="J23">
        <f>_xll.EQNXTDZ($A$1,$B23,J$1,$B$1)</f>
        <v>111.7</v>
      </c>
      <c r="K23">
        <f>_xll.EQNXTDZ($A$1,$B23,K$1,$B$1)</f>
        <v>216.14</v>
      </c>
      <c r="L23">
        <f>_xll.EQNXTDZ($A$1,$B23,L$1,$B$1)</f>
        <v>321.52</v>
      </c>
      <c r="M23">
        <f>_xll.EQNXTDZ($A$1,$B23,M$1,$B$1)</f>
        <v>119.11</v>
      </c>
      <c r="N23">
        <f>_xll.EQNXTDZ($A$1,$B23,N$1,$B$1)</f>
        <v>139.41</v>
      </c>
      <c r="O23">
        <f>_xll.EQNXTDZ($A$1,$B23,O$1,$B$1)</f>
        <v>61.95</v>
      </c>
      <c r="P23">
        <f>_xll.EQNXTDZ($A$1,$B23,P$1,$B$1)</f>
        <v>126.33</v>
      </c>
      <c r="Q23">
        <f>_xll.EQNXTDZ($A$1,$B23,Q$1,$B$1)</f>
        <v>98.39</v>
      </c>
      <c r="R23">
        <f>_xll.EQNXTDZ($A$1,$B23,R$1,$B$1)</f>
        <v>123.32</v>
      </c>
      <c r="S23">
        <f>_xll.EQNXTDZ($A$1,$B23,S$1,$B$1)</f>
        <v>136.38</v>
      </c>
      <c r="T23">
        <f>_xll.EQNXTDZ($A$1,$B23,T$1,$B$1)</f>
        <v>108.85</v>
      </c>
      <c r="U23">
        <f>_xll.EQNXTDZ($A$1,$B23,U$1,$B$1)</f>
        <v>130.06</v>
      </c>
      <c r="V23">
        <f>_xll.EQNXTDZ($A$1,$B23,V$1,$B$1)</f>
        <v>152.16999999999999</v>
      </c>
      <c r="W23">
        <f>_xll.EQNXTDZ($A$1,$B23,W$1,$B$1)</f>
        <v>155.47</v>
      </c>
      <c r="X23">
        <f>_xll.EQNXTDZ($A$1,$B23,X$1,$B$1)</f>
        <v>211.41</v>
      </c>
      <c r="Y23">
        <f>_xll.EQNXTDZ($A$1,$B23,Y$1,$B$1)</f>
        <v>225.88</v>
      </c>
      <c r="Z23">
        <f>_xll.EQNXTDZ($A$1,$B23,Z$1,$B$1)</f>
        <v>278.68</v>
      </c>
      <c r="AA23">
        <f>_xll.EQNXTDZ($A$1,$B23,AA$1,$B$1)</f>
        <v>352.84</v>
      </c>
      <c r="AB23">
        <f>_xll.EQNXTDZ($A$1,$B23,AB$1,$B$1)</f>
        <v>360.5</v>
      </c>
      <c r="AC23">
        <f>_xll.EQNXTDZ($A$1,$B23,AC$1,$B$1)</f>
        <v>217.37</v>
      </c>
      <c r="AD23">
        <f>_xll.EQNXTDZ($A$1,$B23,AD$1,$B$1)</f>
        <v>489.87</v>
      </c>
      <c r="AE23">
        <f>_xll.EQNXTDZ($A$1,$B23,AE$1,$B$1)</f>
        <v>251.1</v>
      </c>
      <c r="AF23">
        <f>_xll.EQNXTDZ($A$1,$B23,AF$1,$B$1)</f>
        <v>183.55</v>
      </c>
      <c r="AG23">
        <f>_xll.EQNXTDZ($A$1,$B23,AG$1,$B$1)</f>
        <v>92.93</v>
      </c>
      <c r="AH23">
        <f>_xll.EQNXTDZ($A$1,$B23,AH$1,$B$1)</f>
        <v>1313.31</v>
      </c>
      <c r="AI23">
        <f>_xll.EQNXTDZ($A$1,$B23,AI$1,$B$1)</f>
        <v>187.91</v>
      </c>
      <c r="AJ23">
        <f>_xll.EQNXTDZ($A$1,$B23,AJ$1,$B$1)</f>
        <v>217.85</v>
      </c>
      <c r="AK23">
        <f>_xll.EQNXTDZ($A$1,$B23,AK$1,$B$1)</f>
        <v>217.66</v>
      </c>
      <c r="AL23">
        <f>_xll.EQNXTDZ($A$1,$B23,AL$1,$B$1)</f>
        <v>272.18</v>
      </c>
      <c r="AM23">
        <f>_xll.EQNXTDZ($A$1,$B23,AM$1,$B$1)</f>
        <v>162.22999999999999</v>
      </c>
      <c r="AN23">
        <f>_xll.EQNXTDZ($A$1,$B23,AN$1,$B$1)</f>
        <v>270.85000000000002</v>
      </c>
      <c r="AO23">
        <f>_xll.EQNXTDZ($A$1,$B23,AO$1,$B$1)</f>
        <v>59.61</v>
      </c>
      <c r="AP23">
        <f>_xll.EQNXTDZ($A$1,$B23,AP$1,$B$1)</f>
        <v>292.2</v>
      </c>
      <c r="AQ23">
        <f>_xll.EQNXTDZ($A$1,$B23,AQ$1,$B$1)</f>
        <v>268.08</v>
      </c>
      <c r="AR23">
        <f>_xll.EQNXTDZ($A$1,$B23,AR$1,$B$1)</f>
        <v>329.26</v>
      </c>
      <c r="AS23">
        <f>_xll.EQNXTDZ($A$1,$B23,AS$1,$B$1)</f>
        <v>270.60000000000002</v>
      </c>
      <c r="AT23">
        <f>_xll.EQNXTDZ($A$1,$B23,AT$1,$B$1)</f>
        <v>169.54</v>
      </c>
      <c r="AU23">
        <f>_xll.EQNXTDZ($A$1,$B23,AU$1,$B$1)</f>
        <v>1176.82</v>
      </c>
      <c r="AV23">
        <f>_xll.EQNXTDZ($A$1,$B23,AV$1,$B$1)</f>
        <v>228.23</v>
      </c>
      <c r="AW23">
        <f>_xll.EQNXTDZ($A$1,$B23,AW$1,$B$1)</f>
        <v>227.89</v>
      </c>
      <c r="AX23">
        <f>_xll.EQNXTDZ($A$1,$B23,AX$1,$B$1)</f>
        <v>175.91</v>
      </c>
      <c r="AY23">
        <f>_xll.EQNXTDZ($A$1,$B23,AY$1,$B$1)</f>
        <v>259.91000000000003</v>
      </c>
      <c r="AZ23">
        <f>_xll.EQNXTDZ($A$1,$B23,AZ$1,$B$1)</f>
        <v>598.59</v>
      </c>
      <c r="BA23">
        <f>_xll.EQNXTDZ($A$1,$B23,BA$1,$B$1)</f>
        <v>221.03</v>
      </c>
      <c r="BB23">
        <f>_xll.EQNXTDZ($A$1,$B23,BB$1,$B$1)</f>
        <v>461</v>
      </c>
      <c r="BC23">
        <f>_xll.EQNXTDZ($A$1,$B23,BC$1,$B$1)</f>
        <v>288.67</v>
      </c>
      <c r="BD23">
        <f>_xll.EQNXTDZ($A$1,$B23,BD$1,$B$1)</f>
        <v>363.55</v>
      </c>
      <c r="BE23">
        <f>_xll.EQNXTDZ($A$1,$B23,BE$1,$B$1)</f>
        <v>501.09</v>
      </c>
      <c r="BF23">
        <f>_xll.EQNXTDZ($A$1,$B23,BF$1,$B$1)</f>
        <v>248.47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3692.66</v>
      </c>
      <c r="D24">
        <f>_xll.EQNXTDZ($A$1,$B24,D$1,$B$1)</f>
        <v>2511.85</v>
      </c>
      <c r="E24">
        <f>_xll.EQNXTDZ($A$1,$B24,E$1,$B$1)</f>
        <v>2294.77</v>
      </c>
      <c r="F24">
        <f>_xll.EQNXTDZ($A$1,$B24,F$1,$B$1)</f>
        <v>4301.08</v>
      </c>
      <c r="G24">
        <f>_xll.EQNXTDZ($A$1,$B24,G$1,$B$1)</f>
        <v>3871.67</v>
      </c>
      <c r="H24">
        <f>_xll.EQNXTDZ($A$1,$B24,H$1,$B$1)</f>
        <v>3908.71</v>
      </c>
      <c r="I24">
        <f>_xll.EQNXTDZ($A$1,$B24,I$1,$B$1)</f>
        <v>4024.66</v>
      </c>
      <c r="J24">
        <f>_xll.EQNXTDZ($A$1,$B24,J$1,$B$1)</f>
        <v>5122.78</v>
      </c>
      <c r="K24">
        <f>_xll.EQNXTDZ($A$1,$B24,K$1,$B$1)</f>
        <v>4488.71</v>
      </c>
      <c r="L24">
        <f>_xll.EQNXTDZ($A$1,$B24,L$1,$B$1)</f>
        <v>3964.34</v>
      </c>
      <c r="M24">
        <f>_xll.EQNXTDZ($A$1,$B24,M$1,$B$1)</f>
        <v>3196.5</v>
      </c>
      <c r="N24">
        <f>_xll.EQNXTDZ($A$1,$B24,N$1,$B$1)</f>
        <v>1682.38</v>
      </c>
      <c r="O24">
        <f>_xll.EQNXTDZ($A$1,$B24,O$1,$B$1)</f>
        <v>2744.71</v>
      </c>
      <c r="P24">
        <f>_xll.EQNXTDZ($A$1,$B24,P$1,$B$1)</f>
        <v>1910.38</v>
      </c>
      <c r="Q24">
        <f>_xll.EQNXTDZ($A$1,$B24,Q$1,$B$1)</f>
        <v>936.65</v>
      </c>
      <c r="R24">
        <f>_xll.EQNXTDZ($A$1,$B24,R$1,$B$1)</f>
        <v>2369.0500000000002</v>
      </c>
      <c r="S24">
        <f>_xll.EQNXTDZ($A$1,$B24,S$1,$B$1)</f>
        <v>3411.75</v>
      </c>
      <c r="T24">
        <f>_xll.EQNXTDZ($A$1,$B24,T$1,$B$1)</f>
        <v>3179.94</v>
      </c>
      <c r="U24">
        <f>_xll.EQNXTDZ($A$1,$B24,U$1,$B$1)</f>
        <v>3766.21</v>
      </c>
      <c r="V24">
        <f>_xll.EQNXTDZ($A$1,$B24,V$1,$B$1)</f>
        <v>7177.38</v>
      </c>
      <c r="W24">
        <f>_xll.EQNXTDZ($A$1,$B24,W$1,$B$1)</f>
        <v>5129.4799999999996</v>
      </c>
      <c r="X24">
        <f>_xll.EQNXTDZ($A$1,$B24,X$1,$B$1)</f>
        <v>4932.08</v>
      </c>
      <c r="Y24">
        <f>_xll.EQNXTDZ($A$1,$B24,Y$1,$B$1)</f>
        <v>5922.82</v>
      </c>
      <c r="Z24">
        <f>_xll.EQNXTDZ($A$1,$B24,Z$1,$B$1)</f>
        <v>6677.96</v>
      </c>
      <c r="AA24">
        <f>_xll.EQNXTDZ($A$1,$B24,AA$1,$B$1)</f>
        <v>6705.58</v>
      </c>
      <c r="AB24">
        <f>_xll.EQNXTDZ($A$1,$B24,AB$1,$B$1)</f>
        <v>9162.0400000000009</v>
      </c>
      <c r="AC24">
        <f>_xll.EQNXTDZ($A$1,$B24,AC$1,$B$1)</f>
        <v>6933.15</v>
      </c>
      <c r="AD24">
        <f>_xll.EQNXTDZ($A$1,$B24,AD$1,$B$1)</f>
        <v>8003.1499999999896</v>
      </c>
      <c r="AE24">
        <f>_xll.EQNXTDZ($A$1,$B24,AE$1,$B$1)</f>
        <v>5628</v>
      </c>
      <c r="AF24">
        <f>_xll.EQNXTDZ($A$1,$B24,AF$1,$B$1)</f>
        <v>4003.11</v>
      </c>
      <c r="AG24">
        <f>_xll.EQNXTDZ($A$1,$B24,AG$1,$B$1)</f>
        <v>3712.67</v>
      </c>
      <c r="AH24">
        <f>_xll.EQNXTDZ($A$1,$B24,AH$1,$B$1)</f>
        <v>6112.5</v>
      </c>
      <c r="AI24">
        <f>_xll.EQNXTDZ($A$1,$B24,AI$1,$B$1)</f>
        <v>727.13999999999703</v>
      </c>
      <c r="AJ24">
        <f>_xll.EQNXTDZ($A$1,$B24,AJ$1,$B$1)</f>
        <v>6430.56</v>
      </c>
      <c r="AK24">
        <f>_xll.EQNXTDZ($A$1,$B24,AK$1,$B$1)</f>
        <v>9785.9</v>
      </c>
      <c r="AL24">
        <f>_xll.EQNXTDZ($A$1,$B24,AL$1,$B$1)</f>
        <v>14456.26</v>
      </c>
      <c r="AM24">
        <f>_xll.EQNXTDZ($A$1,$B24,AM$1,$B$1)</f>
        <v>16272.78</v>
      </c>
      <c r="AN24">
        <f>_xll.EQNXTDZ($A$1,$B24,AN$1,$B$1)</f>
        <v>16726.97</v>
      </c>
      <c r="AO24">
        <f>_xll.EQNXTDZ($A$1,$B24,AO$1,$B$1)</f>
        <v>15953.28</v>
      </c>
      <c r="AP24">
        <f>_xll.EQNXTDZ($A$1,$B24,AP$1,$B$1)</f>
        <v>15321.81</v>
      </c>
      <c r="AQ24">
        <f>_xll.EQNXTDZ($A$1,$B24,AQ$1,$B$1)</f>
        <v>15240.88</v>
      </c>
      <c r="AR24">
        <f>_xll.EQNXTDZ($A$1,$B24,AR$1,$B$1)</f>
        <v>6389.58</v>
      </c>
      <c r="AS24">
        <f>_xll.EQNXTDZ($A$1,$B24,AS$1,$B$1)</f>
        <v>4318.4399999999996</v>
      </c>
      <c r="AT24">
        <f>_xll.EQNXTDZ($A$1,$B24,AT$1,$B$1)</f>
        <v>7388.7400000000098</v>
      </c>
      <c r="AU24">
        <f>_xll.EQNXTDZ($A$1,$B24,AU$1,$B$1)</f>
        <v>6350.7</v>
      </c>
      <c r="AV24">
        <f>_xll.EQNXTDZ($A$1,$B24,AV$1,$B$1)</f>
        <v>4496.0500000000102</v>
      </c>
      <c r="AW24">
        <f>_xll.EQNXTDZ($A$1,$B24,AW$1,$B$1)</f>
        <v>6491.46</v>
      </c>
      <c r="AX24">
        <f>_xll.EQNXTDZ($A$1,$B24,AX$1,$B$1)</f>
        <v>6776.54</v>
      </c>
      <c r="AY24">
        <f>_xll.EQNXTDZ($A$1,$B24,AY$1,$B$1)</f>
        <v>6954.38</v>
      </c>
      <c r="AZ24">
        <f>_xll.EQNXTDZ($A$1,$B24,AZ$1,$B$1)</f>
        <v>6739.86</v>
      </c>
      <c r="BA24">
        <f>_xll.EQNXTDZ($A$1,$B24,BA$1,$B$1)</f>
        <v>6124.52</v>
      </c>
      <c r="BB24">
        <f>_xll.EQNXTDZ($A$1,$B24,BB$1,$B$1)</f>
        <v>7020.22</v>
      </c>
      <c r="BC24">
        <f>_xll.EQNXTDZ($A$1,$B24,BC$1,$B$1)</f>
        <v>7716.21</v>
      </c>
      <c r="BD24">
        <f>_xll.EQNXTDZ($A$1,$B24,BD$1,$B$1)</f>
        <v>9260.09</v>
      </c>
      <c r="BE24">
        <f>_xll.EQNXTDZ($A$1,$B24,BE$1,$B$1)</f>
        <v>8700.79000000001</v>
      </c>
      <c r="BF24">
        <f>_xll.EQNXTDZ($A$1,$B24,BF$1,$B$1)</f>
        <v>10077.129999999999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969.01</v>
      </c>
      <c r="D25">
        <f>_xll.EQNXTDZ($A$1,$B25,D$1,$B$1)</f>
        <v>972.11</v>
      </c>
      <c r="E25">
        <f>_xll.EQNXTDZ($A$1,$B25,E$1,$B$1)</f>
        <v>1032.25</v>
      </c>
      <c r="F25">
        <f>_xll.EQNXTDZ($A$1,$B25,F$1,$B$1)</f>
        <v>994.74</v>
      </c>
      <c r="G25">
        <f>_xll.EQNXTDZ($A$1,$B25,G$1,$B$1)</f>
        <v>992.44</v>
      </c>
      <c r="H25">
        <f>_xll.EQNXTDZ($A$1,$B25,H$1,$B$1)</f>
        <v>1066.6199999999999</v>
      </c>
      <c r="I25">
        <f>_xll.EQNXTDZ($A$1,$B25,I$1,$B$1)</f>
        <v>1108.42</v>
      </c>
      <c r="J25">
        <f>_xll.EQNXTDZ($A$1,$B25,J$1,$B$1)</f>
        <v>1169.3499999999999</v>
      </c>
      <c r="K25">
        <f>_xll.EQNXTDZ($A$1,$B25,K$1,$B$1)</f>
        <v>1252.3699999999999</v>
      </c>
      <c r="L25">
        <f>_xll.EQNXTDZ($A$1,$B25,L$1,$B$1)</f>
        <v>1232.78</v>
      </c>
      <c r="M25">
        <f>_xll.EQNXTDZ($A$1,$B25,M$1,$B$1)</f>
        <v>1167.4100000000001</v>
      </c>
      <c r="N25">
        <f>_xll.EQNXTDZ($A$1,$B25,N$1,$B$1)</f>
        <v>1195.19</v>
      </c>
      <c r="O25">
        <f>_xll.EQNXTDZ($A$1,$B25,O$1,$B$1)</f>
        <v>1146.95</v>
      </c>
      <c r="P25">
        <f>_xll.EQNXTDZ($A$1,$B25,P$1,$B$1)</f>
        <v>1100.06</v>
      </c>
      <c r="Q25">
        <f>_xll.EQNXTDZ($A$1,$B25,Q$1,$B$1)</f>
        <v>987.55</v>
      </c>
      <c r="R25">
        <f>_xll.EQNXTDZ($A$1,$B25,R$1,$B$1)</f>
        <v>987.4</v>
      </c>
      <c r="S25">
        <f>_xll.EQNXTDZ($A$1,$B25,S$1,$B$1)</f>
        <v>1070.68</v>
      </c>
      <c r="T25">
        <f>_xll.EQNXTDZ($A$1,$B25,T$1,$B$1)</f>
        <v>1351.02</v>
      </c>
      <c r="U25">
        <f>_xll.EQNXTDZ($A$1,$B25,U$1,$B$1)</f>
        <v>1387.38</v>
      </c>
      <c r="V25">
        <f>_xll.EQNXTDZ($A$1,$B25,V$1,$B$1)</f>
        <v>1263.1199999999999</v>
      </c>
      <c r="W25">
        <f>_xll.EQNXTDZ($A$1,$B25,W$1,$B$1)</f>
        <v>1343.71</v>
      </c>
      <c r="X25">
        <f>_xll.EQNXTDZ($A$1,$B25,X$1,$B$1)</f>
        <v>1349.93</v>
      </c>
      <c r="Y25">
        <f>_xll.EQNXTDZ($A$1,$B25,Y$1,$B$1)</f>
        <v>1327.28</v>
      </c>
      <c r="Z25">
        <f>_xll.EQNXTDZ($A$1,$B25,Z$1,$B$1)</f>
        <v>1469.59</v>
      </c>
      <c r="AA25">
        <f>_xll.EQNXTDZ($A$1,$B25,AA$1,$B$1)</f>
        <v>1657.81</v>
      </c>
      <c r="AB25">
        <f>_xll.EQNXTDZ($A$1,$B25,AB$1,$B$1)</f>
        <v>2138.5100000000002</v>
      </c>
      <c r="AC25">
        <f>_xll.EQNXTDZ($A$1,$B25,AC$1,$B$1)</f>
        <v>1926.03</v>
      </c>
      <c r="AD25">
        <f>_xll.EQNXTDZ($A$1,$B25,AD$1,$B$1)</f>
        <v>1937.75</v>
      </c>
      <c r="AE25">
        <f>_xll.EQNXTDZ($A$1,$B25,AE$1,$B$1)</f>
        <v>1806.43</v>
      </c>
      <c r="AF25">
        <f>_xll.EQNXTDZ($A$1,$B25,AF$1,$B$1)</f>
        <v>1871.37</v>
      </c>
      <c r="AG25">
        <f>_xll.EQNXTDZ($A$1,$B25,AG$1,$B$1)</f>
        <v>1930.58</v>
      </c>
      <c r="AH25">
        <f>_xll.EQNXTDZ($A$1,$B25,AH$1,$B$1)</f>
        <v>1933.75</v>
      </c>
      <c r="AI25">
        <f>_xll.EQNXTDZ($A$1,$B25,AI$1,$B$1)</f>
        <v>2006.43</v>
      </c>
      <c r="AJ25">
        <f>_xll.EQNXTDZ($A$1,$B25,AJ$1,$B$1)</f>
        <v>1948</v>
      </c>
      <c r="AK25">
        <f>_xll.EQNXTDZ($A$1,$B25,AK$1,$B$1)</f>
        <v>1786.01</v>
      </c>
      <c r="AL25">
        <f>_xll.EQNXTDZ($A$1,$B25,AL$1,$B$1)</f>
        <v>1866.27</v>
      </c>
      <c r="AM25">
        <f>_xll.EQNXTDZ($A$1,$B25,AM$1,$B$1)</f>
        <v>1811.43</v>
      </c>
      <c r="AN25">
        <f>_xll.EQNXTDZ($A$1,$B25,AN$1,$B$1)</f>
        <v>1019.77</v>
      </c>
      <c r="AO25">
        <f>_xll.EQNXTDZ($A$1,$B25,AO$1,$B$1)</f>
        <v>1532.49</v>
      </c>
      <c r="AP25">
        <f>_xll.EQNXTDZ($A$1,$B25,AP$1,$B$1)</f>
        <v>1098.51</v>
      </c>
      <c r="AQ25">
        <f>_xll.EQNXTDZ($A$1,$B25,AQ$1,$B$1)</f>
        <v>1218.1099999999999</v>
      </c>
      <c r="AR25">
        <f>_xll.EQNXTDZ($A$1,$B25,AR$1,$B$1)</f>
        <v>1519.07</v>
      </c>
      <c r="AS25">
        <f>_xll.EQNXTDZ($A$1,$B25,AS$1,$B$1)</f>
        <v>1767.92</v>
      </c>
      <c r="AT25">
        <f>_xll.EQNXTDZ($A$1,$B25,AT$1,$B$1)</f>
        <v>1793.6</v>
      </c>
      <c r="AU25">
        <f>_xll.EQNXTDZ($A$1,$B25,AU$1,$B$1)</f>
        <v>1825.15</v>
      </c>
      <c r="AV25">
        <f>_xll.EQNXTDZ($A$1,$B25,AV$1,$B$1)</f>
        <v>1959.39</v>
      </c>
      <c r="AW25">
        <f>_xll.EQNXTDZ($A$1,$B25,AW$1,$B$1)</f>
        <v>1880.78</v>
      </c>
      <c r="AX25">
        <f>_xll.EQNXTDZ($A$1,$B25,AX$1,$B$1)</f>
        <v>1842.25</v>
      </c>
      <c r="AY25">
        <f>_xll.EQNXTDZ($A$1,$B25,AY$1,$B$1)</f>
        <v>1776.71</v>
      </c>
      <c r="AZ25">
        <f>_xll.EQNXTDZ($A$1,$B25,AZ$1,$B$1)</f>
        <v>1971.4</v>
      </c>
      <c r="BA25">
        <f>_xll.EQNXTDZ($A$1,$B25,BA$1,$B$1)</f>
        <v>1804.09</v>
      </c>
      <c r="BB25">
        <f>_xll.EQNXTDZ($A$1,$B25,BB$1,$B$1)</f>
        <v>1788.75</v>
      </c>
      <c r="BC25">
        <f>_xll.EQNXTDZ($A$1,$B25,BC$1,$B$1)</f>
        <v>1852.43</v>
      </c>
      <c r="BD25">
        <f>_xll.EQNXTDZ($A$1,$B25,BD$1,$B$1)</f>
        <v>1774.96</v>
      </c>
      <c r="BE25">
        <f>_xll.EQNXTDZ($A$1,$B25,BE$1,$B$1)</f>
        <v>1747.29</v>
      </c>
      <c r="BF25">
        <f>_xll.EQNXTDZ($A$1,$B25,BF$1,$B$1)</f>
        <v>1792.38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42.68</v>
      </c>
      <c r="E26">
        <f>_xll.EQNXTDZ($A$1,$B26,E$1,$B$1)</f>
        <v>-19.78</v>
      </c>
      <c r="F26">
        <f>_xll.EQNXTDZ($A$1,$B26,F$1,$B$1)</f>
        <v>-7412.78</v>
      </c>
      <c r="G26">
        <f>_xll.EQNXTDZ($A$1,$B26,G$1,$B$1)</f>
        <v>17.760000000000002</v>
      </c>
      <c r="H26">
        <f>_xll.EQNXTDZ($A$1,$B26,H$1,$B$1)</f>
        <v>0</v>
      </c>
      <c r="I26">
        <f>_xll.EQNXTDZ($A$1,$B26,I$1,$B$1)</f>
        <v>0.44</v>
      </c>
      <c r="J26">
        <f>_xll.EQNXTDZ($A$1,$B26,J$1,$B$1)</f>
        <v>-45.84</v>
      </c>
      <c r="K26">
        <f>_xll.EQNXTDZ($A$1,$B26,K$1,$B$1)</f>
        <v>-262.48</v>
      </c>
      <c r="L26">
        <f>_xll.EQNXTDZ($A$1,$B26,L$1,$B$1)</f>
        <v>1145.01</v>
      </c>
      <c r="M26">
        <f>_xll.EQNXTDZ($A$1,$B26,M$1,$B$1)</f>
        <v>0</v>
      </c>
      <c r="N26">
        <f>_xll.EQNXTDZ($A$1,$B26,N$1,$B$1)</f>
        <v>-4811.2</v>
      </c>
      <c r="O26">
        <f>_xll.EQNXTDZ($A$1,$B26,O$1,$B$1)</f>
        <v>-144.59</v>
      </c>
      <c r="P26">
        <f>_xll.EQNXTDZ($A$1,$B26,P$1,$B$1)</f>
        <v>6514.98</v>
      </c>
      <c r="Q26">
        <f>_xll.EQNXTDZ($A$1,$B26,Q$1,$B$1)</f>
        <v>-480.63</v>
      </c>
      <c r="R26">
        <f>_xll.EQNXTDZ($A$1,$B26,R$1,$B$1)</f>
        <v>-2295.81</v>
      </c>
      <c r="S26">
        <f>_xll.EQNXTDZ($A$1,$B26,S$1,$B$1)</f>
        <v>-167.8</v>
      </c>
      <c r="T26">
        <f>_xll.EQNXTDZ($A$1,$B26,T$1,$B$1)</f>
        <v>-59.29</v>
      </c>
      <c r="U26">
        <f>_xll.EQNXTDZ($A$1,$B26,U$1,$B$1)</f>
        <v>-28.55</v>
      </c>
      <c r="V26">
        <f>_xll.EQNXTDZ($A$1,$B26,V$1,$B$1)</f>
        <v>-4068.59</v>
      </c>
      <c r="W26">
        <f>_xll.EQNXTDZ($A$1,$B26,W$1,$B$1)</f>
        <v>-616.79</v>
      </c>
      <c r="X26">
        <f>_xll.EQNXTDZ($A$1,$B26,X$1,$B$1)</f>
        <v>-44.65</v>
      </c>
      <c r="Y26">
        <f>_xll.EQNXTDZ($A$1,$B26,Y$1,$B$1)</f>
        <v>-1115.58</v>
      </c>
      <c r="Z26">
        <f>_xll.EQNXTDZ($A$1,$B26,Z$1,$B$1)</f>
        <v>11376.14</v>
      </c>
      <c r="AA26">
        <f>_xll.EQNXTDZ($A$1,$B26,AA$1,$B$1)</f>
        <v>-328.64</v>
      </c>
      <c r="AB26">
        <f>_xll.EQNXTDZ($A$1,$B26,AB$1,$B$1)</f>
        <v>163.77000000000001</v>
      </c>
      <c r="AC26">
        <f>_xll.EQNXTDZ($A$1,$B26,AC$1,$B$1)</f>
        <v>32.409999999999997</v>
      </c>
      <c r="AD26">
        <f>_xll.EQNXTDZ($A$1,$B26,AD$1,$B$1)</f>
        <v>11.49</v>
      </c>
      <c r="AE26">
        <f>_xll.EQNXTDZ($A$1,$B26,AE$1,$B$1)</f>
        <v>16</v>
      </c>
      <c r="AF26">
        <f>_xll.EQNXTDZ($A$1,$B26,AF$1,$B$1)</f>
        <v>-33.56</v>
      </c>
      <c r="AG26">
        <f>_xll.EQNXTDZ($A$1,$B26,AG$1,$B$1)</f>
        <v>-328.64</v>
      </c>
      <c r="AH26">
        <f>_xll.EQNXTDZ($A$1,$B26,AH$1,$B$1)</f>
        <v>-3853.64</v>
      </c>
      <c r="AI26">
        <f>_xll.EQNXTDZ($A$1,$B26,AI$1,$B$1)</f>
        <v>58.36</v>
      </c>
      <c r="AJ26">
        <f>_xll.EQNXTDZ($A$1,$B26,AJ$1,$B$1)</f>
        <v>43.16</v>
      </c>
      <c r="AK26">
        <f>_xll.EQNXTDZ($A$1,$B26,AK$1,$B$1)</f>
        <v>-153.55000000000001</v>
      </c>
      <c r="AL26">
        <f>_xll.EQNXTDZ($A$1,$B26,AL$1,$B$1)</f>
        <v>-991.13</v>
      </c>
      <c r="AM26">
        <f>_xll.EQNXTDZ($A$1,$B26,AM$1,$B$1)</f>
        <v>-182.33</v>
      </c>
      <c r="AN26">
        <f>_xll.EQNXTDZ($A$1,$B26,AN$1,$B$1)</f>
        <v>515.96</v>
      </c>
      <c r="AO26">
        <f>_xll.EQNXTDZ($A$1,$B26,AO$1,$B$1)</f>
        <v>-193.4</v>
      </c>
      <c r="AP26">
        <f>_xll.EQNXTDZ($A$1,$B26,AP$1,$B$1)</f>
        <v>-274.29000000000002</v>
      </c>
      <c r="AQ26">
        <f>_xll.EQNXTDZ($A$1,$B26,AQ$1,$B$1)</f>
        <v>-39.24</v>
      </c>
      <c r="AR26">
        <f>_xll.EQNXTDZ($A$1,$B26,AR$1,$B$1)</f>
        <v>-19.43</v>
      </c>
      <c r="AS26">
        <f>_xll.EQNXTDZ($A$1,$B26,AS$1,$B$1)</f>
        <v>160.34</v>
      </c>
      <c r="AT26">
        <f>_xll.EQNXTDZ($A$1,$B26,AT$1,$B$1)</f>
        <v>11.59</v>
      </c>
      <c r="AU26">
        <f>_xll.EQNXTDZ($A$1,$B26,AU$1,$B$1)</f>
        <v>13.42</v>
      </c>
      <c r="AV26">
        <f>_xll.EQNXTDZ($A$1,$B26,AV$1,$B$1)</f>
        <v>-6898.9</v>
      </c>
      <c r="AW26">
        <f>_xll.EQNXTDZ($A$1,$B26,AW$1,$B$1)</f>
        <v>-334.13</v>
      </c>
      <c r="AX26">
        <f>_xll.EQNXTDZ($A$1,$B26,AX$1,$B$1)</f>
        <v>-594.47</v>
      </c>
      <c r="AY26">
        <f>_xll.EQNXTDZ($A$1,$B26,AY$1,$B$1)</f>
        <v>-357.93</v>
      </c>
      <c r="AZ26">
        <f>_xll.EQNXTDZ($A$1,$B26,AZ$1,$B$1)</f>
        <v>18.09</v>
      </c>
      <c r="BA26">
        <f>_xll.EQNXTDZ($A$1,$B26,BA$1,$B$1)</f>
        <v>-126.19</v>
      </c>
      <c r="BB26">
        <f>_xll.EQNXTDZ($A$1,$B26,BB$1,$B$1)</f>
        <v>-388.61</v>
      </c>
      <c r="BC26">
        <f>_xll.EQNXTDZ($A$1,$B26,BC$1,$B$1)</f>
        <v>-132.12</v>
      </c>
      <c r="BD26">
        <f>_xll.EQNXTDZ($A$1,$B26,BD$1,$B$1)</f>
        <v>-420.41</v>
      </c>
      <c r="BE26">
        <f>_xll.EQNXTDZ($A$1,$B26,BE$1,$B$1)</f>
        <v>-139.88</v>
      </c>
      <c r="BF26">
        <f>_xll.EQNXTDZ($A$1,$B26,BF$1,$B$1)</f>
        <v>-340.05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2723.65</v>
      </c>
      <c r="D27">
        <f>_xll.EQNXTDZ($A$1,$B27,D$1,$B$1)</f>
        <v>1582.42</v>
      </c>
      <c r="E27">
        <f>_xll.EQNXTDZ($A$1,$B27,E$1,$B$1)</f>
        <v>1242.74</v>
      </c>
      <c r="F27">
        <f>_xll.EQNXTDZ($A$1,$B27,F$1,$B$1)</f>
        <v>-4106.4399999999996</v>
      </c>
      <c r="G27">
        <f>_xll.EQNXTDZ($A$1,$B27,G$1,$B$1)</f>
        <v>2896.99</v>
      </c>
      <c r="H27">
        <f>_xll.EQNXTDZ($A$1,$B27,H$1,$B$1)</f>
        <v>2842.09</v>
      </c>
      <c r="I27">
        <f>_xll.EQNXTDZ($A$1,$B27,I$1,$B$1)</f>
        <v>2916.68</v>
      </c>
      <c r="J27">
        <f>_xll.EQNXTDZ($A$1,$B27,J$1,$B$1)</f>
        <v>3907.59</v>
      </c>
      <c r="K27">
        <f>_xll.EQNXTDZ($A$1,$B27,K$1,$B$1)</f>
        <v>2973.86</v>
      </c>
      <c r="L27">
        <f>_xll.EQNXTDZ($A$1,$B27,L$1,$B$1)</f>
        <v>3876.57</v>
      </c>
      <c r="M27">
        <f>_xll.EQNXTDZ($A$1,$B27,M$1,$B$1)</f>
        <v>2029.09</v>
      </c>
      <c r="N27">
        <f>_xll.EQNXTDZ($A$1,$B27,N$1,$B$1)</f>
        <v>-4324.01</v>
      </c>
      <c r="O27">
        <f>_xll.EQNXTDZ($A$1,$B27,O$1,$B$1)</f>
        <v>1453.17</v>
      </c>
      <c r="P27">
        <f>_xll.EQNXTDZ($A$1,$B27,P$1,$B$1)</f>
        <v>7325.3</v>
      </c>
      <c r="Q27">
        <f>_xll.EQNXTDZ($A$1,$B27,Q$1,$B$1)</f>
        <v>-531.53</v>
      </c>
      <c r="R27">
        <f>_xll.EQNXTDZ($A$1,$B27,R$1,$B$1)</f>
        <v>-914.16</v>
      </c>
      <c r="S27">
        <f>_xll.EQNXTDZ($A$1,$B27,S$1,$B$1)</f>
        <v>2173.27</v>
      </c>
      <c r="T27">
        <f>_xll.EQNXTDZ($A$1,$B27,T$1,$B$1)</f>
        <v>1769.63</v>
      </c>
      <c r="U27">
        <f>_xll.EQNXTDZ($A$1,$B27,U$1,$B$1)</f>
        <v>2350.2800000000002</v>
      </c>
      <c r="V27">
        <f>_xll.EQNXTDZ($A$1,$B27,V$1,$B$1)</f>
        <v>1845.67</v>
      </c>
      <c r="W27">
        <f>_xll.EQNXTDZ($A$1,$B27,W$1,$B$1)</f>
        <v>3168.98</v>
      </c>
      <c r="X27">
        <f>_xll.EQNXTDZ($A$1,$B27,X$1,$B$1)</f>
        <v>3537.5</v>
      </c>
      <c r="Y27">
        <f>_xll.EQNXTDZ($A$1,$B27,Y$1,$B$1)</f>
        <v>3479.96</v>
      </c>
      <c r="Z27">
        <f>_xll.EQNXTDZ($A$1,$B27,Z$1,$B$1)</f>
        <v>16584.509999999998</v>
      </c>
      <c r="AA27">
        <f>_xll.EQNXTDZ($A$1,$B27,AA$1,$B$1)</f>
        <v>4719.13</v>
      </c>
      <c r="AB27">
        <f>_xll.EQNXTDZ($A$1,$B27,AB$1,$B$1)</f>
        <v>7187.3</v>
      </c>
      <c r="AC27">
        <f>_xll.EQNXTDZ($A$1,$B27,AC$1,$B$1)</f>
        <v>5039.53</v>
      </c>
      <c r="AD27">
        <f>_xll.EQNXTDZ($A$1,$B27,AD$1,$B$1)</f>
        <v>6076.8899999999903</v>
      </c>
      <c r="AE27">
        <f>_xll.EQNXTDZ($A$1,$B27,AE$1,$B$1)</f>
        <v>3837.57</v>
      </c>
      <c r="AF27">
        <f>_xll.EQNXTDZ($A$1,$B27,AF$1,$B$1)</f>
        <v>2098.1799999999998</v>
      </c>
      <c r="AG27">
        <f>_xll.EQNXTDZ($A$1,$B27,AG$1,$B$1)</f>
        <v>1453.45</v>
      </c>
      <c r="AH27">
        <f>_xll.EQNXTDZ($A$1,$B27,AH$1,$B$1)</f>
        <v>325.11</v>
      </c>
      <c r="AI27">
        <f>_xll.EQNXTDZ($A$1,$B27,AI$1,$B$1)</f>
        <v>-1220.93</v>
      </c>
      <c r="AJ27">
        <f>_xll.EQNXTDZ($A$1,$B27,AJ$1,$B$1)</f>
        <v>4525.72</v>
      </c>
      <c r="AK27">
        <f>_xll.EQNXTDZ($A$1,$B27,AK$1,$B$1)</f>
        <v>7846.34</v>
      </c>
      <c r="AL27">
        <f>_xll.EQNXTDZ($A$1,$B27,AL$1,$B$1)</f>
        <v>11598.86</v>
      </c>
      <c r="AM27">
        <f>_xll.EQNXTDZ($A$1,$B27,AM$1,$B$1)</f>
        <v>14279.02</v>
      </c>
      <c r="AN27">
        <f>_xll.EQNXTDZ($A$1,$B27,AN$1,$B$1)</f>
        <v>16223.16</v>
      </c>
      <c r="AO27">
        <f>_xll.EQNXTDZ($A$1,$B27,AO$1,$B$1)</f>
        <v>14227.39</v>
      </c>
      <c r="AP27">
        <f>_xll.EQNXTDZ($A$1,$B27,AP$1,$B$1)</f>
        <v>13949.01</v>
      </c>
      <c r="AQ27">
        <f>_xll.EQNXTDZ($A$1,$B27,AQ$1,$B$1)</f>
        <v>13983.53</v>
      </c>
      <c r="AR27">
        <f>_xll.EQNXTDZ($A$1,$B27,AR$1,$B$1)</f>
        <v>4851.08</v>
      </c>
      <c r="AS27">
        <f>_xll.EQNXTDZ($A$1,$B27,AS$1,$B$1)</f>
        <v>2710.86</v>
      </c>
      <c r="AT27">
        <f>_xll.EQNXTDZ($A$1,$B27,AT$1,$B$1)</f>
        <v>5606.7300000000096</v>
      </c>
      <c r="AU27">
        <f>_xll.EQNXTDZ($A$1,$B27,AU$1,$B$1)</f>
        <v>4538.97</v>
      </c>
      <c r="AV27">
        <f>_xll.EQNXTDZ($A$1,$B27,AV$1,$B$1)</f>
        <v>-4362.2399999999898</v>
      </c>
      <c r="AW27">
        <f>_xll.EQNXTDZ($A$1,$B27,AW$1,$B$1)</f>
        <v>4276.55</v>
      </c>
      <c r="AX27">
        <f>_xll.EQNXTDZ($A$1,$B27,AX$1,$B$1)</f>
        <v>4339.82</v>
      </c>
      <c r="AY27">
        <f>_xll.EQNXTDZ($A$1,$B27,AY$1,$B$1)</f>
        <v>4819.74</v>
      </c>
      <c r="AZ27">
        <f>_xll.EQNXTDZ($A$1,$B27,AZ$1,$B$1)</f>
        <v>4786.55</v>
      </c>
      <c r="BA27">
        <f>_xll.EQNXTDZ($A$1,$B27,BA$1,$B$1)</f>
        <v>4194.24</v>
      </c>
      <c r="BB27">
        <f>_xll.EQNXTDZ($A$1,$B27,BB$1,$B$1)</f>
        <v>4842.8599999999997</v>
      </c>
      <c r="BC27">
        <f>_xll.EQNXTDZ($A$1,$B27,BC$1,$B$1)</f>
        <v>5731.66</v>
      </c>
      <c r="BD27">
        <f>_xll.EQNXTDZ($A$1,$B27,BD$1,$B$1)</f>
        <v>7064.72</v>
      </c>
      <c r="BE27">
        <f>_xll.EQNXTDZ($A$1,$B27,BE$1,$B$1)</f>
        <v>6813.6200000000099</v>
      </c>
      <c r="BF27">
        <f>_xll.EQNXTDZ($A$1,$B27,BF$1,$B$1)</f>
        <v>7944.6999999999898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1307.98</v>
      </c>
      <c r="D28">
        <f>_xll.EQNXTDZ($A$1,$B28,D$1,$B$1)</f>
        <v>1334.94</v>
      </c>
      <c r="E28">
        <f>_xll.EQNXTDZ($A$1,$B28,E$1,$B$1)</f>
        <v>1462.84</v>
      </c>
      <c r="F28">
        <f>_xll.EQNXTDZ($A$1,$B28,F$1,$B$1)</f>
        <v>1469.56</v>
      </c>
      <c r="G28">
        <f>_xll.EQNXTDZ($A$1,$B28,G$1,$B$1)</f>
        <v>1403.27</v>
      </c>
      <c r="H28">
        <f>_xll.EQNXTDZ($A$1,$B28,H$1,$B$1)</f>
        <v>1443.99</v>
      </c>
      <c r="I28">
        <f>_xll.EQNXTDZ($A$1,$B28,I$1,$B$1)</f>
        <v>1522.09</v>
      </c>
      <c r="J28">
        <f>_xll.EQNXTDZ($A$1,$B28,J$1,$B$1)</f>
        <v>1471.87</v>
      </c>
      <c r="K28">
        <f>_xll.EQNXTDZ($A$1,$B28,K$1,$B$1)</f>
        <v>1550.28</v>
      </c>
      <c r="L28">
        <f>_xll.EQNXTDZ($A$1,$B28,L$1,$B$1)</f>
        <v>1429.51</v>
      </c>
      <c r="M28">
        <f>_xll.EQNXTDZ($A$1,$B28,M$1,$B$1)</f>
        <v>1451.09</v>
      </c>
      <c r="N28">
        <f>_xll.EQNXTDZ($A$1,$B28,N$1,$B$1)</f>
        <v>1512.72</v>
      </c>
      <c r="O28">
        <f>_xll.EQNXTDZ($A$1,$B28,O$1,$B$1)</f>
        <v>1337.09</v>
      </c>
      <c r="P28">
        <f>_xll.EQNXTDZ($A$1,$B28,P$1,$B$1)</f>
        <v>1316.4</v>
      </c>
      <c r="Q28">
        <f>_xll.EQNXTDZ($A$1,$B28,Q$1,$B$1)</f>
        <v>1288.6099999999999</v>
      </c>
      <c r="R28">
        <f>_xll.EQNXTDZ($A$1,$B28,R$1,$B$1)</f>
        <v>1364.25</v>
      </c>
      <c r="S28">
        <f>_xll.EQNXTDZ($A$1,$B28,S$1,$B$1)</f>
        <v>1237.77</v>
      </c>
      <c r="T28">
        <f>_xll.EQNXTDZ($A$1,$B28,T$1,$B$1)</f>
        <v>1466.91</v>
      </c>
      <c r="U28">
        <f>_xll.EQNXTDZ($A$1,$B28,U$1,$B$1)</f>
        <v>1378.98</v>
      </c>
      <c r="V28">
        <f>_xll.EQNXTDZ($A$1,$B28,V$1,$B$1)</f>
        <v>1589.22</v>
      </c>
      <c r="W28">
        <f>_xll.EQNXTDZ($A$1,$B28,W$1,$B$1)</f>
        <v>1501.13</v>
      </c>
      <c r="X28">
        <f>_xll.EQNXTDZ($A$1,$B28,X$1,$B$1)</f>
        <v>1473.28</v>
      </c>
      <c r="Y28">
        <f>_xll.EQNXTDZ($A$1,$B28,Y$1,$B$1)</f>
        <v>1475.09</v>
      </c>
      <c r="Z28">
        <f>_xll.EQNXTDZ($A$1,$B28,Z$1,$B$1)</f>
        <v>1461.85</v>
      </c>
      <c r="AA28">
        <f>_xll.EQNXTDZ($A$1,$B28,AA$1,$B$1)</f>
        <v>1747.55</v>
      </c>
      <c r="AB28">
        <f>_xll.EQNXTDZ($A$1,$B28,AB$1,$B$1)</f>
        <v>1847.54</v>
      </c>
      <c r="AC28">
        <f>_xll.EQNXTDZ($A$1,$B28,AC$1,$B$1)</f>
        <v>1866.2</v>
      </c>
      <c r="AD28">
        <f>_xll.EQNXTDZ($A$1,$B28,AD$1,$B$1)</f>
        <v>1880.54</v>
      </c>
      <c r="AE28">
        <f>_xll.EQNXTDZ($A$1,$B28,AE$1,$B$1)</f>
        <v>2070.7800000000002</v>
      </c>
      <c r="AF28">
        <f>_xll.EQNXTDZ($A$1,$B28,AF$1,$B$1)</f>
        <v>2127.16</v>
      </c>
      <c r="AG28">
        <f>_xll.EQNXTDZ($A$1,$B28,AG$1,$B$1)</f>
        <v>2018.67</v>
      </c>
      <c r="AH28">
        <f>_xll.EQNXTDZ($A$1,$B28,AH$1,$B$1)</f>
        <v>2288.4899999999998</v>
      </c>
      <c r="AI28">
        <f>_xll.EQNXTDZ($A$1,$B28,AI$1,$B$1)</f>
        <v>2174.65</v>
      </c>
      <c r="AJ28">
        <f>_xll.EQNXTDZ($A$1,$B28,AJ$1,$B$1)</f>
        <v>2325.0500000000002</v>
      </c>
      <c r="AK28">
        <f>_xll.EQNXTDZ($A$1,$B28,AK$1,$B$1)</f>
        <v>2341.5300000000002</v>
      </c>
      <c r="AL28">
        <f>_xll.EQNXTDZ($A$1,$B28,AL$1,$B$1)</f>
        <v>2392.41</v>
      </c>
      <c r="AM28">
        <f>_xll.EQNXTDZ($A$1,$B28,AM$1,$B$1)</f>
        <v>2324.54</v>
      </c>
      <c r="AN28">
        <f>_xll.EQNXTDZ($A$1,$B28,AN$1,$B$1)</f>
        <v>2288.85</v>
      </c>
      <c r="AO28">
        <f>_xll.EQNXTDZ($A$1,$B28,AO$1,$B$1)</f>
        <v>2244.09</v>
      </c>
      <c r="AP28">
        <f>_xll.EQNXTDZ($A$1,$B28,AP$1,$B$1)</f>
        <v>2243.39</v>
      </c>
      <c r="AQ28">
        <f>_xll.EQNXTDZ($A$1,$B28,AQ$1,$B$1)</f>
        <v>2236.79</v>
      </c>
      <c r="AR28">
        <f>_xll.EQNXTDZ($A$1,$B28,AR$1,$B$1)</f>
        <v>2347.8200000000002</v>
      </c>
      <c r="AS28">
        <f>_xll.EQNXTDZ($A$1,$B28,AS$1,$B$1)</f>
        <v>2368.38</v>
      </c>
      <c r="AT28">
        <f>_xll.EQNXTDZ($A$1,$B28,AT$1,$B$1)</f>
        <v>2382.21</v>
      </c>
      <c r="AU28">
        <f>_xll.EQNXTDZ($A$1,$B28,AU$1,$B$1)</f>
        <v>2412.3200000000002</v>
      </c>
      <c r="AV28">
        <f>_xll.EQNXTDZ($A$1,$B28,AV$1,$B$1)</f>
        <v>2479.85</v>
      </c>
      <c r="AW28">
        <f>_xll.EQNXTDZ($A$1,$B28,AW$1,$B$1)</f>
        <v>2422.04</v>
      </c>
      <c r="AX28">
        <f>_xll.EQNXTDZ($A$1,$B28,AX$1,$B$1)</f>
        <v>2567.9499999999998</v>
      </c>
      <c r="AY28">
        <f>_xll.EQNXTDZ($A$1,$B28,AY$1,$B$1)</f>
        <v>2535.4299999999998</v>
      </c>
      <c r="AZ28">
        <f>_xll.EQNXTDZ($A$1,$B28,AZ$1,$B$1)</f>
        <v>2596.7399999999998</v>
      </c>
      <c r="BA28">
        <f>_xll.EQNXTDZ($A$1,$B28,BA$1,$B$1)</f>
        <v>2569.19</v>
      </c>
      <c r="BB28">
        <f>_xll.EQNXTDZ($A$1,$B28,BB$1,$B$1)</f>
        <v>2719.97</v>
      </c>
      <c r="BC28">
        <f>_xll.EQNXTDZ($A$1,$B28,BC$1,$B$1)</f>
        <v>2744.3</v>
      </c>
      <c r="BD28">
        <f>_xll.EQNXTDZ($A$1,$B28,BD$1,$B$1)</f>
        <v>2893</v>
      </c>
      <c r="BE28">
        <f>_xll.EQNXTDZ($A$1,$B28,BE$1,$B$1)</f>
        <v>3048.81</v>
      </c>
      <c r="BF28">
        <f>_xll.EQNXTDZ($A$1,$B28,BF$1,$B$1)</f>
        <v>3268.4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898.63</v>
      </c>
      <c r="D29">
        <f>_xll.EQNXTDZ($A$1,$B29,D$1,$B$1)</f>
        <v>660.75</v>
      </c>
      <c r="E29">
        <f>_xll.EQNXTDZ($A$1,$B29,E$1,$B$1)</f>
        <v>568.54</v>
      </c>
      <c r="F29">
        <f>_xll.EQNXTDZ($A$1,$B29,F$1,$B$1)</f>
        <v>1101.52</v>
      </c>
      <c r="G29">
        <f>_xll.EQNXTDZ($A$1,$B29,G$1,$B$1)</f>
        <v>351.39</v>
      </c>
      <c r="H29">
        <f>_xll.EQNXTDZ($A$1,$B29,H$1,$B$1)</f>
        <v>447.15</v>
      </c>
      <c r="I29">
        <f>_xll.EQNXTDZ($A$1,$B29,I$1,$B$1)</f>
        <v>895.09</v>
      </c>
      <c r="J29">
        <f>_xll.EQNXTDZ($A$1,$B29,J$1,$B$1)</f>
        <v>1364.53</v>
      </c>
      <c r="K29">
        <f>_xll.EQNXTDZ($A$1,$B29,K$1,$B$1)</f>
        <v>1080.4100000000001</v>
      </c>
      <c r="L29">
        <f>_xll.EQNXTDZ($A$1,$B29,L$1,$B$1)</f>
        <v>1174.77</v>
      </c>
      <c r="M29">
        <f>_xll.EQNXTDZ($A$1,$B29,M$1,$B$1)</f>
        <v>446.68</v>
      </c>
      <c r="N29">
        <f>_xll.EQNXTDZ($A$1,$B29,N$1,$B$1)</f>
        <v>-134.44999999999999</v>
      </c>
      <c r="O29">
        <f>_xll.EQNXTDZ($A$1,$B29,O$1,$B$1)</f>
        <v>100.66</v>
      </c>
      <c r="P29">
        <f>_xll.EQNXTDZ($A$1,$B29,P$1,$B$1)</f>
        <v>-168.15</v>
      </c>
      <c r="Q29">
        <f>_xll.EQNXTDZ($A$1,$B29,Q$1,$B$1)</f>
        <v>332.57</v>
      </c>
      <c r="R29">
        <f>_xll.EQNXTDZ($A$1,$B29,R$1,$B$1)</f>
        <v>424.88</v>
      </c>
      <c r="S29">
        <f>_xll.EQNXTDZ($A$1,$B29,S$1,$B$1)</f>
        <v>740.27</v>
      </c>
      <c r="T29">
        <f>_xll.EQNXTDZ($A$1,$B29,T$1,$B$1)</f>
        <v>363.37</v>
      </c>
      <c r="U29">
        <f>_xll.EQNXTDZ($A$1,$B29,U$1,$B$1)</f>
        <v>698.4</v>
      </c>
      <c r="V29">
        <f>_xll.EQNXTDZ($A$1,$B29,V$1,$B$1)</f>
        <v>975.96</v>
      </c>
      <c r="W29">
        <f>_xll.EQNXTDZ($A$1,$B29,W$1,$B$1)</f>
        <v>740.53</v>
      </c>
      <c r="X29">
        <f>_xll.EQNXTDZ($A$1,$B29,X$1,$B$1)</f>
        <v>1137.97</v>
      </c>
      <c r="Y29">
        <f>_xll.EQNXTDZ($A$1,$B29,Y$1,$B$1)</f>
        <v>950.82</v>
      </c>
      <c r="Z29">
        <f>_xll.EQNXTDZ($A$1,$B29,Z$1,$B$1)</f>
        <v>583.96</v>
      </c>
      <c r="AA29">
        <f>_xll.EQNXTDZ($A$1,$B29,AA$1,$B$1)</f>
        <v>1095.94</v>
      </c>
      <c r="AB29">
        <f>_xll.EQNXTDZ($A$1,$B29,AB$1,$B$1)</f>
        <v>2316.7800000000002</v>
      </c>
      <c r="AC29">
        <f>_xll.EQNXTDZ($A$1,$B29,AC$1,$B$1)</f>
        <v>1406.65</v>
      </c>
      <c r="AD29">
        <f>_xll.EQNXTDZ($A$1,$B29,AD$1,$B$1)</f>
        <v>1899.06</v>
      </c>
      <c r="AE29">
        <f>_xll.EQNXTDZ($A$1,$B29,AE$1,$B$1)</f>
        <v>1123.82</v>
      </c>
      <c r="AF29">
        <f>_xll.EQNXTDZ($A$1,$B29,AF$1,$B$1)</f>
        <v>-4049.99</v>
      </c>
      <c r="AG29">
        <f>_xll.EQNXTDZ($A$1,$B29,AG$1,$B$1)</f>
        <v>621.04</v>
      </c>
      <c r="AH29">
        <f>_xll.EQNXTDZ($A$1,$B29,AH$1,$B$1)</f>
        <v>-255.2</v>
      </c>
      <c r="AI29">
        <f>_xll.EQNXTDZ($A$1,$B29,AI$1,$B$1)</f>
        <v>1267.55</v>
      </c>
      <c r="AJ29">
        <f>_xll.EQNXTDZ($A$1,$B29,AJ$1,$B$1)</f>
        <v>609.15</v>
      </c>
      <c r="AK29">
        <f>_xll.EQNXTDZ($A$1,$B29,AK$1,$B$1)</f>
        <v>1582.25</v>
      </c>
      <c r="AL29">
        <f>_xll.EQNXTDZ($A$1,$B29,AL$1,$B$1)</f>
        <v>2194.9499999999998</v>
      </c>
      <c r="AM29">
        <f>_xll.EQNXTDZ($A$1,$B29,AM$1,$B$1)</f>
        <v>2308.41</v>
      </c>
      <c r="AN29">
        <f>_xll.EQNXTDZ($A$1,$B29,AN$1,$B$1)</f>
        <v>1571.87</v>
      </c>
      <c r="AO29">
        <f>_xll.EQNXTDZ($A$1,$B29,AO$1,$B$1)</f>
        <v>2567.42</v>
      </c>
      <c r="AP29">
        <f>_xll.EQNXTDZ($A$1,$B29,AP$1,$B$1)</f>
        <v>2029.85</v>
      </c>
      <c r="AQ29">
        <f>_xll.EQNXTDZ($A$1,$B29,AQ$1,$B$1)</f>
        <v>4192.26</v>
      </c>
      <c r="AR29">
        <f>_xll.EQNXTDZ($A$1,$B29,AR$1,$B$1)</f>
        <v>1308.06</v>
      </c>
      <c r="AS29">
        <f>_xll.EQNXTDZ($A$1,$B29,AS$1,$B$1)</f>
        <v>2904.92</v>
      </c>
      <c r="AT29">
        <f>_xll.EQNXTDZ($A$1,$B29,AT$1,$B$1)</f>
        <v>1754.53</v>
      </c>
      <c r="AU29">
        <f>_xll.EQNXTDZ($A$1,$B29,AU$1,$B$1)</f>
        <v>1330.52</v>
      </c>
      <c r="AV29">
        <f>_xll.EQNXTDZ($A$1,$B29,AV$1,$B$1)</f>
        <v>-228.03</v>
      </c>
      <c r="AW29">
        <f>_xll.EQNXTDZ($A$1,$B29,AW$1,$B$1)</f>
        <v>1405.77</v>
      </c>
      <c r="AX29">
        <f>_xll.EQNXTDZ($A$1,$B29,AX$1,$B$1)</f>
        <v>1254.31</v>
      </c>
      <c r="AY29">
        <f>_xll.EQNXTDZ($A$1,$B29,AY$1,$B$1)</f>
        <v>1458.25</v>
      </c>
      <c r="AZ29">
        <f>_xll.EQNXTDZ($A$1,$B29,AZ$1,$B$1)</f>
        <v>1405.49</v>
      </c>
      <c r="BA29">
        <f>_xll.EQNXTDZ($A$1,$B29,BA$1,$B$1)</f>
        <v>1376.54</v>
      </c>
      <c r="BB29">
        <f>_xll.EQNXTDZ($A$1,$B29,BB$1,$B$1)</f>
        <v>998.81</v>
      </c>
      <c r="BC29">
        <f>_xll.EQNXTDZ($A$1,$B29,BC$1,$B$1)</f>
        <v>1059.72</v>
      </c>
      <c r="BD29">
        <f>_xll.EQNXTDZ($A$1,$B29,BD$1,$B$1)</f>
        <v>1039.3800000000001</v>
      </c>
      <c r="BE29">
        <f>_xll.EQNXTDZ($A$1,$B29,BE$1,$B$1)</f>
        <v>1138.4000000000001</v>
      </c>
      <c r="BF29">
        <f>_xll.EQNXTDZ($A$1,$B29,BF$1,$B$1)</f>
        <v>1845.37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517.04</v>
      </c>
      <c r="D30">
        <f>_xll.EQNXTDZ($A$1,$B30,D$1,$B$1)</f>
        <v>-413.27</v>
      </c>
      <c r="E30">
        <f>_xll.EQNXTDZ($A$1,$B30,E$1,$B$1)</f>
        <v>-788.64</v>
      </c>
      <c r="F30">
        <f>_xll.EQNXTDZ($A$1,$B30,F$1,$B$1)</f>
        <v>-6677.52</v>
      </c>
      <c r="G30">
        <f>_xll.EQNXTDZ($A$1,$B30,G$1,$B$1)</f>
        <v>1142.33</v>
      </c>
      <c r="H30">
        <f>_xll.EQNXTDZ($A$1,$B30,H$1,$B$1)</f>
        <v>950.95</v>
      </c>
      <c r="I30">
        <f>_xll.EQNXTDZ($A$1,$B30,I$1,$B$1)</f>
        <v>499.5</v>
      </c>
      <c r="J30">
        <f>_xll.EQNXTDZ($A$1,$B30,J$1,$B$1)</f>
        <v>1071.19</v>
      </c>
      <c r="K30">
        <f>_xll.EQNXTDZ($A$1,$B30,K$1,$B$1)</f>
        <v>343.17</v>
      </c>
      <c r="L30">
        <f>_xll.EQNXTDZ($A$1,$B30,L$1,$B$1)</f>
        <v>1272.29</v>
      </c>
      <c r="M30">
        <f>_xll.EQNXTDZ($A$1,$B30,M$1,$B$1)</f>
        <v>131.32</v>
      </c>
      <c r="N30">
        <f>_xll.EQNXTDZ($A$1,$B30,N$1,$B$1)</f>
        <v>-5702.28</v>
      </c>
      <c r="O30">
        <f>_xll.EQNXTDZ($A$1,$B30,O$1,$B$1)</f>
        <v>15.42</v>
      </c>
      <c r="P30">
        <f>_xll.EQNXTDZ($A$1,$B30,P$1,$B$1)</f>
        <v>6177.05</v>
      </c>
      <c r="Q30">
        <f>_xll.EQNXTDZ($A$1,$B30,Q$1,$B$1)</f>
        <v>-2152.71</v>
      </c>
      <c r="R30">
        <f>_xll.EQNXTDZ($A$1,$B30,R$1,$B$1)</f>
        <v>-2703.29</v>
      </c>
      <c r="S30">
        <f>_xll.EQNXTDZ($A$1,$B30,S$1,$B$1)</f>
        <v>195.23</v>
      </c>
      <c r="T30">
        <f>_xll.EQNXTDZ($A$1,$B30,T$1,$B$1)</f>
        <v>-60.65</v>
      </c>
      <c r="U30">
        <f>_xll.EQNXTDZ($A$1,$B30,U$1,$B$1)</f>
        <v>272.89999999999998</v>
      </c>
      <c r="V30">
        <f>_xll.EQNXTDZ($A$1,$B30,V$1,$B$1)</f>
        <v>-719.51</v>
      </c>
      <c r="W30">
        <f>_xll.EQNXTDZ($A$1,$B30,W$1,$B$1)</f>
        <v>927.32</v>
      </c>
      <c r="X30">
        <f>_xll.EQNXTDZ($A$1,$B30,X$1,$B$1)</f>
        <v>926.25</v>
      </c>
      <c r="Y30">
        <f>_xll.EQNXTDZ($A$1,$B30,Y$1,$B$1)</f>
        <v>1054.05</v>
      </c>
      <c r="Z30">
        <f>_xll.EQNXTDZ($A$1,$B30,Z$1,$B$1)</f>
        <v>14538.7</v>
      </c>
      <c r="AA30">
        <f>_xll.EQNXTDZ($A$1,$B30,AA$1,$B$1)</f>
        <v>1875.64</v>
      </c>
      <c r="AB30">
        <f>_xll.EQNXTDZ($A$1,$B30,AB$1,$B$1)</f>
        <v>3022.98</v>
      </c>
      <c r="AC30">
        <f>_xll.EQNXTDZ($A$1,$B30,AC$1,$B$1)</f>
        <v>1766.68</v>
      </c>
      <c r="AD30">
        <f>_xll.EQNXTDZ($A$1,$B30,AD$1,$B$1)</f>
        <v>2297.28999999999</v>
      </c>
      <c r="AE30">
        <f>_xll.EQNXTDZ($A$1,$B30,AE$1,$B$1)</f>
        <v>642.97</v>
      </c>
      <c r="AF30">
        <f>_xll.EQNXTDZ($A$1,$B30,AF$1,$B$1)</f>
        <v>4021.01</v>
      </c>
      <c r="AG30">
        <f>_xll.EQNXTDZ($A$1,$B30,AG$1,$B$1)</f>
        <v>-1186.26</v>
      </c>
      <c r="AH30">
        <f>_xll.EQNXTDZ($A$1,$B30,AH$1,$B$1)</f>
        <v>-1708.18</v>
      </c>
      <c r="AI30">
        <f>_xll.EQNXTDZ($A$1,$B30,AI$1,$B$1)</f>
        <v>-4663.13</v>
      </c>
      <c r="AJ30">
        <f>_xll.EQNXTDZ($A$1,$B30,AJ$1,$B$1)</f>
        <v>1591.52</v>
      </c>
      <c r="AK30">
        <f>_xll.EQNXTDZ($A$1,$B30,AK$1,$B$1)</f>
        <v>3922.56</v>
      </c>
      <c r="AL30">
        <f>_xll.EQNXTDZ($A$1,$B30,AL$1,$B$1)</f>
        <v>7011.5</v>
      </c>
      <c r="AM30">
        <f>_xll.EQNXTDZ($A$1,$B30,AM$1,$B$1)</f>
        <v>9646.07</v>
      </c>
      <c r="AN30">
        <f>_xll.EQNXTDZ($A$1,$B30,AN$1,$B$1)</f>
        <v>12362.44</v>
      </c>
      <c r="AO30">
        <f>_xll.EQNXTDZ($A$1,$B30,AO$1,$B$1)</f>
        <v>9415.8799999999992</v>
      </c>
      <c r="AP30">
        <f>_xll.EQNXTDZ($A$1,$B30,AP$1,$B$1)</f>
        <v>9675.77</v>
      </c>
      <c r="AQ30">
        <f>_xll.EQNXTDZ($A$1,$B30,AQ$1,$B$1)</f>
        <v>7554.48</v>
      </c>
      <c r="AR30">
        <f>_xll.EQNXTDZ($A$1,$B30,AR$1,$B$1)</f>
        <v>1195.2</v>
      </c>
      <c r="AS30">
        <f>_xll.EQNXTDZ($A$1,$B30,AS$1,$B$1)</f>
        <v>-2562.44</v>
      </c>
      <c r="AT30">
        <f>_xll.EQNXTDZ($A$1,$B30,AT$1,$B$1)</f>
        <v>1469.99000000001</v>
      </c>
      <c r="AU30">
        <f>_xll.EQNXTDZ($A$1,$B30,AU$1,$B$1)</f>
        <v>796.13</v>
      </c>
      <c r="AV30">
        <f>_xll.EQNXTDZ($A$1,$B30,AV$1,$B$1)</f>
        <v>-6614.0599999999904</v>
      </c>
      <c r="AW30">
        <f>_xll.EQNXTDZ($A$1,$B30,AW$1,$B$1)</f>
        <v>448.739999999997</v>
      </c>
      <c r="AX30">
        <f>_xll.EQNXTDZ($A$1,$B30,AX$1,$B$1)</f>
        <v>517.56000000000301</v>
      </c>
      <c r="AY30">
        <f>_xll.EQNXTDZ($A$1,$B30,AY$1,$B$1)</f>
        <v>826.05999999999904</v>
      </c>
      <c r="AZ30">
        <f>_xll.EQNXTDZ($A$1,$B30,AZ$1,$B$1)</f>
        <v>784.319999999998</v>
      </c>
      <c r="BA30">
        <f>_xll.EQNXTDZ($A$1,$B30,BA$1,$B$1)</f>
        <v>248.51000000000101</v>
      </c>
      <c r="BB30">
        <f>_xll.EQNXTDZ($A$1,$B30,BB$1,$B$1)</f>
        <v>1124.08</v>
      </c>
      <c r="BC30">
        <f>_xll.EQNXTDZ($A$1,$B30,BC$1,$B$1)</f>
        <v>1927.64</v>
      </c>
      <c r="BD30">
        <f>_xll.EQNXTDZ($A$1,$B30,BD$1,$B$1)</f>
        <v>3132.34</v>
      </c>
      <c r="BE30">
        <f>_xll.EQNXTDZ($A$1,$B30,BE$1,$B$1)</f>
        <v>2626.4100000000099</v>
      </c>
      <c r="BF30">
        <f>_xll.EQNXTDZ($A$1,$B30,BF$1,$B$1)</f>
        <v>2830.9299999999898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39.89</v>
      </c>
      <c r="D34">
        <f>_xll.EQNXTDZ($A$1,$B34,D$1,$B$1)</f>
        <v>27.51</v>
      </c>
      <c r="E34">
        <f>_xll.EQNXTDZ($A$1,$B34,E$1,$B$1)</f>
        <v>7.99</v>
      </c>
      <c r="F34">
        <f>_xll.EQNXTDZ($A$1,$B34,F$1,$B$1)</f>
        <v>139.07</v>
      </c>
      <c r="G34">
        <f>_xll.EQNXTDZ($A$1,$B34,G$1,$B$1)</f>
        <v>2.92</v>
      </c>
      <c r="H34">
        <f>_xll.EQNXTDZ($A$1,$B34,H$1,$B$1)</f>
        <v>-37.479999999999997</v>
      </c>
      <c r="I34">
        <f>_xll.EQNXTDZ($A$1,$B34,I$1,$B$1)</f>
        <v>2.74</v>
      </c>
      <c r="J34">
        <f>_xll.EQNXTDZ($A$1,$B34,J$1,$B$1)</f>
        <v>-38.1</v>
      </c>
      <c r="K34">
        <f>_xll.EQNXTDZ($A$1,$B34,K$1,$B$1)</f>
        <v>-14.4</v>
      </c>
      <c r="L34">
        <f>_xll.EQNXTDZ($A$1,$B34,L$1,$B$1)</f>
        <v>-3.34</v>
      </c>
      <c r="M34">
        <f>_xll.EQNXTDZ($A$1,$B34,M$1,$B$1)</f>
        <v>15.63</v>
      </c>
      <c r="N34">
        <f>_xll.EQNXTDZ($A$1,$B34,N$1,$B$1)</f>
        <v>15.4</v>
      </c>
      <c r="O34">
        <f>_xll.EQNXTDZ($A$1,$B34,O$1,$B$1)</f>
        <v>-2.21</v>
      </c>
      <c r="P34">
        <f>_xll.EQNXTDZ($A$1,$B34,P$1,$B$1)</f>
        <v>19.28</v>
      </c>
      <c r="Q34">
        <f>_xll.EQNXTDZ($A$1,$B34,Q$1,$B$1)</f>
        <v>-46.06</v>
      </c>
      <c r="R34">
        <f>_xll.EQNXTDZ($A$1,$B34,R$1,$B$1)</f>
        <v>50.8</v>
      </c>
      <c r="S34">
        <f>_xll.EQNXTDZ($A$1,$B34,S$1,$B$1)</f>
        <v>-23.61</v>
      </c>
      <c r="T34">
        <f>_xll.EQNXTDZ($A$1,$B34,T$1,$B$1)</f>
        <v>-10.23</v>
      </c>
      <c r="U34">
        <f>_xll.EQNXTDZ($A$1,$B34,U$1,$B$1)</f>
        <v>-30</v>
      </c>
      <c r="V34">
        <f>_xll.EQNXTDZ($A$1,$B34,V$1,$B$1)</f>
        <v>-8.39</v>
      </c>
      <c r="W34">
        <f>_xll.EQNXTDZ($A$1,$B34,W$1,$B$1)</f>
        <v>-14.82</v>
      </c>
      <c r="X34">
        <f>_xll.EQNXTDZ($A$1,$B34,X$1,$B$1)</f>
        <v>-11.98</v>
      </c>
      <c r="Y34">
        <f>_xll.EQNXTDZ($A$1,$B34,Y$1,$B$1)</f>
        <v>150.5</v>
      </c>
      <c r="Z34">
        <f>_xll.EQNXTDZ($A$1,$B34,Z$1,$B$1)</f>
        <v>-4452.18</v>
      </c>
      <c r="AA34">
        <f>_xll.EQNXTDZ($A$1,$B34,AA$1,$B$1)</f>
        <v>17.260000000000002</v>
      </c>
      <c r="AB34">
        <f>_xll.EQNXTDZ($A$1,$B34,AB$1,$B$1)</f>
        <v>482.53</v>
      </c>
      <c r="AC34">
        <f>_xll.EQNXTDZ($A$1,$B34,AC$1,$B$1)</f>
        <v>532.91</v>
      </c>
      <c r="AD34">
        <f>_xll.EQNXTDZ($A$1,$B34,AD$1,$B$1)</f>
        <v>87.3</v>
      </c>
      <c r="AE34">
        <f>_xll.EQNXTDZ($A$1,$B34,AE$1,$B$1)</f>
        <v>3.04</v>
      </c>
      <c r="AF34">
        <f>_xll.EQNXTDZ($A$1,$B34,AF$1,$B$1)</f>
        <v>103.12</v>
      </c>
      <c r="AG34">
        <f>_xll.EQNXTDZ($A$1,$B34,AG$1,$B$1)</f>
        <v>143.91</v>
      </c>
      <c r="AH34">
        <f>_xll.EQNXTDZ($A$1,$B34,AH$1,$B$1)</f>
        <v>134.01</v>
      </c>
      <c r="AI34">
        <f>_xll.EQNXTDZ($A$1,$B34,AI$1,$B$1)</f>
        <v>231.57</v>
      </c>
      <c r="AJ34">
        <f>_xll.EQNXTDZ($A$1,$B34,AJ$1,$B$1)</f>
        <v>-99.66</v>
      </c>
      <c r="AK34">
        <f>_xll.EQNXTDZ($A$1,$B34,AK$1,$B$1)</f>
        <v>-313.72000000000003</v>
      </c>
      <c r="AL34">
        <f>_xll.EQNXTDZ($A$1,$B34,AL$1,$B$1)</f>
        <v>-517.76</v>
      </c>
      <c r="AM34">
        <f>_xll.EQNXTDZ($A$1,$B34,AM$1,$B$1)</f>
        <v>-861.39</v>
      </c>
      <c r="AN34">
        <f>_xll.EQNXTDZ($A$1,$B34,AN$1,$B$1)</f>
        <v>-629.59</v>
      </c>
      <c r="AO34">
        <f>_xll.EQNXTDZ($A$1,$B34,AO$1,$B$1)</f>
        <v>-25.49</v>
      </c>
      <c r="AP34">
        <f>_xll.EQNXTDZ($A$1,$B34,AP$1,$B$1)</f>
        <v>-78.92</v>
      </c>
      <c r="AQ34">
        <f>_xll.EQNXTDZ($A$1,$B34,AQ$1,$B$1)</f>
        <v>50.96</v>
      </c>
      <c r="AR34">
        <f>_xll.EQNXTDZ($A$1,$B34,AR$1,$B$1)</f>
        <v>217.36</v>
      </c>
      <c r="AS34">
        <f>_xll.EQNXTDZ($A$1,$B34,AS$1,$B$1)</f>
        <v>278.11</v>
      </c>
      <c r="AT34">
        <f>_xll.EQNXTDZ($A$1,$B34,AT$1,$B$1)</f>
        <v>138.62</v>
      </c>
      <c r="AU34">
        <f>_xll.EQNXTDZ($A$1,$B34,AU$1,$B$1)</f>
        <v>109.1</v>
      </c>
      <c r="AV34">
        <f>_xll.EQNXTDZ($A$1,$B34,AV$1,$B$1)</f>
        <v>314.92</v>
      </c>
      <c r="AW34">
        <f>_xll.EQNXTDZ($A$1,$B34,AW$1,$B$1)</f>
        <v>-8.77</v>
      </c>
      <c r="AX34">
        <f>_xll.EQNXTDZ($A$1,$B34,AX$1,$B$1)</f>
        <v>56.92</v>
      </c>
      <c r="AY34">
        <f>_xll.EQNXTDZ($A$1,$B34,AY$1,$B$1)</f>
        <v>41.04</v>
      </c>
      <c r="AZ34">
        <f>_xll.EQNXTDZ($A$1,$B34,AZ$1,$B$1)</f>
        <v>74.61</v>
      </c>
      <c r="BA34">
        <f>_xll.EQNXTDZ($A$1,$B34,BA$1,$B$1)</f>
        <v>31.15</v>
      </c>
      <c r="BB34">
        <f>_xll.EQNXTDZ($A$1,$B34,BB$1,$B$1)</f>
        <v>99.93</v>
      </c>
      <c r="BC34">
        <f>_xll.EQNXTDZ($A$1,$B34,BC$1,$B$1)</f>
        <v>70.319999999999993</v>
      </c>
      <c r="BD34">
        <f>_xll.EQNXTDZ($A$1,$B34,BD$1,$B$1)</f>
        <v>-81.34</v>
      </c>
      <c r="BE34">
        <f>_xll.EQNXTDZ($A$1,$B34,BE$1,$B$1)</f>
        <v>-41.67</v>
      </c>
      <c r="BF34">
        <f>_xll.EQNXTDZ($A$1,$B34,BF$1,$B$1)</f>
        <v>-39.26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40.950000000000003</v>
      </c>
      <c r="D35">
        <f>_xll.EQNXTDZ($A$1,$B35,D$1,$B$1)</f>
        <v>21.83</v>
      </c>
      <c r="E35">
        <f>_xll.EQNXTDZ($A$1,$B35,E$1,$B$1)</f>
        <v>17.59</v>
      </c>
      <c r="F35">
        <f>_xll.EQNXTDZ($A$1,$B35,F$1,$B$1)</f>
        <v>9.94</v>
      </c>
      <c r="G35">
        <f>_xll.EQNXTDZ($A$1,$B35,G$1,$B$1)</f>
        <v>-6.24</v>
      </c>
      <c r="H35">
        <f>_xll.EQNXTDZ($A$1,$B35,H$1,$B$1)</f>
        <v>3.3</v>
      </c>
      <c r="I35">
        <f>_xll.EQNXTDZ($A$1,$B35,I$1,$B$1)</f>
        <v>1</v>
      </c>
      <c r="J35">
        <f>_xll.EQNXTDZ($A$1,$B35,J$1,$B$1)</f>
        <v>2.78</v>
      </c>
      <c r="K35">
        <f>_xll.EQNXTDZ($A$1,$B35,K$1,$B$1)</f>
        <v>8.56</v>
      </c>
      <c r="L35">
        <f>_xll.EQNXTDZ($A$1,$B35,L$1,$B$1)</f>
        <v>-14.62</v>
      </c>
      <c r="M35">
        <f>_xll.EQNXTDZ($A$1,$B35,M$1,$B$1)</f>
        <v>10.16</v>
      </c>
      <c r="N35">
        <f>_xll.EQNXTDZ($A$1,$B35,N$1,$B$1)</f>
        <v>12.59</v>
      </c>
      <c r="O35">
        <f>_xll.EQNXTDZ($A$1,$B35,O$1,$B$1)</f>
        <v>6.28</v>
      </c>
      <c r="P35">
        <f>_xll.EQNXTDZ($A$1,$B35,P$1,$B$1)</f>
        <v>-62.51</v>
      </c>
      <c r="Q35">
        <f>_xll.EQNXTDZ($A$1,$B35,Q$1,$B$1)</f>
        <v>-8.36</v>
      </c>
      <c r="R35">
        <f>_xll.EQNXTDZ($A$1,$B35,R$1,$B$1)</f>
        <v>-45.83</v>
      </c>
      <c r="S35">
        <f>_xll.EQNXTDZ($A$1,$B35,S$1,$B$1)</f>
        <v>14.2</v>
      </c>
      <c r="T35">
        <f>_xll.EQNXTDZ($A$1,$B35,T$1,$B$1)</f>
        <v>-9.06</v>
      </c>
      <c r="U35">
        <f>_xll.EQNXTDZ($A$1,$B35,U$1,$B$1)</f>
        <v>-0.25</v>
      </c>
      <c r="V35">
        <f>_xll.EQNXTDZ($A$1,$B35,V$1,$B$1)</f>
        <v>2.76</v>
      </c>
      <c r="W35">
        <f>_xll.EQNXTDZ($A$1,$B35,W$1,$B$1)</f>
        <v>5.9</v>
      </c>
      <c r="X35">
        <f>_xll.EQNXTDZ($A$1,$B35,X$1,$B$1)</f>
        <v>61.6</v>
      </c>
      <c r="Y35">
        <f>_xll.EQNXTDZ($A$1,$B35,Y$1,$B$1)</f>
        <v>89.83</v>
      </c>
      <c r="Z35">
        <f>_xll.EQNXTDZ($A$1,$B35,Z$1,$B$1)</f>
        <v>63.84</v>
      </c>
      <c r="AA35">
        <f>_xll.EQNXTDZ($A$1,$B35,AA$1,$B$1)</f>
        <v>47.21</v>
      </c>
      <c r="AB35">
        <f>_xll.EQNXTDZ($A$1,$B35,AB$1,$B$1)</f>
        <v>71.34</v>
      </c>
      <c r="AC35">
        <f>_xll.EQNXTDZ($A$1,$B35,AC$1,$B$1)</f>
        <v>50</v>
      </c>
      <c r="AD35">
        <f>_xll.EQNXTDZ($A$1,$B35,AD$1,$B$1)</f>
        <v>56.15</v>
      </c>
      <c r="AE35">
        <f>_xll.EQNXTDZ($A$1,$B35,AE$1,$B$1)</f>
        <v>52.22</v>
      </c>
      <c r="AF35">
        <f>_xll.EQNXTDZ($A$1,$B35,AF$1,$B$1)</f>
        <v>22.44</v>
      </c>
      <c r="AG35">
        <f>_xll.EQNXTDZ($A$1,$B35,AG$1,$B$1)</f>
        <v>20.48</v>
      </c>
      <c r="AH35">
        <f>_xll.EQNXTDZ($A$1,$B35,AH$1,$B$1)</f>
        <v>92.83</v>
      </c>
      <c r="AI35">
        <f>_xll.EQNXTDZ($A$1,$B35,AI$1,$B$1)</f>
        <v>15</v>
      </c>
      <c r="AJ35">
        <f>_xll.EQNXTDZ($A$1,$B35,AJ$1,$B$1)</f>
        <v>73.55</v>
      </c>
      <c r="AK35">
        <f>_xll.EQNXTDZ($A$1,$B35,AK$1,$B$1)</f>
        <v>88.38</v>
      </c>
      <c r="AL35">
        <f>_xll.EQNXTDZ($A$1,$B35,AL$1,$B$1)</f>
        <v>150.41</v>
      </c>
      <c r="AM35">
        <f>_xll.EQNXTDZ($A$1,$B35,AM$1,$B$1)</f>
        <v>122.27</v>
      </c>
      <c r="AN35">
        <f>_xll.EQNXTDZ($A$1,$B35,AN$1,$B$1)</f>
        <v>185.26</v>
      </c>
      <c r="AO35">
        <f>_xll.EQNXTDZ($A$1,$B35,AO$1,$B$1)</f>
        <v>182.28</v>
      </c>
      <c r="AP35">
        <f>_xll.EQNXTDZ($A$1,$B35,AP$1,$B$1)</f>
        <v>159.35</v>
      </c>
      <c r="AQ35">
        <f>_xll.EQNXTDZ($A$1,$B35,AQ$1,$B$1)</f>
        <v>159.52000000000001</v>
      </c>
      <c r="AR35">
        <f>_xll.EQNXTDZ($A$1,$B35,AR$1,$B$1)</f>
        <v>101.86</v>
      </c>
      <c r="AS35">
        <f>_xll.EQNXTDZ($A$1,$B35,AS$1,$B$1)</f>
        <v>60.49</v>
      </c>
      <c r="AT35">
        <f>_xll.EQNXTDZ($A$1,$B35,AT$1,$B$1)</f>
        <v>96.25</v>
      </c>
      <c r="AU35">
        <f>_xll.EQNXTDZ($A$1,$B35,AU$1,$B$1)</f>
        <v>-271.27999999999997</v>
      </c>
      <c r="AV35">
        <f>_xll.EQNXTDZ($A$1,$B35,AV$1,$B$1)</f>
        <v>102.9</v>
      </c>
      <c r="AW35">
        <f>_xll.EQNXTDZ($A$1,$B35,AW$1,$B$1)</f>
        <v>73.400000000000006</v>
      </c>
      <c r="AX35">
        <f>_xll.EQNXTDZ($A$1,$B35,AX$1,$B$1)</f>
        <v>37</v>
      </c>
      <c r="AY35">
        <f>_xll.EQNXTDZ($A$1,$B35,AY$1,$B$1)</f>
        <v>92.51</v>
      </c>
      <c r="AZ35">
        <f>_xll.EQNXTDZ($A$1,$B35,AZ$1,$B$1)</f>
        <v>-25.48</v>
      </c>
      <c r="BA35">
        <f>_xll.EQNXTDZ($A$1,$B35,BA$1,$B$1)</f>
        <v>46.98</v>
      </c>
      <c r="BB35">
        <f>_xll.EQNXTDZ($A$1,$B35,BB$1,$B$1)</f>
        <v>76.8</v>
      </c>
      <c r="BC35">
        <f>_xll.EQNXTDZ($A$1,$B35,BC$1,$B$1)</f>
        <v>79.72</v>
      </c>
      <c r="BD35">
        <f>_xll.EQNXTDZ($A$1,$B35,BD$1,$B$1)</f>
        <v>50.75</v>
      </c>
      <c r="BE35">
        <f>_xll.EQNXTDZ($A$1,$B35,BE$1,$B$1)</f>
        <v>103.96</v>
      </c>
      <c r="BF35">
        <f>_xll.EQNXTDZ($A$1,$B35,BF$1,$B$1)</f>
        <v>134.07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597.88</v>
      </c>
      <c r="D38">
        <f>_xll.EQNXTDZ($A$1,$B38,D$1,$B$1)</f>
        <v>-363.93</v>
      </c>
      <c r="E38">
        <f>_xll.EQNXTDZ($A$1,$B38,E$1,$B$1)</f>
        <v>-763.06</v>
      </c>
      <c r="F38">
        <f>_xll.EQNXTDZ($A$1,$B38,F$1,$B$1)</f>
        <v>-6528.51</v>
      </c>
      <c r="G38">
        <f>_xll.EQNXTDZ($A$1,$B38,G$1,$B$1)</f>
        <v>1139.01</v>
      </c>
      <c r="H38">
        <f>_xll.EQNXTDZ($A$1,$B38,H$1,$B$1)</f>
        <v>916.77</v>
      </c>
      <c r="I38">
        <f>_xll.EQNXTDZ($A$1,$B38,I$1,$B$1)</f>
        <v>503.24</v>
      </c>
      <c r="J38">
        <f>_xll.EQNXTDZ($A$1,$B38,J$1,$B$1)</f>
        <v>1035.8699999999999</v>
      </c>
      <c r="K38">
        <f>_xll.EQNXTDZ($A$1,$B38,K$1,$B$1)</f>
        <v>337.33</v>
      </c>
      <c r="L38">
        <f>_xll.EQNXTDZ($A$1,$B38,L$1,$B$1)</f>
        <v>1254.33</v>
      </c>
      <c r="M38">
        <f>_xll.EQNXTDZ($A$1,$B38,M$1,$B$1)</f>
        <v>157.11000000000001</v>
      </c>
      <c r="N38">
        <f>_xll.EQNXTDZ($A$1,$B38,N$1,$B$1)</f>
        <v>-5674.29</v>
      </c>
      <c r="O38">
        <f>_xll.EQNXTDZ($A$1,$B38,O$1,$B$1)</f>
        <v>-319.12</v>
      </c>
      <c r="P38">
        <f>_xll.EQNXTDZ($A$1,$B38,P$1,$B$1)</f>
        <v>5628.71</v>
      </c>
      <c r="Q38">
        <f>_xll.EQNXTDZ($A$1,$B38,Q$1,$B$1)</f>
        <v>-2793.78</v>
      </c>
      <c r="R38">
        <f>_xll.EQNXTDZ($A$1,$B38,R$1,$B$1)</f>
        <v>-2991.08</v>
      </c>
      <c r="S38">
        <f>_xll.EQNXTDZ($A$1,$B38,S$1,$B$1)</f>
        <v>-3206.68</v>
      </c>
      <c r="T38">
        <f>_xll.EQNXTDZ($A$1,$B38,T$1,$B$1)</f>
        <v>-59.61</v>
      </c>
      <c r="U38">
        <f>_xll.EQNXTDZ($A$1,$B38,U$1,$B$1)</f>
        <v>201.9</v>
      </c>
      <c r="V38">
        <f>_xll.EQNXTDZ($A$1,$B38,V$1,$B$1)</f>
        <v>-1176.4100000000001</v>
      </c>
      <c r="W38">
        <f>_xll.EQNXTDZ($A$1,$B38,W$1,$B$1)</f>
        <v>906.27</v>
      </c>
      <c r="X38">
        <f>_xll.EQNXTDZ($A$1,$B38,X$1,$B$1)</f>
        <v>1005.8</v>
      </c>
      <c r="Y38">
        <f>_xll.EQNXTDZ($A$1,$B38,Y$1,$B$1)</f>
        <v>1286.42</v>
      </c>
      <c r="Z38">
        <f>_xll.EQNXTDZ($A$1,$B38,Z$1,$B$1)</f>
        <v>10235.84</v>
      </c>
      <c r="AA38">
        <f>_xll.EQNXTDZ($A$1,$B38,AA$1,$B$1)</f>
        <v>1951.06</v>
      </c>
      <c r="AB38">
        <f>_xll.EQNXTDZ($A$1,$B38,AB$1,$B$1)</f>
        <v>3598.73</v>
      </c>
      <c r="AC38">
        <f>_xll.EQNXTDZ($A$1,$B38,AC$1,$B$1)</f>
        <v>2285.98</v>
      </c>
      <c r="AD38">
        <f>_xll.EQNXTDZ($A$1,$B38,AD$1,$B$1)</f>
        <v>2382.5500000000002</v>
      </c>
      <c r="AE38">
        <f>_xll.EQNXTDZ($A$1,$B38,AE$1,$B$1)</f>
        <v>717.07</v>
      </c>
      <c r="AF38">
        <f>_xll.EQNXTDZ($A$1,$B38,AF$1,$B$1)</f>
        <v>3405.43</v>
      </c>
      <c r="AG38">
        <f>_xll.EQNXTDZ($A$1,$B38,AG$1,$B$1)</f>
        <v>-1084.6199999999999</v>
      </c>
      <c r="AH38">
        <f>_xll.EQNXTDZ($A$1,$B38,AH$1,$B$1)</f>
        <v>-1481.34</v>
      </c>
      <c r="AI38">
        <f>_xll.EQNXTDZ($A$1,$B38,AI$1,$B$1)</f>
        <v>-4416.5600000000004</v>
      </c>
      <c r="AJ38">
        <f>_xll.EQNXTDZ($A$1,$B38,AJ$1,$B$1)</f>
        <v>1565.41</v>
      </c>
      <c r="AK38">
        <f>_xll.EQNXTDZ($A$1,$B38,AK$1,$B$1)</f>
        <v>3697.22</v>
      </c>
      <c r="AL38">
        <f>_xll.EQNXTDZ($A$1,$B38,AL$1,$B$1)</f>
        <v>6644.15</v>
      </c>
      <c r="AM38">
        <f>_xll.EQNXTDZ($A$1,$B38,AM$1,$B$1)</f>
        <v>8906.9500000000007</v>
      </c>
      <c r="AN38">
        <f>_xll.EQNXTDZ($A$1,$B38,AN$1,$B$1)</f>
        <v>11918.11</v>
      </c>
      <c r="AO38">
        <f>_xll.EQNXTDZ($A$1,$B38,AO$1,$B$1)</f>
        <v>9572.67</v>
      </c>
      <c r="AP38">
        <f>_xll.EQNXTDZ($A$1,$B38,AP$1,$B$1)</f>
        <v>9756.2000000000007</v>
      </c>
      <c r="AQ38">
        <f>_xll.EQNXTDZ($A$1,$B38,AQ$1,$B$1)</f>
        <v>7764.96</v>
      </c>
      <c r="AR38">
        <f>_xll.EQNXTDZ($A$1,$B38,AR$1,$B$1)</f>
        <v>1514.42</v>
      </c>
      <c r="AS38">
        <f>_xll.EQNXTDZ($A$1,$B38,AS$1,$B$1)</f>
        <v>-2223.84</v>
      </c>
      <c r="AT38">
        <f>_xll.EQNXTDZ($A$1,$B38,AT$1,$B$1)</f>
        <v>1704.86</v>
      </c>
      <c r="AU38">
        <f>_xll.EQNXTDZ($A$1,$B38,AU$1,$B$1)</f>
        <v>633.95000000000005</v>
      </c>
      <c r="AV38">
        <f>_xll.EQNXTDZ($A$1,$B38,AV$1,$B$1)</f>
        <v>-6196.24</v>
      </c>
      <c r="AW38">
        <f>_xll.EQNXTDZ($A$1,$B38,AW$1,$B$1)</f>
        <v>513.37</v>
      </c>
      <c r="AX38">
        <f>_xll.EQNXTDZ($A$1,$B38,AX$1,$B$1)</f>
        <v>611.48</v>
      </c>
      <c r="AY38">
        <f>_xll.EQNXTDZ($A$1,$B38,AY$1,$B$1)</f>
        <v>959.61</v>
      </c>
      <c r="AZ38">
        <f>_xll.EQNXTDZ($A$1,$B38,AZ$1,$B$1)</f>
        <v>833.45</v>
      </c>
      <c r="BA38">
        <f>_xll.EQNXTDZ($A$1,$B38,BA$1,$B$1)</f>
        <v>326.64</v>
      </c>
      <c r="BB38">
        <f>_xll.EQNXTDZ($A$1,$B38,BB$1,$B$1)</f>
        <v>1300.81</v>
      </c>
      <c r="BC38">
        <f>_xll.EQNXTDZ($A$1,$B38,BC$1,$B$1)</f>
        <v>2077.6799999999998</v>
      </c>
      <c r="BD38">
        <f>_xll.EQNXTDZ($A$1,$B38,BD$1,$B$1)</f>
        <v>3101.75</v>
      </c>
      <c r="BE38">
        <f>_xll.EQNXTDZ($A$1,$B38,BE$1,$B$1)</f>
        <v>2688.7</v>
      </c>
      <c r="BF38">
        <f>_xll.EQNXTDZ($A$1,$B38,BF$1,$B$1)</f>
        <v>2925.74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-338.61</v>
      </c>
      <c r="P39">
        <f>_xll.EQNXTDZ($A$1,$B39,P$1,$B$1)</f>
        <v>-505.11</v>
      </c>
      <c r="Q39">
        <f>_xll.EQNXTDZ($A$1,$B39,Q$1,$B$1)</f>
        <v>-586.65</v>
      </c>
      <c r="R39">
        <f>_xll.EQNXTDZ($A$1,$B39,R$1,$B$1)</f>
        <v>-292.76</v>
      </c>
      <c r="S39">
        <f>_xll.EQNXTDZ($A$1,$B39,S$1,$B$1)</f>
        <v>-3392.5</v>
      </c>
      <c r="T39">
        <f>_xll.EQNXTDZ($A$1,$B39,T$1,$B$1)</f>
        <v>20.329999999999998</v>
      </c>
      <c r="U39">
        <f>_xll.EQNXTDZ($A$1,$B39,U$1,$B$1)</f>
        <v>-40.75</v>
      </c>
      <c r="V39">
        <f>_xll.EQNXTDZ($A$1,$B39,V$1,$B$1)</f>
        <v>-451.27</v>
      </c>
      <c r="W39">
        <f>_xll.EQNXTDZ($A$1,$B39,W$1,$B$1)</f>
        <v>-12.13</v>
      </c>
      <c r="X39">
        <f>_xll.EQNXTDZ($A$1,$B39,X$1,$B$1)</f>
        <v>29.93</v>
      </c>
      <c r="Y39">
        <f>_xll.EQNXTDZ($A$1,$B39,Y$1,$B$1)</f>
        <v>-7.96</v>
      </c>
      <c r="Z39">
        <f>_xll.EQNXTDZ($A$1,$B39,Z$1,$B$1)</f>
        <v>85.48</v>
      </c>
      <c r="AA39">
        <f>_xll.EQNXTDZ($A$1,$B39,AA$1,$B$1)</f>
        <v>10.95</v>
      </c>
      <c r="AB39">
        <f>_xll.EQNXTDZ($A$1,$B39,AB$1,$B$1)</f>
        <v>21.88</v>
      </c>
      <c r="AC39">
        <f>_xll.EQNXTDZ($A$1,$B39,AC$1,$B$1)</f>
        <v>-63.61</v>
      </c>
      <c r="AD39">
        <f>_xll.EQNXTDZ($A$1,$B39,AD$1,$B$1)</f>
        <v>-58.19</v>
      </c>
      <c r="AE39">
        <f>_xll.EQNXTDZ($A$1,$B39,AE$1,$B$1)</f>
        <v>18.84</v>
      </c>
      <c r="AF39">
        <f>_xll.EQNXTDZ($A$1,$B39,AF$1,$B$1)</f>
        <v>-741.14</v>
      </c>
      <c r="AG39">
        <f>_xll.EQNXTDZ($A$1,$B39,AG$1,$B$1)</f>
        <v>-62.75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-1871.93</v>
      </c>
      <c r="P40">
        <f>_xll.EQNXTDZ($A$1,$B40,P$1,$B$1)</f>
        <v>-1426.76</v>
      </c>
      <c r="Q40">
        <f>_xll.EQNXTDZ($A$1,$B40,Q$1,$B$1)</f>
        <v>895.23</v>
      </c>
      <c r="R40">
        <f>_xll.EQNXTDZ($A$1,$B40,R$1,$B$1)</f>
        <v>505.29</v>
      </c>
      <c r="S40">
        <f>_xll.EQNXTDZ($A$1,$B40,S$1,$B$1)</f>
        <v>354.19</v>
      </c>
      <c r="T40">
        <f>_xll.EQNXTDZ($A$1,$B40,T$1,$B$1)</f>
        <v>-2602.12</v>
      </c>
      <c r="U40">
        <f>_xll.EQNXTDZ($A$1,$B40,U$1,$B$1)</f>
        <v>292.27999999999997</v>
      </c>
      <c r="V40">
        <f>_xll.EQNXTDZ($A$1,$B40,V$1,$B$1)</f>
        <v>1392.62</v>
      </c>
      <c r="W40">
        <f>_xll.EQNXTDZ($A$1,$B40,W$1,$B$1)</f>
        <v>-3541.8</v>
      </c>
      <c r="X40">
        <f>_xll.EQNXTDZ($A$1,$B40,X$1,$B$1)</f>
        <v>-4234.47</v>
      </c>
      <c r="Y40">
        <f>_xll.EQNXTDZ($A$1,$B40,Y$1,$B$1)</f>
        <v>189.09</v>
      </c>
      <c r="Z40">
        <f>_xll.EQNXTDZ($A$1,$B40,Z$1,$B$1)</f>
        <v>4509.17</v>
      </c>
      <c r="AA40">
        <f>_xll.EQNXTDZ($A$1,$B40,AA$1,$B$1)</f>
        <v>1747.22</v>
      </c>
      <c r="AB40">
        <f>_xll.EQNXTDZ($A$1,$B40,AB$1,$B$1)</f>
        <v>-1810.75</v>
      </c>
      <c r="AC40">
        <f>_xll.EQNXTDZ($A$1,$B40,AC$1,$B$1)</f>
        <v>172.21</v>
      </c>
      <c r="AD40">
        <f>_xll.EQNXTDZ($A$1,$B40,AD$1,$B$1)</f>
        <v>-100.89</v>
      </c>
      <c r="AE40">
        <f>_xll.EQNXTDZ($A$1,$B40,AE$1,$B$1)</f>
        <v>-325.8</v>
      </c>
      <c r="AF40">
        <f>_xll.EQNXTDZ($A$1,$B40,AF$1,$B$1)</f>
        <v>1180.8</v>
      </c>
      <c r="AG40">
        <f>_xll.EQNXTDZ($A$1,$B40,AG$1,$B$1)</f>
        <v>-1549.51</v>
      </c>
      <c r="AH40">
        <f>_xll.EQNXTDZ($A$1,$B40,AH$1,$B$1)</f>
        <v>5177.34</v>
      </c>
      <c r="AI40">
        <f>_xll.EQNXTDZ($A$1,$B40,AI$1,$B$1)</f>
        <v>-4982.87</v>
      </c>
      <c r="AJ40">
        <f>_xll.EQNXTDZ($A$1,$B40,AJ$1,$B$1)</f>
        <v>609.48</v>
      </c>
      <c r="AK40">
        <f>_xll.EQNXTDZ($A$1,$B40,AK$1,$B$1)</f>
        <v>-1806.74</v>
      </c>
      <c r="AL40">
        <f>_xll.EQNXTDZ($A$1,$B40,AL$1,$B$1)</f>
        <v>-1030.8800000000001</v>
      </c>
      <c r="AM40">
        <f>_xll.EQNXTDZ($A$1,$B40,AM$1,$B$1)</f>
        <v>614.52</v>
      </c>
      <c r="AN40">
        <f>_xll.EQNXTDZ($A$1,$B40,AN$1,$B$1)</f>
        <v>-715.02</v>
      </c>
      <c r="AO40">
        <f>_xll.EQNXTDZ($A$1,$B40,AO$1,$B$1)</f>
        <v>887.3</v>
      </c>
      <c r="AP40">
        <f>_xll.EQNXTDZ($A$1,$B40,AP$1,$B$1)</f>
        <v>518.62</v>
      </c>
      <c r="AQ40">
        <f>_xll.EQNXTDZ($A$1,$B40,AQ$1,$B$1)</f>
        <v>-6610.91</v>
      </c>
      <c r="AR40">
        <f>_xll.EQNXTDZ($A$1,$B40,AR$1,$B$1)</f>
        <v>-3413.97</v>
      </c>
      <c r="AS40">
        <f>_xll.EQNXTDZ($A$1,$B40,AS$1,$B$1)</f>
        <v>-3628.93</v>
      </c>
      <c r="AT40">
        <f>_xll.EQNXTDZ($A$1,$B40,AT$1,$B$1)</f>
        <v>-195.26</v>
      </c>
      <c r="AU40">
        <f>_xll.EQNXTDZ($A$1,$B40,AU$1,$B$1)</f>
        <v>-3172.71</v>
      </c>
      <c r="AV40">
        <f>_xll.EQNXTDZ($A$1,$B40,AV$1,$B$1)</f>
        <v>-774.19</v>
      </c>
      <c r="AW40">
        <f>_xll.EQNXTDZ($A$1,$B40,AW$1,$B$1)</f>
        <v>1041.46</v>
      </c>
      <c r="AX40">
        <f>_xll.EQNXTDZ($A$1,$B40,AX$1,$B$1)</f>
        <v>-322.45999999999998</v>
      </c>
      <c r="AY40">
        <f>_xll.EQNXTDZ($A$1,$B40,AY$1,$B$1)</f>
        <v>175.93</v>
      </c>
      <c r="AZ40">
        <f>_xll.EQNXTDZ($A$1,$B40,AZ$1,$B$1)</f>
        <v>732.4</v>
      </c>
      <c r="BA40">
        <f>_xll.EQNXTDZ($A$1,$B40,BA$1,$B$1)</f>
        <v>-856.52</v>
      </c>
      <c r="BB40">
        <f>_xll.EQNXTDZ($A$1,$B40,BB$1,$B$1)</f>
        <v>221.49</v>
      </c>
      <c r="BC40">
        <f>_xll.EQNXTDZ($A$1,$B40,BC$1,$B$1)</f>
        <v>2344.16</v>
      </c>
      <c r="BD40">
        <f>_xll.EQNXTDZ($A$1,$B40,BD$1,$B$1)</f>
        <v>1490.79</v>
      </c>
      <c r="BE40">
        <f>_xll.EQNXTDZ($A$1,$B40,BE$1,$B$1)</f>
        <v>866.48</v>
      </c>
      <c r="BF40">
        <f>_xll.EQNXTDZ($A$1,$B40,BF$1,$B$1)</f>
        <v>790.68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-2182.64</v>
      </c>
      <c r="P41">
        <f>_xll.EQNXTDZ($A$1,$B41,P$1,$B$1)</f>
        <v>4205.1000000000004</v>
      </c>
      <c r="Q41">
        <f>_xll.EQNXTDZ($A$1,$B41,Q$1,$B$1)</f>
        <v>-1820.65</v>
      </c>
      <c r="R41">
        <f>_xll.EQNXTDZ($A$1,$B41,R$1,$B$1)</f>
        <v>-2485.39</v>
      </c>
      <c r="S41">
        <f>_xll.EQNXTDZ($A$1,$B41,S$1,$B$1)</f>
        <v>-2862.13</v>
      </c>
      <c r="T41">
        <f>_xll.EQNXTDZ($A$1,$B41,T$1,$B$1)</f>
        <v>-2656.54</v>
      </c>
      <c r="U41">
        <f>_xll.EQNXTDZ($A$1,$B41,U$1,$B$1)</f>
        <v>506.12</v>
      </c>
      <c r="V41">
        <f>_xll.EQNXTDZ($A$1,$B41,V$1,$B$1)</f>
        <v>212.26</v>
      </c>
      <c r="W41">
        <f>_xll.EQNXTDZ($A$1,$B41,W$1,$B$1)</f>
        <v>-2636.77</v>
      </c>
      <c r="X41">
        <f>_xll.EQNXTDZ($A$1,$B41,X$1,$B$1)</f>
        <v>-3273.9</v>
      </c>
      <c r="Y41">
        <f>_xll.EQNXTDZ($A$1,$B41,Y$1,$B$1)</f>
        <v>1493.84</v>
      </c>
      <c r="Z41">
        <f>_xll.EQNXTDZ($A$1,$B41,Z$1,$B$1)</f>
        <v>13219.37</v>
      </c>
      <c r="AA41">
        <f>_xll.EQNXTDZ($A$1,$B41,AA$1,$B$1)</f>
        <v>3198.58</v>
      </c>
      <c r="AB41">
        <f>_xll.EQNXTDZ($A$1,$B41,AB$1,$B$1)</f>
        <v>2349.71</v>
      </c>
      <c r="AC41">
        <f>_xll.EQNXTDZ($A$1,$B41,AC$1,$B$1)</f>
        <v>2411.83</v>
      </c>
      <c r="AD41">
        <f>_xll.EQNXTDZ($A$1,$B41,AD$1,$B$1)</f>
        <v>2402.75</v>
      </c>
      <c r="AE41">
        <f>_xll.EQNXTDZ($A$1,$B41,AE$1,$B$1)</f>
        <v>383.41</v>
      </c>
      <c r="AF41">
        <f>_xll.EQNXTDZ($A$1,$B41,AF$1,$B$1)</f>
        <v>4573.7</v>
      </c>
      <c r="AG41">
        <f>_xll.EQNXTDZ($A$1,$B41,AG$1,$B$1)</f>
        <v>-2642.36</v>
      </c>
      <c r="AH41">
        <f>_xll.EQNXTDZ($A$1,$B41,AH$1,$B$1)</f>
        <v>3711.42</v>
      </c>
      <c r="AI41">
        <f>_xll.EQNXTDZ($A$1,$B41,AI$1,$B$1)</f>
        <v>-9423.5400000000009</v>
      </c>
      <c r="AJ41">
        <f>_xll.EQNXTDZ($A$1,$B41,AJ$1,$B$1)</f>
        <v>2195.4299999999998</v>
      </c>
      <c r="AK41">
        <f>_xll.EQNXTDZ($A$1,$B41,AK$1,$B$1)</f>
        <v>1869.33</v>
      </c>
      <c r="AL41">
        <f>_xll.EQNXTDZ($A$1,$B41,AL$1,$B$1)</f>
        <v>5640.11</v>
      </c>
      <c r="AM41">
        <f>_xll.EQNXTDZ($A$1,$B41,AM$1,$B$1)</f>
        <v>9526.68</v>
      </c>
      <c r="AN41">
        <f>_xll.EQNXTDZ($A$1,$B41,AN$1,$B$1)</f>
        <v>11238.25</v>
      </c>
      <c r="AO41">
        <f>_xll.EQNXTDZ($A$1,$B41,AO$1,$B$1)</f>
        <v>10445.75</v>
      </c>
      <c r="AP41">
        <f>_xll.EQNXTDZ($A$1,$B41,AP$1,$B$1)</f>
        <v>10257.719999999999</v>
      </c>
      <c r="AQ41">
        <f>_xll.EQNXTDZ($A$1,$B41,AQ$1,$B$1)</f>
        <v>1165.69</v>
      </c>
      <c r="AR41">
        <f>_xll.EQNXTDZ($A$1,$B41,AR$1,$B$1)</f>
        <v>-1870.06</v>
      </c>
      <c r="AS41">
        <f>_xll.EQNXTDZ($A$1,$B41,AS$1,$B$1)</f>
        <v>-5917.75</v>
      </c>
      <c r="AT41">
        <f>_xll.EQNXTDZ($A$1,$B41,AT$1,$B$1)</f>
        <v>1514.38</v>
      </c>
      <c r="AU41">
        <f>_xll.EQNXTDZ($A$1,$B41,AU$1,$B$1)</f>
        <v>-2510.5500000000002</v>
      </c>
      <c r="AV41">
        <f>_xll.EQNXTDZ($A$1,$B41,AV$1,$B$1)</f>
        <v>-6958.1</v>
      </c>
      <c r="AW41">
        <f>_xll.EQNXTDZ($A$1,$B41,AW$1,$B$1)</f>
        <v>1511.17</v>
      </c>
      <c r="AX41">
        <f>_xll.EQNXTDZ($A$1,$B41,AX$1,$B$1)</f>
        <v>333.09</v>
      </c>
      <c r="AY41">
        <f>_xll.EQNXTDZ($A$1,$B41,AY$1,$B$1)</f>
        <v>1135.19</v>
      </c>
      <c r="AZ41">
        <f>_xll.EQNXTDZ($A$1,$B41,AZ$1,$B$1)</f>
        <v>1474.51</v>
      </c>
      <c r="BA41">
        <f>_xll.EQNXTDZ($A$1,$B41,BA$1,$B$1)</f>
        <v>-485.43</v>
      </c>
      <c r="BB41">
        <f>_xll.EQNXTDZ($A$1,$B41,BB$1,$B$1)</f>
        <v>1508.51</v>
      </c>
      <c r="BC41">
        <f>_xll.EQNXTDZ($A$1,$B41,BC$1,$B$1)</f>
        <v>4392.21</v>
      </c>
      <c r="BD41">
        <f>_xll.EQNXTDZ($A$1,$B41,BD$1,$B$1)</f>
        <v>4551.1899999999996</v>
      </c>
      <c r="BE41">
        <f>_xll.EQNXTDZ($A$1,$B41,BE$1,$B$1)</f>
        <v>3518.07</v>
      </c>
      <c r="BF41">
        <f>_xll.EQNXTDZ($A$1,$B41,BF$1,$B$1)</f>
        <v>3688.71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597.88</v>
      </c>
      <c r="D42">
        <f>_xll.EQNXTDZ($A$1,$B42,D$1,$B$1)</f>
        <v>-363.93</v>
      </c>
      <c r="E42">
        <f>_xll.EQNXTDZ($A$1,$B42,E$1,$B$1)</f>
        <v>-763.06</v>
      </c>
      <c r="F42">
        <f>_xll.EQNXTDZ($A$1,$B42,F$1,$B$1)</f>
        <v>-6528.51</v>
      </c>
      <c r="G42">
        <f>_xll.EQNXTDZ($A$1,$B42,G$1,$B$1)</f>
        <v>1139.01</v>
      </c>
      <c r="H42">
        <f>_xll.EQNXTDZ($A$1,$B42,H$1,$B$1)</f>
        <v>916.77</v>
      </c>
      <c r="I42">
        <f>_xll.EQNXTDZ($A$1,$B42,I$1,$B$1)</f>
        <v>503.24</v>
      </c>
      <c r="J42">
        <f>_xll.EQNXTDZ($A$1,$B42,J$1,$B$1)</f>
        <v>1035.8699999999999</v>
      </c>
      <c r="K42">
        <f>_xll.EQNXTDZ($A$1,$B42,K$1,$B$1)</f>
        <v>337.33</v>
      </c>
      <c r="L42">
        <f>_xll.EQNXTDZ($A$1,$B42,L$1,$B$1)</f>
        <v>1254.33</v>
      </c>
      <c r="M42">
        <f>_xll.EQNXTDZ($A$1,$B42,M$1,$B$1)</f>
        <v>157.11000000000001</v>
      </c>
      <c r="N42">
        <f>_xll.EQNXTDZ($A$1,$B42,N$1,$B$1)</f>
        <v>-5674.29</v>
      </c>
      <c r="O42">
        <f>_xll.EQNXTDZ($A$1,$B42,O$1,$B$1)</f>
        <v>-319.12</v>
      </c>
      <c r="P42">
        <f>_xll.EQNXTDZ($A$1,$B42,P$1,$B$1)</f>
        <v>5628.71</v>
      </c>
      <c r="Q42">
        <f>_xll.EQNXTDZ($A$1,$B42,Q$1,$B$1)</f>
        <v>-2793.78</v>
      </c>
      <c r="R42">
        <f>_xll.EQNXTDZ($A$1,$B42,R$1,$B$1)</f>
        <v>-2991.08</v>
      </c>
      <c r="S42">
        <f>_xll.EQNXTDZ($A$1,$B42,S$1,$B$1)</f>
        <v>-3206.68</v>
      </c>
      <c r="T42">
        <f>_xll.EQNXTDZ($A$1,$B42,T$1,$B$1)</f>
        <v>-59.61</v>
      </c>
      <c r="U42">
        <f>_xll.EQNXTDZ($A$1,$B42,U$1,$B$1)</f>
        <v>201.9</v>
      </c>
      <c r="V42">
        <f>_xll.EQNXTDZ($A$1,$B42,V$1,$B$1)</f>
        <v>-1176.4100000000001</v>
      </c>
      <c r="W42">
        <f>_xll.EQNXTDZ($A$1,$B42,W$1,$B$1)</f>
        <v>906.27</v>
      </c>
      <c r="X42">
        <f>_xll.EQNXTDZ($A$1,$B42,X$1,$B$1)</f>
        <v>1005.8</v>
      </c>
      <c r="Y42">
        <f>_xll.EQNXTDZ($A$1,$B42,Y$1,$B$1)</f>
        <v>1286.42</v>
      </c>
      <c r="Z42">
        <f>_xll.EQNXTDZ($A$1,$B42,Z$1,$B$1)</f>
        <v>10235.84</v>
      </c>
      <c r="AA42">
        <f>_xll.EQNXTDZ($A$1,$B42,AA$1,$B$1)</f>
        <v>1951.06</v>
      </c>
      <c r="AB42">
        <f>_xll.EQNXTDZ($A$1,$B42,AB$1,$B$1)</f>
        <v>3598.73</v>
      </c>
      <c r="AC42">
        <f>_xll.EQNXTDZ($A$1,$B42,AC$1,$B$1)</f>
        <v>2285.98</v>
      </c>
      <c r="AD42">
        <f>_xll.EQNXTDZ($A$1,$B42,AD$1,$B$1)</f>
        <v>2382.5500000000002</v>
      </c>
      <c r="AE42">
        <f>_xll.EQNXTDZ($A$1,$B42,AE$1,$B$1)</f>
        <v>717.07</v>
      </c>
      <c r="AF42">
        <f>_xll.EQNXTDZ($A$1,$B42,AF$1,$B$1)</f>
        <v>3405.43</v>
      </c>
      <c r="AG42">
        <f>_xll.EQNXTDZ($A$1,$B42,AG$1,$B$1)</f>
        <v>-1084.6199999999999</v>
      </c>
      <c r="AH42">
        <f>_xll.EQNXTDZ($A$1,$B42,AH$1,$B$1)</f>
        <v>-1481.34</v>
      </c>
      <c r="AI42">
        <f>_xll.EQNXTDZ($A$1,$B42,AI$1,$B$1)</f>
        <v>-4416.5600000000004</v>
      </c>
      <c r="AJ42">
        <f>_xll.EQNXTDZ($A$1,$B42,AJ$1,$B$1)</f>
        <v>1565.41</v>
      </c>
      <c r="AK42">
        <f>_xll.EQNXTDZ($A$1,$B42,AK$1,$B$1)</f>
        <v>3697.22</v>
      </c>
      <c r="AL42">
        <f>_xll.EQNXTDZ($A$1,$B42,AL$1,$B$1)</f>
        <v>6644.15</v>
      </c>
      <c r="AM42">
        <f>_xll.EQNXTDZ($A$1,$B42,AM$1,$B$1)</f>
        <v>8906.9500000000007</v>
      </c>
      <c r="AN42">
        <f>_xll.EQNXTDZ($A$1,$B42,AN$1,$B$1)</f>
        <v>11918.11</v>
      </c>
      <c r="AO42">
        <f>_xll.EQNXTDZ($A$1,$B42,AO$1,$B$1)</f>
        <v>9572.67</v>
      </c>
      <c r="AP42">
        <f>_xll.EQNXTDZ($A$1,$B42,AP$1,$B$1)</f>
        <v>9756.2000000000007</v>
      </c>
      <c r="AQ42">
        <f>_xll.EQNXTDZ($A$1,$B42,AQ$1,$B$1)</f>
        <v>7764.96</v>
      </c>
      <c r="AR42">
        <f>_xll.EQNXTDZ($A$1,$B42,AR$1,$B$1)</f>
        <v>1514.42</v>
      </c>
      <c r="AS42">
        <f>_xll.EQNXTDZ($A$1,$B42,AS$1,$B$1)</f>
        <v>-2223.84</v>
      </c>
      <c r="AT42">
        <f>_xll.EQNXTDZ($A$1,$B42,AT$1,$B$1)</f>
        <v>1704.86</v>
      </c>
      <c r="AU42">
        <f>_xll.EQNXTDZ($A$1,$B42,AU$1,$B$1)</f>
        <v>633.95000000000005</v>
      </c>
      <c r="AV42">
        <f>_xll.EQNXTDZ($A$1,$B42,AV$1,$B$1)</f>
        <v>-6196.24</v>
      </c>
      <c r="AW42">
        <f>_xll.EQNXTDZ($A$1,$B42,AW$1,$B$1)</f>
        <v>513.37</v>
      </c>
      <c r="AX42">
        <f>_xll.EQNXTDZ($A$1,$B42,AX$1,$B$1)</f>
        <v>611.48</v>
      </c>
      <c r="AY42">
        <f>_xll.EQNXTDZ($A$1,$B42,AY$1,$B$1)</f>
        <v>959.61</v>
      </c>
      <c r="AZ42">
        <f>_xll.EQNXTDZ($A$1,$B42,AZ$1,$B$1)</f>
        <v>833.45</v>
      </c>
      <c r="BA42">
        <f>_xll.EQNXTDZ($A$1,$B42,BA$1,$B$1)</f>
        <v>326.64</v>
      </c>
      <c r="BB42">
        <f>_xll.EQNXTDZ($A$1,$B42,BB$1,$B$1)</f>
        <v>1300.81</v>
      </c>
      <c r="BC42">
        <f>_xll.EQNXTDZ($A$1,$B42,BC$1,$B$1)</f>
        <v>2077.6799999999998</v>
      </c>
      <c r="BD42">
        <f>_xll.EQNXTDZ($A$1,$B42,BD$1,$B$1)</f>
        <v>3101.75</v>
      </c>
      <c r="BE42">
        <f>_xll.EQNXTDZ($A$1,$B42,BE$1,$B$1)</f>
        <v>2688.7</v>
      </c>
      <c r="BF42">
        <f>_xll.EQNXTDZ($A$1,$B42,BF$1,$B$1)</f>
        <v>2925.74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971.41</v>
      </c>
      <c r="D45">
        <f>_xll.EQNXTDZ($A$1,$B45,D$1,$B$1)</f>
        <v>971.41</v>
      </c>
      <c r="E45">
        <f>_xll.EQNXTDZ($A$1,$B45,E$1,$B$1)</f>
        <v>971.41</v>
      </c>
      <c r="F45">
        <f>_xll.EQNXTDZ($A$1,$B45,F$1,$B$1)</f>
        <v>971.41</v>
      </c>
      <c r="G45">
        <f>_xll.EQNXTDZ($A$1,$B45,G$1,$B$1)</f>
        <v>971.41</v>
      </c>
      <c r="H45">
        <f>_xll.EQNXTDZ($A$1,$B45,H$1,$B$1)</f>
        <v>971.41</v>
      </c>
      <c r="I45">
        <f>_xll.EQNXTDZ($A$1,$B45,I$1,$B$1)</f>
        <v>971.41</v>
      </c>
      <c r="J45">
        <f>_xll.EQNXTDZ($A$1,$B45,J$1,$B$1)</f>
        <v>971.41</v>
      </c>
      <c r="K45">
        <f>_xll.EQNXTDZ($A$1,$B45,K$1,$B$1)</f>
        <v>971.41</v>
      </c>
      <c r="L45">
        <f>_xll.EQNXTDZ($A$1,$B45,L$1,$B$1)</f>
        <v>971.41</v>
      </c>
      <c r="M45">
        <f>_xll.EQNXTDZ($A$1,$B45,M$1,$B$1)</f>
        <v>971.41</v>
      </c>
      <c r="N45">
        <f>_xll.EQNXTDZ($A$1,$B45,N$1,$B$1)</f>
        <v>971.41</v>
      </c>
      <c r="O45">
        <f>_xll.EQNXTDZ($A$1,$B45,O$1,$B$1)</f>
        <v>970.24</v>
      </c>
      <c r="P45">
        <f>_xll.EQNXTDZ($A$1,$B45,P$1,$B$1)</f>
        <v>970.24</v>
      </c>
      <c r="Q45">
        <f>_xll.EQNXTDZ($A$1,$B45,Q$1,$B$1)</f>
        <v>970.24</v>
      </c>
      <c r="R45">
        <f>_xll.EQNXTDZ($A$1,$B45,R$1,$B$1)</f>
        <v>970.24</v>
      </c>
      <c r="S45">
        <f>_xll.EQNXTDZ($A$1,$B45,S$1,$B$1)</f>
        <v>970.24</v>
      </c>
      <c r="T45">
        <f>_xll.EQNXTDZ($A$1,$B45,T$1,$B$1)</f>
        <v>970.24</v>
      </c>
      <c r="U45">
        <f>_xll.EQNXTDZ($A$1,$B45,U$1,$B$1)</f>
        <v>970.24</v>
      </c>
      <c r="V45">
        <f>_xll.EQNXTDZ($A$1,$B45,V$1,$B$1)</f>
        <v>970.24</v>
      </c>
      <c r="W45">
        <f>_xll.EQNXTDZ($A$1,$B45,W$1,$B$1)</f>
        <v>970.24</v>
      </c>
      <c r="X45">
        <f>_xll.EQNXTDZ($A$1,$B45,X$1,$B$1)</f>
        <v>970.24</v>
      </c>
      <c r="Y45">
        <f>_xll.EQNXTDZ($A$1,$B45,Y$1,$B$1)</f>
        <v>970.24</v>
      </c>
      <c r="Z45">
        <f>_xll.EQNXTDZ($A$1,$B45,Z$1,$B$1)</f>
        <v>1144.95</v>
      </c>
      <c r="AA45">
        <f>_xll.EQNXTDZ($A$1,$B45,AA$1,$B$1)</f>
        <v>1144.93</v>
      </c>
      <c r="AB45">
        <f>_xll.EQNXTDZ($A$1,$B45,AB$1,$B$1)</f>
        <v>1144.93</v>
      </c>
      <c r="AC45">
        <f>_xll.EQNXTDZ($A$1,$B45,AC$1,$B$1)</f>
        <v>1144.94</v>
      </c>
      <c r="AD45">
        <f>_xll.EQNXTDZ($A$1,$B45,AD$1,$B$1)</f>
        <v>1144.94</v>
      </c>
      <c r="AE45">
        <f>_xll.EQNXTDZ($A$1,$B45,AE$1,$B$1)</f>
        <v>1144.94</v>
      </c>
      <c r="AF45">
        <f>_xll.EQNXTDZ($A$1,$B45,AF$1,$B$1)</f>
        <v>1144.93</v>
      </c>
      <c r="AG45">
        <f>_xll.EQNXTDZ($A$1,$B45,AG$1,$B$1)</f>
        <v>1144.95</v>
      </c>
      <c r="AH45">
        <f>_xll.EQNXTDZ($A$1,$B45,AH$1,$B$1)</f>
        <v>1144.95</v>
      </c>
      <c r="AI45">
        <f>_xll.EQNXTDZ($A$1,$B45,AI$1,$B$1)</f>
        <v>1144.92</v>
      </c>
      <c r="AJ45">
        <f>_xll.EQNXTDZ($A$1,$B45,AJ$1,$B$1)</f>
        <v>1144.95</v>
      </c>
      <c r="AK45">
        <f>_xll.EQNXTDZ($A$1,$B45,AK$1,$B$1)</f>
        <v>1144.95</v>
      </c>
      <c r="AL45">
        <f>_xll.EQNXTDZ($A$1,$B45,AL$1,$B$1)</f>
        <v>1197.6099999999999</v>
      </c>
      <c r="AM45">
        <f>_xll.EQNXTDZ($A$1,$B45,AM$1,$B$1)</f>
        <v>1201.8699999999999</v>
      </c>
      <c r="AN45">
        <f>_xll.EQNXTDZ($A$1,$B45,AN$1,$B$1)</f>
        <v>1202.28</v>
      </c>
      <c r="AO45">
        <f>_xll.EQNXTDZ($A$1,$B45,AO$1,$B$1)</f>
        <v>1221.17</v>
      </c>
      <c r="AP45">
        <f>_xll.EQNXTDZ($A$1,$B45,AP$1,$B$1)</f>
        <v>1221.21</v>
      </c>
      <c r="AQ45">
        <f>_xll.EQNXTDZ($A$1,$B45,AQ$1,$B$1)</f>
        <v>1221.21</v>
      </c>
      <c r="AR45">
        <f>_xll.EQNXTDZ($A$1,$B45,AR$1,$B$1)</f>
        <v>1221.21</v>
      </c>
      <c r="AS45">
        <f>_xll.EQNXTDZ($A$1,$B45,AS$1,$B$1)</f>
        <v>1221.21</v>
      </c>
      <c r="AT45">
        <f>_xll.EQNXTDZ($A$1,$B45,AT$1,$B$1)</f>
        <v>1221.24</v>
      </c>
      <c r="AU45">
        <f>_xll.EQNXTDZ($A$1,$B45,AU$1,$B$1)</f>
        <v>1221.24</v>
      </c>
      <c r="AV45">
        <f>_xll.EQNXTDZ($A$1,$B45,AV$1,$B$1)</f>
        <v>1221.24</v>
      </c>
      <c r="AW45">
        <f>_xll.EQNXTDZ($A$1,$B45,AW$1,$B$1)</f>
        <v>1228.82</v>
      </c>
      <c r="AX45">
        <f>_xll.EQNXTDZ($A$1,$B45,AX$1,$B$1)</f>
        <v>1247.44</v>
      </c>
      <c r="AY45">
        <f>_xll.EQNXTDZ($A$1,$B45,AY$1,$B$1)</f>
        <v>1247.44</v>
      </c>
      <c r="AZ45">
        <f>_xll.EQNXTDZ($A$1,$B45,AZ$1,$B$1)</f>
        <v>1247.44</v>
      </c>
      <c r="BA45">
        <f>_xll.EQNXTDZ($A$1,$B45,BA$1,$B$1)</f>
        <v>1247.44</v>
      </c>
      <c r="BB45">
        <f>_xll.EQNXTDZ($A$1,$B45,BB$1,$B$1)</f>
        <v>1247.44</v>
      </c>
      <c r="BC45">
        <f>_xll.EQNXTDZ($A$1,$B45,BC$1,$B$1)</f>
        <v>1247.44</v>
      </c>
      <c r="BD45">
        <f>_xll.EQNXTDZ($A$1,$B45,BD$1,$B$1)</f>
        <v>1247.44</v>
      </c>
      <c r="BE45">
        <f>_xll.EQNXTDZ($A$1,$B45,BE$1,$B$1)</f>
        <v>1247.44</v>
      </c>
      <c r="BF45">
        <f>_xll.EQNXTDZ($A$1,$B45,BF$1,$B$1)</f>
        <v>1247.44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10</v>
      </c>
      <c r="D46">
        <f>_xll.EQNXTDZ($A$1,$B46,D$1,$B$1)</f>
        <v>10</v>
      </c>
      <c r="E46">
        <f>_xll.EQNXTDZ($A$1,$B46,E$1,$B$1)</f>
        <v>10</v>
      </c>
      <c r="F46">
        <f>_xll.EQNXTDZ($A$1,$B46,F$1,$B$1)</f>
        <v>10</v>
      </c>
      <c r="G46">
        <f>_xll.EQNXTDZ($A$1,$B46,G$1,$B$1)</f>
        <v>10</v>
      </c>
      <c r="H46">
        <f>_xll.EQNXTDZ($A$1,$B46,H$1,$B$1)</f>
        <v>10</v>
      </c>
      <c r="I46">
        <f>_xll.EQNXTDZ($A$1,$B46,I$1,$B$1)</f>
        <v>10</v>
      </c>
      <c r="J46">
        <f>_xll.EQNXTDZ($A$1,$B46,J$1,$B$1)</f>
        <v>10</v>
      </c>
      <c r="K46">
        <f>_xll.EQNXTDZ($A$1,$B46,K$1,$B$1)</f>
        <v>10</v>
      </c>
      <c r="L46">
        <f>_xll.EQNXTDZ($A$1,$B46,L$1,$B$1)</f>
        <v>10</v>
      </c>
      <c r="M46">
        <f>_xll.EQNXTDZ($A$1,$B46,M$1,$B$1)</f>
        <v>10</v>
      </c>
      <c r="N46">
        <f>_xll.EQNXTDZ($A$1,$B46,N$1,$B$1)</f>
        <v>10</v>
      </c>
      <c r="O46">
        <f>_xll.EQNXTDZ($A$1,$B46,O$1,$B$1)</f>
        <v>10</v>
      </c>
      <c r="P46">
        <f>_xll.EQNXTDZ($A$1,$B46,P$1,$B$1)</f>
        <v>10</v>
      </c>
      <c r="Q46">
        <f>_xll.EQNXTDZ($A$1,$B46,Q$1,$B$1)</f>
        <v>10</v>
      </c>
      <c r="R46">
        <f>_xll.EQNXTDZ($A$1,$B46,R$1,$B$1)</f>
        <v>10</v>
      </c>
      <c r="S46">
        <f>_xll.EQNXTDZ($A$1,$B46,S$1,$B$1)</f>
        <v>10</v>
      </c>
      <c r="T46">
        <f>_xll.EQNXTDZ($A$1,$B46,T$1,$B$1)</f>
        <v>10</v>
      </c>
      <c r="U46">
        <f>_xll.EQNXTDZ($A$1,$B46,U$1,$B$1)</f>
        <v>10</v>
      </c>
      <c r="V46">
        <f>_xll.EQNXTDZ($A$1,$B46,V$1,$B$1)</f>
        <v>10</v>
      </c>
      <c r="W46">
        <f>_xll.EQNXTDZ($A$1,$B46,W$1,$B$1)</f>
        <v>10</v>
      </c>
      <c r="X46">
        <f>_xll.EQNXTDZ($A$1,$B46,X$1,$B$1)</f>
        <v>10</v>
      </c>
      <c r="Y46">
        <f>_xll.EQNXTDZ($A$1,$B46,Y$1,$B$1)</f>
        <v>10</v>
      </c>
      <c r="Z46">
        <f>_xll.EQNXTDZ($A$1,$B46,Z$1,$B$1)</f>
        <v>10</v>
      </c>
      <c r="AA46">
        <f>_xll.EQNXTDZ($A$1,$B46,AA$1,$B$1)</f>
        <v>10</v>
      </c>
      <c r="AB46">
        <f>_xll.EQNXTDZ($A$1,$B46,AB$1,$B$1)</f>
        <v>10</v>
      </c>
      <c r="AC46">
        <f>_xll.EQNXTDZ($A$1,$B46,AC$1,$B$1)</f>
        <v>10</v>
      </c>
      <c r="AD46">
        <f>_xll.EQNXTDZ($A$1,$B46,AD$1,$B$1)</f>
        <v>10</v>
      </c>
      <c r="AE46">
        <f>_xll.EQNXTDZ($A$1,$B46,AE$1,$B$1)</f>
        <v>10</v>
      </c>
      <c r="AF46">
        <f>_xll.EQNXTDZ($A$1,$B46,AF$1,$B$1)</f>
        <v>10</v>
      </c>
      <c r="AG46">
        <f>_xll.EQNXTDZ($A$1,$B46,AG$1,$B$1)</f>
        <v>10</v>
      </c>
      <c r="AH46">
        <f>_xll.EQNXTDZ($A$1,$B46,AH$1,$B$1)</f>
        <v>10</v>
      </c>
      <c r="AI46">
        <f>_xll.EQNXTDZ($A$1,$B46,AI$1,$B$1)</f>
        <v>10</v>
      </c>
      <c r="AJ46">
        <f>_xll.EQNXTDZ($A$1,$B46,AJ$1,$B$1)</f>
        <v>10</v>
      </c>
      <c r="AK46">
        <f>_xll.EQNXTDZ($A$1,$B46,AK$1,$B$1)</f>
        <v>10</v>
      </c>
      <c r="AL46">
        <f>_xll.EQNXTDZ($A$1,$B46,AL$1,$B$1)</f>
        <v>10</v>
      </c>
      <c r="AM46">
        <f>_xll.EQNXTDZ($A$1,$B46,AM$1,$B$1)</f>
        <v>10</v>
      </c>
      <c r="AN46">
        <f>_xll.EQNXTDZ($A$1,$B46,AN$1,$B$1)</f>
        <v>10</v>
      </c>
      <c r="AO46">
        <f>_xll.EQNXTDZ($A$1,$B46,AO$1,$B$1)</f>
        <v>10</v>
      </c>
      <c r="AP46">
        <f>_xll.EQNXTDZ($A$1,$B46,AP$1,$B$1)</f>
        <v>10</v>
      </c>
      <c r="AQ46">
        <f>_xll.EQNXTDZ($A$1,$B46,AQ$1,$B$1)</f>
        <v>10</v>
      </c>
      <c r="AR46">
        <f>_xll.EQNXTDZ($A$1,$B46,AR$1,$B$1)</f>
        <v>1</v>
      </c>
      <c r="AS46">
        <f>_xll.EQNXTDZ($A$1,$B46,AS$1,$B$1)</f>
        <v>1</v>
      </c>
      <c r="AT46">
        <f>_xll.EQNXTDZ($A$1,$B46,AT$1,$B$1)</f>
        <v>1</v>
      </c>
      <c r="AU46">
        <f>_xll.EQNXTDZ($A$1,$B46,AU$1,$B$1)</f>
        <v>1</v>
      </c>
      <c r="AV46">
        <f>_xll.EQNXTDZ($A$1,$B46,AV$1,$B$1)</f>
        <v>1</v>
      </c>
      <c r="AW46">
        <f>_xll.EQNXTDZ($A$1,$B46,AW$1,$B$1)</f>
        <v>1</v>
      </c>
      <c r="AX46">
        <f>_xll.EQNXTDZ($A$1,$B46,AX$1,$B$1)</f>
        <v>1</v>
      </c>
      <c r="AY46">
        <f>_xll.EQNXTDZ($A$1,$B46,AY$1,$B$1)</f>
        <v>1</v>
      </c>
      <c r="AZ46">
        <f>_xll.EQNXTDZ($A$1,$B46,AZ$1,$B$1)</f>
        <v>1</v>
      </c>
      <c r="BA46">
        <f>_xll.EQNXTDZ($A$1,$B46,BA$1,$B$1)</f>
        <v>1</v>
      </c>
      <c r="BB46">
        <f>_xll.EQNXTDZ($A$1,$B46,BB$1,$B$1)</f>
        <v>1</v>
      </c>
      <c r="BC46">
        <f>_xll.EQNXTDZ($A$1,$B46,BC$1,$B$1)</f>
        <v>1</v>
      </c>
      <c r="BD46">
        <f>_xll.EQNXTDZ($A$1,$B46,BD$1,$B$1)</f>
        <v>1</v>
      </c>
      <c r="BE46">
        <f>_xll.EQNXTDZ($A$1,$B46,BE$1,$B$1)</f>
        <v>1</v>
      </c>
      <c r="BF46">
        <f>_xll.EQNXTDZ($A$1,$B46,BF$1,$B$1)</f>
        <v>1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201206</v>
      </c>
      <c r="D47">
        <f>_xll.EQNXTDZ($A$1,$B47,D$5)</f>
        <v>201209</v>
      </c>
      <c r="E47">
        <f>_xll.EQNXTDZ($A$1,$B47,E$5)</f>
        <v>201212</v>
      </c>
      <c r="F47">
        <f>_xll.EQNXTDZ($A$1,$B47,F$5)</f>
        <v>201303</v>
      </c>
      <c r="G47">
        <f>_xll.EQNXTDZ($A$1,$B47,G$5)</f>
        <v>201306</v>
      </c>
      <c r="H47">
        <f>_xll.EQNXTDZ($A$1,$B47,H$5)</f>
        <v>201309</v>
      </c>
      <c r="I47">
        <f>_xll.EQNXTDZ($A$1,$B47,I$5)</f>
        <v>201312</v>
      </c>
      <c r="J47">
        <f>_xll.EQNXTDZ($A$1,$B47,J$5)</f>
        <v>201403</v>
      </c>
      <c r="K47">
        <f>_xll.EQNXTDZ($A$1,$B47,K$5)</f>
        <v>201406</v>
      </c>
      <c r="L47">
        <f>_xll.EQNXTDZ($A$1,$B47,L$5)</f>
        <v>201409</v>
      </c>
      <c r="M47">
        <f>_xll.EQNXTDZ($A$1,$B47,M$5)</f>
        <v>201412</v>
      </c>
      <c r="N47">
        <f>_xll.EQNXTDZ($A$1,$B47,N$5)</f>
        <v>201503</v>
      </c>
      <c r="O47">
        <f>_xll.EQNXTDZ($A$1,$B47,O$5)</f>
        <v>201506</v>
      </c>
      <c r="P47">
        <f>_xll.EQNXTDZ($A$1,$B47,P$5)</f>
        <v>201509</v>
      </c>
      <c r="Q47">
        <f>_xll.EQNXTDZ($A$1,$B47,Q$5)</f>
        <v>201512</v>
      </c>
      <c r="R47">
        <f>_xll.EQNXTDZ($A$1,$B47,R$5)</f>
        <v>201603</v>
      </c>
      <c r="S47">
        <f>_xll.EQNXTDZ($A$1,$B47,S$5)</f>
        <v>201606</v>
      </c>
      <c r="T47">
        <f>_xll.EQNXTDZ($A$1,$B47,T$5)</f>
        <v>201609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42.0458334352262</v>
      </c>
      <c r="D48" s="55">
        <f>_xll.EQNXTDZ($A$1,$B48,D$5)</f>
        <v>38.182342508875799</v>
      </c>
      <c r="E48" s="55">
        <f>_xll.EQNXTDZ($A$1,$B48,E$5)</f>
        <v>40.807229685717999</v>
      </c>
      <c r="F48" s="55">
        <f>_xll.EQNXTDZ($A$1,$B48,F$5)</f>
        <v>29.755073151645401</v>
      </c>
      <c r="G48" s="55">
        <f>_xll.EQNXTDZ($A$1,$B48,G$5)</f>
        <v>26.086900508871299</v>
      </c>
      <c r="H48" s="55">
        <f>_xll.EQNXTDZ($A$1,$B48,H$5)</f>
        <v>25.877290643569999</v>
      </c>
      <c r="I48" s="55">
        <f>_xll.EQNXTDZ($A$1,$B48,I$5)</f>
        <v>40.345135209939997</v>
      </c>
      <c r="J48" s="55">
        <f>_xll.EQNXTDZ($A$1,$B48,J$5)</f>
        <v>37.524929749521498</v>
      </c>
      <c r="K48" s="55">
        <f>_xll.EQNXTDZ($A$1,$B48,K$5)</f>
        <v>50.334950835780603</v>
      </c>
      <c r="L48" s="55">
        <f>_xll.EQNXTDZ($A$1,$B48,L$5)</f>
        <v>43.7608232422374</v>
      </c>
      <c r="M48" s="55">
        <f>_xll.EQNXTDZ($A$1,$B48,M$5)</f>
        <v>38.048954412774897</v>
      </c>
      <c r="N48" s="55">
        <f>_xll.EQNXTDZ($A$1,$B48,N$5)</f>
        <v>30.188584463973299</v>
      </c>
      <c r="O48" s="55">
        <f>_xll.EQNXTDZ($A$1,$B48,O$5)</f>
        <v>29.030966344240699</v>
      </c>
      <c r="P48" s="55">
        <f>_xll.EQNXTDZ($A$1,$B48,P$5)</f>
        <v>20.1892411169826</v>
      </c>
      <c r="Q48" s="55">
        <f>_xll.EQNXTDZ($A$1,$B48,Q$5)</f>
        <v>24.7292002449874</v>
      </c>
      <c r="R48" s="55">
        <f>_xll.EQNXTDZ($A$1,$B48,R$5)</f>
        <v>30.441069074449899</v>
      </c>
      <c r="S48" s="55">
        <f>_xll.EQNXTDZ($A$1,$B48,S$5)</f>
        <v>30.669734382051399</v>
      </c>
      <c r="T48" s="55">
        <f>_xll.EQNXTDZ($A$1,$B48,T$5)</f>
        <v>35.6717879858343</v>
      </c>
      <c r="U48" s="55">
        <f>_xll.EQNXTDZ($A$1,$B48,U$5)</f>
        <v>37.262917417894798</v>
      </c>
      <c r="V48" s="55">
        <f>_xll.EQNXTDZ($A$1,$B48,V$5)</f>
        <v>45.985546130777003</v>
      </c>
      <c r="W48" s="55">
        <f>_xll.EQNXTDZ($A$1,$B48,W$5)</f>
        <v>51.864150080365697</v>
      </c>
      <c r="X48" s="55">
        <f>_xll.EQNXTDZ($A$1,$B48,X$5)</f>
        <v>62.030228547482402</v>
      </c>
      <c r="Y48" s="55">
        <f>_xll.EQNXTDZ($A$1,$B48,Y$5)</f>
        <v>69.785793563633405</v>
      </c>
      <c r="Z48" s="55">
        <f>_xll.EQNXTDZ($A$1,$B48,Z$5)</f>
        <v>57.09</v>
      </c>
      <c r="AA48" s="55">
        <f>_xll.EQNXTDZ($A$1,$B48,AA$5)</f>
        <v>56.784999999999997</v>
      </c>
      <c r="AB48" s="55">
        <f>_xll.EQNXTDZ($A$1,$B48,AB$5)</f>
        <v>58.034999999999997</v>
      </c>
      <c r="AC48" s="55">
        <f>_xll.EQNXTDZ($A$1,$B48,AC$5)</f>
        <v>52.185000000000002</v>
      </c>
      <c r="AD48" s="55">
        <f>_xll.EQNXTDZ($A$1,$B48,AD$5)</f>
        <v>52.085000000000001</v>
      </c>
      <c r="AE48" s="55">
        <f>_xll.EQNXTDZ($A$1,$B48,AE$5)</f>
        <v>50.44</v>
      </c>
      <c r="AF48" s="55">
        <f>_xll.EQNXTDZ($A$1,$B48,AF$5)</f>
        <v>35.979999999999997</v>
      </c>
      <c r="AG48" s="55">
        <f>_xll.EQNXTDZ($A$1,$B48,AG$5)</f>
        <v>47.2</v>
      </c>
      <c r="AH48" s="55">
        <f>_xll.EQNXTDZ($A$1,$B48,AH$5)</f>
        <v>26.975000000000001</v>
      </c>
      <c r="AI48" s="55">
        <f>_xll.EQNXTDZ($A$1,$B48,AI$5)</f>
        <v>32.664999999999999</v>
      </c>
      <c r="AJ48" s="55">
        <f>_xll.EQNXTDZ($A$1,$B48,AJ$5)</f>
        <v>35.975000000000001</v>
      </c>
      <c r="AK48" s="55">
        <f>_xll.EQNXTDZ($A$1,$B48,AK$5)</f>
        <v>64.355000000000004</v>
      </c>
      <c r="AL48" s="55">
        <f>_xll.EQNXTDZ($A$1,$B48,AL$5)</f>
        <v>81.194999999999993</v>
      </c>
      <c r="AM48" s="55">
        <f>_xll.EQNXTDZ($A$1,$B48,AM$5)</f>
        <v>116.685</v>
      </c>
      <c r="AN48" s="55">
        <f>_xll.EQNXTDZ($A$1,$B48,AN$5)</f>
        <v>128.85499999999999</v>
      </c>
      <c r="AO48" s="55">
        <f>_xll.EQNXTDZ($A$1,$B48,AO$5)</f>
        <v>111.15</v>
      </c>
      <c r="AP48" s="55">
        <f>_xll.EQNXTDZ($A$1,$B48,AP$5)</f>
        <v>130.70500000000001</v>
      </c>
      <c r="AQ48" s="55">
        <f>_xll.EQNXTDZ($A$1,$B48,AQ$5)</f>
        <v>86.694999999999993</v>
      </c>
      <c r="AR48" s="55">
        <f>_xll.EQNXTDZ($A$1,$B48,AR$5)</f>
        <v>99.3</v>
      </c>
      <c r="AS48" s="55">
        <f>_xll.EQNXTDZ($A$1,$B48,AS$5)</f>
        <v>112.65</v>
      </c>
      <c r="AT48" s="55">
        <f>_xll.EQNXTDZ($A$1,$B48,AT$5)</f>
        <v>104.5</v>
      </c>
      <c r="AU48" s="55">
        <f>_xll.EQNXTDZ($A$1,$B48,AU$5)</f>
        <v>112</v>
      </c>
      <c r="AV48" s="55">
        <f>_xll.EQNXTDZ($A$1,$B48,AV$5)</f>
        <v>129</v>
      </c>
      <c r="AW48" s="55">
        <f>_xll.EQNXTDZ($A$1,$B48,AW$5)</f>
        <v>139.5</v>
      </c>
      <c r="AX48" s="55">
        <f>_xll.EQNXTDZ($A$1,$B48,AX$5)</f>
        <v>155.9</v>
      </c>
      <c r="AY48" s="55">
        <f>_xll.EQNXTDZ($A$1,$B48,AY$5)</f>
        <v>174</v>
      </c>
      <c r="AZ48" s="55">
        <f>_xll.EQNXTDZ($A$1,$B48,AZ$5)</f>
        <v>168.45</v>
      </c>
      <c r="BA48" s="55">
        <f>_xll.EQNXTDZ($A$1,$B48,BA$5)</f>
        <v>138.1</v>
      </c>
      <c r="BB48" s="55">
        <f>_xll.EQNXTDZ($A$1,$B48,BB$5)</f>
        <v>154.25</v>
      </c>
      <c r="BC48" s="55">
        <f>_xll.EQNXTDZ($A$1,$B48,BC$5)</f>
        <v>159.75</v>
      </c>
      <c r="BD48" s="55">
        <f>_xll.EQNXTDZ($A$1,$B48,BD$5)</f>
        <v>168.7</v>
      </c>
      <c r="BE48" s="55">
        <f>_xll.EQNXTDZ($A$1,$B48,BE$5)</f>
        <v>180.05</v>
      </c>
      <c r="BF48" s="55">
        <f>_xll.EQNXTDZ($A$1,$B48,BF$5)</f>
        <v>191.8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31.35</v>
      </c>
      <c r="D49" s="55">
        <f>_xll.EQNXTDZ($A$1,$B49,D$5)</f>
        <v>31.35</v>
      </c>
      <c r="E49" s="55">
        <f>_xll.EQNXTDZ($A$1,$B49,E$5)</f>
        <v>31.35</v>
      </c>
      <c r="F49" s="55">
        <f>_xll.EQNXTDZ($A$1,$B49,F$5)</f>
        <v>31.35</v>
      </c>
      <c r="G49" s="55">
        <f>_xll.EQNXTDZ($A$1,$B49,G$5)</f>
        <v>31.35</v>
      </c>
      <c r="H49" s="55">
        <f>_xll.EQNXTDZ($A$1,$B49,H$5)</f>
        <v>31.35</v>
      </c>
      <c r="I49" s="55">
        <f>_xll.EQNXTDZ($A$1,$B49,I$5)</f>
        <v>31.35</v>
      </c>
      <c r="J49" s="55">
        <f>_xll.EQNXTDZ($A$1,$B49,J$5)</f>
        <v>31.35</v>
      </c>
      <c r="K49" s="55">
        <f>_xll.EQNXTDZ($A$1,$B49,K$5)</f>
        <v>31.35</v>
      </c>
      <c r="L49" s="55">
        <f>_xll.EQNXTDZ($A$1,$B49,L$5)</f>
        <v>31.35</v>
      </c>
      <c r="M49" s="55">
        <f>_xll.EQNXTDZ($A$1,$B49,M$5)</f>
        <v>31.35</v>
      </c>
      <c r="N49" s="55">
        <f>_xll.EQNXTDZ($A$1,$B49,N$5)</f>
        <v>31.35</v>
      </c>
      <c r="O49" s="55">
        <f>_xll.EQNXTDZ($A$1,$B49,O$5)</f>
        <v>31.35</v>
      </c>
      <c r="P49" s="55">
        <f>_xll.EQNXTDZ($A$1,$B49,P$5)</f>
        <v>31.35</v>
      </c>
      <c r="Q49" s="55">
        <f>_xll.EQNXTDZ($A$1,$B49,Q$5)</f>
        <v>31.35</v>
      </c>
      <c r="R49" s="55">
        <f>_xll.EQNXTDZ($A$1,$B49,R$5)</f>
        <v>31.35</v>
      </c>
      <c r="S49" s="55">
        <f>_xll.EQNXTDZ($A$1,$B49,S$5)</f>
        <v>31.35</v>
      </c>
      <c r="T49" s="55">
        <f>_xll.EQNXTDZ($A$1,$B49,T$5)</f>
        <v>31.35</v>
      </c>
      <c r="U49" s="55">
        <f>_xll.EQNXTDZ($A$1,$B49,U$5)</f>
        <v>31.35</v>
      </c>
      <c r="V49" s="55">
        <f>_xll.EQNXTDZ($A$1,$B49,V$5)</f>
        <v>31.35</v>
      </c>
      <c r="W49" s="55">
        <f>_xll.EQNXTDZ($A$1,$B49,W$5)</f>
        <v>31.35</v>
      </c>
      <c r="X49" s="55">
        <f>_xll.EQNXTDZ($A$1,$B49,X$5)</f>
        <v>31.35</v>
      </c>
      <c r="Y49" s="55">
        <f>_xll.EQNXTDZ($A$1,$B49,Y$5)</f>
        <v>31.35</v>
      </c>
      <c r="Z49" s="55">
        <f>_xll.EQNXTDZ($A$1,$B49,Z$5)</f>
        <v>33.21</v>
      </c>
      <c r="AA49" s="55">
        <f>_xll.EQNXTDZ($A$1,$B49,AA$5)</f>
        <v>33.119999999999997</v>
      </c>
      <c r="AB49" s="55">
        <f>_xll.EQNXTDZ($A$1,$B49,AB$5)</f>
        <v>33.119999999999997</v>
      </c>
      <c r="AC49" s="55">
        <f>_xll.EQNXTDZ($A$1,$B49,AC$5)</f>
        <v>33.119999999999997</v>
      </c>
      <c r="AD49" s="55">
        <f>_xll.EQNXTDZ($A$1,$B49,AD$5)</f>
        <v>33.119999999999997</v>
      </c>
      <c r="AE49" s="55">
        <f>_xll.EQNXTDZ($A$1,$B49,AE$5)</f>
        <v>33.119999999999997</v>
      </c>
      <c r="AF49" s="55">
        <f>_xll.EQNXTDZ($A$1,$B49,AF$5)</f>
        <v>33.119999999999997</v>
      </c>
      <c r="AG49" s="55">
        <f>_xll.EQNXTDZ($A$1,$B49,AG$5)</f>
        <v>33.119999999999997</v>
      </c>
      <c r="AH49" s="55">
        <f>_xll.EQNXTDZ($A$1,$B49,AH$5)</f>
        <v>34.409999999999997</v>
      </c>
      <c r="AI49" s="55">
        <f>_xll.EQNXTDZ($A$1,$B49,AI$5)</f>
        <v>34.409999999999997</v>
      </c>
      <c r="AJ49" s="55">
        <f>_xll.EQNXTDZ($A$1,$B49,AJ$5)</f>
        <v>34.409999999999997</v>
      </c>
      <c r="AK49" s="55">
        <f>_xll.EQNXTDZ($A$1,$B49,AK$5)</f>
        <v>34.409999999999997</v>
      </c>
      <c r="AL49" s="55">
        <f>_xll.EQNXTDZ($A$1,$B49,AL$5)</f>
        <v>34.409999999999997</v>
      </c>
      <c r="AM49" s="55">
        <f>_xll.EQNXTDZ($A$1,$B49,AM$5)</f>
        <v>34.409999999999997</v>
      </c>
      <c r="AN49" s="55">
        <f>_xll.EQNXTDZ($A$1,$B49,AN$5)</f>
        <v>34.409999999999997</v>
      </c>
      <c r="AO49" s="55">
        <f>_xll.EQNXTDZ($A$1,$B49,AO$5)</f>
        <v>33.92</v>
      </c>
      <c r="AP49" s="55">
        <f>_xll.EQNXTDZ($A$1,$B49,AP$5)</f>
        <v>33.92</v>
      </c>
      <c r="AQ49" s="55">
        <f>_xll.EQNXTDZ($A$1,$B49,AQ$5)</f>
        <v>33.92</v>
      </c>
      <c r="AR49" s="55">
        <f>_xll.EQNXTDZ($A$1,$B49,AR$5)</f>
        <v>33.92</v>
      </c>
      <c r="AS49" s="55">
        <f>_xll.EQNXTDZ($A$1,$B49,AS$5)</f>
        <v>33.9</v>
      </c>
      <c r="AT49" s="55">
        <f>_xll.EQNXTDZ($A$1,$B49,AT$5)</f>
        <v>33.9</v>
      </c>
      <c r="AU49" s="55">
        <f>_xll.EQNXTDZ($A$1,$B49,AU$5)</f>
        <v>33.9</v>
      </c>
      <c r="AV49" s="55">
        <f>_xll.EQNXTDZ($A$1,$B49,AV$5)</f>
        <v>33.9</v>
      </c>
      <c r="AW49" s="55">
        <f>_xll.EQNXTDZ($A$1,$B49,AW$5)</f>
        <v>33.700000000000003</v>
      </c>
      <c r="AX49" s="55">
        <f>_xll.EQNXTDZ($A$1,$B49,AX$5)</f>
        <v>33.19</v>
      </c>
      <c r="AY49" s="55">
        <f>_xll.EQNXTDZ($A$1,$B49,AY$5)</f>
        <v>33.19</v>
      </c>
      <c r="AZ49" s="55">
        <f>_xll.EQNXTDZ($A$1,$B49,AZ$5)</f>
        <v>33.19</v>
      </c>
      <c r="BA49" s="55">
        <f>_xll.EQNXTDZ($A$1,$B49,BA$5)</f>
        <v>33.19</v>
      </c>
      <c r="BB49" s="55">
        <f>_xll.EQNXTDZ($A$1,$B49,BB$5)</f>
        <v>33.19</v>
      </c>
      <c r="BC49" s="55">
        <f>_xll.EQNXTDZ($A$1,$B49,BC$5)</f>
        <v>33.19</v>
      </c>
      <c r="BD49" s="55">
        <f>_xll.EQNXTDZ($A$1,$B49,BD$5)</f>
        <v>33.19</v>
      </c>
      <c r="BE49" s="55">
        <f>_xll.EQNXTDZ($A$1,$B49,BE$5)</f>
        <v>33.19</v>
      </c>
      <c r="BF49" s="55">
        <f>_xll.EQNXTDZ($A$1,$B49,BF$5)</f>
        <v>33.19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3.28</v>
      </c>
      <c r="D50" s="55">
        <f>_xll.EQNXTDZ($A$1,$B50,D$5)</f>
        <v>3.28</v>
      </c>
      <c r="E50" s="55">
        <f>_xll.EQNXTDZ($A$1,$B50,E$5)</f>
        <v>6.57</v>
      </c>
      <c r="F50" s="55">
        <f>_xll.EQNXTDZ($A$1,$B50,F$5)</f>
        <v>6.57</v>
      </c>
      <c r="G50" s="55">
        <f>_xll.EQNXTDZ($A$1,$B50,G$5)</f>
        <v>6.57</v>
      </c>
      <c r="H50" s="55">
        <f>_xll.EQNXTDZ($A$1,$B50,H$5)</f>
        <v>6.57</v>
      </c>
      <c r="I50" s="55">
        <f>_xll.EQNXTDZ($A$1,$B50,I$5)</f>
        <v>6.57</v>
      </c>
      <c r="J50" s="55">
        <f>_xll.EQNXTDZ($A$1,$B50,J$5)</f>
        <v>7.36</v>
      </c>
      <c r="K50" s="55">
        <f>_xll.EQNXTDZ($A$1,$B50,K$5)</f>
        <v>9</v>
      </c>
      <c r="L50" s="55">
        <f>_xll.EQNXTDZ($A$1,$B50,L$5)</f>
        <v>9</v>
      </c>
      <c r="M50" s="55">
        <f>_xll.EQNXTDZ($A$1,$B50,M$5)</f>
        <v>9</v>
      </c>
      <c r="N50" s="55">
        <f>_xll.EQNXTDZ($A$1,$B50,N$5)</f>
        <v>9</v>
      </c>
      <c r="O50" s="55">
        <f>_xll.EQNXTDZ($A$1,$B50,O$5)</f>
        <v>9</v>
      </c>
      <c r="P50" s="55">
        <f>_xll.EQNXTDZ($A$1,$B50,P$5)</f>
        <v>9</v>
      </c>
      <c r="Q50" s="55">
        <f>_xll.EQNXTDZ($A$1,$B50,Q$5)</f>
        <v>9</v>
      </c>
      <c r="R50" s="55">
        <f>_xll.EQNXTDZ($A$1,$B50,R$5)</f>
        <v>9</v>
      </c>
      <c r="S50" s="55">
        <f>_xll.EQNXTDZ($A$1,$B50,S$5)</f>
        <v>5.71</v>
      </c>
      <c r="T50" s="55">
        <f>_xll.EQNXTDZ($A$1,$B50,T$5)</f>
        <v>5.71</v>
      </c>
      <c r="U50" s="55">
        <f>_xll.EQNXTDZ($A$1,$B50,U$5)</f>
        <v>5.71</v>
      </c>
      <c r="V50" s="55">
        <f>_xll.EQNXTDZ($A$1,$B50,V$5)</f>
        <v>5.71</v>
      </c>
      <c r="W50" s="55">
        <f>_xll.EQNXTDZ($A$1,$B50,W$5)</f>
        <v>5.71</v>
      </c>
      <c r="X50" s="55">
        <f>_xll.EQNXTDZ($A$1,$B50,X$5)</f>
        <v>5.71</v>
      </c>
      <c r="Y50" s="55">
        <f>_xll.EQNXTDZ($A$1,$B50,Y$5)</f>
        <v>4.59</v>
      </c>
      <c r="Z50" s="55">
        <f>_xll.EQNXTDZ($A$1,$B50,Z$5)</f>
        <v>3.5</v>
      </c>
      <c r="AA50" s="55">
        <f>_xll.EQNXTDZ($A$1,$B50,AA$5)</f>
        <v>3.51</v>
      </c>
      <c r="AB50" s="55">
        <f>_xll.EQNXTDZ($A$1,$B50,AB$5)</f>
        <v>3.51</v>
      </c>
      <c r="AC50" s="55">
        <f>_xll.EQNXTDZ($A$1,$B50,AC$5)</f>
        <v>3.51</v>
      </c>
      <c r="AD50" s="55">
        <f>_xll.EQNXTDZ($A$1,$B50,AD$5)</f>
        <v>3.51</v>
      </c>
      <c r="AE50" s="55">
        <f>_xll.EQNXTDZ($A$1,$B50,AE$5)</f>
        <v>3.51</v>
      </c>
      <c r="AF50" s="55">
        <f>_xll.EQNXTDZ($A$1,$B50,AF$5)</f>
        <v>3.51</v>
      </c>
      <c r="AG50" s="55">
        <f>_xll.EQNXTDZ($A$1,$B50,AG$5)</f>
        <v>3.51</v>
      </c>
      <c r="AH50" s="55">
        <f>_xll.EQNXTDZ($A$1,$B50,AH$5)</f>
        <v>3.37</v>
      </c>
      <c r="AI50" s="55">
        <f>_xll.EQNXTDZ($A$1,$B50,AI$5)</f>
        <v>3.37</v>
      </c>
      <c r="AJ50" s="55">
        <f>_xll.EQNXTDZ($A$1,$B50,AJ$5)</f>
        <v>3.37</v>
      </c>
      <c r="AK50" s="55">
        <f>_xll.EQNXTDZ($A$1,$B50,AK$5)</f>
        <v>3.37</v>
      </c>
      <c r="AL50" s="55">
        <f>_xll.EQNXTDZ($A$1,$B50,AL$5)</f>
        <v>1.55</v>
      </c>
      <c r="AM50" s="55">
        <f>_xll.EQNXTDZ($A$1,$B50,AM$5)</f>
        <v>1.55</v>
      </c>
      <c r="AN50" s="55">
        <f>_xll.EQNXTDZ($A$1,$B50,AN$5)</f>
        <v>1.55</v>
      </c>
      <c r="AO50" s="55">
        <f>_xll.EQNXTDZ($A$1,$B50,AO$5)</f>
        <v>1.55</v>
      </c>
      <c r="AP50" s="55">
        <f>_xll.EQNXTDZ($A$1,$B50,AP$5)</f>
        <v>1.55</v>
      </c>
      <c r="AQ50" s="55">
        <f>_xll.EQNXTDZ($A$1,$B50,AQ$5)</f>
        <v>1.55</v>
      </c>
      <c r="AR50" s="55">
        <f>_xll.EQNXTDZ($A$1,$B50,AR$5)</f>
        <v>1.55</v>
      </c>
      <c r="AS50" s="55">
        <f>_xll.EQNXTDZ($A$1,$B50,AS$5)</f>
        <v>1.55</v>
      </c>
      <c r="AT50" s="55">
        <f>_xll.EQNXTDZ($A$1,$B50,AT$5)</f>
        <v>1.55</v>
      </c>
      <c r="AU50" s="55">
        <f>_xll.EQNXTDZ($A$1,$B50,AU$5)</f>
        <v>1.55</v>
      </c>
      <c r="AV50" s="55">
        <f>_xll.EQNXTDZ($A$1,$B50,AV$5)</f>
        <v>1.55</v>
      </c>
      <c r="AW50" s="55">
        <f>_xll.EQNXTDZ($A$1,$B50,AW$5)</f>
        <v>0</v>
      </c>
      <c r="AX50" s="55">
        <f>_xll.EQNXTDZ($A$1,$B50,AX$5)</f>
        <v>0</v>
      </c>
      <c r="AY50" s="55">
        <f>_xll.EQNXTDZ($A$1,$B50,AY$5)</f>
        <v>0</v>
      </c>
      <c r="AZ50" s="55">
        <f>_xll.EQNXTDZ($A$1,$B50,AZ$5)</f>
        <v>0</v>
      </c>
      <c r="BA50" s="55">
        <f>_xll.EQNXTDZ($A$1,$B50,BA$5)</f>
        <v>0</v>
      </c>
      <c r="BB50" s="55">
        <f>_xll.EQNXTDZ($A$1,$B50,BB$5)</f>
        <v>0</v>
      </c>
      <c r="BC50" s="55">
        <f>_xll.EQNXTDZ($A$1,$B50,BC$5)</f>
        <v>0</v>
      </c>
      <c r="BD50" s="55">
        <f>_xll.EQNXTDZ($A$1,$B50,BD$5)</f>
        <v>0</v>
      </c>
      <c r="BE50" s="55">
        <f>_xll.EQNXTDZ($A$1,$B50,BE$5)</f>
        <v>0</v>
      </c>
      <c r="BF50" s="55">
        <f>_xll.EQNXTDZ($A$1,$B50,BF$5)</f>
        <v>0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201209</v>
      </c>
      <c r="E55" s="56">
        <f>_xll.EQNXTDZ($A$1,$B55,E$5,$B$1)</f>
        <v>201212</v>
      </c>
      <c r="F55" s="56">
        <f>_xll.EQNXTDZ($A$1,$B55,F$5,$B$1)</f>
        <v>201303</v>
      </c>
      <c r="G55" s="56">
        <f>_xll.EQNXTDZ($A$1,$B55,G$5,$B$1)</f>
        <v>0</v>
      </c>
      <c r="H55" s="56">
        <f>_xll.EQNXTDZ($A$1,$B55,H$5,$B$1)</f>
        <v>201309</v>
      </c>
      <c r="I55" s="56">
        <f>_xll.EQNXTDZ($A$1,$B55,I$5,$B$1)</f>
        <v>0</v>
      </c>
      <c r="J55" s="56">
        <f>_xll.EQNXTDZ($A$1,$B55,J$5,$B$1)</f>
        <v>201403</v>
      </c>
      <c r="K55" s="56">
        <f>_xll.EQNXTDZ($A$1,$B55,K$5,$B$1)</f>
        <v>0</v>
      </c>
      <c r="L55" s="56">
        <f>_xll.EQNXTDZ($A$1,$B55,L$5,$B$1)</f>
        <v>201409</v>
      </c>
      <c r="M55" s="56">
        <f>_xll.EQNXTDZ($A$1,$B55,M$5,$B$1)</f>
        <v>0</v>
      </c>
      <c r="N55" s="56">
        <f>_xll.EQNXTDZ($A$1,$B55,N$5,$B$1)</f>
        <v>201503</v>
      </c>
      <c r="O55" s="56">
        <f>_xll.EQNXTDZ($A$1,$B55,O$5,$B$1)</f>
        <v>0</v>
      </c>
      <c r="P55" s="56">
        <f>_xll.EQNXTDZ($A$1,$B55,P$5,$B$1)</f>
        <v>201509</v>
      </c>
      <c r="Q55" s="56">
        <f>_xll.EQNXTDZ($A$1,$B55,Q$5,$B$1)</f>
        <v>0</v>
      </c>
      <c r="R55" s="56">
        <f>_xll.EQNXTDZ($A$1,$B55,R$5,$B$1)</f>
        <v>201603</v>
      </c>
      <c r="S55" s="56">
        <f>_xll.EQNXTDZ($A$1,$B55,S$5,$B$1)</f>
        <v>0</v>
      </c>
      <c r="T55" s="56">
        <f>_xll.EQNXTDZ($A$1,$B55,T$5,$B$1)</f>
        <v>201609</v>
      </c>
      <c r="U55" s="56">
        <f>_xll.EQNXTDZ($A$1,$B55,U$5,$B$1)</f>
        <v>0</v>
      </c>
      <c r="V55" s="56">
        <f>_xll.EQNXTDZ($A$1,$B55,V$5,$B$1)</f>
        <v>201703</v>
      </c>
      <c r="W55" s="56">
        <f>_xll.EQNXTDZ($A$1,$B55,W$5,$B$1)</f>
        <v>0</v>
      </c>
      <c r="X55" s="56">
        <f>_xll.EQNXTDZ($A$1,$B55,X$5,$B$1)</f>
        <v>201709</v>
      </c>
      <c r="Y55" s="56">
        <f>_xll.EQNXTDZ($A$1,$B55,Y$5,$B$1)</f>
        <v>0</v>
      </c>
      <c r="Z55" s="56">
        <f>_xll.EQNXTDZ($A$1,$B55,Z$5,$B$1)</f>
        <v>201803</v>
      </c>
      <c r="AA55" s="56">
        <f>_xll.EQNXTDZ($A$1,$B55,AA$5,$B$1)</f>
        <v>0</v>
      </c>
      <c r="AB55" s="56">
        <f>_xll.EQNXTDZ($A$1,$B55,AB$5,$B$1)</f>
        <v>201809</v>
      </c>
      <c r="AC55" s="56">
        <f>_xll.EQNXTDZ($A$1,$B55,AC$5,$B$1)</f>
        <v>0</v>
      </c>
      <c r="AD55" s="56">
        <f>_xll.EQNXTDZ($A$1,$B55,AD$5,$B$1)</f>
        <v>201903</v>
      </c>
      <c r="AE55" s="56">
        <f>_xll.EQNXTDZ($A$1,$B55,AE$5,$B$1)</f>
        <v>0</v>
      </c>
      <c r="AF55" s="56">
        <f>_xll.EQNXTDZ($A$1,$B55,AF$5,$B$1)</f>
        <v>201909</v>
      </c>
      <c r="AG55" s="56">
        <f>_xll.EQNXTDZ($A$1,$B55,AG$5,$B$1)</f>
        <v>0</v>
      </c>
      <c r="AH55" s="56">
        <f>_xll.EQNXTDZ($A$1,$B55,AH$5,$B$1)</f>
        <v>202003</v>
      </c>
      <c r="AI55" s="56">
        <f>_xll.EQNXTDZ($A$1,$B55,AI$5,$B$1)</f>
        <v>0</v>
      </c>
      <c r="AJ55" s="56">
        <f>_xll.EQNXTDZ($A$1,$B55,AJ$5,$B$1)</f>
        <v>202009</v>
      </c>
      <c r="AK55" s="56">
        <f>_xll.EQNXTDZ($A$1,$B55,AK$5,$B$1)</f>
        <v>0</v>
      </c>
      <c r="AL55" s="56">
        <f>_xll.EQNXTDZ($A$1,$B55,AL$5,$B$1)</f>
        <v>202103</v>
      </c>
      <c r="AM55" s="56">
        <f>_xll.EQNXTDZ($A$1,$B55,AM$5,$B$1)</f>
        <v>0</v>
      </c>
      <c r="AN55" s="56">
        <f>_xll.EQNXTDZ($A$1,$B55,AN$5,$B$1)</f>
        <v>202109</v>
      </c>
      <c r="AO55" s="56">
        <f>_xll.EQNXTDZ($A$1,$B55,AO$5,$B$1)</f>
        <v>0</v>
      </c>
      <c r="AP55" s="56">
        <f>_xll.EQNXTDZ($A$1,$B55,AP$5,$B$1)</f>
        <v>202203</v>
      </c>
      <c r="AQ55" s="56">
        <f>_xll.EQNXTDZ($A$1,$B55,AQ$5,$B$1)</f>
        <v>0</v>
      </c>
      <c r="AR55" s="56">
        <f>_xll.EQNXTDZ($A$1,$B55,AR$5,$B$1)</f>
        <v>202209</v>
      </c>
      <c r="AS55" s="56">
        <f>_xll.EQNXTDZ($A$1,$B55,AS$5,$B$1)</f>
        <v>0</v>
      </c>
      <c r="AT55" s="56">
        <f>_xll.EQNXTDZ($A$1,$B55,AT$5,$B$1)</f>
        <v>202303</v>
      </c>
      <c r="AU55" s="56">
        <f>_xll.EQNXTDZ($A$1,$B55,AU$5,$B$1)</f>
        <v>0</v>
      </c>
      <c r="AV55" s="56">
        <f>_xll.EQNXTDZ($A$1,$B55,AV$5,$B$1)</f>
        <v>202309</v>
      </c>
      <c r="AW55" s="56">
        <f>_xll.EQNXTDZ($A$1,$B55,AW$5,$B$1)</f>
        <v>0</v>
      </c>
      <c r="AX55" s="56">
        <f>_xll.EQNXTDZ($A$1,$B55,AX$5,$B$1)</f>
        <v>202403</v>
      </c>
      <c r="AY55" s="56">
        <f>_xll.EQNXTDZ($A$1,$B55,AY$5,$B$1)</f>
        <v>0</v>
      </c>
      <c r="AZ55" s="56">
        <f>_xll.EQNXTDZ($A$1,$B55,AZ$5,$B$1)</f>
        <v>202409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3268.84</v>
      </c>
      <c r="E56" s="55">
        <f>_xll.EQNXTDZ($A$1,$B56,E$5,$B$1)</f>
        <v>3268.84</v>
      </c>
      <c r="F56" s="55">
        <f>_xll.EQNXTDZ($A$1,$B56,F$5,$B$1)</f>
        <v>3267.62</v>
      </c>
      <c r="G56" s="55">
        <f>_xll.EQNXTDZ($A$1,$B56,G$5,$B$1)</f>
        <v>0</v>
      </c>
      <c r="H56" s="55">
        <f>_xll.EQNXTDZ($A$1,$B56,H$5,$B$1)</f>
        <v>3267.62</v>
      </c>
      <c r="I56" s="55">
        <f>_xll.EQNXTDZ($A$1,$B56,I$5,$B$1)</f>
        <v>0</v>
      </c>
      <c r="J56" s="55">
        <f>_xll.EQNXTDZ($A$1,$B56,J$5,$B$1)</f>
        <v>3266.41</v>
      </c>
      <c r="K56" s="55">
        <f>_xll.EQNXTDZ($A$1,$B56,K$5,$B$1)</f>
        <v>0</v>
      </c>
      <c r="L56" s="55">
        <f>_xll.EQNXTDZ($A$1,$B56,L$5,$B$1)</f>
        <v>3266.41</v>
      </c>
      <c r="M56" s="55">
        <f>_xll.EQNXTDZ($A$1,$B56,M$5,$B$1)</f>
        <v>0</v>
      </c>
      <c r="N56" s="55">
        <f>_xll.EQNXTDZ($A$1,$B56,N$5,$B$1)</f>
        <v>3266.41</v>
      </c>
      <c r="O56" s="55">
        <f>_xll.EQNXTDZ($A$1,$B56,O$5,$B$1)</f>
        <v>0</v>
      </c>
      <c r="P56" s="55">
        <f>_xll.EQNXTDZ($A$1,$B56,P$5,$B$1)</f>
        <v>3265.24</v>
      </c>
      <c r="Q56" s="55">
        <f>_xll.EQNXTDZ($A$1,$B56,Q$5,$B$1)</f>
        <v>0</v>
      </c>
      <c r="R56" s="55">
        <f>_xll.EQNXTDZ($A$1,$B56,R$5,$B$1)</f>
        <v>970.24</v>
      </c>
      <c r="S56" s="55">
        <f>_xll.EQNXTDZ($A$1,$B56,S$5,$B$1)</f>
        <v>0</v>
      </c>
      <c r="T56" s="55">
        <f>_xll.EQNXTDZ($A$1,$B56,T$5,$B$1)</f>
        <v>970.24</v>
      </c>
      <c r="U56" s="55">
        <f>_xll.EQNXTDZ($A$1,$B56,U$5,$B$1)</f>
        <v>0</v>
      </c>
      <c r="V56" s="55">
        <f>_xll.EQNXTDZ($A$1,$B56,V$5,$B$1)</f>
        <v>970.24</v>
      </c>
      <c r="W56" s="55">
        <f>_xll.EQNXTDZ($A$1,$B56,W$5,$B$1)</f>
        <v>0</v>
      </c>
      <c r="X56" s="55">
        <f>_xll.EQNXTDZ($A$1,$B56,X$5,$B$1)</f>
        <v>970.24</v>
      </c>
      <c r="Y56" s="55">
        <f>_xll.EQNXTDZ($A$1,$B56,Y$5,$B$1)</f>
        <v>0</v>
      </c>
      <c r="Z56" s="55">
        <f>_xll.EQNXTDZ($A$1,$B56,Z$5,$B$1)</f>
        <v>1144.95</v>
      </c>
      <c r="AA56" s="55">
        <f>_xll.EQNXTDZ($A$1,$B56,AA$5,$B$1)</f>
        <v>0</v>
      </c>
      <c r="AB56" s="55">
        <f>_xll.EQNXTDZ($A$1,$B56,AB$5,$B$1)</f>
        <v>1144.93</v>
      </c>
      <c r="AC56" s="55">
        <f>_xll.EQNXTDZ($A$1,$B56,AC$5,$B$1)</f>
        <v>0</v>
      </c>
      <c r="AD56" s="55">
        <f>_xll.EQNXTDZ($A$1,$B56,AD$5,$B$1)</f>
        <v>1144.94</v>
      </c>
      <c r="AE56" s="55">
        <f>_xll.EQNXTDZ($A$1,$B56,AE$5,$B$1)</f>
        <v>0</v>
      </c>
      <c r="AF56" s="55">
        <f>_xll.EQNXTDZ($A$1,$B56,AF$5,$B$1)</f>
        <v>1144.94</v>
      </c>
      <c r="AG56" s="55">
        <f>_xll.EQNXTDZ($A$1,$B56,AG$5,$B$1)</f>
        <v>0</v>
      </c>
      <c r="AH56" s="55">
        <f>_xll.EQNXTDZ($A$1,$B56,AH$5,$B$1)</f>
        <v>1144.95</v>
      </c>
      <c r="AI56" s="55">
        <f>_xll.EQNXTDZ($A$1,$B56,AI$5,$B$1)</f>
        <v>0</v>
      </c>
      <c r="AJ56" s="55">
        <f>_xll.EQNXTDZ($A$1,$B56,AJ$5,$B$1)</f>
        <v>1144.95</v>
      </c>
      <c r="AK56" s="55">
        <f>_xll.EQNXTDZ($A$1,$B56,AK$5,$B$1)</f>
        <v>0</v>
      </c>
      <c r="AL56" s="55">
        <f>_xll.EQNXTDZ($A$1,$B56,AL$5,$B$1)</f>
        <v>1197.6099999999999</v>
      </c>
      <c r="AM56" s="55">
        <f>_xll.EQNXTDZ($A$1,$B56,AM$5,$B$1)</f>
        <v>0</v>
      </c>
      <c r="AN56" s="55">
        <f>_xll.EQNXTDZ($A$1,$B56,AN$5,$B$1)</f>
        <v>1202.28</v>
      </c>
      <c r="AO56" s="55">
        <f>_xll.EQNXTDZ($A$1,$B56,AO$5,$B$1)</f>
        <v>0</v>
      </c>
      <c r="AP56" s="55">
        <f>_xll.EQNXTDZ($A$1,$B56,AP$5,$B$1)</f>
        <v>1221.21</v>
      </c>
      <c r="AQ56" s="55">
        <f>_xll.EQNXTDZ($A$1,$B56,AQ$5,$B$1)</f>
        <v>0</v>
      </c>
      <c r="AR56" s="55">
        <f>_xll.EQNXTDZ($A$1,$B56,AR$5,$B$1)</f>
        <v>1221.21</v>
      </c>
      <c r="AS56" s="55">
        <f>_xll.EQNXTDZ($A$1,$B56,AS$5,$B$1)</f>
        <v>0</v>
      </c>
      <c r="AT56" s="55">
        <f>_xll.EQNXTDZ($A$1,$B56,AT$5,$B$1)</f>
        <v>1221.24</v>
      </c>
      <c r="AU56" s="55">
        <f>_xll.EQNXTDZ($A$1,$B56,AU$5,$B$1)</f>
        <v>0</v>
      </c>
      <c r="AV56" s="55">
        <f>_xll.EQNXTDZ($A$1,$B56,AV$5,$B$1)</f>
        <v>1221.24</v>
      </c>
      <c r="AW56" s="55">
        <f>_xll.EQNXTDZ($A$1,$B56,AW$5,$B$1)</f>
        <v>0</v>
      </c>
      <c r="AX56" s="55">
        <f>_xll.EQNXTDZ($A$1,$B56,AX$5,$B$1)</f>
        <v>1247.44</v>
      </c>
      <c r="AY56" s="55">
        <f>_xll.EQNXTDZ($A$1,$B56,AY$5,$B$1)</f>
        <v>0</v>
      </c>
      <c r="AZ56" s="55">
        <f>_xll.EQNXTDZ($A$1,$B56,AZ$5,$B$1)</f>
        <v>1247.44</v>
      </c>
      <c r="BA56" s="55">
        <f>_xll.EQNXTDZ($A$1,$B56,BA$5,$B$1)</f>
        <v>0</v>
      </c>
      <c r="BB56" s="55">
        <f>_xll.EQNXTDZ($A$1,$B56,BB$5,$B$1)</f>
        <v>1247.44</v>
      </c>
      <c r="BC56" s="55">
        <f>_xll.EQNXTDZ($A$1,$B56,BC$5,$B$1)</f>
        <v>0</v>
      </c>
      <c r="BD56" s="55">
        <f>_xll.EQNXTDZ($A$1,$B56,BD$5,$B$1)</f>
        <v>1247.44</v>
      </c>
      <c r="BE56" s="55">
        <f>_xll.EQNXTDZ($A$1,$B56,BE$5,$B$1)</f>
        <v>0</v>
      </c>
      <c r="BF56" s="55">
        <f>_xll.EQNXTDZ($A$1,$B56,BF$5,$B$1)</f>
        <v>1247.44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17.46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41307.99</v>
      </c>
      <c r="E58" s="55">
        <f>_xll.EQNXTDZ($A$1,$B58,E$5,$B$1)</f>
        <v>41200.04</v>
      </c>
      <c r="F58" s="55">
        <f>_xll.EQNXTDZ($A$1,$B58,F$5,$B$1)</f>
        <v>33200.83</v>
      </c>
      <c r="G58" s="55">
        <f>_xll.EQNXTDZ($A$1,$B58,G$5,$B$1)</f>
        <v>0</v>
      </c>
      <c r="H58" s="55">
        <f>_xll.EQNXTDZ($A$1,$B58,H$5,$B$1)</f>
        <v>39671.56</v>
      </c>
      <c r="I58" s="55">
        <f>_xll.EQNXTDZ($A$1,$B58,I$5,$B$1)</f>
        <v>0</v>
      </c>
      <c r="J58" s="55">
        <f>_xll.EQNXTDZ($A$1,$B58,J$5,$B$1)</f>
        <v>39560.550000000003</v>
      </c>
      <c r="K58" s="55">
        <f>_xll.EQNXTDZ($A$1,$B58,K$5,$B$1)</f>
        <v>0</v>
      </c>
      <c r="L58" s="55">
        <f>_xll.EQNXTDZ($A$1,$B58,L$5,$B$1)</f>
        <v>41074.68</v>
      </c>
      <c r="M58" s="55">
        <f>_xll.EQNXTDZ($A$1,$B58,M$5,$B$1)</f>
        <v>0</v>
      </c>
      <c r="N58" s="55">
        <f>_xll.EQNXTDZ($A$1,$B58,N$5,$B$1)</f>
        <v>30378</v>
      </c>
      <c r="O58" s="55">
        <f>_xll.EQNXTDZ($A$1,$B58,O$5,$B$1)</f>
        <v>0</v>
      </c>
      <c r="P58" s="55">
        <f>_xll.EQNXTDZ($A$1,$B58,P$5,$B$1)</f>
        <v>34074.42</v>
      </c>
      <c r="Q58" s="55">
        <f>_xll.EQNXTDZ($A$1,$B58,Q$5,$B$1)</f>
        <v>0</v>
      </c>
      <c r="R58" s="55">
        <f>_xll.EQNXTDZ($A$1,$B58,R$5,$B$1)</f>
        <v>42762.31</v>
      </c>
      <c r="S58" s="55">
        <f>_xll.EQNXTDZ($A$1,$B58,S$5,$B$1)</f>
        <v>0</v>
      </c>
      <c r="T58" s="55">
        <f>_xll.EQNXTDZ($A$1,$B58,T$5,$B$1)</f>
        <v>36474.6</v>
      </c>
      <c r="U58" s="55">
        <f>_xll.EQNXTDZ($A$1,$B58,U$5,$B$1)</f>
        <v>0</v>
      </c>
      <c r="V58" s="55">
        <f>_xll.EQNXTDZ($A$1,$B58,V$5,$B$1)</f>
        <v>36849.08</v>
      </c>
      <c r="W58" s="55">
        <f>_xll.EQNXTDZ($A$1,$B58,W$5,$B$1)</f>
        <v>0</v>
      </c>
      <c r="X58" s="55">
        <f>_xll.EQNXTDZ($A$1,$B58,X$5,$B$1)</f>
        <v>36095.410000000003</v>
      </c>
      <c r="Y58" s="55">
        <f>_xll.EQNXTDZ($A$1,$B58,Y$5,$B$1)</f>
        <v>0</v>
      </c>
      <c r="Z58" s="55">
        <f>_xll.EQNXTDZ($A$1,$B58,Z$5,$B$1)</f>
        <v>59725.67</v>
      </c>
      <c r="AA58" s="55">
        <f>_xll.EQNXTDZ($A$1,$B58,AA$5,$B$1)</f>
        <v>0</v>
      </c>
      <c r="AB58" s="55">
        <f>_xll.EQNXTDZ($A$1,$B58,AB$5,$B$1)</f>
        <v>65146.7</v>
      </c>
      <c r="AC58" s="55">
        <f>_xll.EQNXTDZ($A$1,$B58,AC$5,$B$1)</f>
        <v>0</v>
      </c>
      <c r="AD58" s="55">
        <f>_xll.EQNXTDZ($A$1,$B58,AD$5,$B$1)</f>
        <v>67780.14</v>
      </c>
      <c r="AE58" s="55">
        <f>_xll.EQNXTDZ($A$1,$B58,AE$5,$B$1)</f>
        <v>0</v>
      </c>
      <c r="AF58" s="55">
        <f>_xll.EQNXTDZ($A$1,$B58,AF$5,$B$1)</f>
        <v>71499.350000000006</v>
      </c>
      <c r="AG58" s="55">
        <f>_xll.EQNXTDZ($A$1,$B58,AG$5,$B$1)</f>
        <v>0</v>
      </c>
      <c r="AH58" s="55">
        <f>_xll.EQNXTDZ($A$1,$B58,AH$5,$B$1)</f>
        <v>72431.350000000006</v>
      </c>
      <c r="AI58" s="55">
        <f>_xll.EQNXTDZ($A$1,$B58,AI$5,$B$1)</f>
        <v>0</v>
      </c>
      <c r="AJ58" s="55">
        <f>_xll.EQNXTDZ($A$1,$B58,AJ$5,$B$1)</f>
        <v>63920.86</v>
      </c>
      <c r="AK58" s="55">
        <f>_xll.EQNXTDZ($A$1,$B58,AK$5,$B$1)</f>
        <v>0</v>
      </c>
      <c r="AL58" s="55">
        <f>_xll.EQNXTDZ($A$1,$B58,AL$5,$B$1)</f>
        <v>73041.16</v>
      </c>
      <c r="AM58" s="55">
        <f>_xll.EQNXTDZ($A$1,$B58,AM$5,$B$1)</f>
        <v>0</v>
      </c>
      <c r="AN58" s="55">
        <f>_xll.EQNXTDZ($A$1,$B58,AN$5,$B$1)</f>
        <v>90316.18</v>
      </c>
      <c r="AO58" s="55">
        <f>_xll.EQNXTDZ($A$1,$B58,AO$5,$B$1)</f>
        <v>0</v>
      </c>
      <c r="AP58" s="55">
        <f>_xll.EQNXTDZ($A$1,$B58,AP$5,$B$1)</f>
        <v>113221.83</v>
      </c>
      <c r="AQ58" s="55">
        <f>_xll.EQNXTDZ($A$1,$B58,AQ$5,$B$1)</f>
        <v>0</v>
      </c>
      <c r="AR58" s="55">
        <f>_xll.EQNXTDZ($A$1,$B58,AR$5,$B$1)</f>
        <v>106277.45</v>
      </c>
      <c r="AS58" s="55">
        <f>_xll.EQNXTDZ($A$1,$B58,AS$5,$B$1)</f>
        <v>0</v>
      </c>
      <c r="AT58" s="55">
        <f>_xll.EQNXTDZ($A$1,$B58,AT$5,$B$1)</f>
        <v>101860.86</v>
      </c>
      <c r="AU58" s="55">
        <f>_xll.EQNXTDZ($A$1,$B58,AU$5,$B$1)</f>
        <v>0</v>
      </c>
      <c r="AV58" s="55">
        <f>_xll.EQNXTDZ($A$1,$B58,AV$5,$B$1)</f>
        <v>87975.95</v>
      </c>
      <c r="AW58" s="55">
        <f>_xll.EQNXTDZ($A$1,$B58,AW$5,$B$1)</f>
        <v>0</v>
      </c>
      <c r="AX58" s="55">
        <f>_xll.EQNXTDZ($A$1,$B58,AX$5,$B$1)</f>
        <v>90788.32</v>
      </c>
      <c r="AY58" s="55">
        <f>_xll.EQNXTDZ($A$1,$B58,AY$5,$B$1)</f>
        <v>0</v>
      </c>
      <c r="AZ58" s="55">
        <f>_xll.EQNXTDZ($A$1,$B58,AZ$5,$B$1)</f>
        <v>88899.64</v>
      </c>
      <c r="BA58" s="55">
        <f>_xll.EQNXTDZ($A$1,$B58,BA$5,$B$1)</f>
        <v>0</v>
      </c>
      <c r="BB58" s="55">
        <f>_xll.EQNXTDZ($A$1,$B58,BB$5,$B$1)</f>
        <v>89922.19</v>
      </c>
      <c r="BC58" s="55">
        <f>_xll.EQNXTDZ($A$1,$B58,BC$5,$B$1)</f>
        <v>0</v>
      </c>
      <c r="BD58" s="55">
        <f>_xll.EQNXTDZ($A$1,$B58,BD$5,$B$1)</f>
        <v>93699.86</v>
      </c>
      <c r="BE58" s="55">
        <f>_xll.EQNXTDZ($A$1,$B58,BE$5,$B$1)</f>
        <v>0</v>
      </c>
      <c r="BF58" s="55">
        <f>_xll.EQNXTDZ($A$1,$B58,BF$5,$B$1)</f>
        <v>100920.21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44594.29</v>
      </c>
      <c r="E59" s="55">
        <f>_xll.EQNXTDZ($A$1,$B59,E$5,$B$1)</f>
        <v>44468.88</v>
      </c>
      <c r="F59" s="55">
        <f>_xll.EQNXTDZ($A$1,$B59,F$5,$B$1)</f>
        <v>36468.449999999997</v>
      </c>
      <c r="G59" s="55">
        <f>_xll.EQNXTDZ($A$1,$B59,G$5,$B$1)</f>
        <v>0</v>
      </c>
      <c r="H59" s="55">
        <f>_xll.EQNXTDZ($A$1,$B59,H$5,$B$1)</f>
        <v>42939.18</v>
      </c>
      <c r="I59" s="55">
        <f>_xll.EQNXTDZ($A$1,$B59,I$5,$B$1)</f>
        <v>0</v>
      </c>
      <c r="J59" s="55">
        <f>_xll.EQNXTDZ($A$1,$B59,J$5,$B$1)</f>
        <v>42826.96</v>
      </c>
      <c r="K59" s="55">
        <f>_xll.EQNXTDZ($A$1,$B59,K$5,$B$1)</f>
        <v>0</v>
      </c>
      <c r="L59" s="55">
        <f>_xll.EQNXTDZ($A$1,$B59,L$5,$B$1)</f>
        <v>44341.09</v>
      </c>
      <c r="M59" s="55">
        <f>_xll.EQNXTDZ($A$1,$B59,M$5,$B$1)</f>
        <v>0</v>
      </c>
      <c r="N59" s="55">
        <f>_xll.EQNXTDZ($A$1,$B59,N$5,$B$1)</f>
        <v>33644.410000000003</v>
      </c>
      <c r="O59" s="55">
        <f>_xll.EQNXTDZ($A$1,$B59,O$5,$B$1)</f>
        <v>0</v>
      </c>
      <c r="P59" s="55">
        <f>_xll.EQNXTDZ($A$1,$B59,P$5,$B$1)</f>
        <v>37339.660000000003</v>
      </c>
      <c r="Q59" s="55">
        <f>_xll.EQNXTDZ($A$1,$B59,Q$5,$B$1)</f>
        <v>0</v>
      </c>
      <c r="R59" s="55">
        <f>_xll.EQNXTDZ($A$1,$B59,R$5,$B$1)</f>
        <v>43732.55</v>
      </c>
      <c r="S59" s="55">
        <f>_xll.EQNXTDZ($A$1,$B59,S$5,$B$1)</f>
        <v>0</v>
      </c>
      <c r="T59" s="55">
        <f>_xll.EQNXTDZ($A$1,$B59,T$5,$B$1)</f>
        <v>37444.839999999997</v>
      </c>
      <c r="U59" s="55">
        <f>_xll.EQNXTDZ($A$1,$B59,U$5,$B$1)</f>
        <v>0</v>
      </c>
      <c r="V59" s="55">
        <f>_xll.EQNXTDZ($A$1,$B59,V$5,$B$1)</f>
        <v>37819.32</v>
      </c>
      <c r="W59" s="55">
        <f>_xll.EQNXTDZ($A$1,$B59,W$5,$B$1)</f>
        <v>0</v>
      </c>
      <c r="X59" s="55">
        <f>_xll.EQNXTDZ($A$1,$B59,X$5,$B$1)</f>
        <v>37065.65</v>
      </c>
      <c r="Y59" s="55">
        <f>_xll.EQNXTDZ($A$1,$B59,Y$5,$B$1)</f>
        <v>0</v>
      </c>
      <c r="Z59" s="55">
        <f>_xll.EQNXTDZ($A$1,$B59,Z$5,$B$1)</f>
        <v>60870.62</v>
      </c>
      <c r="AA59" s="55">
        <f>_xll.EQNXTDZ($A$1,$B59,AA$5,$B$1)</f>
        <v>0</v>
      </c>
      <c r="AB59" s="55">
        <f>_xll.EQNXTDZ($A$1,$B59,AB$5,$B$1)</f>
        <v>66291.63</v>
      </c>
      <c r="AC59" s="55">
        <f>_xll.EQNXTDZ($A$1,$B59,AC$5,$B$1)</f>
        <v>0</v>
      </c>
      <c r="AD59" s="55">
        <f>_xll.EQNXTDZ($A$1,$B59,AD$5,$B$1)</f>
        <v>68925.08</v>
      </c>
      <c r="AE59" s="55">
        <f>_xll.EQNXTDZ($A$1,$B59,AE$5,$B$1)</f>
        <v>0</v>
      </c>
      <c r="AF59" s="55">
        <f>_xll.EQNXTDZ($A$1,$B59,AF$5,$B$1)</f>
        <v>72644.289999999994</v>
      </c>
      <c r="AG59" s="55">
        <f>_xll.EQNXTDZ($A$1,$B59,AG$5,$B$1)</f>
        <v>0</v>
      </c>
      <c r="AH59" s="55">
        <f>_xll.EQNXTDZ($A$1,$B59,AH$5,$B$1)</f>
        <v>73576.3</v>
      </c>
      <c r="AI59" s="55">
        <f>_xll.EQNXTDZ($A$1,$B59,AI$5,$B$1)</f>
        <v>0</v>
      </c>
      <c r="AJ59" s="55">
        <f>_xll.EQNXTDZ($A$1,$B59,AJ$5,$B$1)</f>
        <v>65065.81</v>
      </c>
      <c r="AK59" s="55">
        <f>_xll.EQNXTDZ($A$1,$B59,AK$5,$B$1)</f>
        <v>0</v>
      </c>
      <c r="AL59" s="55">
        <f>_xll.EQNXTDZ($A$1,$B59,AL$5,$B$1)</f>
        <v>74238.77</v>
      </c>
      <c r="AM59" s="55">
        <f>_xll.EQNXTDZ($A$1,$B59,AM$5,$B$1)</f>
        <v>0</v>
      </c>
      <c r="AN59" s="55">
        <f>_xll.EQNXTDZ($A$1,$B59,AN$5,$B$1)</f>
        <v>91518.46</v>
      </c>
      <c r="AO59" s="55">
        <f>_xll.EQNXTDZ($A$1,$B59,AO$5,$B$1)</f>
        <v>0</v>
      </c>
      <c r="AP59" s="55">
        <f>_xll.EQNXTDZ($A$1,$B59,AP$5,$B$1)</f>
        <v>114443.04</v>
      </c>
      <c r="AQ59" s="55">
        <f>_xll.EQNXTDZ($A$1,$B59,AQ$5,$B$1)</f>
        <v>0</v>
      </c>
      <c r="AR59" s="55">
        <f>_xll.EQNXTDZ($A$1,$B59,AR$5,$B$1)</f>
        <v>107498.66</v>
      </c>
      <c r="AS59" s="55">
        <f>_xll.EQNXTDZ($A$1,$B59,AS$5,$B$1)</f>
        <v>0</v>
      </c>
      <c r="AT59" s="55">
        <f>_xll.EQNXTDZ($A$1,$B59,AT$5,$B$1)</f>
        <v>103082.1</v>
      </c>
      <c r="AU59" s="55">
        <f>_xll.EQNXTDZ($A$1,$B59,AU$5,$B$1)</f>
        <v>0</v>
      </c>
      <c r="AV59" s="55">
        <f>_xll.EQNXTDZ($A$1,$B59,AV$5,$B$1)</f>
        <v>89197.19</v>
      </c>
      <c r="AW59" s="55">
        <f>_xll.EQNXTDZ($A$1,$B59,AW$5,$B$1)</f>
        <v>0</v>
      </c>
      <c r="AX59" s="55">
        <f>_xll.EQNXTDZ($A$1,$B59,AX$5,$B$1)</f>
        <v>92035.76</v>
      </c>
      <c r="AY59" s="55">
        <f>_xll.EQNXTDZ($A$1,$B59,AY$5,$B$1)</f>
        <v>0</v>
      </c>
      <c r="AZ59" s="55">
        <f>_xll.EQNXTDZ($A$1,$B59,AZ$5,$B$1)</f>
        <v>90147.08</v>
      </c>
      <c r="BA59" s="55">
        <f>_xll.EQNXTDZ($A$1,$B59,BA$5,$B$1)</f>
        <v>0</v>
      </c>
      <c r="BB59" s="55">
        <f>_xll.EQNXTDZ($A$1,$B59,BB$5,$B$1)</f>
        <v>91169.63</v>
      </c>
      <c r="BC59" s="55">
        <f>_xll.EQNXTDZ($A$1,$B59,BC$5,$B$1)</f>
        <v>0</v>
      </c>
      <c r="BD59" s="55">
        <f>_xll.EQNXTDZ($A$1,$B59,BD$5,$B$1)</f>
        <v>94947.3</v>
      </c>
      <c r="BE59" s="55">
        <f>_xll.EQNXTDZ($A$1,$B59,BE$5,$B$1)</f>
        <v>0</v>
      </c>
      <c r="BF59" s="55">
        <f>_xll.EQNXTDZ($A$1,$B59,BF$5,$B$1)</f>
        <v>102167.65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1789.09</v>
      </c>
      <c r="E60" s="55">
        <f>_xll.EQNXTDZ($A$1,$B60,E$5,$B$1)</f>
        <v>1822.21</v>
      </c>
      <c r="F60" s="55">
        <f>_xll.EQNXTDZ($A$1,$B60,F$5,$B$1)</f>
        <v>1669.36</v>
      </c>
      <c r="G60" s="55">
        <f>_xll.EQNXTDZ($A$1,$B60,G$5,$B$1)</f>
        <v>0</v>
      </c>
      <c r="H60" s="55">
        <f>_xll.EQNXTDZ($A$1,$B60,H$5,$B$1)</f>
        <v>1917.79</v>
      </c>
      <c r="I60" s="55">
        <f>_xll.EQNXTDZ($A$1,$B60,I$5,$B$1)</f>
        <v>0</v>
      </c>
      <c r="J60" s="55">
        <f>_xll.EQNXTDZ($A$1,$B60,J$5,$B$1)</f>
        <v>1737.72</v>
      </c>
      <c r="K60" s="55">
        <f>_xll.EQNXTDZ($A$1,$B60,K$5,$B$1)</f>
        <v>0</v>
      </c>
      <c r="L60" s="55">
        <f>_xll.EQNXTDZ($A$1,$B60,L$5,$B$1)</f>
        <v>1772.73</v>
      </c>
      <c r="M60" s="55">
        <f>_xll.EQNXTDZ($A$1,$B60,M$5,$B$1)</f>
        <v>0</v>
      </c>
      <c r="N60" s="55">
        <f>_xll.EQNXTDZ($A$1,$B60,N$5,$B$1)</f>
        <v>1703.85</v>
      </c>
      <c r="O60" s="55">
        <f>_xll.EQNXTDZ($A$1,$B60,O$5,$B$1)</f>
        <v>0</v>
      </c>
      <c r="P60" s="55">
        <f>_xll.EQNXTDZ($A$1,$B60,P$5,$B$1)</f>
        <v>1661.2</v>
      </c>
      <c r="Q60" s="55">
        <f>_xll.EQNXTDZ($A$1,$B60,Q$5,$B$1)</f>
        <v>0</v>
      </c>
      <c r="R60" s="55">
        <f>_xll.EQNXTDZ($A$1,$B60,R$5,$B$1)</f>
        <v>780.94</v>
      </c>
      <c r="S60" s="55">
        <f>_xll.EQNXTDZ($A$1,$B60,S$5,$B$1)</f>
        <v>0</v>
      </c>
      <c r="T60" s="55">
        <f>_xll.EQNXTDZ($A$1,$B60,T$5,$B$1)</f>
        <v>844.11</v>
      </c>
      <c r="U60" s="55">
        <f>_xll.EQNXTDZ($A$1,$B60,U$5,$B$1)</f>
        <v>0</v>
      </c>
      <c r="V60" s="55">
        <f>_xll.EQNXTDZ($A$1,$B60,V$5,$B$1)</f>
        <v>1601.7</v>
      </c>
      <c r="W60" s="55">
        <f>_xll.EQNXTDZ($A$1,$B60,W$5,$B$1)</f>
        <v>0</v>
      </c>
      <c r="X60" s="55">
        <f>_xll.EQNXTDZ($A$1,$B60,X$5,$B$1)</f>
        <v>-5037.1400000000003</v>
      </c>
      <c r="Y60" s="55">
        <f>_xll.EQNXTDZ($A$1,$B60,Y$5,$B$1)</f>
        <v>0</v>
      </c>
      <c r="Z60" s="55">
        <f>_xll.EQNXTDZ($A$1,$B60,Z$5,$B$1)</f>
        <v>936.52</v>
      </c>
      <c r="AA60" s="55">
        <f>_xll.EQNXTDZ($A$1,$B60,AA$5,$B$1)</f>
        <v>0</v>
      </c>
      <c r="AB60" s="55">
        <f>_xll.EQNXTDZ($A$1,$B60,AB$5,$B$1)</f>
        <v>1313.78</v>
      </c>
      <c r="AC60" s="55">
        <f>_xll.EQNXTDZ($A$1,$B60,AC$5,$B$1)</f>
        <v>0</v>
      </c>
      <c r="AD60" s="55">
        <f>_xll.EQNXTDZ($A$1,$B60,AD$5,$B$1)</f>
        <v>2364.46</v>
      </c>
      <c r="AE60" s="55">
        <f>_xll.EQNXTDZ($A$1,$B60,AE$5,$B$1)</f>
        <v>0</v>
      </c>
      <c r="AF60" s="55">
        <f>_xll.EQNXTDZ($A$1,$B60,AF$5,$B$1)</f>
        <v>2658.73</v>
      </c>
      <c r="AG60" s="55">
        <f>_xll.EQNXTDZ($A$1,$B60,AG$5,$B$1)</f>
        <v>0</v>
      </c>
      <c r="AH60" s="55">
        <f>_xll.EQNXTDZ($A$1,$B60,AH$5,$B$1)</f>
        <v>2586.6</v>
      </c>
      <c r="AI60" s="55">
        <f>_xll.EQNXTDZ($A$1,$B60,AI$5,$B$1)</f>
        <v>0</v>
      </c>
      <c r="AJ60" s="55">
        <f>_xll.EQNXTDZ($A$1,$B60,AJ$5,$B$1)</f>
        <v>2484.12</v>
      </c>
      <c r="AK60" s="55">
        <f>_xll.EQNXTDZ($A$1,$B60,AK$5,$B$1)</f>
        <v>0</v>
      </c>
      <c r="AL60" s="55">
        <f>_xll.EQNXTDZ($A$1,$B60,AL$5,$B$1)</f>
        <v>3269.68</v>
      </c>
      <c r="AM60" s="55">
        <f>_xll.EQNXTDZ($A$1,$B60,AM$5,$B$1)</f>
        <v>0</v>
      </c>
      <c r="AN60" s="55">
        <f>_xll.EQNXTDZ($A$1,$B60,AN$5,$B$1)</f>
        <v>4705.08</v>
      </c>
      <c r="AO60" s="55">
        <f>_xll.EQNXTDZ($A$1,$B60,AO$5,$B$1)</f>
        <v>0</v>
      </c>
      <c r="AP60" s="55">
        <f>_xll.EQNXTDZ($A$1,$B60,AP$5,$B$1)</f>
        <v>2655.42</v>
      </c>
      <c r="AQ60" s="55">
        <f>_xll.EQNXTDZ($A$1,$B60,AQ$5,$B$1)</f>
        <v>0</v>
      </c>
      <c r="AR60" s="55">
        <f>_xll.EQNXTDZ($A$1,$B60,AR$5,$B$1)</f>
        <v>2531.25</v>
      </c>
      <c r="AS60" s="55">
        <f>_xll.EQNXTDZ($A$1,$B60,AS$5,$B$1)</f>
        <v>0</v>
      </c>
      <c r="AT60" s="55">
        <f>_xll.EQNXTDZ($A$1,$B60,AT$5,$B$1)</f>
        <v>2093.11</v>
      </c>
      <c r="AU60" s="55">
        <f>_xll.EQNXTDZ($A$1,$B60,AU$5,$B$1)</f>
        <v>0</v>
      </c>
      <c r="AV60" s="55">
        <f>_xll.EQNXTDZ($A$1,$B60,AV$5,$B$1)</f>
        <v>1605.06</v>
      </c>
      <c r="AW60" s="55">
        <f>_xll.EQNXTDZ($A$1,$B60,AW$5,$B$1)</f>
        <v>0</v>
      </c>
      <c r="AX60" s="55">
        <f>_xll.EQNXTDZ($A$1,$B60,AX$5,$B$1)</f>
        <v>396.98</v>
      </c>
      <c r="AY60" s="55">
        <f>_xll.EQNXTDZ($A$1,$B60,AY$5,$B$1)</f>
        <v>0</v>
      </c>
      <c r="AZ60" s="55">
        <f>_xll.EQNXTDZ($A$1,$B60,AZ$5,$B$1)</f>
        <v>361.96</v>
      </c>
      <c r="BA60" s="55">
        <f>_xll.EQNXTDZ($A$1,$B60,BA$5,$B$1)</f>
        <v>0</v>
      </c>
      <c r="BB60" s="55">
        <f>_xll.EQNXTDZ($A$1,$B60,BB$5,$B$1)</f>
        <v>183.15</v>
      </c>
      <c r="BC60" s="55">
        <f>_xll.EQNXTDZ($A$1,$B60,BC$5,$B$1)</f>
        <v>0</v>
      </c>
      <c r="BD60" s="55">
        <f>_xll.EQNXTDZ($A$1,$B60,BD$5,$B$1)</f>
        <v>984.61</v>
      </c>
      <c r="BE60" s="55">
        <f>_xll.EQNXTDZ($A$1,$B60,BE$5,$B$1)</f>
        <v>0</v>
      </c>
      <c r="BF60" s="55">
        <f>_xll.EQNXTDZ($A$1,$B60,BF$5,$B$1)</f>
        <v>1612.8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45359.77</v>
      </c>
      <c r="E61" s="55">
        <f>_xll.EQNXTDZ($A$1,$B61,E$5,$B$1)</f>
        <v>46705.01</v>
      </c>
      <c r="F61" s="55">
        <f>_xll.EQNXTDZ($A$1,$B61,F$5,$B$1)</f>
        <v>46857.62</v>
      </c>
      <c r="G61" s="55">
        <f>_xll.EQNXTDZ($A$1,$B61,G$5,$B$1)</f>
        <v>0</v>
      </c>
      <c r="H61" s="55">
        <f>_xll.EQNXTDZ($A$1,$B61,H$5,$B$1)</f>
        <v>54453.09</v>
      </c>
      <c r="I61" s="55">
        <f>_xll.EQNXTDZ($A$1,$B61,I$5,$B$1)</f>
        <v>0</v>
      </c>
      <c r="J61" s="55">
        <f>_xll.EQNXTDZ($A$1,$B61,J$5,$B$1)</f>
        <v>52366.41</v>
      </c>
      <c r="K61" s="55">
        <f>_xll.EQNXTDZ($A$1,$B61,K$5,$B$1)</f>
        <v>0</v>
      </c>
      <c r="L61" s="55">
        <f>_xll.EQNXTDZ($A$1,$B61,L$5,$B$1)</f>
        <v>49397.15</v>
      </c>
      <c r="M61" s="55">
        <f>_xll.EQNXTDZ($A$1,$B61,M$5,$B$1)</f>
        <v>0</v>
      </c>
      <c r="N61" s="55">
        <f>_xll.EQNXTDZ($A$1,$B61,N$5,$B$1)</f>
        <v>65675.199999999997</v>
      </c>
      <c r="O61" s="55">
        <f>_xll.EQNXTDZ($A$1,$B61,O$5,$B$1)</f>
        <v>0</v>
      </c>
      <c r="P61" s="55">
        <f>_xll.EQNXTDZ($A$1,$B61,P$5,$B$1)</f>
        <v>67434.509999999995</v>
      </c>
      <c r="Q61" s="55">
        <f>_xll.EQNXTDZ($A$1,$B61,Q$5,$B$1)</f>
        <v>0</v>
      </c>
      <c r="R61" s="55">
        <f>_xll.EQNXTDZ($A$1,$B61,R$5,$B$1)</f>
        <v>64872.78</v>
      </c>
      <c r="S61" s="55">
        <f>_xll.EQNXTDZ($A$1,$B61,S$5,$B$1)</f>
        <v>0</v>
      </c>
      <c r="T61" s="55">
        <f>_xll.EQNXTDZ($A$1,$B61,T$5,$B$1)</f>
        <v>65405.82</v>
      </c>
      <c r="U61" s="55">
        <f>_xll.EQNXTDZ($A$1,$B61,U$5,$B$1)</f>
        <v>0</v>
      </c>
      <c r="V61" s="55">
        <f>_xll.EQNXTDZ($A$1,$B61,V$5,$B$1)</f>
        <v>64022.27</v>
      </c>
      <c r="W61" s="55">
        <f>_xll.EQNXTDZ($A$1,$B61,W$5,$B$1)</f>
        <v>0</v>
      </c>
      <c r="X61" s="55">
        <f>_xll.EQNXTDZ($A$1,$B61,X$5,$B$1)</f>
        <v>68230.95</v>
      </c>
      <c r="Y61" s="55">
        <f>_xll.EQNXTDZ($A$1,$B61,Y$5,$B$1)</f>
        <v>0</v>
      </c>
      <c r="Z61" s="55">
        <f>_xll.EQNXTDZ($A$1,$B61,Z$5,$B$1)</f>
        <v>72789.100000000006</v>
      </c>
      <c r="AA61" s="55">
        <f>_xll.EQNXTDZ($A$1,$B61,AA$5,$B$1)</f>
        <v>0</v>
      </c>
      <c r="AB61" s="55">
        <f>_xll.EQNXTDZ($A$1,$B61,AB$5,$B$1)</f>
        <v>83827.199999999997</v>
      </c>
      <c r="AC61" s="55">
        <f>_xll.EQNXTDZ($A$1,$B61,AC$5,$B$1)</f>
        <v>0</v>
      </c>
      <c r="AD61" s="55">
        <f>_xll.EQNXTDZ($A$1,$B61,AD$5,$B$1)</f>
        <v>80342.73</v>
      </c>
      <c r="AE61" s="55">
        <f>_xll.EQNXTDZ($A$1,$B61,AE$5,$B$1)</f>
        <v>0</v>
      </c>
      <c r="AF61" s="55">
        <f>_xll.EQNXTDZ($A$1,$B61,AF$5,$B$1)</f>
        <v>86451.09</v>
      </c>
      <c r="AG61" s="55">
        <f>_xll.EQNXTDZ($A$1,$B61,AG$5,$B$1)</f>
        <v>0</v>
      </c>
      <c r="AH61" s="55">
        <f>_xll.EQNXTDZ($A$1,$B61,AH$5,$B$1)</f>
        <v>94104.97</v>
      </c>
      <c r="AI61" s="55">
        <f>_xll.EQNXTDZ($A$1,$B61,AI$5,$B$1)</f>
        <v>0</v>
      </c>
      <c r="AJ61" s="55">
        <f>_xll.EQNXTDZ($A$1,$B61,AJ$5,$B$1)</f>
        <v>100378.58</v>
      </c>
      <c r="AK61" s="55">
        <f>_xll.EQNXTDZ($A$1,$B61,AK$5,$B$1)</f>
        <v>0</v>
      </c>
      <c r="AL61" s="55">
        <f>_xll.EQNXTDZ($A$1,$B61,AL$5,$B$1)</f>
        <v>65698.009999999995</v>
      </c>
      <c r="AM61" s="55">
        <f>_xll.EQNXTDZ($A$1,$B61,AM$5,$B$1)</f>
        <v>0</v>
      </c>
      <c r="AN61" s="55">
        <f>_xll.EQNXTDZ($A$1,$B61,AN$5,$B$1)</f>
        <v>49498.81</v>
      </c>
      <c r="AO61" s="55">
        <f>_xll.EQNXTDZ($A$1,$B61,AO$5,$B$1)</f>
        <v>0</v>
      </c>
      <c r="AP61" s="55">
        <f>_xll.EQNXTDZ($A$1,$B61,AP$5,$B$1)</f>
        <v>44764.07</v>
      </c>
      <c r="AQ61" s="55">
        <f>_xll.EQNXTDZ($A$1,$B61,AQ$5,$B$1)</f>
        <v>0</v>
      </c>
      <c r="AR61" s="55">
        <f>_xll.EQNXTDZ($A$1,$B61,AR$5,$B$1)</f>
        <v>44393.48</v>
      </c>
      <c r="AS61" s="55">
        <f>_xll.EQNXTDZ($A$1,$B61,AS$5,$B$1)</f>
        <v>0</v>
      </c>
      <c r="AT61" s="55">
        <f>_xll.EQNXTDZ($A$1,$B61,AT$5,$B$1)</f>
        <v>51446.33</v>
      </c>
      <c r="AU61" s="55">
        <f>_xll.EQNXTDZ($A$1,$B61,AU$5,$B$1)</f>
        <v>0</v>
      </c>
      <c r="AV61" s="55">
        <f>_xll.EQNXTDZ($A$1,$B61,AV$5,$B$1)</f>
        <v>47195.6</v>
      </c>
      <c r="AW61" s="55">
        <f>_xll.EQNXTDZ($A$1,$B61,AW$5,$B$1)</f>
        <v>0</v>
      </c>
      <c r="AX61" s="55">
        <f>_xll.EQNXTDZ($A$1,$B61,AX$5,$B$1)</f>
        <v>51576.73</v>
      </c>
      <c r="AY61" s="55">
        <f>_xll.EQNXTDZ($A$1,$B61,AY$5,$B$1)</f>
        <v>0</v>
      </c>
      <c r="AZ61" s="55">
        <f>_xll.EQNXTDZ($A$1,$B61,AZ$5,$B$1)</f>
        <v>67147.789999999994</v>
      </c>
      <c r="BA61" s="55">
        <f>_xll.EQNXTDZ($A$1,$B61,BA$5,$B$1)</f>
        <v>0</v>
      </c>
      <c r="BB61" s="55">
        <f>_xll.EQNXTDZ($A$1,$B61,BB$5,$B$1)</f>
        <v>68551.81</v>
      </c>
      <c r="BC61" s="55">
        <f>_xll.EQNXTDZ($A$1,$B61,BC$5,$B$1)</f>
        <v>0</v>
      </c>
      <c r="BD61" s="55">
        <f>_xll.EQNXTDZ($A$1,$B61,BD$5,$B$1)</f>
        <v>65859.64</v>
      </c>
      <c r="BE61" s="55">
        <f>_xll.EQNXTDZ($A$1,$B61,BE$5,$B$1)</f>
        <v>0</v>
      </c>
      <c r="BF61" s="55">
        <f>_xll.EQNXTDZ($A$1,$B61,BF$5,$B$1)</f>
        <v>63753.67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45359.77</v>
      </c>
      <c r="E63" s="55">
        <f>_xll.EQNXTDZ($A$1,$B63,E$5,$B$1)</f>
        <v>46705.01</v>
      </c>
      <c r="F63" s="55">
        <f>_xll.EQNXTDZ($A$1,$B63,F$5,$B$1)</f>
        <v>46857.62</v>
      </c>
      <c r="G63" s="55">
        <f>_xll.EQNXTDZ($A$1,$B63,G$5,$B$1)</f>
        <v>0</v>
      </c>
      <c r="H63" s="55">
        <f>_xll.EQNXTDZ($A$1,$B63,H$5,$B$1)</f>
        <v>54453.09</v>
      </c>
      <c r="I63" s="55">
        <f>_xll.EQNXTDZ($A$1,$B63,I$5,$B$1)</f>
        <v>0</v>
      </c>
      <c r="J63" s="55">
        <f>_xll.EQNXTDZ($A$1,$B63,J$5,$B$1)</f>
        <v>52366.41</v>
      </c>
      <c r="K63" s="55">
        <f>_xll.EQNXTDZ($A$1,$B63,K$5,$B$1)</f>
        <v>0</v>
      </c>
      <c r="L63" s="55">
        <f>_xll.EQNXTDZ($A$1,$B63,L$5,$B$1)</f>
        <v>49397.15</v>
      </c>
      <c r="M63" s="55">
        <f>_xll.EQNXTDZ($A$1,$B63,M$5,$B$1)</f>
        <v>0</v>
      </c>
      <c r="N63" s="55">
        <f>_xll.EQNXTDZ($A$1,$B63,N$5,$B$1)</f>
        <v>65675.199999999997</v>
      </c>
      <c r="O63" s="55">
        <f>_xll.EQNXTDZ($A$1,$B63,O$5,$B$1)</f>
        <v>0</v>
      </c>
      <c r="P63" s="55">
        <f>_xll.EQNXTDZ($A$1,$B63,P$5,$B$1)</f>
        <v>67434.509999999995</v>
      </c>
      <c r="Q63" s="55">
        <f>_xll.EQNXTDZ($A$1,$B63,Q$5,$B$1)</f>
        <v>0</v>
      </c>
      <c r="R63" s="55">
        <f>_xll.EQNXTDZ($A$1,$B63,R$5,$B$1)</f>
        <v>64872.78</v>
      </c>
      <c r="S63" s="55">
        <f>_xll.EQNXTDZ($A$1,$B63,S$5,$B$1)</f>
        <v>0</v>
      </c>
      <c r="T63" s="55">
        <f>_xll.EQNXTDZ($A$1,$B63,T$5,$B$1)</f>
        <v>65405.82</v>
      </c>
      <c r="U63" s="55">
        <f>_xll.EQNXTDZ($A$1,$B63,U$5,$B$1)</f>
        <v>0</v>
      </c>
      <c r="V63" s="55">
        <f>_xll.EQNXTDZ($A$1,$B63,V$5,$B$1)</f>
        <v>64022.27</v>
      </c>
      <c r="W63" s="55">
        <f>_xll.EQNXTDZ($A$1,$B63,W$5,$B$1)</f>
        <v>0</v>
      </c>
      <c r="X63" s="55">
        <f>_xll.EQNXTDZ($A$1,$B63,X$5,$B$1)</f>
        <v>68230.95</v>
      </c>
      <c r="Y63" s="55">
        <f>_xll.EQNXTDZ($A$1,$B63,Y$5,$B$1)</f>
        <v>0</v>
      </c>
      <c r="Z63" s="55">
        <f>_xll.EQNXTDZ($A$1,$B63,Z$5,$B$1)</f>
        <v>72789.100000000006</v>
      </c>
      <c r="AA63" s="55">
        <f>_xll.EQNXTDZ($A$1,$B63,AA$5,$B$1)</f>
        <v>0</v>
      </c>
      <c r="AB63" s="55">
        <f>_xll.EQNXTDZ($A$1,$B63,AB$5,$B$1)</f>
        <v>83827.199999999997</v>
      </c>
      <c r="AC63" s="55">
        <f>_xll.EQNXTDZ($A$1,$B63,AC$5,$B$1)</f>
        <v>0</v>
      </c>
      <c r="AD63" s="55">
        <f>_xll.EQNXTDZ($A$1,$B63,AD$5,$B$1)</f>
        <v>80342.73</v>
      </c>
      <c r="AE63" s="55">
        <f>_xll.EQNXTDZ($A$1,$B63,AE$5,$B$1)</f>
        <v>0</v>
      </c>
      <c r="AF63" s="55">
        <f>_xll.EQNXTDZ($A$1,$B63,AF$5,$B$1)</f>
        <v>86451.09</v>
      </c>
      <c r="AG63" s="55">
        <f>_xll.EQNXTDZ($A$1,$B63,AG$5,$B$1)</f>
        <v>0</v>
      </c>
      <c r="AH63" s="55">
        <f>_xll.EQNXTDZ($A$1,$B63,AH$5,$B$1)</f>
        <v>94104.97</v>
      </c>
      <c r="AI63" s="55">
        <f>_xll.EQNXTDZ($A$1,$B63,AI$5,$B$1)</f>
        <v>0</v>
      </c>
      <c r="AJ63" s="55">
        <f>_xll.EQNXTDZ($A$1,$B63,AJ$5,$B$1)</f>
        <v>100378.58</v>
      </c>
      <c r="AK63" s="55">
        <f>_xll.EQNXTDZ($A$1,$B63,AK$5,$B$1)</f>
        <v>0</v>
      </c>
      <c r="AL63" s="55">
        <f>_xll.EQNXTDZ($A$1,$B63,AL$5,$B$1)</f>
        <v>65698.009999999995</v>
      </c>
      <c r="AM63" s="55">
        <f>_xll.EQNXTDZ($A$1,$B63,AM$5,$B$1)</f>
        <v>0</v>
      </c>
      <c r="AN63" s="55">
        <f>_xll.EQNXTDZ($A$1,$B63,AN$5,$B$1)</f>
        <v>49498.81</v>
      </c>
      <c r="AO63" s="55">
        <f>_xll.EQNXTDZ($A$1,$B63,AO$5,$B$1)</f>
        <v>0</v>
      </c>
      <c r="AP63" s="55">
        <f>_xll.EQNXTDZ($A$1,$B63,AP$5,$B$1)</f>
        <v>44764.07</v>
      </c>
      <c r="AQ63" s="55">
        <f>_xll.EQNXTDZ($A$1,$B63,AQ$5,$B$1)</f>
        <v>0</v>
      </c>
      <c r="AR63" s="55">
        <f>_xll.EQNXTDZ($A$1,$B63,AR$5,$B$1)</f>
        <v>44393.48</v>
      </c>
      <c r="AS63" s="55">
        <f>_xll.EQNXTDZ($A$1,$B63,AS$5,$B$1)</f>
        <v>0</v>
      </c>
      <c r="AT63" s="55">
        <f>_xll.EQNXTDZ($A$1,$B63,AT$5,$B$1)</f>
        <v>51446.33</v>
      </c>
      <c r="AU63" s="55">
        <f>_xll.EQNXTDZ($A$1,$B63,AU$5,$B$1)</f>
        <v>0</v>
      </c>
      <c r="AV63" s="55">
        <f>_xll.EQNXTDZ($A$1,$B63,AV$5,$B$1)</f>
        <v>47195.6</v>
      </c>
      <c r="AW63" s="55">
        <f>_xll.EQNXTDZ($A$1,$B63,AW$5,$B$1)</f>
        <v>0</v>
      </c>
      <c r="AX63" s="55">
        <f>_xll.EQNXTDZ($A$1,$B63,AX$5,$B$1)</f>
        <v>51576.73</v>
      </c>
      <c r="AY63" s="55">
        <f>_xll.EQNXTDZ($A$1,$B63,AY$5,$B$1)</f>
        <v>0</v>
      </c>
      <c r="AZ63" s="55">
        <f>_xll.EQNXTDZ($A$1,$B63,AZ$5,$B$1)</f>
        <v>67147.789999999994</v>
      </c>
      <c r="BA63" s="55">
        <f>_xll.EQNXTDZ($A$1,$B63,BA$5,$B$1)</f>
        <v>0</v>
      </c>
      <c r="BB63" s="55">
        <f>_xll.EQNXTDZ($A$1,$B63,BB$5,$B$1)</f>
        <v>68551.81</v>
      </c>
      <c r="BC63" s="55">
        <f>_xll.EQNXTDZ($A$1,$B63,BC$5,$B$1)</f>
        <v>0</v>
      </c>
      <c r="BD63" s="55">
        <f>_xll.EQNXTDZ($A$1,$B63,BD$5,$B$1)</f>
        <v>65859.64</v>
      </c>
      <c r="BE63" s="55">
        <f>_xll.EQNXTDZ($A$1,$B63,BE$5,$B$1)</f>
        <v>0</v>
      </c>
      <c r="BF63" s="55">
        <f>_xll.EQNXTDZ($A$1,$B63,BF$5,$B$1)</f>
        <v>63753.67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854.16</v>
      </c>
      <c r="E64" s="55">
        <f>_xll.EQNXTDZ($A$1,$B64,E$5,$B$1)</f>
        <v>1116.95</v>
      </c>
      <c r="F64" s="55">
        <f>_xll.EQNXTDZ($A$1,$B64,F$5,$B$1)</f>
        <v>1120.52</v>
      </c>
      <c r="G64" s="55">
        <f>_xll.EQNXTDZ($A$1,$B64,G$5,$B$1)</f>
        <v>0</v>
      </c>
      <c r="H64" s="55">
        <f>_xll.EQNXTDZ($A$1,$B64,H$5,$B$1)</f>
        <v>1616.77</v>
      </c>
      <c r="I64" s="55">
        <f>_xll.EQNXTDZ($A$1,$B64,I$5,$B$1)</f>
        <v>0</v>
      </c>
      <c r="J64" s="55">
        <f>_xll.EQNXTDZ($A$1,$B64,J$5,$B$1)</f>
        <v>1837.97</v>
      </c>
      <c r="K64" s="55">
        <f>_xll.EQNXTDZ($A$1,$B64,K$5,$B$1)</f>
        <v>0</v>
      </c>
      <c r="L64" s="55">
        <f>_xll.EQNXTDZ($A$1,$B64,L$5,$B$1)</f>
        <v>1784.73</v>
      </c>
      <c r="M64" s="55">
        <f>_xll.EQNXTDZ($A$1,$B64,M$5,$B$1)</f>
        <v>0</v>
      </c>
      <c r="N64" s="55">
        <f>_xll.EQNXTDZ($A$1,$B64,N$5,$B$1)</f>
        <v>1748.8</v>
      </c>
      <c r="O64" s="55">
        <f>_xll.EQNXTDZ($A$1,$B64,O$5,$B$1)</f>
        <v>0</v>
      </c>
      <c r="P64" s="55">
        <f>_xll.EQNXTDZ($A$1,$B64,P$5,$B$1)</f>
        <v>1217.55</v>
      </c>
      <c r="Q64" s="55">
        <f>_xll.EQNXTDZ($A$1,$B64,Q$5,$B$1)</f>
        <v>0</v>
      </c>
      <c r="R64" s="55">
        <f>_xll.EQNXTDZ($A$1,$B64,R$5,$B$1)</f>
        <v>6309.83</v>
      </c>
      <c r="S64" s="55">
        <f>_xll.EQNXTDZ($A$1,$B64,S$5,$B$1)</f>
        <v>0</v>
      </c>
      <c r="T64" s="55">
        <f>_xll.EQNXTDZ($A$1,$B64,T$5,$B$1)</f>
        <v>6227.84</v>
      </c>
      <c r="U64" s="55">
        <f>_xll.EQNXTDZ($A$1,$B64,U$5,$B$1)</f>
        <v>0</v>
      </c>
      <c r="V64" s="55">
        <f>_xll.EQNXTDZ($A$1,$B64,V$5,$B$1)</f>
        <v>5239.13</v>
      </c>
      <c r="W64" s="55">
        <f>_xll.EQNXTDZ($A$1,$B64,W$5,$B$1)</f>
        <v>0</v>
      </c>
      <c r="X64" s="55">
        <f>_xll.EQNXTDZ($A$1,$B64,X$5,$B$1)</f>
        <v>5066.6099999999997</v>
      </c>
      <c r="Y64" s="55">
        <f>_xll.EQNXTDZ($A$1,$B64,Y$5,$B$1)</f>
        <v>0</v>
      </c>
      <c r="Z64" s="55">
        <f>_xll.EQNXTDZ($A$1,$B64,Z$5,$B$1)</f>
        <v>4592.17</v>
      </c>
      <c r="AA64" s="55">
        <f>_xll.EQNXTDZ($A$1,$B64,AA$5,$B$1)</f>
        <v>0</v>
      </c>
      <c r="AB64" s="55">
        <f>_xll.EQNXTDZ($A$1,$B64,AB$5,$B$1)</f>
        <v>4580.54</v>
      </c>
      <c r="AC64" s="55">
        <f>_xll.EQNXTDZ($A$1,$B64,AC$5,$B$1)</f>
        <v>0</v>
      </c>
      <c r="AD64" s="55">
        <f>_xll.EQNXTDZ($A$1,$B64,AD$5,$B$1)</f>
        <v>4409.8900000000003</v>
      </c>
      <c r="AE64" s="55">
        <f>_xll.EQNXTDZ($A$1,$B64,AE$5,$B$1)</f>
        <v>0</v>
      </c>
      <c r="AF64" s="55">
        <f>_xll.EQNXTDZ($A$1,$B64,AF$5,$B$1)</f>
        <v>4462.7</v>
      </c>
      <c r="AG64" s="55">
        <f>_xll.EQNXTDZ($A$1,$B64,AG$5,$B$1)</f>
        <v>0</v>
      </c>
      <c r="AH64" s="55">
        <f>_xll.EQNXTDZ($A$1,$B64,AH$5,$B$1)</f>
        <v>4994.22</v>
      </c>
      <c r="AI64" s="55">
        <f>_xll.EQNXTDZ($A$1,$B64,AI$5,$B$1)</f>
        <v>0</v>
      </c>
      <c r="AJ64" s="55">
        <f>_xll.EQNXTDZ($A$1,$B64,AJ$5,$B$1)</f>
        <v>6143.2</v>
      </c>
      <c r="AK64" s="55">
        <f>_xll.EQNXTDZ($A$1,$B64,AK$5,$B$1)</f>
        <v>0</v>
      </c>
      <c r="AL64" s="55">
        <f>_xll.EQNXTDZ($A$1,$B64,AL$5,$B$1)</f>
        <v>17480.28</v>
      </c>
      <c r="AM64" s="55">
        <f>_xll.EQNXTDZ($A$1,$B64,AM$5,$B$1)</f>
        <v>0</v>
      </c>
      <c r="AN64" s="55">
        <f>_xll.EQNXTDZ($A$1,$B64,AN$5,$B$1)</f>
        <v>17118.060000000001</v>
      </c>
      <c r="AO64" s="55">
        <f>_xll.EQNXTDZ($A$1,$B64,AO$5,$B$1)</f>
        <v>0</v>
      </c>
      <c r="AP64" s="55">
        <f>_xll.EQNXTDZ($A$1,$B64,AP$5,$B$1)</f>
        <v>16034.42</v>
      </c>
      <c r="AQ64" s="55">
        <f>_xll.EQNXTDZ($A$1,$B64,AQ$5,$B$1)</f>
        <v>0</v>
      </c>
      <c r="AR64" s="55">
        <f>_xll.EQNXTDZ($A$1,$B64,AR$5,$B$1)</f>
        <v>15784.84</v>
      </c>
      <c r="AS64" s="55">
        <f>_xll.EQNXTDZ($A$1,$B64,AS$5,$B$1)</f>
        <v>0</v>
      </c>
      <c r="AT64" s="55">
        <f>_xll.EQNXTDZ($A$1,$B64,AT$5,$B$1)</f>
        <v>15213.59</v>
      </c>
      <c r="AU64" s="55">
        <f>_xll.EQNXTDZ($A$1,$B64,AU$5,$B$1)</f>
        <v>0</v>
      </c>
      <c r="AV64" s="55">
        <f>_xll.EQNXTDZ($A$1,$B64,AV$5,$B$1)</f>
        <v>13352.79</v>
      </c>
      <c r="AW64" s="55">
        <f>_xll.EQNXTDZ($A$1,$B64,AW$5,$B$1)</f>
        <v>0</v>
      </c>
      <c r="AX64" s="55">
        <f>_xll.EQNXTDZ($A$1,$B64,AX$5,$B$1)</f>
        <v>12594.18</v>
      </c>
      <c r="AY64" s="55">
        <f>_xll.EQNXTDZ($A$1,$B64,AY$5,$B$1)</f>
        <v>0</v>
      </c>
      <c r="AZ64" s="55">
        <f>_xll.EQNXTDZ($A$1,$B64,AZ$5,$B$1)</f>
        <v>12071.15</v>
      </c>
      <c r="BA64" s="55">
        <f>_xll.EQNXTDZ($A$1,$B64,BA$5,$B$1)</f>
        <v>0</v>
      </c>
      <c r="BB64" s="55">
        <f>_xll.EQNXTDZ($A$1,$B64,BB$5,$B$1)</f>
        <v>13160.01</v>
      </c>
      <c r="BC64" s="55">
        <f>_xll.EQNXTDZ($A$1,$B64,BC$5,$B$1)</f>
        <v>0</v>
      </c>
      <c r="BD64" s="55">
        <f>_xll.EQNXTDZ($A$1,$B64,BD$5,$B$1)</f>
        <v>13850.12</v>
      </c>
      <c r="BE64" s="55">
        <f>_xll.EQNXTDZ($A$1,$B64,BE$5,$B$1)</f>
        <v>0</v>
      </c>
      <c r="BF64" s="55">
        <f>_xll.EQNXTDZ($A$1,$B64,BF$5,$B$1)</f>
        <v>15480.48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4840.32</v>
      </c>
      <c r="E66" s="55">
        <f>_xll.EQNXTDZ($A$1,$B66,E$5,$B$1)</f>
        <v>5238.6099999999997</v>
      </c>
      <c r="F66" s="55">
        <f>_xll.EQNXTDZ($A$1,$B66,F$5,$B$1)</f>
        <v>5356.44</v>
      </c>
      <c r="G66" s="55">
        <f>_xll.EQNXTDZ($A$1,$B66,G$5,$B$1)</f>
        <v>0</v>
      </c>
      <c r="H66" s="55">
        <f>_xll.EQNXTDZ($A$1,$B66,H$5,$B$1)</f>
        <v>6020.69</v>
      </c>
      <c r="I66" s="55">
        <f>_xll.EQNXTDZ($A$1,$B66,I$5,$B$1)</f>
        <v>0</v>
      </c>
      <c r="J66" s="55">
        <f>_xll.EQNXTDZ($A$1,$B66,J$5,$B$1)</f>
        <v>6156.48</v>
      </c>
      <c r="K66" s="55">
        <f>_xll.EQNXTDZ($A$1,$B66,K$5,$B$1)</f>
        <v>0</v>
      </c>
      <c r="L66" s="55">
        <f>_xll.EQNXTDZ($A$1,$B66,L$5,$B$1)</f>
        <v>6252.63</v>
      </c>
      <c r="M66" s="55">
        <f>_xll.EQNXTDZ($A$1,$B66,M$5,$B$1)</f>
        <v>0</v>
      </c>
      <c r="N66" s="55">
        <f>_xll.EQNXTDZ($A$1,$B66,N$5,$B$1)</f>
        <v>7503.76</v>
      </c>
      <c r="O66" s="55">
        <f>_xll.EQNXTDZ($A$1,$B66,O$5,$B$1)</f>
        <v>0</v>
      </c>
      <c r="P66" s="55">
        <f>_xll.EQNXTDZ($A$1,$B66,P$5,$B$1)</f>
        <v>8251.92</v>
      </c>
      <c r="Q66" s="55">
        <f>_xll.EQNXTDZ($A$1,$B66,Q$5,$B$1)</f>
        <v>0</v>
      </c>
      <c r="R66" s="55">
        <f>_xll.EQNXTDZ($A$1,$B66,R$5,$B$1)</f>
        <v>4440.4799999999996</v>
      </c>
      <c r="S66" s="55">
        <f>_xll.EQNXTDZ($A$1,$B66,S$5,$B$1)</f>
        <v>0</v>
      </c>
      <c r="T66" s="55">
        <f>_xll.EQNXTDZ($A$1,$B66,T$5,$B$1)</f>
        <v>4371.07</v>
      </c>
      <c r="U66" s="55">
        <f>_xll.EQNXTDZ($A$1,$B66,U$5,$B$1)</f>
        <v>0</v>
      </c>
      <c r="V66" s="55">
        <f>_xll.EQNXTDZ($A$1,$B66,V$5,$B$1)</f>
        <v>4279.6899999999996</v>
      </c>
      <c r="W66" s="55">
        <f>_xll.EQNXTDZ($A$1,$B66,W$5,$B$1)</f>
        <v>0</v>
      </c>
      <c r="X66" s="55">
        <f>_xll.EQNXTDZ($A$1,$B66,X$5,$B$1)</f>
        <v>3240.11</v>
      </c>
      <c r="Y66" s="55">
        <f>_xll.EQNXTDZ($A$1,$B66,Y$5,$B$1)</f>
        <v>0</v>
      </c>
      <c r="Z66" s="55">
        <f>_xll.EQNXTDZ($A$1,$B66,Z$5,$B$1)</f>
        <v>4338.24</v>
      </c>
      <c r="AA66" s="55">
        <f>_xll.EQNXTDZ($A$1,$B66,AA$5,$B$1)</f>
        <v>0</v>
      </c>
      <c r="AB66" s="55">
        <f>_xll.EQNXTDZ($A$1,$B66,AB$5,$B$1)</f>
        <v>4416.95</v>
      </c>
      <c r="AC66" s="55">
        <f>_xll.EQNXTDZ($A$1,$B66,AC$5,$B$1)</f>
        <v>0</v>
      </c>
      <c r="AD66" s="55">
        <f>_xll.EQNXTDZ($A$1,$B66,AD$5,$B$1)</f>
        <v>4046.21</v>
      </c>
      <c r="AE66" s="55">
        <f>_xll.EQNXTDZ($A$1,$B66,AE$5,$B$1)</f>
        <v>0</v>
      </c>
      <c r="AF66" s="55">
        <f>_xll.EQNXTDZ($A$1,$B66,AF$5,$B$1)</f>
        <v>4011.74</v>
      </c>
      <c r="AG66" s="55">
        <f>_xll.EQNXTDZ($A$1,$B66,AG$5,$B$1)</f>
        <v>0</v>
      </c>
      <c r="AH66" s="55">
        <f>_xll.EQNXTDZ($A$1,$B66,AH$5,$B$1)</f>
        <v>4235.07</v>
      </c>
      <c r="AI66" s="55">
        <f>_xll.EQNXTDZ($A$1,$B66,AI$5,$B$1)</f>
        <v>0</v>
      </c>
      <c r="AJ66" s="55">
        <f>_xll.EQNXTDZ($A$1,$B66,AJ$5,$B$1)</f>
        <v>4303.1400000000003</v>
      </c>
      <c r="AK66" s="55">
        <f>_xll.EQNXTDZ($A$1,$B66,AK$5,$B$1)</f>
        <v>0</v>
      </c>
      <c r="AL66" s="55">
        <f>_xll.EQNXTDZ($A$1,$B66,AL$5,$B$1)</f>
        <v>4691.92</v>
      </c>
      <c r="AM66" s="55">
        <f>_xll.EQNXTDZ($A$1,$B66,AM$5,$B$1)</f>
        <v>0</v>
      </c>
      <c r="AN66" s="55">
        <f>_xll.EQNXTDZ($A$1,$B66,AN$5,$B$1)</f>
        <v>4800.8500000000004</v>
      </c>
      <c r="AO66" s="55">
        <f>_xll.EQNXTDZ($A$1,$B66,AO$5,$B$1)</f>
        <v>0</v>
      </c>
      <c r="AP66" s="55">
        <f>_xll.EQNXTDZ($A$1,$B66,AP$5,$B$1)</f>
        <v>4825.9799999999996</v>
      </c>
      <c r="AQ66" s="55">
        <f>_xll.EQNXTDZ($A$1,$B66,AQ$5,$B$1)</f>
        <v>0</v>
      </c>
      <c r="AR66" s="55">
        <f>_xll.EQNXTDZ($A$1,$B66,AR$5,$B$1)</f>
        <v>4571.53</v>
      </c>
      <c r="AS66" s="55">
        <f>_xll.EQNXTDZ($A$1,$B66,AS$5,$B$1)</f>
        <v>0</v>
      </c>
      <c r="AT66" s="55">
        <f>_xll.EQNXTDZ($A$1,$B66,AT$5,$B$1)</f>
        <v>4775.84</v>
      </c>
      <c r="AU66" s="55">
        <f>_xll.EQNXTDZ($A$1,$B66,AU$5,$B$1)</f>
        <v>0</v>
      </c>
      <c r="AV66" s="55">
        <f>_xll.EQNXTDZ($A$1,$B66,AV$5,$B$1)</f>
        <v>4712.41</v>
      </c>
      <c r="AW66" s="55">
        <f>_xll.EQNXTDZ($A$1,$B66,AW$5,$B$1)</f>
        <v>0</v>
      </c>
      <c r="AX66" s="55">
        <f>_xll.EQNXTDZ($A$1,$B66,AX$5,$B$1)</f>
        <v>5424.03</v>
      </c>
      <c r="AY66" s="55">
        <f>_xll.EQNXTDZ($A$1,$B66,AY$5,$B$1)</f>
        <v>0</v>
      </c>
      <c r="AZ66" s="55">
        <f>_xll.EQNXTDZ($A$1,$B66,AZ$5,$B$1)</f>
        <v>5636</v>
      </c>
      <c r="BA66" s="55">
        <f>_xll.EQNXTDZ($A$1,$B66,BA$5,$B$1)</f>
        <v>0</v>
      </c>
      <c r="BB66" s="55">
        <f>_xll.EQNXTDZ($A$1,$B66,BB$5,$B$1)</f>
        <v>5806.5</v>
      </c>
      <c r="BC66" s="55">
        <f>_xll.EQNXTDZ($A$1,$B66,BC$5,$B$1)</f>
        <v>0</v>
      </c>
      <c r="BD66" s="55">
        <f>_xll.EQNXTDZ($A$1,$B66,BD$5,$B$1)</f>
        <v>5764.59</v>
      </c>
      <c r="BE66" s="55">
        <f>_xll.EQNXTDZ($A$1,$B66,BE$5,$B$1)</f>
        <v>0</v>
      </c>
      <c r="BF66" s="55">
        <f>_xll.EQNXTDZ($A$1,$B66,BF$5,$B$1)</f>
        <v>5989.63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97437.63</v>
      </c>
      <c r="E67" s="55">
        <f>_xll.EQNXTDZ($A$1,$B67,E$5,$B$1)</f>
        <v>99351.66</v>
      </c>
      <c r="F67" s="55">
        <f>_xll.EQNXTDZ($A$1,$B67,F$5,$B$1)</f>
        <v>91472.39</v>
      </c>
      <c r="G67" s="55">
        <f>_xll.EQNXTDZ($A$1,$B67,G$5,$B$1)</f>
        <v>0</v>
      </c>
      <c r="H67" s="55">
        <f>_xll.EQNXTDZ($A$1,$B67,H$5,$B$1)</f>
        <v>106947.52</v>
      </c>
      <c r="I67" s="55">
        <f>_xll.EQNXTDZ($A$1,$B67,I$5,$B$1)</f>
        <v>0</v>
      </c>
      <c r="J67" s="55">
        <f>_xll.EQNXTDZ($A$1,$B67,J$5,$B$1)</f>
        <v>104925.54</v>
      </c>
      <c r="K67" s="55">
        <f>_xll.EQNXTDZ($A$1,$B67,K$5,$B$1)</f>
        <v>0</v>
      </c>
      <c r="L67" s="55">
        <f>_xll.EQNXTDZ($A$1,$B67,L$5,$B$1)</f>
        <v>103548.33</v>
      </c>
      <c r="M67" s="55">
        <f>_xll.EQNXTDZ($A$1,$B67,M$5,$B$1)</f>
        <v>0</v>
      </c>
      <c r="N67" s="55">
        <f>_xll.EQNXTDZ($A$1,$B67,N$5,$B$1)</f>
        <v>110276.02</v>
      </c>
      <c r="O67" s="55">
        <f>_xll.EQNXTDZ($A$1,$B67,O$5,$B$1)</f>
        <v>0</v>
      </c>
      <c r="P67" s="55">
        <f>_xll.EQNXTDZ($A$1,$B67,P$5,$B$1)</f>
        <v>115904.84</v>
      </c>
      <c r="Q67" s="55">
        <f>_xll.EQNXTDZ($A$1,$B67,Q$5,$B$1)</f>
        <v>0</v>
      </c>
      <c r="R67" s="55">
        <f>_xll.EQNXTDZ($A$1,$B67,R$5,$B$1)</f>
        <v>120136.58</v>
      </c>
      <c r="S67" s="55">
        <f>_xll.EQNXTDZ($A$1,$B67,S$5,$B$1)</f>
        <v>0</v>
      </c>
      <c r="T67" s="55">
        <f>_xll.EQNXTDZ($A$1,$B67,T$5,$B$1)</f>
        <v>114293.68</v>
      </c>
      <c r="U67" s="55">
        <f>_xll.EQNXTDZ($A$1,$B67,U$5,$B$1)</f>
        <v>0</v>
      </c>
      <c r="V67" s="55">
        <f>_xll.EQNXTDZ($A$1,$B67,V$5,$B$1)</f>
        <v>112962.11</v>
      </c>
      <c r="W67" s="55">
        <f>_xll.EQNXTDZ($A$1,$B67,W$5,$B$1)</f>
        <v>0</v>
      </c>
      <c r="X67" s="55">
        <f>_xll.EQNXTDZ($A$1,$B67,X$5,$B$1)</f>
        <v>108566.18</v>
      </c>
      <c r="Y67" s="55">
        <f>_xll.EQNXTDZ($A$1,$B67,Y$5,$B$1)</f>
        <v>0</v>
      </c>
      <c r="Z67" s="55">
        <f>_xll.EQNXTDZ($A$1,$B67,Z$5,$B$1)</f>
        <v>143526.65</v>
      </c>
      <c r="AA67" s="55">
        <f>_xll.EQNXTDZ($A$1,$B67,AA$5,$B$1)</f>
        <v>0</v>
      </c>
      <c r="AB67" s="55">
        <f>_xll.EQNXTDZ($A$1,$B67,AB$5,$B$1)</f>
        <v>160430.1</v>
      </c>
      <c r="AC67" s="55">
        <f>_xll.EQNXTDZ($A$1,$B67,AC$5,$B$1)</f>
        <v>0</v>
      </c>
      <c r="AD67" s="55">
        <f>_xll.EQNXTDZ($A$1,$B67,AD$5,$B$1)</f>
        <v>160088.37</v>
      </c>
      <c r="AE67" s="55">
        <f>_xll.EQNXTDZ($A$1,$B67,AE$5,$B$1)</f>
        <v>0</v>
      </c>
      <c r="AF67" s="55">
        <f>_xll.EQNXTDZ($A$1,$B67,AF$5,$B$1)</f>
        <v>170228.55</v>
      </c>
      <c r="AG67" s="55">
        <f>_xll.EQNXTDZ($A$1,$B67,AG$5,$B$1)</f>
        <v>0</v>
      </c>
      <c r="AH67" s="55">
        <f>_xll.EQNXTDZ($A$1,$B67,AH$5,$B$1)</f>
        <v>179497.16</v>
      </c>
      <c r="AI67" s="55">
        <f>_xll.EQNXTDZ($A$1,$B67,AI$5,$B$1)</f>
        <v>0</v>
      </c>
      <c r="AJ67" s="55">
        <f>_xll.EQNXTDZ($A$1,$B67,AJ$5,$B$1)</f>
        <v>178374.85</v>
      </c>
      <c r="AK67" s="55">
        <f>_xll.EQNXTDZ($A$1,$B67,AK$5,$B$1)</f>
        <v>0</v>
      </c>
      <c r="AL67" s="55">
        <f>_xll.EQNXTDZ($A$1,$B67,AL$5,$B$1)</f>
        <v>165378.66</v>
      </c>
      <c r="AM67" s="55">
        <f>_xll.EQNXTDZ($A$1,$B67,AM$5,$B$1)</f>
        <v>0</v>
      </c>
      <c r="AN67" s="55">
        <f>_xll.EQNXTDZ($A$1,$B67,AN$5,$B$1)</f>
        <v>167641.26</v>
      </c>
      <c r="AO67" s="55">
        <f>_xll.EQNXTDZ($A$1,$B67,AO$5,$B$1)</f>
        <v>0</v>
      </c>
      <c r="AP67" s="55">
        <f>_xll.EQNXTDZ($A$1,$B67,AP$5,$B$1)</f>
        <v>182722.93</v>
      </c>
      <c r="AQ67" s="55">
        <f>_xll.EQNXTDZ($A$1,$B67,AQ$5,$B$1)</f>
        <v>0</v>
      </c>
      <c r="AR67" s="55">
        <f>_xll.EQNXTDZ($A$1,$B67,AR$5,$B$1)</f>
        <v>174779.76</v>
      </c>
      <c r="AS67" s="55">
        <f>_xll.EQNXTDZ($A$1,$B67,AS$5,$B$1)</f>
        <v>0</v>
      </c>
      <c r="AT67" s="55">
        <f>_xll.EQNXTDZ($A$1,$B67,AT$5,$B$1)</f>
        <v>176610.97</v>
      </c>
      <c r="AU67" s="55">
        <f>_xll.EQNXTDZ($A$1,$B67,AU$5,$B$1)</f>
        <v>0</v>
      </c>
      <c r="AV67" s="55">
        <f>_xll.EQNXTDZ($A$1,$B67,AV$5,$B$1)</f>
        <v>156063.04999999999</v>
      </c>
      <c r="AW67" s="55">
        <f>_xll.EQNXTDZ($A$1,$B67,AW$5,$B$1)</f>
        <v>0</v>
      </c>
      <c r="AX67" s="55">
        <f>_xll.EQNXTDZ($A$1,$B67,AX$5,$B$1)</f>
        <v>162027.68</v>
      </c>
      <c r="AY67" s="55">
        <f>_xll.EQNXTDZ($A$1,$B67,AY$5,$B$1)</f>
        <v>0</v>
      </c>
      <c r="AZ67" s="55">
        <f>_xll.EQNXTDZ($A$1,$B67,AZ$5,$B$1)</f>
        <v>175363.98</v>
      </c>
      <c r="BA67" s="55">
        <f>_xll.EQNXTDZ($A$1,$B67,BA$5,$B$1)</f>
        <v>0</v>
      </c>
      <c r="BB67" s="55">
        <f>_xll.EQNXTDZ($A$1,$B67,BB$5,$B$1)</f>
        <v>178871.1</v>
      </c>
      <c r="BC67" s="55">
        <f>_xll.EQNXTDZ($A$1,$B67,BC$5,$B$1)</f>
        <v>0</v>
      </c>
      <c r="BD67" s="55">
        <f>_xll.EQNXTDZ($A$1,$B67,BD$5,$B$1)</f>
        <v>181406.26</v>
      </c>
      <c r="BE67" s="55">
        <f>_xll.EQNXTDZ($A$1,$B67,BE$5,$B$1)</f>
        <v>0</v>
      </c>
      <c r="BF67" s="55">
        <f>_xll.EQNXTDZ($A$1,$B67,BF$5,$B$1)</f>
        <v>189004.23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67540.87</v>
      </c>
      <c r="E68" s="55">
        <f>_xll.EQNXTDZ($A$1,$B68,E$5,$B$1)</f>
        <v>56178.31</v>
      </c>
      <c r="F68" s="55">
        <f>_xll.EQNXTDZ($A$1,$B68,F$5,$B$1)</f>
        <v>69213.240000000005</v>
      </c>
      <c r="G68" s="55">
        <f>_xll.EQNXTDZ($A$1,$B68,G$5,$B$1)</f>
        <v>0</v>
      </c>
      <c r="H68" s="55">
        <f>_xll.EQNXTDZ($A$1,$B68,H$5,$B$1)</f>
        <v>81076.399999999994</v>
      </c>
      <c r="I68" s="55">
        <f>_xll.EQNXTDZ($A$1,$B68,I$5,$B$1)</f>
        <v>0</v>
      </c>
      <c r="J68" s="55">
        <f>_xll.EQNXTDZ($A$1,$B68,J$5,$B$1)</f>
        <v>85980.58</v>
      </c>
      <c r="K68" s="55">
        <f>_xll.EQNXTDZ($A$1,$B68,K$5,$B$1)</f>
        <v>0</v>
      </c>
      <c r="L68" s="55">
        <f>_xll.EQNXTDZ($A$1,$B68,L$5,$B$1)</f>
        <v>86002.17</v>
      </c>
      <c r="M68" s="55">
        <f>_xll.EQNXTDZ($A$1,$B68,M$5,$B$1)</f>
        <v>0</v>
      </c>
      <c r="N68" s="55">
        <f>_xll.EQNXTDZ($A$1,$B68,N$5,$B$1)</f>
        <v>83370.94</v>
      </c>
      <c r="O68" s="55">
        <f>_xll.EQNXTDZ($A$1,$B68,O$5,$B$1)</f>
        <v>0</v>
      </c>
      <c r="P68" s="55">
        <f>_xll.EQNXTDZ($A$1,$B68,P$5,$B$1)</f>
        <v>80156.73</v>
      </c>
      <c r="Q68" s="55">
        <f>_xll.EQNXTDZ($A$1,$B68,Q$5,$B$1)</f>
        <v>0</v>
      </c>
      <c r="R68" s="55">
        <f>_xll.EQNXTDZ($A$1,$B68,R$5,$B$1)</f>
        <v>68334.97</v>
      </c>
      <c r="S68" s="55">
        <f>_xll.EQNXTDZ($A$1,$B68,S$5,$B$1)</f>
        <v>0</v>
      </c>
      <c r="T68" s="55">
        <f>_xll.EQNXTDZ($A$1,$B68,T$5,$B$1)</f>
        <v>89813.41</v>
      </c>
      <c r="U68" s="55">
        <f>_xll.EQNXTDZ($A$1,$B68,U$5,$B$1)</f>
        <v>0</v>
      </c>
      <c r="V68" s="55">
        <f>_xll.EQNXTDZ($A$1,$B68,V$5,$B$1)</f>
        <v>88781.58</v>
      </c>
      <c r="W68" s="55">
        <f>_xll.EQNXTDZ($A$1,$B68,W$5,$B$1)</f>
        <v>0</v>
      </c>
      <c r="X68" s="55">
        <f>_xll.EQNXTDZ($A$1,$B68,X$5,$B$1)</f>
        <v>90664.08</v>
      </c>
      <c r="Y68" s="55">
        <f>_xll.EQNXTDZ($A$1,$B68,Y$5,$B$1)</f>
        <v>0</v>
      </c>
      <c r="Z68" s="55">
        <f>_xll.EQNXTDZ($A$1,$B68,Z$5,$B$1)</f>
        <v>92460.05</v>
      </c>
      <c r="AA68" s="55">
        <f>_xll.EQNXTDZ($A$1,$B68,AA$5,$B$1)</f>
        <v>0</v>
      </c>
      <c r="AB68" s="55">
        <f>_xll.EQNXTDZ($A$1,$B68,AB$5,$B$1)</f>
        <v>122967.32</v>
      </c>
      <c r="AC68" s="55">
        <f>_xll.EQNXTDZ($A$1,$B68,AC$5,$B$1)</f>
        <v>0</v>
      </c>
      <c r="AD68" s="55">
        <f>_xll.EQNXTDZ($A$1,$B68,AD$5,$B$1)</f>
        <v>121129.99</v>
      </c>
      <c r="AE68" s="55">
        <f>_xll.EQNXTDZ($A$1,$B68,AE$5,$B$1)</f>
        <v>0</v>
      </c>
      <c r="AF68" s="55">
        <f>_xll.EQNXTDZ($A$1,$B68,AF$5,$B$1)</f>
        <v>123855.45</v>
      </c>
      <c r="AG68" s="55">
        <f>_xll.EQNXTDZ($A$1,$B68,AG$5,$B$1)</f>
        <v>0</v>
      </c>
      <c r="AH68" s="55">
        <f>_xll.EQNXTDZ($A$1,$B68,AH$5,$B$1)</f>
        <v>122581.12</v>
      </c>
      <c r="AI68" s="55">
        <f>_xll.EQNXTDZ($A$1,$B68,AI$5,$B$1)</f>
        <v>0</v>
      </c>
      <c r="AJ68" s="55">
        <f>_xll.EQNXTDZ($A$1,$B68,AJ$5,$B$1)</f>
        <v>123958.29</v>
      </c>
      <c r="AK68" s="55">
        <f>_xll.EQNXTDZ($A$1,$B68,AK$5,$B$1)</f>
        <v>0</v>
      </c>
      <c r="AL68" s="55">
        <f>_xll.EQNXTDZ($A$1,$B68,AL$5,$B$1)</f>
        <v>122858.2</v>
      </c>
      <c r="AM68" s="55">
        <f>_xll.EQNXTDZ($A$1,$B68,AM$5,$B$1)</f>
        <v>0</v>
      </c>
      <c r="AN68" s="55">
        <f>_xll.EQNXTDZ($A$1,$B68,AN$5,$B$1)</f>
        <v>121172.5</v>
      </c>
      <c r="AO68" s="55">
        <f>_xll.EQNXTDZ($A$1,$B68,AO$5,$B$1)</f>
        <v>0</v>
      </c>
      <c r="AP68" s="55">
        <f>_xll.EQNXTDZ($A$1,$B68,AP$5,$B$1)</f>
        <v>121456.86</v>
      </c>
      <c r="AQ68" s="55">
        <f>_xll.EQNXTDZ($A$1,$B68,AQ$5,$B$1)</f>
        <v>0</v>
      </c>
      <c r="AR68" s="55">
        <f>_xll.EQNXTDZ($A$1,$B68,AR$5,$B$1)</f>
        <v>130071.23</v>
      </c>
      <c r="AS68" s="55">
        <f>_xll.EQNXTDZ($A$1,$B68,AS$5,$B$1)</f>
        <v>0</v>
      </c>
      <c r="AT68" s="55">
        <f>_xll.EQNXTDZ($A$1,$B68,AT$5,$B$1)</f>
        <v>132702.41</v>
      </c>
      <c r="AU68" s="55">
        <f>_xll.EQNXTDZ($A$1,$B68,AU$5,$B$1)</f>
        <v>0</v>
      </c>
      <c r="AV68" s="55">
        <f>_xll.EQNXTDZ($A$1,$B68,AV$5,$B$1)</f>
        <v>128846.06</v>
      </c>
      <c r="AW68" s="55">
        <f>_xll.EQNXTDZ($A$1,$B68,AW$5,$B$1)</f>
        <v>0</v>
      </c>
      <c r="AX68" s="55">
        <f>_xll.EQNXTDZ($A$1,$B68,AX$5,$B$1)</f>
        <v>136468.53</v>
      </c>
      <c r="AY68" s="55">
        <f>_xll.EQNXTDZ($A$1,$B68,AY$5,$B$1)</f>
        <v>0</v>
      </c>
      <c r="AZ68" s="55">
        <f>_xll.EQNXTDZ($A$1,$B68,AZ$5,$B$1)</f>
        <v>136097.84</v>
      </c>
      <c r="BA68" s="55">
        <f>_xll.EQNXTDZ($A$1,$B68,BA$5,$B$1)</f>
        <v>0</v>
      </c>
      <c r="BB68" s="55">
        <f>_xll.EQNXTDZ($A$1,$B68,BB$5,$B$1)</f>
        <v>137888.04999999999</v>
      </c>
      <c r="BC68" s="55">
        <f>_xll.EQNXTDZ($A$1,$B68,BC$5,$B$1)</f>
        <v>0</v>
      </c>
      <c r="BD68" s="55">
        <f>_xll.EQNXTDZ($A$1,$B68,BD$5,$B$1)</f>
        <v>151317.79</v>
      </c>
      <c r="BE68" s="55">
        <f>_xll.EQNXTDZ($A$1,$B68,BE$5,$B$1)</f>
        <v>0</v>
      </c>
      <c r="BF68" s="55">
        <f>_xll.EQNXTDZ($A$1,$B68,BF$5,$B$1)</f>
        <v>163288.09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67540.87</v>
      </c>
      <c r="E71" s="55">
        <f>_xll.EQNXTDZ($A$1,$B71,E$5,$B$1)</f>
        <v>56178.31</v>
      </c>
      <c r="F71" s="55">
        <f>_xll.EQNXTDZ($A$1,$B71,F$5,$B$1)</f>
        <v>69213.240000000005</v>
      </c>
      <c r="G71" s="55">
        <f>_xll.EQNXTDZ($A$1,$B71,G$5,$B$1)</f>
        <v>0</v>
      </c>
      <c r="H71" s="55">
        <f>_xll.EQNXTDZ($A$1,$B71,H$5,$B$1)</f>
        <v>81076.399999999994</v>
      </c>
      <c r="I71" s="55">
        <f>_xll.EQNXTDZ($A$1,$B71,I$5,$B$1)</f>
        <v>0</v>
      </c>
      <c r="J71" s="55">
        <f>_xll.EQNXTDZ($A$1,$B71,J$5,$B$1)</f>
        <v>85980.58</v>
      </c>
      <c r="K71" s="55">
        <f>_xll.EQNXTDZ($A$1,$B71,K$5,$B$1)</f>
        <v>0</v>
      </c>
      <c r="L71" s="55">
        <f>_xll.EQNXTDZ($A$1,$B71,L$5,$B$1)</f>
        <v>86002.17</v>
      </c>
      <c r="M71" s="55">
        <f>_xll.EQNXTDZ($A$1,$B71,M$5,$B$1)</f>
        <v>0</v>
      </c>
      <c r="N71" s="55">
        <f>_xll.EQNXTDZ($A$1,$B71,N$5,$B$1)</f>
        <v>83370.94</v>
      </c>
      <c r="O71" s="55">
        <f>_xll.EQNXTDZ($A$1,$B71,O$5,$B$1)</f>
        <v>0</v>
      </c>
      <c r="P71" s="55">
        <f>_xll.EQNXTDZ($A$1,$B71,P$5,$B$1)</f>
        <v>80156.73</v>
      </c>
      <c r="Q71" s="55">
        <f>_xll.EQNXTDZ($A$1,$B71,Q$5,$B$1)</f>
        <v>0</v>
      </c>
      <c r="R71" s="55">
        <f>_xll.EQNXTDZ($A$1,$B71,R$5,$B$1)</f>
        <v>68334.97</v>
      </c>
      <c r="S71" s="55">
        <f>_xll.EQNXTDZ($A$1,$B71,S$5,$B$1)</f>
        <v>0</v>
      </c>
      <c r="T71" s="55">
        <f>_xll.EQNXTDZ($A$1,$B71,T$5,$B$1)</f>
        <v>89813.41</v>
      </c>
      <c r="U71" s="55">
        <f>_xll.EQNXTDZ($A$1,$B71,U$5,$B$1)</f>
        <v>0</v>
      </c>
      <c r="V71" s="55">
        <f>_xll.EQNXTDZ($A$1,$B71,V$5,$B$1)</f>
        <v>88781.58</v>
      </c>
      <c r="W71" s="55">
        <f>_xll.EQNXTDZ($A$1,$B71,W$5,$B$1)</f>
        <v>0</v>
      </c>
      <c r="X71" s="55">
        <f>_xll.EQNXTDZ($A$1,$B71,X$5,$B$1)</f>
        <v>90664.08</v>
      </c>
      <c r="Y71" s="55">
        <f>_xll.EQNXTDZ($A$1,$B71,Y$5,$B$1)</f>
        <v>0</v>
      </c>
      <c r="Z71" s="55">
        <f>_xll.EQNXTDZ($A$1,$B71,Z$5,$B$1)</f>
        <v>92460.05</v>
      </c>
      <c r="AA71" s="55">
        <f>_xll.EQNXTDZ($A$1,$B71,AA$5,$B$1)</f>
        <v>0</v>
      </c>
      <c r="AB71" s="55">
        <f>_xll.EQNXTDZ($A$1,$B71,AB$5,$B$1)</f>
        <v>122967.32</v>
      </c>
      <c r="AC71" s="55">
        <f>_xll.EQNXTDZ($A$1,$B71,AC$5,$B$1)</f>
        <v>0</v>
      </c>
      <c r="AD71" s="55">
        <f>_xll.EQNXTDZ($A$1,$B71,AD$5,$B$1)</f>
        <v>121129.99</v>
      </c>
      <c r="AE71" s="55">
        <f>_xll.EQNXTDZ($A$1,$B71,AE$5,$B$1)</f>
        <v>0</v>
      </c>
      <c r="AF71" s="55">
        <f>_xll.EQNXTDZ($A$1,$B71,AF$5,$B$1)</f>
        <v>123855.45</v>
      </c>
      <c r="AG71" s="55">
        <f>_xll.EQNXTDZ($A$1,$B71,AG$5,$B$1)</f>
        <v>0</v>
      </c>
      <c r="AH71" s="55">
        <f>_xll.EQNXTDZ($A$1,$B71,AH$5,$B$1)</f>
        <v>122581.12</v>
      </c>
      <c r="AI71" s="55">
        <f>_xll.EQNXTDZ($A$1,$B71,AI$5,$B$1)</f>
        <v>0</v>
      </c>
      <c r="AJ71" s="55">
        <f>_xll.EQNXTDZ($A$1,$B71,AJ$5,$B$1)</f>
        <v>123958.29</v>
      </c>
      <c r="AK71" s="55">
        <f>_xll.EQNXTDZ($A$1,$B71,AK$5,$B$1)</f>
        <v>0</v>
      </c>
      <c r="AL71" s="55">
        <f>_xll.EQNXTDZ($A$1,$B71,AL$5,$B$1)</f>
        <v>122858.2</v>
      </c>
      <c r="AM71" s="55">
        <f>_xll.EQNXTDZ($A$1,$B71,AM$5,$B$1)</f>
        <v>0</v>
      </c>
      <c r="AN71" s="55">
        <f>_xll.EQNXTDZ($A$1,$B71,AN$5,$B$1)</f>
        <v>121172.5</v>
      </c>
      <c r="AO71" s="55">
        <f>_xll.EQNXTDZ($A$1,$B71,AO$5,$B$1)</f>
        <v>0</v>
      </c>
      <c r="AP71" s="55">
        <f>_xll.EQNXTDZ($A$1,$B71,AP$5,$B$1)</f>
        <v>121456.86</v>
      </c>
      <c r="AQ71" s="55">
        <f>_xll.EQNXTDZ($A$1,$B71,AQ$5,$B$1)</f>
        <v>0</v>
      </c>
      <c r="AR71" s="55">
        <f>_xll.EQNXTDZ($A$1,$B71,AR$5,$B$1)</f>
        <v>130071.23</v>
      </c>
      <c r="AS71" s="55">
        <f>_xll.EQNXTDZ($A$1,$B71,AS$5,$B$1)</f>
        <v>0</v>
      </c>
      <c r="AT71" s="55">
        <f>_xll.EQNXTDZ($A$1,$B71,AT$5,$B$1)</f>
        <v>132702.41</v>
      </c>
      <c r="AU71" s="55">
        <f>_xll.EQNXTDZ($A$1,$B71,AU$5,$B$1)</f>
        <v>0</v>
      </c>
      <c r="AV71" s="55">
        <f>_xll.EQNXTDZ($A$1,$B71,AV$5,$B$1)</f>
        <v>128846.06</v>
      </c>
      <c r="AW71" s="55">
        <f>_xll.EQNXTDZ($A$1,$B71,AW$5,$B$1)</f>
        <v>0</v>
      </c>
      <c r="AX71" s="55">
        <f>_xll.EQNXTDZ($A$1,$B71,AX$5,$B$1)</f>
        <v>136468.53</v>
      </c>
      <c r="AY71" s="55">
        <f>_xll.EQNXTDZ($A$1,$B71,AY$5,$B$1)</f>
        <v>0</v>
      </c>
      <c r="AZ71" s="55">
        <f>_xll.EQNXTDZ($A$1,$B71,AZ$5,$B$1)</f>
        <v>136097.84</v>
      </c>
      <c r="BA71" s="55">
        <f>_xll.EQNXTDZ($A$1,$B71,BA$5,$B$1)</f>
        <v>0</v>
      </c>
      <c r="BB71" s="55">
        <f>_xll.EQNXTDZ($A$1,$B71,BB$5,$B$1)</f>
        <v>137888.04999999999</v>
      </c>
      <c r="BC71" s="55">
        <f>_xll.EQNXTDZ($A$1,$B71,BC$5,$B$1)</f>
        <v>0</v>
      </c>
      <c r="BD71" s="55">
        <f>_xll.EQNXTDZ($A$1,$B71,BD$5,$B$1)</f>
        <v>151317.79</v>
      </c>
      <c r="BE71" s="55">
        <f>_xll.EQNXTDZ($A$1,$B71,BE$5,$B$1)</f>
        <v>0</v>
      </c>
      <c r="BF71" s="55">
        <f>_xll.EQNXTDZ($A$1,$B71,BF$5,$B$1)</f>
        <v>163288.09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18325.66</v>
      </c>
      <c r="E72" s="55">
        <f>_xll.EQNXTDZ($A$1,$B72,E$5,$B$1)</f>
        <v>19026.36</v>
      </c>
      <c r="F72" s="55">
        <f>_xll.EQNXTDZ($A$1,$B72,F$5,$B$1)</f>
        <v>13064.98</v>
      </c>
      <c r="G72" s="55">
        <f>_xll.EQNXTDZ($A$1,$B72,G$5,$B$1)</f>
        <v>0</v>
      </c>
      <c r="H72" s="55">
        <f>_xll.EQNXTDZ($A$1,$B72,H$5,$B$1)</f>
        <v>15980.22</v>
      </c>
      <c r="I72" s="55">
        <f>_xll.EQNXTDZ($A$1,$B72,I$5,$B$1)</f>
        <v>0</v>
      </c>
      <c r="J72" s="55">
        <f>_xll.EQNXTDZ($A$1,$B72,J$5,$B$1)</f>
        <v>15748.8</v>
      </c>
      <c r="K72" s="55">
        <f>_xll.EQNXTDZ($A$1,$B72,K$5,$B$1)</f>
        <v>0</v>
      </c>
      <c r="L72" s="55">
        <f>_xll.EQNXTDZ($A$1,$B72,L$5,$B$1)</f>
        <v>15353.48</v>
      </c>
      <c r="M72" s="55">
        <f>_xll.EQNXTDZ($A$1,$B72,M$5,$B$1)</f>
        <v>0</v>
      </c>
      <c r="N72" s="55">
        <f>_xll.EQNXTDZ($A$1,$B72,N$5,$B$1)</f>
        <v>13407.51</v>
      </c>
      <c r="O72" s="55">
        <f>_xll.EQNXTDZ($A$1,$B72,O$5,$B$1)</f>
        <v>0</v>
      </c>
      <c r="P72" s="55">
        <f>_xll.EQNXTDZ($A$1,$B72,P$5,$B$1)</f>
        <v>14419.39</v>
      </c>
      <c r="Q72" s="55">
        <f>_xll.EQNXTDZ($A$1,$B72,Q$5,$B$1)</f>
        <v>0</v>
      </c>
      <c r="R72" s="55">
        <f>_xll.EQNXTDZ($A$1,$B72,R$5,$B$1)</f>
        <v>4067.56</v>
      </c>
      <c r="S72" s="55">
        <f>_xll.EQNXTDZ($A$1,$B72,S$5,$B$1)</f>
        <v>0</v>
      </c>
      <c r="T72" s="55">
        <f>_xll.EQNXTDZ($A$1,$B72,T$5,$B$1)</f>
        <v>3715.71</v>
      </c>
      <c r="U72" s="55">
        <f>_xll.EQNXTDZ($A$1,$B72,U$5,$B$1)</f>
        <v>0</v>
      </c>
      <c r="V72" s="55">
        <f>_xll.EQNXTDZ($A$1,$B72,V$5,$B$1)</f>
        <v>3494.73</v>
      </c>
      <c r="W72" s="55">
        <f>_xll.EQNXTDZ($A$1,$B72,W$5,$B$1)</f>
        <v>0</v>
      </c>
      <c r="X72" s="55">
        <f>_xll.EQNXTDZ($A$1,$B72,X$5,$B$1)</f>
        <v>3755.26</v>
      </c>
      <c r="Y72" s="55">
        <f>_xll.EQNXTDZ($A$1,$B72,Y$5,$B$1)</f>
        <v>0</v>
      </c>
      <c r="Z72" s="55">
        <f>_xll.EQNXTDZ($A$1,$B72,Z$5,$B$1)</f>
        <v>4099.45</v>
      </c>
      <c r="AA72" s="55">
        <f>_xll.EQNXTDZ($A$1,$B72,AA$5,$B$1)</f>
        <v>0</v>
      </c>
      <c r="AB72" s="55">
        <f>_xll.EQNXTDZ($A$1,$B72,AB$5,$B$1)</f>
        <v>4190.82</v>
      </c>
      <c r="AC72" s="55">
        <f>_xll.EQNXTDZ($A$1,$B72,AC$5,$B$1)</f>
        <v>0</v>
      </c>
      <c r="AD72" s="55">
        <f>_xll.EQNXTDZ($A$1,$B72,AD$5,$B$1)</f>
        <v>3996.62</v>
      </c>
      <c r="AE72" s="55">
        <f>_xll.EQNXTDZ($A$1,$B72,AE$5,$B$1)</f>
        <v>0</v>
      </c>
      <c r="AF72" s="55">
        <f>_xll.EQNXTDZ($A$1,$B72,AF$5,$B$1)</f>
        <v>3870.28</v>
      </c>
      <c r="AG72" s="55">
        <f>_xll.EQNXTDZ($A$1,$B72,AG$5,$B$1)</f>
        <v>0</v>
      </c>
      <c r="AH72" s="55">
        <f>_xll.EQNXTDZ($A$1,$B72,AH$5,$B$1)</f>
        <v>4054.53</v>
      </c>
      <c r="AI72" s="55">
        <f>_xll.EQNXTDZ($A$1,$B72,AI$5,$B$1)</f>
        <v>0</v>
      </c>
      <c r="AJ72" s="55">
        <f>_xll.EQNXTDZ($A$1,$B72,AJ$5,$B$1)</f>
        <v>4104.17</v>
      </c>
      <c r="AK72" s="55">
        <f>_xll.EQNXTDZ($A$1,$B72,AK$5,$B$1)</f>
        <v>0</v>
      </c>
      <c r="AL72" s="55">
        <f>_xll.EQNXTDZ($A$1,$B72,AL$5,$B$1)</f>
        <v>4344.6899999999996</v>
      </c>
      <c r="AM72" s="55">
        <f>_xll.EQNXTDZ($A$1,$B72,AM$5,$B$1)</f>
        <v>0</v>
      </c>
      <c r="AN72" s="55">
        <f>_xll.EQNXTDZ($A$1,$B72,AN$5,$B$1)</f>
        <v>4314.0600000000004</v>
      </c>
      <c r="AO72" s="55">
        <f>_xll.EQNXTDZ($A$1,$B72,AO$5,$B$1)</f>
        <v>0</v>
      </c>
      <c r="AP72" s="55">
        <f>_xll.EQNXTDZ($A$1,$B72,AP$5,$B$1)</f>
        <v>4311.2</v>
      </c>
      <c r="AQ72" s="55">
        <f>_xll.EQNXTDZ($A$1,$B72,AQ$5,$B$1)</f>
        <v>0</v>
      </c>
      <c r="AR72" s="55">
        <f>_xll.EQNXTDZ($A$1,$B72,AR$5,$B$1)</f>
        <v>5183.0200000000004</v>
      </c>
      <c r="AS72" s="55">
        <f>_xll.EQNXTDZ($A$1,$B72,AS$5,$B$1)</f>
        <v>0</v>
      </c>
      <c r="AT72" s="55">
        <f>_xll.EQNXTDZ($A$1,$B72,AT$5,$B$1)</f>
        <v>5601.65</v>
      </c>
      <c r="AU72" s="55">
        <f>_xll.EQNXTDZ($A$1,$B72,AU$5,$B$1)</f>
        <v>0</v>
      </c>
      <c r="AV72" s="55">
        <f>_xll.EQNXTDZ($A$1,$B72,AV$5,$B$1)</f>
        <v>5605.88</v>
      </c>
      <c r="AW72" s="55">
        <f>_xll.EQNXTDZ($A$1,$B72,AW$5,$B$1)</f>
        <v>0</v>
      </c>
      <c r="AX72" s="55">
        <f>_xll.EQNXTDZ($A$1,$B72,AX$5,$B$1)</f>
        <v>5745.3</v>
      </c>
      <c r="AY72" s="55">
        <f>_xll.EQNXTDZ($A$1,$B72,AY$5,$B$1)</f>
        <v>0</v>
      </c>
      <c r="AZ72" s="55">
        <f>_xll.EQNXTDZ($A$1,$B72,AZ$5,$B$1)</f>
        <v>6031.57</v>
      </c>
      <c r="BA72" s="55">
        <f>_xll.EQNXTDZ($A$1,$B72,BA$5,$B$1)</f>
        <v>0</v>
      </c>
      <c r="BB72" s="55">
        <f>_xll.EQNXTDZ($A$1,$B72,BB$5,$B$1)</f>
        <v>5958.53</v>
      </c>
      <c r="BC72" s="55">
        <f>_xll.EQNXTDZ($A$1,$B72,BC$5,$B$1)</f>
        <v>0</v>
      </c>
      <c r="BD72" s="55">
        <f>_xll.EQNXTDZ($A$1,$B72,BD$5,$B$1)</f>
        <v>6319.5</v>
      </c>
      <c r="BE72" s="55">
        <f>_xll.EQNXTDZ($A$1,$B72,BE$5,$B$1)</f>
        <v>0</v>
      </c>
      <c r="BF72" s="55">
        <f>_xll.EQNXTDZ($A$1,$B72,BF$5,$B$1)</f>
        <v>7533.8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14748.99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0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35793.32</v>
      </c>
      <c r="S74" s="55">
        <f>_xll.EQNXTDZ($A$1,$B74,S$5,$B$1)</f>
        <v>0</v>
      </c>
      <c r="T74" s="55">
        <f>_xll.EQNXTDZ($A$1,$B74,T$5,$B$1)</f>
        <v>15299.87</v>
      </c>
      <c r="U74" s="55">
        <f>_xll.EQNXTDZ($A$1,$B74,U$5,$B$1)</f>
        <v>0</v>
      </c>
      <c r="V74" s="55">
        <f>_xll.EQNXTDZ($A$1,$B74,V$5,$B$1)</f>
        <v>15514.37</v>
      </c>
      <c r="W74" s="55">
        <f>_xll.EQNXTDZ($A$1,$B74,W$5,$B$1)</f>
        <v>0</v>
      </c>
      <c r="X74" s="55">
        <f>_xll.EQNXTDZ($A$1,$B74,X$5,$B$1)</f>
        <v>15478.75</v>
      </c>
      <c r="Y74" s="55">
        <f>_xll.EQNXTDZ($A$1,$B74,Y$5,$B$1)</f>
        <v>0</v>
      </c>
      <c r="Z74" s="55">
        <f>_xll.EQNXTDZ($A$1,$B74,Z$5,$B$1)</f>
        <v>16159.8</v>
      </c>
      <c r="AA74" s="55">
        <f>_xll.EQNXTDZ($A$1,$B74,AA$5,$B$1)</f>
        <v>0</v>
      </c>
      <c r="AB74" s="55">
        <f>_xll.EQNXTDZ($A$1,$B74,AB$5,$B$1)</f>
        <v>19047.55</v>
      </c>
      <c r="AC74" s="55">
        <f>_xll.EQNXTDZ($A$1,$B74,AC$5,$B$1)</f>
        <v>0</v>
      </c>
      <c r="AD74" s="55">
        <f>_xll.EQNXTDZ($A$1,$B74,AD$5,$B$1)</f>
        <v>17956.509999999998</v>
      </c>
      <c r="AE74" s="55">
        <f>_xll.EQNXTDZ($A$1,$B74,AE$5,$B$1)</f>
        <v>0</v>
      </c>
      <c r="AF74" s="55">
        <f>_xll.EQNXTDZ($A$1,$B74,AF$5,$B$1)</f>
        <v>17359.25</v>
      </c>
      <c r="AG74" s="55">
        <f>_xll.EQNXTDZ($A$1,$B74,AG$5,$B$1)</f>
        <v>0</v>
      </c>
      <c r="AH74" s="55">
        <f>_xll.EQNXTDZ($A$1,$B74,AH$5,$B$1)</f>
        <v>18862.060000000001</v>
      </c>
      <c r="AI74" s="55">
        <f>_xll.EQNXTDZ($A$1,$B74,AI$5,$B$1)</f>
        <v>0</v>
      </c>
      <c r="AJ74" s="55">
        <f>_xll.EQNXTDZ($A$1,$B74,AJ$5,$B$1)</f>
        <v>17228.64</v>
      </c>
      <c r="AK74" s="55">
        <f>_xll.EQNXTDZ($A$1,$B74,AK$5,$B$1)</f>
        <v>0</v>
      </c>
      <c r="AL74" s="55">
        <f>_xll.EQNXTDZ($A$1,$B74,AL$5,$B$1)</f>
        <v>18128.740000000002</v>
      </c>
      <c r="AM74" s="55">
        <f>_xll.EQNXTDZ($A$1,$B74,AM$5,$B$1)</f>
        <v>0</v>
      </c>
      <c r="AN74" s="55">
        <f>_xll.EQNXTDZ($A$1,$B74,AN$5,$B$1)</f>
        <v>19825.580000000002</v>
      </c>
      <c r="AO74" s="55">
        <f>_xll.EQNXTDZ($A$1,$B74,AO$5,$B$1)</f>
        <v>0</v>
      </c>
      <c r="AP74" s="55">
        <f>_xll.EQNXTDZ($A$1,$B74,AP$5,$B$1)</f>
        <v>21227.62</v>
      </c>
      <c r="AQ74" s="55">
        <f>_xll.EQNXTDZ($A$1,$B74,AQ$5,$B$1)</f>
        <v>0</v>
      </c>
      <c r="AR74" s="55">
        <f>_xll.EQNXTDZ($A$1,$B74,AR$5,$B$1)</f>
        <v>25341.22</v>
      </c>
      <c r="AS74" s="55">
        <f>_xll.EQNXTDZ($A$1,$B74,AS$5,$B$1)</f>
        <v>0</v>
      </c>
      <c r="AT74" s="55">
        <f>_xll.EQNXTDZ($A$1,$B74,AT$5,$B$1)</f>
        <v>30307.9</v>
      </c>
      <c r="AU74" s="55">
        <f>_xll.EQNXTDZ($A$1,$B74,AU$5,$B$1)</f>
        <v>0</v>
      </c>
      <c r="AV74" s="55">
        <f>_xll.EQNXTDZ($A$1,$B74,AV$5,$B$1)</f>
        <v>35761.11</v>
      </c>
      <c r="AW74" s="55">
        <f>_xll.EQNXTDZ($A$1,$B74,AW$5,$B$1)</f>
        <v>0</v>
      </c>
      <c r="AX74" s="55">
        <f>_xll.EQNXTDZ($A$1,$B74,AX$5,$B$1)</f>
        <v>33370.19</v>
      </c>
      <c r="AY74" s="55">
        <f>_xll.EQNXTDZ($A$1,$B74,AY$5,$B$1)</f>
        <v>0</v>
      </c>
      <c r="AZ74" s="55">
        <f>_xll.EQNXTDZ($A$1,$B74,AZ$5,$B$1)</f>
        <v>39050.92</v>
      </c>
      <c r="BA74" s="55">
        <f>_xll.EQNXTDZ($A$1,$B74,BA$5,$B$1)</f>
        <v>0</v>
      </c>
      <c r="BB74" s="55">
        <f>_xll.EQNXTDZ($A$1,$B74,BB$5,$B$1)</f>
        <v>40601.879999999997</v>
      </c>
      <c r="BC74" s="55">
        <f>_xll.EQNXTDZ($A$1,$B74,BC$5,$B$1)</f>
        <v>0</v>
      </c>
      <c r="BD74" s="55">
        <f>_xll.EQNXTDZ($A$1,$B74,BD$5,$B$1)</f>
        <v>33152.230000000003</v>
      </c>
      <c r="BE74" s="55">
        <f>_xll.EQNXTDZ($A$1,$B74,BE$5,$B$1)</f>
        <v>0</v>
      </c>
      <c r="BF74" s="55">
        <f>_xll.EQNXTDZ($A$1,$B74,BF$5,$B$1)</f>
        <v>27510.29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2458.8200000000002</v>
      </c>
      <c r="E77" s="55">
        <f>_xll.EQNXTDZ($A$1,$B77,E$5,$B$1)</f>
        <v>2455.64</v>
      </c>
      <c r="F77" s="55">
        <f>_xll.EQNXTDZ($A$1,$B77,F$5,$B$1)</f>
        <v>2497.37</v>
      </c>
      <c r="G77" s="55">
        <f>_xll.EQNXTDZ($A$1,$B77,G$5,$B$1)</f>
        <v>0</v>
      </c>
      <c r="H77" s="55">
        <f>_xll.EQNXTDZ($A$1,$B77,H$5,$B$1)</f>
        <v>2571.15</v>
      </c>
      <c r="I77" s="55">
        <f>_xll.EQNXTDZ($A$1,$B77,I$5,$B$1)</f>
        <v>0</v>
      </c>
      <c r="J77" s="55">
        <f>_xll.EQNXTDZ($A$1,$B77,J$5,$B$1)</f>
        <v>2425.0700000000002</v>
      </c>
      <c r="K77" s="55">
        <f>_xll.EQNXTDZ($A$1,$B77,K$5,$B$1)</f>
        <v>0</v>
      </c>
      <c r="L77" s="55">
        <f>_xll.EQNXTDZ($A$1,$B77,L$5,$B$1)</f>
        <v>2480.62</v>
      </c>
      <c r="M77" s="55">
        <f>_xll.EQNXTDZ($A$1,$B77,M$5,$B$1)</f>
        <v>0</v>
      </c>
      <c r="N77" s="55">
        <f>_xll.EQNXTDZ($A$1,$B77,N$5,$B$1)</f>
        <v>2080.4299999999998</v>
      </c>
      <c r="O77" s="55">
        <f>_xll.EQNXTDZ($A$1,$B77,O$5,$B$1)</f>
        <v>0</v>
      </c>
      <c r="P77" s="55">
        <f>_xll.EQNXTDZ($A$1,$B77,P$5,$B$1)</f>
        <v>2138.96</v>
      </c>
      <c r="Q77" s="55">
        <f>_xll.EQNXTDZ($A$1,$B77,Q$5,$B$1)</f>
        <v>0</v>
      </c>
      <c r="R77" s="55">
        <f>_xll.EQNXTDZ($A$1,$B77,R$5,$B$1)</f>
        <v>6159.18</v>
      </c>
      <c r="S77" s="55">
        <f>_xll.EQNXTDZ($A$1,$B77,S$5,$B$1)</f>
        <v>0</v>
      </c>
      <c r="T77" s="55">
        <f>_xll.EQNXTDZ($A$1,$B77,T$5,$B$1)</f>
        <v>7445.96</v>
      </c>
      <c r="U77" s="55">
        <f>_xll.EQNXTDZ($A$1,$B77,U$5,$B$1)</f>
        <v>0</v>
      </c>
      <c r="V77" s="55">
        <f>_xll.EQNXTDZ($A$1,$B77,V$5,$B$1)</f>
        <v>6783.99</v>
      </c>
      <c r="W77" s="55">
        <f>_xll.EQNXTDZ($A$1,$B77,W$5,$B$1)</f>
        <v>0</v>
      </c>
      <c r="X77" s="55">
        <f>_xll.EQNXTDZ($A$1,$B77,X$5,$B$1)</f>
        <v>2723.88</v>
      </c>
      <c r="Y77" s="55">
        <f>_xll.EQNXTDZ($A$1,$B77,Y$5,$B$1)</f>
        <v>0</v>
      </c>
      <c r="Z77" s="55">
        <f>_xll.EQNXTDZ($A$1,$B77,Z$5,$B$1)</f>
        <v>2990.5</v>
      </c>
      <c r="AA77" s="55">
        <f>_xll.EQNXTDZ($A$1,$B77,AA$5,$B$1)</f>
        <v>0</v>
      </c>
      <c r="AB77" s="55">
        <f>_xll.EQNXTDZ($A$1,$B77,AB$5,$B$1)</f>
        <v>3104.62</v>
      </c>
      <c r="AC77" s="55">
        <f>_xll.EQNXTDZ($A$1,$B77,AC$5,$B$1)</f>
        <v>0</v>
      </c>
      <c r="AD77" s="55">
        <f>_xll.EQNXTDZ($A$1,$B77,AD$5,$B$1)</f>
        <v>3213.31</v>
      </c>
      <c r="AE77" s="55">
        <f>_xll.EQNXTDZ($A$1,$B77,AE$5,$B$1)</f>
        <v>0</v>
      </c>
      <c r="AF77" s="55">
        <f>_xll.EQNXTDZ($A$1,$B77,AF$5,$B$1)</f>
        <v>3073.37</v>
      </c>
      <c r="AG77" s="55">
        <f>_xll.EQNXTDZ($A$1,$B77,AG$5,$B$1)</f>
        <v>0</v>
      </c>
      <c r="AH77" s="55">
        <f>_xll.EQNXTDZ($A$1,$B77,AH$5,$B$1)</f>
        <v>2853.31</v>
      </c>
      <c r="AI77" s="55">
        <f>_xll.EQNXTDZ($A$1,$B77,AI$5,$B$1)</f>
        <v>0</v>
      </c>
      <c r="AJ77" s="55">
        <f>_xll.EQNXTDZ($A$1,$B77,AJ$5,$B$1)</f>
        <v>3088.31</v>
      </c>
      <c r="AK77" s="55">
        <f>_xll.EQNXTDZ($A$1,$B77,AK$5,$B$1)</f>
        <v>0</v>
      </c>
      <c r="AL77" s="55">
        <f>_xll.EQNXTDZ($A$1,$B77,AL$5,$B$1)</f>
        <v>3463.04</v>
      </c>
      <c r="AM77" s="55">
        <f>_xll.EQNXTDZ($A$1,$B77,AM$5,$B$1)</f>
        <v>0</v>
      </c>
      <c r="AN77" s="55">
        <f>_xll.EQNXTDZ($A$1,$B77,AN$5,$B$1)</f>
        <v>4042.08</v>
      </c>
      <c r="AO77" s="55">
        <f>_xll.EQNXTDZ($A$1,$B77,AO$5,$B$1)</f>
        <v>0</v>
      </c>
      <c r="AP77" s="55">
        <f>_xll.EQNXTDZ($A$1,$B77,AP$5,$B$1)</f>
        <v>4615.43</v>
      </c>
      <c r="AQ77" s="55">
        <f>_xll.EQNXTDZ($A$1,$B77,AQ$5,$B$1)</f>
        <v>0</v>
      </c>
      <c r="AR77" s="55">
        <f>_xll.EQNXTDZ($A$1,$B77,AR$5,$B$1)</f>
        <v>4609.26</v>
      </c>
      <c r="AS77" s="55">
        <f>_xll.EQNXTDZ($A$1,$B77,AS$5,$B$1)</f>
        <v>0</v>
      </c>
      <c r="AT77" s="55">
        <f>_xll.EQNXTDZ($A$1,$B77,AT$5,$B$1)</f>
        <v>4780.25</v>
      </c>
      <c r="AU77" s="55">
        <f>_xll.EQNXTDZ($A$1,$B77,AU$5,$B$1)</f>
        <v>0</v>
      </c>
      <c r="AV77" s="55">
        <f>_xll.EQNXTDZ($A$1,$B77,AV$5,$B$1)</f>
        <v>5034.62</v>
      </c>
      <c r="AW77" s="55">
        <f>_xll.EQNXTDZ($A$1,$B77,AW$5,$B$1)</f>
        <v>0</v>
      </c>
      <c r="AX77" s="55">
        <f>_xll.EQNXTDZ($A$1,$B77,AX$5,$B$1)</f>
        <v>5526.34</v>
      </c>
      <c r="AY77" s="55">
        <f>_xll.EQNXTDZ($A$1,$B77,AY$5,$B$1)</f>
        <v>0</v>
      </c>
      <c r="AZ77" s="55">
        <f>_xll.EQNXTDZ($A$1,$B77,AZ$5,$B$1)</f>
        <v>5966.52</v>
      </c>
      <c r="BA77" s="55">
        <f>_xll.EQNXTDZ($A$1,$B77,BA$5,$B$1)</f>
        <v>0</v>
      </c>
      <c r="BB77" s="55">
        <f>_xll.EQNXTDZ($A$1,$B77,BB$5,$B$1)</f>
        <v>5751.46</v>
      </c>
      <c r="BC77" s="55">
        <f>_xll.EQNXTDZ($A$1,$B77,BC$5,$B$1)</f>
        <v>0</v>
      </c>
      <c r="BD77" s="55">
        <f>_xll.EQNXTDZ($A$1,$B77,BD$5,$B$1)</f>
        <v>6074.61</v>
      </c>
      <c r="BE77" s="55">
        <f>_xll.EQNXTDZ($A$1,$B77,BE$5,$B$1)</f>
        <v>0</v>
      </c>
      <c r="BF77" s="55">
        <f>_xll.EQNXTDZ($A$1,$B77,BF$5,$B$1)</f>
        <v>6085.31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6636.35</v>
      </c>
      <c r="E78" s="55">
        <f>_xll.EQNXTDZ($A$1,$B78,E$5,$B$1)</f>
        <v>6829.83</v>
      </c>
      <c r="F78" s="55">
        <f>_xll.EQNXTDZ($A$1,$B78,F$5,$B$1)</f>
        <v>7097.65</v>
      </c>
      <c r="G78" s="55">
        <f>_xll.EQNXTDZ($A$1,$B78,G$5,$B$1)</f>
        <v>0</v>
      </c>
      <c r="H78" s="55">
        <f>_xll.EQNXTDZ($A$1,$B78,H$5,$B$1)</f>
        <v>8591.0400000000009</v>
      </c>
      <c r="I78" s="55">
        <f>_xll.EQNXTDZ($A$1,$B78,I$5,$B$1)</f>
        <v>0</v>
      </c>
      <c r="J78" s="55">
        <f>_xll.EQNXTDZ($A$1,$B78,J$5,$B$1)</f>
        <v>8781.73</v>
      </c>
      <c r="K78" s="55">
        <f>_xll.EQNXTDZ($A$1,$B78,K$5,$B$1)</f>
        <v>0</v>
      </c>
      <c r="L78" s="55">
        <f>_xll.EQNXTDZ($A$1,$B78,L$5,$B$1)</f>
        <v>6925.4</v>
      </c>
      <c r="M78" s="55">
        <f>_xll.EQNXTDZ($A$1,$B78,M$5,$B$1)</f>
        <v>0</v>
      </c>
      <c r="N78" s="55">
        <f>_xll.EQNXTDZ($A$1,$B78,N$5,$B$1)</f>
        <v>5106.57</v>
      </c>
      <c r="O78" s="55">
        <f>_xll.EQNXTDZ($A$1,$B78,O$5,$B$1)</f>
        <v>0</v>
      </c>
      <c r="P78" s="55">
        <f>_xll.EQNXTDZ($A$1,$B78,P$5,$B$1)</f>
        <v>16719.2</v>
      </c>
      <c r="Q78" s="55">
        <f>_xll.EQNXTDZ($A$1,$B78,Q$5,$B$1)</f>
        <v>0</v>
      </c>
      <c r="R78" s="55">
        <f>_xll.EQNXTDZ($A$1,$B78,R$5,$B$1)</f>
        <v>0</v>
      </c>
      <c r="S78" s="55">
        <f>_xll.EQNXTDZ($A$1,$B78,S$5,$B$1)</f>
        <v>0</v>
      </c>
      <c r="T78" s="55">
        <f>_xll.EQNXTDZ($A$1,$B78,T$5,$B$1)</f>
        <v>0</v>
      </c>
      <c r="U78" s="55">
        <f>_xll.EQNXTDZ($A$1,$B78,U$5,$B$1)</f>
        <v>0</v>
      </c>
      <c r="V78" s="55">
        <f>_xll.EQNXTDZ($A$1,$B78,V$5,$B$1)</f>
        <v>373.06</v>
      </c>
      <c r="W78" s="55">
        <f>_xll.EQNXTDZ($A$1,$B78,W$5,$B$1)</f>
        <v>0</v>
      </c>
      <c r="X78" s="55">
        <f>_xll.EQNXTDZ($A$1,$B78,X$5,$B$1)</f>
        <v>664.27</v>
      </c>
      <c r="Y78" s="55">
        <f>_xll.EQNXTDZ($A$1,$B78,Y$5,$B$1)</f>
        <v>0</v>
      </c>
      <c r="Z78" s="55">
        <f>_xll.EQNXTDZ($A$1,$B78,Z$5,$B$1)</f>
        <v>717.34</v>
      </c>
      <c r="AA78" s="55">
        <f>_xll.EQNXTDZ($A$1,$B78,AA$5,$B$1)</f>
        <v>0</v>
      </c>
      <c r="AB78" s="55">
        <f>_xll.EQNXTDZ($A$1,$B78,AB$5,$B$1)</f>
        <v>691.81</v>
      </c>
      <c r="AC78" s="55">
        <f>_xll.EQNXTDZ($A$1,$B78,AC$5,$B$1)</f>
        <v>0</v>
      </c>
      <c r="AD78" s="55">
        <f>_xll.EQNXTDZ($A$1,$B78,AD$5,$B$1)</f>
        <v>613.34</v>
      </c>
      <c r="AE78" s="55">
        <f>_xll.EQNXTDZ($A$1,$B78,AE$5,$B$1)</f>
        <v>0</v>
      </c>
      <c r="AF78" s="55">
        <f>_xll.EQNXTDZ($A$1,$B78,AF$5,$B$1)</f>
        <v>504.61</v>
      </c>
      <c r="AG78" s="55">
        <f>_xll.EQNXTDZ($A$1,$B78,AG$5,$B$1)</f>
        <v>0</v>
      </c>
      <c r="AH78" s="55">
        <f>_xll.EQNXTDZ($A$1,$B78,AH$5,$B$1)</f>
        <v>488.71</v>
      </c>
      <c r="AI78" s="55">
        <f>_xll.EQNXTDZ($A$1,$B78,AI$5,$B$1)</f>
        <v>0</v>
      </c>
      <c r="AJ78" s="55">
        <f>_xll.EQNXTDZ($A$1,$B78,AJ$5,$B$1)</f>
        <v>308.58999999999997</v>
      </c>
      <c r="AK78" s="55">
        <f>_xll.EQNXTDZ($A$1,$B78,AK$5,$B$1)</f>
        <v>0</v>
      </c>
      <c r="AL78" s="55">
        <f>_xll.EQNXTDZ($A$1,$B78,AL$5,$B$1)</f>
        <v>91.93</v>
      </c>
      <c r="AM78" s="55">
        <f>_xll.EQNXTDZ($A$1,$B78,AM$5,$B$1)</f>
        <v>0</v>
      </c>
      <c r="AN78" s="55">
        <f>_xll.EQNXTDZ($A$1,$B78,AN$5,$B$1)</f>
        <v>84.43</v>
      </c>
      <c r="AO78" s="55">
        <f>_xll.EQNXTDZ($A$1,$B78,AO$5,$B$1)</f>
        <v>0</v>
      </c>
      <c r="AP78" s="55">
        <f>_xll.EQNXTDZ($A$1,$B78,AP$5,$B$1)</f>
        <v>72.44</v>
      </c>
      <c r="AQ78" s="55">
        <f>_xll.EQNXTDZ($A$1,$B78,AQ$5,$B$1)</f>
        <v>0</v>
      </c>
      <c r="AR78" s="55">
        <f>_xll.EQNXTDZ($A$1,$B78,AR$5,$B$1)</f>
        <v>46.3</v>
      </c>
      <c r="AS78" s="55">
        <f>_xll.EQNXTDZ($A$1,$B78,AS$5,$B$1)</f>
        <v>0</v>
      </c>
      <c r="AT78" s="55">
        <f>_xll.EQNXTDZ($A$1,$B78,AT$5,$B$1)</f>
        <v>64.739999999999995</v>
      </c>
      <c r="AU78" s="55">
        <f>_xll.EQNXTDZ($A$1,$B78,AU$5,$B$1)</f>
        <v>0</v>
      </c>
      <c r="AV78" s="55">
        <f>_xll.EQNXTDZ($A$1,$B78,AV$5,$B$1)</f>
        <v>71.02</v>
      </c>
      <c r="AW78" s="55">
        <f>_xll.EQNXTDZ($A$1,$B78,AW$5,$B$1)</f>
        <v>0</v>
      </c>
      <c r="AX78" s="55">
        <f>_xll.EQNXTDZ($A$1,$B78,AX$5,$B$1)</f>
        <v>73.14</v>
      </c>
      <c r="AY78" s="55">
        <f>_xll.EQNXTDZ($A$1,$B78,AY$5,$B$1)</f>
        <v>0</v>
      </c>
      <c r="AZ78" s="55">
        <f>_xll.EQNXTDZ($A$1,$B78,AZ$5,$B$1)</f>
        <v>94.75</v>
      </c>
      <c r="BA78" s="55">
        <f>_xll.EQNXTDZ($A$1,$B78,BA$5,$B$1)</f>
        <v>0</v>
      </c>
      <c r="BB78" s="55">
        <f>_xll.EQNXTDZ($A$1,$B78,BB$5,$B$1)</f>
        <v>114.66</v>
      </c>
      <c r="BC78" s="55">
        <f>_xll.EQNXTDZ($A$1,$B78,BC$5,$B$1)</f>
        <v>0</v>
      </c>
      <c r="BD78" s="55">
        <f>_xll.EQNXTDZ($A$1,$B78,BD$5,$B$1)</f>
        <v>119.28</v>
      </c>
      <c r="BE78" s="55">
        <f>_xll.EQNXTDZ($A$1,$B78,BE$5,$B$1)</f>
        <v>0</v>
      </c>
      <c r="BF78" s="55">
        <f>_xll.EQNXTDZ($A$1,$B78,BF$5,$B$1)</f>
        <v>126.2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11.22</v>
      </c>
      <c r="E79" s="55">
        <f>_xll.EQNXTDZ($A$1,$B79,E$5,$B$1)</f>
        <v>31.1</v>
      </c>
      <c r="F79" s="55">
        <f>_xll.EQNXTDZ($A$1,$B79,F$5,$B$1)</f>
        <v>778.29</v>
      </c>
      <c r="G79" s="55">
        <f>_xll.EQNXTDZ($A$1,$B79,G$5,$B$1)</f>
        <v>0</v>
      </c>
      <c r="H79" s="55">
        <f>_xll.EQNXTDZ($A$1,$B79,H$5,$B$1)</f>
        <v>789.43</v>
      </c>
      <c r="I79" s="55">
        <f>_xll.EQNXTDZ($A$1,$B79,I$5,$B$1)</f>
        <v>0</v>
      </c>
      <c r="J79" s="55">
        <f>_xll.EQNXTDZ($A$1,$B79,J$5,$B$1)</f>
        <v>678.09</v>
      </c>
      <c r="K79" s="55">
        <f>_xll.EQNXTDZ($A$1,$B79,K$5,$B$1)</f>
        <v>0</v>
      </c>
      <c r="L79" s="55">
        <f>_xll.EQNXTDZ($A$1,$B79,L$5,$B$1)</f>
        <v>538.03</v>
      </c>
      <c r="M79" s="55">
        <f>_xll.EQNXTDZ($A$1,$B79,M$5,$B$1)</f>
        <v>0</v>
      </c>
      <c r="N79" s="55">
        <f>_xll.EQNXTDZ($A$1,$B79,N$5,$B$1)</f>
        <v>1403.71</v>
      </c>
      <c r="O79" s="55">
        <f>_xll.EQNXTDZ($A$1,$B79,O$5,$B$1)</f>
        <v>0</v>
      </c>
      <c r="P79" s="55">
        <f>_xll.EQNXTDZ($A$1,$B79,P$5,$B$1)</f>
        <v>1383.46</v>
      </c>
      <c r="Q79" s="55">
        <f>_xll.EQNXTDZ($A$1,$B79,Q$5,$B$1)</f>
        <v>0</v>
      </c>
      <c r="R79" s="55">
        <f>_xll.EQNXTDZ($A$1,$B79,R$5,$B$1)</f>
        <v>16737</v>
      </c>
      <c r="S79" s="55">
        <f>_xll.EQNXTDZ($A$1,$B79,S$5,$B$1)</f>
        <v>0</v>
      </c>
      <c r="T79" s="55">
        <f>_xll.EQNXTDZ($A$1,$B79,T$5,$B$1)</f>
        <v>9403.9</v>
      </c>
      <c r="U79" s="55">
        <f>_xll.EQNXTDZ($A$1,$B79,U$5,$B$1)</f>
        <v>0</v>
      </c>
      <c r="V79" s="55">
        <f>_xll.EQNXTDZ($A$1,$B79,V$5,$B$1)</f>
        <v>6564.61</v>
      </c>
      <c r="W79" s="55">
        <f>_xll.EQNXTDZ($A$1,$B79,W$5,$B$1)</f>
        <v>0</v>
      </c>
      <c r="X79" s="55">
        <f>_xll.EQNXTDZ($A$1,$B79,X$5,$B$1)</f>
        <v>3854.63</v>
      </c>
      <c r="Y79" s="55">
        <f>_xll.EQNXTDZ($A$1,$B79,Y$5,$B$1)</f>
        <v>0</v>
      </c>
      <c r="Z79" s="55">
        <f>_xll.EQNXTDZ($A$1,$B79,Z$5,$B$1)</f>
        <v>24419.64</v>
      </c>
      <c r="AA79" s="55">
        <f>_xll.EQNXTDZ($A$1,$B79,AA$5,$B$1)</f>
        <v>0</v>
      </c>
      <c r="AB79" s="55">
        <f>_xll.EQNXTDZ($A$1,$B79,AB$5,$B$1)</f>
        <v>26777.01</v>
      </c>
      <c r="AC79" s="55">
        <f>_xll.EQNXTDZ($A$1,$B79,AC$5,$B$1)</f>
        <v>0</v>
      </c>
      <c r="AD79" s="55">
        <f>_xll.EQNXTDZ($A$1,$B79,AD$5,$B$1)</f>
        <v>26872.69</v>
      </c>
      <c r="AE79" s="55">
        <f>_xll.EQNXTDZ($A$1,$B79,AE$5,$B$1)</f>
        <v>0</v>
      </c>
      <c r="AF79" s="55">
        <f>_xll.EQNXTDZ($A$1,$B79,AF$5,$B$1)</f>
        <v>34815.9</v>
      </c>
      <c r="AG79" s="55">
        <f>_xll.EQNXTDZ($A$1,$B79,AG$5,$B$1)</f>
        <v>0</v>
      </c>
      <c r="AH79" s="55">
        <f>_xll.EQNXTDZ($A$1,$B79,AH$5,$B$1)</f>
        <v>41576.67</v>
      </c>
      <c r="AI79" s="55">
        <f>_xll.EQNXTDZ($A$1,$B79,AI$5,$B$1)</f>
        <v>0</v>
      </c>
      <c r="AJ79" s="55">
        <f>_xll.EQNXTDZ($A$1,$B79,AJ$5,$B$1)</f>
        <v>35485.42</v>
      </c>
      <c r="AK79" s="55">
        <f>_xll.EQNXTDZ($A$1,$B79,AK$5,$B$1)</f>
        <v>0</v>
      </c>
      <c r="AL79" s="55">
        <f>_xll.EQNXTDZ($A$1,$B79,AL$5,$B$1)</f>
        <v>34810.69</v>
      </c>
      <c r="AM79" s="55">
        <f>_xll.EQNXTDZ($A$1,$B79,AM$5,$B$1)</f>
        <v>0</v>
      </c>
      <c r="AN79" s="55">
        <f>_xll.EQNXTDZ($A$1,$B79,AN$5,$B$1)</f>
        <v>36850.629999999997</v>
      </c>
      <c r="AO79" s="55">
        <f>_xll.EQNXTDZ($A$1,$B79,AO$5,$B$1)</f>
        <v>0</v>
      </c>
      <c r="AP79" s="55">
        <f>_xll.EQNXTDZ($A$1,$B79,AP$5,$B$1)</f>
        <v>38482.050000000003</v>
      </c>
      <c r="AQ79" s="55">
        <f>_xll.EQNXTDZ($A$1,$B79,AQ$5,$B$1)</f>
        <v>0</v>
      </c>
      <c r="AR79" s="55">
        <f>_xll.EQNXTDZ($A$1,$B79,AR$5,$B$1)</f>
        <v>30722.63</v>
      </c>
      <c r="AS79" s="55">
        <f>_xll.EQNXTDZ($A$1,$B79,AS$5,$B$1)</f>
        <v>0</v>
      </c>
      <c r="AT79" s="55">
        <f>_xll.EQNXTDZ($A$1,$B79,AT$5,$B$1)</f>
        <v>25332.69</v>
      </c>
      <c r="AU79" s="55">
        <f>_xll.EQNXTDZ($A$1,$B79,AU$5,$B$1)</f>
        <v>0</v>
      </c>
      <c r="AV79" s="55">
        <f>_xll.EQNXTDZ($A$1,$B79,AV$5,$B$1)</f>
        <v>17752.63</v>
      </c>
      <c r="AW79" s="55">
        <f>_xll.EQNXTDZ($A$1,$B79,AW$5,$B$1)</f>
        <v>0</v>
      </c>
      <c r="AX79" s="55">
        <f>_xll.EQNXTDZ($A$1,$B79,AX$5,$B$1)</f>
        <v>17625.330000000002</v>
      </c>
      <c r="AY79" s="55">
        <f>_xll.EQNXTDZ($A$1,$B79,AY$5,$B$1)</f>
        <v>0</v>
      </c>
      <c r="AZ79" s="55">
        <f>_xll.EQNXTDZ($A$1,$B79,AZ$5,$B$1)</f>
        <v>16110.55</v>
      </c>
      <c r="BA79" s="55">
        <f>_xll.EQNXTDZ($A$1,$B79,BA$5,$B$1)</f>
        <v>0</v>
      </c>
      <c r="BB79" s="55">
        <f>_xll.EQNXTDZ($A$1,$B79,BB$5,$B$1)</f>
        <v>16752.46</v>
      </c>
      <c r="BC79" s="55">
        <f>_xll.EQNXTDZ($A$1,$B79,BC$5,$B$1)</f>
        <v>0</v>
      </c>
      <c r="BD79" s="55">
        <f>_xll.EQNXTDZ($A$1,$B79,BD$5,$B$1)</f>
        <v>17777.54</v>
      </c>
      <c r="BE79" s="55">
        <f>_xll.EQNXTDZ($A$1,$B79,BE$5,$B$1)</f>
        <v>0</v>
      </c>
      <c r="BF79" s="55">
        <f>_xll.EQNXTDZ($A$1,$B79,BF$5,$B$1)</f>
        <v>19705.82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839.57</v>
      </c>
      <c r="E80" s="55">
        <f>_xll.EQNXTDZ($A$1,$B80,E$5,$B$1)</f>
        <v>1681.74</v>
      </c>
      <c r="F80" s="55">
        <f>_xll.EQNXTDZ($A$1,$B80,F$5,$B$1)</f>
        <v>760.29</v>
      </c>
      <c r="G80" s="55">
        <f>_xll.EQNXTDZ($A$1,$B80,G$5,$B$1)</f>
        <v>0</v>
      </c>
      <c r="H80" s="55">
        <f>_xll.EQNXTDZ($A$1,$B80,H$5,$B$1)</f>
        <v>1494.79</v>
      </c>
      <c r="I80" s="55">
        <f>_xll.EQNXTDZ($A$1,$B80,I$5,$B$1)</f>
        <v>0</v>
      </c>
      <c r="J80" s="55">
        <f>_xll.EQNXTDZ($A$1,$B80,J$5,$B$1)</f>
        <v>2668.4</v>
      </c>
      <c r="K80" s="55">
        <f>_xll.EQNXTDZ($A$1,$B80,K$5,$B$1)</f>
        <v>0</v>
      </c>
      <c r="L80" s="55">
        <f>_xll.EQNXTDZ($A$1,$B80,L$5,$B$1)</f>
        <v>5275.19</v>
      </c>
      <c r="M80" s="55">
        <f>_xll.EQNXTDZ($A$1,$B80,M$5,$B$1)</f>
        <v>0</v>
      </c>
      <c r="N80" s="55">
        <f>_xll.EQNXTDZ($A$1,$B80,N$5,$B$1)</f>
        <v>1374.62</v>
      </c>
      <c r="O80" s="55">
        <f>_xll.EQNXTDZ($A$1,$B80,O$5,$B$1)</f>
        <v>0</v>
      </c>
      <c r="P80" s="55">
        <f>_xll.EQNXTDZ($A$1,$B80,P$5,$B$1)</f>
        <v>1774.02</v>
      </c>
      <c r="Q80" s="55">
        <f>_xll.EQNXTDZ($A$1,$B80,Q$5,$B$1)</f>
        <v>0</v>
      </c>
      <c r="R80" s="55">
        <f>_xll.EQNXTDZ($A$1,$B80,R$5,$B$1)</f>
        <v>4663.55</v>
      </c>
      <c r="S80" s="55">
        <f>_xll.EQNXTDZ($A$1,$B80,S$5,$B$1)</f>
        <v>0</v>
      </c>
      <c r="T80" s="55">
        <f>_xll.EQNXTDZ($A$1,$B80,T$5,$B$1)</f>
        <v>5109.71</v>
      </c>
      <c r="U80" s="55">
        <f>_xll.EQNXTDZ($A$1,$B80,U$5,$B$1)</f>
        <v>0</v>
      </c>
      <c r="V80" s="55">
        <f>_xll.EQNXTDZ($A$1,$B80,V$5,$B$1)</f>
        <v>5673.13</v>
      </c>
      <c r="W80" s="55">
        <f>_xll.EQNXTDZ($A$1,$B80,W$5,$B$1)</f>
        <v>0</v>
      </c>
      <c r="X80" s="55">
        <f>_xll.EQNXTDZ($A$1,$B80,X$5,$B$1)</f>
        <v>9142.69</v>
      </c>
      <c r="Y80" s="55">
        <f>_xll.EQNXTDZ($A$1,$B80,Y$5,$B$1)</f>
        <v>0</v>
      </c>
      <c r="Z80" s="55">
        <f>_xll.EQNXTDZ($A$1,$B80,Z$5,$B$1)</f>
        <v>14908.97</v>
      </c>
      <c r="AA80" s="55">
        <f>_xll.EQNXTDZ($A$1,$B80,AA$5,$B$1)</f>
        <v>0</v>
      </c>
      <c r="AB80" s="55">
        <f>_xll.EQNXTDZ($A$1,$B80,AB$5,$B$1)</f>
        <v>7958.54</v>
      </c>
      <c r="AC80" s="55">
        <f>_xll.EQNXTDZ($A$1,$B80,AC$5,$B$1)</f>
        <v>0</v>
      </c>
      <c r="AD80" s="55">
        <f>_xll.EQNXTDZ($A$1,$B80,AD$5,$B$1)</f>
        <v>2524.86</v>
      </c>
      <c r="AE80" s="55">
        <f>_xll.EQNXTDZ($A$1,$B80,AE$5,$B$1)</f>
        <v>0</v>
      </c>
      <c r="AF80" s="55">
        <f>_xll.EQNXTDZ($A$1,$B80,AF$5,$B$1)</f>
        <v>816.6</v>
      </c>
      <c r="AG80" s="55">
        <f>_xll.EQNXTDZ($A$1,$B80,AG$5,$B$1)</f>
        <v>0</v>
      </c>
      <c r="AH80" s="55">
        <f>_xll.EQNXTDZ($A$1,$B80,AH$5,$B$1)</f>
        <v>3431.87</v>
      </c>
      <c r="AI80" s="55">
        <f>_xll.EQNXTDZ($A$1,$B80,AI$5,$B$1)</f>
        <v>0</v>
      </c>
      <c r="AJ80" s="55">
        <f>_xll.EQNXTDZ($A$1,$B80,AJ$5,$B$1)</f>
        <v>7991.02</v>
      </c>
      <c r="AK80" s="55">
        <f>_xll.EQNXTDZ($A$1,$B80,AK$5,$B$1)</f>
        <v>0</v>
      </c>
      <c r="AL80" s="55">
        <f>_xll.EQNXTDZ($A$1,$B80,AL$5,$B$1)</f>
        <v>7218.89</v>
      </c>
      <c r="AM80" s="55">
        <f>_xll.EQNXTDZ($A$1,$B80,AM$5,$B$1)</f>
        <v>0</v>
      </c>
      <c r="AN80" s="55">
        <f>_xll.EQNXTDZ($A$1,$B80,AN$5,$B$1)</f>
        <v>3401.61</v>
      </c>
      <c r="AO80" s="55">
        <f>_xll.EQNXTDZ($A$1,$B80,AO$5,$B$1)</f>
        <v>0</v>
      </c>
      <c r="AP80" s="55">
        <f>_xll.EQNXTDZ($A$1,$B80,AP$5,$B$1)</f>
        <v>8524.42</v>
      </c>
      <c r="AQ80" s="55">
        <f>_xll.EQNXTDZ($A$1,$B80,AQ$5,$B$1)</f>
        <v>0</v>
      </c>
      <c r="AR80" s="55">
        <f>_xll.EQNXTDZ($A$1,$B80,AR$5,$B$1)</f>
        <v>4479</v>
      </c>
      <c r="AS80" s="55">
        <f>_xll.EQNXTDZ($A$1,$B80,AS$5,$B$1)</f>
        <v>0</v>
      </c>
      <c r="AT80" s="55">
        <f>_xll.EQNXTDZ($A$1,$B80,AT$5,$B$1)</f>
        <v>3630.06</v>
      </c>
      <c r="AU80" s="55">
        <f>_xll.EQNXTDZ($A$1,$B80,AU$5,$B$1)</f>
        <v>0</v>
      </c>
      <c r="AV80" s="55">
        <f>_xll.EQNXTDZ($A$1,$B80,AV$5,$B$1)</f>
        <v>2657.95</v>
      </c>
      <c r="AW80" s="55">
        <f>_xll.EQNXTDZ($A$1,$B80,AW$5,$B$1)</f>
        <v>0</v>
      </c>
      <c r="AX80" s="55">
        <f>_xll.EQNXTDZ($A$1,$B80,AX$5,$B$1)</f>
        <v>731.23</v>
      </c>
      <c r="AY80" s="55">
        <f>_xll.EQNXTDZ($A$1,$B80,AY$5,$B$1)</f>
        <v>0</v>
      </c>
      <c r="AZ80" s="55">
        <f>_xll.EQNXTDZ($A$1,$B80,AZ$5,$B$1)</f>
        <v>504.51</v>
      </c>
      <c r="BA80" s="55">
        <f>_xll.EQNXTDZ($A$1,$B80,BA$5,$B$1)</f>
        <v>0</v>
      </c>
      <c r="BB80" s="55">
        <f>_xll.EQNXTDZ($A$1,$B80,BB$5,$B$1)</f>
        <v>442.65</v>
      </c>
      <c r="BC80" s="55">
        <f>_xll.EQNXTDZ($A$1,$B80,BC$5,$B$1)</f>
        <v>0</v>
      </c>
      <c r="BD80" s="55">
        <f>_xll.EQNXTDZ($A$1,$B80,BD$5,$B$1)</f>
        <v>828.02</v>
      </c>
      <c r="BE80" s="55">
        <f>_xll.EQNXTDZ($A$1,$B80,BE$5,$B$1)</f>
        <v>0</v>
      </c>
      <c r="BF80" s="55">
        <f>_xll.EQNXTDZ($A$1,$B80,BF$5,$B$1)</f>
        <v>1003.54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27373.66</v>
      </c>
      <c r="E81" s="55">
        <f>_xll.EQNXTDZ($A$1,$B81,E$5,$B$1)</f>
        <v>27738.45</v>
      </c>
      <c r="F81" s="55">
        <f>_xll.EQNXTDZ($A$1,$B81,F$5,$B$1)</f>
        <v>24091.19</v>
      </c>
      <c r="G81" s="55">
        <f>_xll.EQNXTDZ($A$1,$B81,G$5,$B$1)</f>
        <v>0</v>
      </c>
      <c r="H81" s="55">
        <f>_xll.EQNXTDZ($A$1,$B81,H$5,$B$1)</f>
        <v>29422.36</v>
      </c>
      <c r="I81" s="55">
        <f>_xll.EQNXTDZ($A$1,$B81,I$5,$B$1)</f>
        <v>0</v>
      </c>
      <c r="J81" s="55">
        <f>_xll.EQNXTDZ($A$1,$B81,J$5,$B$1)</f>
        <v>26880</v>
      </c>
      <c r="K81" s="55">
        <f>_xll.EQNXTDZ($A$1,$B81,K$5,$B$1)</f>
        <v>0</v>
      </c>
      <c r="L81" s="55">
        <f>_xll.EQNXTDZ($A$1,$B81,L$5,$B$1)</f>
        <v>27965.88</v>
      </c>
      <c r="M81" s="55">
        <f>_xll.EQNXTDZ($A$1,$B81,M$5,$B$1)</f>
        <v>0</v>
      </c>
      <c r="N81" s="55">
        <f>_xll.EQNXTDZ($A$1,$B81,N$5,$B$1)</f>
        <v>25149.91</v>
      </c>
      <c r="O81" s="55">
        <f>_xll.EQNXTDZ($A$1,$B81,O$5,$B$1)</f>
        <v>0</v>
      </c>
      <c r="P81" s="55">
        <f>_xll.EQNXTDZ($A$1,$B81,P$5,$B$1)</f>
        <v>25649.5</v>
      </c>
      <c r="Q81" s="55">
        <f>_xll.EQNXTDZ($A$1,$B81,Q$5,$B$1)</f>
        <v>0</v>
      </c>
      <c r="R81" s="55">
        <f>_xll.EQNXTDZ($A$1,$B81,R$5,$B$1)</f>
        <v>20013.330000000002</v>
      </c>
      <c r="S81" s="55">
        <f>_xll.EQNXTDZ($A$1,$B81,S$5,$B$1)</f>
        <v>0</v>
      </c>
      <c r="T81" s="55">
        <f>_xll.EQNXTDZ($A$1,$B81,T$5,$B$1)</f>
        <v>22280.59</v>
      </c>
      <c r="U81" s="55">
        <f>_xll.EQNXTDZ($A$1,$B81,U$5,$B$1)</f>
        <v>0</v>
      </c>
      <c r="V81" s="55">
        <f>_xll.EQNXTDZ($A$1,$B81,V$5,$B$1)</f>
        <v>24803.82</v>
      </c>
      <c r="W81" s="55">
        <f>_xll.EQNXTDZ($A$1,$B81,W$5,$B$1)</f>
        <v>0</v>
      </c>
      <c r="X81" s="55">
        <f>_xll.EQNXTDZ($A$1,$B81,X$5,$B$1)</f>
        <v>26548.81</v>
      </c>
      <c r="Y81" s="55">
        <f>_xll.EQNXTDZ($A$1,$B81,Y$5,$B$1)</f>
        <v>0</v>
      </c>
      <c r="Z81" s="55">
        <f>_xll.EQNXTDZ($A$1,$B81,Z$5,$B$1)</f>
        <v>28331.040000000001</v>
      </c>
      <c r="AA81" s="55">
        <f>_xll.EQNXTDZ($A$1,$B81,AA$5,$B$1)</f>
        <v>0</v>
      </c>
      <c r="AB81" s="55">
        <f>_xll.EQNXTDZ($A$1,$B81,AB$5,$B$1)</f>
        <v>35852.480000000003</v>
      </c>
      <c r="AC81" s="55">
        <f>_xll.EQNXTDZ($A$1,$B81,AC$5,$B$1)</f>
        <v>0</v>
      </c>
      <c r="AD81" s="55">
        <f>_xll.EQNXTDZ($A$1,$B81,AD$5,$B$1)</f>
        <v>31656.1</v>
      </c>
      <c r="AE81" s="55">
        <f>_xll.EQNXTDZ($A$1,$B81,AE$5,$B$1)</f>
        <v>0</v>
      </c>
      <c r="AF81" s="55">
        <f>_xll.EQNXTDZ($A$1,$B81,AF$5,$B$1)</f>
        <v>34069.74</v>
      </c>
      <c r="AG81" s="55">
        <f>_xll.EQNXTDZ($A$1,$B81,AG$5,$B$1)</f>
        <v>0</v>
      </c>
      <c r="AH81" s="55">
        <f>_xll.EQNXTDZ($A$1,$B81,AH$5,$B$1)</f>
        <v>31068.720000000001</v>
      </c>
      <c r="AI81" s="55">
        <f>_xll.EQNXTDZ($A$1,$B81,AI$5,$B$1)</f>
        <v>0</v>
      </c>
      <c r="AJ81" s="55">
        <f>_xll.EQNXTDZ($A$1,$B81,AJ$5,$B$1)</f>
        <v>26700.18</v>
      </c>
      <c r="AK81" s="55">
        <f>_xll.EQNXTDZ($A$1,$B81,AK$5,$B$1)</f>
        <v>0</v>
      </c>
      <c r="AL81" s="55">
        <f>_xll.EQNXTDZ($A$1,$B81,AL$5,$B$1)</f>
        <v>33276.379999999997</v>
      </c>
      <c r="AM81" s="55">
        <f>_xll.EQNXTDZ($A$1,$B81,AM$5,$B$1)</f>
        <v>0</v>
      </c>
      <c r="AN81" s="55">
        <f>_xll.EQNXTDZ($A$1,$B81,AN$5,$B$1)</f>
        <v>43042.19</v>
      </c>
      <c r="AO81" s="55">
        <f>_xll.EQNXTDZ($A$1,$B81,AO$5,$B$1)</f>
        <v>0</v>
      </c>
      <c r="AP81" s="55">
        <f>_xll.EQNXTDZ($A$1,$B81,AP$5,$B$1)</f>
        <v>48824.39</v>
      </c>
      <c r="AQ81" s="55">
        <f>_xll.EQNXTDZ($A$1,$B81,AQ$5,$B$1)</f>
        <v>0</v>
      </c>
      <c r="AR81" s="55">
        <f>_xll.EQNXTDZ($A$1,$B81,AR$5,$B$1)</f>
        <v>57581.81</v>
      </c>
      <c r="AS81" s="55">
        <f>_xll.EQNXTDZ($A$1,$B81,AS$5,$B$1)</f>
        <v>0</v>
      </c>
      <c r="AT81" s="55">
        <f>_xll.EQNXTDZ($A$1,$B81,AT$5,$B$1)</f>
        <v>54415.33</v>
      </c>
      <c r="AU81" s="55">
        <f>_xll.EQNXTDZ($A$1,$B81,AU$5,$B$1)</f>
        <v>0</v>
      </c>
      <c r="AV81" s="55">
        <f>_xll.EQNXTDZ($A$1,$B81,AV$5,$B$1)</f>
        <v>49170.83</v>
      </c>
      <c r="AW81" s="55">
        <f>_xll.EQNXTDZ($A$1,$B81,AW$5,$B$1)</f>
        <v>0</v>
      </c>
      <c r="AX81" s="55">
        <f>_xll.EQNXTDZ($A$1,$B81,AX$5,$B$1)</f>
        <v>49157.51</v>
      </c>
      <c r="AY81" s="55">
        <f>_xll.EQNXTDZ($A$1,$B81,AY$5,$B$1)</f>
        <v>0</v>
      </c>
      <c r="AZ81" s="55">
        <f>_xll.EQNXTDZ($A$1,$B81,AZ$5,$B$1)</f>
        <v>51171.94</v>
      </c>
      <c r="BA81" s="55">
        <f>_xll.EQNXTDZ($A$1,$B81,BA$5,$B$1)</f>
        <v>0</v>
      </c>
      <c r="BB81" s="55">
        <f>_xll.EQNXTDZ($A$1,$B81,BB$5,$B$1)</f>
        <v>44589.94</v>
      </c>
      <c r="BC81" s="55">
        <f>_xll.EQNXTDZ($A$1,$B81,BC$5,$B$1)</f>
        <v>0</v>
      </c>
      <c r="BD81" s="55">
        <f>_xll.EQNXTDZ($A$1,$B81,BD$5,$B$1)</f>
        <v>45589.37</v>
      </c>
      <c r="BE81" s="55">
        <f>_xll.EQNXTDZ($A$1,$B81,BE$5,$B$1)</f>
        <v>0</v>
      </c>
      <c r="BF81" s="55">
        <f>_xll.EQNXTDZ($A$1,$B81,BF$5,$B$1)</f>
        <v>47249.22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14546.67</v>
      </c>
      <c r="E82" s="55">
        <f>_xll.EQNXTDZ($A$1,$B82,E$5,$B$1)</f>
        <v>13594.32</v>
      </c>
      <c r="F82" s="55">
        <f>_xll.EQNXTDZ($A$1,$B82,F$5,$B$1)</f>
        <v>13993.96</v>
      </c>
      <c r="G82" s="55">
        <f>_xll.EQNXTDZ($A$1,$B82,G$5,$B$1)</f>
        <v>0</v>
      </c>
      <c r="H82" s="55">
        <f>_xll.EQNXTDZ($A$1,$B82,H$5,$B$1)</f>
        <v>14955.51</v>
      </c>
      <c r="I82" s="55">
        <f>_xll.EQNXTDZ($A$1,$B82,I$5,$B$1)</f>
        <v>0</v>
      </c>
      <c r="J82" s="55">
        <f>_xll.EQNXTDZ($A$1,$B82,J$5,$B$1)</f>
        <v>16005.77</v>
      </c>
      <c r="K82" s="55">
        <f>_xll.EQNXTDZ($A$1,$B82,K$5,$B$1)</f>
        <v>0</v>
      </c>
      <c r="L82" s="55">
        <f>_xll.EQNXTDZ($A$1,$B82,L$5,$B$1)</f>
        <v>13314.96</v>
      </c>
      <c r="M82" s="55">
        <f>_xll.EQNXTDZ($A$1,$B82,M$5,$B$1)</f>
        <v>0</v>
      </c>
      <c r="N82" s="55">
        <f>_xll.EQNXTDZ($A$1,$B82,N$5,$B$1)</f>
        <v>13309.87</v>
      </c>
      <c r="O82" s="55">
        <f>_xll.EQNXTDZ($A$1,$B82,O$5,$B$1)</f>
        <v>0</v>
      </c>
      <c r="P82" s="55">
        <f>_xll.EQNXTDZ($A$1,$B82,P$5,$B$1)</f>
        <v>13142.96</v>
      </c>
      <c r="Q82" s="55">
        <f>_xll.EQNXTDZ($A$1,$B82,Q$5,$B$1)</f>
        <v>0</v>
      </c>
      <c r="R82" s="55">
        <f>_xll.EQNXTDZ($A$1,$B82,R$5,$B$1)</f>
        <v>12066.22</v>
      </c>
      <c r="S82" s="55">
        <f>_xll.EQNXTDZ($A$1,$B82,S$5,$B$1)</f>
        <v>0</v>
      </c>
      <c r="T82" s="55">
        <f>_xll.EQNXTDZ($A$1,$B82,T$5,$B$1)</f>
        <v>9690.74</v>
      </c>
      <c r="U82" s="55">
        <f>_xll.EQNXTDZ($A$1,$B82,U$5,$B$1)</f>
        <v>0</v>
      </c>
      <c r="V82" s="55">
        <f>_xll.EQNXTDZ($A$1,$B82,V$5,$B$1)</f>
        <v>11586.82</v>
      </c>
      <c r="W82" s="55">
        <f>_xll.EQNXTDZ($A$1,$B82,W$5,$B$1)</f>
        <v>0</v>
      </c>
      <c r="X82" s="55">
        <f>_xll.EQNXTDZ($A$1,$B82,X$5,$B$1)</f>
        <v>12186.76</v>
      </c>
      <c r="Y82" s="55">
        <f>_xll.EQNXTDZ($A$1,$B82,Y$5,$B$1)</f>
        <v>0</v>
      </c>
      <c r="Z82" s="55">
        <f>_xll.EQNXTDZ($A$1,$B82,Z$5,$B$1)</f>
        <v>12415.52</v>
      </c>
      <c r="AA82" s="55">
        <f>_xll.EQNXTDZ($A$1,$B82,AA$5,$B$1)</f>
        <v>0</v>
      </c>
      <c r="AB82" s="55">
        <f>_xll.EQNXTDZ($A$1,$B82,AB$5,$B$1)</f>
        <v>14694.59</v>
      </c>
      <c r="AC82" s="55">
        <f>_xll.EQNXTDZ($A$1,$B82,AC$5,$B$1)</f>
        <v>0</v>
      </c>
      <c r="AD82" s="55">
        <f>_xll.EQNXTDZ($A$1,$B82,AD$5,$B$1)</f>
        <v>11811</v>
      </c>
      <c r="AE82" s="55">
        <f>_xll.EQNXTDZ($A$1,$B82,AE$5,$B$1)</f>
        <v>0</v>
      </c>
      <c r="AF82" s="55">
        <f>_xll.EQNXTDZ($A$1,$B82,AF$5,$B$1)</f>
        <v>10836.91</v>
      </c>
      <c r="AG82" s="55">
        <f>_xll.EQNXTDZ($A$1,$B82,AG$5,$B$1)</f>
        <v>0</v>
      </c>
      <c r="AH82" s="55">
        <f>_xll.EQNXTDZ($A$1,$B82,AH$5,$B$1)</f>
        <v>7884.91</v>
      </c>
      <c r="AI82" s="55">
        <f>_xll.EQNXTDZ($A$1,$B82,AI$5,$B$1)</f>
        <v>0</v>
      </c>
      <c r="AJ82" s="55">
        <f>_xll.EQNXTDZ($A$1,$B82,AJ$5,$B$1)</f>
        <v>6952.82</v>
      </c>
      <c r="AK82" s="55">
        <f>_xll.EQNXTDZ($A$1,$B82,AK$5,$B$1)</f>
        <v>0</v>
      </c>
      <c r="AL82" s="55">
        <f>_xll.EQNXTDZ($A$1,$B82,AL$5,$B$1)</f>
        <v>9539.84</v>
      </c>
      <c r="AM82" s="55">
        <f>_xll.EQNXTDZ($A$1,$B82,AM$5,$B$1)</f>
        <v>0</v>
      </c>
      <c r="AN82" s="55">
        <f>_xll.EQNXTDZ($A$1,$B82,AN$5,$B$1)</f>
        <v>11651.47</v>
      </c>
      <c r="AO82" s="55">
        <f>_xll.EQNXTDZ($A$1,$B82,AO$5,$B$1)</f>
        <v>0</v>
      </c>
      <c r="AP82" s="55">
        <f>_xll.EQNXTDZ($A$1,$B82,AP$5,$B$1)</f>
        <v>12246.43</v>
      </c>
      <c r="AQ82" s="55">
        <f>_xll.EQNXTDZ($A$1,$B82,AQ$5,$B$1)</f>
        <v>0</v>
      </c>
      <c r="AR82" s="55">
        <f>_xll.EQNXTDZ($A$1,$B82,AR$5,$B$1)</f>
        <v>9251.85</v>
      </c>
      <c r="AS82" s="55">
        <f>_xll.EQNXTDZ($A$1,$B82,AS$5,$B$1)</f>
        <v>0</v>
      </c>
      <c r="AT82" s="55">
        <f>_xll.EQNXTDZ($A$1,$B82,AT$5,$B$1)</f>
        <v>8257.24</v>
      </c>
      <c r="AU82" s="55">
        <f>_xll.EQNXTDZ($A$1,$B82,AU$5,$B$1)</f>
        <v>0</v>
      </c>
      <c r="AV82" s="55">
        <f>_xll.EQNXTDZ($A$1,$B82,AV$5,$B$1)</f>
        <v>6779.68</v>
      </c>
      <c r="AW82" s="55">
        <f>_xll.EQNXTDZ($A$1,$B82,AW$5,$B$1)</f>
        <v>0</v>
      </c>
      <c r="AX82" s="55">
        <f>_xll.EQNXTDZ($A$1,$B82,AX$5,$B$1)</f>
        <v>6263.53</v>
      </c>
      <c r="AY82" s="55">
        <f>_xll.EQNXTDZ($A$1,$B82,AY$5,$B$1)</f>
        <v>0</v>
      </c>
      <c r="AZ82" s="55">
        <f>_xll.EQNXTDZ($A$1,$B82,AZ$5,$B$1)</f>
        <v>6041.19</v>
      </c>
      <c r="BA82" s="55">
        <f>_xll.EQNXTDZ($A$1,$B82,BA$5,$B$1)</f>
        <v>0</v>
      </c>
      <c r="BB82" s="55">
        <f>_xll.EQNXTDZ($A$1,$B82,BB$5,$B$1)</f>
        <v>5260.06</v>
      </c>
      <c r="BC82" s="55">
        <f>_xll.EQNXTDZ($A$1,$B82,BC$5,$B$1)</f>
        <v>0</v>
      </c>
      <c r="BD82" s="55">
        <f>_xll.EQNXTDZ($A$1,$B82,BD$5,$B$1)</f>
        <v>5773.76</v>
      </c>
      <c r="BE82" s="55">
        <f>_xll.EQNXTDZ($A$1,$B82,BE$5,$B$1)</f>
        <v>0</v>
      </c>
      <c r="BF82" s="55">
        <f>_xll.EQNXTDZ($A$1,$B82,BF$5,$B$1)</f>
        <v>4916.8900000000003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8750.7999999999993</v>
      </c>
      <c r="E83" s="55">
        <f>_xll.EQNXTDZ($A$1,$B83,E$5,$B$1)</f>
        <v>5248.13</v>
      </c>
      <c r="F83" s="55">
        <f>_xll.EQNXTDZ($A$1,$B83,F$5,$B$1)</f>
        <v>9833.92</v>
      </c>
      <c r="G83" s="55">
        <f>_xll.EQNXTDZ($A$1,$B83,G$5,$B$1)</f>
        <v>0</v>
      </c>
      <c r="H83" s="55">
        <f>_xll.EQNXTDZ($A$1,$B83,H$5,$B$1)</f>
        <v>11236.57</v>
      </c>
      <c r="I83" s="55">
        <f>_xll.EQNXTDZ($A$1,$B83,I$5,$B$1)</f>
        <v>0</v>
      </c>
      <c r="J83" s="55">
        <f>_xll.EQNXTDZ($A$1,$B83,J$5,$B$1)</f>
        <v>8604.5</v>
      </c>
      <c r="K83" s="55">
        <f>_xll.EQNXTDZ($A$1,$B83,K$5,$B$1)</f>
        <v>0</v>
      </c>
      <c r="L83" s="55">
        <f>_xll.EQNXTDZ($A$1,$B83,L$5,$B$1)</f>
        <v>9087.6299999999992</v>
      </c>
      <c r="M83" s="55">
        <f>_xll.EQNXTDZ($A$1,$B83,M$5,$B$1)</f>
        <v>0</v>
      </c>
      <c r="N83" s="55">
        <f>_xll.EQNXTDZ($A$1,$B83,N$5,$B$1)</f>
        <v>8749.94</v>
      </c>
      <c r="O83" s="55">
        <f>_xll.EQNXTDZ($A$1,$B83,O$5,$B$1)</f>
        <v>0</v>
      </c>
      <c r="P83" s="55">
        <f>_xll.EQNXTDZ($A$1,$B83,P$5,$B$1)</f>
        <v>5364.63</v>
      </c>
      <c r="Q83" s="55">
        <f>_xll.EQNXTDZ($A$1,$B83,Q$5,$B$1)</f>
        <v>0</v>
      </c>
      <c r="R83" s="55">
        <f>_xll.EQNXTDZ($A$1,$B83,R$5,$B$1)</f>
        <v>6186.34</v>
      </c>
      <c r="S83" s="55">
        <f>_xll.EQNXTDZ($A$1,$B83,S$5,$B$1)</f>
        <v>0</v>
      </c>
      <c r="T83" s="55">
        <f>_xll.EQNXTDZ($A$1,$B83,T$5,$B$1)</f>
        <v>3605.03</v>
      </c>
      <c r="U83" s="55">
        <f>_xll.EQNXTDZ($A$1,$B83,U$5,$B$1)</f>
        <v>0</v>
      </c>
      <c r="V83" s="55">
        <f>_xll.EQNXTDZ($A$1,$B83,V$5,$B$1)</f>
        <v>4921.05</v>
      </c>
      <c r="W83" s="55">
        <f>_xll.EQNXTDZ($A$1,$B83,W$5,$B$1)</f>
        <v>0</v>
      </c>
      <c r="X83" s="55">
        <f>_xll.EQNXTDZ($A$1,$B83,X$5,$B$1)</f>
        <v>2794.63</v>
      </c>
      <c r="Y83" s="55">
        <f>_xll.EQNXTDZ($A$1,$B83,Y$5,$B$1)</f>
        <v>0</v>
      </c>
      <c r="Z83" s="55">
        <f>_xll.EQNXTDZ($A$1,$B83,Z$5,$B$1)</f>
        <v>7937.85</v>
      </c>
      <c r="AA83" s="55">
        <f>_xll.EQNXTDZ($A$1,$B83,AA$5,$B$1)</f>
        <v>0</v>
      </c>
      <c r="AB83" s="55">
        <f>_xll.EQNXTDZ($A$1,$B83,AB$5,$B$1)</f>
        <v>6430.44</v>
      </c>
      <c r="AC83" s="55">
        <f>_xll.EQNXTDZ($A$1,$B83,AC$5,$B$1)</f>
        <v>0</v>
      </c>
      <c r="AD83" s="55">
        <f>_xll.EQNXTDZ($A$1,$B83,AD$5,$B$1)</f>
        <v>3341.37</v>
      </c>
      <c r="AE83" s="55">
        <f>_xll.EQNXTDZ($A$1,$B83,AE$5,$B$1)</f>
        <v>0</v>
      </c>
      <c r="AF83" s="55">
        <f>_xll.EQNXTDZ($A$1,$B83,AF$5,$B$1)</f>
        <v>3719.06</v>
      </c>
      <c r="AG83" s="55">
        <f>_xll.EQNXTDZ($A$1,$B83,AG$5,$B$1)</f>
        <v>0</v>
      </c>
      <c r="AH83" s="55">
        <f>_xll.EQNXTDZ($A$1,$B83,AH$5,$B$1)</f>
        <v>8054.72</v>
      </c>
      <c r="AI83" s="55">
        <f>_xll.EQNXTDZ($A$1,$B83,AI$5,$B$1)</f>
        <v>0</v>
      </c>
      <c r="AJ83" s="55">
        <f>_xll.EQNXTDZ($A$1,$B83,AJ$5,$B$1)</f>
        <v>9780.52</v>
      </c>
      <c r="AK83" s="55">
        <f>_xll.EQNXTDZ($A$1,$B83,AK$5,$B$1)</f>
        <v>0</v>
      </c>
      <c r="AL83" s="55">
        <f>_xll.EQNXTDZ($A$1,$B83,AL$5,$B$1)</f>
        <v>5782.18</v>
      </c>
      <c r="AM83" s="55">
        <f>_xll.EQNXTDZ($A$1,$B83,AM$5,$B$1)</f>
        <v>0</v>
      </c>
      <c r="AN83" s="55">
        <f>_xll.EQNXTDZ($A$1,$B83,AN$5,$B$1)</f>
        <v>5822.22</v>
      </c>
      <c r="AO83" s="55">
        <f>_xll.EQNXTDZ($A$1,$B83,AO$5,$B$1)</f>
        <v>0</v>
      </c>
      <c r="AP83" s="55">
        <f>_xll.EQNXTDZ($A$1,$B83,AP$5,$B$1)</f>
        <v>15898.93</v>
      </c>
      <c r="AQ83" s="55">
        <f>_xll.EQNXTDZ($A$1,$B83,AQ$5,$B$1)</f>
        <v>0</v>
      </c>
      <c r="AR83" s="55">
        <f>_xll.EQNXTDZ($A$1,$B83,AR$5,$B$1)</f>
        <v>11202.51</v>
      </c>
      <c r="AS83" s="55">
        <f>_xll.EQNXTDZ($A$1,$B83,AS$5,$B$1)</f>
        <v>0</v>
      </c>
      <c r="AT83" s="55">
        <f>_xll.EQNXTDZ($A$1,$B83,AT$5,$B$1)</f>
        <v>13357.26</v>
      </c>
      <c r="AU83" s="55">
        <f>_xll.EQNXTDZ($A$1,$B83,AU$5,$B$1)</f>
        <v>0</v>
      </c>
      <c r="AV83" s="55">
        <f>_xll.EQNXTDZ($A$1,$B83,AV$5,$B$1)</f>
        <v>9932.19</v>
      </c>
      <c r="AW83" s="55">
        <f>_xll.EQNXTDZ($A$1,$B83,AW$5,$B$1)</f>
        <v>0</v>
      </c>
      <c r="AX83" s="55">
        <f>_xll.EQNXTDZ($A$1,$B83,AX$5,$B$1)</f>
        <v>8677.7199999999993</v>
      </c>
      <c r="AY83" s="55">
        <f>_xll.EQNXTDZ($A$1,$B83,AY$5,$B$1)</f>
        <v>0</v>
      </c>
      <c r="AZ83" s="55">
        <f>_xll.EQNXTDZ($A$1,$B83,AZ$5,$B$1)</f>
        <v>9933.91</v>
      </c>
      <c r="BA83" s="55">
        <f>_xll.EQNXTDZ($A$1,$B83,BA$5,$B$1)</f>
        <v>0</v>
      </c>
      <c r="BB83" s="55">
        <f>_xll.EQNXTDZ($A$1,$B83,BB$5,$B$1)</f>
        <v>11646.98</v>
      </c>
      <c r="BC83" s="55">
        <f>_xll.EQNXTDZ($A$1,$B83,BC$5,$B$1)</f>
        <v>0</v>
      </c>
      <c r="BD83" s="55">
        <f>_xll.EQNXTDZ($A$1,$B83,BD$5,$B$1)</f>
        <v>7657.59</v>
      </c>
      <c r="BE83" s="55">
        <f>_xll.EQNXTDZ($A$1,$B83,BE$5,$B$1)</f>
        <v>0</v>
      </c>
      <c r="BF83" s="55">
        <f>_xll.EQNXTDZ($A$1,$B83,BF$5,$B$1)</f>
        <v>10057.530000000001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119.01</v>
      </c>
      <c r="E84" s="55">
        <f>_xll.EQNXTDZ($A$1,$B84,E$5,$B$1)</f>
        <v>330.82</v>
      </c>
      <c r="F84" s="55">
        <f>_xll.EQNXTDZ($A$1,$B84,F$5,$B$1)</f>
        <v>1484.87</v>
      </c>
      <c r="G84" s="55">
        <f>_xll.EQNXTDZ($A$1,$B84,G$5,$B$1)</f>
        <v>0</v>
      </c>
      <c r="H84" s="55">
        <f>_xll.EQNXTDZ($A$1,$B84,H$5,$B$1)</f>
        <v>573.16</v>
      </c>
      <c r="I84" s="55">
        <f>_xll.EQNXTDZ($A$1,$B84,I$5,$B$1)</f>
        <v>0</v>
      </c>
      <c r="J84" s="55">
        <f>_xll.EQNXTDZ($A$1,$B84,J$5,$B$1)</f>
        <v>637.75</v>
      </c>
      <c r="K84" s="55">
        <f>_xll.EQNXTDZ($A$1,$B84,K$5,$B$1)</f>
        <v>0</v>
      </c>
      <c r="L84" s="55">
        <f>_xll.EQNXTDZ($A$1,$B84,L$5,$B$1)</f>
        <v>536.66</v>
      </c>
      <c r="M84" s="55">
        <f>_xll.EQNXTDZ($A$1,$B84,M$5,$B$1)</f>
        <v>0</v>
      </c>
      <c r="N84" s="55">
        <f>_xll.EQNXTDZ($A$1,$B84,N$5,$B$1)</f>
        <v>407.46</v>
      </c>
      <c r="O84" s="55">
        <f>_xll.EQNXTDZ($A$1,$B84,O$5,$B$1)</f>
        <v>0</v>
      </c>
      <c r="P84" s="55">
        <f>_xll.EQNXTDZ($A$1,$B84,P$5,$B$1)</f>
        <v>328.62</v>
      </c>
      <c r="Q84" s="55">
        <f>_xll.EQNXTDZ($A$1,$B84,Q$5,$B$1)</f>
        <v>0</v>
      </c>
      <c r="R84" s="55">
        <f>_xll.EQNXTDZ($A$1,$B84,R$5,$B$1)</f>
        <v>2862.52</v>
      </c>
      <c r="S84" s="55">
        <f>_xll.EQNXTDZ($A$1,$B84,S$5,$B$1)</f>
        <v>0</v>
      </c>
      <c r="T84" s="55">
        <f>_xll.EQNXTDZ($A$1,$B84,T$5,$B$1)</f>
        <v>3473.04</v>
      </c>
      <c r="U84" s="55">
        <f>_xll.EQNXTDZ($A$1,$B84,U$5,$B$1)</f>
        <v>0</v>
      </c>
      <c r="V84" s="55">
        <f>_xll.EQNXTDZ($A$1,$B84,V$5,$B$1)</f>
        <v>3725.71</v>
      </c>
      <c r="W84" s="55">
        <f>_xll.EQNXTDZ($A$1,$B84,W$5,$B$1)</f>
        <v>0</v>
      </c>
      <c r="X84" s="55">
        <f>_xll.EQNXTDZ($A$1,$B84,X$5,$B$1)</f>
        <v>5106.2700000000004</v>
      </c>
      <c r="Y84" s="55">
        <f>_xll.EQNXTDZ($A$1,$B84,Y$5,$B$1)</f>
        <v>0</v>
      </c>
      <c r="Z84" s="55">
        <f>_xll.EQNXTDZ($A$1,$B84,Z$5,$B$1)</f>
        <v>4027.3</v>
      </c>
      <c r="AA84" s="55">
        <f>_xll.EQNXTDZ($A$1,$B84,AA$5,$B$1)</f>
        <v>0</v>
      </c>
      <c r="AB84" s="55">
        <f>_xll.EQNXTDZ($A$1,$B84,AB$5,$B$1)</f>
        <v>5645.89</v>
      </c>
      <c r="AC84" s="55">
        <f>_xll.EQNXTDZ($A$1,$B84,AC$5,$B$1)</f>
        <v>0</v>
      </c>
      <c r="AD84" s="55">
        <f>_xll.EQNXTDZ($A$1,$B84,AD$5,$B$1)</f>
        <v>9417.9500000000007</v>
      </c>
      <c r="AE84" s="55">
        <f>_xll.EQNXTDZ($A$1,$B84,AE$5,$B$1)</f>
        <v>0</v>
      </c>
      <c r="AF84" s="55">
        <f>_xll.EQNXTDZ($A$1,$B84,AF$5,$B$1)</f>
        <v>8911.3799999999992</v>
      </c>
      <c r="AG84" s="55">
        <f>_xll.EQNXTDZ($A$1,$B84,AG$5,$B$1)</f>
        <v>0</v>
      </c>
      <c r="AH84" s="55">
        <f>_xll.EQNXTDZ($A$1,$B84,AH$5,$B$1)</f>
        <v>8076.82</v>
      </c>
      <c r="AI84" s="55">
        <f>_xll.EQNXTDZ($A$1,$B84,AI$5,$B$1)</f>
        <v>0</v>
      </c>
      <c r="AJ84" s="55">
        <f>_xll.EQNXTDZ($A$1,$B84,AJ$5,$B$1)</f>
        <v>7432.92</v>
      </c>
      <c r="AK84" s="55">
        <f>_xll.EQNXTDZ($A$1,$B84,AK$5,$B$1)</f>
        <v>0</v>
      </c>
      <c r="AL84" s="55">
        <f>_xll.EQNXTDZ($A$1,$B84,AL$5,$B$1)</f>
        <v>4389.0200000000004</v>
      </c>
      <c r="AM84" s="55">
        <f>_xll.EQNXTDZ($A$1,$B84,AM$5,$B$1)</f>
        <v>0</v>
      </c>
      <c r="AN84" s="55">
        <f>_xll.EQNXTDZ($A$1,$B84,AN$5,$B$1)</f>
        <v>5118</v>
      </c>
      <c r="AO84" s="55">
        <f>_xll.EQNXTDZ($A$1,$B84,AO$5,$B$1)</f>
        <v>0</v>
      </c>
      <c r="AP84" s="55">
        <f>_xll.EQNXTDZ($A$1,$B84,AP$5,$B$1)</f>
        <v>6756.06</v>
      </c>
      <c r="AQ84" s="55">
        <f>_xll.EQNXTDZ($A$1,$B84,AQ$5,$B$1)</f>
        <v>0</v>
      </c>
      <c r="AR84" s="55">
        <f>_xll.EQNXTDZ($A$1,$B84,AR$5,$B$1)</f>
        <v>8337.33</v>
      </c>
      <c r="AS84" s="55">
        <f>_xll.EQNXTDZ($A$1,$B84,AS$5,$B$1)</f>
        <v>0</v>
      </c>
      <c r="AT84" s="55">
        <f>_xll.EQNXTDZ($A$1,$B84,AT$5,$B$1)</f>
        <v>6944.41</v>
      </c>
      <c r="AU84" s="55">
        <f>_xll.EQNXTDZ($A$1,$B84,AU$5,$B$1)</f>
        <v>0</v>
      </c>
      <c r="AV84" s="55">
        <f>_xll.EQNXTDZ($A$1,$B84,AV$5,$B$1)</f>
        <v>6351.33</v>
      </c>
      <c r="AW84" s="55">
        <f>_xll.EQNXTDZ($A$1,$B84,AW$5,$B$1)</f>
        <v>0</v>
      </c>
      <c r="AX84" s="55">
        <f>_xll.EQNXTDZ($A$1,$B84,AX$5,$B$1)</f>
        <v>5672</v>
      </c>
      <c r="AY84" s="55">
        <f>_xll.EQNXTDZ($A$1,$B84,AY$5,$B$1)</f>
        <v>0</v>
      </c>
      <c r="AZ84" s="55">
        <f>_xll.EQNXTDZ($A$1,$B84,AZ$5,$B$1)</f>
        <v>6321.85</v>
      </c>
      <c r="BA84" s="55">
        <f>_xll.EQNXTDZ($A$1,$B84,BA$5,$B$1)</f>
        <v>0</v>
      </c>
      <c r="BB84" s="55">
        <f>_xll.EQNXTDZ($A$1,$B84,BB$5,$B$1)</f>
        <v>6446.93</v>
      </c>
      <c r="BC84" s="55">
        <f>_xll.EQNXTDZ($A$1,$B84,BC$5,$B$1)</f>
        <v>0</v>
      </c>
      <c r="BD84" s="55">
        <f>_xll.EQNXTDZ($A$1,$B84,BD$5,$B$1)</f>
        <v>6768.91</v>
      </c>
      <c r="BE84" s="55">
        <f>_xll.EQNXTDZ($A$1,$B84,BE$5,$B$1)</f>
        <v>0</v>
      </c>
      <c r="BF84" s="55">
        <f>_xll.EQNXTDZ($A$1,$B84,BF$5,$B$1)</f>
        <v>9034.58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3952.48</v>
      </c>
      <c r="E85" s="55">
        <f>_xll.EQNXTDZ($A$1,$B85,E$5,$B$1)</f>
        <v>3849.1</v>
      </c>
      <c r="F85" s="55">
        <f>_xll.EQNXTDZ($A$1,$B85,F$5,$B$1)</f>
        <v>4060.54</v>
      </c>
      <c r="G85" s="55">
        <f>_xll.EQNXTDZ($A$1,$B85,G$5,$B$1)</f>
        <v>0</v>
      </c>
      <c r="H85" s="55">
        <f>_xll.EQNXTDZ($A$1,$B85,H$5,$B$1)</f>
        <v>3814.85</v>
      </c>
      <c r="I85" s="55">
        <f>_xll.EQNXTDZ($A$1,$B85,I$5,$B$1)</f>
        <v>0</v>
      </c>
      <c r="J85" s="55">
        <f>_xll.EQNXTDZ($A$1,$B85,J$5,$B$1)</f>
        <v>3192.99</v>
      </c>
      <c r="K85" s="55">
        <f>_xll.EQNXTDZ($A$1,$B85,K$5,$B$1)</f>
        <v>0</v>
      </c>
      <c r="L85" s="55">
        <f>_xll.EQNXTDZ($A$1,$B85,L$5,$B$1)</f>
        <v>5005.08</v>
      </c>
      <c r="M85" s="55">
        <f>_xll.EQNXTDZ($A$1,$B85,M$5,$B$1)</f>
        <v>0</v>
      </c>
      <c r="N85" s="55">
        <f>_xll.EQNXTDZ($A$1,$B85,N$5,$B$1)</f>
        <v>4748.34</v>
      </c>
      <c r="O85" s="55">
        <f>_xll.EQNXTDZ($A$1,$B85,O$5,$B$1)</f>
        <v>0</v>
      </c>
      <c r="P85" s="55">
        <f>_xll.EQNXTDZ($A$1,$B85,P$5,$B$1)</f>
        <v>4046.17</v>
      </c>
      <c r="Q85" s="55">
        <f>_xll.EQNXTDZ($A$1,$B85,Q$5,$B$1)</f>
        <v>0</v>
      </c>
      <c r="R85" s="55">
        <f>_xll.EQNXTDZ($A$1,$B85,R$5,$B$1)</f>
        <v>0</v>
      </c>
      <c r="S85" s="55">
        <f>_xll.EQNXTDZ($A$1,$B85,S$5,$B$1)</f>
        <v>0</v>
      </c>
      <c r="T85" s="55">
        <f>_xll.EQNXTDZ($A$1,$B85,T$5,$B$1)</f>
        <v>0</v>
      </c>
      <c r="U85" s="55">
        <f>_xll.EQNXTDZ($A$1,$B85,U$5,$B$1)</f>
        <v>0</v>
      </c>
      <c r="V85" s="55">
        <f>_xll.EQNXTDZ($A$1,$B85,V$5,$B$1)</f>
        <v>224.5</v>
      </c>
      <c r="W85" s="55">
        <f>_xll.EQNXTDZ($A$1,$B85,W$5,$B$1)</f>
        <v>0</v>
      </c>
      <c r="X85" s="55">
        <f>_xll.EQNXTDZ($A$1,$B85,X$5,$B$1)</f>
        <v>313.83999999999997</v>
      </c>
      <c r="Y85" s="55">
        <f>_xll.EQNXTDZ($A$1,$B85,Y$5,$B$1)</f>
        <v>0</v>
      </c>
      <c r="Z85" s="55">
        <f>_xll.EQNXTDZ($A$1,$B85,Z$5,$B$1)</f>
        <v>256.48</v>
      </c>
      <c r="AA85" s="55">
        <f>_xll.EQNXTDZ($A$1,$B85,AA$5,$B$1)</f>
        <v>0</v>
      </c>
      <c r="AB85" s="55">
        <f>_xll.EQNXTDZ($A$1,$B85,AB$5,$B$1)</f>
        <v>445.33</v>
      </c>
      <c r="AC85" s="55">
        <f>_xll.EQNXTDZ($A$1,$B85,AC$5,$B$1)</f>
        <v>0</v>
      </c>
      <c r="AD85" s="55">
        <f>_xll.EQNXTDZ($A$1,$B85,AD$5,$B$1)</f>
        <v>239.7</v>
      </c>
      <c r="AE85" s="55">
        <f>_xll.EQNXTDZ($A$1,$B85,AE$5,$B$1)</f>
        <v>0</v>
      </c>
      <c r="AF85" s="55">
        <f>_xll.EQNXTDZ($A$1,$B85,AF$5,$B$1)</f>
        <v>217.29</v>
      </c>
      <c r="AG85" s="55">
        <f>_xll.EQNXTDZ($A$1,$B85,AG$5,$B$1)</f>
        <v>0</v>
      </c>
      <c r="AH85" s="55">
        <f>_xll.EQNXTDZ($A$1,$B85,AH$5,$B$1)</f>
        <v>215.68</v>
      </c>
      <c r="AI85" s="55">
        <f>_xll.EQNXTDZ($A$1,$B85,AI$5,$B$1)</f>
        <v>0</v>
      </c>
      <c r="AJ85" s="55">
        <f>_xll.EQNXTDZ($A$1,$B85,AJ$5,$B$1)</f>
        <v>99.87</v>
      </c>
      <c r="AK85" s="55">
        <f>_xll.EQNXTDZ($A$1,$B85,AK$5,$B$1)</f>
        <v>0</v>
      </c>
      <c r="AL85" s="55">
        <f>_xll.EQNXTDZ($A$1,$B85,AL$5,$B$1)</f>
        <v>5.59</v>
      </c>
      <c r="AM85" s="55">
        <f>_xll.EQNXTDZ($A$1,$B85,AM$5,$B$1)</f>
        <v>0</v>
      </c>
      <c r="AN85" s="55">
        <f>_xll.EQNXTDZ($A$1,$B85,AN$5,$B$1)</f>
        <v>8.06</v>
      </c>
      <c r="AO85" s="55">
        <f>_xll.EQNXTDZ($A$1,$B85,AO$5,$B$1)</f>
        <v>0</v>
      </c>
      <c r="AP85" s="55">
        <f>_xll.EQNXTDZ($A$1,$B85,AP$5,$B$1)</f>
        <v>5.84</v>
      </c>
      <c r="AQ85" s="55">
        <f>_xll.EQNXTDZ($A$1,$B85,AQ$5,$B$1)</f>
        <v>0</v>
      </c>
      <c r="AR85" s="55">
        <f>_xll.EQNXTDZ($A$1,$B85,AR$5,$B$1)</f>
        <v>105.2</v>
      </c>
      <c r="AS85" s="55">
        <f>_xll.EQNXTDZ($A$1,$B85,AS$5,$B$1)</f>
        <v>0</v>
      </c>
      <c r="AT85" s="55">
        <f>_xll.EQNXTDZ($A$1,$B85,AT$5,$B$1)</f>
        <v>1.84</v>
      </c>
      <c r="AU85" s="55">
        <f>_xll.EQNXTDZ($A$1,$B85,AU$5,$B$1)</f>
        <v>0</v>
      </c>
      <c r="AV85" s="55">
        <f>_xll.EQNXTDZ($A$1,$B85,AV$5,$B$1)</f>
        <v>2.29</v>
      </c>
      <c r="AW85" s="55">
        <f>_xll.EQNXTDZ($A$1,$B85,AW$5,$B$1)</f>
        <v>0</v>
      </c>
      <c r="AX85" s="55">
        <f>_xll.EQNXTDZ($A$1,$B85,AX$5,$B$1)</f>
        <v>1.6</v>
      </c>
      <c r="AY85" s="55">
        <f>_xll.EQNXTDZ($A$1,$B85,AY$5,$B$1)</f>
        <v>0</v>
      </c>
      <c r="AZ85" s="55">
        <f>_xll.EQNXTDZ($A$1,$B85,AZ$5,$B$1)</f>
        <v>5.15</v>
      </c>
      <c r="BA85" s="55">
        <f>_xll.EQNXTDZ($A$1,$B85,BA$5,$B$1)</f>
        <v>0</v>
      </c>
      <c r="BB85" s="55">
        <f>_xll.EQNXTDZ($A$1,$B85,BB$5,$B$1)</f>
        <v>4.9800000000000004</v>
      </c>
      <c r="BC85" s="55">
        <f>_xll.EQNXTDZ($A$1,$B85,BC$5,$B$1)</f>
        <v>0</v>
      </c>
      <c r="BD85" s="55">
        <f>_xll.EQNXTDZ($A$1,$B85,BD$5,$B$1)</f>
        <v>5</v>
      </c>
      <c r="BE85" s="55">
        <f>_xll.EQNXTDZ($A$1,$B85,BE$5,$B$1)</f>
        <v>0</v>
      </c>
      <c r="BF85" s="55">
        <f>_xll.EQNXTDZ($A$1,$B85,BF$5,$B$1)</f>
        <v>3.35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55582.19</v>
      </c>
      <c r="E86" s="55">
        <f>_xll.EQNXTDZ($A$1,$B86,E$5,$B$1)</f>
        <v>52442.559999999998</v>
      </c>
      <c r="F86" s="55">
        <f>_xll.EQNXTDZ($A$1,$B86,F$5,$B$1)</f>
        <v>54224.77</v>
      </c>
      <c r="G86" s="55">
        <f>_xll.EQNXTDZ($A$1,$B86,G$5,$B$1)</f>
        <v>0</v>
      </c>
      <c r="H86" s="55">
        <f>_xll.EQNXTDZ($A$1,$B86,H$5,$B$1)</f>
        <v>61497.24</v>
      </c>
      <c r="I86" s="55">
        <f>_xll.EQNXTDZ($A$1,$B86,I$5,$B$1)</f>
        <v>0</v>
      </c>
      <c r="J86" s="55">
        <f>_xll.EQNXTDZ($A$1,$B86,J$5,$B$1)</f>
        <v>57989.41</v>
      </c>
      <c r="K86" s="55">
        <f>_xll.EQNXTDZ($A$1,$B86,K$5,$B$1)</f>
        <v>0</v>
      </c>
      <c r="L86" s="55">
        <f>_xll.EQNXTDZ($A$1,$B86,L$5,$B$1)</f>
        <v>61185.4</v>
      </c>
      <c r="M86" s="55">
        <f>_xll.EQNXTDZ($A$1,$B86,M$5,$B$1)</f>
        <v>0</v>
      </c>
      <c r="N86" s="55">
        <f>_xll.EQNXTDZ($A$1,$B86,N$5,$B$1)</f>
        <v>53740.14</v>
      </c>
      <c r="O86" s="55">
        <f>_xll.EQNXTDZ($A$1,$B86,O$5,$B$1)</f>
        <v>0</v>
      </c>
      <c r="P86" s="55">
        <f>_xll.EQNXTDZ($A$1,$B86,P$5,$B$1)</f>
        <v>50305.9</v>
      </c>
      <c r="Q86" s="55">
        <f>_xll.EQNXTDZ($A$1,$B86,Q$5,$B$1)</f>
        <v>0</v>
      </c>
      <c r="R86" s="55">
        <f>_xll.EQNXTDZ($A$1,$B86,R$5,$B$1)</f>
        <v>45791.96</v>
      </c>
      <c r="S86" s="55">
        <f>_xll.EQNXTDZ($A$1,$B86,S$5,$B$1)</f>
        <v>0</v>
      </c>
      <c r="T86" s="55">
        <f>_xll.EQNXTDZ($A$1,$B86,T$5,$B$1)</f>
        <v>44159.11</v>
      </c>
      <c r="U86" s="55">
        <f>_xll.EQNXTDZ($A$1,$B86,U$5,$B$1)</f>
        <v>0</v>
      </c>
      <c r="V86" s="55">
        <f>_xll.EQNXTDZ($A$1,$B86,V$5,$B$1)</f>
        <v>50935.03</v>
      </c>
      <c r="W86" s="55">
        <f>_xll.EQNXTDZ($A$1,$B86,W$5,$B$1)</f>
        <v>0</v>
      </c>
      <c r="X86" s="55">
        <f>_xll.EQNXTDZ($A$1,$B86,X$5,$B$1)</f>
        <v>56093</v>
      </c>
      <c r="Y86" s="55">
        <f>_xll.EQNXTDZ($A$1,$B86,Y$5,$B$1)</f>
        <v>0</v>
      </c>
      <c r="Z86" s="55">
        <f>_xll.EQNXTDZ($A$1,$B86,Z$5,$B$1)</f>
        <v>67877.16</v>
      </c>
      <c r="AA86" s="55">
        <f>_xll.EQNXTDZ($A$1,$B86,AA$5,$B$1)</f>
        <v>0</v>
      </c>
      <c r="AB86" s="55">
        <f>_xll.EQNXTDZ($A$1,$B86,AB$5,$B$1)</f>
        <v>71027.27</v>
      </c>
      <c r="AC86" s="55">
        <f>_xll.EQNXTDZ($A$1,$B86,AC$5,$B$1)</f>
        <v>0</v>
      </c>
      <c r="AD86" s="55">
        <f>_xll.EQNXTDZ($A$1,$B86,AD$5,$B$1)</f>
        <v>58990.98</v>
      </c>
      <c r="AE86" s="55">
        <f>_xll.EQNXTDZ($A$1,$B86,AE$5,$B$1)</f>
        <v>0</v>
      </c>
      <c r="AF86" s="55">
        <f>_xll.EQNXTDZ($A$1,$B86,AF$5,$B$1)</f>
        <v>58570.98</v>
      </c>
      <c r="AG86" s="55">
        <f>_xll.EQNXTDZ($A$1,$B86,AG$5,$B$1)</f>
        <v>0</v>
      </c>
      <c r="AH86" s="55">
        <f>_xll.EQNXTDZ($A$1,$B86,AH$5,$B$1)</f>
        <v>58732.72</v>
      </c>
      <c r="AI86" s="55">
        <f>_xll.EQNXTDZ($A$1,$B86,AI$5,$B$1)</f>
        <v>0</v>
      </c>
      <c r="AJ86" s="55">
        <f>_xll.EQNXTDZ($A$1,$B86,AJ$5,$B$1)</f>
        <v>58957.33</v>
      </c>
      <c r="AK86" s="55">
        <f>_xll.EQNXTDZ($A$1,$B86,AK$5,$B$1)</f>
        <v>0</v>
      </c>
      <c r="AL86" s="55">
        <f>_xll.EQNXTDZ($A$1,$B86,AL$5,$B$1)</f>
        <v>60211.9</v>
      </c>
      <c r="AM86" s="55">
        <f>_xll.EQNXTDZ($A$1,$B86,AM$5,$B$1)</f>
        <v>0</v>
      </c>
      <c r="AN86" s="55">
        <f>_xll.EQNXTDZ($A$1,$B86,AN$5,$B$1)</f>
        <v>69043.55</v>
      </c>
      <c r="AO86" s="55">
        <f>_xll.EQNXTDZ($A$1,$B86,AO$5,$B$1)</f>
        <v>0</v>
      </c>
      <c r="AP86" s="55">
        <f>_xll.EQNXTDZ($A$1,$B86,AP$5,$B$1)</f>
        <v>92256.07</v>
      </c>
      <c r="AQ86" s="55">
        <f>_xll.EQNXTDZ($A$1,$B86,AQ$5,$B$1)</f>
        <v>0</v>
      </c>
      <c r="AR86" s="55">
        <f>_xll.EQNXTDZ($A$1,$B86,AR$5,$B$1)</f>
        <v>90957.7</v>
      </c>
      <c r="AS86" s="55">
        <f>_xll.EQNXTDZ($A$1,$B86,AS$5,$B$1)</f>
        <v>0</v>
      </c>
      <c r="AT86" s="55">
        <f>_xll.EQNXTDZ($A$1,$B86,AT$5,$B$1)</f>
        <v>86606.14</v>
      </c>
      <c r="AU86" s="55">
        <f>_xll.EQNXTDZ($A$1,$B86,AU$5,$B$1)</f>
        <v>0</v>
      </c>
      <c r="AV86" s="55">
        <f>_xll.EQNXTDZ($A$1,$B86,AV$5,$B$1)</f>
        <v>74894.27</v>
      </c>
      <c r="AW86" s="55">
        <f>_xll.EQNXTDZ($A$1,$B86,AW$5,$B$1)</f>
        <v>0</v>
      </c>
      <c r="AX86" s="55">
        <f>_xll.EQNXTDZ($A$1,$B86,AX$5,$B$1)</f>
        <v>70503.59</v>
      </c>
      <c r="AY86" s="55">
        <f>_xll.EQNXTDZ($A$1,$B86,AY$5,$B$1)</f>
        <v>0</v>
      </c>
      <c r="AZ86" s="55">
        <f>_xll.EQNXTDZ($A$1,$B86,AZ$5,$B$1)</f>
        <v>73978.55</v>
      </c>
      <c r="BA86" s="55">
        <f>_xll.EQNXTDZ($A$1,$B86,BA$5,$B$1)</f>
        <v>0</v>
      </c>
      <c r="BB86" s="55">
        <f>_xll.EQNXTDZ($A$1,$B86,BB$5,$B$1)</f>
        <v>68391.539999999994</v>
      </c>
      <c r="BC86" s="55">
        <f>_xll.EQNXTDZ($A$1,$B86,BC$5,$B$1)</f>
        <v>0</v>
      </c>
      <c r="BD86" s="55">
        <f>_xll.EQNXTDZ($A$1,$B86,BD$5,$B$1)</f>
        <v>66622.649999999994</v>
      </c>
      <c r="BE86" s="55">
        <f>_xll.EQNXTDZ($A$1,$B86,BE$5,$B$1)</f>
        <v>0</v>
      </c>
      <c r="BF86" s="55">
        <f>_xll.EQNXTDZ($A$1,$B86,BF$5,$B$1)</f>
        <v>72265.11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40579.550000000003</v>
      </c>
      <c r="E87" s="55">
        <f>_xll.EQNXTDZ($A$1,$B87,E$5,$B$1)</f>
        <v>41547.199999999997</v>
      </c>
      <c r="F87" s="55">
        <f>_xll.EQNXTDZ($A$1,$B87,F$5,$B$1)</f>
        <v>0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8071.42</v>
      </c>
      <c r="E88" s="55">
        <f>_xll.EQNXTDZ($A$1,$B88,E$5,$B$1)</f>
        <v>6101.93</v>
      </c>
      <c r="F88" s="55">
        <f>_xll.EQNXTDZ($A$1,$B88,F$5,$B$1)</f>
        <v>10547.56</v>
      </c>
      <c r="G88" s="55">
        <f>_xll.EQNXTDZ($A$1,$B88,G$5,$B$1)</f>
        <v>0</v>
      </c>
      <c r="H88" s="55">
        <f>_xll.EQNXTDZ($A$1,$B88,H$5,$B$1)</f>
        <v>10721.05</v>
      </c>
      <c r="I88" s="55">
        <f>_xll.EQNXTDZ($A$1,$B88,I$5,$B$1)</f>
        <v>0</v>
      </c>
      <c r="J88" s="55">
        <f>_xll.EQNXTDZ($A$1,$B88,J$5,$B$1)</f>
        <v>16026.18</v>
      </c>
      <c r="K88" s="55">
        <f>_xll.EQNXTDZ($A$1,$B88,K$5,$B$1)</f>
        <v>0</v>
      </c>
      <c r="L88" s="55">
        <f>_xll.EQNXTDZ($A$1,$B88,L$5,$B$1)</f>
        <v>7494.01</v>
      </c>
      <c r="M88" s="55">
        <f>_xll.EQNXTDZ($A$1,$B88,M$5,$B$1)</f>
        <v>0</v>
      </c>
      <c r="N88" s="55">
        <f>_xll.EQNXTDZ($A$1,$B88,N$5,$B$1)</f>
        <v>9598.5499999999993</v>
      </c>
      <c r="O88" s="55">
        <f>_xll.EQNXTDZ($A$1,$B88,O$5,$B$1)</f>
        <v>0</v>
      </c>
      <c r="P88" s="55">
        <f>_xll.EQNXTDZ($A$1,$B88,P$5,$B$1)</f>
        <v>4363.8500000000004</v>
      </c>
      <c r="Q88" s="55">
        <f>_xll.EQNXTDZ($A$1,$B88,Q$5,$B$1)</f>
        <v>0</v>
      </c>
      <c r="R88" s="55">
        <f>_xll.EQNXTDZ($A$1,$B88,R$5,$B$1)</f>
        <v>15722.12</v>
      </c>
      <c r="S88" s="55">
        <f>_xll.EQNXTDZ($A$1,$B88,S$5,$B$1)</f>
        <v>0</v>
      </c>
      <c r="T88" s="55">
        <f>_xll.EQNXTDZ($A$1,$B88,T$5,$B$1)</f>
        <v>17371.689999999999</v>
      </c>
      <c r="U88" s="55">
        <f>_xll.EQNXTDZ($A$1,$B88,U$5,$B$1)</f>
        <v>0</v>
      </c>
      <c r="V88" s="55">
        <f>_xll.EQNXTDZ($A$1,$B88,V$5,$B$1)</f>
        <v>18328.099999999999</v>
      </c>
      <c r="W88" s="55">
        <f>_xll.EQNXTDZ($A$1,$B88,W$5,$B$1)</f>
        <v>0</v>
      </c>
      <c r="X88" s="55">
        <f>_xll.EQNXTDZ($A$1,$B88,X$5,$B$1)</f>
        <v>21304.54</v>
      </c>
      <c r="Y88" s="55">
        <f>_xll.EQNXTDZ($A$1,$B88,Y$5,$B$1)</f>
        <v>0</v>
      </c>
      <c r="Z88" s="55">
        <f>_xll.EQNXTDZ($A$1,$B88,Z$5,$B$1)</f>
        <v>15884.98</v>
      </c>
      <c r="AA88" s="55">
        <f>_xll.EQNXTDZ($A$1,$B88,AA$5,$B$1)</f>
        <v>0</v>
      </c>
      <c r="AB88" s="55">
        <f>_xll.EQNXTDZ($A$1,$B88,AB$5,$B$1)</f>
        <v>31201.83</v>
      </c>
      <c r="AC88" s="55">
        <f>_xll.EQNXTDZ($A$1,$B88,AC$5,$B$1)</f>
        <v>0</v>
      </c>
      <c r="AD88" s="55">
        <f>_xll.EQNXTDZ($A$1,$B88,AD$5,$B$1)</f>
        <v>10802.08</v>
      </c>
      <c r="AE88" s="55">
        <f>_xll.EQNXTDZ($A$1,$B88,AE$5,$B$1)</f>
        <v>0</v>
      </c>
      <c r="AF88" s="55">
        <f>_xll.EQNXTDZ($A$1,$B88,AF$5,$B$1)</f>
        <v>16294.54</v>
      </c>
      <c r="AG88" s="55">
        <f>_xll.EQNXTDZ($A$1,$B88,AG$5,$B$1)</f>
        <v>0</v>
      </c>
      <c r="AH88" s="55">
        <f>_xll.EQNXTDZ($A$1,$B88,AH$5,$B$1)</f>
        <v>19184.48</v>
      </c>
      <c r="AI88" s="55">
        <f>_xll.EQNXTDZ($A$1,$B88,AI$5,$B$1)</f>
        <v>0</v>
      </c>
      <c r="AJ88" s="55">
        <f>_xll.EQNXTDZ($A$1,$B88,AJ$5,$B$1)</f>
        <v>10981.91</v>
      </c>
      <c r="AK88" s="55">
        <f>_xll.EQNXTDZ($A$1,$B88,AK$5,$B$1)</f>
        <v>0</v>
      </c>
      <c r="AL88" s="55">
        <f>_xll.EQNXTDZ($A$1,$B88,AL$5,$B$1)</f>
        <v>14968.97</v>
      </c>
      <c r="AM88" s="55">
        <f>_xll.EQNXTDZ($A$1,$B88,AM$5,$B$1)</f>
        <v>0</v>
      </c>
      <c r="AN88" s="55">
        <f>_xll.EQNXTDZ($A$1,$B88,AN$5,$B$1)</f>
        <v>21444.43</v>
      </c>
      <c r="AO88" s="55">
        <f>_xll.EQNXTDZ($A$1,$B88,AO$5,$B$1)</f>
        <v>0</v>
      </c>
      <c r="AP88" s="55">
        <f>_xll.EQNXTDZ($A$1,$B88,AP$5,$B$1)</f>
        <v>24064.61</v>
      </c>
      <c r="AQ88" s="55">
        <f>_xll.EQNXTDZ($A$1,$B88,AQ$5,$B$1)</f>
        <v>0</v>
      </c>
      <c r="AR88" s="55">
        <f>_xll.EQNXTDZ($A$1,$B88,AR$5,$B$1)</f>
        <v>36994.35</v>
      </c>
      <c r="AS88" s="55">
        <f>_xll.EQNXTDZ($A$1,$B88,AS$5,$B$1)</f>
        <v>0</v>
      </c>
      <c r="AT88" s="55">
        <f>_xll.EQNXTDZ($A$1,$B88,AT$5,$B$1)</f>
        <v>26571.37</v>
      </c>
      <c r="AU88" s="55">
        <f>_xll.EQNXTDZ($A$1,$B88,AU$5,$B$1)</f>
        <v>0</v>
      </c>
      <c r="AV88" s="55">
        <f>_xll.EQNXTDZ($A$1,$B88,AV$5,$B$1)</f>
        <v>36792.36</v>
      </c>
      <c r="AW88" s="55">
        <f>_xll.EQNXTDZ($A$1,$B88,AW$5,$B$1)</f>
        <v>0</v>
      </c>
      <c r="AX88" s="55">
        <f>_xll.EQNXTDZ($A$1,$B88,AX$5,$B$1)</f>
        <v>29997.19</v>
      </c>
      <c r="AY88" s="55">
        <f>_xll.EQNXTDZ($A$1,$B88,AY$5,$B$1)</f>
        <v>0</v>
      </c>
      <c r="AZ88" s="55">
        <f>_xll.EQNXTDZ($A$1,$B88,AZ$5,$B$1)</f>
        <v>26960.16</v>
      </c>
      <c r="BA88" s="55">
        <f>_xll.EQNXTDZ($A$1,$B88,BA$5,$B$1)</f>
        <v>0</v>
      </c>
      <c r="BB88" s="55">
        <f>_xll.EQNXTDZ($A$1,$B88,BB$5,$B$1)</f>
        <v>20412</v>
      </c>
      <c r="BC88" s="55">
        <f>_xll.EQNXTDZ($A$1,$B88,BC$5,$B$1)</f>
        <v>0</v>
      </c>
      <c r="BD88" s="55">
        <f>_xll.EQNXTDZ($A$1,$B88,BD$5,$B$1)</f>
        <v>23684.42</v>
      </c>
      <c r="BE88" s="55">
        <f>_xll.EQNXTDZ($A$1,$B88,BE$5,$B$1)</f>
        <v>0</v>
      </c>
      <c r="BF88" s="55">
        <f>_xll.EQNXTDZ($A$1,$B88,BF$5,$B$1)</f>
        <v>21202.720000000001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0</v>
      </c>
      <c r="F89" s="55">
        <f>_xll.EQNXTDZ($A$1,$B89,F$5,$B$1)</f>
        <v>19339.59</v>
      </c>
      <c r="G89" s="55">
        <f>_xll.EQNXTDZ($A$1,$B89,G$5,$B$1)</f>
        <v>0</v>
      </c>
      <c r="H89" s="55">
        <f>_xll.EQNXTDZ($A$1,$B89,H$5,$B$1)</f>
        <v>26518.45</v>
      </c>
      <c r="I89" s="55">
        <f>_xll.EQNXTDZ($A$1,$B89,I$5,$B$1)</f>
        <v>0</v>
      </c>
      <c r="J89" s="55">
        <f>_xll.EQNXTDZ($A$1,$B89,J$5,$B$1)</f>
        <v>22904.37</v>
      </c>
      <c r="K89" s="55">
        <f>_xll.EQNXTDZ($A$1,$B89,K$5,$B$1)</f>
        <v>0</v>
      </c>
      <c r="L89" s="55">
        <f>_xll.EQNXTDZ($A$1,$B89,L$5,$B$1)</f>
        <v>21010.46</v>
      </c>
      <c r="M89" s="55">
        <f>_xll.EQNXTDZ($A$1,$B89,M$5,$B$1)</f>
        <v>0</v>
      </c>
      <c r="N89" s="55">
        <f>_xll.EQNXTDZ($A$1,$B89,N$5,$B$1)</f>
        <v>19189.86</v>
      </c>
      <c r="O89" s="55">
        <f>_xll.EQNXTDZ($A$1,$B89,O$5,$B$1)</f>
        <v>0</v>
      </c>
      <c r="P89" s="55">
        <f>_xll.EQNXTDZ($A$1,$B89,P$5,$B$1)</f>
        <v>19945.09</v>
      </c>
      <c r="Q89" s="55">
        <f>_xll.EQNXTDZ($A$1,$B89,Q$5,$B$1)</f>
        <v>0</v>
      </c>
      <c r="R89" s="55">
        <f>_xll.EQNXTDZ($A$1,$B89,R$5,$B$1)</f>
        <v>18556.7</v>
      </c>
      <c r="S89" s="55">
        <f>_xll.EQNXTDZ($A$1,$B89,S$5,$B$1)</f>
        <v>0</v>
      </c>
      <c r="T89" s="55">
        <f>_xll.EQNXTDZ($A$1,$B89,T$5,$B$1)</f>
        <v>17237.5</v>
      </c>
      <c r="U89" s="55">
        <f>_xll.EQNXTDZ($A$1,$B89,U$5,$B$1)</f>
        <v>0</v>
      </c>
      <c r="V89" s="55">
        <f>_xll.EQNXTDZ($A$1,$B89,V$5,$B$1)</f>
        <v>18574.46</v>
      </c>
      <c r="W89" s="55">
        <f>_xll.EQNXTDZ($A$1,$B89,W$5,$B$1)</f>
        <v>0</v>
      </c>
      <c r="X89" s="55">
        <f>_xll.EQNXTDZ($A$1,$B89,X$5,$B$1)</f>
        <v>18237.189999999999</v>
      </c>
      <c r="Y89" s="55">
        <f>_xll.EQNXTDZ($A$1,$B89,Y$5,$B$1)</f>
        <v>0</v>
      </c>
      <c r="Z89" s="55">
        <f>_xll.EQNXTDZ($A$1,$B89,Z$5,$B$1)</f>
        <v>20413.810000000001</v>
      </c>
      <c r="AA89" s="55">
        <f>_xll.EQNXTDZ($A$1,$B89,AA$5,$B$1)</f>
        <v>0</v>
      </c>
      <c r="AB89" s="55">
        <f>_xll.EQNXTDZ($A$1,$B89,AB$5,$B$1)</f>
        <v>22724.99</v>
      </c>
      <c r="AC89" s="55">
        <f>_xll.EQNXTDZ($A$1,$B89,AC$5,$B$1)</f>
        <v>0</v>
      </c>
      <c r="AD89" s="55">
        <f>_xll.EQNXTDZ($A$1,$B89,AD$5,$B$1)</f>
        <v>21716.959999999999</v>
      </c>
      <c r="AE89" s="55">
        <f>_xll.EQNXTDZ($A$1,$B89,AE$5,$B$1)</f>
        <v>0</v>
      </c>
      <c r="AF89" s="55">
        <f>_xll.EQNXTDZ($A$1,$B89,AF$5,$B$1)</f>
        <v>19912.439999999999</v>
      </c>
      <c r="AG89" s="55">
        <f>_xll.EQNXTDZ($A$1,$B89,AG$5,$B$1)</f>
        <v>0</v>
      </c>
      <c r="AH89" s="55">
        <f>_xll.EQNXTDZ($A$1,$B89,AH$5,$B$1)</f>
        <v>21380.85</v>
      </c>
      <c r="AI89" s="55">
        <f>_xll.EQNXTDZ($A$1,$B89,AI$5,$B$1)</f>
        <v>0</v>
      </c>
      <c r="AJ89" s="55">
        <f>_xll.EQNXTDZ($A$1,$B89,AJ$5,$B$1)</f>
        <v>22015.58</v>
      </c>
      <c r="AK89" s="55">
        <f>_xll.EQNXTDZ($A$1,$B89,AK$5,$B$1)</f>
        <v>0</v>
      </c>
      <c r="AL89" s="55">
        <f>_xll.EQNXTDZ($A$1,$B89,AL$5,$B$1)</f>
        <v>25967.49</v>
      </c>
      <c r="AM89" s="55">
        <f>_xll.EQNXTDZ($A$1,$B89,AM$5,$B$1)</f>
        <v>0</v>
      </c>
      <c r="AN89" s="55">
        <f>_xll.EQNXTDZ($A$1,$B89,AN$5,$B$1)</f>
        <v>27530</v>
      </c>
      <c r="AO89" s="55">
        <f>_xll.EQNXTDZ($A$1,$B89,AO$5,$B$1)</f>
        <v>0</v>
      </c>
      <c r="AP89" s="55">
        <f>_xll.EQNXTDZ($A$1,$B89,AP$5,$B$1)</f>
        <v>36764.870000000003</v>
      </c>
      <c r="AQ89" s="55">
        <f>_xll.EQNXTDZ($A$1,$B89,AQ$5,$B$1)</f>
        <v>0</v>
      </c>
      <c r="AR89" s="55">
        <f>_xll.EQNXTDZ($A$1,$B89,AR$5,$B$1)</f>
        <v>32273.61</v>
      </c>
      <c r="AS89" s="55">
        <f>_xll.EQNXTDZ($A$1,$B89,AS$5,$B$1)</f>
        <v>0</v>
      </c>
      <c r="AT89" s="55">
        <f>_xll.EQNXTDZ($A$1,$B89,AT$5,$B$1)</f>
        <v>37832.54</v>
      </c>
      <c r="AU89" s="55">
        <f>_xll.EQNXTDZ($A$1,$B89,AU$5,$B$1)</f>
        <v>0</v>
      </c>
      <c r="AV89" s="55">
        <f>_xll.EQNXTDZ($A$1,$B89,AV$5,$B$1)</f>
        <v>33256.71</v>
      </c>
      <c r="AW89" s="55">
        <f>_xll.EQNXTDZ($A$1,$B89,AW$5,$B$1)</f>
        <v>0</v>
      </c>
      <c r="AX89" s="55">
        <f>_xll.EQNXTDZ($A$1,$B89,AX$5,$B$1)</f>
        <v>30227.64</v>
      </c>
      <c r="AY89" s="55">
        <f>_xll.EQNXTDZ($A$1,$B89,AY$5,$B$1)</f>
        <v>0</v>
      </c>
      <c r="AZ89" s="55">
        <f>_xll.EQNXTDZ($A$1,$B89,AZ$5,$B$1)</f>
        <v>32502.44</v>
      </c>
      <c r="BA89" s="55">
        <f>_xll.EQNXTDZ($A$1,$B89,BA$5,$B$1)</f>
        <v>0</v>
      </c>
      <c r="BB89" s="55">
        <f>_xll.EQNXTDZ($A$1,$B89,BB$5,$B$1)</f>
        <v>29314.38</v>
      </c>
      <c r="BC89" s="55">
        <f>_xll.EQNXTDZ($A$1,$B89,BC$5,$B$1)</f>
        <v>0</v>
      </c>
      <c r="BD89" s="55">
        <f>_xll.EQNXTDZ($A$1,$B89,BD$5,$B$1)</f>
        <v>30076.86</v>
      </c>
      <c r="BE89" s="55">
        <f>_xll.EQNXTDZ($A$1,$B89,BE$5,$B$1)</f>
        <v>0</v>
      </c>
      <c r="BF89" s="55">
        <f>_xll.EQNXTDZ($A$1,$B89,BF$5,$B$1)</f>
        <v>34810.14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0</v>
      </c>
      <c r="F91" s="55">
        <f>_xll.EQNXTDZ($A$1,$B91,F$5,$B$1)</f>
        <v>19454.98</v>
      </c>
      <c r="G91" s="55">
        <f>_xll.EQNXTDZ($A$1,$B91,G$5,$B$1)</f>
        <v>0</v>
      </c>
      <c r="H91" s="55">
        <f>_xll.EQNXTDZ($A$1,$B91,H$5,$B$1)</f>
        <v>21728.87</v>
      </c>
      <c r="I91" s="55">
        <f>_xll.EQNXTDZ($A$1,$B91,I$5,$B$1)</f>
        <v>0</v>
      </c>
      <c r="J91" s="55">
        <f>_xll.EQNXTDZ($A$1,$B91,J$5,$B$1)</f>
        <v>21994.85</v>
      </c>
      <c r="K91" s="55">
        <f>_xll.EQNXTDZ($A$1,$B91,K$5,$B$1)</f>
        <v>0</v>
      </c>
      <c r="L91" s="55">
        <f>_xll.EQNXTDZ($A$1,$B91,L$5,$B$1)</f>
        <v>35170.879999999997</v>
      </c>
      <c r="M91" s="55">
        <f>_xll.EQNXTDZ($A$1,$B91,M$5,$B$1)</f>
        <v>0</v>
      </c>
      <c r="N91" s="55">
        <f>_xll.EQNXTDZ($A$1,$B91,N$5,$B$1)</f>
        <v>14479.59</v>
      </c>
      <c r="O91" s="55">
        <f>_xll.EQNXTDZ($A$1,$B91,O$5,$B$1)</f>
        <v>0</v>
      </c>
      <c r="P91" s="55">
        <f>_xll.EQNXTDZ($A$1,$B91,P$5,$B$1)</f>
        <v>19469.64</v>
      </c>
      <c r="Q91" s="55">
        <f>_xll.EQNXTDZ($A$1,$B91,Q$5,$B$1)</f>
        <v>0</v>
      </c>
      <c r="R91" s="55">
        <f>_xll.EQNXTDZ($A$1,$B91,R$5,$B$1)</f>
        <v>12153.29</v>
      </c>
      <c r="S91" s="55">
        <f>_xll.EQNXTDZ($A$1,$B91,S$5,$B$1)</f>
        <v>0</v>
      </c>
      <c r="T91" s="55">
        <f>_xll.EQNXTDZ($A$1,$B91,T$5,$B$1)</f>
        <v>11889.6</v>
      </c>
      <c r="U91" s="55">
        <f>_xll.EQNXTDZ($A$1,$B91,U$5,$B$1)</f>
        <v>0</v>
      </c>
      <c r="V91" s="55">
        <f>_xll.EQNXTDZ($A$1,$B91,V$5,$B$1)</f>
        <v>12451.11</v>
      </c>
      <c r="W91" s="55">
        <f>_xll.EQNXTDZ($A$1,$B91,W$5,$B$1)</f>
        <v>0</v>
      </c>
      <c r="X91" s="55">
        <f>_xll.EQNXTDZ($A$1,$B91,X$5,$B$1)</f>
        <v>14318.03</v>
      </c>
      <c r="Y91" s="55">
        <f>_xll.EQNXTDZ($A$1,$B91,Y$5,$B$1)</f>
        <v>0</v>
      </c>
      <c r="Z91" s="55">
        <f>_xll.EQNXTDZ($A$1,$B91,Z$5,$B$1)</f>
        <v>18094.78</v>
      </c>
      <c r="AA91" s="55">
        <f>_xll.EQNXTDZ($A$1,$B91,AA$5,$B$1)</f>
        <v>0</v>
      </c>
      <c r="AB91" s="55">
        <f>_xll.EQNXTDZ($A$1,$B91,AB$5,$B$1)</f>
        <v>21437.69</v>
      </c>
      <c r="AC91" s="55">
        <f>_xll.EQNXTDZ($A$1,$B91,AC$5,$B$1)</f>
        <v>0</v>
      </c>
      <c r="AD91" s="55">
        <f>_xll.EQNXTDZ($A$1,$B91,AD$5,$B$1)</f>
        <v>27145.68</v>
      </c>
      <c r="AE91" s="55">
        <f>_xll.EQNXTDZ($A$1,$B91,AE$5,$B$1)</f>
        <v>0</v>
      </c>
      <c r="AF91" s="55">
        <f>_xll.EQNXTDZ($A$1,$B91,AF$5,$B$1)</f>
        <v>26545.95</v>
      </c>
      <c r="AG91" s="55">
        <f>_xll.EQNXTDZ($A$1,$B91,AG$5,$B$1)</f>
        <v>0</v>
      </c>
      <c r="AH91" s="55">
        <f>_xll.EQNXTDZ($A$1,$B91,AH$5,$B$1)</f>
        <v>19431.91</v>
      </c>
      <c r="AI91" s="55">
        <f>_xll.EQNXTDZ($A$1,$B91,AI$5,$B$1)</f>
        <v>0</v>
      </c>
      <c r="AJ91" s="55">
        <f>_xll.EQNXTDZ($A$1,$B91,AJ$5,$B$1)</f>
        <v>21205.88</v>
      </c>
      <c r="AK91" s="55">
        <f>_xll.EQNXTDZ($A$1,$B91,AK$5,$B$1)</f>
        <v>0</v>
      </c>
      <c r="AL91" s="55">
        <f>_xll.EQNXTDZ($A$1,$B91,AL$5,$B$1)</f>
        <v>25205.35</v>
      </c>
      <c r="AM91" s="55">
        <f>_xll.EQNXTDZ($A$1,$B91,AM$5,$B$1)</f>
        <v>0</v>
      </c>
      <c r="AN91" s="55">
        <f>_xll.EQNXTDZ($A$1,$B91,AN$5,$B$1)</f>
        <v>25907.75</v>
      </c>
      <c r="AO91" s="55">
        <f>_xll.EQNXTDZ($A$1,$B91,AO$5,$B$1)</f>
        <v>0</v>
      </c>
      <c r="AP91" s="55">
        <f>_xll.EQNXTDZ($A$1,$B91,AP$5,$B$1)</f>
        <v>26798.92</v>
      </c>
      <c r="AQ91" s="55">
        <f>_xll.EQNXTDZ($A$1,$B91,AQ$5,$B$1)</f>
        <v>0</v>
      </c>
      <c r="AR91" s="55">
        <f>_xll.EQNXTDZ($A$1,$B91,AR$5,$B$1)</f>
        <v>28215.49</v>
      </c>
      <c r="AS91" s="55">
        <f>_xll.EQNXTDZ($A$1,$B91,AS$5,$B$1)</f>
        <v>0</v>
      </c>
      <c r="AT91" s="55">
        <f>_xll.EQNXTDZ($A$1,$B91,AT$5,$B$1)</f>
        <v>29008.49</v>
      </c>
      <c r="AU91" s="55">
        <f>_xll.EQNXTDZ($A$1,$B91,AU$5,$B$1)</f>
        <v>0</v>
      </c>
      <c r="AV91" s="55">
        <f>_xll.EQNXTDZ($A$1,$B91,AV$5,$B$1)</f>
        <v>28174.53</v>
      </c>
      <c r="AW91" s="55">
        <f>_xll.EQNXTDZ($A$1,$B91,AW$5,$B$1)</f>
        <v>0</v>
      </c>
      <c r="AX91" s="55">
        <f>_xll.EQNXTDZ($A$1,$B91,AX$5,$B$1)</f>
        <v>34399.57</v>
      </c>
      <c r="AY91" s="55">
        <f>_xll.EQNXTDZ($A$1,$B91,AY$5,$B$1)</f>
        <v>0</v>
      </c>
      <c r="AZ91" s="55">
        <f>_xll.EQNXTDZ($A$1,$B91,AZ$5,$B$1)</f>
        <v>28081.119999999999</v>
      </c>
      <c r="BA91" s="55">
        <f>_xll.EQNXTDZ($A$1,$B91,BA$5,$B$1)</f>
        <v>0</v>
      </c>
      <c r="BB91" s="55">
        <f>_xll.EQNXTDZ($A$1,$B91,BB$5,$B$1)</f>
        <v>32478.880000000001</v>
      </c>
      <c r="BC91" s="55">
        <f>_xll.EQNXTDZ($A$1,$B91,BC$5,$B$1)</f>
        <v>0</v>
      </c>
      <c r="BD91" s="55">
        <f>_xll.EQNXTDZ($A$1,$B91,BD$5,$B$1)</f>
        <v>32008.560000000001</v>
      </c>
      <c r="BE91" s="55">
        <f>_xll.EQNXTDZ($A$1,$B91,BE$5,$B$1)</f>
        <v>0</v>
      </c>
      <c r="BF91" s="55">
        <f>_xll.EQNXTDZ($A$1,$B91,BF$5,$B$1)</f>
        <v>34856.58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2221.91</v>
      </c>
      <c r="E92" s="55">
        <f>_xll.EQNXTDZ($A$1,$B92,E$5,$B$1)</f>
        <v>2165.5700000000002</v>
      </c>
      <c r="F92" s="55">
        <f>_xll.EQNXTDZ($A$1,$B92,F$5,$B$1)</f>
        <v>2943.29</v>
      </c>
      <c r="G92" s="55">
        <f>_xll.EQNXTDZ($A$1,$B92,G$5,$B$1)</f>
        <v>0</v>
      </c>
      <c r="H92" s="55">
        <f>_xll.EQNXTDZ($A$1,$B92,H$5,$B$1)</f>
        <v>2203.4899999999998</v>
      </c>
      <c r="I92" s="55">
        <f>_xll.EQNXTDZ($A$1,$B92,I$5,$B$1)</f>
        <v>0</v>
      </c>
      <c r="J92" s="55">
        <f>_xll.EQNXTDZ($A$1,$B92,J$5,$B$1)</f>
        <v>3197.74</v>
      </c>
      <c r="K92" s="55">
        <f>_xll.EQNXTDZ($A$1,$B92,K$5,$B$1)</f>
        <v>0</v>
      </c>
      <c r="L92" s="55">
        <f>_xll.EQNXTDZ($A$1,$B92,L$5,$B$1)</f>
        <v>2658.72</v>
      </c>
      <c r="M92" s="55">
        <f>_xll.EQNXTDZ($A$1,$B92,M$5,$B$1)</f>
        <v>0</v>
      </c>
      <c r="N92" s="55">
        <f>_xll.EQNXTDZ($A$1,$B92,N$5,$B$1)</f>
        <v>2703.52</v>
      </c>
      <c r="O92" s="55">
        <f>_xll.EQNXTDZ($A$1,$B92,O$5,$B$1)</f>
        <v>0</v>
      </c>
      <c r="P92" s="55">
        <f>_xll.EQNXTDZ($A$1,$B92,P$5,$B$1)</f>
        <v>2628.31</v>
      </c>
      <c r="Q92" s="55">
        <f>_xll.EQNXTDZ($A$1,$B92,Q$5,$B$1)</f>
        <v>0</v>
      </c>
      <c r="R92" s="55">
        <f>_xll.EQNXTDZ($A$1,$B92,R$5,$B$1)</f>
        <v>1521.86</v>
      </c>
      <c r="S92" s="55">
        <f>_xll.EQNXTDZ($A$1,$B92,S$5,$B$1)</f>
        <v>0</v>
      </c>
      <c r="T92" s="55">
        <f>_xll.EQNXTDZ($A$1,$B92,T$5,$B$1)</f>
        <v>651.23</v>
      </c>
      <c r="U92" s="55">
        <f>_xll.EQNXTDZ($A$1,$B92,U$5,$B$1)</f>
        <v>0</v>
      </c>
      <c r="V92" s="55">
        <f>_xll.EQNXTDZ($A$1,$B92,V$5,$B$1)</f>
        <v>987.38</v>
      </c>
      <c r="W92" s="55">
        <f>_xll.EQNXTDZ($A$1,$B92,W$5,$B$1)</f>
        <v>0</v>
      </c>
      <c r="X92" s="55">
        <f>_xll.EQNXTDZ($A$1,$B92,X$5,$B$1)</f>
        <v>2110.63</v>
      </c>
      <c r="Y92" s="55">
        <f>_xll.EQNXTDZ($A$1,$B92,Y$5,$B$1)</f>
        <v>0</v>
      </c>
      <c r="Z92" s="55">
        <f>_xll.EQNXTDZ($A$1,$B92,Z$5,$B$1)</f>
        <v>1269.6400000000001</v>
      </c>
      <c r="AA92" s="55">
        <f>_xll.EQNXTDZ($A$1,$B92,AA$5,$B$1)</f>
        <v>0</v>
      </c>
      <c r="AB92" s="55">
        <f>_xll.EQNXTDZ($A$1,$B92,AB$5,$B$1)</f>
        <v>1267.6199999999999</v>
      </c>
      <c r="AC92" s="55">
        <f>_xll.EQNXTDZ($A$1,$B92,AC$5,$B$1)</f>
        <v>0</v>
      </c>
      <c r="AD92" s="55">
        <f>_xll.EQNXTDZ($A$1,$B92,AD$5,$B$1)</f>
        <v>1369.41</v>
      </c>
      <c r="AE92" s="55">
        <f>_xll.EQNXTDZ($A$1,$B92,AE$5,$B$1)</f>
        <v>0</v>
      </c>
      <c r="AF92" s="55">
        <f>_xll.EQNXTDZ($A$1,$B92,AF$5,$B$1)</f>
        <v>1406.34</v>
      </c>
      <c r="AG92" s="55">
        <f>_xll.EQNXTDZ($A$1,$B92,AG$5,$B$1)</f>
        <v>0</v>
      </c>
      <c r="AH92" s="55">
        <f>_xll.EQNXTDZ($A$1,$B92,AH$5,$B$1)</f>
        <v>1663.67</v>
      </c>
      <c r="AI92" s="55">
        <f>_xll.EQNXTDZ($A$1,$B92,AI$5,$B$1)</f>
        <v>0</v>
      </c>
      <c r="AJ92" s="55">
        <f>_xll.EQNXTDZ($A$1,$B92,AJ$5,$B$1)</f>
        <v>2675.94</v>
      </c>
      <c r="AK92" s="55">
        <f>_xll.EQNXTDZ($A$1,$B92,AK$5,$B$1)</f>
        <v>0</v>
      </c>
      <c r="AL92" s="55">
        <f>_xll.EQNXTDZ($A$1,$B92,AL$5,$B$1)</f>
        <v>4725.32</v>
      </c>
      <c r="AM92" s="55">
        <f>_xll.EQNXTDZ($A$1,$B92,AM$5,$B$1)</f>
        <v>0</v>
      </c>
      <c r="AN92" s="55">
        <f>_xll.EQNXTDZ($A$1,$B92,AN$5,$B$1)</f>
        <v>2420.7600000000002</v>
      </c>
      <c r="AO92" s="55">
        <f>_xll.EQNXTDZ($A$1,$B92,AO$5,$B$1)</f>
        <v>0</v>
      </c>
      <c r="AP92" s="55">
        <f>_xll.EQNXTDZ($A$1,$B92,AP$5,$B$1)</f>
        <v>2768.49</v>
      </c>
      <c r="AQ92" s="55">
        <f>_xll.EQNXTDZ($A$1,$B92,AQ$5,$B$1)</f>
        <v>0</v>
      </c>
      <c r="AR92" s="55">
        <f>_xll.EQNXTDZ($A$1,$B92,AR$5,$B$1)</f>
        <v>3092.44</v>
      </c>
      <c r="AS92" s="55">
        <f>_xll.EQNXTDZ($A$1,$B92,AS$5,$B$1)</f>
        <v>0</v>
      </c>
      <c r="AT92" s="55">
        <f>_xll.EQNXTDZ($A$1,$B92,AT$5,$B$1)</f>
        <v>3882.73</v>
      </c>
      <c r="AU92" s="55">
        <f>_xll.EQNXTDZ($A$1,$B92,AU$5,$B$1)</f>
        <v>0</v>
      </c>
      <c r="AV92" s="55">
        <f>_xll.EQNXTDZ($A$1,$B92,AV$5,$B$1)</f>
        <v>4349.4799999999996</v>
      </c>
      <c r="AW92" s="55">
        <f>_xll.EQNXTDZ($A$1,$B92,AW$5,$B$1)</f>
        <v>0</v>
      </c>
      <c r="AX92" s="55">
        <f>_xll.EQNXTDZ($A$1,$B92,AX$5,$B$1)</f>
        <v>3779.08</v>
      </c>
      <c r="AY92" s="55">
        <f>_xll.EQNXTDZ($A$1,$B92,AY$5,$B$1)</f>
        <v>0</v>
      </c>
      <c r="AZ92" s="55">
        <f>_xll.EQNXTDZ($A$1,$B92,AZ$5,$B$1)</f>
        <v>4403.16</v>
      </c>
      <c r="BA92" s="55">
        <f>_xll.EQNXTDZ($A$1,$B92,BA$5,$B$1)</f>
        <v>0</v>
      </c>
      <c r="BB92" s="55">
        <f>_xll.EQNXTDZ($A$1,$B92,BB$5,$B$1)</f>
        <v>3888.29</v>
      </c>
      <c r="BC92" s="55">
        <f>_xll.EQNXTDZ($A$1,$B92,BC$5,$B$1)</f>
        <v>0</v>
      </c>
      <c r="BD92" s="55">
        <f>_xll.EQNXTDZ($A$1,$B92,BD$5,$B$1)</f>
        <v>3988.95</v>
      </c>
      <c r="BE92" s="55">
        <f>_xll.EQNXTDZ($A$1,$B92,BE$5,$B$1)</f>
        <v>0</v>
      </c>
      <c r="BF92" s="55">
        <f>_xll.EQNXTDZ($A$1,$B92,BF$5,$B$1)</f>
        <v>6048.2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50872.88</v>
      </c>
      <c r="E93" s="55">
        <f>_xll.EQNXTDZ($A$1,$B93,E$5,$B$1)</f>
        <v>49814.7</v>
      </c>
      <c r="F93" s="55">
        <f>_xll.EQNXTDZ($A$1,$B93,F$5,$B$1)</f>
        <v>52285.42</v>
      </c>
      <c r="G93" s="55">
        <f>_xll.EQNXTDZ($A$1,$B93,G$5,$B$1)</f>
        <v>0</v>
      </c>
      <c r="H93" s="55">
        <f>_xll.EQNXTDZ($A$1,$B93,H$5,$B$1)</f>
        <v>61171.86</v>
      </c>
      <c r="I93" s="55">
        <f>_xll.EQNXTDZ($A$1,$B93,I$5,$B$1)</f>
        <v>0</v>
      </c>
      <c r="J93" s="55">
        <f>_xll.EQNXTDZ($A$1,$B93,J$5,$B$1)</f>
        <v>64123.14</v>
      </c>
      <c r="K93" s="55">
        <f>_xll.EQNXTDZ($A$1,$B93,K$5,$B$1)</f>
        <v>0</v>
      </c>
      <c r="L93" s="55">
        <f>_xll.EQNXTDZ($A$1,$B93,L$5,$B$1)</f>
        <v>66334.070000000007</v>
      </c>
      <c r="M93" s="55">
        <f>_xll.EQNXTDZ($A$1,$B93,M$5,$B$1)</f>
        <v>0</v>
      </c>
      <c r="N93" s="55">
        <f>_xll.EQNXTDZ($A$1,$B93,N$5,$B$1)</f>
        <v>45971.519999999997</v>
      </c>
      <c r="O93" s="55">
        <f>_xll.EQNXTDZ($A$1,$B93,O$5,$B$1)</f>
        <v>0</v>
      </c>
      <c r="P93" s="55">
        <f>_xll.EQNXTDZ($A$1,$B93,P$5,$B$1)</f>
        <v>46406.89</v>
      </c>
      <c r="Q93" s="55">
        <f>_xll.EQNXTDZ($A$1,$B93,Q$5,$B$1)</f>
        <v>0</v>
      </c>
      <c r="R93" s="55">
        <f>_xll.EQNXTDZ($A$1,$B93,R$5,$B$1)</f>
        <v>47953.97</v>
      </c>
      <c r="S93" s="55">
        <f>_xll.EQNXTDZ($A$1,$B93,S$5,$B$1)</f>
        <v>0</v>
      </c>
      <c r="T93" s="55">
        <f>_xll.EQNXTDZ($A$1,$B93,T$5,$B$1)</f>
        <v>47150.02</v>
      </c>
      <c r="U93" s="55">
        <f>_xll.EQNXTDZ($A$1,$B93,U$5,$B$1)</f>
        <v>0</v>
      </c>
      <c r="V93" s="55">
        <f>_xll.EQNXTDZ($A$1,$B93,V$5,$B$1)</f>
        <v>50341.05</v>
      </c>
      <c r="W93" s="55">
        <f>_xll.EQNXTDZ($A$1,$B93,W$5,$B$1)</f>
        <v>0</v>
      </c>
      <c r="X93" s="55">
        <f>_xll.EQNXTDZ($A$1,$B93,X$5,$B$1)</f>
        <v>55970.39</v>
      </c>
      <c r="Y93" s="55">
        <f>_xll.EQNXTDZ($A$1,$B93,Y$5,$B$1)</f>
        <v>0</v>
      </c>
      <c r="Z93" s="55">
        <f>_xll.EQNXTDZ($A$1,$B93,Z$5,$B$1)</f>
        <v>55663.21</v>
      </c>
      <c r="AA93" s="55">
        <f>_xll.EQNXTDZ($A$1,$B93,AA$5,$B$1)</f>
        <v>0</v>
      </c>
      <c r="AB93" s="55">
        <f>_xll.EQNXTDZ($A$1,$B93,AB$5,$B$1)</f>
        <v>76632.13</v>
      </c>
      <c r="AC93" s="55">
        <f>_xll.EQNXTDZ($A$1,$B93,AC$5,$B$1)</f>
        <v>0</v>
      </c>
      <c r="AD93" s="55">
        <f>_xll.EQNXTDZ($A$1,$B93,AD$5,$B$1)</f>
        <v>61034.13</v>
      </c>
      <c r="AE93" s="55">
        <f>_xll.EQNXTDZ($A$1,$B93,AE$5,$B$1)</f>
        <v>0</v>
      </c>
      <c r="AF93" s="55">
        <f>_xll.EQNXTDZ($A$1,$B93,AF$5,$B$1)</f>
        <v>64159.27</v>
      </c>
      <c r="AG93" s="55">
        <f>_xll.EQNXTDZ($A$1,$B93,AG$5,$B$1)</f>
        <v>0</v>
      </c>
      <c r="AH93" s="55">
        <f>_xll.EQNXTDZ($A$1,$B93,AH$5,$B$1)</f>
        <v>61660.91</v>
      </c>
      <c r="AI93" s="55">
        <f>_xll.EQNXTDZ($A$1,$B93,AI$5,$B$1)</f>
        <v>0</v>
      </c>
      <c r="AJ93" s="55">
        <f>_xll.EQNXTDZ($A$1,$B93,AJ$5,$B$1)</f>
        <v>56879.31</v>
      </c>
      <c r="AK93" s="55">
        <f>_xll.EQNXTDZ($A$1,$B93,AK$5,$B$1)</f>
        <v>0</v>
      </c>
      <c r="AL93" s="55">
        <f>_xll.EQNXTDZ($A$1,$B93,AL$5,$B$1)</f>
        <v>70867.13</v>
      </c>
      <c r="AM93" s="55">
        <f>_xll.EQNXTDZ($A$1,$B93,AM$5,$B$1)</f>
        <v>0</v>
      </c>
      <c r="AN93" s="55">
        <f>_xll.EQNXTDZ($A$1,$B93,AN$5,$B$1)</f>
        <v>77302.94</v>
      </c>
      <c r="AO93" s="55">
        <f>_xll.EQNXTDZ($A$1,$B93,AO$5,$B$1)</f>
        <v>0</v>
      </c>
      <c r="AP93" s="55">
        <f>_xll.EQNXTDZ($A$1,$B93,AP$5,$B$1)</f>
        <v>90396.89</v>
      </c>
      <c r="AQ93" s="55">
        <f>_xll.EQNXTDZ($A$1,$B93,AQ$5,$B$1)</f>
        <v>0</v>
      </c>
      <c r="AR93" s="55">
        <f>_xll.EQNXTDZ($A$1,$B93,AR$5,$B$1)</f>
        <v>100575.89</v>
      </c>
      <c r="AS93" s="55">
        <f>_xll.EQNXTDZ($A$1,$B93,AS$5,$B$1)</f>
        <v>0</v>
      </c>
      <c r="AT93" s="55">
        <f>_xll.EQNXTDZ($A$1,$B93,AT$5,$B$1)</f>
        <v>97295.13</v>
      </c>
      <c r="AU93" s="55">
        <f>_xll.EQNXTDZ($A$1,$B93,AU$5,$B$1)</f>
        <v>0</v>
      </c>
      <c r="AV93" s="55">
        <f>_xll.EQNXTDZ($A$1,$B93,AV$5,$B$1)</f>
        <v>102573.08</v>
      </c>
      <c r="AW93" s="55">
        <f>_xll.EQNXTDZ($A$1,$B93,AW$5,$B$1)</f>
        <v>0</v>
      </c>
      <c r="AX93" s="55">
        <f>_xll.EQNXTDZ($A$1,$B93,AX$5,$B$1)</f>
        <v>98403.48</v>
      </c>
      <c r="AY93" s="55">
        <f>_xll.EQNXTDZ($A$1,$B93,AY$5,$B$1)</f>
        <v>0</v>
      </c>
      <c r="AZ93" s="55">
        <f>_xll.EQNXTDZ($A$1,$B93,AZ$5,$B$1)</f>
        <v>91946.880000000005</v>
      </c>
      <c r="BA93" s="55">
        <f>_xll.EQNXTDZ($A$1,$B93,BA$5,$B$1)</f>
        <v>0</v>
      </c>
      <c r="BB93" s="55">
        <f>_xll.EQNXTDZ($A$1,$B93,BB$5,$B$1)</f>
        <v>86093.55</v>
      </c>
      <c r="BC93" s="55">
        <f>_xll.EQNXTDZ($A$1,$B93,BC$5,$B$1)</f>
        <v>0</v>
      </c>
      <c r="BD93" s="55">
        <f>_xll.EQNXTDZ($A$1,$B93,BD$5,$B$1)</f>
        <v>89758.79</v>
      </c>
      <c r="BE93" s="55">
        <f>_xll.EQNXTDZ($A$1,$B93,BE$5,$B$1)</f>
        <v>0</v>
      </c>
      <c r="BF93" s="55">
        <f>_xll.EQNXTDZ($A$1,$B93,BF$5,$B$1)</f>
        <v>96917.64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4709.3099999999904</v>
      </c>
      <c r="E94" s="55">
        <f>_xll.EQNXTDZ($A$1,$B94,E$5,$B$1)</f>
        <v>2627.86</v>
      </c>
      <c r="F94" s="55">
        <f>_xll.EQNXTDZ($A$1,$B94,F$5,$B$1)</f>
        <v>1939.3500000000099</v>
      </c>
      <c r="G94" s="55">
        <f>_xll.EQNXTDZ($A$1,$B94,G$5,$B$1)</f>
        <v>0</v>
      </c>
      <c r="H94" s="55">
        <f>_xll.EQNXTDZ($A$1,$B94,H$5,$B$1)</f>
        <v>325.37999999998101</v>
      </c>
      <c r="I94" s="55">
        <f>_xll.EQNXTDZ($A$1,$B94,I$5,$B$1)</f>
        <v>0</v>
      </c>
      <c r="J94" s="55">
        <f>_xll.EQNXTDZ($A$1,$B94,J$5,$B$1)</f>
        <v>-6133.73</v>
      </c>
      <c r="K94" s="55">
        <f>_xll.EQNXTDZ($A$1,$B94,K$5,$B$1)</f>
        <v>0</v>
      </c>
      <c r="L94" s="55">
        <f>_xll.EQNXTDZ($A$1,$B94,L$5,$B$1)</f>
        <v>-5148.67</v>
      </c>
      <c r="M94" s="55">
        <f>_xll.EQNXTDZ($A$1,$B94,M$5,$B$1)</f>
        <v>0</v>
      </c>
      <c r="N94" s="55">
        <f>_xll.EQNXTDZ($A$1,$B94,N$5,$B$1)</f>
        <v>7768.6200000000099</v>
      </c>
      <c r="O94" s="55">
        <f>_xll.EQNXTDZ($A$1,$B94,O$5,$B$1)</f>
        <v>0</v>
      </c>
      <c r="P94" s="55">
        <f>_xll.EQNXTDZ($A$1,$B94,P$5,$B$1)</f>
        <v>3899.01</v>
      </c>
      <c r="Q94" s="55">
        <f>_xll.EQNXTDZ($A$1,$B94,Q$5,$B$1)</f>
        <v>0</v>
      </c>
      <c r="R94" s="55">
        <f>_xll.EQNXTDZ($A$1,$B94,R$5,$B$1)</f>
        <v>-2162.0100000000002</v>
      </c>
      <c r="S94" s="55">
        <f>_xll.EQNXTDZ($A$1,$B94,S$5,$B$1)</f>
        <v>0</v>
      </c>
      <c r="T94" s="55">
        <f>_xll.EQNXTDZ($A$1,$B94,T$5,$B$1)</f>
        <v>-2990.91</v>
      </c>
      <c r="U94" s="55">
        <f>_xll.EQNXTDZ($A$1,$B94,U$5,$B$1)</f>
        <v>0</v>
      </c>
      <c r="V94" s="55">
        <f>_xll.EQNXTDZ($A$1,$B94,V$5,$B$1)</f>
        <v>593.979999999999</v>
      </c>
      <c r="W94" s="55">
        <f>_xll.EQNXTDZ($A$1,$B94,W$5,$B$1)</f>
        <v>0</v>
      </c>
      <c r="X94" s="55">
        <f>_xll.EQNXTDZ($A$1,$B94,X$5,$B$1)</f>
        <v>122.61000000000899</v>
      </c>
      <c r="Y94" s="55">
        <f>_xll.EQNXTDZ($A$1,$B94,Y$5,$B$1)</f>
        <v>0</v>
      </c>
      <c r="Z94" s="55">
        <f>_xll.EQNXTDZ($A$1,$B94,Z$5,$B$1)</f>
        <v>12213.95</v>
      </c>
      <c r="AA94" s="55">
        <f>_xll.EQNXTDZ($A$1,$B94,AA$5,$B$1)</f>
        <v>0</v>
      </c>
      <c r="AB94" s="55">
        <f>_xll.EQNXTDZ($A$1,$B94,AB$5,$B$1)</f>
        <v>-5604.86</v>
      </c>
      <c r="AC94" s="55">
        <f>_xll.EQNXTDZ($A$1,$B94,AC$5,$B$1)</f>
        <v>0</v>
      </c>
      <c r="AD94" s="55">
        <f>_xll.EQNXTDZ($A$1,$B94,AD$5,$B$1)</f>
        <v>-2043.1500000000101</v>
      </c>
      <c r="AE94" s="55">
        <f>_xll.EQNXTDZ($A$1,$B94,AE$5,$B$1)</f>
        <v>0</v>
      </c>
      <c r="AF94" s="55">
        <f>_xll.EQNXTDZ($A$1,$B94,AF$5,$B$1)</f>
        <v>-5588.28999999999</v>
      </c>
      <c r="AG94" s="55">
        <f>_xll.EQNXTDZ($A$1,$B94,AG$5,$B$1)</f>
        <v>0</v>
      </c>
      <c r="AH94" s="55">
        <f>_xll.EQNXTDZ($A$1,$B94,AH$5,$B$1)</f>
        <v>-2928.19</v>
      </c>
      <c r="AI94" s="55">
        <f>_xll.EQNXTDZ($A$1,$B94,AI$5,$B$1)</f>
        <v>0</v>
      </c>
      <c r="AJ94" s="55">
        <f>_xll.EQNXTDZ($A$1,$B94,AJ$5,$B$1)</f>
        <v>2078.02000000001</v>
      </c>
      <c r="AK94" s="55">
        <f>_xll.EQNXTDZ($A$1,$B94,AK$5,$B$1)</f>
        <v>0</v>
      </c>
      <c r="AL94" s="55">
        <f>_xll.EQNXTDZ($A$1,$B94,AL$5,$B$1)</f>
        <v>-10655.23</v>
      </c>
      <c r="AM94" s="55">
        <f>_xll.EQNXTDZ($A$1,$B94,AM$5,$B$1)</f>
        <v>0</v>
      </c>
      <c r="AN94" s="55">
        <f>_xll.EQNXTDZ($A$1,$B94,AN$5,$B$1)</f>
        <v>-8259.3900000000103</v>
      </c>
      <c r="AO94" s="55">
        <f>_xll.EQNXTDZ($A$1,$B94,AO$5,$B$1)</f>
        <v>0</v>
      </c>
      <c r="AP94" s="55">
        <f>_xll.EQNXTDZ($A$1,$B94,AP$5,$B$1)</f>
        <v>1859.18</v>
      </c>
      <c r="AQ94" s="55">
        <f>_xll.EQNXTDZ($A$1,$B94,AQ$5,$B$1)</f>
        <v>0</v>
      </c>
      <c r="AR94" s="55">
        <f>_xll.EQNXTDZ($A$1,$B94,AR$5,$B$1)</f>
        <v>-9618.19</v>
      </c>
      <c r="AS94" s="55">
        <f>_xll.EQNXTDZ($A$1,$B94,AS$5,$B$1)</f>
        <v>0</v>
      </c>
      <c r="AT94" s="55">
        <f>_xll.EQNXTDZ($A$1,$B94,AT$5,$B$1)</f>
        <v>-10688.99</v>
      </c>
      <c r="AU94" s="55">
        <f>_xll.EQNXTDZ($A$1,$B94,AU$5,$B$1)</f>
        <v>0</v>
      </c>
      <c r="AV94" s="55">
        <f>_xll.EQNXTDZ($A$1,$B94,AV$5,$B$1)</f>
        <v>-27678.81</v>
      </c>
      <c r="AW94" s="55">
        <f>_xll.EQNXTDZ($A$1,$B94,AW$5,$B$1)</f>
        <v>0</v>
      </c>
      <c r="AX94" s="55">
        <f>_xll.EQNXTDZ($A$1,$B94,AX$5,$B$1)</f>
        <v>-27899.89</v>
      </c>
      <c r="AY94" s="55">
        <f>_xll.EQNXTDZ($A$1,$B94,AY$5,$B$1)</f>
        <v>0</v>
      </c>
      <c r="AZ94" s="55">
        <f>_xll.EQNXTDZ($A$1,$B94,AZ$5,$B$1)</f>
        <v>-17968.330000000002</v>
      </c>
      <c r="BA94" s="55">
        <f>_xll.EQNXTDZ($A$1,$B94,BA$5,$B$1)</f>
        <v>0</v>
      </c>
      <c r="BB94" s="55">
        <f>_xll.EQNXTDZ($A$1,$B94,BB$5,$B$1)</f>
        <v>-17702.009999999998</v>
      </c>
      <c r="BC94" s="55">
        <f>_xll.EQNXTDZ($A$1,$B94,BC$5,$B$1)</f>
        <v>0</v>
      </c>
      <c r="BD94" s="55">
        <f>_xll.EQNXTDZ($A$1,$B94,BD$5,$B$1)</f>
        <v>-23136.14</v>
      </c>
      <c r="BE94" s="55">
        <f>_xll.EQNXTDZ($A$1,$B94,BE$5,$B$1)</f>
        <v>0</v>
      </c>
      <c r="BF94" s="55">
        <f>_xll.EQNXTDZ($A$1,$B94,BF$5,$B$1)</f>
        <v>-24652.53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-2244.6</v>
      </c>
      <c r="E96" s="55">
        <f>_xll.EQNXTDZ($A$1,$B96,E$5,$B$1)</f>
        <v>-2546.4299999999998</v>
      </c>
      <c r="F96" s="55">
        <f>_xll.EQNXTDZ($A$1,$B96,F$5,$B$1)</f>
        <v>-3118.49</v>
      </c>
      <c r="G96" s="55">
        <f>_xll.EQNXTDZ($A$1,$B96,G$5,$B$1)</f>
        <v>0</v>
      </c>
      <c r="H96" s="55">
        <f>_xll.EQNXTDZ($A$1,$B96,H$5,$B$1)</f>
        <v>-2386.1</v>
      </c>
      <c r="I96" s="55">
        <f>_xll.EQNXTDZ($A$1,$B96,I$5,$B$1)</f>
        <v>0</v>
      </c>
      <c r="J96" s="55">
        <f>_xll.EQNXTDZ($A$1,$B96,J$5,$B$1)</f>
        <v>-2555</v>
      </c>
      <c r="K96" s="55">
        <f>_xll.EQNXTDZ($A$1,$B96,K$5,$B$1)</f>
        <v>0</v>
      </c>
      <c r="L96" s="55">
        <f>_xll.EQNXTDZ($A$1,$B96,L$5,$B$1)</f>
        <v>-2602.6999999999998</v>
      </c>
      <c r="M96" s="55">
        <f>_xll.EQNXTDZ($A$1,$B96,M$5,$B$1)</f>
        <v>0</v>
      </c>
      <c r="N96" s="55">
        <f>_xll.EQNXTDZ($A$1,$B96,N$5,$B$1)</f>
        <v>-2861.76</v>
      </c>
      <c r="O96" s="55">
        <f>_xll.EQNXTDZ($A$1,$B96,O$5,$B$1)</f>
        <v>0</v>
      </c>
      <c r="P96" s="55">
        <f>_xll.EQNXTDZ($A$1,$B96,P$5,$B$1)</f>
        <v>-2811.91</v>
      </c>
      <c r="Q96" s="55">
        <f>_xll.EQNXTDZ($A$1,$B96,Q$5,$B$1)</f>
        <v>0</v>
      </c>
      <c r="R96" s="55">
        <f>_xll.EQNXTDZ($A$1,$B96,R$5,$B$1)</f>
        <v>-8793.44</v>
      </c>
      <c r="S96" s="55">
        <f>_xll.EQNXTDZ($A$1,$B96,S$5,$B$1)</f>
        <v>0</v>
      </c>
      <c r="T96" s="55">
        <f>_xll.EQNXTDZ($A$1,$B96,T$5,$B$1)</f>
        <v>-8394.26</v>
      </c>
      <c r="U96" s="55">
        <f>_xll.EQNXTDZ($A$1,$B96,U$5,$B$1)</f>
        <v>0</v>
      </c>
      <c r="V96" s="55">
        <f>_xll.EQNXTDZ($A$1,$B96,V$5,$B$1)</f>
        <v>-9144.2099999999991</v>
      </c>
      <c r="W96" s="55">
        <f>_xll.EQNXTDZ($A$1,$B96,W$5,$B$1)</f>
        <v>0</v>
      </c>
      <c r="X96" s="55">
        <f>_xll.EQNXTDZ($A$1,$B96,X$5,$B$1)</f>
        <v>-8697.2999999999993</v>
      </c>
      <c r="Y96" s="55">
        <f>_xll.EQNXTDZ($A$1,$B96,Y$5,$B$1)</f>
        <v>0</v>
      </c>
      <c r="Z96" s="55">
        <f>_xll.EQNXTDZ($A$1,$B96,Z$5,$B$1)</f>
        <v>-9534.08</v>
      </c>
      <c r="AA96" s="55">
        <f>_xll.EQNXTDZ($A$1,$B96,AA$5,$B$1)</f>
        <v>0</v>
      </c>
      <c r="AB96" s="55">
        <f>_xll.EQNXTDZ($A$1,$B96,AB$5,$B$1)</f>
        <v>-10744.17</v>
      </c>
      <c r="AC96" s="55">
        <f>_xll.EQNXTDZ($A$1,$B96,AC$5,$B$1)</f>
        <v>0</v>
      </c>
      <c r="AD96" s="55">
        <f>_xll.EQNXTDZ($A$1,$B96,AD$5,$B$1)</f>
        <v>-11650.94</v>
      </c>
      <c r="AE96" s="55">
        <f>_xll.EQNXTDZ($A$1,$B96,AE$5,$B$1)</f>
        <v>0</v>
      </c>
      <c r="AF96" s="55">
        <f>_xll.EQNXTDZ($A$1,$B96,AF$5,$B$1)</f>
        <v>-7662.02</v>
      </c>
      <c r="AG96" s="55">
        <f>_xll.EQNXTDZ($A$1,$B96,AG$5,$B$1)</f>
        <v>0</v>
      </c>
      <c r="AH96" s="55">
        <f>_xll.EQNXTDZ($A$1,$B96,AH$5,$B$1)</f>
        <v>-7991.05</v>
      </c>
      <c r="AI96" s="55">
        <f>_xll.EQNXTDZ($A$1,$B96,AI$5,$B$1)</f>
        <v>0</v>
      </c>
      <c r="AJ96" s="55">
        <f>_xll.EQNXTDZ($A$1,$B96,AJ$5,$B$1)</f>
        <v>-7876.59</v>
      </c>
      <c r="AK96" s="55">
        <f>_xll.EQNXTDZ($A$1,$B96,AK$5,$B$1)</f>
        <v>0</v>
      </c>
      <c r="AL96" s="55">
        <f>_xll.EQNXTDZ($A$1,$B96,AL$5,$B$1)</f>
        <v>-7663.4</v>
      </c>
      <c r="AM96" s="55">
        <f>_xll.EQNXTDZ($A$1,$B96,AM$5,$B$1)</f>
        <v>0</v>
      </c>
      <c r="AN96" s="55">
        <f>_xll.EQNXTDZ($A$1,$B96,AN$5,$B$1)</f>
        <v>-10388.629999999999</v>
      </c>
      <c r="AO96" s="55">
        <f>_xll.EQNXTDZ($A$1,$B96,AO$5,$B$1)</f>
        <v>0</v>
      </c>
      <c r="AP96" s="55">
        <f>_xll.EQNXTDZ($A$1,$B96,AP$5,$B$1)</f>
        <v>-9301.85</v>
      </c>
      <c r="AQ96" s="55">
        <f>_xll.EQNXTDZ($A$1,$B96,AQ$5,$B$1)</f>
        <v>0</v>
      </c>
      <c r="AR96" s="55">
        <f>_xll.EQNXTDZ($A$1,$B96,AR$5,$B$1)</f>
        <v>-11575.71</v>
      </c>
      <c r="AS96" s="55">
        <f>_xll.EQNXTDZ($A$1,$B96,AS$5,$B$1)</f>
        <v>0</v>
      </c>
      <c r="AT96" s="55">
        <f>_xll.EQNXTDZ($A$1,$B96,AT$5,$B$1)</f>
        <v>-11489.68</v>
      </c>
      <c r="AU96" s="55">
        <f>_xll.EQNXTDZ($A$1,$B96,AU$5,$B$1)</f>
        <v>0</v>
      </c>
      <c r="AV96" s="55">
        <f>_xll.EQNXTDZ($A$1,$B96,AV$5,$B$1)</f>
        <v>-9329.4599999999991</v>
      </c>
      <c r="AW96" s="55">
        <f>_xll.EQNXTDZ($A$1,$B96,AW$5,$B$1)</f>
        <v>0</v>
      </c>
      <c r="AX96" s="55">
        <f>_xll.EQNXTDZ($A$1,$B96,AX$5,$B$1)</f>
        <v>-8881.26</v>
      </c>
      <c r="AY96" s="55">
        <f>_xll.EQNXTDZ($A$1,$B96,AY$5,$B$1)</f>
        <v>0</v>
      </c>
      <c r="AZ96" s="55">
        <f>_xll.EQNXTDZ($A$1,$B96,AZ$5,$B$1)</f>
        <v>-10019.84</v>
      </c>
      <c r="BA96" s="55">
        <f>_xll.EQNXTDZ($A$1,$B96,BA$5,$B$1)</f>
        <v>0</v>
      </c>
      <c r="BB96" s="55">
        <f>_xll.EQNXTDZ($A$1,$B96,BB$5,$B$1)</f>
        <v>-10493.93</v>
      </c>
      <c r="BC96" s="55">
        <f>_xll.EQNXTDZ($A$1,$B96,BC$5,$B$1)</f>
        <v>0</v>
      </c>
      <c r="BD96" s="55">
        <f>_xll.EQNXTDZ($A$1,$B96,BD$5,$B$1)</f>
        <v>-10218.549999999999</v>
      </c>
      <c r="BE96" s="55">
        <f>_xll.EQNXTDZ($A$1,$B96,BE$5,$B$1)</f>
        <v>0</v>
      </c>
      <c r="BF96" s="55">
        <f>_xll.EQNXTDZ($A$1,$B96,BF$5,$B$1)</f>
        <v>-10592.75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97437.63</v>
      </c>
      <c r="E97" s="55">
        <f>_xll.EQNXTDZ($A$1,$B97,E$5,$B$1)</f>
        <v>99351.66</v>
      </c>
      <c r="F97" s="55">
        <f>_xll.EQNXTDZ($A$1,$B97,F$5,$B$1)</f>
        <v>91472.39</v>
      </c>
      <c r="G97" s="55">
        <f>_xll.EQNXTDZ($A$1,$B97,G$5,$B$1)</f>
        <v>0</v>
      </c>
      <c r="H97" s="55">
        <f>_xll.EQNXTDZ($A$1,$B97,H$5,$B$1)</f>
        <v>106947.52</v>
      </c>
      <c r="I97" s="55">
        <f>_xll.EQNXTDZ($A$1,$B97,I$5,$B$1)</f>
        <v>0</v>
      </c>
      <c r="J97" s="55">
        <f>_xll.EQNXTDZ($A$1,$B97,J$5,$B$1)</f>
        <v>104925.54</v>
      </c>
      <c r="K97" s="55">
        <f>_xll.EQNXTDZ($A$1,$B97,K$5,$B$1)</f>
        <v>0</v>
      </c>
      <c r="L97" s="55">
        <f>_xll.EQNXTDZ($A$1,$B97,L$5,$B$1)</f>
        <v>103548.33</v>
      </c>
      <c r="M97" s="55">
        <f>_xll.EQNXTDZ($A$1,$B97,M$5,$B$1)</f>
        <v>0</v>
      </c>
      <c r="N97" s="55">
        <f>_xll.EQNXTDZ($A$1,$B97,N$5,$B$1)</f>
        <v>110276.02</v>
      </c>
      <c r="O97" s="55">
        <f>_xll.EQNXTDZ($A$1,$B97,O$5,$B$1)</f>
        <v>0</v>
      </c>
      <c r="P97" s="55">
        <f>_xll.EQNXTDZ($A$1,$B97,P$5,$B$1)</f>
        <v>115904.84</v>
      </c>
      <c r="Q97" s="55">
        <f>_xll.EQNXTDZ($A$1,$B97,Q$5,$B$1)</f>
        <v>0</v>
      </c>
      <c r="R97" s="55">
        <f>_xll.EQNXTDZ($A$1,$B97,R$5,$B$1)</f>
        <v>120136.58</v>
      </c>
      <c r="S97" s="55">
        <f>_xll.EQNXTDZ($A$1,$B97,S$5,$B$1)</f>
        <v>0</v>
      </c>
      <c r="T97" s="55">
        <f>_xll.EQNXTDZ($A$1,$B97,T$5,$B$1)</f>
        <v>114293.68</v>
      </c>
      <c r="U97" s="55">
        <f>_xll.EQNXTDZ($A$1,$B97,U$5,$B$1)</f>
        <v>0</v>
      </c>
      <c r="V97" s="55">
        <f>_xll.EQNXTDZ($A$1,$B97,V$5,$B$1)</f>
        <v>112962.11</v>
      </c>
      <c r="W97" s="55">
        <f>_xll.EQNXTDZ($A$1,$B97,W$5,$B$1)</f>
        <v>0</v>
      </c>
      <c r="X97" s="55">
        <f>_xll.EQNXTDZ($A$1,$B97,X$5,$B$1)</f>
        <v>108566.18</v>
      </c>
      <c r="Y97" s="55">
        <f>_xll.EQNXTDZ($A$1,$B97,Y$5,$B$1)</f>
        <v>0</v>
      </c>
      <c r="Z97" s="55">
        <f>_xll.EQNXTDZ($A$1,$B97,Z$5,$B$1)</f>
        <v>143526.65</v>
      </c>
      <c r="AA97" s="55">
        <f>_xll.EQNXTDZ($A$1,$B97,AA$5,$B$1)</f>
        <v>0</v>
      </c>
      <c r="AB97" s="55">
        <f>_xll.EQNXTDZ($A$1,$B97,AB$5,$B$1)</f>
        <v>160430.1</v>
      </c>
      <c r="AC97" s="55">
        <f>_xll.EQNXTDZ($A$1,$B97,AC$5,$B$1)</f>
        <v>0</v>
      </c>
      <c r="AD97" s="55">
        <f>_xll.EQNXTDZ($A$1,$B97,AD$5,$B$1)</f>
        <v>160088.37</v>
      </c>
      <c r="AE97" s="55">
        <f>_xll.EQNXTDZ($A$1,$B97,AE$5,$B$1)</f>
        <v>0</v>
      </c>
      <c r="AF97" s="55">
        <f>_xll.EQNXTDZ($A$1,$B97,AF$5,$B$1)</f>
        <v>170228.55</v>
      </c>
      <c r="AG97" s="55">
        <f>_xll.EQNXTDZ($A$1,$B97,AG$5,$B$1)</f>
        <v>0</v>
      </c>
      <c r="AH97" s="55">
        <f>_xll.EQNXTDZ($A$1,$B97,AH$5,$B$1)</f>
        <v>179497.16</v>
      </c>
      <c r="AI97" s="55">
        <f>_xll.EQNXTDZ($A$1,$B97,AI$5,$B$1)</f>
        <v>0</v>
      </c>
      <c r="AJ97" s="55">
        <f>_xll.EQNXTDZ($A$1,$B97,AJ$5,$B$1)</f>
        <v>178374.85</v>
      </c>
      <c r="AK97" s="55">
        <f>_xll.EQNXTDZ($A$1,$B97,AK$5,$B$1)</f>
        <v>0</v>
      </c>
      <c r="AL97" s="55">
        <f>_xll.EQNXTDZ($A$1,$B97,AL$5,$B$1)</f>
        <v>165378.66</v>
      </c>
      <c r="AM97" s="55">
        <f>_xll.EQNXTDZ($A$1,$B97,AM$5,$B$1)</f>
        <v>0</v>
      </c>
      <c r="AN97" s="55">
        <f>_xll.EQNXTDZ($A$1,$B97,AN$5,$B$1)</f>
        <v>167641.26</v>
      </c>
      <c r="AO97" s="55">
        <f>_xll.EQNXTDZ($A$1,$B97,AO$5,$B$1)</f>
        <v>0</v>
      </c>
      <c r="AP97" s="55">
        <f>_xll.EQNXTDZ($A$1,$B97,AP$5,$B$1)</f>
        <v>182722.93</v>
      </c>
      <c r="AQ97" s="55">
        <f>_xll.EQNXTDZ($A$1,$B97,AQ$5,$B$1)</f>
        <v>0</v>
      </c>
      <c r="AR97" s="55">
        <f>_xll.EQNXTDZ($A$1,$B97,AR$5,$B$1)</f>
        <v>174779.76</v>
      </c>
      <c r="AS97" s="55">
        <f>_xll.EQNXTDZ($A$1,$B97,AS$5,$B$1)</f>
        <v>0</v>
      </c>
      <c r="AT97" s="55">
        <f>_xll.EQNXTDZ($A$1,$B97,AT$5,$B$1)</f>
        <v>176610.97</v>
      </c>
      <c r="AU97" s="55">
        <f>_xll.EQNXTDZ($A$1,$B97,AU$5,$B$1)</f>
        <v>0</v>
      </c>
      <c r="AV97" s="55">
        <f>_xll.EQNXTDZ($A$1,$B97,AV$5,$B$1)</f>
        <v>156063.04999999999</v>
      </c>
      <c r="AW97" s="55">
        <f>_xll.EQNXTDZ($A$1,$B97,AW$5,$B$1)</f>
        <v>0</v>
      </c>
      <c r="AX97" s="55">
        <f>_xll.EQNXTDZ($A$1,$B97,AX$5,$B$1)</f>
        <v>162027.68</v>
      </c>
      <c r="AY97" s="55">
        <f>_xll.EQNXTDZ($A$1,$B97,AY$5,$B$1)</f>
        <v>0</v>
      </c>
      <c r="AZ97" s="55">
        <f>_xll.EQNXTDZ($A$1,$B97,AZ$5,$B$1)</f>
        <v>175363.98</v>
      </c>
      <c r="BA97" s="55">
        <f>_xll.EQNXTDZ($A$1,$B97,BA$5,$B$1)</f>
        <v>0</v>
      </c>
      <c r="BB97" s="55">
        <f>_xll.EQNXTDZ($A$1,$B97,BB$5,$B$1)</f>
        <v>178871.1</v>
      </c>
      <c r="BC97" s="55">
        <f>_xll.EQNXTDZ($A$1,$B97,BC$5,$B$1)</f>
        <v>0</v>
      </c>
      <c r="BD97" s="55">
        <f>_xll.EQNXTDZ($A$1,$B97,BD$5,$B$1)</f>
        <v>181406.26</v>
      </c>
      <c r="BE97" s="55">
        <f>_xll.EQNXTDZ($A$1,$B97,BE$5,$B$1)</f>
        <v>0</v>
      </c>
      <c r="BF97" s="55">
        <f>_xll.EQNXTDZ($A$1,$B97,BF$5,$B$1)</f>
        <v>189004.23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100470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Tata Steel Ltd.</v>
      </c>
    </row>
    <row r="5" spans="1:32" x14ac:dyDescent="0.25">
      <c r="A5" t="s">
        <v>113</v>
      </c>
      <c r="B5" t="s">
        <v>130</v>
      </c>
      <c r="C5">
        <f>_xll.EQNXTDZ($A$1,$B5,C$1,$B$1)</f>
        <v>200103</v>
      </c>
      <c r="D5">
        <f>_xll.EQNXTDZ($A$1,$B5,D$1,$B$1)</f>
        <v>200203</v>
      </c>
      <c r="E5">
        <f>_xll.EQNXTDZ($A$1,$B5,E$1,$B$1)</f>
        <v>200303</v>
      </c>
      <c r="F5">
        <f>_xll.EQNXTDZ($A$1,$B5,F$1,$B$1)</f>
        <v>200403</v>
      </c>
      <c r="G5">
        <f>_xll.EQNXTDZ($A$1,$B5,G$1,$B$1)</f>
        <v>200503</v>
      </c>
      <c r="H5">
        <f>_xll.EQNXTDZ($A$1,$B5,H$1,$B$1)</f>
        <v>200603</v>
      </c>
      <c r="I5">
        <f>_xll.EQNXTDZ($A$1,$B5,I$1,$B$1)</f>
        <v>200703</v>
      </c>
      <c r="J5">
        <f>_xll.EQNXTDZ($A$1,$B5,J$1,$B$1)</f>
        <v>200803</v>
      </c>
      <c r="K5">
        <f>_xll.EQNXTDZ($A$1,$B5,K$1,$B$1)</f>
        <v>200903</v>
      </c>
      <c r="L5">
        <f>_xll.EQNXTDZ($A$1,$B5,L$1,$B$1)</f>
        <v>201003</v>
      </c>
      <c r="M5">
        <f>_xll.EQNXTDZ($A$1,$B5,M$1,$B$1)</f>
        <v>201103</v>
      </c>
      <c r="N5">
        <f>_xll.EQNXTDZ($A$1,$B5,N$1,$B$1)</f>
        <v>201203</v>
      </c>
      <c r="O5">
        <f>_xll.EQNXTDZ($A$1,$B5,O$1,$B$1)</f>
        <v>201303</v>
      </c>
      <c r="P5">
        <f>_xll.EQNXTDZ($A$1,$B5,P$1,$B$1)</f>
        <v>201403</v>
      </c>
      <c r="Q5">
        <f>_xll.EQNXTDZ($A$1,$B5,Q$1,$B$1)</f>
        <v>201503</v>
      </c>
      <c r="R5">
        <f>_xll.EQNXTDZ($A$1,$B5,R$1,$B$1)</f>
        <v>201603</v>
      </c>
      <c r="S5">
        <f>_xll.EQNXTDZ($A$1,$B5,S$1,$B$1)</f>
        <v>201703</v>
      </c>
      <c r="T5">
        <f>_xll.EQNXTDZ($A$1,$B5,T$1,$B$1)</f>
        <v>201803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7759.44</v>
      </c>
      <c r="D6" s="100">
        <f>_xll.EQNXTDZ($A$1,$B6,D$1,$B$1)</f>
        <v>8401.25</v>
      </c>
      <c r="E6" s="100">
        <f>_xll.EQNXTDZ($A$1,$B6,E$1,$B$1)</f>
        <v>10229.959999999999</v>
      </c>
      <c r="F6" s="100">
        <f>_xll.EQNXTDZ($A$1,$B6,F$1,$B$1)</f>
        <v>12372.53</v>
      </c>
      <c r="G6" s="100">
        <f>_xll.EQNXTDZ($A$1,$B6,G$1,$B$1)</f>
        <v>17414.52</v>
      </c>
      <c r="H6" s="100">
        <f>_xll.EQNXTDZ($A$1,$B6,H$1,$B$1)</f>
        <v>22272.14</v>
      </c>
      <c r="I6" s="100">
        <f>_xll.EQNXTDZ($A$1,$B6,I$1,$B$1)</f>
        <v>27437.29</v>
      </c>
      <c r="J6" s="100">
        <f>_xll.EQNXTDZ($A$1,$B6,J$1,$B$1)</f>
        <v>134086.76999999999</v>
      </c>
      <c r="K6" s="100">
        <f>_xll.EQNXTDZ($A$1,$B6,K$1,$B$1)</f>
        <v>149984.94</v>
      </c>
      <c r="L6" s="100">
        <f>_xll.EQNXTDZ($A$1,$B6,L$1,$B$1)</f>
        <v>104229.83</v>
      </c>
      <c r="M6" s="100">
        <f>_xll.EQNXTDZ($A$1,$B6,M$1,$B$1)</f>
        <v>121345.75</v>
      </c>
      <c r="N6" s="100">
        <f>_xll.EQNXTDZ($A$1,$B6,N$1,$B$1)</f>
        <v>135975.56</v>
      </c>
      <c r="O6" s="100">
        <f>_xll.EQNXTDZ($A$1,$B6,O$1,$B$1)</f>
        <v>138821.14000000001</v>
      </c>
      <c r="P6" s="100">
        <f>_xll.EQNXTDZ($A$1,$B6,P$1,$B$1)</f>
        <v>153212.79</v>
      </c>
      <c r="Q6" s="100">
        <f>_xll.EQNXTDZ($A$1,$B6,Q$1,$B$1)</f>
        <v>144298.35999999999</v>
      </c>
      <c r="R6" s="100">
        <f>_xll.EQNXTDZ($A$1,$B6,R$1,$B$1)</f>
        <v>106339.92</v>
      </c>
      <c r="S6" s="100">
        <f>_xll.EQNXTDZ($A$1,$B6,S$1,$B$1)</f>
        <v>117419.94</v>
      </c>
      <c r="T6" s="100">
        <f>_xll.EQNXTDZ($A$1,$B6,T$1,$B$1)</f>
        <v>124109.69</v>
      </c>
      <c r="U6" s="100">
        <f>_xll.EQNXTDZ($A$1,$B6,U$1,$B$1)</f>
        <v>157668.99</v>
      </c>
      <c r="V6" s="100">
        <f>_xll.EQNXTDZ($A$1,$B6,V$1,$B$1)</f>
        <v>148971.71</v>
      </c>
      <c r="W6" s="100">
        <f>_xll.EQNXTDZ($A$1,$B6,W$1,$B$1)</f>
        <v>156477.4</v>
      </c>
      <c r="X6" s="100">
        <f>_xll.EQNXTDZ($A$1,$B6,X$1,$B$1)</f>
        <v>243959.17</v>
      </c>
      <c r="Y6" s="100">
        <f>_xll.EQNXTDZ($A$1,$B6,Y$1,$B$1)</f>
        <v>243352.69</v>
      </c>
      <c r="Z6" s="100">
        <f>_xll.EQNXTDZ($A$1,$B6,Z$1,$B$1)</f>
        <v>229170.78</v>
      </c>
      <c r="AA6" s="100">
        <f>_xll.EQNXTDZ($A$1,$B6,AA$1,$B$1)</f>
        <v>218542.51</v>
      </c>
      <c r="AB6" s="100">
        <f>_xll.EQNXTDZ($A$1,$B6,AB$1,$B$1)</f>
        <v>232139.94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0</v>
      </c>
      <c r="U8" s="100">
        <f>_xll.EQNXTDZ($A$1,$B8,U$1,$B$1)</f>
        <v>0</v>
      </c>
      <c r="V8" s="100">
        <f>_xll.EQNXTDZ($A$1,$B8,V$1,$B$1)</f>
        <v>0</v>
      </c>
      <c r="W8" s="100">
        <f>_xll.EQNXTDZ($A$1,$B8,W$1,$B$1)</f>
        <v>0</v>
      </c>
      <c r="X8" s="100">
        <f>_xll.EQNXTDZ($A$1,$B8,X$1,$B$1)</f>
        <v>0</v>
      </c>
      <c r="Y8" s="100">
        <f>_xll.EQNXTDZ($A$1,$B8,Y$1,$B$1)</f>
        <v>0</v>
      </c>
      <c r="Z8" s="100">
        <f>_xll.EQNXTDZ($A$1,$B8,Z$1,$B$1)</f>
        <v>0</v>
      </c>
      <c r="AA8" s="100">
        <f>_xll.EQNXTDZ($A$1,$B8,AA$1,$B$1)</f>
        <v>0</v>
      </c>
      <c r="AB8" s="100">
        <f>_xll.EQNXTDZ($A$1,$B8,AB$1,$B$1)</f>
        <v>0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920.83</v>
      </c>
      <c r="D9" s="100">
        <f>_xll.EQNXTDZ($A$1,$B9,D$1,$B$1)</f>
        <v>983.75</v>
      </c>
      <c r="E9" s="100">
        <f>_xll.EQNXTDZ($A$1,$B9,E$1,$B$1)</f>
        <v>1093.1400000000001</v>
      </c>
      <c r="F9" s="100">
        <f>_xll.EQNXTDZ($A$1,$B9,F$1,$B$1)</f>
        <v>1243.0899999999999</v>
      </c>
      <c r="G9" s="100">
        <f>_xll.EQNXTDZ($A$1,$B9,G$1,$B$1)</f>
        <v>1415.91</v>
      </c>
      <c r="H9" s="100">
        <f>_xll.EQNXTDZ($A$1,$B9,H$1,$B$1)</f>
        <v>1950</v>
      </c>
      <c r="I9" s="100">
        <f>_xll.EQNXTDZ($A$1,$B9,I$1,$B$1)</f>
        <v>2224.91</v>
      </c>
      <c r="J9" s="100">
        <f>_xll.EQNXTDZ($A$1,$B9,J$1,$B$1)</f>
        <v>2553.14</v>
      </c>
      <c r="K9" s="100">
        <f>_xll.EQNXTDZ($A$1,$B9,K$1,$B$1)</f>
        <v>2655.68</v>
      </c>
      <c r="L9" s="100">
        <f>_xll.EQNXTDZ($A$1,$B9,L$1,$B$1)</f>
        <v>1836.71</v>
      </c>
      <c r="M9" s="100">
        <f>_xll.EQNXTDZ($A$1,$B9,M$1,$B$1)</f>
        <v>2592.63</v>
      </c>
      <c r="N9" s="100">
        <f>_xll.EQNXTDZ($A$1,$B9,N$1,$B$1)</f>
        <v>3075.86</v>
      </c>
      <c r="O9" s="100">
        <f>_xll.EQNXTDZ($A$1,$B9,O$1,$B$1)</f>
        <v>4109.6000000000004</v>
      </c>
      <c r="P9" s="100">
        <f>_xll.EQNXTDZ($A$1,$B9,P$1,$B$1)</f>
        <v>4599.24</v>
      </c>
      <c r="Q9" s="100">
        <f>_xll.EQNXTDZ($A$1,$B9,Q$1,$B$1)</f>
        <v>4794.63</v>
      </c>
      <c r="R9" s="100">
        <f>_xll.EQNXTDZ($A$1,$B9,R$1,$B$1)</f>
        <v>4375.2</v>
      </c>
      <c r="S9" s="100">
        <f>_xll.EQNXTDZ($A$1,$B9,S$1,$B$1)</f>
        <v>5120.5200000000004</v>
      </c>
      <c r="T9" s="100">
        <f>_xll.EQNXTDZ($A$1,$B9,T$1,$B$1)</f>
        <v>860.62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6838.61</v>
      </c>
      <c r="D10" s="100">
        <f>_xll.EQNXTDZ($A$1,$B10,D$1,$B$1)</f>
        <v>7417.5</v>
      </c>
      <c r="E10" s="100">
        <f>_xll.EQNXTDZ($A$1,$B10,E$1,$B$1)</f>
        <v>9136.82</v>
      </c>
      <c r="F10" s="100">
        <f>_xll.EQNXTDZ($A$1,$B10,F$1,$B$1)</f>
        <v>11129.44</v>
      </c>
      <c r="G10" s="100">
        <f>_xll.EQNXTDZ($A$1,$B10,G$1,$B$1)</f>
        <v>15998.61</v>
      </c>
      <c r="H10" s="100">
        <f>_xll.EQNXTDZ($A$1,$B10,H$1,$B$1)</f>
        <v>20322.14</v>
      </c>
      <c r="I10" s="100">
        <f>_xll.EQNXTDZ($A$1,$B10,I$1,$B$1)</f>
        <v>25212.38</v>
      </c>
      <c r="J10" s="100">
        <f>_xll.EQNXTDZ($A$1,$B10,J$1,$B$1)</f>
        <v>131533.63</v>
      </c>
      <c r="K10" s="100">
        <f>_xll.EQNXTDZ($A$1,$B10,K$1,$B$1)</f>
        <v>147329.26</v>
      </c>
      <c r="L10" s="100">
        <f>_xll.EQNXTDZ($A$1,$B10,L$1,$B$1)</f>
        <v>102393.12</v>
      </c>
      <c r="M10" s="100">
        <f>_xll.EQNXTDZ($A$1,$B10,M$1,$B$1)</f>
        <v>118753.12</v>
      </c>
      <c r="N10" s="100">
        <f>_xll.EQNXTDZ($A$1,$B10,N$1,$B$1)</f>
        <v>132899.70000000001</v>
      </c>
      <c r="O10" s="100">
        <f>_xll.EQNXTDZ($A$1,$B10,O$1,$B$1)</f>
        <v>134711.54</v>
      </c>
      <c r="P10" s="100">
        <f>_xll.EQNXTDZ($A$1,$B10,P$1,$B$1)</f>
        <v>148613.54999999999</v>
      </c>
      <c r="Q10" s="100">
        <f>_xll.EQNXTDZ($A$1,$B10,Q$1,$B$1)</f>
        <v>139503.73000000001</v>
      </c>
      <c r="R10" s="100">
        <f>_xll.EQNXTDZ($A$1,$B10,R$1,$B$1)</f>
        <v>101964.72</v>
      </c>
      <c r="S10" s="100">
        <f>_xll.EQNXTDZ($A$1,$B10,S$1,$B$1)</f>
        <v>112299.42</v>
      </c>
      <c r="T10" s="100">
        <f>_xll.EQNXTDZ($A$1,$B10,T$1,$B$1)</f>
        <v>123249.07</v>
      </c>
      <c r="U10" s="100">
        <f>_xll.EQNXTDZ($A$1,$B10,U$1,$B$1)</f>
        <v>157668.99</v>
      </c>
      <c r="V10" s="100">
        <f>_xll.EQNXTDZ($A$1,$B10,V$1,$B$1)</f>
        <v>148971.71</v>
      </c>
      <c r="W10" s="100">
        <f>_xll.EQNXTDZ($A$1,$B10,W$1,$B$1)</f>
        <v>156477.4</v>
      </c>
      <c r="X10" s="100">
        <f>_xll.EQNXTDZ($A$1,$B10,X$1,$B$1)</f>
        <v>243959.17</v>
      </c>
      <c r="Y10" s="100">
        <f>_xll.EQNXTDZ($A$1,$B10,Y$1,$B$1)</f>
        <v>243352.69</v>
      </c>
      <c r="Z10" s="100">
        <f>_xll.EQNXTDZ($A$1,$B10,Z$1,$B$1)</f>
        <v>229170.78</v>
      </c>
      <c r="AA10" s="100">
        <f>_xll.EQNXTDZ($A$1,$B10,AA$1,$B$1)</f>
        <v>218542.51</v>
      </c>
      <c r="AB10" s="100">
        <f>_xll.EQNXTDZ($A$1,$B10,AB$1,$B$1)</f>
        <v>232139.94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56.74</v>
      </c>
      <c r="D11" s="100">
        <f>_xll.EQNXTDZ($A$1,$B11,D$1,$B$1)</f>
        <v>-32.51</v>
      </c>
      <c r="E11" s="100">
        <f>_xll.EQNXTDZ($A$1,$B11,E$1,$B$1)</f>
        <v>-12.22</v>
      </c>
      <c r="F11" s="100">
        <f>_xll.EQNXTDZ($A$1,$B11,F$1,$B$1)</f>
        <v>-123.99</v>
      </c>
      <c r="G11" s="100">
        <f>_xll.EQNXTDZ($A$1,$B11,G$1,$B$1)</f>
        <v>-289.02</v>
      </c>
      <c r="H11" s="100">
        <f>_xll.EQNXTDZ($A$1,$B11,H$1,$B$1)</f>
        <v>30.71</v>
      </c>
      <c r="I11" s="100">
        <f>_xll.EQNXTDZ($A$1,$B11,I$1,$B$1)</f>
        <v>-445.62</v>
      </c>
      <c r="J11" s="100">
        <f>_xll.EQNXTDZ($A$1,$B11,J$1,$B$1)</f>
        <v>-1613.55</v>
      </c>
      <c r="K11" s="100">
        <f>_xll.EQNXTDZ($A$1,$B11,K$1,$B$1)</f>
        <v>1940.65</v>
      </c>
      <c r="L11" s="100">
        <f>_xll.EQNXTDZ($A$1,$B11,L$1,$B$1)</f>
        <v>747.33</v>
      </c>
      <c r="M11" s="100">
        <f>_xll.EQNXTDZ($A$1,$B11,M$1,$B$1)</f>
        <v>-1262.18</v>
      </c>
      <c r="N11" s="100">
        <f>_xll.EQNXTDZ($A$1,$B11,N$1,$B$1)</f>
        <v>-691.23</v>
      </c>
      <c r="O11" s="100">
        <f>_xll.EQNXTDZ($A$1,$B11,O$1,$B$1)</f>
        <v>1561.02</v>
      </c>
      <c r="P11" s="100">
        <f>_xll.EQNXTDZ($A$1,$B11,P$1,$B$1)</f>
        <v>-441.01</v>
      </c>
      <c r="Q11" s="100">
        <f>_xll.EQNXTDZ($A$1,$B11,Q$1,$B$1)</f>
        <v>1235.75</v>
      </c>
      <c r="R11" s="100">
        <f>_xll.EQNXTDZ($A$1,$B11,R$1,$B$1)</f>
        <v>1925.19</v>
      </c>
      <c r="S11" s="100">
        <f>_xll.EQNXTDZ($A$1,$B11,S$1,$B$1)</f>
        <v>-4538.13</v>
      </c>
      <c r="T11" s="100">
        <f>_xll.EQNXTDZ($A$1,$B11,T$1,$B$1)</f>
        <v>99.31</v>
      </c>
      <c r="U11" s="100">
        <f>_xll.EQNXTDZ($A$1,$B11,U$1,$B$1)</f>
        <v>-96.71</v>
      </c>
      <c r="V11" s="100">
        <f>_xll.EQNXTDZ($A$1,$B11,V$1,$B$1)</f>
        <v>-490.05</v>
      </c>
      <c r="W11" s="100">
        <f>_xll.EQNXTDZ($A$1,$B11,W$1,$B$1)</f>
        <v>1516.77</v>
      </c>
      <c r="X11" s="100">
        <f>_xll.EQNXTDZ($A$1,$B11,X$1,$B$1)</f>
        <v>-7597.87</v>
      </c>
      <c r="Y11" s="100">
        <f>_xll.EQNXTDZ($A$1,$B11,Y$1,$B$1)</f>
        <v>-3358.89</v>
      </c>
      <c r="Z11" s="100">
        <f>_xll.EQNXTDZ($A$1,$B11,Z$1,$B$1)</f>
        <v>4409.3500000000004</v>
      </c>
      <c r="AA11" s="100">
        <f>_xll.EQNXTDZ($A$1,$B11,AA$1,$B$1)</f>
        <v>-96.65</v>
      </c>
      <c r="AB11" s="100">
        <f>_xll.EQNXTDZ($A$1,$B11,AB$1,$B$1)</f>
        <v>989.62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1247.24</v>
      </c>
      <c r="D12" s="100">
        <f>_xll.EQNXTDZ($A$1,$B12,D$1,$B$1)</f>
        <v>1830.42</v>
      </c>
      <c r="E12" s="100">
        <f>_xll.EQNXTDZ($A$1,$B12,E$1,$B$1)</f>
        <v>2023.42</v>
      </c>
      <c r="F12" s="100">
        <f>_xll.EQNXTDZ($A$1,$B12,F$1,$B$1)</f>
        <v>2583.31</v>
      </c>
      <c r="G12" s="100">
        <f>_xll.EQNXTDZ($A$1,$B12,G$1,$B$1)</f>
        <v>4171.1000000000004</v>
      </c>
      <c r="H12" s="100">
        <f>_xll.EQNXTDZ($A$1,$B12,H$1,$B$1)</f>
        <v>6705.76</v>
      </c>
      <c r="I12" s="100">
        <f>_xll.EQNXTDZ($A$1,$B12,I$1,$B$1)</f>
        <v>9171.39</v>
      </c>
      <c r="J12" s="100">
        <f>_xll.EQNXTDZ($A$1,$B12,J$1,$B$1)</f>
        <v>60228.69</v>
      </c>
      <c r="K12" s="100">
        <f>_xll.EQNXTDZ($A$1,$B12,K$1,$B$1)</f>
        <v>72937.649999999994</v>
      </c>
      <c r="L12" s="100">
        <f>_xll.EQNXTDZ($A$1,$B12,L$1,$B$1)</f>
        <v>44115.1</v>
      </c>
      <c r="M12" s="100">
        <f>_xll.EQNXTDZ($A$1,$B12,M$1,$B$1)</f>
        <v>54638.98</v>
      </c>
      <c r="N12" s="100">
        <f>_xll.EQNXTDZ($A$1,$B12,N$1,$B$1)</f>
        <v>66530.97</v>
      </c>
      <c r="O12" s="100">
        <f>_xll.EQNXTDZ($A$1,$B12,O$1,$B$1)</f>
        <v>59117.33</v>
      </c>
      <c r="P12" s="100">
        <f>_xll.EQNXTDZ($A$1,$B12,P$1,$B$1)</f>
        <v>63251.19</v>
      </c>
      <c r="Q12" s="100">
        <f>_xll.EQNXTDZ($A$1,$B12,Q$1,$B$1)</f>
        <v>54545.26</v>
      </c>
      <c r="R12" s="100">
        <f>_xll.EQNXTDZ($A$1,$B12,R$1,$B$1)</f>
        <v>38696.269999999997</v>
      </c>
      <c r="S12" s="100">
        <f>_xll.EQNXTDZ($A$1,$B12,S$1,$B$1)</f>
        <v>43843.03</v>
      </c>
      <c r="T12" s="100">
        <f>_xll.EQNXTDZ($A$1,$B12,T$1,$B$1)</f>
        <v>46137.01</v>
      </c>
      <c r="U12" s="100">
        <f>_xll.EQNXTDZ($A$1,$B12,U$1,$B$1)</f>
        <v>60877.05</v>
      </c>
      <c r="V12" s="100">
        <f>_xll.EQNXTDZ($A$1,$B12,V$1,$B$1)</f>
        <v>64097.03</v>
      </c>
      <c r="W12" s="100">
        <f>_xll.EQNXTDZ($A$1,$B12,W$1,$B$1)</f>
        <v>55100.81</v>
      </c>
      <c r="X12" s="100">
        <f>_xll.EQNXTDZ($A$1,$B12,X$1,$B$1)</f>
        <v>91076.61</v>
      </c>
      <c r="Y12" s="100">
        <f>_xll.EQNXTDZ($A$1,$B12,Y$1,$B$1)</f>
        <v>116597.19</v>
      </c>
      <c r="Z12" s="100">
        <f>_xll.EQNXTDZ($A$1,$B12,Z$1,$B$1)</f>
        <v>97506.39</v>
      </c>
      <c r="AA12" s="100">
        <f>_xll.EQNXTDZ($A$1,$B12,AA$1,$B$1)</f>
        <v>95097.3</v>
      </c>
      <c r="AB12" s="100">
        <f>_xll.EQNXTDZ($A$1,$B12,AB$1,$B$1)</f>
        <v>92628.07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688.45</v>
      </c>
      <c r="D13" s="100">
        <f>_xll.EQNXTDZ($A$1,$B13,D$1,$B$1)</f>
        <v>838.17</v>
      </c>
      <c r="E13" s="100">
        <f>_xll.EQNXTDZ($A$1,$B13,E$1,$B$1)</f>
        <v>821.59</v>
      </c>
      <c r="F13" s="100">
        <f>_xll.EQNXTDZ($A$1,$B13,F$1,$B$1)</f>
        <v>758.36</v>
      </c>
      <c r="G13" s="100">
        <f>_xll.EQNXTDZ($A$1,$B13,G$1,$B$1)</f>
        <v>842.66</v>
      </c>
      <c r="H13" s="100">
        <f>_xll.EQNXTDZ($A$1,$B13,H$1,$B$1)</f>
        <v>1133.7</v>
      </c>
      <c r="I13" s="100">
        <f>_xll.EQNXTDZ($A$1,$B13,I$1,$B$1)</f>
        <v>1600.71</v>
      </c>
      <c r="J13" s="100">
        <f>_xll.EQNXTDZ($A$1,$B13,J$1,$B$1)</f>
        <v>5648.33</v>
      </c>
      <c r="K13" s="100">
        <f>_xll.EQNXTDZ($A$1,$B13,K$1,$B$1)</f>
        <v>6981.12</v>
      </c>
      <c r="L13" s="100">
        <f>_xll.EQNXTDZ($A$1,$B13,L$1,$B$1)</f>
        <v>4884.78</v>
      </c>
      <c r="M13" s="100">
        <f>_xll.EQNXTDZ($A$1,$B13,M$1,$B$1)</f>
        <v>4889.1899999999996</v>
      </c>
      <c r="N13" s="100">
        <f>_xll.EQNXTDZ($A$1,$B13,N$1,$B$1)</f>
        <v>5935.48</v>
      </c>
      <c r="O13" s="100">
        <f>_xll.EQNXTDZ($A$1,$B13,O$1,$B$1)</f>
        <v>6544.38</v>
      </c>
      <c r="P13" s="100">
        <f>_xll.EQNXTDZ($A$1,$B13,P$1,$B$1)</f>
        <v>7125.2</v>
      </c>
      <c r="Q13" s="100">
        <f>_xll.EQNXTDZ($A$1,$B13,Q$1,$B$1)</f>
        <v>6845.38</v>
      </c>
      <c r="R13" s="100">
        <f>_xll.EQNXTDZ($A$1,$B13,R$1,$B$1)</f>
        <v>4993.8900000000003</v>
      </c>
      <c r="S13" s="100">
        <f>_xll.EQNXTDZ($A$1,$B13,S$1,$B$1)</f>
        <v>5220.83</v>
      </c>
      <c r="T13" s="100">
        <f>_xll.EQNXTDZ($A$1,$B13,T$1,$B$1)</f>
        <v>4440.43</v>
      </c>
      <c r="U13" s="100">
        <f>_xll.EQNXTDZ($A$1,$B13,U$1,$B$1)</f>
        <v>5316.56</v>
      </c>
      <c r="V13" s="100">
        <f>_xll.EQNXTDZ($A$1,$B13,V$1,$B$1)</f>
        <v>6343.85</v>
      </c>
      <c r="W13" s="100">
        <f>_xll.EQNXTDZ($A$1,$B13,W$1,$B$1)</f>
        <v>5708.42</v>
      </c>
      <c r="X13" s="100">
        <f>_xll.EQNXTDZ($A$1,$B13,X$1,$B$1)</f>
        <v>8028.29</v>
      </c>
      <c r="Y13" s="100">
        <f>_xll.EQNXTDZ($A$1,$B13,Y$1,$B$1)</f>
        <v>9526.91</v>
      </c>
      <c r="Z13" s="100">
        <f>_xll.EQNXTDZ($A$1,$B13,Z$1,$B$1)</f>
        <v>16612.61</v>
      </c>
      <c r="AA13" s="100">
        <f>_xll.EQNXTDZ($A$1,$B13,AA$1,$B$1)</f>
        <v>13124.85</v>
      </c>
      <c r="AB13" s="100">
        <f>_xll.EQNXTDZ($A$1,$B13,AB$1,$B$1)</f>
        <v>14333.15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919.56</v>
      </c>
      <c r="D14" s="100">
        <f>_xll.EQNXTDZ($A$1,$B14,D$1,$B$1)</f>
        <v>1177.6099999999999</v>
      </c>
      <c r="E14" s="100">
        <f>_xll.EQNXTDZ($A$1,$B14,E$1,$B$1)</f>
        <v>1252.98</v>
      </c>
      <c r="F14" s="100">
        <f>_xll.EQNXTDZ($A$1,$B14,F$1,$B$1)</f>
        <v>1397.07</v>
      </c>
      <c r="G14" s="100">
        <f>_xll.EQNXTDZ($A$1,$B14,G$1,$B$1)</f>
        <v>1408.15</v>
      </c>
      <c r="H14" s="100">
        <f>_xll.EQNXTDZ($A$1,$B14,H$1,$B$1)</f>
        <v>1665.57</v>
      </c>
      <c r="I14" s="100">
        <f>_xll.EQNXTDZ($A$1,$B14,I$1,$B$1)</f>
        <v>1877</v>
      </c>
      <c r="J14" s="100">
        <f>_xll.EQNXTDZ($A$1,$B14,J$1,$B$1)</f>
        <v>16887.490000000002</v>
      </c>
      <c r="K14" s="100">
        <f>_xll.EQNXTDZ($A$1,$B14,K$1,$B$1)</f>
        <v>17964.66</v>
      </c>
      <c r="L14" s="100">
        <f>_xll.EQNXTDZ($A$1,$B14,L$1,$B$1)</f>
        <v>16467.72</v>
      </c>
      <c r="M14" s="100">
        <f>_xll.EQNXTDZ($A$1,$B14,M$1,$B$1)</f>
        <v>15840.2</v>
      </c>
      <c r="N14" s="100">
        <f>_xll.EQNXTDZ($A$1,$B14,N$1,$B$1)</f>
        <v>17228.64</v>
      </c>
      <c r="O14" s="100">
        <f>_xll.EQNXTDZ($A$1,$B14,O$1,$B$1)</f>
        <v>18912</v>
      </c>
      <c r="P14" s="100">
        <f>_xll.EQNXTDZ($A$1,$B14,P$1,$B$1)</f>
        <v>20303.41</v>
      </c>
      <c r="Q14" s="100">
        <f>_xll.EQNXTDZ($A$1,$B14,Q$1,$B$1)</f>
        <v>21407.64</v>
      </c>
      <c r="R14" s="100">
        <f>_xll.EQNXTDZ($A$1,$B14,R$1,$B$1)</f>
        <v>17587.63</v>
      </c>
      <c r="S14" s="100">
        <f>_xll.EQNXTDZ($A$1,$B14,S$1,$B$1)</f>
        <v>17252.22</v>
      </c>
      <c r="T14" s="100">
        <f>_xll.EQNXTDZ($A$1,$B14,T$1,$B$1)</f>
        <v>16969.91</v>
      </c>
      <c r="U14" s="100">
        <f>_xll.EQNXTDZ($A$1,$B14,U$1,$B$1)</f>
        <v>18758.87</v>
      </c>
      <c r="V14" s="100">
        <f>_xll.EQNXTDZ($A$1,$B14,V$1,$B$1)</f>
        <v>19152.23</v>
      </c>
      <c r="W14" s="100">
        <f>_xll.EQNXTDZ($A$1,$B14,W$1,$B$1)</f>
        <v>19908.810000000001</v>
      </c>
      <c r="X14" s="100">
        <f>_xll.EQNXTDZ($A$1,$B14,X$1,$B$1)</f>
        <v>23264.1</v>
      </c>
      <c r="Y14" s="100">
        <f>_xll.EQNXTDZ($A$1,$B14,Y$1,$B$1)</f>
        <v>22419.32</v>
      </c>
      <c r="Z14" s="100">
        <f>_xll.EQNXTDZ($A$1,$B14,Z$1,$B$1)</f>
        <v>24509.58</v>
      </c>
      <c r="AA14" s="100">
        <f>_xll.EQNXTDZ($A$1,$B14,AA$1,$B$1)</f>
        <v>24888.99</v>
      </c>
      <c r="AB14" s="100">
        <f>_xll.EQNXTDZ($A$1,$B14,AB$1,$B$1)</f>
        <v>25998.98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1311.63</v>
      </c>
      <c r="D15" s="100">
        <f>_xll.EQNXTDZ($A$1,$B15,D$1,$B$1)</f>
        <v>1164.3</v>
      </c>
      <c r="E15" s="100">
        <f>_xll.EQNXTDZ($A$1,$B15,E$1,$B$1)</f>
        <v>1372.79</v>
      </c>
      <c r="F15" s="100">
        <f>_xll.EQNXTDZ($A$1,$B15,F$1,$B$1)</f>
        <v>1627.38</v>
      </c>
      <c r="G15" s="100">
        <f>_xll.EQNXTDZ($A$1,$B15,G$1,$B$1)</f>
        <v>2059.15</v>
      </c>
      <c r="H15" s="100">
        <f>_xll.EQNXTDZ($A$1,$B15,H$1,$B$1)</f>
        <v>2276.88</v>
      </c>
      <c r="I15" s="100">
        <f>_xll.EQNXTDZ($A$1,$B15,I$1,$B$1)</f>
        <v>2858.17</v>
      </c>
      <c r="J15" s="100">
        <f>_xll.EQNXTDZ($A$1,$B15,J$1,$B$1)</f>
        <v>16928.349999999999</v>
      </c>
      <c r="K15" s="100">
        <f>_xll.EQNXTDZ($A$1,$B15,K$1,$B$1)</f>
        <v>18259.7</v>
      </c>
      <c r="L15" s="100">
        <f>_xll.EQNXTDZ($A$1,$B15,L$1,$B$1)</f>
        <v>14968.65</v>
      </c>
      <c r="M15" s="100">
        <f>_xll.EQNXTDZ($A$1,$B15,M$1,$B$1)</f>
        <v>14286.86</v>
      </c>
      <c r="N15" s="100">
        <f>_xll.EQNXTDZ($A$1,$B15,N$1,$B$1)</f>
        <v>16472.669999999998</v>
      </c>
      <c r="O15" s="100">
        <f>_xll.EQNXTDZ($A$1,$B15,O$1,$B$1)</f>
        <v>18763.04</v>
      </c>
      <c r="P15" s="100">
        <f>_xll.EQNXTDZ($A$1,$B15,P$1,$B$1)</f>
        <v>21799.67</v>
      </c>
      <c r="Q15" s="100">
        <f>_xll.EQNXTDZ($A$1,$B15,Q$1,$B$1)</f>
        <v>21200.32</v>
      </c>
      <c r="R15" s="100">
        <f>_xll.EQNXTDZ($A$1,$B15,R$1,$B$1)</f>
        <v>17032</v>
      </c>
      <c r="S15" s="100">
        <f>_xll.EQNXTDZ($A$1,$B15,S$1,$B$1)</f>
        <v>16987.599999999999</v>
      </c>
      <c r="T15" s="100">
        <f>_xll.EQNXTDZ($A$1,$B15,T$1,$B$1)</f>
        <v>18606.240000000002</v>
      </c>
      <c r="U15" s="100">
        <f>_xll.EQNXTDZ($A$1,$B15,U$1,$B$1)</f>
        <v>22925.54</v>
      </c>
      <c r="V15" s="100">
        <f>_xll.EQNXTDZ($A$1,$B15,V$1,$B$1)</f>
        <v>23683.22</v>
      </c>
      <c r="W15" s="100">
        <f>_xll.EQNXTDZ($A$1,$B15,W$1,$B$1)</f>
        <v>24228.6</v>
      </c>
      <c r="X15" s="100">
        <f>_xll.EQNXTDZ($A$1,$B15,X$1,$B$1)</f>
        <v>38145.42</v>
      </c>
      <c r="Y15" s="100">
        <f>_xll.EQNXTDZ($A$1,$B15,Y$1,$B$1)</f>
        <v>40068.629999999997</v>
      </c>
      <c r="Z15" s="100">
        <f>_xll.EQNXTDZ($A$1,$B15,Z$1,$B$1)</f>
        <v>34928.51</v>
      </c>
      <c r="AA15" s="100">
        <f>_xll.EQNXTDZ($A$1,$B15,AA$1,$B$1)</f>
        <v>30394.22</v>
      </c>
      <c r="AB15" s="100">
        <f>_xll.EQNXTDZ($A$1,$B15,AB$1,$B$1)</f>
        <v>29221.68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397.03</v>
      </c>
      <c r="D17" s="100">
        <f>_xll.EQNXTDZ($A$1,$B17,D$1,$B$1)</f>
        <v>445.72</v>
      </c>
      <c r="E17" s="100">
        <f>_xll.EQNXTDZ($A$1,$B17,E$1,$B$1)</f>
        <v>518.19000000000005</v>
      </c>
      <c r="F17" s="100">
        <f>_xll.EQNXTDZ($A$1,$B17,F$1,$B$1)</f>
        <v>569.32000000000005</v>
      </c>
      <c r="G17" s="100">
        <f>_xll.EQNXTDZ($A$1,$B17,G$1,$B$1)</f>
        <v>821.7</v>
      </c>
      <c r="H17" s="100">
        <f>_xll.EQNXTDZ($A$1,$B17,H$1,$B$1)</f>
        <v>1064.75</v>
      </c>
      <c r="I17" s="100">
        <f>_xll.EQNXTDZ($A$1,$B17,I$1,$B$1)</f>
        <v>1355.38</v>
      </c>
      <c r="J17" s="100">
        <f>_xll.EQNXTDZ($A$1,$B17,J$1,$B$1)</f>
        <v>9604.1</v>
      </c>
      <c r="K17" s="100">
        <f>_xll.EQNXTDZ($A$1,$B17,K$1,$B$1)</f>
        <v>5307.89</v>
      </c>
      <c r="L17" s="100">
        <f>_xll.EQNXTDZ($A$1,$B17,L$1,$B$1)</f>
        <v>8052.51</v>
      </c>
      <c r="M17" s="100">
        <f>_xll.EQNXTDZ($A$1,$B17,M$1,$B$1)</f>
        <v>7464.19</v>
      </c>
      <c r="N17" s="100">
        <f>_xll.EQNXTDZ($A$1,$B17,N$1,$B$1)</f>
        <v>8760.77</v>
      </c>
      <c r="O17" s="100">
        <f>_xll.EQNXTDZ($A$1,$B17,O$1,$B$1)</f>
        <v>10735.35</v>
      </c>
      <c r="P17" s="100">
        <f>_xll.EQNXTDZ($A$1,$B17,P$1,$B$1)</f>
        <v>12123.91</v>
      </c>
      <c r="Q17" s="100">
        <f>_xll.EQNXTDZ($A$1,$B17,Q$1,$B$1)</f>
        <v>13340.06</v>
      </c>
      <c r="R17" s="100">
        <f>_xll.EQNXTDZ($A$1,$B17,R$1,$B$1)</f>
        <v>7773.44</v>
      </c>
      <c r="S17" s="100">
        <f>_xll.EQNXTDZ($A$1,$B17,S$1,$B$1)</f>
        <v>9165.15</v>
      </c>
      <c r="T17" s="100">
        <f>_xll.EQNXTDZ($A$1,$B17,T$1,$B$1)</f>
        <v>6425.15</v>
      </c>
      <c r="U17" s="100">
        <f>_xll.EQNXTDZ($A$1,$B17,U$1,$B$1)</f>
        <v>12385.3</v>
      </c>
      <c r="V17" s="100">
        <f>_xll.EQNXTDZ($A$1,$B17,V$1,$B$1)</f>
        <v>10586.57</v>
      </c>
      <c r="W17" s="100">
        <f>_xll.EQNXTDZ($A$1,$B17,W$1,$B$1)</f>
        <v>9637.1200000000008</v>
      </c>
      <c r="X17" s="100">
        <f>_xll.EQNXTDZ($A$1,$B17,X$1,$B$1)</f>
        <v>16563.490000000002</v>
      </c>
      <c r="Y17" s="100">
        <f>_xll.EQNXTDZ($A$1,$B17,Y$1,$B$1)</f>
        <v>12816.03</v>
      </c>
      <c r="Z17" s="100">
        <f>_xll.EQNXTDZ($A$1,$B17,Z$1,$B$1)</f>
        <v>18395.580000000002</v>
      </c>
      <c r="AA17" s="100">
        <f>_xll.EQNXTDZ($A$1,$B17,AA$1,$B$1)</f>
        <v>14879.32</v>
      </c>
      <c r="AB17" s="100">
        <f>_xll.EQNXTDZ($A$1,$B17,AB$1,$B$1)</f>
        <v>20787.72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645.78</v>
      </c>
      <c r="D18" s="100">
        <f>_xll.EQNXTDZ($A$1,$B18,D$1,$B$1)</f>
        <v>676.04</v>
      </c>
      <c r="E18" s="100">
        <f>_xll.EQNXTDZ($A$1,$B18,E$1,$B$1)</f>
        <v>821.41</v>
      </c>
      <c r="F18" s="100">
        <f>_xll.EQNXTDZ($A$1,$B18,F$1,$B$1)</f>
        <v>835.91</v>
      </c>
      <c r="G18" s="100">
        <f>_xll.EQNXTDZ($A$1,$B18,G$1,$B$1)</f>
        <v>1078.81</v>
      </c>
      <c r="H18" s="100">
        <f>_xll.EQNXTDZ($A$1,$B18,H$1,$B$1)</f>
        <v>1306.17</v>
      </c>
      <c r="I18" s="100">
        <f>_xll.EQNXTDZ($A$1,$B18,I$1,$B$1)</f>
        <v>1574.23</v>
      </c>
      <c r="J18" s="100">
        <f>_xll.EQNXTDZ($A$1,$B18,J$1,$B$1)</f>
        <v>6419.27</v>
      </c>
      <c r="K18" s="100">
        <f>_xll.EQNXTDZ($A$1,$B18,K$1,$B$1)</f>
        <v>6403.56</v>
      </c>
      <c r="L18" s="100">
        <f>_xll.EQNXTDZ($A$1,$B18,L$1,$B$1)</f>
        <v>5816.06</v>
      </c>
      <c r="M18" s="100">
        <f>_xll.EQNXTDZ($A$1,$B18,M$1,$B$1)</f>
        <v>6618.71</v>
      </c>
      <c r="N18" s="100">
        <f>_xll.EQNXTDZ($A$1,$B18,N$1,$B$1)</f>
        <v>6916.66</v>
      </c>
      <c r="O18" s="100">
        <f>_xll.EQNXTDZ($A$1,$B18,O$1,$B$1)</f>
        <v>7705.44</v>
      </c>
      <c r="P18" s="100">
        <f>_xll.EQNXTDZ($A$1,$B18,P$1,$B$1)</f>
        <v>9300.0300000000007</v>
      </c>
      <c r="Q18" s="100">
        <f>_xll.EQNXTDZ($A$1,$B18,Q$1,$B$1)</f>
        <v>9109.58</v>
      </c>
      <c r="R18" s="100">
        <f>_xll.EQNXTDZ($A$1,$B18,R$1,$B$1)</f>
        <v>7090.51</v>
      </c>
      <c r="S18" s="100">
        <f>_xll.EQNXTDZ($A$1,$B18,S$1,$B$1)</f>
        <v>7503.09</v>
      </c>
      <c r="T18" s="100">
        <f>_xll.EQNXTDZ($A$1,$B18,T$1,$B$1)</f>
        <v>8205.4</v>
      </c>
      <c r="U18" s="100">
        <f>_xll.EQNXTDZ($A$1,$B18,U$1,$B$1)</f>
        <v>8648.5300000000007</v>
      </c>
      <c r="V18" s="100">
        <f>_xll.EQNXTDZ($A$1,$B18,V$1,$B$1)</f>
        <v>9361.35</v>
      </c>
      <c r="W18" s="100">
        <f>_xll.EQNXTDZ($A$1,$B18,W$1,$B$1)</f>
        <v>9657.7199999999993</v>
      </c>
      <c r="X18" s="100">
        <f>_xll.EQNXTDZ($A$1,$B18,X$1,$B$1)</f>
        <v>12464.15</v>
      </c>
      <c r="Y18" s="100">
        <f>_xll.EQNXTDZ($A$1,$B18,Y$1,$B$1)</f>
        <v>13004.87</v>
      </c>
      <c r="Z18" s="100">
        <f>_xll.EQNXTDZ($A$1,$B18,Z$1,$B$1)</f>
        <v>12261.7</v>
      </c>
      <c r="AA18" s="100">
        <f>_xll.EQNXTDZ($A$1,$B18,AA$1,$B$1)</f>
        <v>14012.4</v>
      </c>
      <c r="AB18" s="100">
        <f>_xll.EQNXTDZ($A$1,$B18,AB$1,$B$1)</f>
        <v>14265.86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18.43</v>
      </c>
      <c r="D19" s="100">
        <f>_xll.EQNXTDZ($A$1,$B19,D$1,$B$1)</f>
        <v>67.48</v>
      </c>
      <c r="E19" s="100">
        <f>_xll.EQNXTDZ($A$1,$B19,E$1,$B$1)</f>
        <v>96.64</v>
      </c>
      <c r="F19" s="100">
        <f>_xll.EQNXTDZ($A$1,$B19,F$1,$B$1)</f>
        <v>137.63</v>
      </c>
      <c r="G19" s="100">
        <f>_xll.EQNXTDZ($A$1,$B19,G$1,$B$1)</f>
        <v>21.32</v>
      </c>
      <c r="H19" s="100">
        <f>_xll.EQNXTDZ($A$1,$B19,H$1,$B$1)</f>
        <v>40.130000000000003</v>
      </c>
      <c r="I19" s="100">
        <f>_xll.EQNXTDZ($A$1,$B19,I$1,$B$1)</f>
        <v>187.04</v>
      </c>
      <c r="J19" s="100">
        <f>_xll.EQNXTDZ($A$1,$B19,J$1,$B$1)</f>
        <v>196.28</v>
      </c>
      <c r="K19" s="100">
        <f>_xll.EQNXTDZ($A$1,$B19,K$1,$B$1)</f>
        <v>204.72</v>
      </c>
      <c r="L19" s="100">
        <f>_xll.EQNXTDZ($A$1,$B19,L$1,$B$1)</f>
        <v>169.33</v>
      </c>
      <c r="M19" s="100">
        <f>_xll.EQNXTDZ($A$1,$B19,M$1,$B$1)</f>
        <v>218.86</v>
      </c>
      <c r="N19" s="100">
        <f>_xll.EQNXTDZ($A$1,$B19,N$1,$B$1)</f>
        <v>237.05</v>
      </c>
      <c r="O19" s="100">
        <f>_xll.EQNXTDZ($A$1,$B19,O$1,$B$1)</f>
        <v>512.25</v>
      </c>
      <c r="P19" s="100">
        <f>_xll.EQNXTDZ($A$1,$B19,P$1,$B$1)</f>
        <v>323.05</v>
      </c>
      <c r="Q19" s="100">
        <f>_xll.EQNXTDZ($A$1,$B19,Q$1,$B$1)</f>
        <v>543.67999999999995</v>
      </c>
      <c r="R19" s="100">
        <f>_xll.EQNXTDZ($A$1,$B19,R$1,$B$1)</f>
        <v>102.31</v>
      </c>
      <c r="S19" s="100">
        <f>_xll.EQNXTDZ($A$1,$B19,S$1,$B$1)</f>
        <v>690.47</v>
      </c>
      <c r="T19" s="100">
        <f>_xll.EQNXTDZ($A$1,$B19,T$1,$B$1)</f>
        <v>2062.85</v>
      </c>
      <c r="U19" s="100">
        <f>_xll.EQNXTDZ($A$1,$B19,U$1,$B$1)</f>
        <v>1134.79</v>
      </c>
      <c r="V19" s="100">
        <f>_xll.EQNXTDZ($A$1,$B19,V$1,$B$1)</f>
        <v>733.56</v>
      </c>
      <c r="W19" s="100">
        <f>_xll.EQNXTDZ($A$1,$B19,W$1,$B$1)</f>
        <v>1980.58</v>
      </c>
      <c r="X19" s="100">
        <f>_xll.EQNXTDZ($A$1,$B19,X$1,$B$1)</f>
        <v>1414.93</v>
      </c>
      <c r="Y19" s="100">
        <f>_xll.EQNXTDZ($A$1,$B19,Y$1,$B$1)</f>
        <v>1711.9</v>
      </c>
      <c r="Z19" s="100">
        <f>_xll.EQNXTDZ($A$1,$B19,Z$1,$B$1)</f>
        <v>184.36</v>
      </c>
      <c r="AA19" s="100">
        <f>_xll.EQNXTDZ($A$1,$B19,AA$1,$B$1)</f>
        <v>2289.1999999999998</v>
      </c>
      <c r="AB19" s="100">
        <f>_xll.EQNXTDZ($A$1,$B19,AB$1,$B$1)</f>
        <v>530.79999999999995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148.25</v>
      </c>
      <c r="D20" s="100">
        <f>_xll.EQNXTDZ($A$1,$B20,D$1,$B$1)</f>
        <v>45.92</v>
      </c>
      <c r="E20" s="100">
        <f>_xll.EQNXTDZ($A$1,$B20,E$1,$B$1)</f>
        <v>61.82</v>
      </c>
      <c r="F20" s="100">
        <f>_xll.EQNXTDZ($A$1,$B20,F$1,$B$1)</f>
        <v>164.64</v>
      </c>
      <c r="G20" s="100">
        <f>_xll.EQNXTDZ($A$1,$B20,G$1,$B$1)</f>
        <v>234.49</v>
      </c>
      <c r="H20" s="100">
        <f>_xll.EQNXTDZ($A$1,$B20,H$1,$B$1)</f>
        <v>189.66</v>
      </c>
      <c r="I20" s="100">
        <f>_xll.EQNXTDZ($A$1,$B20,I$1,$B$1)</f>
        <v>353.6</v>
      </c>
      <c r="J20" s="100">
        <f>_xll.EQNXTDZ($A$1,$B20,J$1,$B$1)</f>
        <v>547.76</v>
      </c>
      <c r="K20" s="100">
        <f>_xll.EQNXTDZ($A$1,$B20,K$1,$B$1)</f>
        <v>783.35</v>
      </c>
      <c r="L20" s="100">
        <f>_xll.EQNXTDZ($A$1,$B20,L$1,$B$1)</f>
        <v>827.1</v>
      </c>
      <c r="M20" s="100">
        <f>_xll.EQNXTDZ($A$1,$B20,M$1,$B$1)</f>
        <v>688.36</v>
      </c>
      <c r="N20" s="100">
        <f>_xll.EQNXTDZ($A$1,$B20,N$1,$B$1)</f>
        <v>857.63</v>
      </c>
      <c r="O20" s="100">
        <f>_xll.EQNXTDZ($A$1,$B20,O$1,$B$1)</f>
        <v>1316.99</v>
      </c>
      <c r="P20" s="100">
        <f>_xll.EQNXTDZ($A$1,$B20,P$1,$B$1)</f>
        <v>1526.79</v>
      </c>
      <c r="Q20" s="100">
        <f>_xll.EQNXTDZ($A$1,$B20,Q$1,$B$1)</f>
        <v>1168.19</v>
      </c>
      <c r="R20" s="100">
        <f>_xll.EQNXTDZ($A$1,$B20,R$1,$B$1)</f>
        <v>1092.97</v>
      </c>
      <c r="S20" s="100">
        <f>_xll.EQNXTDZ($A$1,$B20,S$1,$B$1)</f>
        <v>764.71</v>
      </c>
      <c r="T20" s="100">
        <f>_xll.EQNXTDZ($A$1,$B20,T$1,$B$1)</f>
        <v>1000.86</v>
      </c>
      <c r="U20" s="100">
        <f>_xll.EQNXTDZ($A$1,$B20,U$1,$B$1)</f>
        <v>1664.28</v>
      </c>
      <c r="V20" s="100">
        <f>_xll.EQNXTDZ($A$1,$B20,V$1,$B$1)</f>
        <v>2318</v>
      </c>
      <c r="W20" s="100">
        <f>_xll.EQNXTDZ($A$1,$B20,W$1,$B$1)</f>
        <v>1765.69</v>
      </c>
      <c r="X20" s="100">
        <f>_xll.EQNXTDZ($A$1,$B20,X$1,$B$1)</f>
        <v>2889.9</v>
      </c>
      <c r="Y20" s="100">
        <f>_xll.EQNXTDZ($A$1,$B20,Y$1,$B$1)</f>
        <v>1689.86</v>
      </c>
      <c r="Z20" s="100">
        <f>_xll.EQNXTDZ($A$1,$B20,Z$1,$B$1)</f>
        <v>1915.33</v>
      </c>
      <c r="AA20" s="100">
        <f>_xll.EQNXTDZ($A$1,$B20,AA$1,$B$1)</f>
        <v>1345.57</v>
      </c>
      <c r="AB20" s="100">
        <f>_xll.EQNXTDZ($A$1,$B20,AB$1,$B$1)</f>
        <v>968.38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5136.6099999999997</v>
      </c>
      <c r="D21" s="100">
        <f>_xll.EQNXTDZ($A$1,$B21,D$1,$B$1)</f>
        <v>6121.31</v>
      </c>
      <c r="E21" s="100">
        <f>_xll.EQNXTDZ($A$1,$B21,E$1,$B$1)</f>
        <v>6832.98</v>
      </c>
      <c r="F21" s="100">
        <f>_xll.EQNXTDZ($A$1,$B21,F$1,$B$1)</f>
        <v>7620.35</v>
      </c>
      <c r="G21" s="100">
        <f>_xll.EQNXTDZ($A$1,$B21,G$1,$B$1)</f>
        <v>9879.3799999999992</v>
      </c>
      <c r="H21" s="100">
        <f>_xll.EQNXTDZ($A$1,$B21,H$1,$B$1)</f>
        <v>14034.01</v>
      </c>
      <c r="I21" s="100">
        <f>_xll.EQNXTDZ($A$1,$B21,I$1,$B$1)</f>
        <v>17824.7</v>
      </c>
      <c r="J21" s="100">
        <f>_xll.EQNXTDZ($A$1,$B21,J$1,$B$1)</f>
        <v>113751.2</v>
      </c>
      <c r="K21" s="100">
        <f>_xll.EQNXTDZ($A$1,$B21,K$1,$B$1)</f>
        <v>129216.6</v>
      </c>
      <c r="L21" s="100">
        <f>_xll.EQNXTDZ($A$1,$B21,L$1,$B$1)</f>
        <v>94394.38</v>
      </c>
      <c r="M21" s="100">
        <f>_xll.EQNXTDZ($A$1,$B21,M$1,$B$1)</f>
        <v>102006.45</v>
      </c>
      <c r="N21" s="100">
        <f>_xll.EQNXTDZ($A$1,$B21,N$1,$B$1)</f>
        <v>120533.38</v>
      </c>
      <c r="O21" s="100">
        <f>_xll.EQNXTDZ($A$1,$B21,O$1,$B$1)</f>
        <v>122533.82</v>
      </c>
      <c r="P21" s="100">
        <f>_xll.EQNXTDZ($A$1,$B21,P$1,$B$1)</f>
        <v>132258.66</v>
      </c>
      <c r="Q21" s="100">
        <f>_xll.EQNXTDZ($A$1,$B21,Q$1,$B$1)</f>
        <v>127059.48</v>
      </c>
      <c r="R21" s="100">
        <f>_xll.EQNXTDZ($A$1,$B21,R$1,$B$1)</f>
        <v>94108.27</v>
      </c>
      <c r="S21" s="100">
        <f>_xll.EQNXTDZ($A$1,$B21,S$1,$B$1)</f>
        <v>95359.55</v>
      </c>
      <c r="T21" s="100">
        <f>_xll.EQNXTDZ($A$1,$B21,T$1,$B$1)</f>
        <v>101945.44</v>
      </c>
      <c r="U21" s="100">
        <f>_xll.EQNXTDZ($A$1,$B21,U$1,$B$1)</f>
        <v>128285.65</v>
      </c>
      <c r="V21" s="100">
        <f>_xll.EQNXTDZ($A$1,$B21,V$1,$B$1)</f>
        <v>131149.76000000001</v>
      </c>
      <c r="W21" s="100">
        <f>_xll.EQNXTDZ($A$1,$B21,W$1,$B$1)</f>
        <v>125973.14</v>
      </c>
      <c r="X21" s="100">
        <f>_xll.EQNXTDZ($A$1,$B21,X$1,$B$1)</f>
        <v>180469.22</v>
      </c>
      <c r="Y21" s="100">
        <f>_xll.EQNXTDZ($A$1,$B21,Y$1,$B$1)</f>
        <v>211096.1</v>
      </c>
      <c r="Z21" s="100">
        <f>_xll.EQNXTDZ($A$1,$B21,Z$1,$B$1)</f>
        <v>206892.75</v>
      </c>
      <c r="AA21" s="100">
        <f>_xll.EQNXTDZ($A$1,$B21,AA$1,$B$1)</f>
        <v>193244.06</v>
      </c>
      <c r="AB21" s="100">
        <f>_xll.EQNXTDZ($A$1,$B21,AB$1,$B$1)</f>
        <v>197787.5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1702</v>
      </c>
      <c r="D22" s="100">
        <f>_xll.EQNXTDZ($A$1,$B22,D$1,$B$1)</f>
        <v>1296.19</v>
      </c>
      <c r="E22" s="100">
        <f>_xll.EQNXTDZ($A$1,$B22,E$1,$B$1)</f>
        <v>2303.84</v>
      </c>
      <c r="F22" s="100">
        <f>_xll.EQNXTDZ($A$1,$B22,F$1,$B$1)</f>
        <v>3509.09</v>
      </c>
      <c r="G22" s="100">
        <f>_xll.EQNXTDZ($A$1,$B22,G$1,$B$1)</f>
        <v>6119.23</v>
      </c>
      <c r="H22" s="100">
        <f>_xll.EQNXTDZ($A$1,$B22,H$1,$B$1)</f>
        <v>6288.13</v>
      </c>
      <c r="I22" s="100">
        <f>_xll.EQNXTDZ($A$1,$B22,I$1,$B$1)</f>
        <v>7387.68</v>
      </c>
      <c r="J22" s="100">
        <f>_xll.EQNXTDZ($A$1,$B22,J$1,$B$1)</f>
        <v>17782.43</v>
      </c>
      <c r="K22" s="100">
        <f>_xll.EQNXTDZ($A$1,$B22,K$1,$B$1)</f>
        <v>18112.66</v>
      </c>
      <c r="L22" s="100">
        <f>_xll.EQNXTDZ($A$1,$B22,L$1,$B$1)</f>
        <v>7998.7399999999898</v>
      </c>
      <c r="M22" s="100">
        <f>_xll.EQNXTDZ($A$1,$B22,M$1,$B$1)</f>
        <v>16746.669999999998</v>
      </c>
      <c r="N22" s="100">
        <f>_xll.EQNXTDZ($A$1,$B22,N$1,$B$1)</f>
        <v>12366.32</v>
      </c>
      <c r="O22" s="100">
        <f>_xll.EQNXTDZ($A$1,$B22,O$1,$B$1)</f>
        <v>12177.72</v>
      </c>
      <c r="P22" s="100">
        <f>_xll.EQNXTDZ($A$1,$B22,P$1,$B$1)</f>
        <v>16354.89</v>
      </c>
      <c r="Q22" s="100">
        <f>_xll.EQNXTDZ($A$1,$B22,Q$1,$B$1)</f>
        <v>12444.25</v>
      </c>
      <c r="R22" s="100">
        <f>_xll.EQNXTDZ($A$1,$B22,R$1,$B$1)</f>
        <v>7856.45</v>
      </c>
      <c r="S22" s="100">
        <f>_xll.EQNXTDZ($A$1,$B22,S$1,$B$1)</f>
        <v>16939.87</v>
      </c>
      <c r="T22" s="100">
        <f>_xll.EQNXTDZ($A$1,$B22,T$1,$B$1)</f>
        <v>21303.63</v>
      </c>
      <c r="U22" s="100">
        <f>_xll.EQNXTDZ($A$1,$B22,U$1,$B$1)</f>
        <v>29383.34</v>
      </c>
      <c r="V22" s="100">
        <f>_xll.EQNXTDZ($A$1,$B22,V$1,$B$1)</f>
        <v>17821.95</v>
      </c>
      <c r="W22" s="100">
        <f>_xll.EQNXTDZ($A$1,$B22,W$1,$B$1)</f>
        <v>30504.26</v>
      </c>
      <c r="X22" s="100">
        <f>_xll.EQNXTDZ($A$1,$B22,X$1,$B$1)</f>
        <v>63489.95</v>
      </c>
      <c r="Y22" s="100">
        <f>_xll.EQNXTDZ($A$1,$B22,Y$1,$B$1)</f>
        <v>32256.59</v>
      </c>
      <c r="Z22" s="100">
        <f>_xll.EQNXTDZ($A$1,$B22,Z$1,$B$1)</f>
        <v>22278.03</v>
      </c>
      <c r="AA22" s="100">
        <f>_xll.EQNXTDZ($A$1,$B22,AA$1,$B$1)</f>
        <v>25298.45</v>
      </c>
      <c r="AB22" s="100">
        <f>_xll.EQNXTDZ($A$1,$B22,AB$1,$B$1)</f>
        <v>34352.44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90.92</v>
      </c>
      <c r="D23" s="100">
        <f>_xll.EQNXTDZ($A$1,$B23,D$1,$B$1)</f>
        <v>143.87</v>
      </c>
      <c r="E23" s="100">
        <f>_xll.EQNXTDZ($A$1,$B23,E$1,$B$1)</f>
        <v>131.93</v>
      </c>
      <c r="F23" s="100">
        <f>_xll.EQNXTDZ($A$1,$B23,F$1,$B$1)</f>
        <v>291.48</v>
      </c>
      <c r="G23" s="100">
        <f>_xll.EQNXTDZ($A$1,$B23,G$1,$B$1)</f>
        <v>304.95</v>
      </c>
      <c r="H23" s="100">
        <f>_xll.EQNXTDZ($A$1,$B23,H$1,$B$1)</f>
        <v>348.98</v>
      </c>
      <c r="I23" s="100">
        <f>_xll.EQNXTDZ($A$1,$B23,I$1,$B$1)</f>
        <v>723.42</v>
      </c>
      <c r="J23" s="100">
        <f>_xll.EQNXTDZ($A$1,$B23,J$1,$B$1)</f>
        <v>929.82</v>
      </c>
      <c r="K23" s="100">
        <f>_xll.EQNXTDZ($A$1,$B23,K$1,$B$1)</f>
        <v>781.19</v>
      </c>
      <c r="L23" s="100">
        <f>_xll.EQNXTDZ($A$1,$B23,L$1,$B$1)</f>
        <v>1702.01</v>
      </c>
      <c r="M23" s="100">
        <f>_xll.EQNXTDZ($A$1,$B23,M$1,$B$1)</f>
        <v>679.98</v>
      </c>
      <c r="N23" s="100">
        <f>_xll.EQNXTDZ($A$1,$B23,N$1,$B$1)</f>
        <v>1623.5</v>
      </c>
      <c r="O23" s="100">
        <f>_xll.EQNXTDZ($A$1,$B23,O$1,$B$1)</f>
        <v>622.64</v>
      </c>
      <c r="P23" s="100">
        <f>_xll.EQNXTDZ($A$1,$B23,P$1,$B$1)</f>
        <v>572.92999999999995</v>
      </c>
      <c r="Q23" s="100">
        <f>_xll.EQNXTDZ($A$1,$B23,Q$1,$B$1)</f>
        <v>887.68</v>
      </c>
      <c r="R23" s="100">
        <f>_xll.EQNXTDZ($A$1,$B23,R$1,$B$1)</f>
        <v>524.1</v>
      </c>
      <c r="S23" s="100">
        <f>_xll.EQNXTDZ($A$1,$B23,S$1,$B$1)</f>
        <v>595.41999999999996</v>
      </c>
      <c r="T23" s="100">
        <f>_xll.EQNXTDZ($A$1,$B23,T$1,$B$1)</f>
        <v>1010.66</v>
      </c>
      <c r="U23" s="100">
        <f>_xll.EQNXTDZ($A$1,$B23,U$1,$B$1)</f>
        <v>1420.58</v>
      </c>
      <c r="V23" s="100">
        <f>_xll.EQNXTDZ($A$1,$B23,V$1,$B$1)</f>
        <v>1827.61</v>
      </c>
      <c r="W23" s="100">
        <f>_xll.EQNXTDZ($A$1,$B23,W$1,$B$1)</f>
        <v>895.6</v>
      </c>
      <c r="X23" s="100">
        <f>_xll.EQNXTDZ($A$1,$B23,X$1,$B$1)</f>
        <v>784.89</v>
      </c>
      <c r="Y23" s="100">
        <f>_xll.EQNXTDZ($A$1,$B23,Y$1,$B$1)</f>
        <v>1081.05</v>
      </c>
      <c r="Z23" s="100">
        <f>_xll.EQNXTDZ($A$1,$B23,Z$1,$B$1)</f>
        <v>1836.72</v>
      </c>
      <c r="AA23" s="100">
        <f>_xll.EQNXTDZ($A$1,$B23,AA$1,$B$1)</f>
        <v>1540.53</v>
      </c>
      <c r="AB23" s="100">
        <f>_xll.EQNXTDZ($A$1,$B23,AB$1,$B$1)</f>
        <v>1401.78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1792.92</v>
      </c>
      <c r="D24" s="100">
        <f>_xll.EQNXTDZ($A$1,$B24,D$1,$B$1)</f>
        <v>1440.06</v>
      </c>
      <c r="E24" s="100">
        <f>_xll.EQNXTDZ($A$1,$B24,E$1,$B$1)</f>
        <v>2435.77</v>
      </c>
      <c r="F24" s="100">
        <f>_xll.EQNXTDZ($A$1,$B24,F$1,$B$1)</f>
        <v>3800.57</v>
      </c>
      <c r="G24" s="100">
        <f>_xll.EQNXTDZ($A$1,$B24,G$1,$B$1)</f>
        <v>6424.18</v>
      </c>
      <c r="H24" s="100">
        <f>_xll.EQNXTDZ($A$1,$B24,H$1,$B$1)</f>
        <v>6637.11</v>
      </c>
      <c r="I24" s="100">
        <f>_xll.EQNXTDZ($A$1,$B24,I$1,$B$1)</f>
        <v>8111.1</v>
      </c>
      <c r="J24" s="100">
        <f>_xll.EQNXTDZ($A$1,$B24,J$1,$B$1)</f>
        <v>18712.25</v>
      </c>
      <c r="K24" s="100">
        <f>_xll.EQNXTDZ($A$1,$B24,K$1,$B$1)</f>
        <v>18893.849999999999</v>
      </c>
      <c r="L24" s="100">
        <f>_xll.EQNXTDZ($A$1,$B24,L$1,$B$1)</f>
        <v>9700.75</v>
      </c>
      <c r="M24" s="100">
        <f>_xll.EQNXTDZ($A$1,$B24,M$1,$B$1)</f>
        <v>17426.650000000001</v>
      </c>
      <c r="N24" s="100">
        <f>_xll.EQNXTDZ($A$1,$B24,N$1,$B$1)</f>
        <v>13989.82</v>
      </c>
      <c r="O24" s="100">
        <f>_xll.EQNXTDZ($A$1,$B24,O$1,$B$1)</f>
        <v>12800.36</v>
      </c>
      <c r="P24" s="100">
        <f>_xll.EQNXTDZ($A$1,$B24,P$1,$B$1)</f>
        <v>16927.82</v>
      </c>
      <c r="Q24" s="100">
        <f>_xll.EQNXTDZ($A$1,$B24,Q$1,$B$1)</f>
        <v>13331.93</v>
      </c>
      <c r="R24" s="100">
        <f>_xll.EQNXTDZ($A$1,$B24,R$1,$B$1)</f>
        <v>8380.5499999999993</v>
      </c>
      <c r="S24" s="100">
        <f>_xll.EQNXTDZ($A$1,$B24,S$1,$B$1)</f>
        <v>17535.29</v>
      </c>
      <c r="T24" s="100">
        <f>_xll.EQNXTDZ($A$1,$B24,T$1,$B$1)</f>
        <v>22314.29</v>
      </c>
      <c r="U24" s="100">
        <f>_xll.EQNXTDZ($A$1,$B24,U$1,$B$1)</f>
        <v>30803.919999999998</v>
      </c>
      <c r="V24" s="100">
        <f>_xll.EQNXTDZ($A$1,$B24,V$1,$B$1)</f>
        <v>19649.560000000001</v>
      </c>
      <c r="W24" s="100">
        <f>_xll.EQNXTDZ($A$1,$B24,W$1,$B$1)</f>
        <v>31399.86</v>
      </c>
      <c r="X24" s="100">
        <f>_xll.EQNXTDZ($A$1,$B24,X$1,$B$1)</f>
        <v>64274.84</v>
      </c>
      <c r="Y24" s="100">
        <f>_xll.EQNXTDZ($A$1,$B24,Y$1,$B$1)</f>
        <v>33337.64</v>
      </c>
      <c r="Z24" s="100">
        <f>_xll.EQNXTDZ($A$1,$B24,Z$1,$B$1)</f>
        <v>24114.75</v>
      </c>
      <c r="AA24" s="100">
        <f>_xll.EQNXTDZ($A$1,$B24,AA$1,$B$1)</f>
        <v>26838.98</v>
      </c>
      <c r="AB24" s="100">
        <f>_xll.EQNXTDZ($A$1,$B24,AB$1,$B$1)</f>
        <v>35754.22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412.39</v>
      </c>
      <c r="D25" s="100">
        <f>_xll.EQNXTDZ($A$1,$B25,D$1,$B$1)</f>
        <v>433.9</v>
      </c>
      <c r="E25" s="100">
        <f>_xll.EQNXTDZ($A$1,$B25,E$1,$B$1)</f>
        <v>353.57</v>
      </c>
      <c r="F25" s="100">
        <f>_xll.EQNXTDZ($A$1,$B25,F$1,$B$1)</f>
        <v>234.74</v>
      </c>
      <c r="G25" s="100">
        <f>_xll.EQNXTDZ($A$1,$B25,G$1,$B$1)</f>
        <v>238.6</v>
      </c>
      <c r="H25" s="100">
        <f>_xll.EQNXTDZ($A$1,$B25,H$1,$B$1)</f>
        <v>207.56</v>
      </c>
      <c r="I25" s="100">
        <f>_xll.EQNXTDZ($A$1,$B25,I$1,$B$1)</f>
        <v>634.07000000000005</v>
      </c>
      <c r="J25" s="100">
        <f>_xll.EQNXTDZ($A$1,$B25,J$1,$B$1)</f>
        <v>4539.37</v>
      </c>
      <c r="K25" s="100">
        <f>_xll.EQNXTDZ($A$1,$B25,K$1,$B$1)</f>
        <v>3790.69</v>
      </c>
      <c r="L25" s="100">
        <f>_xll.EQNXTDZ($A$1,$B25,L$1,$B$1)</f>
        <v>3494.3</v>
      </c>
      <c r="M25" s="100">
        <f>_xll.EQNXTDZ($A$1,$B25,M$1,$B$1)</f>
        <v>3955.78</v>
      </c>
      <c r="N25" s="100">
        <f>_xll.EQNXTDZ($A$1,$B25,N$1,$B$1)</f>
        <v>4250.1099999999997</v>
      </c>
      <c r="O25" s="100">
        <f>_xll.EQNXTDZ($A$1,$B25,O$1,$B$1)</f>
        <v>3968.11</v>
      </c>
      <c r="P25" s="100">
        <f>_xll.EQNXTDZ($A$1,$B25,P$1,$B$1)</f>
        <v>4336.83</v>
      </c>
      <c r="Q25" s="100">
        <f>_xll.EQNXTDZ($A$1,$B25,Q$1,$B$1)</f>
        <v>4847.75</v>
      </c>
      <c r="R25" s="100">
        <f>_xll.EQNXTDZ($A$1,$B25,R$1,$B$1)</f>
        <v>4221.41</v>
      </c>
      <c r="S25" s="100">
        <f>_xll.EQNXTDZ($A$1,$B25,S$1,$B$1)</f>
        <v>5072.2</v>
      </c>
      <c r="T25" s="100">
        <f>_xll.EQNXTDZ($A$1,$B25,T$1,$B$1)</f>
        <v>5454.74</v>
      </c>
      <c r="U25" s="100">
        <f>_xll.EQNXTDZ($A$1,$B25,U$1,$B$1)</f>
        <v>7660.1</v>
      </c>
      <c r="V25" s="100">
        <f>_xll.EQNXTDZ($A$1,$B25,V$1,$B$1)</f>
        <v>7580.72</v>
      </c>
      <c r="W25" s="100">
        <f>_xll.EQNXTDZ($A$1,$B25,W$1,$B$1)</f>
        <v>7606.71</v>
      </c>
      <c r="X25" s="100">
        <f>_xll.EQNXTDZ($A$1,$B25,X$1,$B$1)</f>
        <v>5462.2</v>
      </c>
      <c r="Y25" s="100">
        <f>_xll.EQNXTDZ($A$1,$B25,Y$1,$B$1)</f>
        <v>6298.7</v>
      </c>
      <c r="Z25" s="100">
        <f>_xll.EQNXTDZ($A$1,$B25,Z$1,$B$1)</f>
        <v>7507.57</v>
      </c>
      <c r="AA25" s="100">
        <f>_xll.EQNXTDZ($A$1,$B25,AA$1,$B$1)</f>
        <v>7340.95</v>
      </c>
      <c r="AB25" s="100">
        <f>_xll.EQNXTDZ($A$1,$B25,AB$1,$B$1)</f>
        <v>7167.06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1380.53</v>
      </c>
      <c r="D26" s="100">
        <f>_xll.EQNXTDZ($A$1,$B26,D$1,$B$1)</f>
        <v>1006.16</v>
      </c>
      <c r="E26" s="100">
        <f>_xll.EQNXTDZ($A$1,$B26,E$1,$B$1)</f>
        <v>2082.1999999999998</v>
      </c>
      <c r="F26" s="100">
        <f>_xll.EQNXTDZ($A$1,$B26,F$1,$B$1)</f>
        <v>3565.83</v>
      </c>
      <c r="G26" s="100">
        <f>_xll.EQNXTDZ($A$1,$B26,G$1,$B$1)</f>
        <v>6185.58</v>
      </c>
      <c r="H26" s="100">
        <f>_xll.EQNXTDZ($A$1,$B26,H$1,$B$1)</f>
        <v>6429.55</v>
      </c>
      <c r="I26" s="100">
        <f>_xll.EQNXTDZ($A$1,$B26,I$1,$B$1)</f>
        <v>7477.03</v>
      </c>
      <c r="J26" s="100">
        <f>_xll.EQNXTDZ($A$1,$B26,J$1,$B$1)</f>
        <v>14172.88</v>
      </c>
      <c r="K26" s="100">
        <f>_xll.EQNXTDZ($A$1,$B26,K$1,$B$1)</f>
        <v>15103.16</v>
      </c>
      <c r="L26" s="100">
        <f>_xll.EQNXTDZ($A$1,$B26,L$1,$B$1)</f>
        <v>6206.45</v>
      </c>
      <c r="M26" s="100">
        <f>_xll.EQNXTDZ($A$1,$B26,M$1,$B$1)</f>
        <v>13470.87</v>
      </c>
      <c r="N26" s="100">
        <f>_xll.EQNXTDZ($A$1,$B26,N$1,$B$1)</f>
        <v>9739.7099999999991</v>
      </c>
      <c r="O26" s="100">
        <f>_xll.EQNXTDZ($A$1,$B26,O$1,$B$1)</f>
        <v>8832.25</v>
      </c>
      <c r="P26" s="100">
        <f>_xll.EQNXTDZ($A$1,$B26,P$1,$B$1)</f>
        <v>12590.99</v>
      </c>
      <c r="Q26" s="100">
        <f>_xll.EQNXTDZ($A$1,$B26,Q$1,$B$1)</f>
        <v>8484.18</v>
      </c>
      <c r="R26" s="100">
        <f>_xll.EQNXTDZ($A$1,$B26,R$1,$B$1)</f>
        <v>4159.1400000000003</v>
      </c>
      <c r="S26" s="100">
        <f>_xll.EQNXTDZ($A$1,$B26,S$1,$B$1)</f>
        <v>12463.09</v>
      </c>
      <c r="T26" s="100">
        <f>_xll.EQNXTDZ($A$1,$B26,T$1,$B$1)</f>
        <v>16859.55</v>
      </c>
      <c r="U26" s="100">
        <f>_xll.EQNXTDZ($A$1,$B26,U$1,$B$1)</f>
        <v>23143.82</v>
      </c>
      <c r="V26" s="100">
        <f>_xll.EQNXTDZ($A$1,$B26,V$1,$B$1)</f>
        <v>12068.84</v>
      </c>
      <c r="W26" s="100">
        <f>_xll.EQNXTDZ($A$1,$B26,W$1,$B$1)</f>
        <v>23793.15</v>
      </c>
      <c r="X26" s="100">
        <f>_xll.EQNXTDZ($A$1,$B26,X$1,$B$1)</f>
        <v>58812.639999999999</v>
      </c>
      <c r="Y26" s="100">
        <f>_xll.EQNXTDZ($A$1,$B26,Y$1,$B$1)</f>
        <v>27038.94</v>
      </c>
      <c r="Z26" s="100">
        <f>_xll.EQNXTDZ($A$1,$B26,Z$1,$B$1)</f>
        <v>16607.18</v>
      </c>
      <c r="AA26" s="100">
        <f>_xll.EQNXTDZ($A$1,$B26,AA$1,$B$1)</f>
        <v>19498.03</v>
      </c>
      <c r="AB26" s="100">
        <f>_xll.EQNXTDZ($A$1,$B26,AB$1,$B$1)</f>
        <v>28587.16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492.25</v>
      </c>
      <c r="D27" s="100">
        <f>_xll.EQNXTDZ($A$1,$B27,D$1,$B$1)</f>
        <v>547.32000000000005</v>
      </c>
      <c r="E27" s="100">
        <f>_xll.EQNXTDZ($A$1,$B27,E$1,$B$1)</f>
        <v>569.69000000000005</v>
      </c>
      <c r="F27" s="100">
        <f>_xll.EQNXTDZ($A$1,$B27,F$1,$B$1)</f>
        <v>640.54999999999995</v>
      </c>
      <c r="G27" s="100">
        <f>_xll.EQNXTDZ($A$1,$B27,G$1,$B$1)</f>
        <v>645.46</v>
      </c>
      <c r="H27" s="100">
        <f>_xll.EQNXTDZ($A$1,$B27,H$1,$B$1)</f>
        <v>860.37</v>
      </c>
      <c r="I27" s="100">
        <f>_xll.EQNXTDZ($A$1,$B27,I$1,$B$1)</f>
        <v>1010.98</v>
      </c>
      <c r="J27" s="100">
        <f>_xll.EQNXTDZ($A$1,$B27,J$1,$B$1)</f>
        <v>4136.95</v>
      </c>
      <c r="K27" s="100">
        <f>_xll.EQNXTDZ($A$1,$B27,K$1,$B$1)</f>
        <v>4265.3900000000003</v>
      </c>
      <c r="L27" s="100">
        <f>_xll.EQNXTDZ($A$1,$B27,L$1,$B$1)</f>
        <v>4491.7299999999996</v>
      </c>
      <c r="M27" s="100">
        <f>_xll.EQNXTDZ($A$1,$B27,M$1,$B$1)</f>
        <v>4414.82</v>
      </c>
      <c r="N27" s="100">
        <f>_xll.EQNXTDZ($A$1,$B27,N$1,$B$1)</f>
        <v>4516.6499999999996</v>
      </c>
      <c r="O27" s="100">
        <f>_xll.EQNXTDZ($A$1,$B27,O$1,$B$1)</f>
        <v>5575.32</v>
      </c>
      <c r="P27" s="100">
        <f>_xll.EQNXTDZ($A$1,$B27,P$1,$B$1)</f>
        <v>5841.22</v>
      </c>
      <c r="Q27" s="100">
        <f>_xll.EQNXTDZ($A$1,$B27,Q$1,$B$1)</f>
        <v>5943.6</v>
      </c>
      <c r="R27" s="100">
        <f>_xll.EQNXTDZ($A$1,$B27,R$1,$B$1)</f>
        <v>5306.35</v>
      </c>
      <c r="S27" s="100">
        <f>_xll.EQNXTDZ($A$1,$B27,S$1,$B$1)</f>
        <v>5672.88</v>
      </c>
      <c r="T27" s="100">
        <f>_xll.EQNXTDZ($A$1,$B27,T$1,$B$1)</f>
        <v>5741.7</v>
      </c>
      <c r="U27" s="100">
        <f>_xll.EQNXTDZ($A$1,$B27,U$1,$B$1)</f>
        <v>7341.83</v>
      </c>
      <c r="V27" s="100">
        <f>_xll.EQNXTDZ($A$1,$B27,V$1,$B$1)</f>
        <v>8707.67</v>
      </c>
      <c r="W27" s="100">
        <f>_xll.EQNXTDZ($A$1,$B27,W$1,$B$1)</f>
        <v>9233.64</v>
      </c>
      <c r="X27" s="100">
        <f>_xll.EQNXTDZ($A$1,$B27,X$1,$B$1)</f>
        <v>9100.8700000000008</v>
      </c>
      <c r="Y27" s="100">
        <f>_xll.EQNXTDZ($A$1,$B27,Y$1,$B$1)</f>
        <v>9335.2000000000007</v>
      </c>
      <c r="Z27" s="100">
        <f>_xll.EQNXTDZ($A$1,$B27,Z$1,$B$1)</f>
        <v>9882.16</v>
      </c>
      <c r="AA27" s="100">
        <f>_xll.EQNXTDZ($A$1,$B27,AA$1,$B$1)</f>
        <v>10421.33</v>
      </c>
      <c r="AB27" s="100">
        <f>_xll.EQNXTDZ($A$1,$B27,AB$1,$B$1)</f>
        <v>11954.51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-110.42</v>
      </c>
      <c r="S28" s="100">
        <f>_xll.EQNXTDZ($A$1,$B28,S$1,$B$1)</f>
        <v>7.65</v>
      </c>
      <c r="T28" s="100">
        <f>_xll.EQNXTDZ($A$1,$B28,T$1,$B$1)</f>
        <v>239.12</v>
      </c>
      <c r="U28" s="100">
        <f>_xll.EQNXTDZ($A$1,$B28,U$1,$B$1)</f>
        <v>224.7</v>
      </c>
      <c r="V28" s="100">
        <f>_xll.EQNXTDZ($A$1,$B28,V$1,$B$1)</f>
        <v>187.97</v>
      </c>
      <c r="W28" s="100">
        <f>_xll.EQNXTDZ($A$1,$B28,W$1,$B$1)</f>
        <v>327.33999999999997</v>
      </c>
      <c r="X28" s="100">
        <f>_xll.EQNXTDZ($A$1,$B28,X$1,$B$1)</f>
        <v>649.16</v>
      </c>
      <c r="Y28" s="100">
        <f>_xll.EQNXTDZ($A$1,$B28,Y$1,$B$1)</f>
        <v>418.12</v>
      </c>
      <c r="Z28" s="100">
        <f>_xll.EQNXTDZ($A$1,$B28,Z$1,$B$1)</f>
        <v>-57.98</v>
      </c>
      <c r="AA28" s="100">
        <f>_xll.EQNXTDZ($A$1,$B28,AA$1,$B$1)</f>
        <v>190.81</v>
      </c>
      <c r="AB28" s="100">
        <f>_xll.EQNXTDZ($A$1,$B28,AB$1,$B$1)</f>
        <v>368.5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-285.83999999999997</v>
      </c>
      <c r="D29" s="100">
        <f>_xll.EQNXTDZ($A$1,$B29,D$1,$B$1)</f>
        <v>-216.57</v>
      </c>
      <c r="E29" s="100">
        <f>_xll.EQNXTDZ($A$1,$B29,E$1,$B$1)</f>
        <v>-233.55</v>
      </c>
      <c r="F29" s="100">
        <f>_xll.EQNXTDZ($A$1,$B29,F$1,$B$1)</f>
        <v>-210.41</v>
      </c>
      <c r="G29" s="100">
        <f>_xll.EQNXTDZ($A$1,$B29,G$1,$B$1)</f>
        <v>-97.68</v>
      </c>
      <c r="H29" s="100">
        <f>_xll.EQNXTDZ($A$1,$B29,H$1,$B$1)</f>
        <v>-54.2</v>
      </c>
      <c r="I29" s="100">
        <f>_xll.EQNXTDZ($A$1,$B29,I$1,$B$1)</f>
        <v>-153.03</v>
      </c>
      <c r="J29" s="100">
        <f>_xll.EQNXTDZ($A$1,$B29,J$1,$B$1)</f>
        <v>6335.13</v>
      </c>
      <c r="K29" s="100">
        <f>_xll.EQNXTDZ($A$1,$B29,K$1,$B$1)</f>
        <v>-4094.53</v>
      </c>
      <c r="L29" s="100">
        <f>_xll.EQNXTDZ($A$1,$B29,L$1,$B$1)</f>
        <v>-1683.72</v>
      </c>
      <c r="M29" s="100">
        <f>_xll.EQNXTDZ($A$1,$B29,M$1,$B$1)</f>
        <v>3045.9</v>
      </c>
      <c r="N29" s="100">
        <f>_xll.EQNXTDZ($A$1,$B29,N$1,$B$1)</f>
        <v>3361.92</v>
      </c>
      <c r="O29" s="100">
        <f>_xll.EQNXTDZ($A$1,$B29,O$1,$B$1)</f>
        <v>-7389.88</v>
      </c>
      <c r="P29" s="100">
        <f>_xll.EQNXTDZ($A$1,$B29,P$1,$B$1)</f>
        <v>-27.64</v>
      </c>
      <c r="Q29" s="100">
        <f>_xll.EQNXTDZ($A$1,$B29,Q$1,$B$1)</f>
        <v>-3928.67</v>
      </c>
      <c r="R29" s="100">
        <f>_xll.EQNXTDZ($A$1,$B29,R$1,$B$1)</f>
        <v>3990.38</v>
      </c>
      <c r="S29" s="100">
        <f>_xll.EQNXTDZ($A$1,$B29,S$1,$B$1)</f>
        <v>-4324.2299999999996</v>
      </c>
      <c r="T29" s="100">
        <f>_xll.EQNXTDZ($A$1,$B29,T$1,$B$1)</f>
        <v>9599.1200000000008</v>
      </c>
      <c r="U29" s="100">
        <f>_xll.EQNXTDZ($A$1,$B29,U$1,$B$1)</f>
        <v>-120.97</v>
      </c>
      <c r="V29" s="100">
        <f>_xll.EQNXTDZ($A$1,$B29,V$1,$B$1)</f>
        <v>-4929.58</v>
      </c>
      <c r="W29" s="100">
        <f>_xll.EQNXTDZ($A$1,$B29,W$1,$B$1)</f>
        <v>-1043.1600000000001</v>
      </c>
      <c r="X29" s="100">
        <f>_xll.EQNXTDZ($A$1,$B29,X$1,$B$1)</f>
        <v>-134.06</v>
      </c>
      <c r="Y29" s="100">
        <f>_xll.EQNXTDZ($A$1,$B29,Y$1,$B$1)</f>
        <v>113.26</v>
      </c>
      <c r="Z29" s="100">
        <f>_xll.EQNXTDZ($A$1,$B29,Z$1,$B$1)</f>
        <v>-7814.08</v>
      </c>
      <c r="AA29" s="100">
        <f>_xll.EQNXTDZ($A$1,$B29,AA$1,$B$1)</f>
        <v>-854.64</v>
      </c>
      <c r="AB29" s="100">
        <f>_xll.EQNXTDZ($A$1,$B29,AB$1,$B$1)</f>
        <v>-1032.46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49</v>
      </c>
      <c r="D30" s="100">
        <f>_xll.EQNXTDZ($A$1,$B30,D$1,$B$1)</f>
        <v>48.7</v>
      </c>
      <c r="E30" s="100">
        <f>_xll.EQNXTDZ($A$1,$B30,E$1,$B$1)</f>
        <v>256.68</v>
      </c>
      <c r="F30" s="100">
        <f>_xll.EQNXTDZ($A$1,$B30,F$1,$B$1)</f>
        <v>936.25</v>
      </c>
      <c r="G30" s="100">
        <f>_xll.EQNXTDZ($A$1,$B30,G$1,$B$1)</f>
        <v>1871.24</v>
      </c>
      <c r="H30" s="100">
        <f>_xll.EQNXTDZ($A$1,$B30,H$1,$B$1)</f>
        <v>1793.91</v>
      </c>
      <c r="I30" s="100">
        <f>_xll.EQNXTDZ($A$1,$B30,I$1,$B$1)</f>
        <v>2147.41</v>
      </c>
      <c r="J30" s="100">
        <f>_xll.EQNXTDZ($A$1,$B30,J$1,$B$1)</f>
        <v>4049.3</v>
      </c>
      <c r="K30" s="100">
        <f>_xll.EQNXTDZ($A$1,$B30,K$1,$B$1)</f>
        <v>1894</v>
      </c>
      <c r="L30" s="100">
        <f>_xll.EQNXTDZ($A$1,$B30,L$1,$B$1)</f>
        <v>2151.84</v>
      </c>
      <c r="M30" s="100">
        <f>_xll.EQNXTDZ($A$1,$B30,M$1,$B$1)</f>
        <v>3245.9</v>
      </c>
      <c r="N30" s="100">
        <f>_xll.EQNXTDZ($A$1,$B30,N$1,$B$1)</f>
        <v>3636.46</v>
      </c>
      <c r="O30" s="100">
        <f>_xll.EQNXTDZ($A$1,$B30,O$1,$B$1)</f>
        <v>3229.44</v>
      </c>
      <c r="P30" s="100">
        <f>_xll.EQNXTDZ($A$1,$B30,P$1,$B$1)</f>
        <v>3058.16</v>
      </c>
      <c r="Q30" s="100">
        <f>_xll.EQNXTDZ($A$1,$B30,Q$1,$B$1)</f>
        <v>2567.41</v>
      </c>
      <c r="R30" s="100">
        <f>_xll.EQNXTDZ($A$1,$B30,R$1,$B$1)</f>
        <v>689.96</v>
      </c>
      <c r="S30" s="100">
        <f>_xll.EQNXTDZ($A$1,$B30,S$1,$B$1)</f>
        <v>2778.01</v>
      </c>
      <c r="T30" s="100">
        <f>_xll.EQNXTDZ($A$1,$B30,T$1,$B$1)</f>
        <v>3392.33</v>
      </c>
      <c r="U30" s="100">
        <f>_xll.EQNXTDZ($A$1,$B30,U$1,$B$1)</f>
        <v>6718.43</v>
      </c>
      <c r="V30" s="100">
        <f>_xll.EQNXTDZ($A$1,$B30,V$1,$B$1)</f>
        <v>-2552.9</v>
      </c>
      <c r="W30" s="100">
        <f>_xll.EQNXTDZ($A$1,$B30,W$1,$B$1)</f>
        <v>5653.9</v>
      </c>
      <c r="X30" s="100">
        <f>_xll.EQNXTDZ($A$1,$B30,X$1,$B$1)</f>
        <v>8477.5499999999993</v>
      </c>
      <c r="Y30" s="100">
        <f>_xll.EQNXTDZ($A$1,$B30,Y$1,$B$1)</f>
        <v>10159.77</v>
      </c>
      <c r="Z30" s="100">
        <f>_xll.EQNXTDZ($A$1,$B30,Z$1,$B$1)</f>
        <v>3762.57</v>
      </c>
      <c r="AA30" s="100">
        <f>_xll.EQNXTDZ($A$1,$B30,AA$1,$B$1)</f>
        <v>5239.09</v>
      </c>
      <c r="AB30" s="100">
        <f>_xll.EQNXTDZ($A$1,$B30,AB$1,$B$1)</f>
        <v>5082.87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-1.1499999999999999</v>
      </c>
      <c r="E32" s="100">
        <f>_xll.EQNXTDZ($A$1,$B32,E$1,$B$1)</f>
        <v>-6.76</v>
      </c>
      <c r="F32" s="100">
        <f>_xll.EQNXTDZ($A$1,$B32,F$1,$B$1)</f>
        <v>-19.28</v>
      </c>
      <c r="G32" s="100">
        <f>_xll.EQNXTDZ($A$1,$B32,G$1,$B$1)</f>
        <v>-25.96</v>
      </c>
      <c r="H32" s="100">
        <f>_xll.EQNXTDZ($A$1,$B32,H$1,$B$1)</f>
        <v>-18.64</v>
      </c>
      <c r="I32" s="100">
        <f>_xll.EQNXTDZ($A$1,$B32,I$1,$B$1)</f>
        <v>-67.52</v>
      </c>
      <c r="J32" s="100">
        <f>_xll.EQNXTDZ($A$1,$B32,J$1,$B$1)</f>
        <v>-139.94</v>
      </c>
      <c r="K32" s="100">
        <f>_xll.EQNXTDZ($A$1,$B32,K$1,$B$1)</f>
        <v>40.94</v>
      </c>
      <c r="L32" s="100">
        <f>_xll.EQNXTDZ($A$1,$B32,L$1,$B$1)</f>
        <v>-15.24</v>
      </c>
      <c r="M32" s="100">
        <f>_xll.EQNXTDZ($A$1,$B32,M$1,$B$1)</f>
        <v>60.28</v>
      </c>
      <c r="N32" s="100">
        <f>_xll.EQNXTDZ($A$1,$B32,N$1,$B$1)</f>
        <v>173.14</v>
      </c>
      <c r="O32" s="100">
        <f>_xll.EQNXTDZ($A$1,$B32,O$1,$B$1)</f>
        <v>214.46</v>
      </c>
      <c r="P32" s="100">
        <f>_xll.EQNXTDZ($A$1,$B32,P$1,$B$1)</f>
        <v>-69.92</v>
      </c>
      <c r="Q32" s="100">
        <f>_xll.EQNXTDZ($A$1,$B32,Q$1,$B$1)</f>
        <v>13.29</v>
      </c>
      <c r="R32" s="100">
        <f>_xll.EQNXTDZ($A$1,$B32,R$1,$B$1)</f>
        <v>114.31</v>
      </c>
      <c r="S32" s="100">
        <f>_xll.EQNXTDZ($A$1,$B32,S$1,$B$1)</f>
        <v>-72.23</v>
      </c>
      <c r="T32" s="100">
        <f>_xll.EQNXTDZ($A$1,$B32,T$1,$B$1)</f>
        <v>-4328.4799999999996</v>
      </c>
      <c r="U32" s="100">
        <f>_xll.EQNXTDZ($A$1,$B32,U$1,$B$1)</f>
        <v>1120</v>
      </c>
      <c r="V32" s="100">
        <f>_xll.EQNXTDZ($A$1,$B32,V$1,$B$1)</f>
        <v>384.08</v>
      </c>
      <c r="W32" s="100">
        <f>_xll.EQNXTDZ($A$1,$B32,W$1,$B$1)</f>
        <v>-699.57</v>
      </c>
      <c r="X32" s="100">
        <f>_xll.EQNXTDZ($A$1,$B32,X$1,$B$1)</f>
        <v>-1595.39</v>
      </c>
      <c r="Y32" s="100">
        <f>_xll.EQNXTDZ($A$1,$B32,Y$1,$B$1)</f>
        <v>685.05</v>
      </c>
      <c r="Z32" s="100">
        <f>_xll.EQNXTDZ($A$1,$B32,Z$1,$B$1)</f>
        <v>472.17</v>
      </c>
      <c r="AA32" s="100">
        <f>_xll.EQNXTDZ($A$1,$B32,AA$1,$B$1)</f>
        <v>246.73</v>
      </c>
      <c r="AB32" s="100">
        <f>_xll.EQNXTDZ($A$1,$B32,AB$1,$B$1)</f>
        <v>-91.95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26.56</v>
      </c>
      <c r="F33" s="100">
        <f>_xll.EQNXTDZ($A$1,$B33,F$1,$B$1)</f>
        <v>29.44</v>
      </c>
      <c r="G33" s="100">
        <f>_xll.EQNXTDZ($A$1,$B33,G$1,$B$1)</f>
        <v>58.02</v>
      </c>
      <c r="H33" s="100">
        <f>_xll.EQNXTDZ($A$1,$B33,H$1,$B$1)</f>
        <v>32.19</v>
      </c>
      <c r="I33" s="100">
        <f>_xll.EQNXTDZ($A$1,$B33,I$1,$B$1)</f>
        <v>79.180000000000007</v>
      </c>
      <c r="J33" s="100">
        <f>_xll.EQNXTDZ($A$1,$B33,J$1,$B$1)</f>
        <v>168.16</v>
      </c>
      <c r="K33" s="100">
        <f>_xll.EQNXTDZ($A$1,$B33,K$1,$B$1)</f>
        <v>60.72</v>
      </c>
      <c r="L33" s="100">
        <f>_xll.EQNXTDZ($A$1,$B33,L$1,$B$1)</f>
        <v>126.86</v>
      </c>
      <c r="M33" s="100">
        <f>_xll.EQNXTDZ($A$1,$B33,M$1,$B$1)</f>
        <v>66.36</v>
      </c>
      <c r="N33" s="100">
        <f>_xll.EQNXTDZ($A$1,$B33,N$1,$B$1)</f>
        <v>268.11</v>
      </c>
      <c r="O33" s="100">
        <f>_xll.EQNXTDZ($A$1,$B33,O$1,$B$1)</f>
        <v>90.31</v>
      </c>
      <c r="P33" s="100">
        <f>_xll.EQNXTDZ($A$1,$B33,P$1,$B$1)</f>
        <v>0.84</v>
      </c>
      <c r="Q33" s="100">
        <f>_xll.EQNXTDZ($A$1,$B33,Q$1,$B$1)</f>
        <v>16.690000000000001</v>
      </c>
      <c r="R33" s="100">
        <f>_xll.EQNXTDZ($A$1,$B33,R$1,$B$1)</f>
        <v>0</v>
      </c>
      <c r="S33" s="100">
        <f>_xll.EQNXTDZ($A$1,$B33,S$1,$B$1)</f>
        <v>0</v>
      </c>
      <c r="T33" s="100">
        <f>_xll.EQNXTDZ($A$1,$B33,T$1,$B$1)</f>
        <v>0</v>
      </c>
      <c r="U33" s="100">
        <f>_xll.EQNXTDZ($A$1,$B33,U$1,$B$1)</f>
        <v>0</v>
      </c>
      <c r="V33" s="100">
        <f>_xll.EQNXTDZ($A$1,$B33,V$1,$B$1)</f>
        <v>0</v>
      </c>
      <c r="W33" s="100">
        <f>_xll.EQNXTDZ($A$1,$B33,W$1,$B$1)</f>
        <v>0</v>
      </c>
      <c r="X33" s="100">
        <f>_xll.EQNXTDZ($A$1,$B33,X$1,$B$1)</f>
        <v>0</v>
      </c>
      <c r="Y33" s="100">
        <f>_xll.EQNXTDZ($A$1,$B33,Y$1,$B$1)</f>
        <v>0</v>
      </c>
      <c r="Z33" s="100">
        <f>_xll.EQNXTDZ($A$1,$B33,Z$1,$B$1)</f>
        <v>0</v>
      </c>
      <c r="AA33" s="100">
        <f>_xll.EQNXTDZ($A$1,$B33,AA$1,$B$1)</f>
        <v>0</v>
      </c>
      <c r="AB33" s="100">
        <f>_xll.EQNXTDZ($A$1,$B33,AB$1,$B$1)</f>
        <v>0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553.44000000000005</v>
      </c>
      <c r="D35" s="100">
        <f>_xll.EQNXTDZ($A$1,$B35,D$1,$B$1)</f>
        <v>192.42</v>
      </c>
      <c r="E35" s="100">
        <f>_xll.EQNXTDZ($A$1,$B35,E$1,$B$1)</f>
        <v>1042.08</v>
      </c>
      <c r="F35" s="100">
        <f>_xll.EQNXTDZ($A$1,$B35,F$1,$B$1)</f>
        <v>1788.78</v>
      </c>
      <c r="G35" s="100">
        <f>_xll.EQNXTDZ($A$1,$B35,G$1,$B$1)</f>
        <v>3603.26</v>
      </c>
      <c r="H35" s="100">
        <f>_xll.EQNXTDZ($A$1,$B35,H$1,$B$1)</f>
        <v>3734.62</v>
      </c>
      <c r="I35" s="100">
        <f>_xll.EQNXTDZ($A$1,$B35,I$1,$B$1)</f>
        <v>4177.2700000000004</v>
      </c>
      <c r="J35" s="100">
        <f>_xll.EQNXTDZ($A$1,$B35,J$1,$B$1)</f>
        <v>12349.98</v>
      </c>
      <c r="K35" s="100">
        <f>_xll.EQNXTDZ($A$1,$B35,K$1,$B$1)</f>
        <v>4950.8999999999996</v>
      </c>
      <c r="L35" s="100">
        <f>_xll.EQNXTDZ($A$1,$B35,L$1,$B$1)</f>
        <v>-2009.22</v>
      </c>
      <c r="M35" s="100">
        <f>_xll.EQNXTDZ($A$1,$B35,M$1,$B$1)</f>
        <v>8982.69</v>
      </c>
      <c r="N35" s="100">
        <f>_xll.EQNXTDZ($A$1,$B35,N$1,$B$1)</f>
        <v>5389.77</v>
      </c>
      <c r="O35" s="100">
        <f>_xll.EQNXTDZ($A$1,$B35,O$1,$B$1)</f>
        <v>-7057.62</v>
      </c>
      <c r="P35" s="100">
        <f>_xll.EQNXTDZ($A$1,$B35,P$1,$B$1)</f>
        <v>3594.89</v>
      </c>
      <c r="Q35" s="100">
        <f>_xll.EQNXTDZ($A$1,$B35,Q$1,$B$1)</f>
        <v>-3925.52</v>
      </c>
      <c r="R35" s="100">
        <f>_xll.EQNXTDZ($A$1,$B35,R$1,$B$1)</f>
        <v>-382.78</v>
      </c>
      <c r="S35" s="100">
        <f>_xll.EQNXTDZ($A$1,$B35,S$1,$B$1)</f>
        <v>-4240.8</v>
      </c>
      <c r="T35" s="100">
        <f>_xll.EQNXTDZ($A$1,$B35,T$1,$B$1)</f>
        <v>13434.33</v>
      </c>
      <c r="U35" s="100">
        <f>_xll.EQNXTDZ($A$1,$B35,U$1,$B$1)</f>
        <v>10218.33</v>
      </c>
      <c r="V35" s="100">
        <f>_xll.EQNXTDZ($A$1,$B35,V$1,$B$1)</f>
        <v>1556.54</v>
      </c>
      <c r="W35" s="100">
        <f>_xll.EQNXTDZ($A$1,$B35,W$1,$B$1)</f>
        <v>7490.22</v>
      </c>
      <c r="X35" s="100">
        <f>_xll.EQNXTDZ($A$1,$B35,X$1,$B$1)</f>
        <v>40153.93</v>
      </c>
      <c r="Y35" s="100">
        <f>_xll.EQNXTDZ($A$1,$B35,Y$1,$B$1)</f>
        <v>8760.4</v>
      </c>
      <c r="Z35" s="100">
        <f>_xll.EQNXTDZ($A$1,$B35,Z$1,$B$1)</f>
        <v>-4437.4399999999996</v>
      </c>
      <c r="AA35" s="100">
        <f>_xll.EQNXTDZ($A$1,$B35,AA$1,$B$1)</f>
        <v>3420.51</v>
      </c>
      <c r="AB35" s="100">
        <f>_xll.EQNXTDZ($A$1,$B35,AB$1,$B$1)</f>
        <v>10793.87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-2539.88</v>
      </c>
      <c r="S36" s="100">
        <f>_xll.EQNXTDZ($A$1,$B36,S$1,$B$1)</f>
        <v>-3864.19</v>
      </c>
      <c r="T36" s="100">
        <f>_xll.EQNXTDZ($A$1,$B36,T$1,$B$1)</f>
        <v>199.05</v>
      </c>
      <c r="U36" s="100">
        <f>_xll.EQNXTDZ($A$1,$B36,U$1,$B$1)</f>
        <v>-88.96</v>
      </c>
      <c r="V36" s="100">
        <f>_xll.EQNXTDZ($A$1,$B36,V$1,$B$1)</f>
        <v>0</v>
      </c>
      <c r="W36" s="100">
        <f>_xll.EQNXTDZ($A$1,$B36,W$1,$B$1)</f>
        <v>0</v>
      </c>
      <c r="X36" s="100">
        <f>_xll.EQNXTDZ($A$1,$B36,X$1,$B$1)</f>
        <v>0</v>
      </c>
      <c r="Y36" s="100">
        <f>_xll.EQNXTDZ($A$1,$B36,Y$1,$B$1)</f>
        <v>0</v>
      </c>
      <c r="Z36" s="100">
        <f>_xll.EQNXTDZ($A$1,$B36,Z$1,$B$1)</f>
        <v>0</v>
      </c>
      <c r="AA36" s="100">
        <f>_xll.EQNXTDZ($A$1,$B36,AA$1,$B$1)</f>
        <v>0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200103</v>
      </c>
      <c r="D40">
        <f>_xll.EQNXTDZ($A$1,$B40,D$1,$B$1)</f>
        <v>200203</v>
      </c>
      <c r="E40">
        <f>_xll.EQNXTDZ($A$1,$B40,E$1,$B$1)</f>
        <v>200303</v>
      </c>
      <c r="F40">
        <f>_xll.EQNXTDZ($A$1,$B40,F$1,$B$1)</f>
        <v>200403</v>
      </c>
      <c r="G40">
        <f>_xll.EQNXTDZ($A$1,$B40,G$1,$B$1)</f>
        <v>200503</v>
      </c>
      <c r="H40">
        <f>_xll.EQNXTDZ($A$1,$B40,H$1,$B$1)</f>
        <v>200603</v>
      </c>
      <c r="I40">
        <f>_xll.EQNXTDZ($A$1,$B40,I$1,$B$1)</f>
        <v>200703</v>
      </c>
      <c r="J40">
        <f>_xll.EQNXTDZ($A$1,$B40,J$1,$B$1)</f>
        <v>200803</v>
      </c>
      <c r="K40">
        <f>_xll.EQNXTDZ($A$1,$B40,K$1,$B$1)</f>
        <v>200903</v>
      </c>
      <c r="L40">
        <f>_xll.EQNXTDZ($A$1,$B40,L$1,$B$1)</f>
        <v>201003</v>
      </c>
      <c r="M40">
        <f>_xll.EQNXTDZ($A$1,$B40,M$1,$B$1)</f>
        <v>201103</v>
      </c>
      <c r="N40">
        <f>_xll.EQNXTDZ($A$1,$B40,N$1,$B$1)</f>
        <v>201203</v>
      </c>
      <c r="O40">
        <f>_xll.EQNXTDZ($A$1,$B40,O$1,$B$1)</f>
        <v>201303</v>
      </c>
      <c r="P40">
        <f>_xll.EQNXTDZ($A$1,$B40,P$1,$B$1)</f>
        <v>201403</v>
      </c>
      <c r="Q40">
        <f>_xll.EQNXTDZ($A$1,$B40,Q$1,$B$1)</f>
        <v>201503</v>
      </c>
      <c r="R40">
        <f>_xll.EQNXTDZ($A$1,$B40,R$1,$B$1)</f>
        <v>201603</v>
      </c>
      <c r="S40">
        <f>_xll.EQNXTDZ($A$1,$B40,S$1,$B$1)</f>
        <v>201703</v>
      </c>
      <c r="T40">
        <f>_xll.EQNXTDZ($A$1,$B40,T$1,$B$1)</f>
        <v>201803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507.97</v>
      </c>
      <c r="D41" s="55">
        <f>_xll.EQNXTDZ($A$1,$B41,D$1,$B$1)</f>
        <v>367.97</v>
      </c>
      <c r="E41" s="55">
        <f>_xll.EQNXTDZ($A$1,$B41,E$1,$B$1)</f>
        <v>367.97</v>
      </c>
      <c r="F41" s="55">
        <f>_xll.EQNXTDZ($A$1,$B41,F$1,$B$1)</f>
        <v>368.24</v>
      </c>
      <c r="G41" s="55">
        <f>_xll.EQNXTDZ($A$1,$B41,G$1,$B$1)</f>
        <v>554.37</v>
      </c>
      <c r="H41" s="55">
        <f>_xll.EQNXTDZ($A$1,$B41,H$1,$B$1)</f>
        <v>553</v>
      </c>
      <c r="I41" s="55">
        <f>_xll.EQNXTDZ($A$1,$B41,I$1,$B$1)</f>
        <v>580</v>
      </c>
      <c r="J41" s="55">
        <f>_xll.EQNXTDZ($A$1,$B41,J$1,$B$1)</f>
        <v>6202.63</v>
      </c>
      <c r="K41" s="55">
        <f>_xll.EQNXTDZ($A$1,$B41,K$1,$B$1)</f>
        <v>6202.78</v>
      </c>
      <c r="L41" s="55">
        <f>_xll.EQNXTDZ($A$1,$B41,L$1,$B$1)</f>
        <v>886.74</v>
      </c>
      <c r="M41" s="55">
        <f>_xll.EQNXTDZ($A$1,$B41,M$1,$B$1)</f>
        <v>958.74</v>
      </c>
      <c r="N41" s="55">
        <f>_xll.EQNXTDZ($A$1,$B41,N$1,$B$1)</f>
        <v>993.84</v>
      </c>
      <c r="O41" s="55">
        <f>_xll.EQNXTDZ($A$1,$B41,O$1,$B$1)</f>
        <v>992.62</v>
      </c>
      <c r="P41" s="55">
        <f>_xll.EQNXTDZ($A$1,$B41,P$1,$B$1)</f>
        <v>991.41</v>
      </c>
      <c r="Q41" s="55">
        <f>_xll.EQNXTDZ($A$1,$B41,Q$1,$B$1)</f>
        <v>991.41</v>
      </c>
      <c r="R41" s="55">
        <f>_xll.EQNXTDZ($A$1,$B41,R$1,$B$1)</f>
        <v>970.24</v>
      </c>
      <c r="S41" s="55">
        <f>_xll.EQNXTDZ($A$1,$B41,S$1,$B$1)</f>
        <v>970.24</v>
      </c>
      <c r="T41" s="55">
        <f>_xll.EQNXTDZ($A$1,$B41,T$1,$B$1)</f>
        <v>1144.95</v>
      </c>
      <c r="U41" s="55">
        <f>_xll.EQNXTDZ($A$1,$B41,U$1,$B$1)</f>
        <v>1144.94</v>
      </c>
      <c r="V41" s="55">
        <f>_xll.EQNXTDZ($A$1,$B41,V$1,$B$1)</f>
        <v>1144.95</v>
      </c>
      <c r="W41" s="55">
        <f>_xll.EQNXTDZ($A$1,$B41,W$1,$B$1)</f>
        <v>1197.6099999999999</v>
      </c>
      <c r="X41" s="55">
        <f>_xll.EQNXTDZ($A$1,$B41,X$1,$B$1)</f>
        <v>1221.21</v>
      </c>
      <c r="Y41" s="55">
        <f>_xll.EQNXTDZ($A$1,$B41,Y$1,$B$1)</f>
        <v>1221.24</v>
      </c>
      <c r="Z41" s="55">
        <f>_xll.EQNXTDZ($A$1,$B41,Z$1,$B$1)</f>
        <v>1247.44</v>
      </c>
      <c r="AA41" s="55">
        <f>_xll.EQNXTDZ($A$1,$B41,AA$1,$B$1)</f>
        <v>1247.44</v>
      </c>
      <c r="AB41" s="55">
        <f>_xll.EQNXTDZ($A$1,$B41,AB$1,$B$1)</f>
        <v>1247.44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0.27</v>
      </c>
      <c r="F42" s="55">
        <f>_xll.EQNXTDZ($A$1,$B42,F$1,$B$1)</f>
        <v>0</v>
      </c>
      <c r="G42" s="55">
        <f>_xll.EQNXTDZ($A$1,$B42,G$1,$B$1)</f>
        <v>0</v>
      </c>
      <c r="H42" s="55">
        <f>_xll.EQNXTDZ($A$1,$B42,H$1,$B$1)</f>
        <v>0</v>
      </c>
      <c r="I42" s="55">
        <f>_xll.EQNXTDZ($A$1,$B42,I$1,$B$1)</f>
        <v>164.52</v>
      </c>
      <c r="J42" s="55">
        <f>_xll.EQNXTDZ($A$1,$B42,J$1,$B$1)</f>
        <v>17.46</v>
      </c>
      <c r="K42" s="55">
        <f>_xll.EQNXTDZ($A$1,$B42,K$1,$B$1)</f>
        <v>17.46</v>
      </c>
      <c r="L42" s="55">
        <f>_xll.EQNXTDZ($A$1,$B42,L$1,$B$1)</f>
        <v>17.46</v>
      </c>
      <c r="M42" s="55">
        <f>_xll.EQNXTDZ($A$1,$B42,M$1,$B$1)</f>
        <v>195.66</v>
      </c>
      <c r="N42" s="55">
        <f>_xll.EQNXTDZ($A$1,$B42,N$1,$B$1)</f>
        <v>17.46</v>
      </c>
      <c r="O42" s="55">
        <f>_xll.EQNXTDZ($A$1,$B42,O$1,$B$1)</f>
        <v>0</v>
      </c>
      <c r="P42" s="55">
        <f>_xll.EQNXTDZ($A$1,$B42,P$1,$B$1)</f>
        <v>0</v>
      </c>
      <c r="Q42" s="55">
        <f>_xll.EQNXTDZ($A$1,$B42,Q$1,$B$1)</f>
        <v>0</v>
      </c>
      <c r="R42" s="55">
        <f>_xll.EQNXTDZ($A$1,$B42,R$1,$B$1)</f>
        <v>0</v>
      </c>
      <c r="S42" s="55">
        <f>_xll.EQNXTDZ($A$1,$B42,S$1,$B$1)</f>
        <v>0.01</v>
      </c>
      <c r="T42" s="55">
        <f>_xll.EQNXTDZ($A$1,$B42,T$1,$B$1)</f>
        <v>0.02</v>
      </c>
      <c r="U42" s="55">
        <f>_xll.EQNXTDZ($A$1,$B42,U$1,$B$1)</f>
        <v>0</v>
      </c>
      <c r="V42" s="55">
        <f>_xll.EQNXTDZ($A$1,$B42,V$1,$B$1)</f>
        <v>0</v>
      </c>
      <c r="W42" s="55">
        <f>_xll.EQNXTDZ($A$1,$B42,W$1,$B$1)</f>
        <v>3.78</v>
      </c>
      <c r="X42" s="55">
        <f>_xll.EQNXTDZ($A$1,$B42,X$1,$B$1)</f>
        <v>0</v>
      </c>
      <c r="Y42" s="55">
        <f>_xll.EQNXTDZ($A$1,$B42,Y$1,$B$1)</f>
        <v>0</v>
      </c>
      <c r="Z42" s="55">
        <f>_xll.EQNXTDZ($A$1,$B42,Z$1,$B$1)</f>
        <v>0</v>
      </c>
      <c r="AA42" s="55">
        <f>_xll.EQNXTDZ($A$1,$B42,AA$1,$B$1)</f>
        <v>0</v>
      </c>
      <c r="AB42" s="55">
        <f>_xll.EQNXTDZ($A$1,$B42,AB$1,$B$1)</f>
        <v>0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4380.46</v>
      </c>
      <c r="D43" s="55">
        <f>_xll.EQNXTDZ($A$1,$B43,D$1,$B$1)</f>
        <v>3150.58</v>
      </c>
      <c r="E43" s="55">
        <f>_xll.EQNXTDZ($A$1,$B43,E$1,$B$1)</f>
        <v>2926.16</v>
      </c>
      <c r="F43" s="55">
        <f>_xll.EQNXTDZ($A$1,$B43,F$1,$B$1)</f>
        <v>4288.4399999999996</v>
      </c>
      <c r="G43" s="55">
        <f>_xll.EQNXTDZ($A$1,$B43,G$1,$B$1)</f>
        <v>6782.79</v>
      </c>
      <c r="H43" s="55">
        <f>_xll.EQNXTDZ($A$1,$B43,H$1,$B$1)</f>
        <v>9728.84</v>
      </c>
      <c r="I43" s="55">
        <f>_xll.EQNXTDZ($A$1,$B43,I$1,$B$1)</f>
        <v>13895.14</v>
      </c>
      <c r="J43" s="55">
        <f>_xll.EQNXTDZ($A$1,$B43,J$1,$B$1)</f>
        <v>27971.35</v>
      </c>
      <c r="K43" s="55">
        <f>_xll.EQNXTDZ($A$1,$B43,K$1,$B$1)</f>
        <v>21511.5</v>
      </c>
      <c r="L43" s="55">
        <f>_xll.EQNXTDZ($A$1,$B43,L$1,$B$1)</f>
        <v>21927.15</v>
      </c>
      <c r="M43" s="55">
        <f>_xll.EQNXTDZ($A$1,$B43,M$1,$B$1)</f>
        <v>34426.97</v>
      </c>
      <c r="N43" s="55">
        <f>_xll.EQNXTDZ($A$1,$B43,N$1,$B$1)</f>
        <v>42049.71</v>
      </c>
      <c r="O43" s="55">
        <f>_xll.EQNXTDZ($A$1,$B43,O$1,$B$1)</f>
        <v>33559.18</v>
      </c>
      <c r="P43" s="55">
        <f>_xll.EQNXTDZ($A$1,$B43,P$1,$B$1)</f>
        <v>39892.49</v>
      </c>
      <c r="Q43" s="55">
        <f>_xll.EQNXTDZ($A$1,$B43,Q$1,$B$1)</f>
        <v>30539.9</v>
      </c>
      <c r="R43" s="55">
        <f>_xll.EQNXTDZ($A$1,$B43,R$1,$B$1)</f>
        <v>40487.31</v>
      </c>
      <c r="S43" s="55">
        <f>_xll.EQNXTDZ($A$1,$B43,S$1,$B$1)</f>
        <v>34574.07</v>
      </c>
      <c r="T43" s="55">
        <f>_xll.EQNXTDZ($A$1,$B43,T$1,$B$1)</f>
        <v>57450.65</v>
      </c>
      <c r="U43" s="55">
        <f>_xll.EQNXTDZ($A$1,$B43,U$1,$B$1)</f>
        <v>65505.14</v>
      </c>
      <c r="V43" s="55">
        <f>_xll.EQNXTDZ($A$1,$B43,V$1,$B$1)</f>
        <v>70156.350000000006</v>
      </c>
      <c r="W43" s="55">
        <f>_xll.EQNXTDZ($A$1,$B43,W$1,$B$1)</f>
        <v>72262.38</v>
      </c>
      <c r="X43" s="55">
        <f>_xll.EQNXTDZ($A$1,$B43,X$1,$B$1)</f>
        <v>113221.83</v>
      </c>
      <c r="Y43" s="55">
        <f>_xll.EQNXTDZ($A$1,$B43,Y$1,$B$1)</f>
        <v>101860.86</v>
      </c>
      <c r="Z43" s="55">
        <f>_xll.EQNXTDZ($A$1,$B43,Z$1,$B$1)</f>
        <v>90788.32</v>
      </c>
      <c r="AA43" s="55">
        <f>_xll.EQNXTDZ($A$1,$B43,AA$1,$B$1)</f>
        <v>89922.19</v>
      </c>
      <c r="AB43" s="55">
        <f>_xll.EQNXTDZ($A$1,$B43,AB$1,$B$1)</f>
        <v>100920.21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4888.43</v>
      </c>
      <c r="D44" s="55">
        <f>_xll.EQNXTDZ($A$1,$B44,D$1,$B$1)</f>
        <v>3518.55</v>
      </c>
      <c r="E44" s="55">
        <f>_xll.EQNXTDZ($A$1,$B44,E$1,$B$1)</f>
        <v>3294.4</v>
      </c>
      <c r="F44" s="55">
        <f>_xll.EQNXTDZ($A$1,$B44,F$1,$B$1)</f>
        <v>4656.68</v>
      </c>
      <c r="G44" s="55">
        <f>_xll.EQNXTDZ($A$1,$B44,G$1,$B$1)</f>
        <v>7337.16</v>
      </c>
      <c r="H44" s="55">
        <f>_xll.EQNXTDZ($A$1,$B44,H$1,$B$1)</f>
        <v>10281.84</v>
      </c>
      <c r="I44" s="55">
        <f>_xll.EQNXTDZ($A$1,$B44,I$1,$B$1)</f>
        <v>14639.66</v>
      </c>
      <c r="J44" s="55">
        <f>_xll.EQNXTDZ($A$1,$B44,J$1,$B$1)</f>
        <v>34191.440000000002</v>
      </c>
      <c r="K44" s="55">
        <f>_xll.EQNXTDZ($A$1,$B44,K$1,$B$1)</f>
        <v>27731.74</v>
      </c>
      <c r="L44" s="55">
        <f>_xll.EQNXTDZ($A$1,$B44,L$1,$B$1)</f>
        <v>22831.35</v>
      </c>
      <c r="M44" s="55">
        <f>_xll.EQNXTDZ($A$1,$B44,M$1,$B$1)</f>
        <v>35581.370000000003</v>
      </c>
      <c r="N44" s="55">
        <f>_xll.EQNXTDZ($A$1,$B44,N$1,$B$1)</f>
        <v>43061.01</v>
      </c>
      <c r="O44" s="55">
        <f>_xll.EQNXTDZ($A$1,$B44,O$1,$B$1)</f>
        <v>34551.800000000003</v>
      </c>
      <c r="P44" s="55">
        <f>_xll.EQNXTDZ($A$1,$B44,P$1,$B$1)</f>
        <v>40883.9</v>
      </c>
      <c r="Q44" s="55">
        <f>_xll.EQNXTDZ($A$1,$B44,Q$1,$B$1)</f>
        <v>31531.31</v>
      </c>
      <c r="R44" s="55">
        <f>_xll.EQNXTDZ($A$1,$B44,R$1,$B$1)</f>
        <v>41457.550000000003</v>
      </c>
      <c r="S44" s="55">
        <f>_xll.EQNXTDZ($A$1,$B44,S$1,$B$1)</f>
        <v>35544.32</v>
      </c>
      <c r="T44" s="55">
        <f>_xll.EQNXTDZ($A$1,$B44,T$1,$B$1)</f>
        <v>58595.62</v>
      </c>
      <c r="U44" s="55">
        <f>_xll.EQNXTDZ($A$1,$B44,U$1,$B$1)</f>
        <v>66650.080000000002</v>
      </c>
      <c r="V44" s="55">
        <f>_xll.EQNXTDZ($A$1,$B44,V$1,$B$1)</f>
        <v>71301.3</v>
      </c>
      <c r="W44" s="55">
        <f>_xll.EQNXTDZ($A$1,$B44,W$1,$B$1)</f>
        <v>73463.77</v>
      </c>
      <c r="X44" s="55">
        <f>_xll.EQNXTDZ($A$1,$B44,X$1,$B$1)</f>
        <v>114443.04</v>
      </c>
      <c r="Y44" s="55">
        <f>_xll.EQNXTDZ($A$1,$B44,Y$1,$B$1)</f>
        <v>103082.1</v>
      </c>
      <c r="Z44" s="55">
        <f>_xll.EQNXTDZ($A$1,$B44,Z$1,$B$1)</f>
        <v>92035.76</v>
      </c>
      <c r="AA44" s="55">
        <f>_xll.EQNXTDZ($A$1,$B44,AA$1,$B$1)</f>
        <v>91169.63</v>
      </c>
      <c r="AB44" s="55">
        <f>_xll.EQNXTDZ($A$1,$B44,AB$1,$B$1)</f>
        <v>102167.65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23.63</v>
      </c>
      <c r="E45" s="55">
        <f>_xll.EQNXTDZ($A$1,$B45,E$1,$B$1)</f>
        <v>30.97</v>
      </c>
      <c r="F45" s="55">
        <f>_xll.EQNXTDZ($A$1,$B45,F$1,$B$1)</f>
        <v>48.66</v>
      </c>
      <c r="G45" s="55">
        <f>_xll.EQNXTDZ($A$1,$B45,G$1,$B$1)</f>
        <v>93.52</v>
      </c>
      <c r="H45" s="55">
        <f>_xll.EQNXTDZ($A$1,$B45,H$1,$B$1)</f>
        <v>123.57</v>
      </c>
      <c r="I45" s="55">
        <f>_xll.EQNXTDZ($A$1,$B45,I$1,$B$1)</f>
        <v>598.39</v>
      </c>
      <c r="J45" s="55">
        <f>_xll.EQNXTDZ($A$1,$B45,J$1,$B$1)</f>
        <v>832.7</v>
      </c>
      <c r="K45" s="55">
        <f>_xll.EQNXTDZ($A$1,$B45,K$1,$B$1)</f>
        <v>894.88</v>
      </c>
      <c r="L45" s="55">
        <f>_xll.EQNXTDZ($A$1,$B45,L$1,$B$1)</f>
        <v>884.07</v>
      </c>
      <c r="M45" s="55">
        <f>_xll.EQNXTDZ($A$1,$B45,M$1,$B$1)</f>
        <v>888.9</v>
      </c>
      <c r="N45" s="55">
        <f>_xll.EQNXTDZ($A$1,$B45,N$1,$B$1)</f>
        <v>1091.1500000000001</v>
      </c>
      <c r="O45" s="55">
        <f>_xll.EQNXTDZ($A$1,$B45,O$1,$B$1)</f>
        <v>1669.36</v>
      </c>
      <c r="P45" s="55">
        <f>_xll.EQNXTDZ($A$1,$B45,P$1,$B$1)</f>
        <v>1737.72</v>
      </c>
      <c r="Q45" s="55">
        <f>_xll.EQNXTDZ($A$1,$B45,Q$1,$B$1)</f>
        <v>1703.85</v>
      </c>
      <c r="R45" s="55">
        <f>_xll.EQNXTDZ($A$1,$B45,R$1,$B$1)</f>
        <v>780.94</v>
      </c>
      <c r="S45" s="55">
        <f>_xll.EQNXTDZ($A$1,$B45,S$1,$B$1)</f>
        <v>1601.7</v>
      </c>
      <c r="T45" s="55">
        <f>_xll.EQNXTDZ($A$1,$B45,T$1,$B$1)</f>
        <v>936.52</v>
      </c>
      <c r="U45" s="55">
        <f>_xll.EQNXTDZ($A$1,$B45,U$1,$B$1)</f>
        <v>2364.46</v>
      </c>
      <c r="V45" s="55">
        <f>_xll.EQNXTDZ($A$1,$B45,V$1,$B$1)</f>
        <v>2586.6</v>
      </c>
      <c r="W45" s="55">
        <f>_xll.EQNXTDZ($A$1,$B45,W$1,$B$1)</f>
        <v>3269.68</v>
      </c>
      <c r="X45" s="55">
        <f>_xll.EQNXTDZ($A$1,$B45,X$1,$B$1)</f>
        <v>2655.42</v>
      </c>
      <c r="Y45" s="55">
        <f>_xll.EQNXTDZ($A$1,$B45,Y$1,$B$1)</f>
        <v>2093.11</v>
      </c>
      <c r="Z45" s="55">
        <f>_xll.EQNXTDZ($A$1,$B45,Z$1,$B$1)</f>
        <v>396.98</v>
      </c>
      <c r="AA45" s="55">
        <f>_xll.EQNXTDZ($A$1,$B45,AA$1,$B$1)</f>
        <v>183.15</v>
      </c>
      <c r="AB45" s="55">
        <f>_xll.EQNXTDZ($A$1,$B45,AB$1,$B$1)</f>
        <v>1612.8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4129.96</v>
      </c>
      <c r="D47" s="55">
        <f>_xll.EQNXTDZ($A$1,$B47,D$1,$B$1)</f>
        <v>4232.5</v>
      </c>
      <c r="E47" s="55">
        <f>_xll.EQNXTDZ($A$1,$B47,E$1,$B$1)</f>
        <v>3747.44</v>
      </c>
      <c r="F47" s="55">
        <f>_xll.EQNXTDZ($A$1,$B47,F$1,$B$1)</f>
        <v>3111.75</v>
      </c>
      <c r="G47" s="55">
        <f>_xll.EQNXTDZ($A$1,$B47,G$1,$B$1)</f>
        <v>2668.11</v>
      </c>
      <c r="H47" s="55">
        <f>_xll.EQNXTDZ($A$1,$B47,H$1,$B$1)</f>
        <v>2503.39</v>
      </c>
      <c r="I47" s="55">
        <f>_xll.EQNXTDZ($A$1,$B47,I$1,$B$1)</f>
        <v>4961.2299999999996</v>
      </c>
      <c r="J47" s="55">
        <f>_xll.EQNXTDZ($A$1,$B47,J$1,$B$1)</f>
        <v>35414.99</v>
      </c>
      <c r="K47" s="55">
        <f>_xll.EQNXTDZ($A$1,$B47,K$1,$B$1)</f>
        <v>34243.879999999997</v>
      </c>
      <c r="L47" s="55">
        <f>_xll.EQNXTDZ($A$1,$B47,L$1,$B$1)</f>
        <v>28059.33</v>
      </c>
      <c r="M47" s="55">
        <f>_xll.EQNXTDZ($A$1,$B47,M$1,$B$1)</f>
        <v>24284.37</v>
      </c>
      <c r="N47" s="55">
        <f>_xll.EQNXTDZ($A$1,$B47,N$1,$B$1)</f>
        <v>24833.4</v>
      </c>
      <c r="O47" s="55">
        <f>_xll.EQNXTDZ($A$1,$B47,O$1,$B$1)</f>
        <v>24337.24</v>
      </c>
      <c r="P47" s="55">
        <f>_xll.EQNXTDZ($A$1,$B47,P$1,$B$1)</f>
        <v>27972.61</v>
      </c>
      <c r="Q47" s="55">
        <f>_xll.EQNXTDZ($A$1,$B47,Q$1,$B$1)</f>
        <v>22997.79</v>
      </c>
      <c r="R47" s="55">
        <f>_xll.EQNXTDZ($A$1,$B47,R$1,$B$1)</f>
        <v>21742.18</v>
      </c>
      <c r="S47" s="55">
        <f>_xll.EQNXTDZ($A$1,$B47,S$1,$B$1)</f>
        <v>17725.580000000002</v>
      </c>
      <c r="T47" s="55">
        <f>_xll.EQNXTDZ($A$1,$B47,T$1,$B$1)</f>
        <v>20790.88</v>
      </c>
      <c r="U47" s="55">
        <f>_xll.EQNXTDZ($A$1,$B47,U$1,$B$1)</f>
        <v>27631.15</v>
      </c>
      <c r="V47" s="55">
        <f>_xll.EQNXTDZ($A$1,$B47,V$1,$B$1)</f>
        <v>37337.17</v>
      </c>
      <c r="W47" s="55">
        <f>_xll.EQNXTDZ($A$1,$B47,W$1,$B$1)</f>
        <v>25378.02</v>
      </c>
      <c r="X47" s="55">
        <f>_xll.EQNXTDZ($A$1,$B47,X$1,$B$1)</f>
        <v>7629.54</v>
      </c>
      <c r="Y47" s="55">
        <f>_xll.EQNXTDZ($A$1,$B47,Y$1,$B$1)</f>
        <v>6405.31</v>
      </c>
      <c r="Z47" s="55">
        <f>_xll.EQNXTDZ($A$1,$B47,Z$1,$B$1)</f>
        <v>5756.73</v>
      </c>
      <c r="AA47" s="55">
        <f>_xll.EQNXTDZ($A$1,$B47,AA$1,$B$1)</f>
        <v>448.78</v>
      </c>
      <c r="AB47" s="55">
        <f>_xll.EQNXTDZ($A$1,$B47,AB$1,$B$1)</f>
        <v>354.95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1425.39</v>
      </c>
      <c r="D48" s="55">
        <f>_xll.EQNXTDZ($A$1,$B48,D$1,$B$1)</f>
        <v>1769.4</v>
      </c>
      <c r="E48" s="55">
        <f>_xll.EQNXTDZ($A$1,$B48,E$1,$B$1)</f>
        <v>2031</v>
      </c>
      <c r="F48" s="55">
        <f>_xll.EQNXTDZ($A$1,$B48,F$1,$B$1)</f>
        <v>1968.01</v>
      </c>
      <c r="G48" s="55">
        <f>_xll.EQNXTDZ($A$1,$B48,G$1,$B$1)</f>
        <v>2178</v>
      </c>
      <c r="H48" s="55">
        <f>_xll.EQNXTDZ($A$1,$B48,H$1,$B$1)</f>
        <v>2276.6</v>
      </c>
      <c r="I48" s="55">
        <f>_xll.EQNXTDZ($A$1,$B48,I$1,$B$1)</f>
        <v>21082.6</v>
      </c>
      <c r="J48" s="55">
        <f>_xll.EQNXTDZ($A$1,$B48,J$1,$B$1)</f>
        <v>19289.8</v>
      </c>
      <c r="K48" s="55">
        <f>_xll.EQNXTDZ($A$1,$B48,K$1,$B$1)</f>
        <v>26699.03</v>
      </c>
      <c r="L48" s="55">
        <f>_xll.EQNXTDZ($A$1,$B48,L$1,$B$1)</f>
        <v>26211.64</v>
      </c>
      <c r="M48" s="55">
        <f>_xll.EQNXTDZ($A$1,$B48,M$1,$B$1)</f>
        <v>26466.32</v>
      </c>
      <c r="N48" s="55">
        <f>_xll.EQNXTDZ($A$1,$B48,N$1,$B$1)</f>
        <v>22679.84</v>
      </c>
      <c r="O48" s="55">
        <f>_xll.EQNXTDZ($A$1,$B48,O$1,$B$1)</f>
        <v>24795.38</v>
      </c>
      <c r="P48" s="55">
        <f>_xll.EQNXTDZ($A$1,$B48,P$1,$B$1)</f>
        <v>26668.799999999999</v>
      </c>
      <c r="Q48" s="55">
        <f>_xll.EQNXTDZ($A$1,$B48,Q$1,$B$1)</f>
        <v>44952.41</v>
      </c>
      <c r="R48" s="55">
        <f>_xll.EQNXTDZ($A$1,$B48,R$1,$B$1)</f>
        <v>45405.599999999999</v>
      </c>
      <c r="S48" s="55">
        <f>_xll.EQNXTDZ($A$1,$B48,S$1,$B$1)</f>
        <v>48571.69</v>
      </c>
      <c r="T48" s="55">
        <f>_xll.EQNXTDZ($A$1,$B48,T$1,$B$1)</f>
        <v>54273.22</v>
      </c>
      <c r="U48" s="55">
        <f>_xll.EQNXTDZ($A$1,$B48,U$1,$B$1)</f>
        <v>54986.58</v>
      </c>
      <c r="V48" s="55">
        <f>_xll.EQNXTDZ($A$1,$B48,V$1,$B$1)</f>
        <v>59042.8</v>
      </c>
      <c r="W48" s="55">
        <f>_xll.EQNXTDZ($A$1,$B48,W$1,$B$1)</f>
        <v>41094.99</v>
      </c>
      <c r="X48" s="55">
        <f>_xll.EQNXTDZ($A$1,$B48,X$1,$B$1)</f>
        <v>37134.53</v>
      </c>
      <c r="Y48" s="55">
        <f>_xll.EQNXTDZ($A$1,$B48,Y$1,$B$1)</f>
        <v>45041.02</v>
      </c>
      <c r="Z48" s="55">
        <f>_xll.EQNXTDZ($A$1,$B48,Z$1,$B$1)</f>
        <v>45820</v>
      </c>
      <c r="AA48" s="55">
        <f>_xll.EQNXTDZ($A$1,$B48,AA$1,$B$1)</f>
        <v>68103.03</v>
      </c>
      <c r="AB48" s="55">
        <f>_xll.EQNXTDZ($A$1,$B48,AB$1,$B$1)</f>
        <v>63398.720000000001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1409.42</v>
      </c>
      <c r="E49" s="55">
        <f>_xll.EQNXTDZ($A$1,$B49,E$1,$B$1)</f>
        <v>859.53</v>
      </c>
      <c r="F49" s="55">
        <f>_xll.EQNXTDZ($A$1,$B49,F$1,$B$1)</f>
        <v>851.96</v>
      </c>
      <c r="G49" s="55">
        <f>_xll.EQNXTDZ($A$1,$B49,G$1,$B$1)</f>
        <v>851.29</v>
      </c>
      <c r="H49" s="55">
        <f>_xll.EQNXTDZ($A$1,$B49,H$1,$B$1)</f>
        <v>992.18</v>
      </c>
      <c r="I49" s="55">
        <f>_xll.EQNXTDZ($A$1,$B49,I$1,$B$1)</f>
        <v>785.94</v>
      </c>
      <c r="J49" s="55">
        <f>_xll.EQNXTDZ($A$1,$B49,J$1,$B$1)</f>
        <v>2454.42</v>
      </c>
      <c r="K49" s="55">
        <f>_xll.EQNXTDZ($A$1,$B49,K$1,$B$1)</f>
        <v>1709.43</v>
      </c>
      <c r="L49" s="55">
        <f>_xll.EQNXTDZ($A$1,$B49,L$1,$B$1)</f>
        <v>1654.11</v>
      </c>
      <c r="M49" s="55">
        <f>_xll.EQNXTDZ($A$1,$B49,M$1,$B$1)</f>
        <v>2012.62</v>
      </c>
      <c r="N49" s="55">
        <f>_xll.EQNXTDZ($A$1,$B49,N$1,$B$1)</f>
        <v>2442.41</v>
      </c>
      <c r="O49" s="55">
        <f>_xll.EQNXTDZ($A$1,$B49,O$1,$B$1)</f>
        <v>3118.49</v>
      </c>
      <c r="P49" s="55">
        <f>_xll.EQNXTDZ($A$1,$B49,P$1,$B$1)</f>
        <v>2555</v>
      </c>
      <c r="Q49" s="55">
        <f>_xll.EQNXTDZ($A$1,$B49,Q$1,$B$1)</f>
        <v>2861.76</v>
      </c>
      <c r="R49" s="55">
        <f>_xll.EQNXTDZ($A$1,$B49,R$1,$B$1)</f>
        <v>8793.44</v>
      </c>
      <c r="S49" s="55">
        <f>_xll.EQNXTDZ($A$1,$B49,S$1,$B$1)</f>
        <v>9144.2099999999991</v>
      </c>
      <c r="T49" s="55">
        <f>_xll.EQNXTDZ($A$1,$B49,T$1,$B$1)</f>
        <v>9534.08</v>
      </c>
      <c r="U49" s="55">
        <f>_xll.EQNXTDZ($A$1,$B49,U$1,$B$1)</f>
        <v>11650.94</v>
      </c>
      <c r="V49" s="55">
        <f>_xll.EQNXTDZ($A$1,$B49,V$1,$B$1)</f>
        <v>7991.05</v>
      </c>
      <c r="W49" s="55">
        <f>_xll.EQNXTDZ($A$1,$B49,W$1,$B$1)</f>
        <v>7663.4</v>
      </c>
      <c r="X49" s="55">
        <f>_xll.EQNXTDZ($A$1,$B49,X$1,$B$1)</f>
        <v>9301.85</v>
      </c>
      <c r="Y49" s="55">
        <f>_xll.EQNXTDZ($A$1,$B49,Y$1,$B$1)</f>
        <v>11489.68</v>
      </c>
      <c r="Z49" s="55">
        <f>_xll.EQNXTDZ($A$1,$B49,Z$1,$B$1)</f>
        <v>8881.26</v>
      </c>
      <c r="AA49" s="55">
        <f>_xll.EQNXTDZ($A$1,$B49,AA$1,$B$1)</f>
        <v>10493.93</v>
      </c>
      <c r="AB49" s="55">
        <f>_xll.EQNXTDZ($A$1,$B49,AB$1,$B$1)</f>
        <v>10592.75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177.48</v>
      </c>
      <c r="N50" s="55">
        <f>_xll.EQNXTDZ($A$1,$B50,N$1,$B$1)</f>
        <v>181.33</v>
      </c>
      <c r="O50" s="55">
        <f>_xll.EQNXTDZ($A$1,$B50,O$1,$B$1)</f>
        <v>162.22</v>
      </c>
      <c r="P50" s="55">
        <f>_xll.EQNXTDZ($A$1,$B50,P$1,$B$1)</f>
        <v>230.65</v>
      </c>
      <c r="Q50" s="55">
        <f>_xll.EQNXTDZ($A$1,$B50,Q$1,$B$1)</f>
        <v>165</v>
      </c>
      <c r="R50" s="55">
        <f>_xll.EQNXTDZ($A$1,$B50,R$1,$B$1)</f>
        <v>2925.93</v>
      </c>
      <c r="S50" s="55">
        <f>_xll.EQNXTDZ($A$1,$B50,S$1,$B$1)</f>
        <v>2476.4499999999998</v>
      </c>
      <c r="T50" s="55">
        <f>_xll.EQNXTDZ($A$1,$B50,T$1,$B$1)</f>
        <v>1987.95</v>
      </c>
      <c r="U50" s="55">
        <f>_xll.EQNXTDZ($A$1,$B50,U$1,$B$1)</f>
        <v>1495.42</v>
      </c>
      <c r="V50" s="55">
        <f>_xll.EQNXTDZ($A$1,$B50,V$1,$B$1)</f>
        <v>1008.37</v>
      </c>
      <c r="W50" s="55">
        <f>_xll.EQNXTDZ($A$1,$B50,W$1,$B$1)</f>
        <v>13457.79</v>
      </c>
      <c r="X50" s="55">
        <f>_xll.EQNXTDZ($A$1,$B50,X$1,$B$1)</f>
        <v>11440.03</v>
      </c>
      <c r="Y50" s="55">
        <f>_xll.EQNXTDZ($A$1,$B50,Y$1,$B$1)</f>
        <v>10410.709999999999</v>
      </c>
      <c r="Z50" s="55">
        <f>_xll.EQNXTDZ($A$1,$B50,Z$1,$B$1)</f>
        <v>7882.87</v>
      </c>
      <c r="AA50" s="55">
        <f>_xll.EQNXTDZ($A$1,$B50,AA$1,$B$1)</f>
        <v>8593.83</v>
      </c>
      <c r="AB50" s="55">
        <f>_xll.EQNXTDZ($A$1,$B50,AB$1,$B$1)</f>
        <v>10928.23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668.17</v>
      </c>
      <c r="N51" s="55">
        <f>_xll.EQNXTDZ($A$1,$B51,N$1,$B$1)</f>
        <v>708.53</v>
      </c>
      <c r="O51" s="55">
        <f>_xll.EQNXTDZ($A$1,$B51,O$1,$B$1)</f>
        <v>958.3</v>
      </c>
      <c r="P51" s="55">
        <f>_xll.EQNXTDZ($A$1,$B51,P$1,$B$1)</f>
        <v>1607.32</v>
      </c>
      <c r="Q51" s="55">
        <f>_xll.EQNXTDZ($A$1,$B51,Q$1,$B$1)</f>
        <v>1583.8</v>
      </c>
      <c r="R51" s="55">
        <f>_xll.EQNXTDZ($A$1,$B51,R$1,$B$1)</f>
        <v>454.42</v>
      </c>
      <c r="S51" s="55">
        <f>_xll.EQNXTDZ($A$1,$B51,S$1,$B$1)</f>
        <v>96.41</v>
      </c>
      <c r="T51" s="55">
        <f>_xll.EQNXTDZ($A$1,$B51,T$1,$B$1)</f>
        <v>87.66</v>
      </c>
      <c r="U51" s="55">
        <f>_xll.EQNXTDZ($A$1,$B51,U$1,$B$1)</f>
        <v>261.01</v>
      </c>
      <c r="V51" s="55">
        <f>_xll.EQNXTDZ($A$1,$B51,V$1,$B$1)</f>
        <v>387.67</v>
      </c>
      <c r="W51" s="55">
        <f>_xll.EQNXTDZ($A$1,$B51,W$1,$B$1)</f>
        <v>522.70000000000005</v>
      </c>
      <c r="X51" s="55">
        <f>_xll.EQNXTDZ($A$1,$B51,X$1,$B$1)</f>
        <v>989.57</v>
      </c>
      <c r="Y51" s="55">
        <f>_xll.EQNXTDZ($A$1,$B51,Y$1,$B$1)</f>
        <v>1871.51</v>
      </c>
      <c r="Z51" s="55">
        <f>_xll.EQNXTDZ($A$1,$B51,Z$1,$B$1)</f>
        <v>1491.83</v>
      </c>
      <c r="AA51" s="55">
        <f>_xll.EQNXTDZ($A$1,$B51,AA$1,$B$1)</f>
        <v>1294.17</v>
      </c>
      <c r="AB51" s="55">
        <f>_xll.EQNXTDZ($A$1,$B51,AB$1,$B$1)</f>
        <v>1262.6199999999999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4585.05</v>
      </c>
      <c r="N52" s="55">
        <f>_xll.EQNXTDZ($A$1,$B52,N$1,$B$1)</f>
        <v>4715.05</v>
      </c>
      <c r="O52" s="55">
        <f>_xll.EQNXTDZ($A$1,$B52,O$1,$B$1)</f>
        <v>5356.44</v>
      </c>
      <c r="P52" s="55">
        <f>_xll.EQNXTDZ($A$1,$B52,P$1,$B$1)</f>
        <v>6156.48</v>
      </c>
      <c r="Q52" s="55">
        <f>_xll.EQNXTDZ($A$1,$B52,Q$1,$B$1)</f>
        <v>7503.76</v>
      </c>
      <c r="R52" s="55">
        <f>_xll.EQNXTDZ($A$1,$B52,R$1,$B$1)</f>
        <v>7369.96</v>
      </c>
      <c r="S52" s="55">
        <f>_xll.EQNXTDZ($A$1,$B52,S$1,$B$1)</f>
        <v>6945.96</v>
      </c>
      <c r="T52" s="55">
        <f>_xll.EQNXTDZ($A$1,$B52,T$1,$B$1)</f>
        <v>6854.8</v>
      </c>
      <c r="U52" s="55">
        <f>_xll.EQNXTDZ($A$1,$B52,U$1,$B$1)</f>
        <v>6699.67</v>
      </c>
      <c r="V52" s="55">
        <f>_xll.EQNXTDZ($A$1,$B52,V$1,$B$1)</f>
        <v>7833.25</v>
      </c>
      <c r="W52" s="55">
        <f>_xll.EQNXTDZ($A$1,$B52,W$1,$B$1)</f>
        <v>8191.71</v>
      </c>
      <c r="X52" s="55">
        <f>_xll.EQNXTDZ($A$1,$B52,X$1,$B$1)</f>
        <v>8239.69</v>
      </c>
      <c r="Y52" s="55">
        <f>_xll.EQNXTDZ($A$1,$B52,Y$1,$B$1)</f>
        <v>7707.21</v>
      </c>
      <c r="Z52" s="55">
        <f>_xll.EQNXTDZ($A$1,$B52,Z$1,$B$1)</f>
        <v>8643.51</v>
      </c>
      <c r="AA52" s="55">
        <f>_xll.EQNXTDZ($A$1,$B52,AA$1,$B$1)</f>
        <v>9078.51</v>
      </c>
      <c r="AB52" s="55">
        <f>_xll.EQNXTDZ($A$1,$B52,AB$1,$B$1)</f>
        <v>9279.26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5555.35</v>
      </c>
      <c r="D53" s="55">
        <f>_xll.EQNXTDZ($A$1,$B53,D$1,$B$1)</f>
        <v>7411.32</v>
      </c>
      <c r="E53" s="55">
        <f>_xll.EQNXTDZ($A$1,$B53,E$1,$B$1)</f>
        <v>6637.97</v>
      </c>
      <c r="F53" s="55">
        <f>_xll.EQNXTDZ($A$1,$B53,F$1,$B$1)</f>
        <v>5931.72</v>
      </c>
      <c r="G53" s="55">
        <f>_xll.EQNXTDZ($A$1,$B53,G$1,$B$1)</f>
        <v>5697.4</v>
      </c>
      <c r="H53" s="55">
        <f>_xll.EQNXTDZ($A$1,$B53,H$1,$B$1)</f>
        <v>5772.17</v>
      </c>
      <c r="I53" s="55">
        <f>_xll.EQNXTDZ($A$1,$B53,I$1,$B$1)</f>
        <v>26829.77</v>
      </c>
      <c r="J53" s="55">
        <f>_xll.EQNXTDZ($A$1,$B53,J$1,$B$1)</f>
        <v>57159.21</v>
      </c>
      <c r="K53" s="55">
        <f>_xll.EQNXTDZ($A$1,$B53,K$1,$B$1)</f>
        <v>62652.34</v>
      </c>
      <c r="L53" s="55">
        <f>_xll.EQNXTDZ($A$1,$B53,L$1,$B$1)</f>
        <v>55925.08</v>
      </c>
      <c r="M53" s="55">
        <f>_xll.EQNXTDZ($A$1,$B53,M$1,$B$1)</f>
        <v>58194.01</v>
      </c>
      <c r="N53" s="55">
        <f>_xll.EQNXTDZ($A$1,$B53,N$1,$B$1)</f>
        <v>55560.56</v>
      </c>
      <c r="O53" s="55">
        <f>_xll.EQNXTDZ($A$1,$B53,O$1,$B$1)</f>
        <v>58728.07</v>
      </c>
      <c r="P53" s="55">
        <f>_xll.EQNXTDZ($A$1,$B53,P$1,$B$1)</f>
        <v>65190.86</v>
      </c>
      <c r="Q53" s="55">
        <f>_xll.EQNXTDZ($A$1,$B53,Q$1,$B$1)</f>
        <v>80064.52</v>
      </c>
      <c r="R53" s="55">
        <f>_xll.EQNXTDZ($A$1,$B53,R$1,$B$1)</f>
        <v>86691.53</v>
      </c>
      <c r="S53" s="55">
        <f>_xll.EQNXTDZ($A$1,$B53,S$1,$B$1)</f>
        <v>84960.3</v>
      </c>
      <c r="T53" s="55">
        <f>_xll.EQNXTDZ($A$1,$B53,T$1,$B$1)</f>
        <v>93528.59</v>
      </c>
      <c r="U53" s="55">
        <f>_xll.EQNXTDZ($A$1,$B53,U$1,$B$1)</f>
        <v>102724.77</v>
      </c>
      <c r="V53" s="55">
        <f>_xll.EQNXTDZ($A$1,$B53,V$1,$B$1)</f>
        <v>113600.31</v>
      </c>
      <c r="W53" s="55">
        <f>_xll.EQNXTDZ($A$1,$B53,W$1,$B$1)</f>
        <v>96308.61</v>
      </c>
      <c r="X53" s="55">
        <f>_xll.EQNXTDZ($A$1,$B53,X$1,$B$1)</f>
        <v>74735.210000000006</v>
      </c>
      <c r="Y53" s="55">
        <f>_xll.EQNXTDZ($A$1,$B53,Y$1,$B$1)</f>
        <v>82925.440000000002</v>
      </c>
      <c r="Z53" s="55">
        <f>_xll.EQNXTDZ($A$1,$B53,Z$1,$B$1)</f>
        <v>78476.2</v>
      </c>
      <c r="AA53" s="55">
        <f>_xll.EQNXTDZ($A$1,$B53,AA$1,$B$1)</f>
        <v>98012.25</v>
      </c>
      <c r="AB53" s="55">
        <f>_xll.EQNXTDZ($A$1,$B53,AB$1,$B$1)</f>
        <v>95816.53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1588.07</v>
      </c>
      <c r="D54" s="55">
        <f>_xll.EQNXTDZ($A$1,$B54,D$1,$B$1)</f>
        <v>1671.73</v>
      </c>
      <c r="E54" s="55">
        <f>_xll.EQNXTDZ($A$1,$B54,E$1,$B$1)</f>
        <v>1836.42</v>
      </c>
      <c r="F54" s="55">
        <f>_xll.EQNXTDZ($A$1,$B54,F$1,$B$1)</f>
        <v>2142.42</v>
      </c>
      <c r="G54" s="55">
        <f>_xll.EQNXTDZ($A$1,$B54,G$1,$B$1)</f>
        <v>3150.11</v>
      </c>
      <c r="H54" s="55">
        <f>_xll.EQNXTDZ($A$1,$B54,H$1,$B$1)</f>
        <v>3027.82</v>
      </c>
      <c r="I54" s="55">
        <f>_xll.EQNXTDZ($A$1,$B54,I$1,$B$1)</f>
        <v>5079.99</v>
      </c>
      <c r="J54" s="55">
        <f>_xll.EQNXTDZ($A$1,$B54,J$1,$B$1)</f>
        <v>25657.89</v>
      </c>
      <c r="K54" s="55">
        <f>_xll.EQNXTDZ($A$1,$B54,K$1,$B$1)</f>
        <v>21814.87</v>
      </c>
      <c r="L54" s="55">
        <f>_xll.EQNXTDZ($A$1,$B54,L$1,$B$1)</f>
        <v>22023.88</v>
      </c>
      <c r="M54" s="55">
        <f>_xll.EQNXTDZ($A$1,$B54,M$1,$B$1)</f>
        <v>18457.48</v>
      </c>
      <c r="N54" s="55">
        <f>_xll.EQNXTDZ($A$1,$B54,N$1,$B$1)</f>
        <v>20528.55</v>
      </c>
      <c r="O54" s="55">
        <f>_xll.EQNXTDZ($A$1,$B54,O$1,$B$1)</f>
        <v>19339.59</v>
      </c>
      <c r="P54" s="55">
        <f>_xll.EQNXTDZ($A$1,$B54,P$1,$B$1)</f>
        <v>22904.37</v>
      </c>
      <c r="Q54" s="55">
        <f>_xll.EQNXTDZ($A$1,$B54,Q$1,$B$1)</f>
        <v>19189.86</v>
      </c>
      <c r="R54" s="55">
        <f>_xll.EQNXTDZ($A$1,$B54,R$1,$B$1)</f>
        <v>18556.7</v>
      </c>
      <c r="S54" s="55">
        <f>_xll.EQNXTDZ($A$1,$B54,S$1,$B$1)</f>
        <v>18802.97</v>
      </c>
      <c r="T54" s="55">
        <f>_xll.EQNXTDZ($A$1,$B54,T$1,$B$1)</f>
        <v>20413.810000000001</v>
      </c>
      <c r="U54" s="55">
        <f>_xll.EQNXTDZ($A$1,$B54,U$1,$B$1)</f>
        <v>21716.959999999999</v>
      </c>
      <c r="V54" s="55">
        <f>_xll.EQNXTDZ($A$1,$B54,V$1,$B$1)</f>
        <v>21380.85</v>
      </c>
      <c r="W54" s="55">
        <f>_xll.EQNXTDZ($A$1,$B54,W$1,$B$1)</f>
        <v>25967.49</v>
      </c>
      <c r="X54" s="55">
        <f>_xll.EQNXTDZ($A$1,$B54,X$1,$B$1)</f>
        <v>36764.870000000003</v>
      </c>
      <c r="Y54" s="55">
        <f>_xll.EQNXTDZ($A$1,$B54,Y$1,$B$1)</f>
        <v>37832.54</v>
      </c>
      <c r="Z54" s="55">
        <f>_xll.EQNXTDZ($A$1,$B54,Z$1,$B$1)</f>
        <v>30227.64</v>
      </c>
      <c r="AA54" s="55">
        <f>_xll.EQNXTDZ($A$1,$B54,AA$1,$B$1)</f>
        <v>29314.38</v>
      </c>
      <c r="AB54" s="55">
        <f>_xll.EQNXTDZ($A$1,$B54,AB$1,$B$1)</f>
        <v>34810.14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124.31</v>
      </c>
      <c r="D55" s="55">
        <f>_xll.EQNXTDZ($A$1,$B55,D$1,$B$1)</f>
        <v>166.87</v>
      </c>
      <c r="E55" s="55">
        <f>_xll.EQNXTDZ($A$1,$B55,E$1,$B$1)</f>
        <v>176.13</v>
      </c>
      <c r="F55" s="55">
        <f>_xll.EQNXTDZ($A$1,$B55,F$1,$B$1)</f>
        <v>216.85</v>
      </c>
      <c r="G55" s="55">
        <f>_xll.EQNXTDZ($A$1,$B55,G$1,$B$1)</f>
        <v>338.18</v>
      </c>
      <c r="H55" s="55">
        <f>_xll.EQNXTDZ($A$1,$B55,H$1,$B$1)</f>
        <v>264.69</v>
      </c>
      <c r="I55" s="55">
        <f>_xll.EQNXTDZ($A$1,$B55,I$1,$B$1)</f>
        <v>364.2</v>
      </c>
      <c r="J55" s="55">
        <f>_xll.EQNXTDZ($A$1,$B55,J$1,$B$1)</f>
        <v>702.85000000000196</v>
      </c>
      <c r="K55" s="55">
        <f>_xll.EQNXTDZ($A$1,$B55,K$1,$B$1)</f>
        <v>1278.43</v>
      </c>
      <c r="L55" s="55">
        <f>_xll.EQNXTDZ($A$1,$B55,L$1,$B$1)</f>
        <v>1368.61</v>
      </c>
      <c r="M55" s="55">
        <f>_xll.EQNXTDZ($A$1,$B55,M$1,$B$1)</f>
        <v>15001.22</v>
      </c>
      <c r="N55" s="55">
        <f>_xll.EQNXTDZ($A$1,$B55,N$1,$B$1)</f>
        <v>18779.009999999998</v>
      </c>
      <c r="O55" s="55">
        <f>_xll.EQNXTDZ($A$1,$B55,O$1,$B$1)</f>
        <v>19454.98</v>
      </c>
      <c r="P55" s="55">
        <f>_xll.EQNXTDZ($A$1,$B55,P$1,$B$1)</f>
        <v>21994.85</v>
      </c>
      <c r="Q55" s="55">
        <f>_xll.EQNXTDZ($A$1,$B55,Q$1,$B$1)</f>
        <v>14479.59</v>
      </c>
      <c r="R55" s="55">
        <f>_xll.EQNXTDZ($A$1,$B55,R$1,$B$1)</f>
        <v>11041.11</v>
      </c>
      <c r="S55" s="55">
        <f>_xll.EQNXTDZ($A$1,$B55,S$1,$B$1)</f>
        <v>11341.67</v>
      </c>
      <c r="T55" s="55">
        <f>_xll.EQNXTDZ($A$1,$B55,T$1,$B$1)</f>
        <v>17199.04</v>
      </c>
      <c r="U55" s="55">
        <f>_xll.EQNXTDZ($A$1,$B55,U$1,$B$1)</f>
        <v>25083.14</v>
      </c>
      <c r="V55" s="55">
        <f>_xll.EQNXTDZ($A$1,$B55,V$1,$B$1)</f>
        <v>17332.740000000002</v>
      </c>
      <c r="W55" s="55">
        <f>_xll.EQNXTDZ($A$1,$B55,W$1,$B$1)</f>
        <v>26090.93</v>
      </c>
      <c r="X55" s="55">
        <f>_xll.EQNXTDZ($A$1,$B55,X$1,$B$1)</f>
        <v>28135.57</v>
      </c>
      <c r="Y55" s="55">
        <f>_xll.EQNXTDZ($A$1,$B55,Y$1,$B$1)</f>
        <v>37534.57</v>
      </c>
      <c r="Z55" s="55">
        <f>_xll.EQNXTDZ($A$1,$B55,Z$1,$B$1)</f>
        <v>48525.24</v>
      </c>
      <c r="AA55" s="55">
        <f>_xll.EQNXTDZ($A$1,$B55,AA$1,$B$1)</f>
        <v>39404.97</v>
      </c>
      <c r="AB55" s="55">
        <f>_xll.EQNXTDZ($A$1,$B55,AB$1,$B$1)</f>
        <v>37752.019999999997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3794.44</v>
      </c>
      <c r="N56" s="55">
        <f>_xll.EQNXTDZ($A$1,$B56,N$1,$B$1)</f>
        <v>4699.08</v>
      </c>
      <c r="O56" s="55">
        <f>_xll.EQNXTDZ($A$1,$B56,O$1,$B$1)</f>
        <v>10547.56</v>
      </c>
      <c r="P56" s="55">
        <f>_xll.EQNXTDZ($A$1,$B56,P$1,$B$1)</f>
        <v>16026.18</v>
      </c>
      <c r="Q56" s="55">
        <f>_xll.EQNXTDZ($A$1,$B56,Q$1,$B$1)</f>
        <v>9598.5499999999993</v>
      </c>
      <c r="R56" s="55">
        <f>_xll.EQNXTDZ($A$1,$B56,R$1,$B$1)</f>
        <v>15722.12</v>
      </c>
      <c r="S56" s="55">
        <f>_xll.EQNXTDZ($A$1,$B56,S$1,$B$1)</f>
        <v>18328.099999999999</v>
      </c>
      <c r="T56" s="55">
        <f>_xll.EQNXTDZ($A$1,$B56,T$1,$B$1)</f>
        <v>15884.98</v>
      </c>
      <c r="U56" s="55">
        <f>_xll.EQNXTDZ($A$1,$B56,U$1,$B$1)</f>
        <v>10802.08</v>
      </c>
      <c r="V56" s="55">
        <f>_xll.EQNXTDZ($A$1,$B56,V$1,$B$1)</f>
        <v>19184.48</v>
      </c>
      <c r="W56" s="55">
        <f>_xll.EQNXTDZ($A$1,$B56,W$1,$B$1)</f>
        <v>9492.11</v>
      </c>
      <c r="X56" s="55">
        <f>_xll.EQNXTDZ($A$1,$B56,X$1,$B$1)</f>
        <v>21187.040000000001</v>
      </c>
      <c r="Y56" s="55">
        <f>_xll.EQNXTDZ($A$1,$B56,Y$1,$B$1)</f>
        <v>15958.84</v>
      </c>
      <c r="Z56" s="55">
        <f>_xll.EQNXTDZ($A$1,$B56,Z$1,$B$1)</f>
        <v>13557.95</v>
      </c>
      <c r="AA56" s="55">
        <f>_xll.EQNXTDZ($A$1,$B56,AA$1,$B$1)</f>
        <v>11555.77</v>
      </c>
      <c r="AB56" s="55">
        <f>_xll.EQNXTDZ($A$1,$B56,AB$1,$B$1)</f>
        <v>15687.93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374.75</v>
      </c>
      <c r="D57" s="55">
        <f>_xll.EQNXTDZ($A$1,$B57,D$1,$B$1)</f>
        <v>345.16</v>
      </c>
      <c r="E57" s="55">
        <f>_xll.EQNXTDZ($A$1,$B57,E$1,$B$1)</f>
        <v>784.19</v>
      </c>
      <c r="F57" s="55">
        <f>_xll.EQNXTDZ($A$1,$B57,F$1,$B$1)</f>
        <v>528.04999999999995</v>
      </c>
      <c r="G57" s="55">
        <f>_xll.EQNXTDZ($A$1,$B57,G$1,$B$1)</f>
        <v>1086.94</v>
      </c>
      <c r="H57" s="55">
        <f>_xll.EQNXTDZ($A$1,$B57,H$1,$B$1)</f>
        <v>1074.98</v>
      </c>
      <c r="I57" s="55">
        <f>_xll.EQNXTDZ($A$1,$B57,I$1,$B$1)</f>
        <v>2079.5700000000002</v>
      </c>
      <c r="J57" s="55">
        <f>_xll.EQNXTDZ($A$1,$B57,J$1,$B$1)</f>
        <v>6458.01</v>
      </c>
      <c r="K57" s="55">
        <f>_xll.EQNXTDZ($A$1,$B57,K$1,$B$1)</f>
        <v>7140.71</v>
      </c>
      <c r="L57" s="55">
        <f>_xll.EQNXTDZ($A$1,$B57,L$1,$B$1)</f>
        <v>6594.16</v>
      </c>
      <c r="M57" s="55">
        <f>_xll.EQNXTDZ($A$1,$B57,M$1,$B$1)</f>
        <v>3395.25</v>
      </c>
      <c r="N57" s="55">
        <f>_xll.EQNXTDZ($A$1,$B57,N$1,$B$1)</f>
        <v>3476.19</v>
      </c>
      <c r="O57" s="55">
        <f>_xll.EQNXTDZ($A$1,$B57,O$1,$B$1)</f>
        <v>2943.29</v>
      </c>
      <c r="P57" s="55">
        <f>_xll.EQNXTDZ($A$1,$B57,P$1,$B$1)</f>
        <v>3197.74</v>
      </c>
      <c r="Q57" s="55">
        <f>_xll.EQNXTDZ($A$1,$B57,Q$1,$B$1)</f>
        <v>2703.52</v>
      </c>
      <c r="R57" s="55">
        <f>_xll.EQNXTDZ($A$1,$B57,R$1,$B$1)</f>
        <v>2634.04</v>
      </c>
      <c r="S57" s="55">
        <f>_xll.EQNXTDZ($A$1,$B57,S$1,$B$1)</f>
        <v>1849.38</v>
      </c>
      <c r="T57" s="55">
        <f>_xll.EQNXTDZ($A$1,$B57,T$1,$B$1)</f>
        <v>2163.4699999999998</v>
      </c>
      <c r="U57" s="55">
        <f>_xll.EQNXTDZ($A$1,$B57,U$1,$B$1)</f>
        <v>2005.83</v>
      </c>
      <c r="V57" s="55">
        <f>_xll.EQNXTDZ($A$1,$B57,V$1,$B$1)</f>
        <v>2414.5100000000002</v>
      </c>
      <c r="W57" s="55">
        <f>_xll.EQNXTDZ($A$1,$B57,W$1,$B$1)</f>
        <v>9316.6</v>
      </c>
      <c r="X57" s="55">
        <f>_xll.EQNXTDZ($A$1,$B57,X$1,$B$1)</f>
        <v>4309.41</v>
      </c>
      <c r="Y57" s="55">
        <f>_xll.EQNXTDZ($A$1,$B57,Y$1,$B$1)</f>
        <v>5969.18</v>
      </c>
      <c r="Z57" s="55">
        <f>_xll.EQNXTDZ($A$1,$B57,Z$1,$B$1)</f>
        <v>6092.65</v>
      </c>
      <c r="AA57" s="55">
        <f>_xll.EQNXTDZ($A$1,$B57,AA$1,$B$1)</f>
        <v>5818.43</v>
      </c>
      <c r="AB57" s="55">
        <f>_xll.EQNXTDZ($A$1,$B57,AB$1,$B$1)</f>
        <v>8667.5499999999993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18.93</v>
      </c>
      <c r="T58" s="55">
        <f>_xll.EQNXTDZ($A$1,$B58,T$1,$B$1)</f>
        <v>0.11</v>
      </c>
      <c r="U58" s="55">
        <f>_xll.EQNXTDZ($A$1,$B58,U$1,$B$1)</f>
        <v>1426.12</v>
      </c>
      <c r="V58" s="55">
        <f>_xll.EQNXTDZ($A$1,$B58,V$1,$B$1)</f>
        <v>1348.33</v>
      </c>
      <c r="W58" s="55">
        <f>_xll.EQNXTDZ($A$1,$B58,W$1,$B$1)</f>
        <v>0</v>
      </c>
      <c r="X58" s="55">
        <f>_xll.EQNXTDZ($A$1,$B58,X$1,$B$1)</f>
        <v>191.11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2087.13</v>
      </c>
      <c r="D59" s="55">
        <f>_xll.EQNXTDZ($A$1,$B59,D$1,$B$1)</f>
        <v>2183.7600000000002</v>
      </c>
      <c r="E59" s="55">
        <f>_xll.EQNXTDZ($A$1,$B59,E$1,$B$1)</f>
        <v>2796.74</v>
      </c>
      <c r="F59" s="55">
        <f>_xll.EQNXTDZ($A$1,$B59,F$1,$B$1)</f>
        <v>2887.32</v>
      </c>
      <c r="G59" s="55">
        <f>_xll.EQNXTDZ($A$1,$B59,G$1,$B$1)</f>
        <v>4575.2299999999996</v>
      </c>
      <c r="H59" s="55">
        <f>_xll.EQNXTDZ($A$1,$B59,H$1,$B$1)</f>
        <v>4367.49</v>
      </c>
      <c r="I59" s="55">
        <f>_xll.EQNXTDZ($A$1,$B59,I$1,$B$1)</f>
        <v>7523.76</v>
      </c>
      <c r="J59" s="55">
        <f>_xll.EQNXTDZ($A$1,$B59,J$1,$B$1)</f>
        <v>32818.75</v>
      </c>
      <c r="K59" s="55">
        <f>_xll.EQNXTDZ($A$1,$B59,K$1,$B$1)</f>
        <v>30234.01</v>
      </c>
      <c r="L59" s="55">
        <f>_xll.EQNXTDZ($A$1,$B59,L$1,$B$1)</f>
        <v>29986.65</v>
      </c>
      <c r="M59" s="55">
        <f>_xll.EQNXTDZ($A$1,$B59,M$1,$B$1)</f>
        <v>40648.39</v>
      </c>
      <c r="N59" s="55">
        <f>_xll.EQNXTDZ($A$1,$B59,N$1,$B$1)</f>
        <v>47482.83</v>
      </c>
      <c r="O59" s="55">
        <f>_xll.EQNXTDZ($A$1,$B59,O$1,$B$1)</f>
        <v>52285.42</v>
      </c>
      <c r="P59" s="55">
        <f>_xll.EQNXTDZ($A$1,$B59,P$1,$B$1)</f>
        <v>64123.14</v>
      </c>
      <c r="Q59" s="55">
        <f>_xll.EQNXTDZ($A$1,$B59,Q$1,$B$1)</f>
        <v>45971.519999999997</v>
      </c>
      <c r="R59" s="55">
        <f>_xll.EQNXTDZ($A$1,$B59,R$1,$B$1)</f>
        <v>47953.97</v>
      </c>
      <c r="S59" s="55">
        <f>_xll.EQNXTDZ($A$1,$B59,S$1,$B$1)</f>
        <v>50322.12</v>
      </c>
      <c r="T59" s="55">
        <f>_xll.EQNXTDZ($A$1,$B59,T$1,$B$1)</f>
        <v>55661.3</v>
      </c>
      <c r="U59" s="55">
        <f>_xll.EQNXTDZ($A$1,$B59,U$1,$B$1)</f>
        <v>59608.01</v>
      </c>
      <c r="V59" s="55">
        <f>_xll.EQNXTDZ($A$1,$B59,V$1,$B$1)</f>
        <v>60312.58</v>
      </c>
      <c r="W59" s="55">
        <f>_xll.EQNXTDZ($A$1,$B59,W$1,$B$1)</f>
        <v>70867.13</v>
      </c>
      <c r="X59" s="55">
        <f>_xll.EQNXTDZ($A$1,$B59,X$1,$B$1)</f>
        <v>90396.89</v>
      </c>
      <c r="Y59" s="55">
        <f>_xll.EQNXTDZ($A$1,$B59,Y$1,$B$1)</f>
        <v>97295.13</v>
      </c>
      <c r="Z59" s="55">
        <f>_xll.EQNXTDZ($A$1,$B59,Z$1,$B$1)</f>
        <v>98403.48</v>
      </c>
      <c r="AA59" s="55">
        <f>_xll.EQNXTDZ($A$1,$B59,AA$1,$B$1)</f>
        <v>86093.55</v>
      </c>
      <c r="AB59" s="55">
        <f>_xll.EQNXTDZ($A$1,$B59,AB$1,$B$1)</f>
        <v>96917.64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12530.91</v>
      </c>
      <c r="D60" s="55">
        <f>_xll.EQNXTDZ($A$1,$B60,D$1,$B$1)</f>
        <v>13137.26</v>
      </c>
      <c r="E60" s="55">
        <f>_xll.EQNXTDZ($A$1,$B60,E$1,$B$1)</f>
        <v>12760.08</v>
      </c>
      <c r="F60" s="55">
        <f>_xll.EQNXTDZ($A$1,$B60,F$1,$B$1)</f>
        <v>13524.38</v>
      </c>
      <c r="G60" s="55">
        <f>_xll.EQNXTDZ($A$1,$B60,G$1,$B$1)</f>
        <v>17703.310000000001</v>
      </c>
      <c r="H60" s="55">
        <f>_xll.EQNXTDZ($A$1,$B60,H$1,$B$1)</f>
        <v>20545.07</v>
      </c>
      <c r="I60" s="55">
        <f>_xll.EQNXTDZ($A$1,$B60,I$1,$B$1)</f>
        <v>49591.58</v>
      </c>
      <c r="J60" s="55">
        <f>_xll.EQNXTDZ($A$1,$B60,J$1,$B$1)</f>
        <v>125002.1</v>
      </c>
      <c r="K60" s="55">
        <f>_xll.EQNXTDZ($A$1,$B60,K$1,$B$1)</f>
        <v>121512.97</v>
      </c>
      <c r="L60" s="55">
        <f>_xll.EQNXTDZ($A$1,$B60,L$1,$B$1)</f>
        <v>109627.15</v>
      </c>
      <c r="M60" s="55">
        <f>_xll.EQNXTDZ($A$1,$B60,M$1,$B$1)</f>
        <v>135312.67000000001</v>
      </c>
      <c r="N60" s="55">
        <f>_xll.EQNXTDZ($A$1,$B60,N$1,$B$1)</f>
        <v>147195.54999999999</v>
      </c>
      <c r="O60" s="55">
        <f>_xll.EQNXTDZ($A$1,$B60,O$1,$B$1)</f>
        <v>147234.65</v>
      </c>
      <c r="P60" s="55">
        <f>_xll.EQNXTDZ($A$1,$B60,P$1,$B$1)</f>
        <v>171935.62</v>
      </c>
      <c r="Q60" s="55">
        <f>_xll.EQNXTDZ($A$1,$B60,Q$1,$B$1)</f>
        <v>159271.20000000001</v>
      </c>
      <c r="R60" s="55">
        <f>_xll.EQNXTDZ($A$1,$B60,R$1,$B$1)</f>
        <v>176883.99</v>
      </c>
      <c r="S60" s="55">
        <f>_xll.EQNXTDZ($A$1,$B60,S$1,$B$1)</f>
        <v>172447.37</v>
      </c>
      <c r="T60" s="55">
        <f>_xll.EQNXTDZ($A$1,$B60,T$1,$B$1)</f>
        <v>208722.14</v>
      </c>
      <c r="U60" s="55">
        <f>_xll.EQNXTDZ($A$1,$B60,U$1,$B$1)</f>
        <v>232773.44</v>
      </c>
      <c r="V60" s="55">
        <f>_xll.EQNXTDZ($A$1,$B60,V$1,$B$1)</f>
        <v>249149.12</v>
      </c>
      <c r="W60" s="55">
        <f>_xll.EQNXTDZ($A$1,$B60,W$1,$B$1)</f>
        <v>243909.19</v>
      </c>
      <c r="X60" s="55">
        <f>_xll.EQNXTDZ($A$1,$B60,X$1,$B$1)</f>
        <v>282421.67</v>
      </c>
      <c r="Y60" s="55">
        <f>_xll.EQNXTDZ($A$1,$B60,Y$1,$B$1)</f>
        <v>285395.78000000003</v>
      </c>
      <c r="Z60" s="55">
        <f>_xll.EQNXTDZ($A$1,$B60,Z$1,$B$1)</f>
        <v>269312.42</v>
      </c>
      <c r="AA60" s="55">
        <f>_xll.EQNXTDZ($A$1,$B60,AA$1,$B$1)</f>
        <v>275458.58</v>
      </c>
      <c r="AB60" s="55">
        <f>_xll.EQNXTDZ($A$1,$B60,AB$1,$B$1)</f>
        <v>296514.62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11258.17</v>
      </c>
      <c r="D62" s="55">
        <f>_xll.EQNXTDZ($A$1,$B62,D$1,$B$1)</f>
        <v>12214.82</v>
      </c>
      <c r="E62" s="55">
        <f>_xll.EQNXTDZ($A$1,$B62,E$1,$B$1)</f>
        <v>12636.07</v>
      </c>
      <c r="F62" s="55">
        <f>_xll.EQNXTDZ($A$1,$B62,F$1,$B$1)</f>
        <v>13606.7</v>
      </c>
      <c r="G62" s="55">
        <f>_xll.EQNXTDZ($A$1,$B62,G$1,$B$1)</f>
        <v>16122.83</v>
      </c>
      <c r="H62" s="55">
        <f>_xll.EQNXTDZ($A$1,$B62,H$1,$B$1)</f>
        <v>16744.68</v>
      </c>
      <c r="I62" s="55">
        <f>_xll.EQNXTDZ($A$1,$B62,I$1,$B$1)</f>
        <v>20303.439999999999</v>
      </c>
      <c r="J62" s="55">
        <f>_xll.EQNXTDZ($A$1,$B62,J$1,$B$1)</f>
        <v>114279.31</v>
      </c>
      <c r="K62" s="55">
        <f>_xll.EQNXTDZ($A$1,$B62,K$1,$B$1)</f>
        <v>114823.59</v>
      </c>
      <c r="L62" s="55">
        <f>_xll.EQNXTDZ($A$1,$B62,L$1,$B$1)</f>
        <v>111830.82</v>
      </c>
      <c r="M62" s="55">
        <f>_xll.EQNXTDZ($A$1,$B62,M$1,$B$1)</f>
        <v>113399.58</v>
      </c>
      <c r="N62" s="55">
        <f>_xll.EQNXTDZ($A$1,$B62,N$1,$B$1)</f>
        <v>130491.21</v>
      </c>
      <c r="O62" s="55">
        <f>_xll.EQNXTDZ($A$1,$B62,O$1,$B$1)</f>
        <v>147839.47</v>
      </c>
      <c r="P62" s="55">
        <f>_xll.EQNXTDZ($A$1,$B62,P$1,$B$1)</f>
        <v>171891.37</v>
      </c>
      <c r="Q62" s="55">
        <f>_xll.EQNXTDZ($A$1,$B62,Q$1,$B$1)</f>
        <v>164617.97</v>
      </c>
      <c r="R62" s="55">
        <f>_xll.EQNXTDZ($A$1,$B62,R$1,$B$1)</f>
        <v>112647.02</v>
      </c>
      <c r="S62" s="55">
        <f>_xll.EQNXTDZ($A$1,$B62,S$1,$B$1)</f>
        <v>131301.96</v>
      </c>
      <c r="T62" s="55">
        <f>_xll.EQNXTDZ($A$1,$B62,T$1,$B$1)</f>
        <v>145443.85999999999</v>
      </c>
      <c r="U62" s="55">
        <f>_xll.EQNXTDZ($A$1,$B62,U$1,$B$1)</f>
        <v>178428.08</v>
      </c>
      <c r="V62" s="55">
        <f>_xll.EQNXTDZ($A$1,$B62,V$1,$B$1)</f>
        <v>201046.98</v>
      </c>
      <c r="W62" s="55">
        <f>_xll.EQNXTDZ($A$1,$B62,W$1,$B$1)</f>
        <v>217939.26</v>
      </c>
      <c r="X62" s="55">
        <f>_xll.EQNXTDZ($A$1,$B62,X$1,$B$1)</f>
        <v>221751.76</v>
      </c>
      <c r="Y62" s="55">
        <f>_xll.EQNXTDZ($A$1,$B62,Y$1,$B$1)</f>
        <v>245394.56</v>
      </c>
      <c r="Z62" s="55">
        <f>_xll.EQNXTDZ($A$1,$B62,Z$1,$B$1)</f>
        <v>259572.27</v>
      </c>
      <c r="AA62" s="55">
        <f>_xll.EQNXTDZ($A$1,$B62,AA$1,$B$1)</f>
        <v>273028.46000000002</v>
      </c>
      <c r="AB62" s="55">
        <f>_xll.EQNXTDZ($A$1,$B62,AB$1,$B$1)</f>
        <v>322977.93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3720.08</v>
      </c>
      <c r="D63" s="55">
        <f>_xll.EQNXTDZ($A$1,$B63,D$1,$B$1)</f>
        <v>4440.8999999999996</v>
      </c>
      <c r="E63" s="55">
        <f>_xll.EQNXTDZ($A$1,$B63,E$1,$B$1)</f>
        <v>4975.58</v>
      </c>
      <c r="F63" s="55">
        <f>_xll.EQNXTDZ($A$1,$B63,F$1,$B$1)</f>
        <v>5589.06</v>
      </c>
      <c r="G63" s="55">
        <f>_xll.EQNXTDZ($A$1,$B63,G$1,$B$1)</f>
        <v>6206.39</v>
      </c>
      <c r="H63" s="55">
        <f>_xll.EQNXTDZ($A$1,$B63,H$1,$B$1)</f>
        <v>7105.8</v>
      </c>
      <c r="I63" s="55">
        <f>_xll.EQNXTDZ($A$1,$B63,I$1,$B$1)</f>
        <v>9089.2099999999991</v>
      </c>
      <c r="J63" s="55">
        <f>_xll.EQNXTDZ($A$1,$B63,J$1,$B$1)</f>
        <v>59938.92</v>
      </c>
      <c r="K63" s="55">
        <f>_xll.EQNXTDZ($A$1,$B63,K$1,$B$1)</f>
        <v>59858.09</v>
      </c>
      <c r="L63" s="55">
        <f>_xll.EQNXTDZ($A$1,$B63,L$1,$B$1)</f>
        <v>57902.85</v>
      </c>
      <c r="M63" s="55">
        <f>_xll.EQNXTDZ($A$1,$B63,M$1,$B$1)</f>
        <v>58411.839999999997</v>
      </c>
      <c r="N63" s="55">
        <f>_xll.EQNXTDZ($A$1,$B63,N$1,$B$1)</f>
        <v>67648.89</v>
      </c>
      <c r="O63" s="55">
        <f>_xll.EQNXTDZ($A$1,$B63,O$1,$B$1)</f>
        <v>72715.839999999997</v>
      </c>
      <c r="P63" s="55">
        <f>_xll.EQNXTDZ($A$1,$B63,P$1,$B$1)</f>
        <v>88452.28</v>
      </c>
      <c r="Q63" s="55">
        <f>_xll.EQNXTDZ($A$1,$B63,Q$1,$B$1)</f>
        <v>84913.17</v>
      </c>
      <c r="R63" s="55">
        <f>_xll.EQNXTDZ($A$1,$B63,R$1,$B$1)</f>
        <v>36021.629999999997</v>
      </c>
      <c r="S63" s="55">
        <f>_xll.EQNXTDZ($A$1,$B63,S$1,$B$1)</f>
        <v>35373.199999999997</v>
      </c>
      <c r="T63" s="55">
        <f>_xll.EQNXTDZ($A$1,$B63,T$1,$B$1)</f>
        <v>46251.12</v>
      </c>
      <c r="U63" s="55">
        <f>_xll.EQNXTDZ($A$1,$B63,U$1,$B$1)</f>
        <v>49608.65</v>
      </c>
      <c r="V63" s="55">
        <f>_xll.EQNXTDZ($A$1,$B63,V$1,$B$1)</f>
        <v>59773.3</v>
      </c>
      <c r="W63" s="55">
        <f>_xll.EQNXTDZ($A$1,$B63,W$1,$B$1)</f>
        <v>69791.490000000005</v>
      </c>
      <c r="X63" s="55">
        <f>_xll.EQNXTDZ($A$1,$B63,X$1,$B$1)</f>
        <v>76126.95</v>
      </c>
      <c r="Y63" s="55">
        <f>_xll.EQNXTDZ($A$1,$B63,Y$1,$B$1)</f>
        <v>86505.55</v>
      </c>
      <c r="Z63" s="55">
        <f>_xll.EQNXTDZ($A$1,$B63,Z$1,$B$1)</f>
        <v>95627.199999999997</v>
      </c>
      <c r="AA63" s="55">
        <f>_xll.EQNXTDZ($A$1,$B63,AA$1,$B$1)</f>
        <v>106025.60000000001</v>
      </c>
      <c r="AB63" s="55">
        <f>_xll.EQNXTDZ($A$1,$B63,AB$1,$B$1)</f>
        <v>125010.57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97.52</v>
      </c>
      <c r="H64" s="55">
        <f>_xll.EQNXTDZ($A$1,$B64,H$1,$B$1)</f>
        <v>94.19</v>
      </c>
      <c r="I64" s="55">
        <f>_xll.EQNXTDZ($A$1,$B64,I$1,$B$1)</f>
        <v>100.41</v>
      </c>
      <c r="J64" s="55">
        <f>_xll.EQNXTDZ($A$1,$B64,J$1,$B$1)</f>
        <v>3171.7</v>
      </c>
      <c r="K64" s="55">
        <f>_xll.EQNXTDZ($A$1,$B64,K$1,$B$1)</f>
        <v>3183.04</v>
      </c>
      <c r="L64" s="55">
        <f>_xll.EQNXTDZ($A$1,$B64,L$1,$B$1)</f>
        <v>2860.96</v>
      </c>
      <c r="M64" s="55">
        <f>_xll.EQNXTDZ($A$1,$B64,M$1,$B$1)</f>
        <v>3121.91</v>
      </c>
      <c r="N64" s="55">
        <f>_xll.EQNXTDZ($A$1,$B64,N$1,$B$1)</f>
        <v>3555.45</v>
      </c>
      <c r="O64" s="55">
        <f>_xll.EQNXTDZ($A$1,$B64,O$1,$B$1)</f>
        <v>7122.03</v>
      </c>
      <c r="P64" s="55">
        <f>_xll.EQNXTDZ($A$1,$B64,P$1,$B$1)</f>
        <v>8532.16</v>
      </c>
      <c r="Q64" s="55">
        <f>_xll.EQNXTDZ($A$1,$B64,Q$1,$B$1)</f>
        <v>11604.47</v>
      </c>
      <c r="R64" s="55">
        <f>_xll.EQNXTDZ($A$1,$B64,R$1,$B$1)</f>
        <v>4425.63</v>
      </c>
      <c r="S64" s="55">
        <f>_xll.EQNXTDZ($A$1,$B64,S$1,$B$1)</f>
        <v>3922.21</v>
      </c>
      <c r="T64" s="55">
        <f>_xll.EQNXTDZ($A$1,$B64,T$1,$B$1)</f>
        <v>3087.85</v>
      </c>
      <c r="U64" s="55">
        <f>_xll.EQNXTDZ($A$1,$B64,U$1,$B$1)</f>
        <v>4377.5200000000004</v>
      </c>
      <c r="V64" s="55">
        <f>_xll.EQNXTDZ($A$1,$B64,V$1,$B$1)</f>
        <v>6723.02</v>
      </c>
      <c r="W64" s="55">
        <f>_xll.EQNXTDZ($A$1,$B64,W$1,$B$1)</f>
        <v>12372.59</v>
      </c>
      <c r="X64" s="55">
        <f>_xll.EQNXTDZ($A$1,$B64,X$1,$B$1)</f>
        <v>12336.98</v>
      </c>
      <c r="Y64" s="55">
        <f>_xll.EQNXTDZ($A$1,$B64,Y$1,$B$1)</f>
        <v>12267.55</v>
      </c>
      <c r="Z64" s="55">
        <f>_xll.EQNXTDZ($A$1,$B64,Z$1,$B$1)</f>
        <v>15130.69</v>
      </c>
      <c r="AA64" s="55">
        <f>_xll.EQNXTDZ($A$1,$B64,AA$1,$B$1)</f>
        <v>16088.8</v>
      </c>
      <c r="AB64" s="55">
        <f>_xll.EQNXTDZ($A$1,$B64,AB$1,$B$1)</f>
        <v>18059.23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7538.09</v>
      </c>
      <c r="D65" s="55">
        <f>_xll.EQNXTDZ($A$1,$B65,D$1,$B$1)</f>
        <v>7773.92</v>
      </c>
      <c r="E65" s="55">
        <f>_xll.EQNXTDZ($A$1,$B65,E$1,$B$1)</f>
        <v>7660.49</v>
      </c>
      <c r="F65" s="55">
        <f>_xll.EQNXTDZ($A$1,$B65,F$1,$B$1)</f>
        <v>8017.64</v>
      </c>
      <c r="G65" s="55">
        <f>_xll.EQNXTDZ($A$1,$B65,G$1,$B$1)</f>
        <v>9818.92</v>
      </c>
      <c r="H65" s="55">
        <f>_xll.EQNXTDZ($A$1,$B65,H$1,$B$1)</f>
        <v>9544.69</v>
      </c>
      <c r="I65" s="55">
        <f>_xll.EQNXTDZ($A$1,$B65,I$1,$B$1)</f>
        <v>11113.82</v>
      </c>
      <c r="J65" s="55">
        <f>_xll.EQNXTDZ($A$1,$B65,J$1,$B$1)</f>
        <v>51168.69</v>
      </c>
      <c r="K65" s="55">
        <f>_xll.EQNXTDZ($A$1,$B65,K$1,$B$1)</f>
        <v>51782.46</v>
      </c>
      <c r="L65" s="55">
        <f>_xll.EQNXTDZ($A$1,$B65,L$1,$B$1)</f>
        <v>51067.01</v>
      </c>
      <c r="M65" s="55">
        <f>_xll.EQNXTDZ($A$1,$B65,M$1,$B$1)</f>
        <v>51865.83</v>
      </c>
      <c r="N65" s="55">
        <f>_xll.EQNXTDZ($A$1,$B65,N$1,$B$1)</f>
        <v>59286.87</v>
      </c>
      <c r="O65" s="55">
        <f>_xll.EQNXTDZ($A$1,$B65,O$1,$B$1)</f>
        <v>68001.600000000006</v>
      </c>
      <c r="P65" s="55">
        <f>_xll.EQNXTDZ($A$1,$B65,P$1,$B$1)</f>
        <v>74906.929999999993</v>
      </c>
      <c r="Q65" s="55">
        <f>_xll.EQNXTDZ($A$1,$B65,Q$1,$B$1)</f>
        <v>68100.33</v>
      </c>
      <c r="R65" s="55">
        <f>_xll.EQNXTDZ($A$1,$B65,R$1,$B$1)</f>
        <v>72199.759999999995</v>
      </c>
      <c r="S65" s="55">
        <f>_xll.EQNXTDZ($A$1,$B65,S$1,$B$1)</f>
        <v>92006.55</v>
      </c>
      <c r="T65" s="55">
        <f>_xll.EQNXTDZ($A$1,$B65,T$1,$B$1)</f>
        <v>96104.89</v>
      </c>
      <c r="U65" s="55">
        <f>_xll.EQNXTDZ($A$1,$B65,U$1,$B$1)</f>
        <v>124441.91</v>
      </c>
      <c r="V65" s="55">
        <f>_xll.EQNXTDZ($A$1,$B65,V$1,$B$1)</f>
        <v>134550.66</v>
      </c>
      <c r="W65" s="55">
        <f>_xll.EQNXTDZ($A$1,$B65,W$1,$B$1)</f>
        <v>135775.18</v>
      </c>
      <c r="X65" s="55">
        <f>_xll.EQNXTDZ($A$1,$B65,X$1,$B$1)</f>
        <v>133287.82999999999</v>
      </c>
      <c r="Y65" s="55">
        <f>_xll.EQNXTDZ($A$1,$B65,Y$1,$B$1)</f>
        <v>146621.46</v>
      </c>
      <c r="Z65" s="55">
        <f>_xll.EQNXTDZ($A$1,$B65,Z$1,$B$1)</f>
        <v>148814.38</v>
      </c>
      <c r="AA65" s="55">
        <f>_xll.EQNXTDZ($A$1,$B65,AA$1,$B$1)</f>
        <v>150914.06</v>
      </c>
      <c r="AB65" s="55">
        <f>_xll.EQNXTDZ($A$1,$B65,AB$1,$B$1)</f>
        <v>179908.13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0</v>
      </c>
      <c r="D67" s="55">
        <f>_xll.EQNXTDZ($A$1,$B67,D$1,$B$1)</f>
        <v>0</v>
      </c>
      <c r="E67" s="55">
        <f>_xll.EQNXTDZ($A$1,$B67,E$1,$B$1)</f>
        <v>0</v>
      </c>
      <c r="F67" s="55">
        <f>_xll.EQNXTDZ($A$1,$B67,F$1,$B$1)</f>
        <v>0</v>
      </c>
      <c r="G67" s="55">
        <f>_xll.EQNXTDZ($A$1,$B67,G$1,$B$1)</f>
        <v>0</v>
      </c>
      <c r="H67" s="55">
        <f>_xll.EQNXTDZ($A$1,$B67,H$1,$B$1)</f>
        <v>1357.41</v>
      </c>
      <c r="I67" s="55">
        <f>_xll.EQNXTDZ($A$1,$B67,I$1,$B$1)</f>
        <v>3326.37</v>
      </c>
      <c r="J67" s="55">
        <f>_xll.EQNXTDZ($A$1,$B67,J$1,$B$1)</f>
        <v>8847.56</v>
      </c>
      <c r="K67" s="55">
        <f>_xll.EQNXTDZ($A$1,$B67,K$1,$B$1)</f>
        <v>8888.32</v>
      </c>
      <c r="L67" s="55">
        <f>_xll.EQNXTDZ($A$1,$B67,L$1,$B$1)</f>
        <v>9270.64</v>
      </c>
      <c r="M67" s="55">
        <f>_xll.EQNXTDZ($A$1,$B67,M$1,$B$1)</f>
        <v>13550.83</v>
      </c>
      <c r="N67" s="55">
        <f>_xll.EQNXTDZ($A$1,$B67,N$1,$B$1)</f>
        <v>20027.97</v>
      </c>
      <c r="O67" s="55">
        <f>_xll.EQNXTDZ($A$1,$B67,O$1,$B$1)</f>
        <v>13786.15</v>
      </c>
      <c r="P67" s="55">
        <f>_xll.EQNXTDZ($A$1,$B67,P$1,$B$1)</f>
        <v>25956.35</v>
      </c>
      <c r="Q67" s="55">
        <f>_xll.EQNXTDZ($A$1,$B67,Q$1,$B$1)</f>
        <v>27837.11</v>
      </c>
      <c r="R67" s="55">
        <f>_xll.EQNXTDZ($A$1,$B67,R$1,$B$1)</f>
        <v>35793.32</v>
      </c>
      <c r="S67" s="55">
        <f>_xll.EQNXTDZ($A$1,$B67,S$1,$B$1)</f>
        <v>15514.37</v>
      </c>
      <c r="T67" s="55">
        <f>_xll.EQNXTDZ($A$1,$B67,T$1,$B$1)</f>
        <v>16159.8</v>
      </c>
      <c r="U67" s="55">
        <f>_xll.EQNXTDZ($A$1,$B67,U$1,$B$1)</f>
        <v>17956.509999999998</v>
      </c>
      <c r="V67" s="55">
        <f>_xll.EQNXTDZ($A$1,$B67,V$1,$B$1)</f>
        <v>18862.060000000001</v>
      </c>
      <c r="W67" s="55">
        <f>_xll.EQNXTDZ($A$1,$B67,W$1,$B$1)</f>
        <v>18128.740000000002</v>
      </c>
      <c r="X67" s="55">
        <f>_xll.EQNXTDZ($A$1,$B67,X$1,$B$1)</f>
        <v>21227.62</v>
      </c>
      <c r="Y67" s="55">
        <f>_xll.EQNXTDZ($A$1,$B67,Y$1,$B$1)</f>
        <v>30307.9</v>
      </c>
      <c r="Z67" s="55">
        <f>_xll.EQNXTDZ($A$1,$B67,Z$1,$B$1)</f>
        <v>33370.19</v>
      </c>
      <c r="AA67" s="55">
        <f>_xll.EQNXTDZ($A$1,$B67,AA$1,$B$1)</f>
        <v>40601.879999999997</v>
      </c>
      <c r="AB67" s="55">
        <f>_xll.EQNXTDZ($A$1,$B67,AB$1,$B$1)</f>
        <v>27510.29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0.88</v>
      </c>
      <c r="N68" s="55">
        <f>_xll.EQNXTDZ($A$1,$B68,N$1,$B$1)</f>
        <v>168.06</v>
      </c>
      <c r="O68" s="55">
        <f>_xll.EQNXTDZ($A$1,$B68,O$1,$B$1)</f>
        <v>490.47</v>
      </c>
      <c r="P68" s="55">
        <f>_xll.EQNXTDZ($A$1,$B68,P$1,$B$1)</f>
        <v>866.1</v>
      </c>
      <c r="Q68" s="55">
        <f>_xll.EQNXTDZ($A$1,$B68,Q$1,$B$1)</f>
        <v>841.01</v>
      </c>
      <c r="R68" s="55">
        <f>_xll.EQNXTDZ($A$1,$B68,R$1,$B$1)</f>
        <v>202.77</v>
      </c>
      <c r="S68" s="55">
        <f>_xll.EQNXTDZ($A$1,$B68,S$1,$B$1)</f>
        <v>269.76</v>
      </c>
      <c r="T68" s="55">
        <f>_xll.EQNXTDZ($A$1,$B68,T$1,$B$1)</f>
        <v>454.61</v>
      </c>
      <c r="U68" s="55">
        <f>_xll.EQNXTDZ($A$1,$B68,U$1,$B$1)</f>
        <v>684.7</v>
      </c>
      <c r="V68" s="55">
        <f>_xll.EQNXTDZ($A$1,$B68,V$1,$B$1)</f>
        <v>634.77</v>
      </c>
      <c r="W68" s="55">
        <f>_xll.EQNXTDZ($A$1,$B68,W$1,$B$1)</f>
        <v>878.66</v>
      </c>
      <c r="X68" s="55">
        <f>_xll.EQNXTDZ($A$1,$B68,X$1,$B$1)</f>
        <v>817.93</v>
      </c>
      <c r="Y68" s="55">
        <f>_xll.EQNXTDZ($A$1,$B68,Y$1,$B$1)</f>
        <v>905.12</v>
      </c>
      <c r="Z68" s="55">
        <f>_xll.EQNXTDZ($A$1,$B68,Z$1,$B$1)</f>
        <v>985.34</v>
      </c>
      <c r="AA68" s="55">
        <f>_xll.EQNXTDZ($A$1,$B68,AA$1,$B$1)</f>
        <v>1020.47</v>
      </c>
      <c r="AB68" s="55">
        <f>_xll.EQNXTDZ($A$1,$B68,AB$1,$B$1)</f>
        <v>986.42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</v>
      </c>
      <c r="S70" s="55">
        <f>_xll.EQNXTDZ($A$1,$B70,S$1,$B$1)</f>
        <v>0</v>
      </c>
      <c r="T70" s="55">
        <f>_xll.EQNXTDZ($A$1,$B70,T$1,$B$1)</f>
        <v>0</v>
      </c>
      <c r="U70" s="55">
        <f>_xll.EQNXTDZ($A$1,$B70,U$1,$B$1)</f>
        <v>0</v>
      </c>
      <c r="V70" s="55">
        <f>_xll.EQNXTDZ($A$1,$B70,V$1,$B$1)</f>
        <v>0</v>
      </c>
      <c r="W70" s="55">
        <f>_xll.EQNXTDZ($A$1,$B70,W$1,$B$1)</f>
        <v>0</v>
      </c>
      <c r="X70" s="55">
        <f>_xll.EQNXTDZ($A$1,$B70,X$1,$B$1)</f>
        <v>0</v>
      </c>
      <c r="Y70" s="55">
        <f>_xll.EQNXTDZ($A$1,$B70,Y$1,$B$1)</f>
        <v>0</v>
      </c>
      <c r="Z70" s="55">
        <f>_xll.EQNXTDZ($A$1,$B70,Z$1,$B$1)</f>
        <v>0</v>
      </c>
      <c r="AA70" s="55">
        <f>_xll.EQNXTDZ($A$1,$B70,AA$1,$B$1)</f>
        <v>0</v>
      </c>
      <c r="AB70" s="55">
        <f>_xll.EQNXTDZ($A$1,$B70,AB$1,$B$1)</f>
        <v>0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621.88</v>
      </c>
      <c r="D71" s="55">
        <f>_xll.EQNXTDZ($A$1,$B71,D$1,$B$1)</f>
        <v>598.11</v>
      </c>
      <c r="E71" s="55">
        <f>_xll.EQNXTDZ($A$1,$B71,E$1,$B$1)</f>
        <v>596.94000000000005</v>
      </c>
      <c r="F71" s="55">
        <f>_xll.EQNXTDZ($A$1,$B71,F$1,$B$1)</f>
        <v>669.91</v>
      </c>
      <c r="G71" s="55">
        <f>_xll.EQNXTDZ($A$1,$B71,G$1,$B$1)</f>
        <v>1026.8800000000001</v>
      </c>
      <c r="H71" s="55">
        <f>_xll.EQNXTDZ($A$1,$B71,H$1,$B$1)</f>
        <v>1354.63</v>
      </c>
      <c r="I71" s="55">
        <f>_xll.EQNXTDZ($A$1,$B71,I$1,$B$1)</f>
        <v>12697.4</v>
      </c>
      <c r="J71" s="55">
        <f>_xll.EQNXTDZ($A$1,$B71,J$1,$B$1)</f>
        <v>2233.69</v>
      </c>
      <c r="K71" s="55">
        <f>_xll.EQNXTDZ($A$1,$B71,K$1,$B$1)</f>
        <v>3013.36</v>
      </c>
      <c r="L71" s="55">
        <f>_xll.EQNXTDZ($A$1,$B71,L$1,$B$1)</f>
        <v>3486.55</v>
      </c>
      <c r="M71" s="55">
        <f>_xll.EQNXTDZ($A$1,$B71,M$1,$B$1)</f>
        <v>4688.0600000000004</v>
      </c>
      <c r="N71" s="55">
        <f>_xll.EQNXTDZ($A$1,$B71,N$1,$B$1)</f>
        <v>2622.88</v>
      </c>
      <c r="O71" s="55">
        <f>_xll.EQNXTDZ($A$1,$B71,O$1,$B$1)</f>
        <v>2497.37</v>
      </c>
      <c r="P71" s="55">
        <f>_xll.EQNXTDZ($A$1,$B71,P$1,$B$1)</f>
        <v>2425.0700000000002</v>
      </c>
      <c r="Q71" s="55">
        <f>_xll.EQNXTDZ($A$1,$B71,Q$1,$B$1)</f>
        <v>2080.4299999999998</v>
      </c>
      <c r="R71" s="55">
        <f>_xll.EQNXTDZ($A$1,$B71,R$1,$B$1)</f>
        <v>6050.16</v>
      </c>
      <c r="S71" s="55">
        <f>_xll.EQNXTDZ($A$1,$B71,S$1,$B$1)</f>
        <v>6783.99</v>
      </c>
      <c r="T71" s="55">
        <f>_xll.EQNXTDZ($A$1,$B71,T$1,$B$1)</f>
        <v>2990.5</v>
      </c>
      <c r="U71" s="55">
        <f>_xll.EQNXTDZ($A$1,$B71,U$1,$B$1)</f>
        <v>3213.31</v>
      </c>
      <c r="V71" s="55">
        <f>_xll.EQNXTDZ($A$1,$B71,V$1,$B$1)</f>
        <v>2853.31</v>
      </c>
      <c r="W71" s="55">
        <f>_xll.EQNXTDZ($A$1,$B71,W$1,$B$1)</f>
        <v>3463.04</v>
      </c>
      <c r="X71" s="55">
        <f>_xll.EQNXTDZ($A$1,$B71,X$1,$B$1)</f>
        <v>4615.43</v>
      </c>
      <c r="Y71" s="55">
        <f>_xll.EQNXTDZ($A$1,$B71,Y$1,$B$1)</f>
        <v>4780.25</v>
      </c>
      <c r="Z71" s="55">
        <f>_xll.EQNXTDZ($A$1,$B71,Z$1,$B$1)</f>
        <v>5526.34</v>
      </c>
      <c r="AA71" s="55">
        <f>_xll.EQNXTDZ($A$1,$B71,AA$1,$B$1)</f>
        <v>5751.46</v>
      </c>
      <c r="AB71" s="55">
        <f>_xll.EQNXTDZ($A$1,$B71,AB$1,$B$1)</f>
        <v>6085.31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8684.56</v>
      </c>
      <c r="N72" s="55">
        <f>_xll.EQNXTDZ($A$1,$B72,N$1,$B$1)</f>
        <v>6837.12</v>
      </c>
      <c r="O72" s="55">
        <f>_xll.EQNXTDZ($A$1,$B72,O$1,$B$1)</f>
        <v>7097.65</v>
      </c>
      <c r="P72" s="55">
        <f>_xll.EQNXTDZ($A$1,$B72,P$1,$B$1)</f>
        <v>8781.73</v>
      </c>
      <c r="Q72" s="55">
        <f>_xll.EQNXTDZ($A$1,$B72,Q$1,$B$1)</f>
        <v>5106.57</v>
      </c>
      <c r="R72" s="55">
        <f>_xll.EQNXTDZ($A$1,$B72,R$1,$B$1)</f>
        <v>15653.25</v>
      </c>
      <c r="S72" s="55">
        <f>_xll.EQNXTDZ($A$1,$B72,S$1,$B$1)</f>
        <v>5562.07</v>
      </c>
      <c r="T72" s="55">
        <f>_xll.EQNXTDZ($A$1,$B72,T$1,$B$1)</f>
        <v>23855.83</v>
      </c>
      <c r="U72" s="55">
        <f>_xll.EQNXTDZ($A$1,$B72,U$1,$B$1)</f>
        <v>24699.83</v>
      </c>
      <c r="V72" s="55">
        <f>_xll.EQNXTDZ($A$1,$B72,V$1,$B$1)</f>
        <v>32369.81</v>
      </c>
      <c r="W72" s="55">
        <f>_xll.EQNXTDZ($A$1,$B72,W$1,$B$1)</f>
        <v>24795.49</v>
      </c>
      <c r="X72" s="55">
        <f>_xll.EQNXTDZ($A$1,$B72,X$1,$B$1)</f>
        <v>29166.16</v>
      </c>
      <c r="Y72" s="55">
        <f>_xll.EQNXTDZ($A$1,$B72,Y$1,$B$1)</f>
        <v>15240.67</v>
      </c>
      <c r="Z72" s="55">
        <f>_xll.EQNXTDZ($A$1,$B72,Z$1,$B$1)</f>
        <v>8253.77</v>
      </c>
      <c r="AA72" s="55">
        <f>_xll.EQNXTDZ($A$1,$B72,AA$1,$B$1)</f>
        <v>7271.47</v>
      </c>
      <c r="AB72" s="55">
        <f>_xll.EQNXTDZ($A$1,$B72,AB$1,$B$1)</f>
        <v>8218.09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33.549999999999997</v>
      </c>
      <c r="N73" s="55">
        <f>_xll.EQNXTDZ($A$1,$B73,N$1,$B$1)</f>
        <v>42.16</v>
      </c>
      <c r="O73" s="55">
        <f>_xll.EQNXTDZ($A$1,$B73,O$1,$B$1)</f>
        <v>78.760000000000005</v>
      </c>
      <c r="P73" s="55">
        <f>_xll.EQNXTDZ($A$1,$B73,P$1,$B$1)</f>
        <v>144.61000000000001</v>
      </c>
      <c r="Q73" s="55">
        <f>_xll.EQNXTDZ($A$1,$B73,Q$1,$B$1)</f>
        <v>137.61000000000001</v>
      </c>
      <c r="R73" s="55">
        <f>_xll.EQNXTDZ($A$1,$B73,R$1,$B$1)</f>
        <v>1192.77</v>
      </c>
      <c r="S73" s="55">
        <f>_xll.EQNXTDZ($A$1,$B73,S$1,$B$1)</f>
        <v>1375.6</v>
      </c>
      <c r="T73" s="55">
        <f>_xll.EQNXTDZ($A$1,$B73,T$1,$B$1)</f>
        <v>1279.3499999999999</v>
      </c>
      <c r="U73" s="55">
        <f>_xll.EQNXTDZ($A$1,$B73,U$1,$B$1)</f>
        <v>2786.2</v>
      </c>
      <c r="V73" s="55">
        <f>_xll.EQNXTDZ($A$1,$B73,V$1,$B$1)</f>
        <v>1145.79</v>
      </c>
      <c r="W73" s="55">
        <f>_xll.EQNXTDZ($A$1,$B73,W$1,$B$1)</f>
        <v>656.18</v>
      </c>
      <c r="X73" s="55">
        <f>_xll.EQNXTDZ($A$1,$B73,X$1,$B$1)</f>
        <v>750.09</v>
      </c>
      <c r="Y73" s="55">
        <f>_xll.EQNXTDZ($A$1,$B73,Y$1,$B$1)</f>
        <v>874.84</v>
      </c>
      <c r="Z73" s="55">
        <f>_xll.EQNXTDZ($A$1,$B73,Z$1,$B$1)</f>
        <v>1814.15</v>
      </c>
      <c r="AA73" s="55">
        <f>_xll.EQNXTDZ($A$1,$B73,AA$1,$B$1)</f>
        <v>1507.7</v>
      </c>
      <c r="AB73" s="55">
        <f>_xll.EQNXTDZ($A$1,$B73,AB$1,$B$1)</f>
        <v>1286.21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8159.97</v>
      </c>
      <c r="D74" s="55">
        <f>_xll.EQNXTDZ($A$1,$B74,D$1,$B$1)</f>
        <v>8372.0300000000007</v>
      </c>
      <c r="E74" s="55">
        <f>_xll.EQNXTDZ($A$1,$B74,E$1,$B$1)</f>
        <v>8257.43</v>
      </c>
      <c r="F74" s="55">
        <f>_xll.EQNXTDZ($A$1,$B74,F$1,$B$1)</f>
        <v>8687.5499999999993</v>
      </c>
      <c r="G74" s="55">
        <f>_xll.EQNXTDZ($A$1,$B74,G$1,$B$1)</f>
        <v>10845.8</v>
      </c>
      <c r="H74" s="55">
        <f>_xll.EQNXTDZ($A$1,$B74,H$1,$B$1)</f>
        <v>12256.73</v>
      </c>
      <c r="I74" s="55">
        <f>_xll.EQNXTDZ($A$1,$B74,I$1,$B$1)</f>
        <v>27137.59</v>
      </c>
      <c r="J74" s="55">
        <f>_xll.EQNXTDZ($A$1,$B74,J$1,$B$1)</f>
        <v>62249.94</v>
      </c>
      <c r="K74" s="55">
        <f>_xll.EQNXTDZ($A$1,$B74,K$1,$B$1)</f>
        <v>63684.14</v>
      </c>
      <c r="L74" s="55">
        <f>_xll.EQNXTDZ($A$1,$B74,L$1,$B$1)</f>
        <v>63824.2</v>
      </c>
      <c r="M74" s="55">
        <f>_xll.EQNXTDZ($A$1,$B74,M$1,$B$1)</f>
        <v>78823.710000000006</v>
      </c>
      <c r="N74" s="55">
        <f>_xll.EQNXTDZ($A$1,$B74,N$1,$B$1)</f>
        <v>88985.06</v>
      </c>
      <c r="O74" s="55">
        <f>_xll.EQNXTDZ($A$1,$B74,O$1,$B$1)</f>
        <v>91952</v>
      </c>
      <c r="P74" s="55">
        <f>_xll.EQNXTDZ($A$1,$B74,P$1,$B$1)</f>
        <v>113080.79</v>
      </c>
      <c r="Q74" s="55">
        <f>_xll.EQNXTDZ($A$1,$B74,Q$1,$B$1)</f>
        <v>104103.06</v>
      </c>
      <c r="R74" s="55">
        <f>_xll.EQNXTDZ($A$1,$B74,R$1,$B$1)</f>
        <v>131092.03</v>
      </c>
      <c r="S74" s="55">
        <f>_xll.EQNXTDZ($A$1,$B74,S$1,$B$1)</f>
        <v>121512.34</v>
      </c>
      <c r="T74" s="55">
        <f>_xll.EQNXTDZ($A$1,$B74,T$1,$B$1)</f>
        <v>140844.98000000001</v>
      </c>
      <c r="U74" s="55">
        <f>_xll.EQNXTDZ($A$1,$B74,U$1,$B$1)</f>
        <v>173782.46</v>
      </c>
      <c r="V74" s="55">
        <f>_xll.EQNXTDZ($A$1,$B74,V$1,$B$1)</f>
        <v>190416.4</v>
      </c>
      <c r="W74" s="55">
        <f>_xll.EQNXTDZ($A$1,$B74,W$1,$B$1)</f>
        <v>183697.29</v>
      </c>
      <c r="X74" s="55">
        <f>_xll.EQNXTDZ($A$1,$B74,X$1,$B$1)</f>
        <v>189865.06</v>
      </c>
      <c r="Y74" s="55">
        <f>_xll.EQNXTDZ($A$1,$B74,Y$1,$B$1)</f>
        <v>198730.23999999999</v>
      </c>
      <c r="Z74" s="55">
        <f>_xll.EQNXTDZ($A$1,$B74,Z$1,$B$1)</f>
        <v>198764.17</v>
      </c>
      <c r="AA74" s="55">
        <f>_xll.EQNXTDZ($A$1,$B74,AA$1,$B$1)</f>
        <v>207067.04</v>
      </c>
      <c r="AB74" s="55">
        <f>_xll.EQNXTDZ($A$1,$B74,AB$1,$B$1)</f>
        <v>223994.45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225.04</v>
      </c>
      <c r="D75" s="55">
        <f>_xll.EQNXTDZ($A$1,$B75,D$1,$B$1)</f>
        <v>191.12</v>
      </c>
      <c r="E75" s="55">
        <f>_xll.EQNXTDZ($A$1,$B75,E$1,$B$1)</f>
        <v>614.25</v>
      </c>
      <c r="F75" s="55">
        <f>_xll.EQNXTDZ($A$1,$B75,F$1,$B$1)</f>
        <v>1585.06</v>
      </c>
      <c r="G75" s="55">
        <f>_xll.EQNXTDZ($A$1,$B75,G$1,$B$1)</f>
        <v>1567.3</v>
      </c>
      <c r="H75" s="55">
        <f>_xll.EQNXTDZ($A$1,$B75,H$1,$B$1)</f>
        <v>2124.27</v>
      </c>
      <c r="I75" s="55">
        <f>_xll.EQNXTDZ($A$1,$B75,I$1,$B$1)</f>
        <v>3800.1</v>
      </c>
      <c r="J75" s="55">
        <f>_xll.EQNXTDZ($A$1,$B75,J$1,$B$1)</f>
        <v>1133.74</v>
      </c>
      <c r="K75" s="55">
        <f>_xll.EQNXTDZ($A$1,$B75,K$1,$B$1)</f>
        <v>3397.74</v>
      </c>
      <c r="L75" s="55">
        <f>_xll.EQNXTDZ($A$1,$B75,L$1,$B$1)</f>
        <v>1931.24</v>
      </c>
      <c r="M75" s="55">
        <f>_xll.EQNXTDZ($A$1,$B75,M$1,$B$1)</f>
        <v>3159.28</v>
      </c>
      <c r="N75" s="55">
        <f>_xll.EQNXTDZ($A$1,$B75,N$1,$B$1)</f>
        <v>1398.37</v>
      </c>
      <c r="O75" s="55">
        <f>_xll.EQNXTDZ($A$1,$B75,O$1,$B$1)</f>
        <v>760.29</v>
      </c>
      <c r="P75" s="55">
        <f>_xll.EQNXTDZ($A$1,$B75,P$1,$B$1)</f>
        <v>2668.4</v>
      </c>
      <c r="Q75" s="55">
        <f>_xll.EQNXTDZ($A$1,$B75,Q$1,$B$1)</f>
        <v>1374.62</v>
      </c>
      <c r="R75" s="55">
        <f>_xll.EQNXTDZ($A$1,$B75,R$1,$B$1)</f>
        <v>4663.55</v>
      </c>
      <c r="S75" s="55">
        <f>_xll.EQNXTDZ($A$1,$B75,S$1,$B$1)</f>
        <v>5673.13</v>
      </c>
      <c r="T75" s="55">
        <f>_xll.EQNXTDZ($A$1,$B75,T$1,$B$1)</f>
        <v>14908.97</v>
      </c>
      <c r="U75" s="55">
        <f>_xll.EQNXTDZ($A$1,$B75,U$1,$B$1)</f>
        <v>2524.86</v>
      </c>
      <c r="V75" s="55">
        <f>_xll.EQNXTDZ($A$1,$B75,V$1,$B$1)</f>
        <v>3431.87</v>
      </c>
      <c r="W75" s="55">
        <f>_xll.EQNXTDZ($A$1,$B75,W$1,$B$1)</f>
        <v>7218.89</v>
      </c>
      <c r="X75" s="55">
        <f>_xll.EQNXTDZ($A$1,$B75,X$1,$B$1)</f>
        <v>8524.42</v>
      </c>
      <c r="Y75" s="55">
        <f>_xll.EQNXTDZ($A$1,$B75,Y$1,$B$1)</f>
        <v>3630.06</v>
      </c>
      <c r="Z75" s="55">
        <f>_xll.EQNXTDZ($A$1,$B75,Z$1,$B$1)</f>
        <v>731.23</v>
      </c>
      <c r="AA75" s="55">
        <f>_xll.EQNXTDZ($A$1,$B75,AA$1,$B$1)</f>
        <v>442.65</v>
      </c>
      <c r="AB75" s="55">
        <f>_xll.EQNXTDZ($A$1,$B75,AB$1,$B$1)</f>
        <v>1003.54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921.77</v>
      </c>
      <c r="D76" s="55">
        <f>_xll.EQNXTDZ($A$1,$B76,D$1,$B$1)</f>
        <v>1180.98</v>
      </c>
      <c r="E76" s="55">
        <f>_xll.EQNXTDZ($A$1,$B76,E$1,$B$1)</f>
        <v>1213.47</v>
      </c>
      <c r="F76" s="55">
        <f>_xll.EQNXTDZ($A$1,$B76,F$1,$B$1)</f>
        <v>1374.04</v>
      </c>
      <c r="G76" s="55">
        <f>_xll.EQNXTDZ($A$1,$B76,G$1,$B$1)</f>
        <v>2489.9</v>
      </c>
      <c r="H76" s="55">
        <f>_xll.EQNXTDZ($A$1,$B76,H$1,$B$1)</f>
        <v>2773.31</v>
      </c>
      <c r="I76" s="55">
        <f>_xll.EQNXTDZ($A$1,$B76,I$1,$B$1)</f>
        <v>3888.13</v>
      </c>
      <c r="J76" s="55">
        <f>_xll.EQNXTDZ($A$1,$B76,J$1,$B$1)</f>
        <v>23064.34</v>
      </c>
      <c r="K76" s="55">
        <f>_xll.EQNXTDZ($A$1,$B76,K$1,$B$1)</f>
        <v>21668.42</v>
      </c>
      <c r="L76" s="55">
        <f>_xll.EQNXTDZ($A$1,$B76,L$1,$B$1)</f>
        <v>18686.64</v>
      </c>
      <c r="M76" s="55">
        <f>_xll.EQNXTDZ($A$1,$B76,M$1,$B$1)</f>
        <v>24055.24</v>
      </c>
      <c r="N76" s="55">
        <f>_xll.EQNXTDZ($A$1,$B76,N$1,$B$1)</f>
        <v>25598</v>
      </c>
      <c r="O76" s="55">
        <f>_xll.EQNXTDZ($A$1,$B76,O$1,$B$1)</f>
        <v>24091.19</v>
      </c>
      <c r="P76" s="55">
        <f>_xll.EQNXTDZ($A$1,$B76,P$1,$B$1)</f>
        <v>26880</v>
      </c>
      <c r="Q76" s="55">
        <f>_xll.EQNXTDZ($A$1,$B76,Q$1,$B$1)</f>
        <v>25149.91</v>
      </c>
      <c r="R76" s="55">
        <f>_xll.EQNXTDZ($A$1,$B76,R$1,$B$1)</f>
        <v>20013.330000000002</v>
      </c>
      <c r="S76" s="55">
        <f>_xll.EQNXTDZ($A$1,$B76,S$1,$B$1)</f>
        <v>25581.94</v>
      </c>
      <c r="T76" s="55">
        <f>_xll.EQNXTDZ($A$1,$B76,T$1,$B$1)</f>
        <v>28331.040000000001</v>
      </c>
      <c r="U76" s="55">
        <f>_xll.EQNXTDZ($A$1,$B76,U$1,$B$1)</f>
        <v>31656.1</v>
      </c>
      <c r="V76" s="55">
        <f>_xll.EQNXTDZ($A$1,$B76,V$1,$B$1)</f>
        <v>31068.720000000001</v>
      </c>
      <c r="W76" s="55">
        <f>_xll.EQNXTDZ($A$1,$B76,W$1,$B$1)</f>
        <v>33276.379999999997</v>
      </c>
      <c r="X76" s="55">
        <f>_xll.EQNXTDZ($A$1,$B76,X$1,$B$1)</f>
        <v>48824.39</v>
      </c>
      <c r="Y76" s="55">
        <f>_xll.EQNXTDZ($A$1,$B76,Y$1,$B$1)</f>
        <v>54415.33</v>
      </c>
      <c r="Z76" s="55">
        <f>_xll.EQNXTDZ($A$1,$B76,Z$1,$B$1)</f>
        <v>49157.51</v>
      </c>
      <c r="AA76" s="55">
        <f>_xll.EQNXTDZ($A$1,$B76,AA$1,$B$1)</f>
        <v>44589.94</v>
      </c>
      <c r="AB76" s="55">
        <f>_xll.EQNXTDZ($A$1,$B76,AB$1,$B$1)</f>
        <v>47249.22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1279.31</v>
      </c>
      <c r="D77" s="55">
        <f>_xll.EQNXTDZ($A$1,$B77,D$1,$B$1)</f>
        <v>1289.0899999999999</v>
      </c>
      <c r="E77" s="55">
        <f>_xll.EQNXTDZ($A$1,$B77,E$1,$B$1)</f>
        <v>1058.52</v>
      </c>
      <c r="F77" s="55">
        <f>_xll.EQNXTDZ($A$1,$B77,F$1,$B$1)</f>
        <v>756.06</v>
      </c>
      <c r="G77" s="55">
        <f>_xll.EQNXTDZ($A$1,$B77,G$1,$B$1)</f>
        <v>1324.07</v>
      </c>
      <c r="H77" s="55">
        <f>_xll.EQNXTDZ($A$1,$B77,H$1,$B$1)</f>
        <v>1218.72</v>
      </c>
      <c r="I77" s="55">
        <f>_xll.EQNXTDZ($A$1,$B77,I$1,$B$1)</f>
        <v>1686.53</v>
      </c>
      <c r="J77" s="55">
        <f>_xll.EQNXTDZ($A$1,$B77,J$1,$B$1)</f>
        <v>18697.82</v>
      </c>
      <c r="K77" s="55">
        <f>_xll.EQNXTDZ($A$1,$B77,K$1,$B$1)</f>
        <v>13031.63</v>
      </c>
      <c r="L77" s="55">
        <f>_xll.EQNXTDZ($A$1,$B77,L$1,$B$1)</f>
        <v>11512.44</v>
      </c>
      <c r="M77" s="55">
        <f>_xll.EQNXTDZ($A$1,$B77,M$1,$B$1)</f>
        <v>14811.92</v>
      </c>
      <c r="N77" s="55">
        <f>_xll.EQNXTDZ($A$1,$B77,N$1,$B$1)</f>
        <v>14878.48</v>
      </c>
      <c r="O77" s="55">
        <f>_xll.EQNXTDZ($A$1,$B77,O$1,$B$1)</f>
        <v>13993.96</v>
      </c>
      <c r="P77" s="55">
        <f>_xll.EQNXTDZ($A$1,$B77,P$1,$B$1)</f>
        <v>16005.77</v>
      </c>
      <c r="Q77" s="55">
        <f>_xll.EQNXTDZ($A$1,$B77,Q$1,$B$1)</f>
        <v>13309.87</v>
      </c>
      <c r="R77" s="55">
        <f>_xll.EQNXTDZ($A$1,$B77,R$1,$B$1)</f>
        <v>12066.22</v>
      </c>
      <c r="S77" s="55">
        <f>_xll.EQNXTDZ($A$1,$B77,S$1,$B$1)</f>
        <v>11879.32</v>
      </c>
      <c r="T77" s="55">
        <f>_xll.EQNXTDZ($A$1,$B77,T$1,$B$1)</f>
        <v>12415.52</v>
      </c>
      <c r="U77" s="55">
        <f>_xll.EQNXTDZ($A$1,$B77,U$1,$B$1)</f>
        <v>11811</v>
      </c>
      <c r="V77" s="55">
        <f>_xll.EQNXTDZ($A$1,$B77,V$1,$B$1)</f>
        <v>7884.91</v>
      </c>
      <c r="W77" s="55">
        <f>_xll.EQNXTDZ($A$1,$B77,W$1,$B$1)</f>
        <v>9539.84</v>
      </c>
      <c r="X77" s="55">
        <f>_xll.EQNXTDZ($A$1,$B77,X$1,$B$1)</f>
        <v>12246.43</v>
      </c>
      <c r="Y77" s="55">
        <f>_xll.EQNXTDZ($A$1,$B77,Y$1,$B$1)</f>
        <v>8257.24</v>
      </c>
      <c r="Z77" s="55">
        <f>_xll.EQNXTDZ($A$1,$B77,Z$1,$B$1)</f>
        <v>6263.53</v>
      </c>
      <c r="AA77" s="55">
        <f>_xll.EQNXTDZ($A$1,$B77,AA$1,$B$1)</f>
        <v>5260.06</v>
      </c>
      <c r="AB77" s="55">
        <f>_xll.EQNXTDZ($A$1,$B77,AB$1,$B$1)</f>
        <v>4916.8900000000003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239.23</v>
      </c>
      <c r="D78" s="55">
        <f>_xll.EQNXTDZ($A$1,$B78,D$1,$B$1)</f>
        <v>247.31</v>
      </c>
      <c r="E78" s="55">
        <f>_xll.EQNXTDZ($A$1,$B78,E$1,$B$1)</f>
        <v>410.3</v>
      </c>
      <c r="F78" s="55">
        <f>_xll.EQNXTDZ($A$1,$B78,F$1,$B$1)</f>
        <v>277.87</v>
      </c>
      <c r="G78" s="55">
        <f>_xll.EQNXTDZ($A$1,$B78,G$1,$B$1)</f>
        <v>465.73</v>
      </c>
      <c r="H78" s="55">
        <f>_xll.EQNXTDZ($A$1,$B78,H$1,$B$1)</f>
        <v>776.75</v>
      </c>
      <c r="I78" s="55">
        <f>_xll.EQNXTDZ($A$1,$B78,I$1,$B$1)</f>
        <v>10887.96</v>
      </c>
      <c r="J78" s="55">
        <f>_xll.EQNXTDZ($A$1,$B78,J$1,$B$1)</f>
        <v>4231.8599999999997</v>
      </c>
      <c r="K78" s="55">
        <f>_xll.EQNXTDZ($A$1,$B78,K$1,$B$1)</f>
        <v>6148.36</v>
      </c>
      <c r="L78" s="55">
        <f>_xll.EQNXTDZ($A$1,$B78,L$1,$B$1)</f>
        <v>6815.11</v>
      </c>
      <c r="M78" s="55">
        <f>_xll.EQNXTDZ($A$1,$B78,M$1,$B$1)</f>
        <v>10859.05</v>
      </c>
      <c r="N78" s="55">
        <f>_xll.EQNXTDZ($A$1,$B78,N$1,$B$1)</f>
        <v>10798.81</v>
      </c>
      <c r="O78" s="55">
        <f>_xll.EQNXTDZ($A$1,$B78,O$1,$B$1)</f>
        <v>9833.92</v>
      </c>
      <c r="P78" s="55">
        <f>_xll.EQNXTDZ($A$1,$B78,P$1,$B$1)</f>
        <v>8604.5</v>
      </c>
      <c r="Q78" s="55">
        <f>_xll.EQNXTDZ($A$1,$B78,Q$1,$B$1)</f>
        <v>8749.94</v>
      </c>
      <c r="R78" s="55">
        <f>_xll.EQNXTDZ($A$1,$B78,R$1,$B$1)</f>
        <v>6186.34</v>
      </c>
      <c r="S78" s="55">
        <f>_xll.EQNXTDZ($A$1,$B78,S$1,$B$1)</f>
        <v>4922.08</v>
      </c>
      <c r="T78" s="55">
        <f>_xll.EQNXTDZ($A$1,$B78,T$1,$B$1)</f>
        <v>7937.85</v>
      </c>
      <c r="U78" s="55">
        <f>_xll.EQNXTDZ($A$1,$B78,U$1,$B$1)</f>
        <v>3341.37</v>
      </c>
      <c r="V78" s="55">
        <f>_xll.EQNXTDZ($A$1,$B78,V$1,$B$1)</f>
        <v>8054.72</v>
      </c>
      <c r="W78" s="55">
        <f>_xll.EQNXTDZ($A$1,$B78,W$1,$B$1)</f>
        <v>5782.18</v>
      </c>
      <c r="X78" s="55">
        <f>_xll.EQNXTDZ($A$1,$B78,X$1,$B$1)</f>
        <v>15898.93</v>
      </c>
      <c r="Y78" s="55">
        <f>_xll.EQNXTDZ($A$1,$B78,Y$1,$B$1)</f>
        <v>13357.26</v>
      </c>
      <c r="Z78" s="55">
        <f>_xll.EQNXTDZ($A$1,$B78,Z$1,$B$1)</f>
        <v>8677.7199999999993</v>
      </c>
      <c r="AA78" s="55">
        <f>_xll.EQNXTDZ($A$1,$B78,AA$1,$B$1)</f>
        <v>11646.98</v>
      </c>
      <c r="AB78" s="55">
        <f>_xll.EQNXTDZ($A$1,$B78,AB$1,$B$1)</f>
        <v>10057.530000000001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0.09</v>
      </c>
      <c r="D79" s="55">
        <f>_xll.EQNXTDZ($A$1,$B79,D$1,$B$1)</f>
        <v>0.11</v>
      </c>
      <c r="E79" s="55">
        <f>_xll.EQNXTDZ($A$1,$B79,E$1,$B$1)</f>
        <v>3.56</v>
      </c>
      <c r="F79" s="55">
        <f>_xll.EQNXTDZ($A$1,$B79,F$1,$B$1)</f>
        <v>0.28999999999999998</v>
      </c>
      <c r="G79" s="55">
        <f>_xll.EQNXTDZ($A$1,$B79,G$1,$B$1)</f>
        <v>0.66</v>
      </c>
      <c r="H79" s="55">
        <f>_xll.EQNXTDZ($A$1,$B79,H$1,$B$1)</f>
        <v>1.1000000000000001</v>
      </c>
      <c r="I79" s="55">
        <f>_xll.EQNXTDZ($A$1,$B79,I$1,$B$1)</f>
        <v>1.1599999999999999</v>
      </c>
      <c r="J79" s="55">
        <f>_xll.EQNXTDZ($A$1,$B79,J$1,$B$1)</f>
        <v>8.9600000000000009</v>
      </c>
      <c r="K79" s="55">
        <f>_xll.EQNXTDZ($A$1,$B79,K$1,$B$1)</f>
        <v>478.47</v>
      </c>
      <c r="L79" s="55">
        <f>_xll.EQNXTDZ($A$1,$B79,L$1,$B$1)</f>
        <v>7.63</v>
      </c>
      <c r="M79" s="55">
        <f>_xll.EQNXTDZ($A$1,$B79,M$1,$B$1)</f>
        <v>855.69</v>
      </c>
      <c r="N79" s="55">
        <f>_xll.EQNXTDZ($A$1,$B79,N$1,$B$1)</f>
        <v>1589.47</v>
      </c>
      <c r="O79" s="55">
        <f>_xll.EQNXTDZ($A$1,$B79,O$1,$B$1)</f>
        <v>2746</v>
      </c>
      <c r="P79" s="55">
        <f>_xll.EQNXTDZ($A$1,$B79,P$1,$B$1)</f>
        <v>2094.0100000000002</v>
      </c>
      <c r="Q79" s="55">
        <f>_xll.EQNXTDZ($A$1,$B79,Q$1,$B$1)</f>
        <v>1859.6</v>
      </c>
      <c r="R79" s="55">
        <f>_xll.EQNXTDZ($A$1,$B79,R$1,$B$1)</f>
        <v>2573.0700000000002</v>
      </c>
      <c r="S79" s="55">
        <f>_xll.EQNXTDZ($A$1,$B79,S$1,$B$1)</f>
        <v>2696.85</v>
      </c>
      <c r="T79" s="55">
        <f>_xll.EQNXTDZ($A$1,$B79,T$1,$B$1)</f>
        <v>3777.09</v>
      </c>
      <c r="U79" s="55">
        <f>_xll.EQNXTDZ($A$1,$B79,U$1,$B$1)</f>
        <v>5115.49</v>
      </c>
      <c r="V79" s="55">
        <f>_xll.EQNXTDZ($A$1,$B79,V$1,$B$1)</f>
        <v>5102.49</v>
      </c>
      <c r="W79" s="55">
        <f>_xll.EQNXTDZ($A$1,$B79,W$1,$B$1)</f>
        <v>4056.75</v>
      </c>
      <c r="X79" s="55">
        <f>_xll.EQNXTDZ($A$1,$B79,X$1,$B$1)</f>
        <v>6614.4</v>
      </c>
      <c r="Y79" s="55">
        <f>_xll.EQNXTDZ($A$1,$B79,Y$1,$B$1)</f>
        <v>6573.05</v>
      </c>
      <c r="Z79" s="55">
        <f>_xll.EQNXTDZ($A$1,$B79,Z$1,$B$1)</f>
        <v>5342.7</v>
      </c>
      <c r="AA79" s="55">
        <f>_xll.EQNXTDZ($A$1,$B79,AA$1,$B$1)</f>
        <v>6180.7</v>
      </c>
      <c r="AB79" s="55">
        <f>_xll.EQNXTDZ($A$1,$B79,AB$1,$B$1)</f>
        <v>7477.47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785.21</v>
      </c>
      <c r="D80" s="55">
        <f>_xll.EQNXTDZ($A$1,$B80,D$1,$B$1)</f>
        <v>844.84</v>
      </c>
      <c r="E80" s="55">
        <f>_xll.EQNXTDZ($A$1,$B80,E$1,$B$1)</f>
        <v>1192.3</v>
      </c>
      <c r="F80" s="55">
        <f>_xll.EQNXTDZ($A$1,$B80,F$1,$B$1)</f>
        <v>687.41</v>
      </c>
      <c r="G80" s="55">
        <f>_xll.EQNXTDZ($A$1,$B80,G$1,$B$1)</f>
        <v>791.61</v>
      </c>
      <c r="H80" s="55">
        <f>_xll.EQNXTDZ($A$1,$B80,H$1,$B$1)</f>
        <v>1138.18</v>
      </c>
      <c r="I80" s="55">
        <f>_xll.EQNXTDZ($A$1,$B80,I$1,$B$1)</f>
        <v>1980.34</v>
      </c>
      <c r="J80" s="55">
        <f>_xll.EQNXTDZ($A$1,$B80,J$1,$B$1)</f>
        <v>15459.81</v>
      </c>
      <c r="K80" s="55">
        <f>_xll.EQNXTDZ($A$1,$B80,K$1,$B$1)</f>
        <v>12998.73</v>
      </c>
      <c r="L80" s="55">
        <f>_xll.EQNXTDZ($A$1,$B80,L$1,$B$1)</f>
        <v>6849.89</v>
      </c>
      <c r="M80" s="55">
        <f>_xll.EQNXTDZ($A$1,$B80,M$1,$B$1)</f>
        <v>2747.78</v>
      </c>
      <c r="N80" s="55">
        <f>_xll.EQNXTDZ($A$1,$B80,N$1,$B$1)</f>
        <v>2545.1999999999998</v>
      </c>
      <c r="O80" s="55">
        <f>_xll.EQNXTDZ($A$1,$B80,O$1,$B$1)</f>
        <v>2799.41</v>
      </c>
      <c r="P80" s="55">
        <f>_xll.EQNXTDZ($A$1,$B80,P$1,$B$1)</f>
        <v>1736.73</v>
      </c>
      <c r="Q80" s="55">
        <f>_xll.EQNXTDZ($A$1,$B80,Q$1,$B$1)</f>
        <v>3296.2</v>
      </c>
      <c r="R80" s="55">
        <f>_xll.EQNXTDZ($A$1,$B80,R$1,$B$1)</f>
        <v>263.33999999999997</v>
      </c>
      <c r="S80" s="55">
        <f>_xll.EQNXTDZ($A$1,$B80,S$1,$B$1)</f>
        <v>264.72000000000003</v>
      </c>
      <c r="T80" s="55">
        <f>_xll.EQNXTDZ($A$1,$B80,T$1,$B$1)</f>
        <v>404.22</v>
      </c>
      <c r="U80" s="55">
        <f>_xll.EQNXTDZ($A$1,$B80,U$1,$B$1)</f>
        <v>399.9</v>
      </c>
      <c r="V80" s="55">
        <f>_xll.EQNXTDZ($A$1,$B80,V$1,$B$1)</f>
        <v>366.56</v>
      </c>
      <c r="W80" s="55">
        <f>_xll.EQNXTDZ($A$1,$B80,W$1,$B$1)</f>
        <v>238.33</v>
      </c>
      <c r="X80" s="55">
        <f>_xll.EQNXTDZ($A$1,$B80,X$1,$B$1)</f>
        <v>147.5</v>
      </c>
      <c r="Y80" s="55">
        <f>_xll.EQNXTDZ($A$1,$B80,Y$1,$B$1)</f>
        <v>373.2</v>
      </c>
      <c r="Z80" s="55">
        <f>_xll.EQNXTDZ($A$1,$B80,Z$1,$B$1)</f>
        <v>330.9</v>
      </c>
      <c r="AA80" s="55">
        <f>_xll.EQNXTDZ($A$1,$B80,AA$1,$B$1)</f>
        <v>271.20999999999998</v>
      </c>
      <c r="AB80" s="55">
        <f>_xll.EQNXTDZ($A$1,$B80,AB$1,$B$1)</f>
        <v>1560.46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26.11</v>
      </c>
      <c r="S81" s="55">
        <f>_xll.EQNXTDZ($A$1,$B81,S$1,$B$1)</f>
        <v>-83.01</v>
      </c>
      <c r="T81" s="55">
        <f>_xll.EQNXTDZ($A$1,$B81,T$1,$B$1)</f>
        <v>102.47</v>
      </c>
      <c r="U81" s="55">
        <f>_xll.EQNXTDZ($A$1,$B81,U$1,$B$1)</f>
        <v>4142.26</v>
      </c>
      <c r="V81" s="55">
        <f>_xll.EQNXTDZ($A$1,$B81,V$1,$B$1)</f>
        <v>2823.45</v>
      </c>
      <c r="W81" s="55">
        <f>_xll.EQNXTDZ($A$1,$B81,W$1,$B$1)</f>
        <v>99.53</v>
      </c>
      <c r="X81" s="55">
        <f>_xll.EQNXTDZ($A$1,$B81,X$1,$B$1)</f>
        <v>300.54000000000002</v>
      </c>
      <c r="Y81" s="55">
        <f>_xll.EQNXTDZ($A$1,$B81,Y$1,$B$1)</f>
        <v>59.4</v>
      </c>
      <c r="Z81" s="55">
        <f>_xll.EQNXTDZ($A$1,$B81,Z$1,$B$1)</f>
        <v>44.66</v>
      </c>
      <c r="AA81" s="55">
        <f>_xll.EQNXTDZ($A$1,$B81,AA$1,$B$1)</f>
        <v>0</v>
      </c>
      <c r="AB81" s="55">
        <f>_xll.EQNXTDZ($A$1,$B81,AB$1,$B$1)</f>
        <v>255.06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3450.65</v>
      </c>
      <c r="D82" s="55">
        <f>_xll.EQNXTDZ($A$1,$B82,D$1,$B$1)</f>
        <v>3753.45</v>
      </c>
      <c r="E82" s="55">
        <f>_xll.EQNXTDZ($A$1,$B82,E$1,$B$1)</f>
        <v>4492.3999999999996</v>
      </c>
      <c r="F82" s="55">
        <f>_xll.EQNXTDZ($A$1,$B82,F$1,$B$1)</f>
        <v>4680.7299999999996</v>
      </c>
      <c r="G82" s="55">
        <f>_xll.EQNXTDZ($A$1,$B82,G$1,$B$1)</f>
        <v>6639.27</v>
      </c>
      <c r="H82" s="55">
        <f>_xll.EQNXTDZ($A$1,$B82,H$1,$B$1)</f>
        <v>8032.33</v>
      </c>
      <c r="I82" s="55">
        <f>_xll.EQNXTDZ($A$1,$B82,I$1,$B$1)</f>
        <v>22244.22</v>
      </c>
      <c r="J82" s="55">
        <f>_xll.EQNXTDZ($A$1,$B82,J$1,$B$1)</f>
        <v>62596.53</v>
      </c>
      <c r="K82" s="55">
        <f>_xll.EQNXTDZ($A$1,$B82,K$1,$B$1)</f>
        <v>57723.35</v>
      </c>
      <c r="L82" s="55">
        <f>_xll.EQNXTDZ($A$1,$B82,L$1,$B$1)</f>
        <v>45802.95</v>
      </c>
      <c r="M82" s="55">
        <f>_xll.EQNXTDZ($A$1,$B82,M$1,$B$1)</f>
        <v>56488.959999999999</v>
      </c>
      <c r="N82" s="55">
        <f>_xll.EQNXTDZ($A$1,$B82,N$1,$B$1)</f>
        <v>56808.33</v>
      </c>
      <c r="O82" s="55">
        <f>_xll.EQNXTDZ($A$1,$B82,O$1,$B$1)</f>
        <v>54224.77</v>
      </c>
      <c r="P82" s="55">
        <f>_xll.EQNXTDZ($A$1,$B82,P$1,$B$1)</f>
        <v>57989.41</v>
      </c>
      <c r="Q82" s="55">
        <f>_xll.EQNXTDZ($A$1,$B82,Q$1,$B$1)</f>
        <v>53740.14</v>
      </c>
      <c r="R82" s="55">
        <f>_xll.EQNXTDZ($A$1,$B82,R$1,$B$1)</f>
        <v>45765.85</v>
      </c>
      <c r="S82" s="55">
        <f>_xll.EQNXTDZ($A$1,$B82,S$1,$B$1)</f>
        <v>51018.04</v>
      </c>
      <c r="T82" s="55">
        <f>_xll.EQNXTDZ($A$1,$B82,T$1,$B$1)</f>
        <v>67774.69</v>
      </c>
      <c r="U82" s="55">
        <f>_xll.EQNXTDZ($A$1,$B82,U$1,$B$1)</f>
        <v>54848.72</v>
      </c>
      <c r="V82" s="55">
        <f>_xll.EQNXTDZ($A$1,$B82,V$1,$B$1)</f>
        <v>55909.27</v>
      </c>
      <c r="W82" s="55">
        <f>_xll.EQNXTDZ($A$1,$B82,W$1,$B$1)</f>
        <v>60112.37</v>
      </c>
      <c r="X82" s="55">
        <f>_xll.EQNXTDZ($A$1,$B82,X$1,$B$1)</f>
        <v>92256.07</v>
      </c>
      <c r="Y82" s="55">
        <f>_xll.EQNXTDZ($A$1,$B82,Y$1,$B$1)</f>
        <v>86606.14</v>
      </c>
      <c r="Z82" s="55">
        <f>_xll.EQNXTDZ($A$1,$B82,Z$1,$B$1)</f>
        <v>70503.59</v>
      </c>
      <c r="AA82" s="55">
        <f>_xll.EQNXTDZ($A$1,$B82,AA$1,$B$1)</f>
        <v>68391.539999999994</v>
      </c>
      <c r="AB82" s="55">
        <f>_xll.EQNXTDZ($A$1,$B82,AB$1,$B$1)</f>
        <v>72265.11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920.29</v>
      </c>
      <c r="D83" s="55">
        <f>_xll.EQNXTDZ($A$1,$B83,D$1,$B$1)</f>
        <v>1011.78</v>
      </c>
      <c r="E83" s="55">
        <f>_xll.EQNXTDZ($A$1,$B83,E$1,$B$1)</f>
        <v>10.25</v>
      </c>
      <c r="F83" s="55">
        <f>_xll.EQNXTDZ($A$1,$B83,F$1,$B$1)</f>
        <v>156.1</v>
      </c>
      <c r="G83" s="55">
        <f>_xll.EQNXTDZ($A$1,$B83,G$1,$B$1)</f>
        <v>218.24</v>
      </c>
      <c r="H83" s="55">
        <f>_xll.EQNXTDZ($A$1,$B83,H$1,$B$1)</f>
        <v>256.01</v>
      </c>
      <c r="I83" s="55">
        <f>_xll.EQNXTDZ($A$1,$B83,I$1,$B$1)</f>
        <v>209.77</v>
      </c>
      <c r="J83" s="55">
        <f>_xll.EQNXTDZ($A$1,$B83,J$1,$B$1)</f>
        <v>155.63</v>
      </c>
      <c r="K83" s="55">
        <f>_xll.EQNXTDZ($A$1,$B83,K$1,$B$1)</f>
        <v>105.48</v>
      </c>
      <c r="L83" s="55">
        <f>_xll.EQNXTDZ($A$1,$B83,L$1,$B$1)</f>
        <v>0</v>
      </c>
      <c r="M83" s="55">
        <f>_xll.EQNXTDZ($A$1,$B83,M$1,$B$1)</f>
        <v>0</v>
      </c>
      <c r="N83" s="55">
        <f>_xll.EQNXTDZ($A$1,$B83,N$1,$B$1)</f>
        <v>1402.16</v>
      </c>
      <c r="O83" s="55">
        <f>_xll.EQNXTDZ($A$1,$B83,O$1,$B$1)</f>
        <v>1057.8800000000001</v>
      </c>
      <c r="P83" s="55">
        <f>_xll.EQNXTDZ($A$1,$B83,P$1,$B$1)</f>
        <v>865.42</v>
      </c>
      <c r="Q83" s="55">
        <f>_xll.EQNXTDZ($A$1,$B83,Q$1,$B$1)</f>
        <v>1428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12530.91</v>
      </c>
      <c r="D84" s="55">
        <f>_xll.EQNXTDZ($A$1,$B84,D$1,$B$1)</f>
        <v>13137.26</v>
      </c>
      <c r="E84" s="55">
        <f>_xll.EQNXTDZ($A$1,$B84,E$1,$B$1)</f>
        <v>12760.08</v>
      </c>
      <c r="F84" s="55">
        <f>_xll.EQNXTDZ($A$1,$B84,F$1,$B$1)</f>
        <v>13524.38</v>
      </c>
      <c r="G84" s="55">
        <f>_xll.EQNXTDZ($A$1,$B84,G$1,$B$1)</f>
        <v>17703.310000000001</v>
      </c>
      <c r="H84" s="55">
        <f>_xll.EQNXTDZ($A$1,$B84,H$1,$B$1)</f>
        <v>20545.07</v>
      </c>
      <c r="I84" s="55">
        <f>_xll.EQNXTDZ($A$1,$B84,I$1,$B$1)</f>
        <v>49591.58</v>
      </c>
      <c r="J84" s="55">
        <f>_xll.EQNXTDZ($A$1,$B84,J$1,$B$1)</f>
        <v>125002.1</v>
      </c>
      <c r="K84" s="55">
        <f>_xll.EQNXTDZ($A$1,$B84,K$1,$B$1)</f>
        <v>121512.97</v>
      </c>
      <c r="L84" s="55">
        <f>_xll.EQNXTDZ($A$1,$B84,L$1,$B$1)</f>
        <v>109627.15</v>
      </c>
      <c r="M84" s="55">
        <f>_xll.EQNXTDZ($A$1,$B84,M$1,$B$1)</f>
        <v>135312.67000000001</v>
      </c>
      <c r="N84" s="55">
        <f>_xll.EQNXTDZ($A$1,$B84,N$1,$B$1)</f>
        <v>147195.54999999999</v>
      </c>
      <c r="O84" s="55">
        <f>_xll.EQNXTDZ($A$1,$B84,O$1,$B$1)</f>
        <v>147234.65</v>
      </c>
      <c r="P84" s="55">
        <f>_xll.EQNXTDZ($A$1,$B84,P$1,$B$1)</f>
        <v>171935.62</v>
      </c>
      <c r="Q84" s="55">
        <f>_xll.EQNXTDZ($A$1,$B84,Q$1,$B$1)</f>
        <v>159271.20000000001</v>
      </c>
      <c r="R84" s="55">
        <f>_xll.EQNXTDZ($A$1,$B84,R$1,$B$1)</f>
        <v>176883.99</v>
      </c>
      <c r="S84" s="55">
        <f>_xll.EQNXTDZ($A$1,$B84,S$1,$B$1)</f>
        <v>172447.37</v>
      </c>
      <c r="T84" s="55">
        <f>_xll.EQNXTDZ($A$1,$B84,T$1,$B$1)</f>
        <v>208722.14</v>
      </c>
      <c r="U84" s="55">
        <f>_xll.EQNXTDZ($A$1,$B84,U$1,$B$1)</f>
        <v>232773.44</v>
      </c>
      <c r="V84" s="55">
        <f>_xll.EQNXTDZ($A$1,$B84,V$1,$B$1)</f>
        <v>249149.12</v>
      </c>
      <c r="W84" s="55">
        <f>_xll.EQNXTDZ($A$1,$B84,W$1,$B$1)</f>
        <v>243909.19</v>
      </c>
      <c r="X84" s="55">
        <f>_xll.EQNXTDZ($A$1,$B84,X$1,$B$1)</f>
        <v>282421.67</v>
      </c>
      <c r="Y84" s="55">
        <f>_xll.EQNXTDZ($A$1,$B84,Y$1,$B$1)</f>
        <v>285395.78000000003</v>
      </c>
      <c r="Z84" s="55">
        <f>_xll.EQNXTDZ($A$1,$B84,Z$1,$B$1)</f>
        <v>269312.42</v>
      </c>
      <c r="AA84" s="55">
        <f>_xll.EQNXTDZ($A$1,$B84,AA$1,$B$1)</f>
        <v>275458.58</v>
      </c>
      <c r="AB84" s="55">
        <f>_xll.EQNXTDZ($A$1,$B84,AB$1,$B$1)</f>
        <v>296514.62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1368.86</v>
      </c>
      <c r="D85" s="55">
        <f>_xll.EQNXTDZ($A$1,$B85,D$1,$B$1)</f>
        <v>1125.07</v>
      </c>
      <c r="E85" s="55">
        <f>_xll.EQNXTDZ($A$1,$B85,E$1,$B$1)</f>
        <v>1065.8599999999999</v>
      </c>
      <c r="F85" s="55">
        <f>_xll.EQNXTDZ($A$1,$B85,F$1,$B$1)</f>
        <v>1506.12</v>
      </c>
      <c r="G85" s="55">
        <f>_xll.EQNXTDZ($A$1,$B85,G$1,$B$1)</f>
        <v>1841.9</v>
      </c>
      <c r="H85" s="55">
        <f>_xll.EQNXTDZ($A$1,$B85,H$1,$B$1)</f>
        <v>2006.52</v>
      </c>
      <c r="I85" s="55">
        <f>_xll.EQNXTDZ($A$1,$B85,I$1,$B$1)</f>
        <v>2337.9899999999998</v>
      </c>
      <c r="J85" s="55">
        <f>_xll.EQNXTDZ($A$1,$B85,J$1,$B$1)</f>
        <v>4088.44</v>
      </c>
      <c r="K85" s="55">
        <f>_xll.EQNXTDZ($A$1,$B85,K$1,$B$1)</f>
        <v>5349.43</v>
      </c>
      <c r="L85" s="55">
        <f>_xll.EQNXTDZ($A$1,$B85,L$1,$B$1)</f>
        <v>5456.63</v>
      </c>
      <c r="M85" s="55">
        <f>_xll.EQNXTDZ($A$1,$B85,M$1,$B$1)</f>
        <v>5634.99</v>
      </c>
      <c r="N85" s="55">
        <f>_xll.EQNXTDZ($A$1,$B85,N$1,$B$1)</f>
        <v>6370.99</v>
      </c>
      <c r="O85" s="55">
        <f>_xll.EQNXTDZ($A$1,$B85,O$1,$B$1)</f>
        <v>7739.57</v>
      </c>
      <c r="P85" s="55">
        <f>_xll.EQNXTDZ($A$1,$B85,P$1,$B$1)</f>
        <v>7852.71</v>
      </c>
      <c r="Q85" s="55">
        <f>_xll.EQNXTDZ($A$1,$B85,Q$1,$B$1)</f>
        <v>9151.6</v>
      </c>
      <c r="R85" s="55">
        <f>_xll.EQNXTDZ($A$1,$B85,R$1,$B$1)</f>
        <v>16777.8</v>
      </c>
      <c r="S85" s="55">
        <f>_xll.EQNXTDZ($A$1,$B85,S$1,$B$1)</f>
        <v>19034.13</v>
      </c>
      <c r="T85" s="55">
        <f>_xll.EQNXTDZ($A$1,$B85,T$1,$B$1)</f>
        <v>14363.57</v>
      </c>
      <c r="U85" s="55">
        <f>_xll.EQNXTDZ($A$1,$B85,U$1,$B$1)</f>
        <v>19366.68</v>
      </c>
      <c r="V85" s="55">
        <f>_xll.EQNXTDZ($A$1,$B85,V$1,$B$1)</f>
        <v>19202.93</v>
      </c>
      <c r="W85" s="55">
        <f>_xll.EQNXTDZ($A$1,$B85,W$1,$B$1)</f>
        <v>21152.45</v>
      </c>
      <c r="X85" s="55">
        <f>_xll.EQNXTDZ($A$1,$B85,X$1,$B$1)</f>
        <v>22118.99</v>
      </c>
      <c r="Y85" s="55">
        <f>_xll.EQNXTDZ($A$1,$B85,Y$1,$B$1)</f>
        <v>35932.480000000003</v>
      </c>
      <c r="Z85" s="55">
        <f>_xll.EQNXTDZ($A$1,$B85,Z$1,$B$1)</f>
        <v>25769.94</v>
      </c>
      <c r="AA85" s="55">
        <f>_xll.EQNXTDZ($A$1,$B85,AA$1,$B$1)</f>
        <v>10571.33</v>
      </c>
      <c r="AB85" s="55">
        <f>_xll.EQNXTDZ($A$1,$B85,AB$1,$B$1)</f>
        <v>11263.23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1.66</v>
      </c>
      <c r="E86" s="55">
        <f>_xll.EQNXTDZ($A$1,$B86,E$1,$B$1)</f>
        <v>0.41</v>
      </c>
      <c r="F86" s="55">
        <f>_xll.EQNXTDZ($A$1,$B86,F$1,$B$1)</f>
        <v>0.41</v>
      </c>
      <c r="G86" s="55">
        <f>_xll.EQNXTDZ($A$1,$B86,G$1,$B$1)</f>
        <v>131.78</v>
      </c>
      <c r="H86" s="55">
        <f>_xll.EQNXTDZ($A$1,$B86,H$1,$B$1)</f>
        <v>114</v>
      </c>
      <c r="I86" s="55">
        <f>_xll.EQNXTDZ($A$1,$B86,I$1,$B$1)</f>
        <v>219.66</v>
      </c>
      <c r="J86" s="55">
        <f>_xll.EQNXTDZ($A$1,$B86,J$1,$B$1)</f>
        <v>18049.96</v>
      </c>
      <c r="K86" s="55">
        <f>_xll.EQNXTDZ($A$1,$B86,K$1,$B$1)</f>
        <v>0</v>
      </c>
      <c r="L86" s="55">
        <f>_xll.EQNXTDZ($A$1,$B86,L$1,$B$1)</f>
        <v>14541.82</v>
      </c>
      <c r="M86" s="55">
        <f>_xll.EQNXTDZ($A$1,$B86,M$1,$B$1)</f>
        <v>15298.2</v>
      </c>
      <c r="N86" s="55">
        <f>_xll.EQNXTDZ($A$1,$B86,N$1,$B$1)</f>
        <v>17354.61</v>
      </c>
      <c r="O86" s="55">
        <f>_xll.EQNXTDZ($A$1,$B86,O$1,$B$1)</f>
        <v>13064.98</v>
      </c>
      <c r="P86" s="55">
        <f>_xll.EQNXTDZ($A$1,$B86,P$1,$B$1)</f>
        <v>15748.8</v>
      </c>
      <c r="Q86" s="55">
        <f>_xll.EQNXTDZ($A$1,$B86,Q$1,$B$1)</f>
        <v>13407.51</v>
      </c>
      <c r="R86" s="55">
        <f>_xll.EQNXTDZ($A$1,$B86,R$1,$B$1)</f>
        <v>4067.56</v>
      </c>
      <c r="S86" s="55">
        <f>_xll.EQNXTDZ($A$1,$B86,S$1,$B$1)</f>
        <v>3494.73</v>
      </c>
      <c r="T86" s="55">
        <f>_xll.EQNXTDZ($A$1,$B86,T$1,$B$1)</f>
        <v>4099.45</v>
      </c>
      <c r="U86" s="55">
        <f>_xll.EQNXTDZ($A$1,$B86,U$1,$B$1)</f>
        <v>3996.62</v>
      </c>
      <c r="V86" s="55">
        <f>_xll.EQNXTDZ($A$1,$B86,V$1,$B$1)</f>
        <v>4054.53</v>
      </c>
      <c r="W86" s="55">
        <f>_xll.EQNXTDZ($A$1,$B86,W$1,$B$1)</f>
        <v>4344.6899999999996</v>
      </c>
      <c r="X86" s="55">
        <f>_xll.EQNXTDZ($A$1,$B86,X$1,$B$1)</f>
        <v>4311.2</v>
      </c>
      <c r="Y86" s="55">
        <f>_xll.EQNXTDZ($A$1,$B86,Y$1,$B$1)</f>
        <v>0</v>
      </c>
      <c r="Z86" s="55">
        <f>_xll.EQNXTDZ($A$1,$B86,Z$1,$B$1)</f>
        <v>5745.3</v>
      </c>
      <c r="AA86" s="55">
        <f>_xll.EQNXTDZ($A$1,$B86,AA$1,$B$1)</f>
        <v>5958.53</v>
      </c>
      <c r="AB86" s="55">
        <f>_xll.EQNXTDZ($A$1,$B86,AB$1,$B$1)</f>
        <v>7533.8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0</v>
      </c>
      <c r="N87" s="55">
        <f>_xll.EQNXTDZ($A$1,$B87,N$1,$B$1)</f>
        <v>0</v>
      </c>
      <c r="O87" s="55">
        <f>_xll.EQNXTDZ($A$1,$B87,O$1,$B$1)</f>
        <v>0</v>
      </c>
      <c r="P87" s="55">
        <f>_xll.EQNXTDZ($A$1,$B87,P$1,$B$1)</f>
        <v>0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0</v>
      </c>
      <c r="T87" s="55">
        <f>_xll.EQNXTDZ($A$1,$B87,T$1,$B$1)</f>
        <v>0</v>
      </c>
      <c r="U87" s="55">
        <f>_xll.EQNXTDZ($A$1,$B87,U$1,$B$1)</f>
        <v>0</v>
      </c>
      <c r="V87" s="55">
        <f>_xll.EQNXTDZ($A$1,$B87,V$1,$B$1)</f>
        <v>0</v>
      </c>
      <c r="W87" s="55">
        <f>_xll.EQNXTDZ($A$1,$B87,W$1,$B$1)</f>
        <v>0</v>
      </c>
      <c r="X87" s="55">
        <f>_xll.EQNXTDZ($A$1,$B87,X$1,$B$1)</f>
        <v>0</v>
      </c>
      <c r="Y87" s="55">
        <f>_xll.EQNXTDZ($A$1,$B87,Y$1,$B$1)</f>
        <v>0</v>
      </c>
      <c r="Z87" s="55">
        <f>_xll.EQNXTDZ($A$1,$B87,Z$1,$B$1)</f>
        <v>0</v>
      </c>
      <c r="AA87" s="55">
        <f>_xll.EQNXTDZ($A$1,$B87,AA$1,$B$1)</f>
        <v>0</v>
      </c>
      <c r="AB87" s="55">
        <f>_xll.EQNXTDZ($A$1,$B87,AB$1,$B$1)</f>
        <v>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7531.94</v>
      </c>
      <c r="N88" s="55">
        <f>_xll.EQNXTDZ($A$1,$B88,N$1,$B$1)</f>
        <v>9859.5499999999993</v>
      </c>
      <c r="O88" s="55">
        <f>_xll.EQNXTDZ($A$1,$B88,O$1,$B$1)</f>
        <v>11000.89</v>
      </c>
      <c r="P88" s="55">
        <f>_xll.EQNXTDZ($A$1,$B88,P$1,$B$1)</f>
        <v>13092.93</v>
      </c>
      <c r="Q88" s="55">
        <f>_xll.EQNXTDZ($A$1,$B88,Q$1,$B$1)</f>
        <v>5319.93</v>
      </c>
      <c r="R88" s="55">
        <f>_xll.EQNXTDZ($A$1,$B88,R$1,$B$1)</f>
        <v>1165.45</v>
      </c>
      <c r="S88" s="55">
        <f>_xll.EQNXTDZ($A$1,$B88,S$1,$B$1)</f>
        <v>445.49</v>
      </c>
      <c r="T88" s="55">
        <f>_xll.EQNXTDZ($A$1,$B88,T$1,$B$1)</f>
        <v>3220.66</v>
      </c>
      <c r="U88" s="55">
        <f>_xll.EQNXTDZ($A$1,$B88,U$1,$B$1)</f>
        <v>9276.9500000000007</v>
      </c>
      <c r="V88" s="55">
        <f>_xll.EQNXTDZ($A$1,$B88,V$1,$B$1)</f>
        <v>1913.21</v>
      </c>
      <c r="W88" s="55">
        <f>_xll.EQNXTDZ($A$1,$B88,W$1,$B$1)</f>
        <v>5476.86</v>
      </c>
      <c r="X88" s="55">
        <f>_xll.EQNXTDZ($A$1,$B88,X$1,$B$1)</f>
        <v>2877.57</v>
      </c>
      <c r="Y88" s="55">
        <f>_xll.EQNXTDZ($A$1,$B88,Y$1,$B$1)</f>
        <v>10612.53</v>
      </c>
      <c r="Z88" s="55">
        <f>_xll.EQNXTDZ($A$1,$B88,Z$1,$B$1)</f>
        <v>16439.240000000002</v>
      </c>
      <c r="AA88" s="55">
        <f>_xll.EQNXTDZ($A$1,$B88,AA$1,$B$1)</f>
        <v>8856.23</v>
      </c>
      <c r="AB88" s="55">
        <f>_xll.EQNXTDZ($A$1,$B88,AB$1,$B$1)</f>
        <v>5514.79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0</v>
      </c>
      <c r="Q89" s="55">
        <f>_xll.EQNXTDZ($A$1,$B89,Q$1,$B$1)</f>
        <v>0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101.73</v>
      </c>
      <c r="N90" s="55">
        <f>_xll.EQNXTDZ($A$1,$B90,N$1,$B$1)</f>
        <v>99.9</v>
      </c>
      <c r="O90" s="55">
        <f>_xll.EQNXTDZ($A$1,$B90,O$1,$B$1)</f>
        <v>101.25</v>
      </c>
      <c r="P90" s="55">
        <f>_xll.EQNXTDZ($A$1,$B90,P$1,$B$1)</f>
        <v>123.13</v>
      </c>
      <c r="Q90" s="55">
        <f>_xll.EQNXTDZ($A$1,$B90,Q$1,$B$1)</f>
        <v>107.61</v>
      </c>
      <c r="R90" s="55">
        <f>_xll.EQNXTDZ($A$1,$B90,R$1,$B$1)</f>
        <v>226.58</v>
      </c>
      <c r="S90" s="55">
        <f>_xll.EQNXTDZ($A$1,$B90,S$1,$B$1)</f>
        <v>218.63</v>
      </c>
      <c r="T90" s="55">
        <f>_xll.EQNXTDZ($A$1,$B90,T$1,$B$1)</f>
        <v>252.31</v>
      </c>
      <c r="U90" s="55">
        <f>_xll.EQNXTDZ($A$1,$B90,U$1,$B$1)</f>
        <v>394.46</v>
      </c>
      <c r="V90" s="55">
        <f>_xll.EQNXTDZ($A$1,$B90,V$1,$B$1)</f>
        <v>1125.54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1.66</v>
      </c>
      <c r="E91" s="55">
        <f>_xll.EQNXTDZ($A$1,$B91,E$1,$B$1)</f>
        <v>0.41</v>
      </c>
      <c r="F91" s="55">
        <f>_xll.EQNXTDZ($A$1,$B91,F$1,$B$1)</f>
        <v>0.41</v>
      </c>
      <c r="G91" s="55">
        <f>_xll.EQNXTDZ($A$1,$B91,G$1,$B$1)</f>
        <v>131.78</v>
      </c>
      <c r="H91" s="55">
        <f>_xll.EQNXTDZ($A$1,$B91,H$1,$B$1)</f>
        <v>114</v>
      </c>
      <c r="I91" s="55">
        <f>_xll.EQNXTDZ($A$1,$B91,I$1,$B$1)</f>
        <v>219.66</v>
      </c>
      <c r="J91" s="55">
        <f>_xll.EQNXTDZ($A$1,$B91,J$1,$B$1)</f>
        <v>18049.96</v>
      </c>
      <c r="K91" s="55">
        <f>_xll.EQNXTDZ($A$1,$B91,K$1,$B$1)</f>
        <v>15364.92</v>
      </c>
      <c r="L91" s="55">
        <f>_xll.EQNXTDZ($A$1,$B91,L$1,$B$1)</f>
        <v>14541.82</v>
      </c>
      <c r="M91" s="55">
        <f>_xll.EQNXTDZ($A$1,$B91,M$1,$B$1)</f>
        <v>15298.2</v>
      </c>
      <c r="N91" s="55">
        <f>_xll.EQNXTDZ($A$1,$B91,N$1,$B$1)</f>
        <v>17354.61</v>
      </c>
      <c r="O91" s="55">
        <f>_xll.EQNXTDZ($A$1,$B91,O$1,$B$1)</f>
        <v>13064.98</v>
      </c>
      <c r="P91" s="55">
        <f>_xll.EQNXTDZ($A$1,$B91,P$1,$B$1)</f>
        <v>15748.8</v>
      </c>
      <c r="Q91" s="55">
        <f>_xll.EQNXTDZ($A$1,$B91,Q$1,$B$1)</f>
        <v>13407.51</v>
      </c>
      <c r="R91" s="55">
        <f>_xll.EQNXTDZ($A$1,$B91,R$1,$B$1)</f>
        <v>4067.56</v>
      </c>
      <c r="S91" s="55">
        <f>_xll.EQNXTDZ($A$1,$B91,S$1,$B$1)</f>
        <v>4740.3</v>
      </c>
      <c r="T91" s="55">
        <f>_xll.EQNXTDZ($A$1,$B91,T$1,$B$1)</f>
        <v>5517.55</v>
      </c>
      <c r="U91" s="55">
        <f>_xll.EQNXTDZ($A$1,$B91,U$1,$B$1)</f>
        <v>5388.13</v>
      </c>
      <c r="V91" s="55">
        <f>_xll.EQNXTDZ($A$1,$B91,V$1,$B$1)</f>
        <v>5552.01</v>
      </c>
      <c r="W91" s="55">
        <f>_xll.EQNXTDZ($A$1,$B91,W$1,$B$1)</f>
        <v>5950.91</v>
      </c>
      <c r="X91" s="55">
        <f>_xll.EQNXTDZ($A$1,$B91,X$1,$B$1)</f>
        <v>5899.55</v>
      </c>
      <c r="Y91" s="55">
        <f>_xll.EQNXTDZ($A$1,$B91,Y$1,$B$1)</f>
        <v>7223.82</v>
      </c>
      <c r="Z91" s="55">
        <f>_xll.EQNXTDZ($A$1,$B91,Z$1,$B$1)</f>
        <v>7421.24</v>
      </c>
      <c r="AA91" s="55">
        <f>_xll.EQNXTDZ($A$1,$B91,AA$1,$B$1)</f>
        <v>7714.19</v>
      </c>
      <c r="AB91" s="55">
        <f>_xll.EQNXTDZ($A$1,$B91,AB$1,$B$1)</f>
        <v>9517.14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0</v>
      </c>
      <c r="I92" s="55">
        <f>_xll.EQNXTDZ($A$1,$B92,I$1,$B$1)</f>
        <v>0</v>
      </c>
      <c r="J92" s="55">
        <f>_xll.EQNXTDZ($A$1,$B92,J$1,$B$1)</f>
        <v>0</v>
      </c>
      <c r="K92" s="55">
        <f>_xll.EQNXTDZ($A$1,$B92,K$1,$B$1)</f>
        <v>0</v>
      </c>
      <c r="L92" s="55">
        <f>_xll.EQNXTDZ($A$1,$B92,L$1,$B$1)</f>
        <v>0</v>
      </c>
      <c r="M92" s="55">
        <f>_xll.EQNXTDZ($A$1,$B92,M$1,$B$1)</f>
        <v>0</v>
      </c>
      <c r="N92" s="55">
        <f>_xll.EQNXTDZ($A$1,$B92,N$1,$B$1)</f>
        <v>0</v>
      </c>
      <c r="O92" s="55">
        <f>_xll.EQNXTDZ($A$1,$B92,O$1,$B$1)</f>
        <v>0</v>
      </c>
      <c r="P92" s="55">
        <f>_xll.EQNXTDZ($A$1,$B92,P$1,$B$1)</f>
        <v>0</v>
      </c>
      <c r="Q92" s="55">
        <f>_xll.EQNXTDZ($A$1,$B92,Q$1,$B$1)</f>
        <v>0</v>
      </c>
      <c r="R92" s="55">
        <f>_xll.EQNXTDZ($A$1,$B92,R$1,$B$1)</f>
        <v>0</v>
      </c>
      <c r="S92" s="55">
        <f>_xll.EQNXTDZ($A$1,$B92,S$1,$B$1)</f>
        <v>0</v>
      </c>
      <c r="T92" s="55">
        <f>_xll.EQNXTDZ($A$1,$B92,T$1,$B$1)</f>
        <v>1418.1</v>
      </c>
      <c r="U92" s="55">
        <f>_xll.EQNXTDZ($A$1,$B92,U$1,$B$1)</f>
        <v>0</v>
      </c>
      <c r="V92" s="55">
        <f>_xll.EQNXTDZ($A$1,$B92,V$1,$B$1)</f>
        <v>0</v>
      </c>
      <c r="W92" s="55">
        <f>_xll.EQNXTDZ($A$1,$B92,W$1,$B$1)</f>
        <v>0</v>
      </c>
      <c r="X92" s="55">
        <f>_xll.EQNXTDZ($A$1,$B92,X$1,$B$1)</f>
        <v>0</v>
      </c>
      <c r="Y92" s="55">
        <f>_xll.EQNXTDZ($A$1,$B92,Y$1,$B$1)</f>
        <v>0</v>
      </c>
      <c r="Z92" s="55">
        <f>_xll.EQNXTDZ($A$1,$B92,Z$1,$B$1)</f>
        <v>0</v>
      </c>
      <c r="AA92" s="55">
        <f>_xll.EQNXTDZ($A$1,$B92,AA$1,$B$1)</f>
        <v>0</v>
      </c>
      <c r="AB92" s="55">
        <f>_xll.EQNXTDZ($A$1,$B92,AB$1,$B$1)</f>
        <v>0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1118.6600000000001</v>
      </c>
      <c r="D93" s="55">
        <f>_xll.EQNXTDZ($A$1,$B93,D$1,$B$1)</f>
        <v>949.57</v>
      </c>
      <c r="E93" s="55">
        <f>_xll.EQNXTDZ($A$1,$B93,E$1,$B$1)</f>
        <v>809.23</v>
      </c>
      <c r="F93" s="55">
        <f>_xll.EQNXTDZ($A$1,$B93,F$1,$B$1)</f>
        <v>1164.9000000000001</v>
      </c>
      <c r="G93" s="55">
        <f>_xll.EQNXTDZ($A$1,$B93,G$1,$B$1)</f>
        <v>1072.8800000000001</v>
      </c>
      <c r="H93" s="55">
        <f>_xll.EQNXTDZ($A$1,$B93,H$1,$B$1)</f>
        <v>1399.59</v>
      </c>
      <c r="I93" s="55">
        <f>_xll.EQNXTDZ($A$1,$B93,I$1,$B$1)</f>
        <v>1735.73</v>
      </c>
      <c r="J93" s="55">
        <f>_xll.EQNXTDZ($A$1,$B93,J$1,$B$1)</f>
        <v>2528.7399999999998</v>
      </c>
      <c r="K93" s="55">
        <f>_xll.EQNXTDZ($A$1,$B93,K$1,$B$1)</f>
        <v>3920.55</v>
      </c>
      <c r="L93" s="55">
        <f>_xll.EQNXTDZ($A$1,$B93,L$1,$B$1)</f>
        <v>4502.22</v>
      </c>
      <c r="M93" s="55">
        <f>_xll.EQNXTDZ($A$1,$B93,M$1,$B$1)</f>
        <v>4686.26</v>
      </c>
      <c r="N93" s="55">
        <f>_xll.EQNXTDZ($A$1,$B93,N$1,$B$1)</f>
        <v>5463.63</v>
      </c>
      <c r="O93" s="55">
        <f>_xll.EQNXTDZ($A$1,$B93,O$1,$B$1)</f>
        <v>6561.84</v>
      </c>
      <c r="P93" s="55">
        <f>_xll.EQNXTDZ($A$1,$B93,P$1,$B$1)</f>
        <v>7355.03</v>
      </c>
      <c r="Q93" s="55">
        <f>_xll.EQNXTDZ($A$1,$B93,Q$1,$B$1)</f>
        <v>8670.43</v>
      </c>
      <c r="R93" s="55">
        <f>_xll.EQNXTDZ($A$1,$B93,R$1,$B$1)</f>
        <v>16777.8</v>
      </c>
      <c r="S93" s="55">
        <f>_xll.EQNXTDZ($A$1,$B93,S$1,$B$1)</f>
        <v>19034.13</v>
      </c>
      <c r="T93" s="55">
        <f>_xll.EQNXTDZ($A$1,$B93,T$1,$B$1)</f>
        <v>14363.57</v>
      </c>
      <c r="U93" s="55">
        <f>_xll.EQNXTDZ($A$1,$B93,U$1,$B$1)</f>
        <v>19366.68</v>
      </c>
      <c r="V93" s="55">
        <f>_xll.EQNXTDZ($A$1,$B93,V$1,$B$1)</f>
        <v>19202.93</v>
      </c>
      <c r="W93" s="55">
        <f>_xll.EQNXTDZ($A$1,$B93,W$1,$B$1)</f>
        <v>21152.45</v>
      </c>
      <c r="X93" s="55">
        <f>_xll.EQNXTDZ($A$1,$B93,X$1,$B$1)</f>
        <v>22118.99</v>
      </c>
      <c r="Y93" s="55">
        <f>_xll.EQNXTDZ($A$1,$B93,Y$1,$B$1)</f>
        <v>35932.480000000003</v>
      </c>
      <c r="Z93" s="55">
        <f>_xll.EQNXTDZ($A$1,$B93,Z$1,$B$1)</f>
        <v>25769.94</v>
      </c>
      <c r="AA93" s="55">
        <f>_xll.EQNXTDZ($A$1,$B93,AA$1,$B$1)</f>
        <v>10571.33</v>
      </c>
      <c r="AB93" s="55">
        <f>_xll.EQNXTDZ($A$1,$B93,AB$1,$B$1)</f>
        <v>11263.23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0.01</v>
      </c>
      <c r="D94" s="55">
        <f>_xll.EQNXTDZ($A$1,$B94,D$1,$B$1)</f>
        <v>0.1</v>
      </c>
      <c r="E94" s="55">
        <f>_xll.EQNXTDZ($A$1,$B94,E$1,$B$1)</f>
        <v>0.01</v>
      </c>
      <c r="F94" s="55">
        <f>_xll.EQNXTDZ($A$1,$B94,F$1,$B$1)</f>
        <v>0.01</v>
      </c>
      <c r="G94" s="55">
        <f>_xll.EQNXTDZ($A$1,$B94,G$1,$B$1)</f>
        <v>0.01</v>
      </c>
      <c r="H94" s="55">
        <f>_xll.EQNXTDZ($A$1,$B94,H$1,$B$1)</f>
        <v>0.01</v>
      </c>
      <c r="I94" s="55">
        <f>_xll.EQNXTDZ($A$1,$B94,I$1,$B$1)</f>
        <v>0.01</v>
      </c>
      <c r="J94" s="55">
        <f>_xll.EQNXTDZ($A$1,$B94,J$1,$B$1)</f>
        <v>0.01</v>
      </c>
      <c r="K94" s="55">
        <f>_xll.EQNXTDZ($A$1,$B94,K$1,$B$1)</f>
        <v>0.01</v>
      </c>
      <c r="L94" s="55">
        <f>_xll.EQNXTDZ($A$1,$B94,L$1,$B$1)</f>
        <v>0.01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94.54</v>
      </c>
      <c r="D95" s="55">
        <f>_xll.EQNXTDZ($A$1,$B95,D$1,$B$1)</f>
        <v>94.54</v>
      </c>
      <c r="E95" s="55">
        <f>_xll.EQNXTDZ($A$1,$B95,E$1,$B$1)</f>
        <v>166.29</v>
      </c>
      <c r="F95" s="55">
        <f>_xll.EQNXTDZ($A$1,$B95,F$1,$B$1)</f>
        <v>164.39</v>
      </c>
      <c r="G95" s="55">
        <f>_xll.EQNXTDZ($A$1,$B95,G$1,$B$1)</f>
        <v>385.01</v>
      </c>
      <c r="H95" s="55">
        <f>_xll.EQNXTDZ($A$1,$B95,H$1,$B$1)</f>
        <v>219.56</v>
      </c>
      <c r="I95" s="55">
        <f>_xll.EQNXTDZ($A$1,$B95,I$1,$B$1)</f>
        <v>215.56</v>
      </c>
      <c r="J95" s="55">
        <f>_xll.EQNXTDZ($A$1,$B95,J$1,$B$1)</f>
        <v>1109.67</v>
      </c>
      <c r="K95" s="55">
        <f>_xll.EQNXTDZ($A$1,$B95,K$1,$B$1)</f>
        <v>930.97</v>
      </c>
      <c r="L95" s="55">
        <f>_xll.EQNXTDZ($A$1,$B95,L$1,$B$1)</f>
        <v>622.37</v>
      </c>
      <c r="M95" s="55">
        <f>_xll.EQNXTDZ($A$1,$B95,M$1,$B$1)</f>
        <v>662.73</v>
      </c>
      <c r="N95" s="55">
        <f>_xll.EQNXTDZ($A$1,$B95,N$1,$B$1)</f>
        <v>682.07</v>
      </c>
      <c r="O95" s="55">
        <f>_xll.EQNXTDZ($A$1,$B95,O$1,$B$1)</f>
        <v>598.97</v>
      </c>
      <c r="P95" s="55">
        <f>_xll.EQNXTDZ($A$1,$B95,P$1,$B$1)</f>
        <v>0</v>
      </c>
      <c r="Q95" s="55">
        <f>_xll.EQNXTDZ($A$1,$B95,Q$1,$B$1)</f>
        <v>0</v>
      </c>
      <c r="R95" s="55">
        <f>_xll.EQNXTDZ($A$1,$B95,R$1,$B$1)</f>
        <v>0</v>
      </c>
      <c r="S95" s="55">
        <f>_xll.EQNXTDZ($A$1,$B95,S$1,$B$1)</f>
        <v>0</v>
      </c>
      <c r="T95" s="55">
        <f>_xll.EQNXTDZ($A$1,$B95,T$1,$B$1)</f>
        <v>0</v>
      </c>
      <c r="U95" s="55">
        <f>_xll.EQNXTDZ($A$1,$B95,U$1,$B$1)</f>
        <v>0</v>
      </c>
      <c r="V95" s="55">
        <f>_xll.EQNXTDZ($A$1,$B95,V$1,$B$1)</f>
        <v>0</v>
      </c>
      <c r="W95" s="55">
        <f>_xll.EQNXTDZ($A$1,$B95,W$1,$B$1)</f>
        <v>0</v>
      </c>
      <c r="X95" s="55">
        <f>_xll.EQNXTDZ($A$1,$B95,X$1,$B$1)</f>
        <v>0</v>
      </c>
      <c r="Y95" s="55">
        <f>_xll.EQNXTDZ($A$1,$B95,Y$1,$B$1)</f>
        <v>0</v>
      </c>
      <c r="Z95" s="55">
        <f>_xll.EQNXTDZ($A$1,$B95,Z$1,$B$1)</f>
        <v>0</v>
      </c>
      <c r="AA95" s="55">
        <f>_xll.EQNXTDZ($A$1,$B95,AA$1,$B$1)</f>
        <v>0</v>
      </c>
      <c r="AB95" s="55">
        <f>_xll.EQNXTDZ($A$1,$B95,AB$1,$B$1)</f>
        <v>0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155.65</v>
      </c>
      <c r="D97" s="55">
        <f>_xll.EQNXTDZ($A$1,$B97,D$1,$B$1)</f>
        <v>80.86</v>
      </c>
      <c r="E97" s="55">
        <f>_xll.EQNXTDZ($A$1,$B97,E$1,$B$1)</f>
        <v>90.33</v>
      </c>
      <c r="F97" s="55">
        <f>_xll.EQNXTDZ($A$1,$B97,F$1,$B$1)</f>
        <v>176.82</v>
      </c>
      <c r="G97" s="55">
        <f>_xll.EQNXTDZ($A$1,$B97,G$1,$B$1)</f>
        <v>384</v>
      </c>
      <c r="H97" s="55">
        <f>_xll.EQNXTDZ($A$1,$B97,H$1,$B$1)</f>
        <v>387.36</v>
      </c>
      <c r="I97" s="55">
        <f>_xll.EQNXTDZ($A$1,$B97,I$1,$B$1)</f>
        <v>386.69</v>
      </c>
      <c r="J97" s="55">
        <f>_xll.EQNXTDZ($A$1,$B97,J$1,$B$1)</f>
        <v>450.02</v>
      </c>
      <c r="K97" s="55">
        <f>_xll.EQNXTDZ($A$1,$B97,K$1,$B$1)</f>
        <v>497.9</v>
      </c>
      <c r="L97" s="55">
        <f>_xll.EQNXTDZ($A$1,$B97,L$1,$B$1)</f>
        <v>332.03</v>
      </c>
      <c r="M97" s="55">
        <f>_xll.EQNXTDZ($A$1,$B97,M$1,$B$1)</f>
        <v>286</v>
      </c>
      <c r="N97" s="55">
        <f>_xll.EQNXTDZ($A$1,$B97,N$1,$B$1)</f>
        <v>225.29</v>
      </c>
      <c r="O97" s="55">
        <f>_xll.EQNXTDZ($A$1,$B97,O$1,$B$1)</f>
        <v>578.76</v>
      </c>
      <c r="P97" s="55">
        <f>_xll.EQNXTDZ($A$1,$B97,P$1,$B$1)</f>
        <v>497.68</v>
      </c>
      <c r="Q97" s="55">
        <f>_xll.EQNXTDZ($A$1,$B97,Q$1,$B$1)</f>
        <v>481.17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0</v>
      </c>
      <c r="D98" s="55">
        <f>_xll.EQNXTDZ($A$1,$B98,D$1,$B$1)</f>
        <v>0</v>
      </c>
      <c r="E98" s="55">
        <f>_xll.EQNXTDZ($A$1,$B98,E$1,$B$1)</f>
        <v>0</v>
      </c>
      <c r="F98" s="55">
        <f>_xll.EQNXTDZ($A$1,$B98,F$1,$B$1)</f>
        <v>0</v>
      </c>
      <c r="G98" s="55">
        <f>_xll.EQNXTDZ($A$1,$B98,G$1,$B$1)</f>
        <v>0</v>
      </c>
      <c r="H98" s="55">
        <f>_xll.EQNXTDZ($A$1,$B98,H$1,$B$1)</f>
        <v>0</v>
      </c>
      <c r="I98" s="55">
        <f>_xll.EQNXTDZ($A$1,$B98,I$1,$B$1)</f>
        <v>0</v>
      </c>
      <c r="J98" s="55">
        <f>_xll.EQNXTDZ($A$1,$B98,J$1,$B$1)</f>
        <v>0</v>
      </c>
      <c r="K98" s="55">
        <f>_xll.EQNXTDZ($A$1,$B98,K$1,$B$1)</f>
        <v>0</v>
      </c>
      <c r="L98" s="55">
        <f>_xll.EQNXTDZ($A$1,$B98,L$1,$B$1)</f>
        <v>0</v>
      </c>
      <c r="M98" s="55">
        <f>_xll.EQNXTDZ($A$1,$B98,M$1,$B$1)</f>
        <v>0</v>
      </c>
      <c r="N98" s="55">
        <f>_xll.EQNXTDZ($A$1,$B98,N$1,$B$1)</f>
        <v>0</v>
      </c>
      <c r="O98" s="55">
        <f>_xll.EQNXTDZ($A$1,$B98,O$1,$B$1)</f>
        <v>0</v>
      </c>
      <c r="P98" s="55">
        <f>_xll.EQNXTDZ($A$1,$B98,P$1,$B$1)</f>
        <v>0</v>
      </c>
      <c r="Q98" s="55">
        <f>_xll.EQNXTDZ($A$1,$B98,Q$1,$B$1)</f>
        <v>0</v>
      </c>
      <c r="R98" s="55">
        <f>_xll.EQNXTDZ($A$1,$B98,R$1,$B$1)</f>
        <v>0</v>
      </c>
      <c r="S98" s="55">
        <f>_xll.EQNXTDZ($A$1,$B98,S$1,$B$1)</f>
        <v>0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0</v>
      </c>
      <c r="H99" s="55">
        <f>_xll.EQNXTDZ($A$1,$B99,H$1,$B$1)</f>
        <v>0</v>
      </c>
      <c r="I99" s="55">
        <f>_xll.EQNXTDZ($A$1,$B99,I$1,$B$1)</f>
        <v>0</v>
      </c>
      <c r="J99" s="55">
        <f>_xll.EQNXTDZ($A$1,$B99,J$1,$B$1)</f>
        <v>0</v>
      </c>
      <c r="K99" s="55">
        <f>_xll.EQNXTDZ($A$1,$B99,K$1,$B$1)</f>
        <v>0</v>
      </c>
      <c r="L99" s="55">
        <f>_xll.EQNXTDZ($A$1,$B99,L$1,$B$1)</f>
        <v>0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367.77</v>
      </c>
      <c r="D104" s="55">
        <f>_xll.EQNXTDZ($A$1,$B104,D$1,$B$1)</f>
        <v>367.77</v>
      </c>
      <c r="E104" s="55">
        <f>_xll.EQNXTDZ($A$1,$B104,E$1,$B$1)</f>
        <v>367.77</v>
      </c>
      <c r="F104" s="55">
        <f>_xll.EQNXTDZ($A$1,$B104,F$1,$B$1)</f>
        <v>368.04</v>
      </c>
      <c r="G104" s="55">
        <f>_xll.EQNXTDZ($A$1,$B104,G$1,$B$1)</f>
        <v>552.07000000000005</v>
      </c>
      <c r="H104" s="55">
        <f>_xll.EQNXTDZ($A$1,$B104,H$1,$B$1)</f>
        <v>552.79999999999995</v>
      </c>
      <c r="I104" s="55">
        <f>_xll.EQNXTDZ($A$1,$B104,I$1,$B$1)</f>
        <v>579.79999999999995</v>
      </c>
      <c r="J104" s="55">
        <f>_xll.EQNXTDZ($A$1,$B104,J$1,$B$1)</f>
        <v>729.91</v>
      </c>
      <c r="K104" s="55">
        <f>_xll.EQNXTDZ($A$1,$B104,K$1,$B$1)</f>
        <v>729.92</v>
      </c>
      <c r="L104" s="55">
        <f>_xll.EQNXTDZ($A$1,$B104,L$1,$B$1)</f>
        <v>886.54</v>
      </c>
      <c r="M104" s="55">
        <f>_xll.EQNXTDZ($A$1,$B104,M$1,$B$1)</f>
        <v>958.54</v>
      </c>
      <c r="N104" s="55">
        <f>_xll.EQNXTDZ($A$1,$B104,N$1,$B$1)</f>
        <v>971.21</v>
      </c>
      <c r="O104" s="55">
        <f>_xll.EQNXTDZ($A$1,$B104,O$1,$B$1)</f>
        <v>971.21</v>
      </c>
      <c r="P104" s="55">
        <f>_xll.EQNXTDZ($A$1,$B104,P$1,$B$1)</f>
        <v>971.21</v>
      </c>
      <c r="Q104" s="55">
        <f>_xll.EQNXTDZ($A$1,$B104,Q$1,$B$1)</f>
        <v>971.21</v>
      </c>
      <c r="R104" s="55">
        <f>_xll.EQNXTDZ($A$1,$B104,R$1,$B$1)</f>
        <v>970.04</v>
      </c>
      <c r="S104" s="55">
        <f>_xll.EQNXTDZ($A$1,$B104,S$1,$B$1)</f>
        <v>970.04</v>
      </c>
      <c r="T104" s="55">
        <f>_xll.EQNXTDZ($A$1,$B104,T$1,$B$1)</f>
        <v>1144.75</v>
      </c>
      <c r="U104" s="55">
        <f>_xll.EQNXTDZ($A$1,$B104,U$1,$B$1)</f>
        <v>1144.74</v>
      </c>
      <c r="V104" s="55">
        <f>_xll.EQNXTDZ($A$1,$B104,V$1,$B$1)</f>
        <v>1144.75</v>
      </c>
      <c r="W104" s="55">
        <f>_xll.EQNXTDZ($A$1,$B104,W$1,$B$1)</f>
        <v>1197.4100000000001</v>
      </c>
      <c r="X104" s="55">
        <f>_xll.EQNXTDZ($A$1,$B104,X$1,$B$1)</f>
        <v>1221.01</v>
      </c>
      <c r="Y104" s="55">
        <f>_xll.EQNXTDZ($A$1,$B104,Y$1,$B$1)</f>
        <v>1220.99</v>
      </c>
      <c r="Z104" s="55">
        <f>_xll.EQNXTDZ($A$1,$B104,Z$1,$B$1)</f>
        <v>1247.19</v>
      </c>
      <c r="AA104" s="55">
        <f>_xll.EQNXTDZ($A$1,$B104,AA$1,$B$1)</f>
        <v>1247.19</v>
      </c>
      <c r="AB104" s="55">
        <f>_xll.EQNXTDZ($A$1,$B104,AB$1,$B$1)</f>
        <v>1247.19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10</v>
      </c>
      <c r="D105" s="55">
        <f>_xll.EQNXTDZ($A$1,$B105,D$1,$B$1)</f>
        <v>10</v>
      </c>
      <c r="E105" s="55">
        <f>_xll.EQNXTDZ($A$1,$B105,E$1,$B$1)</f>
        <v>10</v>
      </c>
      <c r="F105" s="55">
        <f>_xll.EQNXTDZ($A$1,$B105,F$1,$B$1)</f>
        <v>10</v>
      </c>
      <c r="G105" s="55">
        <f>_xll.EQNXTDZ($A$1,$B105,G$1,$B$1)</f>
        <v>10</v>
      </c>
      <c r="H105" s="55">
        <f>_xll.EQNXTDZ($A$1,$B105,H$1,$B$1)</f>
        <v>10</v>
      </c>
      <c r="I105" s="55">
        <f>_xll.EQNXTDZ($A$1,$B105,I$1,$B$1)</f>
        <v>10</v>
      </c>
      <c r="J105" s="55">
        <f>_xll.EQNXTDZ($A$1,$B105,J$1,$B$1)</f>
        <v>10</v>
      </c>
      <c r="K105" s="55">
        <f>_xll.EQNXTDZ($A$1,$B105,K$1,$B$1)</f>
        <v>10</v>
      </c>
      <c r="L105" s="55">
        <f>_xll.EQNXTDZ($A$1,$B105,L$1,$B$1)</f>
        <v>10</v>
      </c>
      <c r="M105" s="55">
        <f>_xll.EQNXTDZ($A$1,$B105,M$1,$B$1)</f>
        <v>10</v>
      </c>
      <c r="N105" s="55">
        <f>_xll.EQNXTDZ($A$1,$B105,N$1,$B$1)</f>
        <v>10</v>
      </c>
      <c r="O105" s="55">
        <f>_xll.EQNXTDZ($A$1,$B105,O$1,$B$1)</f>
        <v>10</v>
      </c>
      <c r="P105" s="55">
        <f>_xll.EQNXTDZ($A$1,$B105,P$1,$B$1)</f>
        <v>10</v>
      </c>
      <c r="Q105" s="55">
        <f>_xll.EQNXTDZ($A$1,$B105,Q$1,$B$1)</f>
        <v>10</v>
      </c>
      <c r="R105" s="55">
        <f>_xll.EQNXTDZ($A$1,$B105,R$1,$B$1)</f>
        <v>10</v>
      </c>
      <c r="S105" s="55">
        <f>_xll.EQNXTDZ($A$1,$B105,S$1,$B$1)</f>
        <v>10</v>
      </c>
      <c r="T105" s="55">
        <f>_xll.EQNXTDZ($A$1,$B105,T$1,$B$1)</f>
        <v>10</v>
      </c>
      <c r="U105" s="55">
        <f>_xll.EQNXTDZ($A$1,$B105,U$1,$B$1)</f>
        <v>10</v>
      </c>
      <c r="V105" s="55">
        <f>_xll.EQNXTDZ($A$1,$B105,V$1,$B$1)</f>
        <v>10</v>
      </c>
      <c r="W105" s="55">
        <f>_xll.EQNXTDZ($A$1,$B105,W$1,$B$1)</f>
        <v>10</v>
      </c>
      <c r="X105" s="55">
        <f>_xll.EQNXTDZ($A$1,$B105,X$1,$B$1)</f>
        <v>10</v>
      </c>
      <c r="Y105" s="55">
        <f>_xll.EQNXTDZ($A$1,$B105,Y$1,$B$1)</f>
        <v>1</v>
      </c>
      <c r="Z105" s="55">
        <f>_xll.EQNXTDZ($A$1,$B105,Z$1,$B$1)</f>
        <v>1</v>
      </c>
      <c r="AA105" s="55">
        <f>_xll.EQNXTDZ($A$1,$B105,AA$1,$B$1)</f>
        <v>1</v>
      </c>
      <c r="AB105" s="55">
        <f>_xll.EQNXTDZ($A$1,$B105,AB$1,$B$1)</f>
        <v>1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6.8684632593898796</v>
      </c>
      <c r="D106" s="55">
        <f>_xll.EQNXTDZ($A$1,$B106,D$1,$B$1)</f>
        <v>5.4818589070651598</v>
      </c>
      <c r="E106" s="55">
        <f>_xll.EQNXTDZ($A$1,$B106,E$1,$B$1)</f>
        <v>7.5084344989243696</v>
      </c>
      <c r="F106" s="55">
        <f>_xll.EQNXTDZ($A$1,$B106,F$1,$B$1)</f>
        <v>21.528857049252299</v>
      </c>
      <c r="G106" s="55">
        <f>_xll.EQNXTDZ($A$1,$B106,G$1,$B$1)</f>
        <v>33.758482885444302</v>
      </c>
      <c r="H106" s="55">
        <f>_xll.EQNXTDZ($A$1,$B106,H$1,$B$1)</f>
        <v>45.1684964324078</v>
      </c>
      <c r="I106" s="55">
        <f>_xll.EQNXTDZ($A$1,$B106,I$1,$B$1)</f>
        <v>37.859351222987598</v>
      </c>
      <c r="J106" s="55">
        <f>_xll.EQNXTDZ($A$1,$B106,J$1,$B$1)</f>
        <v>66.041399151658794</v>
      </c>
      <c r="K106" s="55">
        <f>_xll.EQNXTDZ($A$1,$B106,K$1,$B$1)</f>
        <v>19.627105569128901</v>
      </c>
      <c r="L106" s="55">
        <f>_xll.EQNXTDZ($A$1,$B106,L$1,$B$1)</f>
        <v>60.277127855870901</v>
      </c>
      <c r="M106" s="55">
        <f>_xll.EQNXTDZ($A$1,$B106,M$1,$B$1)</f>
        <v>59.119509736138298</v>
      </c>
      <c r="N106" s="55">
        <f>_xll.EQNXTDZ($A$1,$B106,N$1,$B$1)</f>
        <v>44.818400289894399</v>
      </c>
      <c r="O106" s="55">
        <f>_xll.EQNXTDZ($A$1,$B106,O$1,$B$1)</f>
        <v>29.755073151645401</v>
      </c>
      <c r="P106" s="55">
        <f>_xll.EQNXTDZ($A$1,$B106,P$1,$B$1)</f>
        <v>37.524929749521498</v>
      </c>
      <c r="Q106" s="55">
        <f>_xll.EQNXTDZ($A$1,$B106,Q$1,$B$1)</f>
        <v>30.188584463973299</v>
      </c>
      <c r="R106" s="55">
        <f>_xll.EQNXTDZ($A$1,$B106,R$1,$B$1)</f>
        <v>30.441069074449899</v>
      </c>
      <c r="S106" s="55">
        <f>_xll.EQNXTDZ($A$1,$B106,S$1,$B$1)</f>
        <v>45.985546130777003</v>
      </c>
      <c r="T106" s="55">
        <f>_xll.EQNXTDZ($A$1,$B106,T$1,$B$1)</f>
        <v>57.09</v>
      </c>
      <c r="U106" s="55">
        <f>_xll.EQNXTDZ($A$1,$B106,U$1,$B$1)</f>
        <v>52.085000000000001</v>
      </c>
      <c r="V106" s="55">
        <f>_xll.EQNXTDZ($A$1,$B106,V$1,$B$1)</f>
        <v>26.975000000000001</v>
      </c>
      <c r="W106" s="55">
        <f>_xll.EQNXTDZ($A$1,$B106,W$1,$B$1)</f>
        <v>81.194999999999993</v>
      </c>
      <c r="X106" s="55">
        <f>_xll.EQNXTDZ($A$1,$B106,X$1,$B$1)</f>
        <v>130.70500000000001</v>
      </c>
      <c r="Y106" s="55">
        <f>_xll.EQNXTDZ($A$1,$B106,Y$1,$B$1)</f>
        <v>104.5</v>
      </c>
      <c r="Z106" s="55">
        <f>_xll.EQNXTDZ($A$1,$B106,Z$1,$B$1)</f>
        <v>155.9</v>
      </c>
      <c r="AA106" s="55">
        <f>_xll.EQNXTDZ($A$1,$B106,AA$1,$B$1)</f>
        <v>154.25</v>
      </c>
      <c r="AB106" s="55">
        <f>_xll.EQNXTDZ($A$1,$B106,AB$1,$B$1)</f>
        <v>191.8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9.4816791541557102</v>
      </c>
      <c r="D107" s="55">
        <f>_xll.EQNXTDZ($A$1,$B107,D$1,$B$1)</f>
        <v>8.38979839898502</v>
      </c>
      <c r="E107" s="55">
        <f>_xll.EQNXTDZ($A$1,$B107,E$1,$B$1)</f>
        <v>9.1785348827972708</v>
      </c>
      <c r="F107" s="55">
        <f>_xll.EQNXTDZ($A$1,$B107,F$1,$B$1)</f>
        <v>26.185489884286099</v>
      </c>
      <c r="G107" s="55">
        <f>_xll.EQNXTDZ($A$1,$B107,G$1,$B$1)</f>
        <v>37.598310322651201</v>
      </c>
      <c r="H107" s="55">
        <f>_xll.EQNXTDZ($A$1,$B107,H$1,$B$1)</f>
        <v>45.5853198055257</v>
      </c>
      <c r="I107" s="55">
        <f>_xll.EQNXTDZ($A$1,$B107,I$1,$B$1)</f>
        <v>57.176377847883899</v>
      </c>
      <c r="J107" s="55">
        <f>_xll.EQNXTDZ($A$1,$B107,J$1,$B$1)</f>
        <v>92.399839713306903</v>
      </c>
      <c r="K107" s="55">
        <f>_xll.EQNXTDZ($A$1,$B107,K$1,$B$1)</f>
        <v>88.131420638078893</v>
      </c>
      <c r="L107" s="55">
        <f>_xll.EQNXTDZ($A$1,$B107,L$1,$B$1)</f>
        <v>70.2193048759612</v>
      </c>
      <c r="M107" s="55">
        <f>_xll.EQNXTDZ($A$1,$B107,M$1,$B$1)</f>
        <v>68.008873569146701</v>
      </c>
      <c r="N107" s="55">
        <f>_xll.EQNXTDZ($A$1,$B107,N$1,$B$1)</f>
        <v>61.153678201676698</v>
      </c>
      <c r="O107" s="55">
        <f>_xll.EQNXTDZ($A$1,$B107,O$1,$B$1)</f>
        <v>45.923615943301598</v>
      </c>
      <c r="P107" s="55">
        <f>_xll.EQNXTDZ($A$1,$B107,P$1,$B$1)</f>
        <v>41.4836978873725</v>
      </c>
      <c r="Q107" s="55">
        <f>_xll.EQNXTDZ($A$1,$B107,Q$1,$B$1)</f>
        <v>55.127394574262098</v>
      </c>
      <c r="R107" s="55">
        <f>_xll.EQNXTDZ($A$1,$B107,R$1,$B$1)</f>
        <v>36.605504658540397</v>
      </c>
      <c r="S107" s="55">
        <f>_xll.EQNXTDZ($A$1,$B107,S$1,$B$1)</f>
        <v>48.443698187493197</v>
      </c>
      <c r="T107" s="55">
        <f>_xll.EQNXTDZ($A$1,$B107,T$1,$B$1)</f>
        <v>75.511953974820997</v>
      </c>
      <c r="U107" s="55">
        <f>_xll.EQNXTDZ($A$1,$B107,U$1,$B$1)</f>
        <v>64.67</v>
      </c>
      <c r="V107" s="55">
        <f>_xll.EQNXTDZ($A$1,$B107,V$1,$B$1)</f>
        <v>56.034999999999997</v>
      </c>
      <c r="W107" s="55">
        <f>_xll.EQNXTDZ($A$1,$B107,W$1,$B$1)</f>
        <v>82.35</v>
      </c>
      <c r="X107" s="55">
        <f>_xll.EQNXTDZ($A$1,$B107,X$1,$B$1)</f>
        <v>153.46</v>
      </c>
      <c r="Y107" s="55">
        <f>_xll.EQNXTDZ($A$1,$B107,Y$1,$B$1)</f>
        <v>138.625</v>
      </c>
      <c r="Z107" s="55">
        <f>_xll.EQNXTDZ($A$1,$B107,Z$1,$B$1)</f>
        <v>159.5</v>
      </c>
      <c r="AA107" s="55">
        <f>_xll.EQNXTDZ($A$1,$B107,AA$1,$B$1)</f>
        <v>184.6</v>
      </c>
      <c r="AB107" s="55">
        <f>_xll.EQNXTDZ($A$1,$B107,AB$1,$B$1)</f>
        <v>216.5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4.7717153824939897</v>
      </c>
      <c r="D108" s="55">
        <f>_xll.EQNXTDZ($A$1,$B108,D$1,$B$1)</f>
        <v>3.7556206951629201</v>
      </c>
      <c r="E108" s="55">
        <f>_xll.EQNXTDZ($A$1,$B108,E$1,$B$1)</f>
        <v>5.4734382328607598</v>
      </c>
      <c r="F108" s="55">
        <f>_xll.EQNXTDZ($A$1,$B108,F$1,$B$1)</f>
        <v>7.0537180918867097</v>
      </c>
      <c r="G108" s="55">
        <f>_xll.EQNXTDZ($A$1,$B108,G$1,$B$1)</f>
        <v>14.584607722022801</v>
      </c>
      <c r="H108" s="55">
        <f>_xll.EQNXTDZ($A$1,$B108,H$1,$B$1)</f>
        <v>27.708228469582</v>
      </c>
      <c r="I108" s="55">
        <f>_xll.EQNXTDZ($A$1,$B108,I$1,$B$1)</f>
        <v>31.733310739285798</v>
      </c>
      <c r="J108" s="55">
        <f>_xll.EQNXTDZ($A$1,$B108,J$1,$B$1)</f>
        <v>35.455248737631102</v>
      </c>
      <c r="K108" s="55">
        <f>_xll.EQNXTDZ($A$1,$B108,K$1,$B$1)</f>
        <v>13.9438199031166</v>
      </c>
      <c r="L108" s="55">
        <f>_xll.EQNXTDZ($A$1,$B108,L$1,$B$1)</f>
        <v>19.369857098077201</v>
      </c>
      <c r="M108" s="55">
        <f>_xll.EQNXTDZ($A$1,$B108,M$1,$B$1)</f>
        <v>42.746120939755798</v>
      </c>
      <c r="N108" s="55">
        <f>_xll.EQNXTDZ($A$1,$B108,N$1,$B$1)</f>
        <v>31.665381242233</v>
      </c>
      <c r="O108" s="55">
        <f>_xll.EQNXTDZ($A$1,$B108,O$1,$B$1)</f>
        <v>28.664149079963298</v>
      </c>
      <c r="P108" s="55">
        <f>_xll.EQNXTDZ($A$1,$B108,P$1,$B$1)</f>
        <v>18.617167127222299</v>
      </c>
      <c r="Q108" s="55">
        <f>_xll.EQNXTDZ($A$1,$B108,Q$1,$B$1)</f>
        <v>29.6597959401448</v>
      </c>
      <c r="R108" s="55">
        <f>_xll.EQNXTDZ($A$1,$B108,R$1,$B$1)</f>
        <v>19.0554423001252</v>
      </c>
      <c r="S108" s="55">
        <f>_xll.EQNXTDZ($A$1,$B108,S$1,$B$1)</f>
        <v>28.335442700286102</v>
      </c>
      <c r="T108" s="55">
        <f>_xll.EQNXTDZ($A$1,$B108,T$1,$B$1)</f>
        <v>40.802465825143003</v>
      </c>
      <c r="U108" s="55">
        <f>_xll.EQNXTDZ($A$1,$B108,U$1,$B$1)</f>
        <v>44.21</v>
      </c>
      <c r="V108" s="55">
        <f>_xll.EQNXTDZ($A$1,$B108,V$1,$B$1)</f>
        <v>25.09</v>
      </c>
      <c r="W108" s="55">
        <f>_xll.EQNXTDZ($A$1,$B108,W$1,$B$1)</f>
        <v>25.105</v>
      </c>
      <c r="X108" s="55">
        <f>_xll.EQNXTDZ($A$1,$B108,X$1,$B$1)</f>
        <v>81.864999999999995</v>
      </c>
      <c r="Y108" s="55">
        <f>_xll.EQNXTDZ($A$1,$B108,Y$1,$B$1)</f>
        <v>82.71</v>
      </c>
      <c r="Z108" s="55">
        <f>_xll.EQNXTDZ($A$1,$B108,Z$1,$B$1)</f>
        <v>103.25</v>
      </c>
      <c r="AA108" s="55">
        <f>_xll.EQNXTDZ($A$1,$B108,AA$1,$B$1)</f>
        <v>122.6</v>
      </c>
      <c r="AB108" s="55">
        <f>_xll.EQNXTDZ($A$1,$B108,AB$1,$B$1)</f>
        <v>124.2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4499.6659499999996</v>
      </c>
      <c r="D109" s="55">
        <f>_xll.EQNXTDZ($A$1,$B109,D$1,$B$1)</f>
        <v>3591.27405</v>
      </c>
      <c r="E109" s="55">
        <f>_xll.EQNXTDZ($A$1,$B109,E$1,$B$1)</f>
        <v>4918.9237499999999</v>
      </c>
      <c r="F109" s="55">
        <f>_xll.EQNXTDZ($A$1,$B109,F$1,$B$1)</f>
        <v>14114.334000000001</v>
      </c>
      <c r="G109" s="55">
        <f>_xll.EQNXTDZ($A$1,$B109,G$1,$B$1)</f>
        <v>22132.4863</v>
      </c>
      <c r="H109" s="55">
        <f>_xll.EQNXTDZ($A$1,$B109,H$1,$B$1)</f>
        <v>29652.191999999999</v>
      </c>
      <c r="I109" s="55">
        <f>_xll.EQNXTDZ($A$1,$B109,I$1,$B$1)</f>
        <v>26067.808000000001</v>
      </c>
      <c r="J109" s="55">
        <f>_xll.EQNXTDZ($A$1,$B109,J$1,$B$1)</f>
        <v>50593.711649999997</v>
      </c>
      <c r="K109" s="55">
        <f>_xll.EQNXTDZ($A$1,$B109,K$1,$B$1)</f>
        <v>15036.352000000001</v>
      </c>
      <c r="L109" s="55">
        <f>_xll.EQNXTDZ($A$1,$B109,L$1,$B$1)</f>
        <v>56086.953099999999</v>
      </c>
      <c r="M109" s="55">
        <f>_xll.EQNXTDZ($A$1,$B109,M$1,$B$1)</f>
        <v>59477.406999999999</v>
      </c>
      <c r="N109" s="55">
        <f>_xll.EQNXTDZ($A$1,$B109,N$1,$B$1)</f>
        <v>45685.718399999998</v>
      </c>
      <c r="O109" s="55">
        <f>_xll.EQNXTDZ($A$1,$B109,O$1,$B$1)</f>
        <v>30330.888299999999</v>
      </c>
      <c r="P109" s="55">
        <f>_xll.EQNXTDZ($A$1,$B109,P$1,$B$1)</f>
        <v>38251.10585</v>
      </c>
      <c r="Q109" s="55">
        <f>_xll.EQNXTDZ($A$1,$B109,Q$1,$B$1)</f>
        <v>30772.788850000001</v>
      </c>
      <c r="R109" s="55">
        <f>_xll.EQNXTDZ($A$1,$B109,R$1,$B$1)</f>
        <v>30992.777999999998</v>
      </c>
      <c r="S109" s="55">
        <f>_xll.EQNXTDZ($A$1,$B109,S$1,$B$1)</f>
        <v>46818.980600000003</v>
      </c>
      <c r="T109" s="55">
        <f>_xll.EQNXTDZ($A$1,$B109,T$1,$B$1)</f>
        <v>65353.777499999997</v>
      </c>
      <c r="U109" s="55">
        <f>_xll.EQNXTDZ($A$1,$B109,U$1,$B$1)</f>
        <v>59623.782899999998</v>
      </c>
      <c r="V109" s="55">
        <f>_xll.EQNXTDZ($A$1,$B109,V$1,$B$1)</f>
        <v>30879.631249999999</v>
      </c>
      <c r="W109" s="55">
        <f>_xll.EQNXTDZ($A$1,$B109,W$1,$B$1)</f>
        <v>97223.704949999999</v>
      </c>
      <c r="X109" s="55">
        <f>_xll.EQNXTDZ($A$1,$B109,X$1,$B$1)</f>
        <v>159592.11205</v>
      </c>
      <c r="Y109" s="55">
        <f>_xll.EQNXTDZ($A$1,$B109,Y$1,$B$1)</f>
        <v>127593.455</v>
      </c>
      <c r="Z109" s="55">
        <f>_xll.EQNXTDZ($A$1,$B109,Z$1,$B$1)</f>
        <v>194436.921</v>
      </c>
      <c r="AA109" s="55">
        <f>_xll.EQNXTDZ($A$1,$B109,AA$1,$B$1)</f>
        <v>192379.0575</v>
      </c>
      <c r="AB109" s="55">
        <f>_xll.EQNXTDZ($A$1,$B109,AB$1,$B$1)</f>
        <v>239211.04199999999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0.28068914014670499</v>
      </c>
      <c r="D110" s="55">
        <f>_xll.EQNXTDZ($A$1,$B110,D$1,$B$1)</f>
        <v>0.22455131211736401</v>
      </c>
      <c r="E110" s="55">
        <f>_xll.EQNXTDZ($A$1,$B110,E$1,$B$1)</f>
        <v>0.44910262423472902</v>
      </c>
      <c r="F110" s="55">
        <f>_xll.EQNXTDZ($A$1,$B110,F$1,$B$1)</f>
        <v>0.56137828029341097</v>
      </c>
      <c r="G110" s="55">
        <f>_xll.EQNXTDZ($A$1,$B110,G$1,$B$1)</f>
        <v>1.09468764657215</v>
      </c>
      <c r="H110" s="55">
        <f>_xll.EQNXTDZ($A$1,$B110,H$1,$B$1)</f>
        <v>1.09468764657215</v>
      </c>
      <c r="I110" s="55">
        <f>_xll.EQNXTDZ($A$1,$B110,I$1,$B$1)</f>
        <v>1.3052045016821801</v>
      </c>
      <c r="J110" s="55">
        <f>_xll.EQNXTDZ($A$1,$B110,J$1,$B$1)</f>
        <v>1.52443538401001</v>
      </c>
      <c r="K110" s="55">
        <f>_xll.EQNXTDZ($A$1,$B110,K$1,$B$1)</f>
        <v>1.52443538401001</v>
      </c>
      <c r="L110" s="55">
        <f>_xll.EQNXTDZ($A$1,$B110,L$1,$B$1)</f>
        <v>0.762217692005007</v>
      </c>
      <c r="M110" s="55">
        <f>_xll.EQNXTDZ($A$1,$B110,M$1,$B$1)</f>
        <v>1.1433265380075099</v>
      </c>
      <c r="N110" s="55">
        <f>_xll.EQNXTDZ($A$1,$B110,N$1,$B$1)</f>
        <v>1.1433265380075099</v>
      </c>
      <c r="O110" s="55">
        <f>_xll.EQNXTDZ($A$1,$B110,O$1,$B$1)</f>
        <v>0.762217692005007</v>
      </c>
      <c r="P110" s="55">
        <f>_xll.EQNXTDZ($A$1,$B110,P$1,$B$1)</f>
        <v>0.95277211500625802</v>
      </c>
      <c r="Q110" s="55">
        <f>_xll.EQNXTDZ($A$1,$B110,Q$1,$B$1)</f>
        <v>0.762217692005007</v>
      </c>
      <c r="R110" s="55">
        <f>_xll.EQNXTDZ($A$1,$B110,R$1,$B$1)</f>
        <v>0.762217692005007</v>
      </c>
      <c r="S110" s="55">
        <f>_xll.EQNXTDZ($A$1,$B110,S$1,$B$1)</f>
        <v>0.95277211500625802</v>
      </c>
      <c r="T110" s="55">
        <f>_xll.EQNXTDZ($A$1,$B110,T$1,$B$1)</f>
        <v>1</v>
      </c>
      <c r="U110" s="55">
        <f>_xll.EQNXTDZ($A$1,$B110,U$1,$B$1)</f>
        <v>1.3</v>
      </c>
      <c r="V110" s="55">
        <f>_xll.EQNXTDZ($A$1,$B110,V$1,$B$1)</f>
        <v>1</v>
      </c>
      <c r="W110" s="55">
        <f>_xll.EQNXTDZ($A$1,$B110,W$1,$B$1)</f>
        <v>2.5</v>
      </c>
      <c r="X110" s="55">
        <f>_xll.EQNXTDZ($A$1,$B110,X$1,$B$1)</f>
        <v>5.0999999999999996</v>
      </c>
      <c r="Y110" s="55">
        <f>_xll.EQNXTDZ($A$1,$B110,Y$1,$B$1)</f>
        <v>3.6</v>
      </c>
      <c r="Z110" s="55">
        <f>_xll.EQNXTDZ($A$1,$B110,Z$1,$B$1)</f>
        <v>3.6</v>
      </c>
      <c r="AA110" s="55">
        <f>_xll.EQNXTDZ($A$1,$B110,AA$1,$B$1)</f>
        <v>3.6</v>
      </c>
      <c r="AB110" s="55">
        <f>_xll.EQNXTDZ($A$1,$B110,AB$1,$B$1)</f>
        <v>4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200103</v>
      </c>
      <c r="D111" s="56">
        <f>_xll.EQNXTDZ($A$1,$B111,D$5)</f>
        <v>200203</v>
      </c>
      <c r="E111" s="56">
        <f>_xll.EQNXTDZ($A$1,$B111,E$5)</f>
        <v>200303</v>
      </c>
      <c r="F111" s="56">
        <f>_xll.EQNXTDZ($A$1,$B111,F$5)</f>
        <v>200403</v>
      </c>
      <c r="G111" s="56">
        <f>_xll.EQNXTDZ($A$1,$B111,G$5)</f>
        <v>200503</v>
      </c>
      <c r="H111" s="56">
        <f>_xll.EQNXTDZ($A$1,$B111,H$5)</f>
        <v>200603</v>
      </c>
      <c r="I111" s="56">
        <f>_xll.EQNXTDZ($A$1,$B111,I$5)</f>
        <v>200703</v>
      </c>
      <c r="J111" s="56">
        <f>_xll.EQNXTDZ($A$1,$B111,J$5)</f>
        <v>200803</v>
      </c>
      <c r="K111" s="56">
        <f>_xll.EQNXTDZ($A$1,$B111,K$5)</f>
        <v>200903</v>
      </c>
      <c r="L111" s="56">
        <f>_xll.EQNXTDZ($A$1,$B111,L$5)</f>
        <v>201003</v>
      </c>
      <c r="M111" s="56">
        <f>_xll.EQNXTDZ($A$1,$B111,M$5)</f>
        <v>201103</v>
      </c>
      <c r="N111" s="56">
        <f>_xll.EQNXTDZ($A$1,$B111,N$5)</f>
        <v>201203</v>
      </c>
      <c r="O111" s="56">
        <f>_xll.EQNXTDZ($A$1,$B111,O$5)</f>
        <v>201303</v>
      </c>
      <c r="P111" s="56">
        <f>_xll.EQNXTDZ($A$1,$B111,P$5)</f>
        <v>201403</v>
      </c>
      <c r="Q111" s="56">
        <f>_xll.EQNXTDZ($A$1,$B111,Q$5)</f>
        <v>201503</v>
      </c>
      <c r="R111" s="56">
        <f>_xll.EQNXTDZ($A$1,$B111,R$5)</f>
        <v>201603</v>
      </c>
      <c r="S111" s="56">
        <f>_xll.EQNXTDZ($A$1,$B111,S$5)</f>
        <v>201703</v>
      </c>
      <c r="T111" s="56">
        <f>_xll.EQNXTDZ($A$1,$B111,T$5)</f>
        <v>201803</v>
      </c>
      <c r="U111" s="56">
        <f>_xll.EQNXTDZ($A$1,$B111,U$5)</f>
        <v>201903</v>
      </c>
      <c r="V111" s="56">
        <f>_xll.EQNXTDZ($A$1,$B111,V$5)</f>
        <v>202003</v>
      </c>
      <c r="W111" s="56">
        <f>_xll.EQNXTDZ($A$1,$B111,W$5)</f>
        <v>202103</v>
      </c>
      <c r="X111" s="56">
        <f>_xll.EQNXTDZ($A$1,$B111,X$5)</f>
        <v>202203</v>
      </c>
      <c r="Y111" s="56">
        <f>_xll.EQNXTDZ($A$1,$B111,Y$5)</f>
        <v>202303</v>
      </c>
      <c r="Z111" s="56">
        <f>_xll.EQNXTDZ($A$1,$B111,Z$5)</f>
        <v>202403</v>
      </c>
      <c r="AA111" s="56">
        <f>_xll.EQNXTDZ($A$1,$B111,AA$5)</f>
        <v>202503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26.22</v>
      </c>
      <c r="D112" s="56">
        <f>_xll.EQNXTDZ($A$1,$B112,D$5)</f>
        <v>26.41</v>
      </c>
      <c r="E112" s="56">
        <f>_xll.EQNXTDZ($A$1,$B112,E$5)</f>
        <v>26.41</v>
      </c>
      <c r="F112" s="56">
        <f>_xll.EQNXTDZ($A$1,$B112,F$5)</f>
        <v>26.29</v>
      </c>
      <c r="G112" s="56">
        <f>_xll.EQNXTDZ($A$1,$B112,G$5)</f>
        <v>26.56</v>
      </c>
      <c r="H112" s="56">
        <f>_xll.EQNXTDZ($A$1,$B112,H$5)</f>
        <v>26.79</v>
      </c>
      <c r="I112" s="56">
        <f>_xll.EQNXTDZ($A$1,$B112,I$5)</f>
        <v>30.52</v>
      </c>
      <c r="J112" s="56">
        <f>_xll.EQNXTDZ($A$1,$B112,J$5)</f>
        <v>33.94</v>
      </c>
      <c r="K112" s="56">
        <f>_xll.EQNXTDZ($A$1,$B112,K$5)</f>
        <v>33.950000000000003</v>
      </c>
      <c r="L112" s="56">
        <f>_xll.EQNXTDZ($A$1,$B112,L$5)</f>
        <v>31.32</v>
      </c>
      <c r="M112" s="56">
        <f>_xll.EQNXTDZ($A$1,$B112,M$5)</f>
        <v>30.6</v>
      </c>
      <c r="N112" s="56">
        <f>_xll.EQNXTDZ($A$1,$B112,N$5)</f>
        <v>31.35</v>
      </c>
      <c r="O112" s="56">
        <f>_xll.EQNXTDZ($A$1,$B112,O$5)</f>
        <v>31.35</v>
      </c>
      <c r="P112" s="56">
        <f>_xll.EQNXTDZ($A$1,$B112,P$5)</f>
        <v>31.35</v>
      </c>
      <c r="Q112" s="56">
        <f>_xll.EQNXTDZ($A$1,$B112,Q$5)</f>
        <v>31.35</v>
      </c>
      <c r="R112" s="56">
        <f>_xll.EQNXTDZ($A$1,$B112,R$5)</f>
        <v>31.35</v>
      </c>
      <c r="S112" s="56">
        <f>_xll.EQNXTDZ($A$1,$B112,S$5)</f>
        <v>31.35</v>
      </c>
      <c r="T112" s="56">
        <f>_xll.EQNXTDZ($A$1,$B112,T$5)</f>
        <v>33.21</v>
      </c>
      <c r="U112" s="56">
        <f>_xll.EQNXTDZ($A$1,$B112,U$5)</f>
        <v>33.119999999999997</v>
      </c>
      <c r="V112" s="56">
        <f>_xll.EQNXTDZ($A$1,$B112,V$5)</f>
        <v>34.409999999999997</v>
      </c>
      <c r="W112" s="56">
        <f>_xll.EQNXTDZ($A$1,$B112,W$5)</f>
        <v>34.409999999999997</v>
      </c>
      <c r="X112" s="56">
        <f>_xll.EQNXTDZ($A$1,$B112,X$5)</f>
        <v>33.92</v>
      </c>
      <c r="Y112" s="56">
        <f>_xll.EQNXTDZ($A$1,$B112,Y$5)</f>
        <v>33.9</v>
      </c>
      <c r="Z112" s="56">
        <f>_xll.EQNXTDZ($A$1,$B112,Z$5)</f>
        <v>33.19</v>
      </c>
      <c r="AA112" s="56">
        <f>_xll.EQNXTDZ($A$1,$B112,AA$5)</f>
        <v>33.19</v>
      </c>
      <c r="AB112" s="56">
        <f>_xll.EQNXTDZ($A$1,$B112,AB$5)</f>
        <v>33.19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39.869999999999997</v>
      </c>
      <c r="L113" s="56">
        <f>_xll.EQNXTDZ($A$1,$B113,L$5)</f>
        <v>35.06</v>
      </c>
      <c r="M113" s="56">
        <f>_xll.EQNXTDZ($A$1,$B113,M$5)</f>
        <v>0</v>
      </c>
      <c r="N113" s="56">
        <f>_xll.EQNXTDZ($A$1,$B113,N$5)</f>
        <v>3.28</v>
      </c>
      <c r="O113" s="56">
        <f>_xll.EQNXTDZ($A$1,$B113,O$5)</f>
        <v>6.57</v>
      </c>
      <c r="P113" s="56">
        <f>_xll.EQNXTDZ($A$1,$B113,P$5)</f>
        <v>7.36</v>
      </c>
      <c r="Q113" s="56">
        <f>_xll.EQNXTDZ($A$1,$B113,Q$5)</f>
        <v>9</v>
      </c>
      <c r="R113" s="56">
        <f>_xll.EQNXTDZ($A$1,$B113,R$5)</f>
        <v>9</v>
      </c>
      <c r="S113" s="56">
        <f>_xll.EQNXTDZ($A$1,$B113,S$5)</f>
        <v>5.71</v>
      </c>
      <c r="T113" s="56">
        <f>_xll.EQNXTDZ($A$1,$B113,T$5)</f>
        <v>3.5</v>
      </c>
      <c r="U113" s="56">
        <f>_xll.EQNXTDZ($A$1,$B113,U$5)</f>
        <v>3.51</v>
      </c>
      <c r="V113" s="56">
        <f>_xll.EQNXTDZ($A$1,$B113,V$5)</f>
        <v>3.37</v>
      </c>
      <c r="W113" s="56">
        <f>_xll.EQNXTDZ($A$1,$B113,W$5)</f>
        <v>1.55</v>
      </c>
      <c r="X113" s="56">
        <f>_xll.EQNXTDZ($A$1,$B113,X$5)</f>
        <v>1.55</v>
      </c>
      <c r="Y113" s="56">
        <f>_xll.EQNXTDZ($A$1,$B113,Y$5)</f>
        <v>1.55</v>
      </c>
      <c r="Z113" s="56">
        <f>_xll.EQNXTDZ($A$1,$B113,Z$5)</f>
        <v>0</v>
      </c>
      <c r="AA113" s="56">
        <f>_xll.EQNXTDZ($A$1,$B113,AA$5)</f>
        <v>0</v>
      </c>
      <c r="AB113" s="56">
        <f>_xll.EQNXTDZ($A$1,$B113,AB$5)</f>
        <v>0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100470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201206</v>
      </c>
      <c r="D5" cm="1">
        <f t="array" ref="D5">_xll.EQNXTDZ($A$1,$B5,D$1)</f>
        <v>201207</v>
      </c>
      <c r="E5" cm="1">
        <f t="array" ref="E5">_xll.EQNXTDZ($A$1,$B5,E$1)</f>
        <v>201208</v>
      </c>
      <c r="F5" cm="1">
        <f t="array" ref="F5">_xll.EQNXTDZ($A$1,$B5,F$1)</f>
        <v>201209</v>
      </c>
      <c r="G5" cm="1">
        <f t="array" ref="G5">_xll.EQNXTDZ($A$1,$B5,G$1)</f>
        <v>201210</v>
      </c>
      <c r="H5" cm="1">
        <f t="array" ref="H5">_xll.EQNXTDZ($A$1,$B5,H$1)</f>
        <v>201211</v>
      </c>
      <c r="I5" cm="1">
        <f t="array" ref="I5">_xll.EQNXTDZ($A$1,$B5,I$1)</f>
        <v>201212</v>
      </c>
      <c r="J5" cm="1">
        <f t="array" ref="J5">_xll.EQNXTDZ($A$1,$B5,J$1)</f>
        <v>201301</v>
      </c>
      <c r="K5" cm="1">
        <f t="array" ref="K5">_xll.EQNXTDZ($A$1,$B5,K$1)</f>
        <v>201302</v>
      </c>
      <c r="L5" cm="1">
        <f t="array" ref="L5">_xll.EQNXTDZ($A$1,$B5,L$1)</f>
        <v>201303</v>
      </c>
      <c r="M5" cm="1">
        <f t="array" ref="M5">_xll.EQNXTDZ($A$1,$B5,M$1)</f>
        <v>201304</v>
      </c>
      <c r="N5" cm="1">
        <f t="array" ref="N5">_xll.EQNXTDZ($A$1,$B5,N$1)</f>
        <v>201305</v>
      </c>
      <c r="O5" cm="1">
        <f t="array" ref="O5">_xll.EQNXTDZ($A$1,$B5,O$1)</f>
        <v>201306</v>
      </c>
      <c r="P5" cm="1">
        <f t="array" ref="P5">_xll.EQNXTDZ($A$1,$B5,P$1)</f>
        <v>201307</v>
      </c>
      <c r="Q5" cm="1">
        <f t="array" ref="Q5">_xll.EQNXTDZ($A$1,$B5,Q$1)</f>
        <v>201308</v>
      </c>
      <c r="R5" cm="1">
        <f t="array" ref="R5">_xll.EQNXTDZ($A$1,$B5,R$1)</f>
        <v>201309</v>
      </c>
      <c r="S5" cm="1">
        <f t="array" ref="S5">_xll.EQNXTDZ($A$1,$B5,S$1)</f>
        <v>201310</v>
      </c>
      <c r="T5" cm="1">
        <f t="array" ref="T5">_xll.EQNXTDZ($A$1,$B5,T$1)</f>
        <v>201311</v>
      </c>
      <c r="U5" cm="1">
        <f t="array" ref="U5">_xll.EQNXTDZ($A$1,$B5,U$1)</f>
        <v>201312</v>
      </c>
      <c r="V5" cm="1">
        <f t="array" ref="V5">_xll.EQNXTDZ($A$1,$B5,V$1)</f>
        <v>201401</v>
      </c>
      <c r="W5" cm="1">
        <f t="array" ref="W5">_xll.EQNXTDZ($A$1,$B5,W$1)</f>
        <v>201402</v>
      </c>
      <c r="X5" cm="1">
        <f t="array" ref="X5">_xll.EQNXTDZ($A$1,$B5,X$1)</f>
        <v>201403</v>
      </c>
      <c r="Y5" cm="1">
        <f t="array" ref="Y5">_xll.EQNXTDZ($A$1,$B5,Y$1)</f>
        <v>201404</v>
      </c>
      <c r="Z5" cm="1">
        <f t="array" ref="Z5">_xll.EQNXTDZ($A$1,$B5,Z$1)</f>
        <v>201405</v>
      </c>
      <c r="AA5" cm="1">
        <f t="array" ref="AA5">_xll.EQNXTDZ($A$1,$B5,AA$1)</f>
        <v>201406</v>
      </c>
      <c r="AB5" cm="1">
        <f t="array" ref="AB5">_xll.EQNXTDZ($A$1,$B5,AB$1)</f>
        <v>201407</v>
      </c>
      <c r="AC5" cm="1">
        <f t="array" ref="AC5">_xll.EQNXTDZ($A$1,$B5,AC$1)</f>
        <v>201408</v>
      </c>
      <c r="AD5" cm="1">
        <f t="array" ref="AD5">_xll.EQNXTDZ($A$1,$B5,AD$1)</f>
        <v>201409</v>
      </c>
      <c r="AE5" cm="1">
        <f t="array" ref="AE5">_xll.EQNXTDZ($A$1,$B5,AE$1)</f>
        <v>201410</v>
      </c>
      <c r="AF5" cm="1">
        <f t="array" ref="AF5">_xll.EQNXTDZ($A$1,$B5,AF$1)</f>
        <v>201411</v>
      </c>
      <c r="AG5" cm="1">
        <f t="array" ref="AG5">_xll.EQNXTDZ($A$1,$B5,AG$1)</f>
        <v>201412</v>
      </c>
      <c r="AH5" cm="1">
        <f t="array" ref="AH5">_xll.EQNXTDZ($A$1,$B5,AH$1)</f>
        <v>201501</v>
      </c>
      <c r="AI5" cm="1">
        <f t="array" ref="AI5">_xll.EQNXTDZ($A$1,$B5,AI$1)</f>
        <v>201502</v>
      </c>
      <c r="AJ5" cm="1">
        <f t="array" ref="AJ5">_xll.EQNXTDZ($A$1,$B5,AJ$1)</f>
        <v>201503</v>
      </c>
      <c r="AK5" cm="1">
        <f t="array" ref="AK5">_xll.EQNXTDZ($A$1,$B5,AK$1)</f>
        <v>201504</v>
      </c>
      <c r="AL5" cm="1">
        <f t="array" ref="AL5">_xll.EQNXTDZ($A$1,$B5,AL$1)</f>
        <v>201505</v>
      </c>
      <c r="AM5" cm="1">
        <f t="array" ref="AM5">_xll.EQNXTDZ($A$1,$B5,AM$1)</f>
        <v>201506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38.490576520079202</v>
      </c>
      <c r="D6" cm="1">
        <f t="array" ref="D6">_xll.EQNXTDZ($A$1,$B6,D$1)</f>
        <v>42.301524690384099</v>
      </c>
      <c r="E6" cm="1">
        <f t="array" ref="E6">_xll.EQNXTDZ($A$1,$B6,E$1)</f>
        <v>39.538587266912998</v>
      </c>
      <c r="F6" cm="1">
        <f t="array" ref="F6">_xll.EQNXTDZ($A$1,$B6,F$1)</f>
        <v>34.693919405412998</v>
      </c>
      <c r="G6" cm="1">
        <f t="array" ref="G6">_xll.EQNXTDZ($A$1,$B6,G$1)</f>
        <v>38.2905017411382</v>
      </c>
      <c r="H6" cm="1">
        <f t="array" ref="H6">_xll.EQNXTDZ($A$1,$B6,H$1)</f>
        <v>37.442565773245398</v>
      </c>
      <c r="I6" cm="1">
        <f t="array" ref="I6">_xll.EQNXTDZ($A$1,$B6,I$1)</f>
        <v>36.966197251957198</v>
      </c>
      <c r="J6" cm="1">
        <f t="array" ref="J6">_xll.EQNXTDZ($A$1,$B6,J$1)</f>
        <v>41.148712868866802</v>
      </c>
      <c r="K6" cm="1">
        <f t="array" ref="K6">_xll.EQNXTDZ($A$1,$B6,K$1)</f>
        <v>38.738288151149</v>
      </c>
      <c r="L6" cm="1">
        <f t="array" ref="L6">_xll.EQNXTDZ($A$1,$B6,L$1)</f>
        <v>32.564552115255097</v>
      </c>
      <c r="M6" cm="1">
        <f t="array" ref="M6">_xll.EQNXTDZ($A$1,$B6,M$1)</f>
        <v>29.982634729873599</v>
      </c>
      <c r="N6" cm="1">
        <f t="array" ref="N6">_xll.EQNXTDZ($A$1,$B6,N$1)</f>
        <v>28.963206094317002</v>
      </c>
      <c r="O6" cm="1">
        <f t="array" ref="O6">_xll.EQNXTDZ($A$1,$B6,O$1)</f>
        <v>27.962832199611999</v>
      </c>
      <c r="P6" cm="1">
        <f t="array" ref="P6">_xll.EQNXTDZ($A$1,$B6,P$1)</f>
        <v>25.9239749284989</v>
      </c>
      <c r="Q6" cm="1">
        <f t="array" ref="Q6">_xll.EQNXTDZ($A$1,$B6,Q$1)</f>
        <v>20.6982122499683</v>
      </c>
      <c r="R6" cm="1">
        <f t="array" ref="R6">_xll.EQNXTDZ($A$1,$B6,R$1)</f>
        <v>26.205032356058901</v>
      </c>
      <c r="S6" cm="1">
        <f t="array" ref="S6">_xll.EQNXTDZ($A$1,$B6,S$1)</f>
        <v>26.128813392652798</v>
      </c>
      <c r="T6" cm="1">
        <f t="array" ref="T6">_xll.EQNXTDZ($A$1,$B6,T$1)</f>
        <v>31.9166909263033</v>
      </c>
      <c r="U6" cm="1">
        <f t="array" ref="U6">_xll.EQNXTDZ($A$1,$B6,U$1)</f>
        <v>38.119009073474501</v>
      </c>
      <c r="V6" cm="1">
        <f t="array" ref="V6">_xll.EQNXTDZ($A$1,$B6,V$1)</f>
        <v>40.491324309489301</v>
      </c>
      <c r="W6" cm="1">
        <f t="array" ref="W6">_xll.EQNXTDZ($A$1,$B6,W$1)</f>
        <v>33.812637641030001</v>
      </c>
      <c r="X6" cm="1">
        <f t="array" ref="X6">_xll.EQNXTDZ($A$1,$B6,X$1)</f>
        <v>32.774154264621899</v>
      </c>
      <c r="Y6" cm="1">
        <f t="array" ref="Y6">_xll.EQNXTDZ($A$1,$B6,Y$1)</f>
        <v>37.7283868860182</v>
      </c>
      <c r="Z6" cm="1">
        <f t="array" ref="Z6">_xll.EQNXTDZ($A$1,$B6,Z$1)</f>
        <v>38.395302815821601</v>
      </c>
      <c r="AA6" cm="1">
        <f t="array" ref="AA6">_xll.EQNXTDZ($A$1,$B6,AA$1)</f>
        <v>45.3312284857764</v>
      </c>
      <c r="AB6" cm="1">
        <f t="array" ref="AB6">_xll.EQNXTDZ($A$1,$B6,AB$1)</f>
        <v>50.495063256539503</v>
      </c>
      <c r="AC6" cm="1">
        <f t="array" ref="AC6">_xll.EQNXTDZ($A$1,$B6,AC$1)</f>
        <v>52.209989933176701</v>
      </c>
      <c r="AD6" cm="1">
        <f t="array" ref="AD6">_xll.EQNXTDZ($A$1,$B6,AD$1)</f>
        <v>49.242214045551798</v>
      </c>
      <c r="AE6" cm="1">
        <f t="array" ref="AE6">_xll.EQNXTDZ($A$1,$B6,AE$1)</f>
        <v>43.397172289346699</v>
      </c>
      <c r="AF6" cm="1">
        <f t="array" ref="AF6">_xll.EQNXTDZ($A$1,$B6,AF$1)</f>
        <v>46.874662494749899</v>
      </c>
      <c r="AG6" cm="1">
        <f t="array" ref="AG6">_xll.EQNXTDZ($A$1,$B6,AG$1)</f>
        <v>45.255009522370301</v>
      </c>
      <c r="AH6" cm="1">
        <f t="array" ref="AH6">_xll.EQNXTDZ($A$1,$B6,AH$1)</f>
        <v>37.833187960701601</v>
      </c>
      <c r="AI6" cm="1">
        <f t="array" ref="AI6">_xll.EQNXTDZ($A$1,$B6,AI$1)</f>
        <v>37.147217290046697</v>
      </c>
      <c r="AJ6" cm="1">
        <f t="array" ref="AJ6">_xll.EQNXTDZ($A$1,$B6,AJ$1)</f>
        <v>34.050821901673999</v>
      </c>
      <c r="AK6" cm="1">
        <f t="array" ref="AK6">_xll.EQNXTDZ($A$1,$B6,AK$1)</f>
        <v>30.201764249666098</v>
      </c>
      <c r="AL6" cm="1">
        <f t="array" ref="AL6">_xll.EQNXTDZ($A$1,$B6,AL$1)</f>
        <v>34.4462077743432</v>
      </c>
      <c r="AM6" cm="1">
        <f t="array" ref="AM6">_xll.EQNXTDZ($A$1,$B6,AM$1)</f>
        <v>31.435558719802302</v>
      </c>
      <c r="AN6" cm="1">
        <f t="array" ref="AN6">_xll.EQNXTDZ($A$1,$B6,AN$1)</f>
        <v>29.058479798574599</v>
      </c>
      <c r="AO6" cm="1">
        <f t="array" ref="AO6">_xll.EQNXTDZ($A$1,$B6,AO$1)</f>
        <v>23.523077581206799</v>
      </c>
      <c r="AP6" cm="1">
        <f t="array" ref="AP6">_xll.EQNXTDZ($A$1,$B6,AP$1)</f>
        <v>21.150762345192</v>
      </c>
      <c r="AQ6" cm="1">
        <f t="array" ref="AQ6">_xll.EQNXTDZ($A$1,$B6,AQ$1)</f>
        <v>20.483846415388701</v>
      </c>
      <c r="AR6" cm="1">
        <f t="array" ref="AR6">_xll.EQNXTDZ($A$1,$B6,AR$1)</f>
        <v>23.484968099503799</v>
      </c>
      <c r="AS6" cm="1">
        <f t="array" ref="AS6">_xll.EQNXTDZ($A$1,$B6,AS$1)</f>
        <v>21.989170942659101</v>
      </c>
      <c r="AT6" cm="1">
        <f t="array" ref="AT6">_xll.EQNXTDZ($A$1,$B6,AT$1)</f>
        <v>24.675889402724</v>
      </c>
      <c r="AU6" cm="1">
        <f t="array" ref="AU6">_xll.EQNXTDZ($A$1,$B6,AU$1)</f>
        <v>23.713624989722099</v>
      </c>
      <c r="AV6" cm="1">
        <f t="array" ref="AV6">_xll.EQNXTDZ($A$1,$B6,AV$1)</f>
        <v>23.818426064405401</v>
      </c>
      <c r="AW6" cm="1">
        <f t="array" ref="AW6">_xll.EQNXTDZ($A$1,$B6,AW$1)</f>
        <v>30.263692157433599</v>
      </c>
      <c r="AX6" cm="1">
        <f t="array" ref="AX6">_xll.EQNXTDZ($A$1,$B6,AX$1)</f>
        <v>33.25052278591</v>
      </c>
      <c r="AY6" cm="1">
        <f t="array" ref="AY6">_xll.EQNXTDZ($A$1,$B6,AY$1)</f>
        <v>32.002437260135203</v>
      </c>
      <c r="AZ6" cm="1">
        <f t="array" ref="AZ6">_xll.EQNXTDZ($A$1,$B6,AZ$1)</f>
        <v>31.106864440113501</v>
      </c>
      <c r="BA6" cm="1">
        <f t="array" ref="BA6">_xll.EQNXTDZ($A$1,$B6,BA$1)</f>
        <v>33.931729771352003</v>
      </c>
      <c r="BB6" cm="1">
        <f t="array" ref="BB6">_xll.EQNXTDZ($A$1,$B6,BB$1)</f>
        <v>35.375126390855002</v>
      </c>
      <c r="BC6" cm="1">
        <f t="array" ref="BC6">_xll.EQNXTDZ($A$1,$B6,BC$1)</f>
        <v>35.908659134697601</v>
      </c>
      <c r="BD6" cm="1">
        <f t="array" ref="BD6">_xll.EQNXTDZ($A$1,$B6,BD$1)</f>
        <v>38.571559168698201</v>
      </c>
      <c r="BE6" cm="1">
        <f t="array" ref="BE6">_xll.EQNXTDZ($A$1,$B6,BE$1)</f>
        <v>39.762480471918401</v>
      </c>
      <c r="BF6" cm="1">
        <f t="array" ref="BF6">_xll.EQNXTDZ($A$1,$B6,BF$1)</f>
        <v>37.485438940161302</v>
      </c>
      <c r="BG6" cm="1">
        <f t="array" ref="BG6">_xll.EQNXTDZ($A$1,$B6,BG$1)</f>
        <v>44.211762460749398</v>
      </c>
      <c r="BH6" cm="1">
        <f t="array" ref="BH6">_xll.EQNXTDZ($A$1,$B6,BH$1)</f>
        <v>46.207746564946603</v>
      </c>
      <c r="BI6" cm="1">
        <f t="array" ref="BI6">_xll.EQNXTDZ($A$1,$B6,BI$1)</f>
        <v>46.303020269204197</v>
      </c>
      <c r="BJ6" cm="1">
        <f t="array" ref="BJ6">_xll.EQNXTDZ($A$1,$B6,BJ$1)</f>
        <v>42.968440620187401</v>
      </c>
      <c r="BK6" cm="1">
        <f t="array" ref="BK6">_xll.EQNXTDZ($A$1,$B6,BK$1)</f>
        <v>48.0846385388217</v>
      </c>
      <c r="BL6" cm="1">
        <f t="array" ref="BL6">_xll.EQNXTDZ($A$1,$B6,BL$1)</f>
        <v>51.971805672532703</v>
      </c>
      <c r="BM6" cm="1">
        <f t="array" ref="BM6">_xll.EQNXTDZ($A$1,$B6,BM$1)</f>
        <v>54.277429315567097</v>
      </c>
      <c r="BN6" cm="1">
        <f t="array" ref="BN6">_xll.EQNXTDZ($A$1,$B6,BN$1)</f>
        <v>60.970407039665098</v>
      </c>
      <c r="BO6" cm="1">
        <f t="array" ref="BO6">_xll.EQNXTDZ($A$1,$B6,BO$1)</f>
        <v>62.547186845128699</v>
      </c>
      <c r="BP6" cm="1">
        <f t="array" ref="BP6">_xll.EQNXTDZ($A$1,$B6,BP$1)</f>
        <v>67.982551673025995</v>
      </c>
      <c r="BQ6" cm="1">
        <f t="array" ref="BQ6">_xll.EQNXTDZ($A$1,$B6,BQ$1)</f>
        <v>66.205697088621406</v>
      </c>
      <c r="BR6" cm="1">
        <f t="array" ref="BR6">_xll.EQNXTDZ($A$1,$B6,BR$1)</f>
        <v>69.7879883687079</v>
      </c>
      <c r="BS6" cm="1">
        <f t="array" ref="BS6">_xll.EQNXTDZ($A$1,$B6,BS$1)</f>
        <v>70.8</v>
      </c>
      <c r="BT6" cm="1">
        <f t="array" ref="BT6">_xll.EQNXTDZ($A$1,$B6,BT$1)</f>
        <v>67.135000000000005</v>
      </c>
      <c r="BU6" cm="1">
        <f t="array" ref="BU6">_xll.EQNXTDZ($A$1,$B6,BU$1)</f>
        <v>57.31</v>
      </c>
      <c r="BV6" cm="1">
        <f t="array" ref="BV6">_xll.EQNXTDZ($A$1,$B6,BV$1)</f>
        <v>59.71</v>
      </c>
      <c r="BW6" cm="1">
        <f t="array" ref="BW6">_xll.EQNXTDZ($A$1,$B6,BW$1)</f>
        <v>57</v>
      </c>
      <c r="BX6" cm="1">
        <f t="array" ref="BX6">_xll.EQNXTDZ($A$1,$B6,BX$1)</f>
        <v>57.594999999999999</v>
      </c>
      <c r="BY6" cm="1">
        <f t="array" ref="BY6">_xll.EQNXTDZ($A$1,$B6,BY$1)</f>
        <v>56.284999999999997</v>
      </c>
      <c r="BZ6" cm="1">
        <f t="array" ref="BZ6">_xll.EQNXTDZ($A$1,$B6,BZ$1)</f>
        <v>60.3</v>
      </c>
      <c r="CA6" cm="1">
        <f t="array" ref="CA6">_xll.EQNXTDZ($A$1,$B6,CA$1)</f>
        <v>58</v>
      </c>
      <c r="CB6" cm="1">
        <f t="array" ref="CB6">_xll.EQNXTDZ($A$1,$B6,CB$1)</f>
        <v>55.58</v>
      </c>
      <c r="CC6" cm="1">
        <f t="array" ref="CC6">_xll.EQNXTDZ($A$1,$B6,CC$1)</f>
        <v>54.12</v>
      </c>
      <c r="CD6" cm="1">
        <f t="array" ref="CD6">_xll.EQNXTDZ($A$1,$B6,CD$1)</f>
        <v>52.4</v>
      </c>
      <c r="CE6" cm="1">
        <f t="array" ref="CE6">_xll.EQNXTDZ($A$1,$B6,CE$1)</f>
        <v>47.7</v>
      </c>
      <c r="CF6" cm="1">
        <f t="array" ref="CF6">_xll.EQNXTDZ($A$1,$B6,CF$1)</f>
        <v>50.35</v>
      </c>
      <c r="CG6" cm="1">
        <f t="array" ref="CG6">_xll.EQNXTDZ($A$1,$B6,CG$1)</f>
        <v>53</v>
      </c>
      <c r="CH6" cm="1">
        <f t="array" ref="CH6">_xll.EQNXTDZ($A$1,$B6,CH$1)</f>
        <v>55.41</v>
      </c>
      <c r="CI6" cm="1">
        <f t="array" ref="CI6">_xll.EQNXTDZ($A$1,$B6,CI$1)</f>
        <v>48.895000000000003</v>
      </c>
      <c r="CJ6" cm="1">
        <f t="array" ref="CJ6">_xll.EQNXTDZ($A$1,$B6,CJ$1)</f>
        <v>50.984999999999999</v>
      </c>
      <c r="CK6" cm="1">
        <f t="array" ref="CK6">_xll.EQNXTDZ($A$1,$B6,CK$1)</f>
        <v>42.75</v>
      </c>
      <c r="CL6" cm="1">
        <f t="array" ref="CL6">_xll.EQNXTDZ($A$1,$B6,CL$1)</f>
        <v>34.1</v>
      </c>
      <c r="CM6" cm="1">
        <f t="array" ref="CM6">_xll.EQNXTDZ($A$1,$B6,CM$1)</f>
        <v>36.200000000000003</v>
      </c>
      <c r="CN6" cm="1">
        <f t="array" ref="CN6">_xll.EQNXTDZ($A$1,$B6,CN$1)</f>
        <v>38.005000000000003</v>
      </c>
      <c r="CO6" cm="1">
        <f t="array" ref="CO6">_xll.EQNXTDZ($A$1,$B6,CO$1)</f>
        <v>42.494999999999997</v>
      </c>
      <c r="CP6" cm="1">
        <f t="array" ref="CP6">_xll.EQNXTDZ($A$1,$B6,CP$1)</f>
        <v>47.3</v>
      </c>
      <c r="CQ6" cm="1">
        <f t="array" ref="CQ6">_xll.EQNXTDZ($A$1,$B6,CQ$1)</f>
        <v>43.15</v>
      </c>
      <c r="CR6" cm="1">
        <f t="array" ref="CR6">_xll.EQNXTDZ($A$1,$B6,CR$1)</f>
        <v>39.369999999999997</v>
      </c>
      <c r="CS6" cm="1">
        <f t="array" ref="CS6">_xll.EQNXTDZ($A$1,$B6,CS$1)</f>
        <v>26.6</v>
      </c>
      <c r="CT6" cm="1">
        <f t="array" ref="CT6">_xll.EQNXTDZ($A$1,$B6,CT$1)</f>
        <v>28.5</v>
      </c>
      <c r="CU6" cm="1">
        <f t="array" ref="CU6">_xll.EQNXTDZ($A$1,$B6,CU$1)</f>
        <v>30.2</v>
      </c>
      <c r="CV6" cm="1">
        <f t="array" ref="CV6">_xll.EQNXTDZ($A$1,$B6,CV$1)</f>
        <v>32.9</v>
      </c>
      <c r="CW6" cm="1">
        <f t="array" ref="CW6">_xll.EQNXTDZ($A$1,$B6,CW$1)</f>
        <v>36.475000000000001</v>
      </c>
      <c r="CX6" cm="1">
        <f t="array" ref="CX6">_xll.EQNXTDZ($A$1,$B6,CX$1)</f>
        <v>41.39</v>
      </c>
      <c r="CY6" cm="1">
        <f t="array" ref="CY6">_xll.EQNXTDZ($A$1,$B6,CY$1)</f>
        <v>36.43</v>
      </c>
      <c r="CZ6" cm="1">
        <f t="array" ref="CZ6">_xll.EQNXTDZ($A$1,$B6,CZ$1)</f>
        <v>41</v>
      </c>
      <c r="DA6" cm="1">
        <f t="array" ref="DA6">_xll.EQNXTDZ($A$1,$B6,DA$1)</f>
        <v>59.2</v>
      </c>
      <c r="DB6" cm="1">
        <f t="array" ref="DB6">_xll.EQNXTDZ($A$1,$B6,DB$1)</f>
        <v>64.5</v>
      </c>
      <c r="DC6" cm="1">
        <f t="array" ref="DC6">_xll.EQNXTDZ($A$1,$B6,DC$1)</f>
        <v>60.49</v>
      </c>
      <c r="DD6" cm="1">
        <f t="array" ref="DD6">_xll.EQNXTDZ($A$1,$B6,DD$1)</f>
        <v>72.400000000000006</v>
      </c>
      <c r="DE6" cm="1">
        <f t="array" ref="DE6">_xll.EQNXTDZ($A$1,$B6,DE$1)</f>
        <v>82.1</v>
      </c>
      <c r="DF6" cm="1">
        <f t="array" ref="DF6">_xll.EQNXTDZ($A$1,$B6,DF$1)</f>
        <v>103.19499999999999</v>
      </c>
      <c r="DG6" cm="1">
        <f t="array" ref="DG6">_xll.EQNXTDZ($A$1,$B6,DG$1)</f>
        <v>112</v>
      </c>
      <c r="DH6" cm="1">
        <f t="array" ref="DH6">_xll.EQNXTDZ($A$1,$B6,DH$1)</f>
        <v>117.19</v>
      </c>
      <c r="DI6" cm="1">
        <f t="array" ref="DI6">_xll.EQNXTDZ($A$1,$B6,DI$1)</f>
        <v>144.6</v>
      </c>
      <c r="DJ6" cm="1">
        <f t="array" ref="DJ6">_xll.EQNXTDZ($A$1,$B6,DJ$1)</f>
        <v>145.125</v>
      </c>
      <c r="DK6" cm="1">
        <f t="array" ref="DK6">_xll.EQNXTDZ($A$1,$B6,DK$1)</f>
        <v>127.5</v>
      </c>
      <c r="DL6" cm="1">
        <f t="array" ref="DL6">_xll.EQNXTDZ($A$1,$B6,DL$1)</f>
        <v>134</v>
      </c>
      <c r="DM6" cm="1">
        <f t="array" ref="DM6">_xll.EQNXTDZ($A$1,$B6,DM$1)</f>
        <v>109.2</v>
      </c>
      <c r="DN6" cm="1">
        <f t="array" ref="DN6">_xll.EQNXTDZ($A$1,$B6,DN$1)</f>
        <v>111.5</v>
      </c>
      <c r="DO6" cm="1">
        <f t="array" ref="DO6">_xll.EQNXTDZ($A$1,$B6,DO$1)</f>
        <v>110.49</v>
      </c>
      <c r="DP6" cm="1">
        <f t="array" ref="DP6">_xll.EQNXTDZ($A$1,$B6,DP$1)</f>
        <v>122.075</v>
      </c>
      <c r="DQ6" cm="1">
        <f t="array" ref="DQ6">_xll.EQNXTDZ($A$1,$B6,DQ$1)</f>
        <v>131</v>
      </c>
      <c r="DR6" cm="1">
        <f t="array" ref="DR6">_xll.EQNXTDZ($A$1,$B6,DR$1)</f>
        <v>125.7</v>
      </c>
      <c r="DS6" cm="1">
        <f t="array" ref="DS6">_xll.EQNXTDZ($A$1,$B6,DS$1)</f>
        <v>106.55</v>
      </c>
      <c r="DT6" cm="1">
        <f t="array" ref="DT6">_xll.EQNXTDZ($A$1,$B6,DT$1)</f>
        <v>86.694999999999993</v>
      </c>
      <c r="DU6" cm="1">
        <f t="array" ref="DU6">_xll.EQNXTDZ($A$1,$B6,DU$1)</f>
        <v>110.5</v>
      </c>
      <c r="DV6" cm="1">
        <f t="array" ref="DV6">_xll.EQNXTDZ($A$1,$B6,DV$1)</f>
        <v>107</v>
      </c>
      <c r="DW6" cm="1">
        <f t="array" ref="DW6">_xll.EQNXTDZ($A$1,$B6,DW$1)</f>
        <v>99.6</v>
      </c>
      <c r="DX6" cm="1">
        <f t="array" ref="DX6">_xll.EQNXTDZ($A$1,$B6,DX$1)</f>
        <v>98.55</v>
      </c>
      <c r="DY6" cm="1">
        <f t="array" ref="DY6">_xll.EQNXTDZ($A$1,$B6,DY$1)</f>
        <v>108.7</v>
      </c>
      <c r="DZ6" cm="1">
        <f t="array" ref="DZ6">_xll.EQNXTDZ($A$1,$B6,DZ$1)</f>
        <v>114.4</v>
      </c>
      <c r="EA6" cm="1">
        <f t="array" ref="EA6">_xll.EQNXTDZ($A$1,$B6,EA$1)</f>
        <v>120.1</v>
      </c>
      <c r="EB6" cm="1">
        <f t="array" ref="EB6">_xll.EQNXTDZ($A$1,$B6,EB$1)</f>
        <v>104.7</v>
      </c>
      <c r="EC6" cm="1">
        <f t="array" ref="EC6">_xll.EQNXTDZ($A$1,$B6,EC$1)</f>
        <v>105.1</v>
      </c>
      <c r="ED6" cm="1">
        <f t="array" ref="ED6">_xll.EQNXTDZ($A$1,$B6,ED$1)</f>
        <v>108</v>
      </c>
      <c r="EE6" cm="1">
        <f t="array" ref="EE6">_xll.EQNXTDZ($A$1,$B6,EE$1)</f>
        <v>105.9</v>
      </c>
      <c r="EF6" cm="1">
        <f t="array" ref="EF6">_xll.EQNXTDZ($A$1,$B6,EF$1)</f>
        <v>112.25</v>
      </c>
      <c r="EG6" cm="1">
        <f t="array" ref="EG6">_xll.EQNXTDZ($A$1,$B6,EG$1)</f>
        <v>123.55</v>
      </c>
      <c r="EH6" cm="1">
        <f t="array" ref="EH6">_xll.EQNXTDZ($A$1,$B6,EH$1)</f>
        <v>123.5</v>
      </c>
      <c r="EI6" cm="1">
        <f t="array" ref="EI6">_xll.EQNXTDZ($A$1,$B6,EI$1)</f>
        <v>129</v>
      </c>
      <c r="EJ6" cm="1">
        <f t="array" ref="EJ6">_xll.EQNXTDZ($A$1,$B6,EJ$1)</f>
        <v>119</v>
      </c>
      <c r="EK6" cm="1">
        <f t="array" ref="EK6">_xll.EQNXTDZ($A$1,$B6,EK$1)</f>
        <v>128.9</v>
      </c>
      <c r="EL6" cm="1">
        <f t="array" ref="EL6">_xll.EQNXTDZ($A$1,$B6,EL$1)</f>
        <v>140</v>
      </c>
      <c r="EM6" cm="1">
        <f t="array" ref="EM6">_xll.EQNXTDZ($A$1,$B6,EM$1)</f>
        <v>136.4</v>
      </c>
      <c r="EN6" cm="1">
        <f t="array" ref="EN6">_xll.EQNXTDZ($A$1,$B6,EN$1)</f>
        <v>143</v>
      </c>
      <c r="EO6" cm="1">
        <f t="array" ref="EO6">_xll.EQNXTDZ($A$1,$B6,EO$1)</f>
        <v>156.80000000000001</v>
      </c>
      <c r="EP6" cm="1">
        <f t="array" ref="EP6">_xll.EQNXTDZ($A$1,$B6,EP$1)</f>
        <v>165</v>
      </c>
      <c r="EQ6" cm="1">
        <f t="array" ref="EQ6">_xll.EQNXTDZ($A$1,$B6,EQ$1)</f>
        <v>173.25</v>
      </c>
      <c r="ER6" cm="1">
        <f t="array" ref="ER6">_xll.EQNXTDZ($A$1,$B6,ER$1)</f>
        <v>174.5</v>
      </c>
      <c r="ES6" cm="1">
        <f t="array" ref="ES6">_xll.EQNXTDZ($A$1,$B6,ES$1)</f>
        <v>168.2</v>
      </c>
      <c r="ET6" cm="1">
        <f t="array" ref="ET6">_xll.EQNXTDZ($A$1,$B6,ET$1)</f>
        <v>153.9</v>
      </c>
      <c r="EU6" cm="1">
        <f t="array" ref="EU6">_xll.EQNXTDZ($A$1,$B6,EU$1)</f>
        <v>169.49</v>
      </c>
      <c r="EV6" cm="1">
        <f t="array" ref="EV6">_xll.EQNXTDZ($A$1,$B6,EV$1)</f>
        <v>149.66</v>
      </c>
      <c r="EW6" cm="1">
        <f t="array" ref="EW6">_xll.EQNXTDZ($A$1,$B6,EW$1)</f>
        <v>144.11000000000001</v>
      </c>
      <c r="EX6" cm="1">
        <f t="array" ref="EX6">_xll.EQNXTDZ($A$1,$B6,EX$1)</f>
        <v>138.1</v>
      </c>
      <c r="EY6" cm="1">
        <f t="array" ref="EY6">_xll.EQNXTDZ($A$1,$B6,EY$1)</f>
        <v>135</v>
      </c>
      <c r="EZ6" cm="1">
        <f t="array" ref="EZ6">_xll.EQNXTDZ($A$1,$B6,EZ$1)</f>
        <v>137</v>
      </c>
      <c r="FA6" cm="1">
        <f t="array" ref="FA6">_xll.EQNXTDZ($A$1,$B6,FA$1)</f>
        <v>152.07</v>
      </c>
      <c r="FB6" cm="1">
        <f t="array" ref="FB6">_xll.EQNXTDZ($A$1,$B6,FB$1)</f>
        <v>140</v>
      </c>
      <c r="FC6" cm="1">
        <f t="array" ref="FC6">_xll.EQNXTDZ($A$1,$B6,FC$1)</f>
        <v>159</v>
      </c>
      <c r="FD6" cm="1">
        <f t="array" ref="FD6">_xll.EQNXTDZ($A$1,$B6,FD$1)</f>
        <v>160.01</v>
      </c>
      <c r="FE6" cm="1">
        <f t="array" ref="FE6">_xll.EQNXTDZ($A$1,$B6,FE$1)</f>
        <v>157.93</v>
      </c>
      <c r="FF6" cm="1">
        <f t="array" ref="FF6">_xll.EQNXTDZ($A$1,$B6,FF$1)</f>
        <v>154.47999999999999</v>
      </c>
      <c r="FG6" cm="1">
        <f t="array" ref="FG6">_xll.EQNXTDZ($A$1,$B6,FG$1)</f>
        <v>169</v>
      </c>
      <c r="FH6" cm="1">
        <f t="array" ref="FH6">_xll.EQNXTDZ($A$1,$B6,FH$1)</f>
        <v>182.4</v>
      </c>
      <c r="FI6" cm="1">
        <f t="array" ref="FI6">_xll.EQNXTDZ($A$1,$B6,FI$1)</f>
        <v>169</v>
      </c>
      <c r="FJ6" cm="1">
        <f t="array" ref="FJ6">_xll.EQNXTDZ($A$1,$B6,FJ$1)</f>
        <v>180.6</v>
      </c>
      <c r="FK6" cm="1">
        <f t="array" ref="FK6">_xll.EQNXTDZ($A$1,$B6,FK$1)</f>
        <v>188.81</v>
      </c>
      <c r="FL6" cm="1">
        <f t="array" ref="FL6">_xll.EQNXTDZ($A$1,$B6,FL$1)</f>
        <v>205</v>
      </c>
      <c r="FM6" cm="1">
        <f t="array" ref="FM6">_xll.EQNXTDZ($A$1,$B6,FM$1)</f>
        <v>200</v>
      </c>
      <c r="FN6" cm="1">
        <f t="array" ref="FN6">_xll.EQNXTDZ($A$1,$B6,FN$1)</f>
        <v>212.55</v>
      </c>
      <c r="FO6" cm="1">
        <f t="array" ref="FO6">_xll.EQNXTDZ($A$1,$B6,FO$1)</f>
        <v>210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42.301524690384099</v>
      </c>
      <c r="D7" s="116" cm="1">
        <f t="array" ref="D7">_xll.EQNXTDZ($A$1,$B7,D$1)</f>
        <v>43.406699659772499</v>
      </c>
      <c r="E7" s="116" cm="1">
        <f t="array" ref="E7">_xll.EQNXTDZ($A$1,$B7,E$1)</f>
        <v>39.710079934576797</v>
      </c>
      <c r="F7" s="116" cm="1">
        <f t="array" ref="F7">_xll.EQNXTDZ($A$1,$B7,F$1)</f>
        <v>39.552878322551699</v>
      </c>
      <c r="G7" s="116" cm="1">
        <f t="array" ref="G7">_xll.EQNXTDZ($A$1,$B7,G$1)</f>
        <v>40.634234865875698</v>
      </c>
      <c r="H7" s="116" cm="1">
        <f t="array" ref="H7">_xll.EQNXTDZ($A$1,$B7,H$1)</f>
        <v>38.943126615302901</v>
      </c>
      <c r="I7" s="116" cm="1">
        <f t="array" ref="I7">_xll.EQNXTDZ($A$1,$B7,I$1)</f>
        <v>41.620317704942103</v>
      </c>
      <c r="J7" s="116" cm="1">
        <f t="array" ref="J7">_xll.EQNXTDZ($A$1,$B7,J$1)</f>
        <v>42.6826195074146</v>
      </c>
      <c r="K7" s="116" cm="1">
        <f t="array" ref="K7">_xll.EQNXTDZ($A$1,$B7,K$1)</f>
        <v>39.224184042862902</v>
      </c>
      <c r="L7" s="116" cm="1">
        <f t="array" ref="L7">_xll.EQNXTDZ($A$1,$B7,L$1)</f>
        <v>34.570063589878103</v>
      </c>
      <c r="M7" s="116" cm="1">
        <f t="array" ref="M7">_xll.EQNXTDZ($A$1,$B7,M$1)</f>
        <v>30.992535995004399</v>
      </c>
      <c r="N7" s="116" cm="1">
        <f t="array" ref="N7">_xll.EQNXTDZ($A$1,$B7,N$1)</f>
        <v>31.1354465513908</v>
      </c>
      <c r="O7" s="116" cm="1">
        <f t="array" ref="O7">_xll.EQNXTDZ($A$1,$B7,O$1)</f>
        <v>28.810768167504801</v>
      </c>
      <c r="P7" s="116" cm="1">
        <f t="array" ref="P7">_xll.EQNXTDZ($A$1,$B7,P$1)</f>
        <v>27.276861528957099</v>
      </c>
      <c r="Q7" s="116" cm="1">
        <f t="array" ref="Q7">_xll.EQNXTDZ($A$1,$B7,Q$1)</f>
        <v>27.591264753007302</v>
      </c>
      <c r="R7" s="116" cm="1">
        <f t="array" ref="R7">_xll.EQNXTDZ($A$1,$B7,R$1)</f>
        <v>30.373256917329801</v>
      </c>
      <c r="S7" s="116" cm="1">
        <f t="array" ref="S7">_xll.EQNXTDZ($A$1,$B7,S$1)</f>
        <v>32.764626894196098</v>
      </c>
      <c r="T7" s="116" cm="1">
        <f t="array" ref="T7">_xll.EQNXTDZ($A$1,$B7,T$1)</f>
        <v>38.623959706039898</v>
      </c>
      <c r="U7" s="116" cm="1">
        <f t="array" ref="U7">_xll.EQNXTDZ($A$1,$B7,U$1)</f>
        <v>41.153476554079703</v>
      </c>
      <c r="V7" s="116" cm="1">
        <f t="array" ref="V7">_xll.EQNXTDZ($A$1,$B7,V$1)</f>
        <v>41.4916982041943</v>
      </c>
      <c r="W7" s="116" cm="1">
        <f t="array" ref="W7">_xll.EQNXTDZ($A$1,$B7,W$1)</f>
        <v>37.4616205140969</v>
      </c>
      <c r="X7" s="116" cm="1">
        <f t="array" ref="X7">_xll.EQNXTDZ($A$1,$B7,X$1)</f>
        <v>37.761732682508402</v>
      </c>
      <c r="Y7" s="116" cm="1">
        <f t="array" ref="Y7">_xll.EQNXTDZ($A$1,$B7,Y$1)</f>
        <v>41.243986573124502</v>
      </c>
      <c r="Z7" s="116" cm="1">
        <f t="array" ref="Z7">_xll.EQNXTDZ($A$1,$B7,Z$1)</f>
        <v>47.160483607522799</v>
      </c>
      <c r="AA7" s="116" cm="1">
        <f t="array" ref="AA7">_xll.EQNXTDZ($A$1,$B7,AA$1)</f>
        <v>55.249221098994902</v>
      </c>
      <c r="AB7" s="116" cm="1">
        <f t="array" ref="AB7">_xll.EQNXTDZ($A$1,$B7,AB$1)</f>
        <v>54.720452040365103</v>
      </c>
      <c r="AC7" s="116" cm="1">
        <f t="array" ref="AC7">_xll.EQNXTDZ($A$1,$B7,AC$1)</f>
        <v>54.191682981735298</v>
      </c>
      <c r="AD7" s="116" cm="1">
        <f t="array" ref="AD7">_xll.EQNXTDZ($A$1,$B7,AD$1)</f>
        <v>50.5617548495199</v>
      </c>
      <c r="AE7" s="116" cm="1">
        <f t="array" ref="AE7">_xll.EQNXTDZ($A$1,$B7,AE$1)</f>
        <v>47.017573051136303</v>
      </c>
      <c r="AF7" s="116" cm="1">
        <f t="array" ref="AF7">_xll.EQNXTDZ($A$1,$B7,AF$1)</f>
        <v>47.150956237096999</v>
      </c>
      <c r="AG7" s="116" cm="1">
        <f t="array" ref="AG7">_xll.EQNXTDZ($A$1,$B7,AG$1)</f>
        <v>45.255009522370301</v>
      </c>
      <c r="AH7" s="116" cm="1">
        <f t="array" ref="AH7">_xll.EQNXTDZ($A$1,$B7,AH$1)</f>
        <v>40.153102659374703</v>
      </c>
      <c r="AI7" s="116" cm="1">
        <f t="array" ref="AI7">_xll.EQNXTDZ($A$1,$B7,AI$1)</f>
        <v>37.614058440909098</v>
      </c>
      <c r="AJ7" s="116" cm="1">
        <f t="array" ref="AJ7">_xll.EQNXTDZ($A$1,$B7,AJ$1)</f>
        <v>34.222314569337698</v>
      </c>
      <c r="AK7" s="116" cm="1">
        <f t="array" ref="AK7">_xll.EQNXTDZ($A$1,$B7,AK$1)</f>
        <v>36.137316024915897</v>
      </c>
      <c r="AL7" s="116" cm="1">
        <f t="array" ref="AL7">_xll.EQNXTDZ($A$1,$B7,AL$1)</f>
        <v>36.6327392870556</v>
      </c>
      <c r="AM7" s="116" cm="1">
        <f t="array" ref="AM7">_xll.EQNXTDZ($A$1,$B7,AM$1)</f>
        <v>31.7356708882138</v>
      </c>
      <c r="AN7" s="116" cm="1">
        <f t="array" ref="AN7">_xll.EQNXTDZ($A$1,$B7,AN$1)</f>
        <v>29.5777214867787</v>
      </c>
      <c r="AO7" s="116" cm="1">
        <f t="array" ref="AO7">_xll.EQNXTDZ($A$1,$B7,AO$1)</f>
        <v>25.580989593171399</v>
      </c>
      <c r="AP7" s="116" cm="1">
        <f t="array" ref="AP7">_xll.EQNXTDZ($A$1,$B7,AP$1)</f>
        <v>23.232492783221101</v>
      </c>
      <c r="AQ7" s="116" cm="1">
        <f t="array" ref="AQ7">_xll.EQNXTDZ($A$1,$B7,AQ$1)</f>
        <v>24.956946830284</v>
      </c>
      <c r="AR7" s="116" cm="1">
        <f t="array" ref="AR7">_xll.EQNXTDZ($A$1,$B7,AR$1)</f>
        <v>23.4944954699295</v>
      </c>
      <c r="AS7" s="116" cm="1">
        <f t="array" ref="AS7">_xll.EQNXTDZ($A$1,$B7,AS$1)</f>
        <v>25.380914814230401</v>
      </c>
      <c r="AT7" s="116" cm="1">
        <f t="array" ref="AT7">_xll.EQNXTDZ($A$1,$B7,AT$1)</f>
        <v>26.3336518568067</v>
      </c>
      <c r="AU7" s="116" cm="1">
        <f t="array" ref="AU7">_xll.EQNXTDZ($A$1,$B7,AU$1)</f>
        <v>25.118912127522002</v>
      </c>
      <c r="AV7" s="116" cm="1">
        <f t="array" ref="AV7">_xll.EQNXTDZ($A$1,$B7,AV$1)</f>
        <v>31.035409161920299</v>
      </c>
      <c r="AW7" s="116" cm="1">
        <f t="array" ref="AW7">_xll.EQNXTDZ($A$1,$B7,AW$1)</f>
        <v>34.684392034987198</v>
      </c>
      <c r="AX7" s="116" cm="1">
        <f t="array" ref="AX7">_xll.EQNXTDZ($A$1,$B7,AX$1)</f>
        <v>33.8840929192232</v>
      </c>
      <c r="AY7" s="116" cm="1">
        <f t="array" ref="AY7">_xll.EQNXTDZ($A$1,$B7,AY$1)</f>
        <v>33.183831192929702</v>
      </c>
      <c r="AZ7" s="116" cm="1">
        <f t="array" ref="AZ7">_xll.EQNXTDZ($A$1,$B7,AZ$1)</f>
        <v>36.146843395341698</v>
      </c>
      <c r="BA7" s="116" cm="1">
        <f t="array" ref="BA7">_xll.EQNXTDZ($A$1,$B7,BA$1)</f>
        <v>37.599767385270397</v>
      </c>
      <c r="BB7" s="116" cm="1">
        <f t="array" ref="BB7">_xll.EQNXTDZ($A$1,$B7,BB$1)</f>
        <v>38.9288355596643</v>
      </c>
      <c r="BC7" s="116" cm="1">
        <f t="array" ref="BC7">_xll.EQNXTDZ($A$1,$B7,BC$1)</f>
        <v>41.148712868866802</v>
      </c>
      <c r="BD7" s="116" cm="1">
        <f t="array" ref="BD7">_xll.EQNXTDZ($A$1,$B7,BD$1)</f>
        <v>42.063340429740002</v>
      </c>
      <c r="BE7" s="116" cm="1">
        <f t="array" ref="BE7">_xll.EQNXTDZ($A$1,$B7,BE$1)</f>
        <v>41.477407148555599</v>
      </c>
      <c r="BF7" s="116" cm="1">
        <f t="array" ref="BF7">_xll.EQNXTDZ($A$1,$B7,BF$1)</f>
        <v>45.421738504821199</v>
      </c>
      <c r="BG7" s="116" cm="1">
        <f t="array" ref="BG7">_xll.EQNXTDZ($A$1,$B7,BG$1)</f>
        <v>47.246229941354599</v>
      </c>
      <c r="BH7" s="116" cm="1">
        <f t="array" ref="BH7">_xll.EQNXTDZ($A$1,$B7,BH$1)</f>
        <v>48.470497041065101</v>
      </c>
      <c r="BI7" s="116" cm="1">
        <f t="array" ref="BI7">_xll.EQNXTDZ($A$1,$B7,BI$1)</f>
        <v>48.241840150846798</v>
      </c>
      <c r="BJ7" s="116" cm="1">
        <f t="array" ref="BJ7">_xll.EQNXTDZ($A$1,$B7,BJ$1)</f>
        <v>49.604254121730797</v>
      </c>
      <c r="BK7" s="116" cm="1">
        <f t="array" ref="BK7">_xll.EQNXTDZ($A$1,$B7,BK$1)</f>
        <v>52.200462562750999</v>
      </c>
      <c r="BL7" s="116" cm="1">
        <f t="array" ref="BL7">_xll.EQNXTDZ($A$1,$B7,BL$1)</f>
        <v>54.529904631849803</v>
      </c>
      <c r="BM7" s="116" cm="1">
        <f t="array" ref="BM7">_xll.EQNXTDZ($A$1,$B7,BM$1)</f>
        <v>61.260991837650799</v>
      </c>
      <c r="BN7" s="116" cm="1">
        <f t="array" ref="BN7">_xll.EQNXTDZ($A$1,$B7,BN$1)</f>
        <v>66.334316589369195</v>
      </c>
      <c r="BO7" s="116" cm="1">
        <f t="array" ref="BO7">_xll.EQNXTDZ($A$1,$B7,BO$1)</f>
        <v>70.026172629352004</v>
      </c>
      <c r="BP7" s="116" cm="1">
        <f t="array" ref="BP7">_xll.EQNXTDZ($A$1,$B7,BP$1)</f>
        <v>68.454156509101196</v>
      </c>
      <c r="BQ7" s="116" cm="1">
        <f t="array" ref="BQ7">_xll.EQNXTDZ($A$1,$B7,BQ$1)</f>
        <v>70.964618616289599</v>
      </c>
      <c r="BR7" s="116" cm="1">
        <f t="array" ref="BR7">_xll.EQNXTDZ($A$1,$B7,BR$1)</f>
        <v>75.552047476294106</v>
      </c>
      <c r="BS7" s="116" cm="1">
        <f t="array" ref="BS7">_xll.EQNXTDZ($A$1,$B7,BS$1)</f>
        <v>72.05</v>
      </c>
      <c r="BT7" s="116" cm="1">
        <f t="array" ref="BT7">_xll.EQNXTDZ($A$1,$B7,BT$1)</f>
        <v>68.5</v>
      </c>
      <c r="BU7" s="116" cm="1">
        <f t="array" ref="BU7">_xll.EQNXTDZ($A$1,$B7,BU$1)</f>
        <v>62.45</v>
      </c>
      <c r="BV7" s="116" cm="1">
        <f t="array" ref="BV7">_xll.EQNXTDZ($A$1,$B7,BV$1)</f>
        <v>63.68</v>
      </c>
      <c r="BW7" s="116" cm="1">
        <f t="array" ref="BW7">_xll.EQNXTDZ($A$1,$B7,BW$1)</f>
        <v>60.82</v>
      </c>
      <c r="BX7" s="116" cm="1">
        <f t="array" ref="BX7">_xll.EQNXTDZ($A$1,$B7,BX$1)</f>
        <v>58.65</v>
      </c>
      <c r="BY7" s="116" cm="1">
        <f t="array" ref="BY7">_xll.EQNXTDZ($A$1,$B7,BY$1)</f>
        <v>61.45</v>
      </c>
      <c r="BZ7" s="116" cm="1">
        <f t="array" ref="BZ7">_xll.EQNXTDZ($A$1,$B7,BZ$1)</f>
        <v>64.760000000000005</v>
      </c>
      <c r="CA7" s="116" cm="1">
        <f t="array" ref="CA7">_xll.EQNXTDZ($A$1,$B7,CA$1)</f>
        <v>59.44</v>
      </c>
      <c r="CB7" s="116" cm="1">
        <f t="array" ref="CB7">_xll.EQNXTDZ($A$1,$B7,CB$1)</f>
        <v>61.06</v>
      </c>
      <c r="CC7" s="116" cm="1">
        <f t="array" ref="CC7">_xll.EQNXTDZ($A$1,$B7,CC$1)</f>
        <v>55.27</v>
      </c>
      <c r="CD7" s="116" cm="1">
        <f t="array" ref="CD7">_xll.EQNXTDZ($A$1,$B7,CD$1)</f>
        <v>52.45</v>
      </c>
      <c r="CE7" s="116" cm="1">
        <f t="array" ref="CE7">_xll.EQNXTDZ($A$1,$B7,CE$1)</f>
        <v>51.23</v>
      </c>
      <c r="CF7" s="116" cm="1">
        <f t="array" ref="CF7">_xll.EQNXTDZ($A$1,$B7,CF$1)</f>
        <v>53.19</v>
      </c>
      <c r="CG7" s="116" cm="1">
        <f t="array" ref="CG7">_xll.EQNXTDZ($A$1,$B7,CG$1)</f>
        <v>56.08</v>
      </c>
      <c r="CH7" s="116" cm="1">
        <f t="array" ref="CH7">_xll.EQNXTDZ($A$1,$B7,CH$1)</f>
        <v>56.164999999999999</v>
      </c>
      <c r="CI7" s="116" cm="1">
        <f t="array" ref="CI7">_xll.EQNXTDZ($A$1,$B7,CI$1)</f>
        <v>51.645000000000003</v>
      </c>
      <c r="CJ7" s="116" cm="1">
        <f t="array" ref="CJ7">_xll.EQNXTDZ($A$1,$B7,CJ$1)</f>
        <v>51.484999999999999</v>
      </c>
      <c r="CK7" s="116" cm="1">
        <f t="array" ref="CK7">_xll.EQNXTDZ($A$1,$B7,CK$1)</f>
        <v>43.19</v>
      </c>
      <c r="CL7" s="116" cm="1">
        <f t="array" ref="CL7">_xll.EQNXTDZ($A$1,$B7,CL$1)</f>
        <v>38.884999999999998</v>
      </c>
      <c r="CM7" s="116" cm="1">
        <f t="array" ref="CM7">_xll.EQNXTDZ($A$1,$B7,CM$1)</f>
        <v>39.97</v>
      </c>
      <c r="CN7" s="116" cm="1">
        <f t="array" ref="CN7">_xll.EQNXTDZ($A$1,$B7,CN$1)</f>
        <v>43.43</v>
      </c>
      <c r="CO7" s="116" cm="1">
        <f t="array" ref="CO7">_xll.EQNXTDZ($A$1,$B7,CO$1)</f>
        <v>47.63</v>
      </c>
      <c r="CP7" s="116" cm="1">
        <f t="array" ref="CP7">_xll.EQNXTDZ($A$1,$B7,CP$1)</f>
        <v>50.6</v>
      </c>
      <c r="CQ7" s="116" cm="1">
        <f t="array" ref="CQ7">_xll.EQNXTDZ($A$1,$B7,CQ$1)</f>
        <v>48.725000000000001</v>
      </c>
      <c r="CR7" s="116" cm="1">
        <f t="array" ref="CR7">_xll.EQNXTDZ($A$1,$B7,CR$1)</f>
        <v>39.4</v>
      </c>
      <c r="CS7" s="116" cm="1">
        <f t="array" ref="CS7">_xll.EQNXTDZ($A$1,$B7,CS$1)</f>
        <v>30.45</v>
      </c>
      <c r="CT7" s="116" cm="1">
        <f t="array" ref="CT7">_xll.EQNXTDZ($A$1,$B7,CT$1)</f>
        <v>29.86</v>
      </c>
      <c r="CU7" s="116" cm="1">
        <f t="array" ref="CU7">_xll.EQNXTDZ($A$1,$B7,CU$1)</f>
        <v>35.08</v>
      </c>
      <c r="CV7" s="116" cm="1">
        <f t="array" ref="CV7">_xll.EQNXTDZ($A$1,$B7,CV$1)</f>
        <v>37.844999999999999</v>
      </c>
      <c r="CW7" s="116" cm="1">
        <f t="array" ref="CW7">_xll.EQNXTDZ($A$1,$B7,CW$1)</f>
        <v>44.2</v>
      </c>
      <c r="CX7" s="116" cm="1">
        <f t="array" ref="CX7">_xll.EQNXTDZ($A$1,$B7,CX$1)</f>
        <v>44.365000000000002</v>
      </c>
      <c r="CY7" s="116" cm="1">
        <f t="array" ref="CY7">_xll.EQNXTDZ($A$1,$B7,CY$1)</f>
        <v>42.6</v>
      </c>
      <c r="CZ7" s="116" cm="1">
        <f t="array" ref="CZ7">_xll.EQNXTDZ($A$1,$B7,CZ$1)</f>
        <v>58.234999999999999</v>
      </c>
      <c r="DA7" s="116" cm="1">
        <f t="array" ref="DA7">_xll.EQNXTDZ($A$1,$B7,DA$1)</f>
        <v>65.349999999999994</v>
      </c>
      <c r="DB7" s="116" cm="1">
        <f t="array" ref="DB7">_xll.EQNXTDZ($A$1,$B7,DB$1)</f>
        <v>73.150000000000006</v>
      </c>
      <c r="DC7" s="116" cm="1">
        <f t="array" ref="DC7">_xll.EQNXTDZ($A$1,$B7,DC$1)</f>
        <v>75.3</v>
      </c>
      <c r="DD7" s="116" cm="1">
        <f t="array" ref="DD7">_xll.EQNXTDZ($A$1,$B7,DD$1)</f>
        <v>82.35</v>
      </c>
      <c r="DE7" s="116" cm="1">
        <f t="array" ref="DE7">_xll.EQNXTDZ($A$1,$B7,DE$1)</f>
        <v>105.26</v>
      </c>
      <c r="DF7" s="116" cm="1">
        <f t="array" ref="DF7">_xll.EQNXTDZ($A$1,$B7,DF$1)</f>
        <v>124.685</v>
      </c>
      <c r="DG7" s="116" cm="1">
        <f t="array" ref="DG7">_xll.EQNXTDZ($A$1,$B7,DG$1)</f>
        <v>119.2</v>
      </c>
      <c r="DH7" s="116" cm="1">
        <f t="array" ref="DH7">_xll.EQNXTDZ($A$1,$B7,DH$1)</f>
        <v>148.18</v>
      </c>
      <c r="DI7" s="116" cm="1">
        <f t="array" ref="DI7">_xll.EQNXTDZ($A$1,$B7,DI$1)</f>
        <v>153.44999999999999</v>
      </c>
      <c r="DJ7" s="116" cm="1">
        <f t="array" ref="DJ7">_xll.EQNXTDZ($A$1,$B7,DJ$1)</f>
        <v>147.6</v>
      </c>
      <c r="DK7" s="116" cm="1">
        <f t="array" ref="DK7">_xll.EQNXTDZ($A$1,$B7,DK$1)</f>
        <v>142.655</v>
      </c>
      <c r="DL7" s="116" cm="1">
        <f t="array" ref="DL7">_xll.EQNXTDZ($A$1,$B7,DL$1)</f>
        <v>137.29</v>
      </c>
      <c r="DM7" s="116" cm="1">
        <f t="array" ref="DM7">_xll.EQNXTDZ($A$1,$B7,DM$1)</f>
        <v>119.9</v>
      </c>
      <c r="DN7" s="116" cm="1">
        <f t="array" ref="DN7">_xll.EQNXTDZ($A$1,$B7,DN$1)</f>
        <v>124.5</v>
      </c>
      <c r="DO7" s="116" cm="1">
        <f t="array" ref="DO7">_xll.EQNXTDZ($A$1,$B7,DO$1)</f>
        <v>126.495</v>
      </c>
      <c r="DP7" s="116" cm="1">
        <f t="array" ref="DP7">_xll.EQNXTDZ($A$1,$B7,DP$1)</f>
        <v>136.6</v>
      </c>
      <c r="DQ7" s="116" cm="1">
        <f t="array" ref="DQ7">_xll.EQNXTDZ($A$1,$B7,DQ$1)</f>
        <v>138.66999999999999</v>
      </c>
      <c r="DR7" s="116" cm="1">
        <f t="array" ref="DR7">_xll.EQNXTDZ($A$1,$B7,DR$1)</f>
        <v>133</v>
      </c>
      <c r="DS7" s="116" cm="1">
        <f t="array" ref="DS7">_xll.EQNXTDZ($A$1,$B7,DS$1)</f>
        <v>109.28</v>
      </c>
      <c r="DT7" s="116" cm="1">
        <f t="array" ref="DT7">_xll.EQNXTDZ($A$1,$B7,DT$1)</f>
        <v>109.3</v>
      </c>
      <c r="DU7" s="116" cm="1">
        <f t="array" ref="DU7">_xll.EQNXTDZ($A$1,$B7,DU$1)</f>
        <v>113.7</v>
      </c>
      <c r="DV7" s="116" cm="1">
        <f t="array" ref="DV7">_xll.EQNXTDZ($A$1,$B7,DV$1)</f>
        <v>110.4</v>
      </c>
      <c r="DW7" s="116" cm="1">
        <f t="array" ref="DW7">_xll.EQNXTDZ($A$1,$B7,DW$1)</f>
        <v>104.65</v>
      </c>
      <c r="DX7" s="116" cm="1">
        <f t="array" ref="DX7">_xll.EQNXTDZ($A$1,$B7,DX$1)</f>
        <v>110</v>
      </c>
      <c r="DY7" s="116" cm="1">
        <f t="array" ref="DY7">_xll.EQNXTDZ($A$1,$B7,DY$1)</f>
        <v>116.1</v>
      </c>
      <c r="DZ7" s="116" cm="1">
        <f t="array" ref="DZ7">_xll.EQNXTDZ($A$1,$B7,DZ$1)</f>
        <v>124.3</v>
      </c>
      <c r="EA7" s="116" cm="1">
        <f t="array" ref="EA7">_xll.EQNXTDZ($A$1,$B7,EA$1)</f>
        <v>124.15</v>
      </c>
      <c r="EB7" s="116" cm="1">
        <f t="array" ref="EB7">_xll.EQNXTDZ($A$1,$B7,EB$1)</f>
        <v>109.15</v>
      </c>
      <c r="EC7" s="116" cm="1">
        <f t="array" ref="EC7">_xll.EQNXTDZ($A$1,$B7,EC$1)</f>
        <v>110.4</v>
      </c>
      <c r="ED7" s="116" cm="1">
        <f t="array" ref="ED7">_xll.EQNXTDZ($A$1,$B7,ED$1)</f>
        <v>111.9</v>
      </c>
      <c r="EE7" s="116" cm="1">
        <f t="array" ref="EE7">_xll.EQNXTDZ($A$1,$B7,EE$1)</f>
        <v>115.6</v>
      </c>
      <c r="EF7" s="116" cm="1">
        <f t="array" ref="EF7">_xll.EQNXTDZ($A$1,$B7,EF$1)</f>
        <v>123.85</v>
      </c>
      <c r="EG7" s="116" cm="1">
        <f t="array" ref="EG7">_xll.EQNXTDZ($A$1,$B7,EG$1)</f>
        <v>124.15</v>
      </c>
      <c r="EH7" s="116" cm="1">
        <f t="array" ref="EH7">_xll.EQNXTDZ($A$1,$B7,EH$1)</f>
        <v>135</v>
      </c>
      <c r="EI7" s="116" cm="1">
        <f t="array" ref="EI7">_xll.EQNXTDZ($A$1,$B7,EI$1)</f>
        <v>129.1</v>
      </c>
      <c r="EJ7" s="116" cm="1">
        <f t="array" ref="EJ7">_xll.EQNXTDZ($A$1,$B7,EJ$1)</f>
        <v>128.85</v>
      </c>
      <c r="EK7" s="116" cm="1">
        <f t="array" ref="EK7">_xll.EQNXTDZ($A$1,$B7,EK$1)</f>
        <v>141.25</v>
      </c>
      <c r="EL7" s="116" cm="1">
        <f t="array" ref="EL7">_xll.EQNXTDZ($A$1,$B7,EL$1)</f>
        <v>140.94999999999999</v>
      </c>
      <c r="EM7" s="116" cm="1">
        <f t="array" ref="EM7">_xll.EQNXTDZ($A$1,$B7,EM$1)</f>
        <v>147.4</v>
      </c>
      <c r="EN7" s="116" cm="1">
        <f t="array" ref="EN7">_xll.EQNXTDZ($A$1,$B7,EN$1)</f>
        <v>159.15</v>
      </c>
      <c r="EO7" s="116" cm="1">
        <f t="array" ref="EO7">_xll.EQNXTDZ($A$1,$B7,EO$1)</f>
        <v>170.7</v>
      </c>
      <c r="EP7" s="116" cm="1">
        <f t="array" ref="EP7">_xll.EQNXTDZ($A$1,$B7,EP$1)</f>
        <v>177.7</v>
      </c>
      <c r="EQ7" s="116" cm="1">
        <f t="array" ref="EQ7">_xll.EQNXTDZ($A$1,$B7,EQ$1)</f>
        <v>184.6</v>
      </c>
      <c r="ER7" s="116" cm="1">
        <f t="array" ref="ER7">_xll.EQNXTDZ($A$1,$B7,ER$1)</f>
        <v>178.19</v>
      </c>
      <c r="ES7" s="116" cm="1">
        <f t="array" ref="ES7">_xll.EQNXTDZ($A$1,$B7,ES$1)</f>
        <v>168.95</v>
      </c>
      <c r="ET7" s="116" cm="1">
        <f t="array" ref="ET7">_xll.EQNXTDZ($A$1,$B7,ET$1)</f>
        <v>170.18</v>
      </c>
      <c r="EU7" s="116" cm="1">
        <f t="array" ref="EU7">_xll.EQNXTDZ($A$1,$B7,EU$1)</f>
        <v>169.99</v>
      </c>
      <c r="EV7" s="116" cm="1">
        <f t="array" ref="EV7">_xll.EQNXTDZ($A$1,$B7,EV$1)</f>
        <v>156.91999999999999</v>
      </c>
      <c r="EW7" s="116" cm="1">
        <f t="array" ref="EW7">_xll.EQNXTDZ($A$1,$B7,EW$1)</f>
        <v>152.5</v>
      </c>
      <c r="EX7" s="116" cm="1">
        <f t="array" ref="EX7">_xll.EQNXTDZ($A$1,$B7,EX$1)</f>
        <v>139.72999999999999</v>
      </c>
      <c r="EY7" s="116" cm="1">
        <f t="array" ref="EY7">_xll.EQNXTDZ($A$1,$B7,EY$1)</f>
        <v>141.6</v>
      </c>
      <c r="EZ7" s="116" cm="1">
        <f t="array" ref="EZ7">_xll.EQNXTDZ($A$1,$B7,EZ$1)</f>
        <v>160.1</v>
      </c>
      <c r="FA7" s="116" cm="1">
        <f t="array" ref="FA7">_xll.EQNXTDZ($A$1,$B7,FA$1)</f>
        <v>156.25</v>
      </c>
      <c r="FB7" s="116" cm="1">
        <f t="array" ref="FB7">_xll.EQNXTDZ($A$1,$B7,FB$1)</f>
        <v>165.55</v>
      </c>
      <c r="FC7" s="116" cm="1">
        <f t="array" ref="FC7">_xll.EQNXTDZ($A$1,$B7,FC$1)</f>
        <v>163.30000000000001</v>
      </c>
      <c r="FD7" s="116" cm="1">
        <f t="array" ref="FD7">_xll.EQNXTDZ($A$1,$B7,FD$1)</f>
        <v>168.78</v>
      </c>
      <c r="FE7" s="116" cm="1">
        <f t="array" ref="FE7">_xll.EQNXTDZ($A$1,$B7,FE$1)</f>
        <v>162.76</v>
      </c>
      <c r="FF7" s="116" cm="1">
        <f t="array" ref="FF7">_xll.EQNXTDZ($A$1,$B7,FF$1)</f>
        <v>174.44</v>
      </c>
      <c r="FG7" s="116" cm="1">
        <f t="array" ref="FG7">_xll.EQNXTDZ($A$1,$B7,FG$1)</f>
        <v>186.94</v>
      </c>
      <c r="FH7" s="116" cm="1">
        <f t="array" ref="FH7">_xll.EQNXTDZ($A$1,$B7,FH$1)</f>
        <v>184.1</v>
      </c>
      <c r="FI7" s="116" cm="1">
        <f t="array" ref="FI7">_xll.EQNXTDZ($A$1,$B7,FI$1)</f>
        <v>181.4</v>
      </c>
      <c r="FJ7" s="116" cm="1">
        <f t="array" ref="FJ7">_xll.EQNXTDZ($A$1,$B7,FJ$1)</f>
        <v>202.99</v>
      </c>
      <c r="FK7" s="116" cm="1">
        <f t="array" ref="FK7">_xll.EQNXTDZ($A$1,$B7,FK$1)</f>
        <v>216.45</v>
      </c>
      <c r="FL7" s="116" cm="1">
        <f t="array" ref="FL7">_xll.EQNXTDZ($A$1,$B7,FL$1)</f>
        <v>214.34</v>
      </c>
      <c r="FM7" s="116" cm="1">
        <f t="array" ref="FM7">_xll.EQNXTDZ($A$1,$B7,FM$1)</f>
        <v>218.24</v>
      </c>
      <c r="FN7" s="116" cm="1">
        <f t="array" ref="FN7">_xll.EQNXTDZ($A$1,$B7,FN$1)</f>
        <v>224.4</v>
      </c>
      <c r="FO7" s="116" cm="1">
        <f t="array" ref="FO7">_xll.EQNXTDZ($A$1,$B7,FO$1)</f>
        <v>213.46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43.406699659772499</v>
      </c>
      <c r="HQ7" s="116">
        <f>+MAX(G7:I7)</f>
        <v>41.620317704942103</v>
      </c>
      <c r="HR7" s="116">
        <f>+MAX(J7:L7)</f>
        <v>42.6826195074146</v>
      </c>
      <c r="HS7" s="116">
        <f>+MAX(M7:O7)</f>
        <v>31.1354465513908</v>
      </c>
      <c r="HT7" s="116">
        <f>+MAX(P7:R7)</f>
        <v>30.373256917329801</v>
      </c>
      <c r="HU7" s="116">
        <f>+MAX(S7:U7)</f>
        <v>41.153476554079703</v>
      </c>
      <c r="HV7" s="116">
        <f>+MAX(V7:X7)</f>
        <v>41.4916982041943</v>
      </c>
      <c r="HW7" s="116">
        <f>+MAX(Y7:AA7)</f>
        <v>55.249221098994902</v>
      </c>
      <c r="HX7" s="116">
        <f>+MAX(AB7:AD7)</f>
        <v>54.720452040365103</v>
      </c>
      <c r="HY7" s="116">
        <f>+MAX(AE7:AG7)</f>
        <v>47.150956237096999</v>
      </c>
      <c r="HZ7" s="116">
        <f>+MAX(AH7:AJ7)</f>
        <v>40.153102659374703</v>
      </c>
      <c r="IA7" s="116">
        <f>+MAX(AK7:AM7)</f>
        <v>36.6327392870556</v>
      </c>
      <c r="IB7" s="116">
        <f>+MAX(AN7:AP7)</f>
        <v>29.5777214867787</v>
      </c>
      <c r="IC7" s="116">
        <f>+MAX(AQ7:AS7)</f>
        <v>25.380914814230401</v>
      </c>
      <c r="ID7" s="116">
        <f>+MAX(AT7:AV7)</f>
        <v>31.035409161920299</v>
      </c>
      <c r="IE7" s="116">
        <f>+MAX(AW7:AY7)</f>
        <v>34.684392034987198</v>
      </c>
      <c r="IF7" s="116">
        <f>+MAX(AZ7:BB7)</f>
        <v>38.9288355596643</v>
      </c>
      <c r="IG7" s="116">
        <f>+MAX(BC7:BE7)</f>
        <v>42.063340429740002</v>
      </c>
      <c r="IH7" s="116">
        <f>+MAX(BF7:BH7)</f>
        <v>48.470497041065101</v>
      </c>
      <c r="II7" s="116">
        <f>+MAX(BI7:BK7)</f>
        <v>52.200462562750999</v>
      </c>
      <c r="IJ7" s="116">
        <f>+MAX(BL7:BN7)</f>
        <v>66.334316589369195</v>
      </c>
      <c r="IK7" s="116">
        <f>+MAX(BO7:BQ7)</f>
        <v>70.964618616289599</v>
      </c>
      <c r="IL7" s="116">
        <f>+MAX(BR7:BT7)</f>
        <v>75.552047476294106</v>
      </c>
      <c r="IM7" s="116">
        <f>+MAX(BU7:BW7)</f>
        <v>63.68</v>
      </c>
      <c r="IN7" s="116">
        <f>+MAX(BX7:BZ7)</f>
        <v>64.760000000000005</v>
      </c>
      <c r="IO7" s="116">
        <f>+MAX(CA7:CC7)</f>
        <v>61.06</v>
      </c>
      <c r="IP7" s="116">
        <f>+MAX(CD7:CF7)</f>
        <v>53.19</v>
      </c>
      <c r="IQ7" s="116">
        <f>+MAX(CG7:CI7)</f>
        <v>56.164999999999999</v>
      </c>
      <c r="IR7" s="116">
        <f>+MAX(CJ7:CL7)</f>
        <v>51.484999999999999</v>
      </c>
      <c r="IS7" s="116">
        <f>+MAX(CM7:CO7)</f>
        <v>47.63</v>
      </c>
      <c r="IT7" s="116">
        <f>+MAX(CP7:CR7)</f>
        <v>50.6</v>
      </c>
      <c r="IU7" s="116">
        <f>+MAX(CS7:CU7)</f>
        <v>35.08</v>
      </c>
      <c r="IV7" s="116">
        <f>+MAX(CV7:CX7)</f>
        <v>44.365000000000002</v>
      </c>
      <c r="IW7" s="116">
        <f>+MAX(CY7:DA7)</f>
        <v>65.349999999999994</v>
      </c>
      <c r="IX7" s="116">
        <f>+MAX(DB7:DD7)</f>
        <v>82.35</v>
      </c>
      <c r="IY7" s="116">
        <f>+MAX(DE7:DG7)</f>
        <v>124.685</v>
      </c>
      <c r="IZ7" s="116">
        <f>+MAX(DH7:DJ7)</f>
        <v>153.44999999999999</v>
      </c>
      <c r="JA7" s="116">
        <f>+MAX(DK7:DM7)</f>
        <v>142.655</v>
      </c>
      <c r="JB7" s="116">
        <f>+MAX(DN7:DP7)</f>
        <v>136.6</v>
      </c>
      <c r="JC7" s="116">
        <f>+MAX(DQ7:DS7)</f>
        <v>138.66999999999999</v>
      </c>
      <c r="JD7" s="116">
        <f>+MAX(DT7:DV7)</f>
        <v>113.7</v>
      </c>
      <c r="JE7" s="116">
        <f>+MAX(DW7:DY7)</f>
        <v>116.1</v>
      </c>
      <c r="JF7" s="116">
        <f>+MAX(DZ7:EB7)</f>
        <v>124.3</v>
      </c>
      <c r="JG7" s="116">
        <f>+MAX(EC7:EE7)</f>
        <v>115.6</v>
      </c>
      <c r="JH7" s="116">
        <f>+MAX(EF7:EH7)</f>
        <v>135</v>
      </c>
      <c r="JI7" s="116">
        <f>+MAX(EI7:EK7)</f>
        <v>141.25</v>
      </c>
      <c r="JJ7" s="116">
        <f>+MAX(EL7:EN7)</f>
        <v>159.15</v>
      </c>
      <c r="JK7" s="116">
        <f>MAX(EO7:EQ7)</f>
        <v>184.6</v>
      </c>
      <c r="JL7" s="116">
        <f>MAX(ER7:ET7)</f>
        <v>178.19</v>
      </c>
      <c r="JM7" s="116">
        <f>MAX(EU7:EW7)</f>
        <v>169.99</v>
      </c>
      <c r="JN7" s="116">
        <f>MAX(EX7:EZ7)</f>
        <v>160.1</v>
      </c>
      <c r="JO7" s="116">
        <f>MAX(FA7:FC7)</f>
        <v>165.55</v>
      </c>
      <c r="JP7" s="116">
        <f>MAX(FD7:FF7)</f>
        <v>174.44</v>
      </c>
      <c r="JQ7" s="116">
        <f>MAX(FG7:FI7)</f>
        <v>186.94</v>
      </c>
      <c r="JR7" s="116">
        <f>MAX(FJ7:FL7)</f>
        <v>216.45</v>
      </c>
      <c r="JS7" s="116">
        <f>MAX(FM7:FO7)</f>
        <v>224.4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37.070998326640598</v>
      </c>
      <c r="D8" s="116" cm="1">
        <f t="array" ref="D8">_xll.EQNXTDZ($A$1,$B8,D$1)</f>
        <v>36.394555026411503</v>
      </c>
      <c r="E8" s="116" cm="1">
        <f t="array" ref="E8">_xll.EQNXTDZ($A$1,$B8,E$1)</f>
        <v>34.117513494654403</v>
      </c>
      <c r="F8" s="116" cm="1">
        <f t="array" ref="F8">_xll.EQNXTDZ($A$1,$B8,F$1)</f>
        <v>33.083793803459201</v>
      </c>
      <c r="G8" s="116" cm="1">
        <f t="array" ref="G8">_xll.EQNXTDZ($A$1,$B8,G$1)</f>
        <v>32.297785743333797</v>
      </c>
      <c r="H8" s="116" cm="1">
        <f t="array" ref="H8">_xll.EQNXTDZ($A$1,$B8,H$1)</f>
        <v>34.212787198911997</v>
      </c>
      <c r="I8" s="116" cm="1">
        <f t="array" ref="I8">_xll.EQNXTDZ($A$1,$B8,I$1)</f>
        <v>36.842341436422302</v>
      </c>
      <c r="J8" s="116" cm="1">
        <f t="array" ref="J8">_xll.EQNXTDZ($A$1,$B8,J$1)</f>
        <v>37.833187960701601</v>
      </c>
      <c r="K8" s="116" cm="1">
        <f t="array" ref="K8">_xll.EQNXTDZ($A$1,$B8,K$1)</f>
        <v>32.202512039076197</v>
      </c>
      <c r="L8" s="116" cm="1">
        <f t="array" ref="L8">_xll.EQNXTDZ($A$1,$B8,L$1)</f>
        <v>28.648802870266898</v>
      </c>
      <c r="M8" s="116" cm="1">
        <f t="array" ref="M8">_xll.EQNXTDZ($A$1,$B8,M$1)</f>
        <v>27.867558495354402</v>
      </c>
      <c r="N8" s="116" cm="1">
        <f t="array" ref="N8">_xll.EQNXTDZ($A$1,$B8,N$1)</f>
        <v>27.638901605136098</v>
      </c>
      <c r="O8" s="116" cm="1">
        <f t="array" ref="O8">_xll.EQNXTDZ($A$1,$B8,O$1)</f>
        <v>24.899782607729499</v>
      </c>
      <c r="P8" s="116" cm="1">
        <f t="array" ref="P8">_xll.EQNXTDZ($A$1,$B8,P$1)</f>
        <v>19.2786340565298</v>
      </c>
      <c r="Q8" s="116" cm="1">
        <f t="array" ref="Q8">_xll.EQNXTDZ($A$1,$B8,Q$1)</f>
        <v>18.606954441513501</v>
      </c>
      <c r="R8" s="116" cm="1">
        <f t="array" ref="R8">_xll.EQNXTDZ($A$1,$B8,R$1)</f>
        <v>25.357096388165999</v>
      </c>
      <c r="S8" s="116" cm="1">
        <f t="array" ref="S8">_xll.EQNXTDZ($A$1,$B8,S$1)</f>
        <v>25.614335389661601</v>
      </c>
      <c r="T8" s="116" cm="1">
        <f t="array" ref="T8">_xll.EQNXTDZ($A$1,$B8,T$1)</f>
        <v>31.5975240170403</v>
      </c>
      <c r="U8" s="116" cm="1">
        <f t="array" ref="U8">_xll.EQNXTDZ($A$1,$B8,U$1)</f>
        <v>37.7283868860182</v>
      </c>
      <c r="V8" s="116" cm="1">
        <f t="array" ref="V8">_xll.EQNXTDZ($A$1,$B8,V$1)</f>
        <v>32.507387892700599</v>
      </c>
      <c r="W8" s="116" cm="1">
        <f t="array" ref="W8">_xll.EQNXTDZ($A$1,$B8,W$1)</f>
        <v>32.016728315773797</v>
      </c>
      <c r="X8" s="116" cm="1">
        <f t="array" ref="X8">_xll.EQNXTDZ($A$1,$B8,X$1)</f>
        <v>31.630869813530399</v>
      </c>
      <c r="Y8" s="116" cm="1">
        <f t="array" ref="Y8">_xll.EQNXTDZ($A$1,$B8,Y$1)</f>
        <v>36.8232866955708</v>
      </c>
      <c r="Z8" s="116" cm="1">
        <f t="array" ref="Z8">_xll.EQNXTDZ($A$1,$B8,Z$1)</f>
        <v>36.975724622382998</v>
      </c>
      <c r="AA8" s="116" cm="1">
        <f t="array" ref="AA8">_xll.EQNXTDZ($A$1,$B8,AA$1)</f>
        <v>44.916787872255803</v>
      </c>
      <c r="AB8" s="116" cm="1">
        <f t="array" ref="AB8">_xll.EQNXTDZ($A$1,$B8,AB$1)</f>
        <v>46.898480920814301</v>
      </c>
      <c r="AC8" s="116" cm="1">
        <f t="array" ref="AC8">_xll.EQNXTDZ($A$1,$B8,AC$1)</f>
        <v>48.565770745322702</v>
      </c>
      <c r="AD8" s="116" cm="1">
        <f t="array" ref="AD8">_xll.EQNXTDZ($A$1,$B8,AD$1)</f>
        <v>43.030368527954899</v>
      </c>
      <c r="AE8" s="116" cm="1">
        <f t="array" ref="AE8">_xll.EQNXTDZ($A$1,$B8,AE$1)</f>
        <v>41.501225574620001</v>
      </c>
      <c r="AF8" s="116" cm="1">
        <f t="array" ref="AF8">_xll.EQNXTDZ($A$1,$B8,AF$1)</f>
        <v>43.6829934021196</v>
      </c>
      <c r="AG8" s="116" cm="1">
        <f t="array" ref="AG8">_xll.EQNXTDZ($A$1,$B8,AG$1)</f>
        <v>36.870923547699597</v>
      </c>
      <c r="AH8" s="116" cm="1">
        <f t="array" ref="AH8">_xll.EQNXTDZ($A$1,$B8,AH$1)</f>
        <v>35.4513453542611</v>
      </c>
      <c r="AI8" s="116" cm="1">
        <f t="array" ref="AI8">_xll.EQNXTDZ($A$1,$B8,AI$1)</f>
        <v>32.797972690686301</v>
      </c>
      <c r="AJ8" s="116" cm="1">
        <f t="array" ref="AJ8">_xll.EQNXTDZ($A$1,$B8,AJ$1)</f>
        <v>29.649176764971902</v>
      </c>
      <c r="AK8" s="116" cm="1">
        <f t="array" ref="AK8">_xll.EQNXTDZ($A$1,$B8,AK$1)</f>
        <v>30.106490545408501</v>
      </c>
      <c r="AL8" s="116" cm="1">
        <f t="array" ref="AL8">_xll.EQNXTDZ($A$1,$B8,AL$1)</f>
        <v>30.692423826592901</v>
      </c>
      <c r="AM8" s="116" cm="1">
        <f t="array" ref="AM8">_xll.EQNXTDZ($A$1,$B8,AM$1)</f>
        <v>27.3816626036405</v>
      </c>
      <c r="AN8" s="116" cm="1">
        <f t="array" ref="AN8">_xll.EQNXTDZ($A$1,$B8,AN$1)</f>
        <v>23.342057543117299</v>
      </c>
      <c r="AO8" s="116" cm="1">
        <f t="array" ref="AO8">_xll.EQNXTDZ($A$1,$B8,AO$1)</f>
        <v>19.064268221950101</v>
      </c>
      <c r="AP8" s="116" cm="1">
        <f t="array" ref="AP8">_xll.EQNXTDZ($A$1,$B8,AP$1)</f>
        <v>19.026158740247102</v>
      </c>
      <c r="AQ8" s="116" cm="1">
        <f t="array" ref="AQ8">_xll.EQNXTDZ($A$1,$B8,AQ$1)</f>
        <v>20.031296320165001</v>
      </c>
      <c r="AR8" s="116" cm="1">
        <f t="array" ref="AR8">_xll.EQNXTDZ($A$1,$B8,AR$1)</f>
        <v>20.259953210383301</v>
      </c>
      <c r="AS8" s="116" cm="1">
        <f t="array" ref="AS8">_xll.EQNXTDZ($A$1,$B8,AS$1)</f>
        <v>21.4270560875391</v>
      </c>
      <c r="AT8" s="116" cm="1">
        <f t="array" ref="AT8">_xll.EQNXTDZ($A$1,$B8,AT$1)</f>
        <v>21.455638198816398</v>
      </c>
      <c r="AU8" s="116" cm="1">
        <f t="array" ref="AU8">_xll.EQNXTDZ($A$1,$B8,AU$1)</f>
        <v>20.117042653996801</v>
      </c>
      <c r="AV8" s="116" cm="1">
        <f t="array" ref="AV8">_xll.EQNXTDZ($A$1,$B8,AV$1)</f>
        <v>23.4897317847166</v>
      </c>
      <c r="AW8" s="116" cm="1">
        <f t="array" ref="AW8">_xll.EQNXTDZ($A$1,$B8,AW$1)</f>
        <v>29.372883022624801</v>
      </c>
      <c r="AX8" s="116" cm="1">
        <f t="array" ref="AX8">_xll.EQNXTDZ($A$1,$B8,AX$1)</f>
        <v>29.653940450184798</v>
      </c>
      <c r="AY8" s="116" cm="1">
        <f t="array" ref="AY8">_xll.EQNXTDZ($A$1,$B8,AY$1)</f>
        <v>28.229598571533302</v>
      </c>
      <c r="AZ8" s="116" cm="1">
        <f t="array" ref="AZ8">_xll.EQNXTDZ($A$1,$B8,AZ$1)</f>
        <v>29.734923098803801</v>
      </c>
      <c r="BA8" s="116" cm="1">
        <f t="array" ref="BA8">_xll.EQNXTDZ($A$1,$B8,BA$1)</f>
        <v>33.750709733262497</v>
      </c>
      <c r="BB8" s="116" cm="1">
        <f t="array" ref="BB8">_xll.EQNXTDZ($A$1,$B8,BB$1)</f>
        <v>33.850747122732997</v>
      </c>
      <c r="BC8" s="116" cm="1">
        <f t="array" ref="BC8">_xll.EQNXTDZ($A$1,$B8,BC$1)</f>
        <v>35.851494912143103</v>
      </c>
      <c r="BD8" s="116" cm="1">
        <f t="array" ref="BD8">_xll.EQNXTDZ($A$1,$B8,BD$1)</f>
        <v>34.8987578695669</v>
      </c>
      <c r="BE8" s="116" cm="1">
        <f t="array" ref="BE8">_xll.EQNXTDZ($A$1,$B8,BE$1)</f>
        <v>35.951532301613597</v>
      </c>
      <c r="BF8" s="116" cm="1">
        <f t="array" ref="BF8">_xll.EQNXTDZ($A$1,$B8,BF$1)</f>
        <v>37.051943585789097</v>
      </c>
      <c r="BG8" s="116" cm="1">
        <f t="array" ref="BG8">_xll.EQNXTDZ($A$1,$B8,BG$1)</f>
        <v>43.4114633449854</v>
      </c>
      <c r="BH8" s="116" cm="1">
        <f t="array" ref="BH8">_xll.EQNXTDZ($A$1,$B8,BH$1)</f>
        <v>44.035506107872799</v>
      </c>
      <c r="BI8" s="116" cm="1">
        <f t="array" ref="BI8">_xll.EQNXTDZ($A$1,$B8,BI$1)</f>
        <v>42.115740967081699</v>
      </c>
      <c r="BJ8" s="116" cm="1">
        <f t="array" ref="BJ8">_xll.EQNXTDZ($A$1,$B8,BJ$1)</f>
        <v>40.777145422262102</v>
      </c>
      <c r="BK8" s="116" cm="1">
        <f t="array" ref="BK8">_xll.EQNXTDZ($A$1,$B8,BK$1)</f>
        <v>46.398293973461797</v>
      </c>
      <c r="BL8" s="116" cm="1">
        <f t="array" ref="BL8">_xll.EQNXTDZ($A$1,$B8,BL$1)</f>
        <v>51.643111392843899</v>
      </c>
      <c r="BM8" s="116" cm="1">
        <f t="array" ref="BM8">_xll.EQNXTDZ($A$1,$B8,BM$1)</f>
        <v>53.119853808837</v>
      </c>
      <c r="BN8" s="116" cm="1">
        <f t="array" ref="BN8">_xll.EQNXTDZ($A$1,$B8,BN$1)</f>
        <v>59.365045122924101</v>
      </c>
      <c r="BO8" s="116" cm="1">
        <f t="array" ref="BO8">_xll.EQNXTDZ($A$1,$B8,BO$1)</f>
        <v>62.351875751400598</v>
      </c>
      <c r="BP8" s="116" cm="1">
        <f t="array" ref="BP8">_xll.EQNXTDZ($A$1,$B8,BP$1)</f>
        <v>63.761926574413401</v>
      </c>
      <c r="BQ8" s="116" cm="1">
        <f t="array" ref="BQ8">_xll.EQNXTDZ($A$1,$B8,BQ$1)</f>
        <v>62.947336403010702</v>
      </c>
      <c r="BR8" s="116" cm="1">
        <f t="array" ref="BR8">_xll.EQNXTDZ($A$1,$B8,BR$1)</f>
        <v>68.144516970263993</v>
      </c>
      <c r="BS8" s="116" cm="1">
        <f t="array" ref="BS8">_xll.EQNXTDZ($A$1,$B8,BS$1)</f>
        <v>63.255000000000003</v>
      </c>
      <c r="BT8" s="116" cm="1">
        <f t="array" ref="BT8">_xll.EQNXTDZ($A$1,$B8,BT$1)</f>
        <v>55.35</v>
      </c>
      <c r="BU8" s="116" cm="1">
        <f t="array" ref="BU8">_xll.EQNXTDZ($A$1,$B8,BU$1)</f>
        <v>55.755000000000003</v>
      </c>
      <c r="BV8" s="116" cm="1">
        <f t="array" ref="BV8">_xll.EQNXTDZ($A$1,$B8,BV$1)</f>
        <v>53.655000000000001</v>
      </c>
      <c r="BW8" s="116" cm="1">
        <f t="array" ref="BW8">_xll.EQNXTDZ($A$1,$B8,BW$1)</f>
        <v>53.825000000000003</v>
      </c>
      <c r="BX8" s="116" cm="1">
        <f t="array" ref="BX8">_xll.EQNXTDZ($A$1,$B8,BX$1)</f>
        <v>49.3</v>
      </c>
      <c r="BY8" s="116" cm="1">
        <f t="array" ref="BY8">_xll.EQNXTDZ($A$1,$B8,BY$1)</f>
        <v>54.06</v>
      </c>
      <c r="BZ8" s="116" cm="1">
        <f t="array" ref="BZ8">_xll.EQNXTDZ($A$1,$B8,BZ$1)</f>
        <v>57.5</v>
      </c>
      <c r="CA8" s="116" cm="1">
        <f t="array" ref="CA8">_xll.EQNXTDZ($A$1,$B8,CA$1)</f>
        <v>52.935000000000002</v>
      </c>
      <c r="CB8" s="116" cm="1">
        <f t="array" ref="CB8">_xll.EQNXTDZ($A$1,$B8,CB$1)</f>
        <v>51.25</v>
      </c>
      <c r="CC8" s="116" cm="1">
        <f t="array" ref="CC8">_xll.EQNXTDZ($A$1,$B8,CC$1)</f>
        <v>48.615000000000002</v>
      </c>
      <c r="CD8" s="116" cm="1">
        <f t="array" ref="CD8">_xll.EQNXTDZ($A$1,$B8,CD$1)</f>
        <v>44.134999999999998</v>
      </c>
      <c r="CE8" s="116" cm="1">
        <f t="array" ref="CE8">_xll.EQNXTDZ($A$1,$B8,CE$1)</f>
        <v>45.2</v>
      </c>
      <c r="CF8" s="116" cm="1">
        <f t="array" ref="CF8">_xll.EQNXTDZ($A$1,$B8,CF$1)</f>
        <v>50.2</v>
      </c>
      <c r="CG8" s="116" cm="1">
        <f t="array" ref="CG8">_xll.EQNXTDZ($A$1,$B8,CG$1)</f>
        <v>50.9</v>
      </c>
      <c r="CH8" s="116" cm="1">
        <f t="array" ref="CH8">_xll.EQNXTDZ($A$1,$B8,CH$1)</f>
        <v>45.515000000000001</v>
      </c>
      <c r="CI8" s="116" cm="1">
        <f t="array" ref="CI8">_xll.EQNXTDZ($A$1,$B8,CI$1)</f>
        <v>46.365000000000002</v>
      </c>
      <c r="CJ8" s="116" cm="1">
        <f t="array" ref="CJ8">_xll.EQNXTDZ($A$1,$B8,CJ$1)</f>
        <v>40.619999999999997</v>
      </c>
      <c r="CK8" s="116" cm="1">
        <f t="array" ref="CK8">_xll.EQNXTDZ($A$1,$B8,CK$1)</f>
        <v>32.22</v>
      </c>
      <c r="CL8" s="116" cm="1">
        <f t="array" ref="CL8">_xll.EQNXTDZ($A$1,$B8,CL$1)</f>
        <v>32.729999999999997</v>
      </c>
      <c r="CM8" s="116" cm="1">
        <f t="array" ref="CM8">_xll.EQNXTDZ($A$1,$B8,CM$1)</f>
        <v>32.034999999999997</v>
      </c>
      <c r="CN8" s="116" cm="1">
        <f t="array" ref="CN8">_xll.EQNXTDZ($A$1,$B8,CN$1)</f>
        <v>37.799999999999997</v>
      </c>
      <c r="CO8" s="116" cm="1">
        <f t="array" ref="CO8">_xll.EQNXTDZ($A$1,$B8,CO$1)</f>
        <v>38.9</v>
      </c>
      <c r="CP8" s="116" cm="1">
        <f t="array" ref="CP8">_xll.EQNXTDZ($A$1,$B8,CP$1)</f>
        <v>43.645000000000003</v>
      </c>
      <c r="CQ8" s="116" cm="1">
        <f t="array" ref="CQ8">_xll.EQNXTDZ($A$1,$B8,CQ$1)</f>
        <v>37.5</v>
      </c>
      <c r="CR8" s="116" cm="1">
        <f t="array" ref="CR8">_xll.EQNXTDZ($A$1,$B8,CR$1)</f>
        <v>25.085000000000001</v>
      </c>
      <c r="CS8" s="116" cm="1">
        <f t="array" ref="CS8">_xll.EQNXTDZ($A$1,$B8,CS$1)</f>
        <v>25.1</v>
      </c>
      <c r="CT8" s="116" cm="1">
        <f t="array" ref="CT8">_xll.EQNXTDZ($A$1,$B8,CT$1)</f>
        <v>26.245000000000001</v>
      </c>
      <c r="CU8" s="116" cm="1">
        <f t="array" ref="CU8">_xll.EQNXTDZ($A$1,$B8,CU$1)</f>
        <v>30</v>
      </c>
      <c r="CV8" s="116" cm="1">
        <f t="array" ref="CV8">_xll.EQNXTDZ($A$1,$B8,CV$1)</f>
        <v>32.03</v>
      </c>
      <c r="CW8" s="116" cm="1">
        <f t="array" ref="CW8">_xll.EQNXTDZ($A$1,$B8,CW$1)</f>
        <v>36.204999999999998</v>
      </c>
      <c r="CX8" s="116" cm="1">
        <f t="array" ref="CX8">_xll.EQNXTDZ($A$1,$B8,CX$1)</f>
        <v>34.274999999999999</v>
      </c>
      <c r="CY8" s="116" cm="1">
        <f t="array" ref="CY8">_xll.EQNXTDZ($A$1,$B8,CY$1)</f>
        <v>36.25</v>
      </c>
      <c r="CZ8" s="116" cm="1">
        <f t="array" ref="CZ8">_xll.EQNXTDZ($A$1,$B8,CZ$1)</f>
        <v>39.869999999999997</v>
      </c>
      <c r="DA8" s="116" cm="1">
        <f t="array" ref="DA8">_xll.EQNXTDZ($A$1,$B8,DA$1)</f>
        <v>57.695</v>
      </c>
      <c r="DB8" s="116" cm="1">
        <f t="array" ref="DB8">_xll.EQNXTDZ($A$1,$B8,DB$1)</f>
        <v>59.6</v>
      </c>
      <c r="DC8" s="116" cm="1">
        <f t="array" ref="DC8">_xll.EQNXTDZ($A$1,$B8,DC$1)</f>
        <v>59.744999999999997</v>
      </c>
      <c r="DD8" s="116" cm="1">
        <f t="array" ref="DD8">_xll.EQNXTDZ($A$1,$B8,DD$1)</f>
        <v>68.125</v>
      </c>
      <c r="DE8" s="116" cm="1">
        <f t="array" ref="DE8">_xll.EQNXTDZ($A$1,$B8,DE$1)</f>
        <v>81.900000000000006</v>
      </c>
      <c r="DF8" s="116" cm="1">
        <f t="array" ref="DF8">_xll.EQNXTDZ($A$1,$B8,DF$1)</f>
        <v>101.85</v>
      </c>
      <c r="DG8" s="116" cm="1">
        <f t="array" ref="DG8">_xll.EQNXTDZ($A$1,$B8,DG$1)</f>
        <v>105.02500000000001</v>
      </c>
      <c r="DH8" s="116" cm="1">
        <f t="array" ref="DH8">_xll.EQNXTDZ($A$1,$B8,DH$1)</f>
        <v>113.02</v>
      </c>
      <c r="DI8" s="116" cm="1">
        <f t="array" ref="DI8">_xll.EQNXTDZ($A$1,$B8,DI$1)</f>
        <v>131.07499999999999</v>
      </c>
      <c r="DJ8" s="116" cm="1">
        <f t="array" ref="DJ8">_xll.EQNXTDZ($A$1,$B8,DJ$1)</f>
        <v>123.29</v>
      </c>
      <c r="DK8" s="116" cm="1">
        <f t="array" ref="DK8">_xll.EQNXTDZ($A$1,$B8,DK$1)</f>
        <v>126.5</v>
      </c>
      <c r="DL8" s="116" cm="1">
        <f t="array" ref="DL8">_xll.EQNXTDZ($A$1,$B8,DL$1)</f>
        <v>106.3</v>
      </c>
      <c r="DM8" s="116" cm="1">
        <f t="array" ref="DM8">_xll.EQNXTDZ($A$1,$B8,DM$1)</f>
        <v>106.605</v>
      </c>
      <c r="DN8" s="116" cm="1">
        <f t="array" ref="DN8">_xll.EQNXTDZ($A$1,$B8,DN$1)</f>
        <v>106.13</v>
      </c>
      <c r="DO8" s="116" cm="1">
        <f t="array" ref="DO8">_xll.EQNXTDZ($A$1,$B8,DO$1)</f>
        <v>106.71</v>
      </c>
      <c r="DP8" s="116" cm="1">
        <f t="array" ref="DP8">_xll.EQNXTDZ($A$1,$B8,DP$1)</f>
        <v>121.855</v>
      </c>
      <c r="DQ8" s="116" cm="1">
        <f t="array" ref="DQ8">_xll.EQNXTDZ($A$1,$B8,DQ$1)</f>
        <v>121.04</v>
      </c>
      <c r="DR8" s="116" cm="1">
        <f t="array" ref="DR8">_xll.EQNXTDZ($A$1,$B8,DR$1)</f>
        <v>99.18</v>
      </c>
      <c r="DS8" s="116" cm="1">
        <f t="array" ref="DS8">_xll.EQNXTDZ($A$1,$B8,DS$1)</f>
        <v>82.7</v>
      </c>
      <c r="DT8" s="116" cm="1">
        <f t="array" ref="DT8">_xll.EQNXTDZ($A$1,$B8,DT$1)</f>
        <v>83.805000000000007</v>
      </c>
      <c r="DU8" s="116" cm="1">
        <f t="array" ref="DU8">_xll.EQNXTDZ($A$1,$B8,DU$1)</f>
        <v>103.25</v>
      </c>
      <c r="DV8" s="116" cm="1">
        <f t="array" ref="DV8">_xll.EQNXTDZ($A$1,$B8,DV$1)</f>
        <v>95</v>
      </c>
      <c r="DW8" s="116" cm="1">
        <f t="array" ref="DW8">_xll.EQNXTDZ($A$1,$B8,DW$1)</f>
        <v>98</v>
      </c>
      <c r="DX8" s="116" cm="1">
        <f t="array" ref="DX8">_xll.EQNXTDZ($A$1,$B8,DX$1)</f>
        <v>98.55</v>
      </c>
      <c r="DY8" s="116" cm="1">
        <f t="array" ref="DY8">_xll.EQNXTDZ($A$1,$B8,DY$1)</f>
        <v>101.65</v>
      </c>
      <c r="DZ8" s="116" cm="1">
        <f t="array" ref="DZ8">_xll.EQNXTDZ($A$1,$B8,DZ$1)</f>
        <v>113.75</v>
      </c>
      <c r="EA8" s="116" cm="1">
        <f t="array" ref="EA8">_xll.EQNXTDZ($A$1,$B8,EA$1)</f>
        <v>103.55</v>
      </c>
      <c r="EB8" s="116" cm="1">
        <f t="array" ref="EB8">_xll.EQNXTDZ($A$1,$B8,EB$1)</f>
        <v>101.55</v>
      </c>
      <c r="EC8" s="116" cm="1">
        <f t="array" ref="EC8">_xll.EQNXTDZ($A$1,$B8,EC$1)</f>
        <v>103.2</v>
      </c>
      <c r="ED8" s="116" cm="1">
        <f t="array" ref="ED8">_xll.EQNXTDZ($A$1,$B8,ED$1)</f>
        <v>104.05</v>
      </c>
      <c r="EE8" s="116" cm="1">
        <f t="array" ref="EE8">_xll.EQNXTDZ($A$1,$B8,EE$1)</f>
        <v>105.8</v>
      </c>
      <c r="EF8" s="116" cm="1">
        <f t="array" ref="EF8">_xll.EQNXTDZ($A$1,$B8,EF$1)</f>
        <v>111.25</v>
      </c>
      <c r="EG8" s="116" cm="1">
        <f t="array" ref="EG8">_xll.EQNXTDZ($A$1,$B8,EG$1)</f>
        <v>114.7</v>
      </c>
      <c r="EH8" s="116" cm="1">
        <f t="array" ref="EH8">_xll.EQNXTDZ($A$1,$B8,EH$1)</f>
        <v>123.4</v>
      </c>
      <c r="EI8" s="116" cm="1">
        <f t="array" ref="EI8">_xll.EQNXTDZ($A$1,$B8,EI$1)</f>
        <v>118.4</v>
      </c>
      <c r="EJ8" s="116" cm="1">
        <f t="array" ref="EJ8">_xll.EQNXTDZ($A$1,$B8,EJ$1)</f>
        <v>114.6</v>
      </c>
      <c r="EK8" s="116" cm="1">
        <f t="array" ref="EK8">_xll.EQNXTDZ($A$1,$B8,EK$1)</f>
        <v>127.85</v>
      </c>
      <c r="EL8" s="116" cm="1">
        <f t="array" ref="EL8">_xll.EQNXTDZ($A$1,$B8,EL$1)</f>
        <v>128.19999999999999</v>
      </c>
      <c r="EM8" s="116" cm="1">
        <f t="array" ref="EM8">_xll.EQNXTDZ($A$1,$B8,EM$1)</f>
        <v>134.1</v>
      </c>
      <c r="EN8" s="116" cm="1">
        <f t="array" ref="EN8">_xll.EQNXTDZ($A$1,$B8,EN$1)</f>
        <v>138.35</v>
      </c>
      <c r="EO8" s="116" cm="1">
        <f t="array" ref="EO8">_xll.EQNXTDZ($A$1,$B8,EO$1)</f>
        <v>156.5</v>
      </c>
      <c r="EP8" s="116" cm="1">
        <f t="array" ref="EP8">_xll.EQNXTDZ($A$1,$B8,EP$1)</f>
        <v>158.05000000000001</v>
      </c>
      <c r="EQ8" s="116" cm="1">
        <f t="array" ref="EQ8">_xll.EQNXTDZ($A$1,$B8,EQ$1)</f>
        <v>148.15</v>
      </c>
      <c r="ER8" s="116" cm="1">
        <f t="array" ref="ER8">_xll.EQNXTDZ($A$1,$B8,ER$1)</f>
        <v>155</v>
      </c>
      <c r="ES8" s="116" cm="1">
        <f t="array" ref="ES8">_xll.EQNXTDZ($A$1,$B8,ES$1)</f>
        <v>142.35</v>
      </c>
      <c r="ET8" s="116" cm="1">
        <f t="array" ref="ET8">_xll.EQNXTDZ($A$1,$B8,ET$1)</f>
        <v>147.62</v>
      </c>
      <c r="EU8" s="116" cm="1">
        <f t="array" ref="EU8">_xll.EQNXTDZ($A$1,$B8,EU$1)</f>
        <v>144.43</v>
      </c>
      <c r="EV8" s="116" cm="1">
        <f t="array" ref="EV8">_xll.EQNXTDZ($A$1,$B8,EV$1)</f>
        <v>137.25</v>
      </c>
      <c r="EW8" s="116" cm="1">
        <f t="array" ref="EW8">_xll.EQNXTDZ($A$1,$B8,EW$1)</f>
        <v>136.09</v>
      </c>
      <c r="EX8" s="116" cm="1">
        <f t="array" ref="EX8">_xll.EQNXTDZ($A$1,$B8,EX$1)</f>
        <v>122.62</v>
      </c>
      <c r="EY8" s="116" cm="1">
        <f t="array" ref="EY8">_xll.EQNXTDZ($A$1,$B8,EY$1)</f>
        <v>127.81</v>
      </c>
      <c r="EZ8" s="116" cm="1">
        <f t="array" ref="EZ8">_xll.EQNXTDZ($A$1,$B8,EZ$1)</f>
        <v>134.31</v>
      </c>
      <c r="FA8" s="116" cm="1">
        <f t="array" ref="FA8">_xll.EQNXTDZ($A$1,$B8,FA$1)</f>
        <v>125.3</v>
      </c>
      <c r="FB8" s="116" cm="1">
        <f t="array" ref="FB8">_xll.EQNXTDZ($A$1,$B8,FB$1)</f>
        <v>139.44999999999999</v>
      </c>
      <c r="FC8" s="116" cm="1">
        <f t="array" ref="FC8">_xll.EQNXTDZ($A$1,$B8,FC$1)</f>
        <v>149.80000000000001</v>
      </c>
      <c r="FD8" s="116" cm="1">
        <f t="array" ref="FD8">_xll.EQNXTDZ($A$1,$B8,FD$1)</f>
        <v>156.56</v>
      </c>
      <c r="FE8" s="116" cm="1">
        <f t="array" ref="FE8">_xll.EQNXTDZ($A$1,$B8,FE$1)</f>
        <v>152.51</v>
      </c>
      <c r="FF8" s="116" cm="1">
        <f t="array" ref="FF8">_xll.EQNXTDZ($A$1,$B8,FF$1)</f>
        <v>153.69999999999999</v>
      </c>
      <c r="FG8" s="116" cm="1">
        <f t="array" ref="FG8">_xll.EQNXTDZ($A$1,$B8,FG$1)</f>
        <v>166.13</v>
      </c>
      <c r="FH8" s="116" cm="1">
        <f t="array" ref="FH8">_xll.EQNXTDZ($A$1,$B8,FH$1)</f>
        <v>165.08</v>
      </c>
      <c r="FI8" s="116" cm="1">
        <f t="array" ref="FI8">_xll.EQNXTDZ($A$1,$B8,FI$1)</f>
        <v>160.06</v>
      </c>
      <c r="FJ8" s="116" cm="1">
        <f t="array" ref="FJ8">_xll.EQNXTDZ($A$1,$B8,FJ$1)</f>
        <v>177.33</v>
      </c>
      <c r="FK8" s="116" cm="1">
        <f t="array" ref="FK8">_xll.EQNXTDZ($A$1,$B8,FK$1)</f>
        <v>182.55</v>
      </c>
      <c r="FL8" s="116" cm="1">
        <f t="array" ref="FL8">_xll.EQNXTDZ($A$1,$B8,FL$1)</f>
        <v>181.25</v>
      </c>
      <c r="FM8" s="116" cm="1">
        <f t="array" ref="FM8">_xll.EQNXTDZ($A$1,$B8,FM$1)</f>
        <v>187.95</v>
      </c>
      <c r="FN8" s="116" cm="1">
        <f t="array" ref="FN8">_xll.EQNXTDZ($A$1,$B8,FN$1)</f>
        <v>203.04</v>
      </c>
      <c r="FO8" s="116" cm="1">
        <f t="array" ref="FO8">_xll.EQNXTDZ($A$1,$B8,FO$1)</f>
        <v>193.31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33.083793803459201</v>
      </c>
      <c r="HQ8" s="116">
        <f>+MIN(G8:I8)</f>
        <v>32.297785743333797</v>
      </c>
      <c r="HR8" s="116">
        <f>+MIN(J8:L8)</f>
        <v>28.648802870266898</v>
      </c>
      <c r="HS8" s="116">
        <f>+MIN(M8:O8)</f>
        <v>24.899782607729499</v>
      </c>
      <c r="HT8" s="116">
        <f>+MIN(P8:R8)</f>
        <v>18.606954441513501</v>
      </c>
      <c r="HU8" s="116">
        <f>+MIN(S8:U8)</f>
        <v>25.614335389661601</v>
      </c>
      <c r="HV8" s="116">
        <f>+MIN(V8:X8)</f>
        <v>31.630869813530399</v>
      </c>
      <c r="HW8" s="116">
        <f>+MIN(Y8:AA8)</f>
        <v>36.8232866955708</v>
      </c>
      <c r="HX8" s="116">
        <f>+MIN(AB8:AD8)</f>
        <v>43.030368527954899</v>
      </c>
      <c r="HY8" s="116">
        <f>+MIN(AE8:AG8)</f>
        <v>36.870923547699597</v>
      </c>
      <c r="HZ8" s="116">
        <f>+MIN(AH8:AJ8)</f>
        <v>29.649176764971902</v>
      </c>
      <c r="IA8" s="116">
        <f>+MIN(AK8:AM8)</f>
        <v>27.3816626036405</v>
      </c>
      <c r="IB8" s="116">
        <f>+MIN(AN8:AP8)</f>
        <v>19.026158740247102</v>
      </c>
      <c r="IC8" s="116">
        <f>+MIN(AQ8:AS8)</f>
        <v>20.031296320165001</v>
      </c>
      <c r="ID8" s="116">
        <f>+MIN(AT8:AV8)</f>
        <v>20.117042653996801</v>
      </c>
      <c r="IE8" s="116">
        <f>+MIN(AW8:AY8)</f>
        <v>28.229598571533302</v>
      </c>
      <c r="IF8" s="116">
        <f>+MIN(AZ8:BB8)</f>
        <v>29.734923098803801</v>
      </c>
      <c r="IG8" s="116">
        <f>+MIN(BC8:BE8)</f>
        <v>34.8987578695669</v>
      </c>
      <c r="IH8" s="116">
        <f>+MIN(BF8:BH8)</f>
        <v>37.051943585789097</v>
      </c>
      <c r="II8" s="116">
        <f>+MIN(BI8:BK8)</f>
        <v>40.777145422262102</v>
      </c>
      <c r="IJ8" s="116">
        <f>+MIN(BL8:BN8)</f>
        <v>51.643111392843899</v>
      </c>
      <c r="IK8" s="116">
        <f>+MIN(BO8:BQ8)</f>
        <v>62.351875751400598</v>
      </c>
      <c r="IL8" s="116">
        <f>+MIN(BR8:BT8)</f>
        <v>55.35</v>
      </c>
      <c r="IM8" s="116">
        <f>+MIN(BU8:BW8)</f>
        <v>53.655000000000001</v>
      </c>
      <c r="IN8" s="116">
        <f>+MIN(BX8:BZ8)</f>
        <v>49.3</v>
      </c>
      <c r="IO8" s="116">
        <f>+MIN(CA8:CC8)</f>
        <v>48.615000000000002</v>
      </c>
      <c r="IP8" s="116">
        <f>+MIN(CD8:CF8)</f>
        <v>44.134999999999998</v>
      </c>
      <c r="IQ8" s="116">
        <f>+MIN(CG8:CI8)</f>
        <v>45.515000000000001</v>
      </c>
      <c r="IR8" s="116">
        <f>+MIN(CJ8:CL8)</f>
        <v>32.22</v>
      </c>
      <c r="IS8" s="116">
        <f>+MIN(CM8:CO8)</f>
        <v>32.034999999999997</v>
      </c>
      <c r="IT8" s="116">
        <f>+MIN(CP8:CR8)</f>
        <v>25.085000000000001</v>
      </c>
      <c r="IU8" s="116">
        <f>+MIN(CS8:CU8)</f>
        <v>25.1</v>
      </c>
      <c r="IV8" s="116">
        <f>+MIN(CV8:CX8)</f>
        <v>32.03</v>
      </c>
      <c r="IW8" s="116">
        <f>+MIN(CY8:DA8)</f>
        <v>36.25</v>
      </c>
      <c r="IX8" s="116">
        <f>+MIN(DB8:DD8)</f>
        <v>59.6</v>
      </c>
      <c r="IY8" s="116">
        <f>+MIN(DE8:DG8)</f>
        <v>81.900000000000006</v>
      </c>
      <c r="IZ8" s="116">
        <f>+MIN(DH8:DJ8)</f>
        <v>113.02</v>
      </c>
      <c r="JA8" s="116">
        <f>+MIN(DK8:DM8)</f>
        <v>106.3</v>
      </c>
      <c r="JB8" s="116">
        <f>+MIN(DN8:DP8)</f>
        <v>106.13</v>
      </c>
      <c r="JC8" s="116">
        <f>+MIN(DQ8:DS8)</f>
        <v>82.7</v>
      </c>
      <c r="JD8" s="116">
        <f>+MIN(DT8:DV8)</f>
        <v>83.805000000000007</v>
      </c>
      <c r="JE8" s="116">
        <f>+MIN(DW8:DY8)</f>
        <v>98</v>
      </c>
      <c r="JF8" s="116">
        <f>+MIN(DZ8:EB8)</f>
        <v>101.55</v>
      </c>
      <c r="JG8" s="116">
        <f>+MIN(EC8:EE8)</f>
        <v>103.2</v>
      </c>
      <c r="JH8" s="116">
        <f>+MIN(EF8:EH8)</f>
        <v>111.25</v>
      </c>
      <c r="JI8" s="116">
        <f>+MIN(EI8:EK8)</f>
        <v>114.6</v>
      </c>
      <c r="JJ8" s="116">
        <f>+MIN(EL8:EN8)</f>
        <v>128.19999999999999</v>
      </c>
      <c r="JK8" s="116">
        <f>MIN(EO8:EQ8)</f>
        <v>148.15</v>
      </c>
      <c r="JL8" s="116">
        <f>MIN(ER8:ET8)</f>
        <v>142.35</v>
      </c>
      <c r="JM8" s="116">
        <f>MIN(EU8:EW8)</f>
        <v>136.09</v>
      </c>
      <c r="JN8" s="116">
        <f>MIN(EX8:EZ8)</f>
        <v>122.62</v>
      </c>
      <c r="JO8" s="116">
        <f>MIN(FA8:FC8)</f>
        <v>125.3</v>
      </c>
      <c r="JP8" s="116">
        <f>MIN(FD8:FF8)</f>
        <v>152.51</v>
      </c>
      <c r="JQ8" s="116">
        <f>MIN(FG8:FI8)</f>
        <v>160.06</v>
      </c>
      <c r="JR8" s="116">
        <f>MIN(FJ8:FL8)</f>
        <v>177.33</v>
      </c>
      <c r="JS8" s="116">
        <f>MIN(FM8:FO8)</f>
        <v>187.95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42.058576744527102</v>
      </c>
      <c r="D9" s="116" cm="1">
        <f t="array" ref="D9">_xll.EQNXTDZ($A$1,$B9,D$1)</f>
        <v>39.486186729571301</v>
      </c>
      <c r="E9" s="116" cm="1">
        <f t="array" ref="E9">_xll.EQNXTDZ($A$1,$B9,E$1)</f>
        <v>34.4319167187045</v>
      </c>
      <c r="F9" s="116" cm="1">
        <f t="array" ref="F9">_xll.EQNXTDZ($A$1,$B9,F$1)</f>
        <v>38.1952280368806</v>
      </c>
      <c r="G9" s="116" cm="1">
        <f t="array" ref="G9">_xll.EQNXTDZ($A$1,$B9,G$1)</f>
        <v>37.3663468098393</v>
      </c>
      <c r="H9" s="116" cm="1">
        <f t="array" ref="H9">_xll.EQNXTDZ($A$1,$B9,H$1)</f>
        <v>36.794704584293498</v>
      </c>
      <c r="I9" s="116" cm="1">
        <f t="array" ref="I9">_xll.EQNXTDZ($A$1,$B9,I$1)</f>
        <v>40.824782274390898</v>
      </c>
      <c r="J9" s="116" cm="1">
        <f t="array" ref="J9">_xll.EQNXTDZ($A$1,$B9,J$1)</f>
        <v>38.576322853911101</v>
      </c>
      <c r="K9" s="116" cm="1">
        <f t="array" ref="K9">_xll.EQNXTDZ($A$1,$B9,K$1)</f>
        <v>32.535970003977802</v>
      </c>
      <c r="L9" s="116" cm="1">
        <f t="array" ref="L9">_xll.EQNXTDZ($A$1,$B9,L$1)</f>
        <v>29.806378376996999</v>
      </c>
      <c r="M9" s="116" cm="1">
        <f t="array" ref="M9">_xll.EQNXTDZ($A$1,$B9,M$1)</f>
        <v>28.844113963994999</v>
      </c>
      <c r="N9" s="116" cm="1">
        <f t="array" ref="N9">_xll.EQNXTDZ($A$1,$B9,N$1)</f>
        <v>27.7961032171612</v>
      </c>
      <c r="O9" s="116" cm="1">
        <f t="array" ref="O9">_xll.EQNXTDZ($A$1,$B9,O$1)</f>
        <v>26.081176540524002</v>
      </c>
      <c r="P9" s="116" cm="1">
        <f t="array" ref="P9">_xll.EQNXTDZ($A$1,$B9,P$1)</f>
        <v>20.550538008368999</v>
      </c>
      <c r="Q9" s="116" cm="1">
        <f t="array" ref="Q9">_xll.EQNXTDZ($A$1,$B9,Q$1)</f>
        <v>26.1049949665884</v>
      </c>
      <c r="R9" s="116" cm="1">
        <f t="array" ref="R9">_xll.EQNXTDZ($A$1,$B9,R$1)</f>
        <v>25.8715743911572</v>
      </c>
      <c r="S9" s="116" cm="1">
        <f t="array" ref="S9">_xll.EQNXTDZ($A$1,$B9,S$1)</f>
        <v>31.907163555877499</v>
      </c>
      <c r="T9" s="116" cm="1">
        <f t="array" ref="T9">_xll.EQNXTDZ($A$1,$B9,T$1)</f>
        <v>38.166645925603298</v>
      </c>
      <c r="U9" s="116" cm="1">
        <f t="array" ref="U9">_xll.EQNXTDZ($A$1,$B9,U$1)</f>
        <v>40.415105346083202</v>
      </c>
      <c r="V9" s="116" cm="1">
        <f t="array" ref="V9">_xll.EQNXTDZ($A$1,$B9,V$1)</f>
        <v>33.922202400926203</v>
      </c>
      <c r="W9" s="116" cm="1">
        <f t="array" ref="W9">_xll.EQNXTDZ($A$1,$B9,W$1)</f>
        <v>32.755099523770397</v>
      </c>
      <c r="X9" s="116" cm="1">
        <f t="array" ref="X9">_xll.EQNXTDZ($A$1,$B9,X$1)</f>
        <v>37.533075792290099</v>
      </c>
      <c r="Y9" s="116" cm="1">
        <f t="array" ref="Y9">_xll.EQNXTDZ($A$1,$B9,Y$1)</f>
        <v>38.171409610816198</v>
      </c>
      <c r="Z9" s="116" cm="1">
        <f t="array" ref="Z9">_xll.EQNXTDZ($A$1,$B9,Z$1)</f>
        <v>45.264536892796102</v>
      </c>
      <c r="AA9" s="116" cm="1">
        <f t="array" ref="AA9">_xll.EQNXTDZ($A$1,$B9,AA$1)</f>
        <v>50.342625329727298</v>
      </c>
      <c r="AB9" s="116" cm="1">
        <f t="array" ref="AB9">_xll.EQNXTDZ($A$1,$B9,AB$1)</f>
        <v>52.724467936167898</v>
      </c>
      <c r="AC9" s="116" cm="1">
        <f t="array" ref="AC9">_xll.EQNXTDZ($A$1,$B9,AC$1)</f>
        <v>48.889701339798599</v>
      </c>
      <c r="AD9" s="116" cm="1">
        <f t="array" ref="AD9">_xll.EQNXTDZ($A$1,$B9,AD$1)</f>
        <v>43.735393939461296</v>
      </c>
      <c r="AE9" s="116" cm="1">
        <f t="array" ref="AE9">_xll.EQNXTDZ($A$1,$B9,AE$1)</f>
        <v>46.684115086234698</v>
      </c>
      <c r="AF9" s="116" cm="1">
        <f t="array" ref="AF9">_xll.EQNXTDZ($A$1,$B9,AF$1)</f>
        <v>45.097807910345303</v>
      </c>
      <c r="AG9" s="116" cm="1">
        <f t="array" ref="AG9">_xll.EQNXTDZ($A$1,$B9,AG$1)</f>
        <v>38.052317480494096</v>
      </c>
      <c r="AH9" s="116" cm="1">
        <f t="array" ref="AH9">_xll.EQNXTDZ($A$1,$B9,AH$1)</f>
        <v>37.199617827388401</v>
      </c>
      <c r="AI9" s="116" cm="1">
        <f t="array" ref="AI9">_xll.EQNXTDZ($A$1,$B9,AI$1)</f>
        <v>33.845983437520097</v>
      </c>
      <c r="AJ9" s="116" cm="1">
        <f t="array" ref="AJ9">_xll.EQNXTDZ($A$1,$B9,AJ$1)</f>
        <v>30.1779458236017</v>
      </c>
      <c r="AK9" s="116" cm="1">
        <f t="array" ref="AK9">_xll.EQNXTDZ($A$1,$B9,AK$1)</f>
        <v>34.331879329233999</v>
      </c>
      <c r="AL9" s="116" cm="1">
        <f t="array" ref="AL9">_xll.EQNXTDZ($A$1,$B9,AL$1)</f>
        <v>31.297411848628801</v>
      </c>
      <c r="AM9" s="116" cm="1">
        <f t="array" ref="AM9">_xll.EQNXTDZ($A$1,$B9,AM$1)</f>
        <v>29.020370316871599</v>
      </c>
      <c r="AN9" s="116" cm="1">
        <f t="array" ref="AN9">_xll.EQNXTDZ($A$1,$B9,AN$1)</f>
        <v>23.523077581206799</v>
      </c>
      <c r="AO9" s="116" cm="1">
        <f t="array" ref="AO9">_xll.EQNXTDZ($A$1,$B9,AO$1)</f>
        <v>21.4746929396679</v>
      </c>
      <c r="AP9" s="116" cm="1">
        <f t="array" ref="AP9">_xll.EQNXTDZ($A$1,$B9,AP$1)</f>
        <v>20.255189525170401</v>
      </c>
      <c r="AQ9" s="116" cm="1">
        <f t="array" ref="AQ9">_xll.EQNXTDZ($A$1,$B9,AQ$1)</f>
        <v>23.4944954699295</v>
      </c>
      <c r="AR9" s="116" cm="1">
        <f t="array" ref="AR9">_xll.EQNXTDZ($A$1,$B9,AR$1)</f>
        <v>21.874842497549999</v>
      </c>
      <c r="AS9" s="116" cm="1">
        <f t="array" ref="AS9">_xll.EQNXTDZ($A$1,$B9,AS$1)</f>
        <v>24.752108366130098</v>
      </c>
      <c r="AT9" s="116" cm="1">
        <f t="array" ref="AT9">_xll.EQNXTDZ($A$1,$B9,AT$1)</f>
        <v>23.789843953128202</v>
      </c>
      <c r="AU9" s="116" cm="1">
        <f t="array" ref="AU9">_xll.EQNXTDZ($A$1,$B9,AU$1)</f>
        <v>23.732679730573601</v>
      </c>
      <c r="AV9" s="116" cm="1">
        <f t="array" ref="AV9">_xll.EQNXTDZ($A$1,$B9,AV$1)</f>
        <v>30.4590032511617</v>
      </c>
      <c r="AW9" s="116" cm="1">
        <f t="array" ref="AW9">_xll.EQNXTDZ($A$1,$B9,AW$1)</f>
        <v>33.450597564851002</v>
      </c>
      <c r="AX9" s="116" cm="1">
        <f t="array" ref="AX9">_xll.EQNXTDZ($A$1,$B9,AX$1)</f>
        <v>31.854763018535799</v>
      </c>
      <c r="AY9" s="116" cm="1">
        <f t="array" ref="AY9">_xll.EQNXTDZ($A$1,$B9,AY$1)</f>
        <v>30.6733690857413</v>
      </c>
      <c r="AZ9" s="116" cm="1">
        <f t="array" ref="AZ9">_xll.EQNXTDZ($A$1,$B9,AZ$1)</f>
        <v>33.826928696668602</v>
      </c>
      <c r="BA9" s="116" cm="1">
        <f t="array" ref="BA9">_xll.EQNXTDZ($A$1,$B9,BA$1)</f>
        <v>35.2607979457458</v>
      </c>
      <c r="BB9" s="116" cm="1">
        <f t="array" ref="BB9">_xll.EQNXTDZ($A$1,$B9,BB$1)</f>
        <v>35.656183818414902</v>
      </c>
      <c r="BC9" s="116" cm="1">
        <f t="array" ref="BC9">_xll.EQNXTDZ($A$1,$B9,BC$1)</f>
        <v>38.5572681130595</v>
      </c>
      <c r="BD9" s="116" cm="1">
        <f t="array" ref="BD9">_xll.EQNXTDZ($A$1,$B9,BD$1)</f>
        <v>39.543350952125898</v>
      </c>
      <c r="BE9" s="116" cm="1">
        <f t="array" ref="BE9">_xll.EQNXTDZ($A$1,$B9,BE$1)</f>
        <v>37.2758367907945</v>
      </c>
      <c r="BF9" s="116" cm="1">
        <f t="array" ref="BF9">_xll.EQNXTDZ($A$1,$B9,BF$1)</f>
        <v>44.116488756491798</v>
      </c>
      <c r="BG9" s="116" cm="1">
        <f t="array" ref="BG9">_xll.EQNXTDZ($A$1,$B9,BG$1)</f>
        <v>45.988617045154001</v>
      </c>
      <c r="BH9" s="116" cm="1">
        <f t="array" ref="BH9">_xll.EQNXTDZ($A$1,$B9,BH$1)</f>
        <v>45.988617045154001</v>
      </c>
      <c r="BI9" s="116" cm="1">
        <f t="array" ref="BI9">_xll.EQNXTDZ($A$1,$B9,BI$1)</f>
        <v>42.801711637736602</v>
      </c>
      <c r="BJ9" s="116" cm="1">
        <f t="array" ref="BJ9">_xll.EQNXTDZ($A$1,$B9,BJ$1)</f>
        <v>48.0846385388217</v>
      </c>
      <c r="BK9" s="116" cm="1">
        <f t="array" ref="BK9">_xll.EQNXTDZ($A$1,$B9,BK$1)</f>
        <v>51.995624098597098</v>
      </c>
      <c r="BL9" s="116" cm="1">
        <f t="array" ref="BL9">_xll.EQNXTDZ($A$1,$B9,BL$1)</f>
        <v>54.0297176844973</v>
      </c>
      <c r="BM9" s="116" cm="1">
        <f t="array" ref="BM9">_xll.EQNXTDZ($A$1,$B9,BM$1)</f>
        <v>60.789387001575598</v>
      </c>
      <c r="BN9" s="116" cm="1">
        <f t="array" ref="BN9">_xll.EQNXTDZ($A$1,$B9,BN$1)</f>
        <v>62.170855713311099</v>
      </c>
      <c r="BO9" s="116" cm="1">
        <f t="array" ref="BO9">_xll.EQNXTDZ($A$1,$B9,BO$1)</f>
        <v>67.053633056514201</v>
      </c>
      <c r="BP9" s="116" cm="1">
        <f t="array" ref="BP9">_xll.EQNXTDZ($A$1,$B9,BP$1)</f>
        <v>66.134241810428193</v>
      </c>
      <c r="BQ9" s="116" cm="1">
        <f t="array" ref="BQ9">_xll.EQNXTDZ($A$1,$B9,BQ$1)</f>
        <v>69.778460998282199</v>
      </c>
      <c r="BR9" s="116" cm="1">
        <f t="array" ref="BR9">_xll.EQNXTDZ($A$1,$B9,BR$1)</f>
        <v>70.504999999999995</v>
      </c>
      <c r="BS9" s="116" cm="1">
        <f t="array" ref="BS9">_xll.EQNXTDZ($A$1,$B9,BS$1)</f>
        <v>67.16</v>
      </c>
      <c r="BT9" s="116" cm="1">
        <f t="array" ref="BT9">_xll.EQNXTDZ($A$1,$B9,BT$1)</f>
        <v>57.104999999999997</v>
      </c>
      <c r="BU9" s="116" cm="1">
        <f t="array" ref="BU9">_xll.EQNXTDZ($A$1,$B9,BU$1)</f>
        <v>59.494999999999997</v>
      </c>
      <c r="BV9" s="116" cm="1">
        <f t="array" ref="BV9">_xll.EQNXTDZ($A$1,$B9,BV$1)</f>
        <v>57.564999999999998</v>
      </c>
      <c r="BW9" s="116" cm="1">
        <f t="array" ref="BW9">_xll.EQNXTDZ($A$1,$B9,BW$1)</f>
        <v>56.774999999999999</v>
      </c>
      <c r="BX9" s="116" cm="1">
        <f t="array" ref="BX9">_xll.EQNXTDZ($A$1,$B9,BX$1)</f>
        <v>56.305</v>
      </c>
      <c r="BY9" s="116" cm="1">
        <f t="array" ref="BY9">_xll.EQNXTDZ($A$1,$B9,BY$1)</f>
        <v>60.05</v>
      </c>
      <c r="BZ9" s="116" cm="1">
        <f t="array" ref="BZ9">_xll.EQNXTDZ($A$1,$B9,BZ$1)</f>
        <v>58.125</v>
      </c>
      <c r="CA9" s="116" cm="1">
        <f t="array" ref="CA9">_xll.EQNXTDZ($A$1,$B9,CA$1)</f>
        <v>55.384999999999998</v>
      </c>
      <c r="CB9" s="116" cm="1">
        <f t="array" ref="CB9">_xll.EQNXTDZ($A$1,$B9,CB$1)</f>
        <v>52.95</v>
      </c>
      <c r="CC9" s="116" cm="1">
        <f t="array" ref="CC9">_xll.EQNXTDZ($A$1,$B9,CC$1)</f>
        <v>52.104999999999997</v>
      </c>
      <c r="CD9" s="116" cm="1">
        <f t="array" ref="CD9">_xll.EQNXTDZ($A$1,$B9,CD$1)</f>
        <v>47.67</v>
      </c>
      <c r="CE9" s="116" cm="1">
        <f t="array" ref="CE9">_xll.EQNXTDZ($A$1,$B9,CE$1)</f>
        <v>50.045000000000002</v>
      </c>
      <c r="CF9" s="116" cm="1">
        <f t="array" ref="CF9">_xll.EQNXTDZ($A$1,$B9,CF$1)</f>
        <v>52.1</v>
      </c>
      <c r="CG9" s="116" cm="1">
        <f t="array" ref="CG9">_xll.EQNXTDZ($A$1,$B9,CG$1)</f>
        <v>55.72</v>
      </c>
      <c r="CH9" s="116" cm="1">
        <f t="array" ref="CH9">_xll.EQNXTDZ($A$1,$B9,CH$1)</f>
        <v>48.83</v>
      </c>
      <c r="CI9" s="116" cm="1">
        <f t="array" ref="CI9">_xll.EQNXTDZ($A$1,$B9,CI$1)</f>
        <v>50.44</v>
      </c>
      <c r="CJ9" s="116" cm="1">
        <f t="array" ref="CJ9">_xll.EQNXTDZ($A$1,$B9,CJ$1)</f>
        <v>43.204999999999998</v>
      </c>
      <c r="CK9" s="116" cm="1">
        <f t="array" ref="CK9">_xll.EQNXTDZ($A$1,$B9,CK$1)</f>
        <v>34.49</v>
      </c>
      <c r="CL9" s="116" cm="1">
        <f t="array" ref="CL9">_xll.EQNXTDZ($A$1,$B9,CL$1)</f>
        <v>36.049999999999997</v>
      </c>
      <c r="CM9" s="116" cm="1">
        <f t="array" ref="CM9">_xll.EQNXTDZ($A$1,$B9,CM$1)</f>
        <v>38.055</v>
      </c>
      <c r="CN9" s="116" cm="1">
        <f t="array" ref="CN9">_xll.EQNXTDZ($A$1,$B9,CN$1)</f>
        <v>42.75</v>
      </c>
      <c r="CO9" s="116" cm="1">
        <f t="array" ref="CO9">_xll.EQNXTDZ($A$1,$B9,CO$1)</f>
        <v>47.204999999999998</v>
      </c>
      <c r="CP9" s="116" cm="1">
        <f t="array" ref="CP9">_xll.EQNXTDZ($A$1,$B9,CP$1)</f>
        <v>43.87</v>
      </c>
      <c r="CQ9" s="116" cm="1">
        <f t="array" ref="CQ9">_xll.EQNXTDZ($A$1,$B9,CQ$1)</f>
        <v>38.174999999999997</v>
      </c>
      <c r="CR9" s="116" cm="1">
        <f t="array" ref="CR9">_xll.EQNXTDZ($A$1,$B9,CR$1)</f>
        <v>26.96</v>
      </c>
      <c r="CS9" s="116" cm="1">
        <f t="array" ref="CS9">_xll.EQNXTDZ($A$1,$B9,CS$1)</f>
        <v>29.83</v>
      </c>
      <c r="CT9" s="116" cm="1">
        <f t="array" ref="CT9">_xll.EQNXTDZ($A$1,$B9,CT$1)</f>
        <v>29.52</v>
      </c>
      <c r="CU9" s="116" cm="1">
        <f t="array" ref="CU9">_xll.EQNXTDZ($A$1,$B9,CU$1)</f>
        <v>32.67</v>
      </c>
      <c r="CV9" s="116" cm="1">
        <f t="array" ref="CV9">_xll.EQNXTDZ($A$1,$B9,CV$1)</f>
        <v>36.630000000000003</v>
      </c>
      <c r="CW9" s="116" cm="1">
        <f t="array" ref="CW9">_xll.EQNXTDZ($A$1,$B9,CW$1)</f>
        <v>41.3</v>
      </c>
      <c r="CX9" s="116" cm="1">
        <f t="array" ref="CX9">_xll.EQNXTDZ($A$1,$B9,CX$1)</f>
        <v>35.975000000000001</v>
      </c>
      <c r="CY9" s="116" cm="1">
        <f t="array" ref="CY9">_xll.EQNXTDZ($A$1,$B9,CY$1)</f>
        <v>41.055</v>
      </c>
      <c r="CZ9" s="116" cm="1">
        <f t="array" ref="CZ9">_xll.EQNXTDZ($A$1,$B9,CZ$1)</f>
        <v>57.734999999999999</v>
      </c>
      <c r="DA9" s="116" cm="1">
        <f t="array" ref="DA9">_xll.EQNXTDZ($A$1,$B9,DA$1)</f>
        <v>64.364999999999995</v>
      </c>
      <c r="DB9" s="116" cm="1">
        <f t="array" ref="DB9">_xll.EQNXTDZ($A$1,$B9,DB$1)</f>
        <v>60.1</v>
      </c>
      <c r="DC9" s="116" cm="1">
        <f t="array" ref="DC9">_xll.EQNXTDZ($A$1,$B9,DC$1)</f>
        <v>71.515000000000001</v>
      </c>
      <c r="DD9" s="116" cm="1">
        <f t="array" ref="DD9">_xll.EQNXTDZ($A$1,$B9,DD$1)</f>
        <v>81.185000000000002</v>
      </c>
      <c r="DE9" s="116" cm="1">
        <f t="array" ref="DE9">_xll.EQNXTDZ($A$1,$B9,DE$1)</f>
        <v>103.4</v>
      </c>
      <c r="DF9" s="116" cm="1">
        <f t="array" ref="DF9">_xll.EQNXTDZ($A$1,$B9,DF$1)</f>
        <v>112.565</v>
      </c>
      <c r="DG9" s="116" cm="1">
        <f t="array" ref="DG9">_xll.EQNXTDZ($A$1,$B9,DG$1)</f>
        <v>116.66</v>
      </c>
      <c r="DH9" s="116" cm="1">
        <f t="array" ref="DH9">_xll.EQNXTDZ($A$1,$B9,DH$1)</f>
        <v>143.43</v>
      </c>
      <c r="DI9" s="116" cm="1">
        <f t="array" ref="DI9">_xll.EQNXTDZ($A$1,$B9,DI$1)</f>
        <v>145.02500000000001</v>
      </c>
      <c r="DJ9" s="116" cm="1">
        <f t="array" ref="DJ9">_xll.EQNXTDZ($A$1,$B9,DJ$1)</f>
        <v>128.88999999999999</v>
      </c>
      <c r="DK9" s="116" cm="1">
        <f t="array" ref="DK9">_xll.EQNXTDZ($A$1,$B9,DK$1)</f>
        <v>131.595</v>
      </c>
      <c r="DL9" s="116" cm="1">
        <f t="array" ref="DL9">_xll.EQNXTDZ($A$1,$B9,DL$1)</f>
        <v>107.12</v>
      </c>
      <c r="DM9" s="116" cm="1">
        <f t="array" ref="DM9">_xll.EQNXTDZ($A$1,$B9,DM$1)</f>
        <v>111.145</v>
      </c>
      <c r="DN9" s="116" cm="1">
        <f t="array" ref="DN9">_xll.EQNXTDZ($A$1,$B9,DN$1)</f>
        <v>108.55500000000001</v>
      </c>
      <c r="DO9" s="116" cm="1">
        <f t="array" ref="DO9">_xll.EQNXTDZ($A$1,$B9,DO$1)</f>
        <v>122.075</v>
      </c>
      <c r="DP9" s="116" cm="1">
        <f t="array" ref="DP9">_xll.EQNXTDZ($A$1,$B9,DP$1)</f>
        <v>130.72</v>
      </c>
      <c r="DQ9" s="116" cm="1">
        <f t="array" ref="DQ9">_xll.EQNXTDZ($A$1,$B9,DQ$1)</f>
        <v>127.105</v>
      </c>
      <c r="DR9" s="116" cm="1">
        <f t="array" ref="DR9">_xll.EQNXTDZ($A$1,$B9,DR$1)</f>
        <v>105.565</v>
      </c>
      <c r="DS9" s="116" cm="1">
        <f t="array" ref="DS9">_xll.EQNXTDZ($A$1,$B9,DS$1)</f>
        <v>86.704999999999998</v>
      </c>
      <c r="DT9" s="116" cm="1">
        <f t="array" ref="DT9">_xll.EQNXTDZ($A$1,$B9,DT$1)</f>
        <v>107.6</v>
      </c>
      <c r="DU9" s="116" cm="1">
        <f t="array" ref="DU9">_xll.EQNXTDZ($A$1,$B9,DU$1)</f>
        <v>108.3</v>
      </c>
      <c r="DV9" s="116" cm="1">
        <f t="array" ref="DV9">_xll.EQNXTDZ($A$1,$B9,DV$1)</f>
        <v>99.3</v>
      </c>
      <c r="DW9" s="116" cm="1">
        <f t="array" ref="DW9">_xll.EQNXTDZ($A$1,$B9,DW$1)</f>
        <v>101.55</v>
      </c>
      <c r="DX9" s="116" cm="1">
        <f t="array" ref="DX9">_xll.EQNXTDZ($A$1,$B9,DX$1)</f>
        <v>107.65</v>
      </c>
      <c r="DY9" s="116" cm="1">
        <f t="array" ref="DY9">_xll.EQNXTDZ($A$1,$B9,DY$1)</f>
        <v>112.65</v>
      </c>
      <c r="DZ9" s="116" cm="1">
        <f t="array" ref="DZ9">_xll.EQNXTDZ($A$1,$B9,DZ$1)</f>
        <v>119.7</v>
      </c>
      <c r="EA9" s="116" cm="1">
        <f t="array" ref="EA9">_xll.EQNXTDZ($A$1,$B9,EA$1)</f>
        <v>103.95</v>
      </c>
      <c r="EB9" s="116" cm="1">
        <f t="array" ref="EB9">_xll.EQNXTDZ($A$1,$B9,EB$1)</f>
        <v>104.5</v>
      </c>
      <c r="EC9" s="116" cm="1">
        <f t="array" ref="EC9">_xll.EQNXTDZ($A$1,$B9,EC$1)</f>
        <v>107.95</v>
      </c>
      <c r="ED9" s="116" cm="1">
        <f t="array" ref="ED9">_xll.EQNXTDZ($A$1,$B9,ED$1)</f>
        <v>105.8</v>
      </c>
      <c r="EE9" s="116" cm="1">
        <f t="array" ref="EE9">_xll.EQNXTDZ($A$1,$B9,EE$1)</f>
        <v>112</v>
      </c>
      <c r="EF9" s="116" cm="1">
        <f t="array" ref="EF9">_xll.EQNXTDZ($A$1,$B9,EF$1)</f>
        <v>123.15</v>
      </c>
      <c r="EG9" s="116" cm="1">
        <f t="array" ref="EG9">_xll.EQNXTDZ($A$1,$B9,EG$1)</f>
        <v>122.9</v>
      </c>
      <c r="EH9" s="116" cm="1">
        <f t="array" ref="EH9">_xll.EQNXTDZ($A$1,$B9,EH$1)</f>
        <v>128.9</v>
      </c>
      <c r="EI9" s="116" cm="1">
        <f t="array" ref="EI9">_xll.EQNXTDZ($A$1,$B9,EI$1)</f>
        <v>118.75</v>
      </c>
      <c r="EJ9" s="116" cm="1">
        <f t="array" ref="EJ9">_xll.EQNXTDZ($A$1,$B9,EJ$1)</f>
        <v>127.9</v>
      </c>
      <c r="EK9" s="116" cm="1">
        <f t="array" ref="EK9">_xll.EQNXTDZ($A$1,$B9,EK$1)</f>
        <v>139.6</v>
      </c>
      <c r="EL9" s="116" cm="1">
        <f t="array" ref="EL9">_xll.EQNXTDZ($A$1,$B9,EL$1)</f>
        <v>135.94999999999999</v>
      </c>
      <c r="EM9" s="116" cm="1">
        <f t="array" ref="EM9">_xll.EQNXTDZ($A$1,$B9,EM$1)</f>
        <v>140.85</v>
      </c>
      <c r="EN9" s="116" cm="1">
        <f t="array" ref="EN9">_xll.EQNXTDZ($A$1,$B9,EN$1)</f>
        <v>155.85</v>
      </c>
      <c r="EO9" s="116" cm="1">
        <f t="array" ref="EO9">_xll.EQNXTDZ($A$1,$B9,EO$1)</f>
        <v>165</v>
      </c>
      <c r="EP9" s="116" cm="1">
        <f t="array" ref="EP9">_xll.EQNXTDZ($A$1,$B9,EP$1)</f>
        <v>167.2</v>
      </c>
      <c r="EQ9" s="116" cm="1">
        <f t="array" ref="EQ9">_xll.EQNXTDZ($A$1,$B9,EQ$1)</f>
        <v>174.01</v>
      </c>
      <c r="ER9" s="116" cm="1">
        <f t="array" ref="ER9">_xll.EQNXTDZ($A$1,$B9,ER$1)</f>
        <v>165.33</v>
      </c>
      <c r="ES9" s="116" cm="1">
        <f t="array" ref="ES9">_xll.EQNXTDZ($A$1,$B9,ES$1)</f>
        <v>152.76</v>
      </c>
      <c r="ET9" s="116" cm="1">
        <f t="array" ref="ET9">_xll.EQNXTDZ($A$1,$B9,ET$1)</f>
        <v>168.55</v>
      </c>
      <c r="EU9" s="116" cm="1">
        <f t="array" ref="EU9">_xll.EQNXTDZ($A$1,$B9,EU$1)</f>
        <v>148.56</v>
      </c>
      <c r="EV9" s="116" cm="1">
        <f t="array" ref="EV9">_xll.EQNXTDZ($A$1,$B9,EV$1)</f>
        <v>144.54</v>
      </c>
      <c r="EW9" s="116" cm="1">
        <f t="array" ref="EW9">_xll.EQNXTDZ($A$1,$B9,EW$1)</f>
        <v>138.05000000000001</v>
      </c>
      <c r="EX9" s="116" cm="1">
        <f t="array" ref="EX9">_xll.EQNXTDZ($A$1,$B9,EX$1)</f>
        <v>134.62</v>
      </c>
      <c r="EY9" s="116" cm="1">
        <f t="array" ref="EY9">_xll.EQNXTDZ($A$1,$B9,EY$1)</f>
        <v>137.19999999999999</v>
      </c>
      <c r="EZ9" s="116" cm="1">
        <f t="array" ref="EZ9">_xll.EQNXTDZ($A$1,$B9,EZ$1)</f>
        <v>154.24</v>
      </c>
      <c r="FA9" s="116" cm="1">
        <f t="array" ref="FA9">_xll.EQNXTDZ($A$1,$B9,FA$1)</f>
        <v>140.08000000000001</v>
      </c>
      <c r="FB9" s="116" cm="1">
        <f t="array" ref="FB9">_xll.EQNXTDZ($A$1,$B9,FB$1)</f>
        <v>161.02000000000001</v>
      </c>
      <c r="FC9" s="116" cm="1">
        <f t="array" ref="FC9">_xll.EQNXTDZ($A$1,$B9,FC$1)</f>
        <v>159.76</v>
      </c>
      <c r="FD9" s="116" cm="1">
        <f t="array" ref="FD9">_xll.EQNXTDZ($A$1,$B9,FD$1)</f>
        <v>157.94</v>
      </c>
      <c r="FE9" s="116" cm="1">
        <f t="array" ref="FE9">_xll.EQNXTDZ($A$1,$B9,FE$1)</f>
        <v>154.47999999999999</v>
      </c>
      <c r="FF9" s="116" cm="1">
        <f t="array" ref="FF9">_xll.EQNXTDZ($A$1,$B9,FF$1)</f>
        <v>168.77</v>
      </c>
      <c r="FG9" s="116" cm="1">
        <f t="array" ref="FG9">_xll.EQNXTDZ($A$1,$B9,FG$1)</f>
        <v>182.84</v>
      </c>
      <c r="FH9" s="116" cm="1">
        <f t="array" ref="FH9">_xll.EQNXTDZ($A$1,$B9,FH$1)</f>
        <v>167.96</v>
      </c>
      <c r="FI9" s="116" cm="1">
        <f t="array" ref="FI9">_xll.EQNXTDZ($A$1,$B9,FI$1)</f>
        <v>180.08</v>
      </c>
      <c r="FJ9" s="116" cm="1">
        <f t="array" ref="FJ9">_xll.EQNXTDZ($A$1,$B9,FJ$1)</f>
        <v>193.13</v>
      </c>
      <c r="FK9" s="116" cm="1">
        <f t="array" ref="FK9">_xll.EQNXTDZ($A$1,$B9,FK$1)</f>
        <v>212.33</v>
      </c>
      <c r="FL9" s="116" cm="1">
        <f t="array" ref="FL9">_xll.EQNXTDZ($A$1,$B9,FL$1)</f>
        <v>191.86</v>
      </c>
      <c r="FM9" s="116" cm="1">
        <f t="array" ref="FM9">_xll.EQNXTDZ($A$1,$B9,FM$1)</f>
        <v>211.36</v>
      </c>
      <c r="FN9" s="116" cm="1">
        <f t="array" ref="FN9">_xll.EQNXTDZ($A$1,$B9,FN$1)</f>
        <v>208.02</v>
      </c>
      <c r="FO9" s="116" cm="1">
        <f t="array" ref="FO9">_xll.EQNXTDZ($A$1,$B9,FO$1)</f>
        <v>196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38.1952280368806</v>
      </c>
      <c r="HQ9" s="116">
        <f>+I9</f>
        <v>40.824782274390898</v>
      </c>
      <c r="HR9" s="116">
        <f>+L9</f>
        <v>29.806378376996999</v>
      </c>
      <c r="HS9" s="116">
        <f>+O9</f>
        <v>26.081176540524002</v>
      </c>
      <c r="HT9" s="116">
        <f>+R9</f>
        <v>25.8715743911572</v>
      </c>
      <c r="HU9" s="116">
        <f>+U9</f>
        <v>40.415105346083202</v>
      </c>
      <c r="HV9" s="116">
        <f>+X9</f>
        <v>37.533075792290099</v>
      </c>
      <c r="HW9" s="116">
        <f>+AA9</f>
        <v>50.342625329727298</v>
      </c>
      <c r="HX9" s="116">
        <f>+AD9</f>
        <v>43.735393939461296</v>
      </c>
      <c r="HY9" s="116">
        <f>+AG9</f>
        <v>38.052317480494096</v>
      </c>
      <c r="HZ9" s="116">
        <f>+AJ9</f>
        <v>30.1779458236017</v>
      </c>
      <c r="IA9" s="116">
        <f>+AM9</f>
        <v>29.020370316871599</v>
      </c>
      <c r="IB9" s="116">
        <f>+AP9</f>
        <v>20.255189525170401</v>
      </c>
      <c r="IC9" s="116">
        <f>+AS9</f>
        <v>24.752108366130098</v>
      </c>
      <c r="ID9" s="116">
        <f>+AV9</f>
        <v>30.4590032511617</v>
      </c>
      <c r="IE9" s="116">
        <f>+AY9</f>
        <v>30.6733690857413</v>
      </c>
      <c r="IF9" s="116">
        <f>+BB9</f>
        <v>35.656183818414902</v>
      </c>
      <c r="IG9" s="116">
        <f>+BE9</f>
        <v>37.2758367907945</v>
      </c>
      <c r="IH9" s="116">
        <f>+BH9</f>
        <v>45.988617045154001</v>
      </c>
      <c r="II9" s="116">
        <f>+BK9</f>
        <v>51.995624098597098</v>
      </c>
      <c r="IJ9" s="116">
        <f>+BN9</f>
        <v>62.170855713311099</v>
      </c>
      <c r="IK9" s="116">
        <f>+BQ9</f>
        <v>69.778460998282199</v>
      </c>
      <c r="IL9" s="116">
        <f>+BT9</f>
        <v>57.104999999999997</v>
      </c>
      <c r="IM9" s="116">
        <f>+BW9</f>
        <v>56.774999999999999</v>
      </c>
      <c r="IN9" s="116">
        <f>+BZ9</f>
        <v>58.125</v>
      </c>
      <c r="IO9" s="116">
        <f>+CC9</f>
        <v>52.104999999999997</v>
      </c>
      <c r="IP9" s="116">
        <f>+CF9</f>
        <v>52.1</v>
      </c>
      <c r="IQ9" s="116">
        <f>+CI9</f>
        <v>50.44</v>
      </c>
      <c r="IR9" s="116">
        <f>+CL9</f>
        <v>36.049999999999997</v>
      </c>
      <c r="IS9" s="116">
        <f>+CO9</f>
        <v>47.204999999999998</v>
      </c>
      <c r="IT9" s="116">
        <f>+CR9</f>
        <v>26.96</v>
      </c>
      <c r="IU9" s="116">
        <f>+CU9</f>
        <v>32.67</v>
      </c>
      <c r="IV9" s="116">
        <f>+CX9</f>
        <v>35.975000000000001</v>
      </c>
      <c r="IW9" s="116">
        <f>+DA9</f>
        <v>64.364999999999995</v>
      </c>
      <c r="IX9" s="116">
        <f>+DD9</f>
        <v>81.185000000000002</v>
      </c>
      <c r="IY9" s="116">
        <f>+DG9</f>
        <v>116.66</v>
      </c>
      <c r="IZ9" s="116">
        <f>+DJ9</f>
        <v>128.88999999999999</v>
      </c>
      <c r="JA9" s="116">
        <f>+DM9</f>
        <v>111.145</v>
      </c>
      <c r="JB9" s="116">
        <f>+DP9</f>
        <v>130.72</v>
      </c>
      <c r="JC9" s="116">
        <f>+DS9</f>
        <v>86.704999999999998</v>
      </c>
      <c r="JD9" s="116">
        <f>+DV9</f>
        <v>99.3</v>
      </c>
      <c r="JE9" s="116">
        <f>+DY9</f>
        <v>112.65</v>
      </c>
      <c r="JF9" s="116">
        <f>+EB9</f>
        <v>104.5</v>
      </c>
      <c r="JG9" s="116">
        <f>+EE9</f>
        <v>112</v>
      </c>
      <c r="JH9" s="116">
        <f>+EH9</f>
        <v>128.9</v>
      </c>
      <c r="JI9" s="116">
        <f>+EK9</f>
        <v>139.6</v>
      </c>
      <c r="JJ9" s="116">
        <f>+EN9</f>
        <v>155.85</v>
      </c>
      <c r="JK9" s="116">
        <f>EQ9</f>
        <v>174.01</v>
      </c>
      <c r="JL9" s="116">
        <f>ET9</f>
        <v>168.55</v>
      </c>
      <c r="JM9" s="116">
        <f>EW9</f>
        <v>138.05000000000001</v>
      </c>
      <c r="JN9" s="116">
        <f>EZ9</f>
        <v>154.24</v>
      </c>
      <c r="JO9" s="116">
        <f>FC9</f>
        <v>159.76</v>
      </c>
      <c r="JP9" s="116">
        <f>FF9</f>
        <v>168.77</v>
      </c>
      <c r="JQ9" s="116">
        <f>FI9</f>
        <v>180.08</v>
      </c>
      <c r="JR9" s="116">
        <f>FL9</f>
        <v>191.86</v>
      </c>
      <c r="JS9" s="116">
        <f>FO9</f>
        <v>196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38.396716234752198</v>
      </c>
      <c r="D13" cm="1">
        <f t="array" ref="D13">_xll.EQNXTDZ($A$1,$B13,D$1)</f>
        <v>42.169693810177002</v>
      </c>
      <c r="E13" cm="1">
        <f t="array" ref="E13">_xll.EQNXTDZ($A$1,$B13,E$1)</f>
        <v>39.540042772759698</v>
      </c>
      <c r="F13" cm="1">
        <f t="array" ref="F13">_xll.EQNXTDZ($A$1,$B13,F$1)</f>
        <v>34.800001500603599</v>
      </c>
      <c r="G13" cm="1">
        <f t="array" ref="G13">_xll.EQNXTDZ($A$1,$B13,G$1)</f>
        <v>38.301439023251604</v>
      </c>
      <c r="H13" cm="1">
        <f t="array" ref="H13">_xll.EQNXTDZ($A$1,$B13,H$1)</f>
        <v>37.3963055139956</v>
      </c>
      <c r="I13" cm="1">
        <f t="array" ref="I13">_xll.EQNXTDZ($A$1,$B13,I$1)</f>
        <v>36.786531360391599</v>
      </c>
      <c r="J13" cm="1">
        <f t="array" ref="J13">_xll.EQNXTDZ($A$1,$B13,J$1)</f>
        <v>41.074005877919802</v>
      </c>
      <c r="K13" cm="1">
        <f t="array" ref="K13">_xll.EQNXTDZ($A$1,$B13,K$1)</f>
        <v>38.634909263503801</v>
      </c>
      <c r="L13" cm="1">
        <f t="array" ref="L13">_xll.EQNXTDZ($A$1,$B13,L$1)</f>
        <v>32.546695448613796</v>
      </c>
      <c r="M13" cm="1">
        <f t="array" ref="M13">_xll.EQNXTDZ($A$1,$B13,M$1)</f>
        <v>29.993266180397001</v>
      </c>
      <c r="N13" cm="1">
        <f t="array" ref="N13">_xll.EQNXTDZ($A$1,$B13,N$1)</f>
        <v>28.969036156765299</v>
      </c>
      <c r="O13" cm="1">
        <f t="array" ref="O13">_xll.EQNXTDZ($A$1,$B13,O$1)</f>
        <v>27.820945758182699</v>
      </c>
      <c r="P13" cm="1">
        <f t="array" ref="P13">_xll.EQNXTDZ($A$1,$B13,P$1)</f>
        <v>26.148830696346799</v>
      </c>
      <c r="Q13" cm="1">
        <f t="array" ref="Q13">_xll.EQNXTDZ($A$1,$B13,Q$1)</f>
        <v>20.7180296408111</v>
      </c>
      <c r="R13" cm="1">
        <f t="array" ref="R13">_xll.EQNXTDZ($A$1,$B13,R$1)</f>
        <v>26.286982653022701</v>
      </c>
      <c r="S13" cm="1">
        <f t="array" ref="S13">_xll.EQNXTDZ($A$1,$B13,S$1)</f>
        <v>26.1726499992219</v>
      </c>
      <c r="T13" cm="1">
        <f t="array" ref="T13">_xll.EQNXTDZ($A$1,$B13,T$1)</f>
        <v>31.922629713284699</v>
      </c>
      <c r="U13" cm="1">
        <f t="array" ref="U13">_xll.EQNXTDZ($A$1,$B13,U$1)</f>
        <v>38.110884600250301</v>
      </c>
      <c r="V13" cm="1">
        <f t="array" ref="V13">_xll.EQNXTDZ($A$1,$B13,V$1)</f>
        <v>40.492814887766002</v>
      </c>
      <c r="W13" cm="1">
        <f t="array" ref="W13">_xll.EQNXTDZ($A$1,$B13,W$1)</f>
        <v>33.9663258999731</v>
      </c>
      <c r="X13" cm="1">
        <f t="array" ref="X13">_xll.EQNXTDZ($A$1,$B13,X$1)</f>
        <v>32.756305313915199</v>
      </c>
      <c r="Y13" cm="1">
        <f t="array" ref="Y13">_xll.EQNXTDZ($A$1,$B13,Y$1)</f>
        <v>37.586859936996902</v>
      </c>
      <c r="Z13" cm="1">
        <f t="array" ref="Z13">_xll.EQNXTDZ($A$1,$B13,Z$1)</f>
        <v>38.472938003952699</v>
      </c>
      <c r="AA13" cm="1">
        <f t="array" ref="AA13">_xll.EQNXTDZ($A$1,$B13,AA$1)</f>
        <v>45.4472298857985</v>
      </c>
      <c r="AB13" cm="1">
        <f t="array" ref="AB13">_xll.EQNXTDZ($A$1,$B13,AB$1)</f>
        <v>50.496922095331698</v>
      </c>
      <c r="AC13" cm="1">
        <f t="array" ref="AC13">_xll.EQNXTDZ($A$1,$B13,AC$1)</f>
        <v>52.211911902342898</v>
      </c>
      <c r="AD13" cm="1">
        <f t="array" ref="AD13">_xll.EQNXTDZ($A$1,$B13,AD$1)</f>
        <v>49.082055504547398</v>
      </c>
      <c r="AE13" cm="1">
        <f t="array" ref="AE13">_xll.EQNXTDZ($A$1,$B13,AE$1)</f>
        <v>43.541685655785997</v>
      </c>
      <c r="AF13" cm="1">
        <f t="array" ref="AF13">_xll.EQNXTDZ($A$1,$B13,AF$1)</f>
        <v>46.876388058307903</v>
      </c>
      <c r="AG13" cm="1">
        <f t="array" ref="AG13">_xll.EQNXTDZ($A$1,$B13,AG$1)</f>
        <v>45.161398251296603</v>
      </c>
      <c r="AH13" cm="1">
        <f t="array" ref="AH13">_xll.EQNXTDZ($A$1,$B13,AH$1)</f>
        <v>37.729775754247797</v>
      </c>
      <c r="AI13" cm="1">
        <f t="array" ref="AI13">_xll.EQNXTDZ($A$1,$B13,AI$1)</f>
        <v>37.253389696744698</v>
      </c>
      <c r="AJ13" cm="1">
        <f t="array" ref="AJ13">_xll.EQNXTDZ($A$1,$B13,AJ$1)</f>
        <v>34.161644183549399</v>
      </c>
      <c r="AK13" cm="1">
        <f t="array" ref="AK13">_xll.EQNXTDZ($A$1,$B13,AK$1)</f>
        <v>30.155237439948099</v>
      </c>
      <c r="AL13" cm="1">
        <f t="array" ref="AL13">_xll.EQNXTDZ($A$1,$B13,AL$1)</f>
        <v>34.5856277747272</v>
      </c>
      <c r="AM13" cm="1">
        <f t="array" ref="AM13">_xll.EQNXTDZ($A$1,$B13,AM$1)</f>
        <v>31.3462025837059</v>
      </c>
      <c r="AN13" cm="1">
        <f t="array" ref="AN13">_xll.EQNXTDZ($A$1,$B13,AN$1)</f>
        <v>29.1071881134412</v>
      </c>
      <c r="AO13" cm="1">
        <f t="array" ref="AO13">_xll.EQNXTDZ($A$1,$B13,AO$1)</f>
        <v>23.562054404104799</v>
      </c>
      <c r="AP13" cm="1">
        <f t="array" ref="AP13">_xll.EQNXTDZ($A$1,$B13,AP$1)</f>
        <v>21.056263741638301</v>
      </c>
      <c r="AQ13" cm="1">
        <f t="array" ref="AQ13">_xll.EQNXTDZ($A$1,$B13,AQ$1)</f>
        <v>20.575113823560098</v>
      </c>
      <c r="AR13" cm="1">
        <f t="array" ref="AR13">_xll.EQNXTDZ($A$1,$B13,AR$1)</f>
        <v>23.542998961804599</v>
      </c>
      <c r="AS13" cm="1">
        <f t="array" ref="AS13">_xll.EQNXTDZ($A$1,$B13,AS$1)</f>
        <v>21.961397250894301</v>
      </c>
      <c r="AT13" cm="1">
        <f t="array" ref="AT13">_xll.EQNXTDZ($A$1,$B13,AT$1)</f>
        <v>24.867352201663302</v>
      </c>
      <c r="AU13" cm="1">
        <f t="array" ref="AU13">_xll.EQNXTDZ($A$1,$B13,AU$1)</f>
        <v>23.9145800866571</v>
      </c>
      <c r="AV13" cm="1">
        <f t="array" ref="AV13">_xll.EQNXTDZ($A$1,$B13,AV$1)</f>
        <v>23.819302875156499</v>
      </c>
      <c r="AW13" cm="1">
        <f t="array" ref="AW13">_xll.EQNXTDZ($A$1,$B13,AW$1)</f>
        <v>30.298153257199001</v>
      </c>
      <c r="AX13" cm="1">
        <f t="array" ref="AX13">_xll.EQNXTDZ($A$1,$B13,AX$1)</f>
        <v>33.347024025219</v>
      </c>
      <c r="AY13" cm="1">
        <f t="array" ref="AY13">_xll.EQNXTDZ($A$1,$B13,AY$1)</f>
        <v>31.96550445846</v>
      </c>
      <c r="AZ13" cm="1">
        <f t="array" ref="AZ13">_xll.EQNXTDZ($A$1,$B13,AZ$1)</f>
        <v>30.969857598278399</v>
      </c>
      <c r="BA13" cm="1">
        <f t="array" ref="BA13">_xll.EQNXTDZ($A$1,$B13,BA$1)</f>
        <v>34.204518928724703</v>
      </c>
      <c r="BB13" cm="1">
        <f t="array" ref="BB13">_xll.EQNXTDZ($A$1,$B13,BB$1)</f>
        <v>35.328790024432102</v>
      </c>
      <c r="BC13" cm="1">
        <f t="array" ref="BC13">_xll.EQNXTDZ($A$1,$B13,BC$1)</f>
        <v>35.824231524235302</v>
      </c>
      <c r="BD13" cm="1">
        <f t="array" ref="BD13">_xll.EQNXTDZ($A$1,$B13,BD$1)</f>
        <v>38.491993446252799</v>
      </c>
      <c r="BE13" cm="1">
        <f t="array" ref="BE13">_xll.EQNXTDZ($A$1,$B13,BE$1)</f>
        <v>39.782999662086297</v>
      </c>
      <c r="BF13" cm="1">
        <f t="array" ref="BF13">_xll.EQNXTDZ($A$1,$B13,BF$1)</f>
        <v>37.177167927544197</v>
      </c>
      <c r="BG13" cm="1">
        <f t="array" ref="BG13">_xll.EQNXTDZ($A$1,$B13,BG$1)</f>
        <v>44.0704741796145</v>
      </c>
      <c r="BH13" cm="1">
        <f t="array" ref="BH13">_xll.EQNXTDZ($A$1,$B13,BH$1)</f>
        <v>46.0474763182525</v>
      </c>
      <c r="BI13" cm="1">
        <f t="array" ref="BI13">_xll.EQNXTDZ($A$1,$B13,BI$1)</f>
        <v>46.209447577803502</v>
      </c>
      <c r="BJ13" cm="1">
        <f t="array" ref="BJ13">_xll.EQNXTDZ($A$1,$B13,BJ$1)</f>
        <v>42.879509035856699</v>
      </c>
      <c r="BK13" cm="1">
        <f t="array" ref="BK13">_xll.EQNXTDZ($A$1,$B13,BK$1)</f>
        <v>48.229324461616798</v>
      </c>
      <c r="BL13" cm="1">
        <f t="array" ref="BL13">_xll.EQNXTDZ($A$1,$B13,BL$1)</f>
        <v>51.835566916915504</v>
      </c>
      <c r="BM13" cm="1">
        <f t="array" ref="BM13">_xll.EQNXTDZ($A$1,$B13,BM$1)</f>
        <v>54.222261065006201</v>
      </c>
      <c r="BN13" cm="1">
        <f t="array" ref="BN13">_xll.EQNXTDZ($A$1,$B13,BN$1)</f>
        <v>61.0726925719012</v>
      </c>
      <c r="BO13" cm="1">
        <f t="array" ref="BO13">_xll.EQNXTDZ($A$1,$B13,BO$1)</f>
        <v>62.411337393484899</v>
      </c>
      <c r="BP13" cm="1">
        <f t="array" ref="BP13">_xll.EQNXTDZ($A$1,$B13,BP$1)</f>
        <v>67.360988530942507</v>
      </c>
      <c r="BQ13" cm="1">
        <f t="array" ref="BQ13">_xll.EQNXTDZ($A$1,$B13,BQ$1)</f>
        <v>66.312939204435594</v>
      </c>
      <c r="BR13" cm="1">
        <f t="array" ref="BR13">_xll.EQNXTDZ($A$1,$B13,BR$1)</f>
        <v>69.790557424208401</v>
      </c>
      <c r="BS13" cm="1">
        <f t="array" ref="BS13">_xll.EQNXTDZ($A$1,$B13,BS$1)</f>
        <v>70.625</v>
      </c>
      <c r="BT13" cm="1">
        <f t="array" ref="BT13">_xll.EQNXTDZ($A$1,$B13,BT$1)</f>
        <v>67.099999999999994</v>
      </c>
      <c r="BU13" cm="1">
        <f t="array" ref="BU13">_xll.EQNXTDZ($A$1,$B13,BU$1)</f>
        <v>57.494999999999997</v>
      </c>
      <c r="BV13" cm="1">
        <f t="array" ref="BV13">_xll.EQNXTDZ($A$1,$B13,BV$1)</f>
        <v>59.67</v>
      </c>
      <c r="BW13" cm="1">
        <f t="array" ref="BW13">_xll.EQNXTDZ($A$1,$B13,BW$1)</f>
        <v>57.09</v>
      </c>
      <c r="BX13" cm="1">
        <f t="array" ref="BX13">_xll.EQNXTDZ($A$1,$B13,BX$1)</f>
        <v>57.52</v>
      </c>
      <c r="BY13" cm="1">
        <f t="array" ref="BY13">_xll.EQNXTDZ($A$1,$B13,BY$1)</f>
        <v>56.5</v>
      </c>
      <c r="BZ13" cm="1">
        <f t="array" ref="BZ13">_xll.EQNXTDZ($A$1,$B13,BZ$1)</f>
        <v>60.2</v>
      </c>
      <c r="CA13" cm="1">
        <f t="array" ref="CA13">_xll.EQNXTDZ($A$1,$B13,CA$1)</f>
        <v>58.3</v>
      </c>
      <c r="CB13" cm="1">
        <f t="array" ref="CB13">_xll.EQNXTDZ($A$1,$B13,CB$1)</f>
        <v>55.695</v>
      </c>
      <c r="CC13" cm="1">
        <f t="array" ref="CC13">_xll.EQNXTDZ($A$1,$B13,CC$1)</f>
        <v>54.1</v>
      </c>
      <c r="CD13" cm="1">
        <f t="array" ref="CD13">_xll.EQNXTDZ($A$1,$B13,CD$1)</f>
        <v>52.204999999999998</v>
      </c>
      <c r="CE13" cm="1">
        <f t="array" ref="CE13">_xll.EQNXTDZ($A$1,$B13,CE$1)</f>
        <v>47.7</v>
      </c>
      <c r="CF13" cm="1">
        <f t="array" ref="CF13">_xll.EQNXTDZ($A$1,$B13,CF$1)</f>
        <v>50.39</v>
      </c>
      <c r="CG13" cm="1">
        <f t="array" ref="CG13">_xll.EQNXTDZ($A$1,$B13,CG$1)</f>
        <v>52.7</v>
      </c>
      <c r="CH13" cm="1">
        <f t="array" ref="CH13">_xll.EQNXTDZ($A$1,$B13,CH$1)</f>
        <v>55.6</v>
      </c>
      <c r="CI13" cm="1">
        <f t="array" ref="CI13">_xll.EQNXTDZ($A$1,$B13,CI$1)</f>
        <v>48.7</v>
      </c>
      <c r="CJ13" cm="1">
        <f t="array" ref="CJ13">_xll.EQNXTDZ($A$1,$B13,CJ$1)</f>
        <v>50.91</v>
      </c>
      <c r="CK13" cm="1">
        <f t="array" ref="CK13">_xll.EQNXTDZ($A$1,$B13,CK$1)</f>
        <v>42.8</v>
      </c>
      <c r="CL13" cm="1">
        <f t="array" ref="CL13">_xll.EQNXTDZ($A$1,$B13,CL$1)</f>
        <v>34.159999999999997</v>
      </c>
      <c r="CM13" cm="1">
        <f t="array" ref="CM13">_xll.EQNXTDZ($A$1,$B13,CM$1)</f>
        <v>36.479999999999997</v>
      </c>
      <c r="CN13" cm="1">
        <f t="array" ref="CN13">_xll.EQNXTDZ($A$1,$B13,CN$1)</f>
        <v>37.6</v>
      </c>
      <c r="CO13" cm="1">
        <f t="array" ref="CO13">_xll.EQNXTDZ($A$1,$B13,CO$1)</f>
        <v>42.47</v>
      </c>
      <c r="CP13" cm="1">
        <f t="array" ref="CP13">_xll.EQNXTDZ($A$1,$B13,CP$1)</f>
        <v>47.31</v>
      </c>
      <c r="CQ13" cm="1">
        <f t="array" ref="CQ13">_xll.EQNXTDZ($A$1,$B13,CQ$1)</f>
        <v>43.2</v>
      </c>
      <c r="CR13" cm="1">
        <f t="array" ref="CR13">_xll.EQNXTDZ($A$1,$B13,CR$1)</f>
        <v>39</v>
      </c>
      <c r="CS13" cm="1">
        <f t="array" ref="CS13">_xll.EQNXTDZ($A$1,$B13,CS$1)</f>
        <v>26.7</v>
      </c>
      <c r="CT13" cm="1">
        <f t="array" ref="CT13">_xll.EQNXTDZ($A$1,$B13,CT$1)</f>
        <v>28.6</v>
      </c>
      <c r="CU13" cm="1">
        <f t="array" ref="CU13">_xll.EQNXTDZ($A$1,$B13,CU$1)</f>
        <v>30</v>
      </c>
      <c r="CV13" cm="1">
        <f t="array" ref="CV13">_xll.EQNXTDZ($A$1,$B13,CV$1)</f>
        <v>32.825000000000003</v>
      </c>
      <c r="CW13" cm="1">
        <f t="array" ref="CW13">_xll.EQNXTDZ($A$1,$B13,CW$1)</f>
        <v>36.450000000000003</v>
      </c>
      <c r="CX13" cm="1">
        <f t="array" ref="CX13">_xll.EQNXTDZ($A$1,$B13,CX$1)</f>
        <v>41.3</v>
      </c>
      <c r="CY13" cm="1">
        <f t="array" ref="CY13">_xll.EQNXTDZ($A$1,$B13,CY$1)</f>
        <v>36.49</v>
      </c>
      <c r="CZ13" cm="1">
        <f t="array" ref="CZ13">_xll.EQNXTDZ($A$1,$B13,CZ$1)</f>
        <v>41.2</v>
      </c>
      <c r="DA13" cm="1">
        <f t="array" ref="DA13">_xll.EQNXTDZ($A$1,$B13,DA$1)</f>
        <v>59.05</v>
      </c>
      <c r="DB13" cm="1">
        <f t="array" ref="DB13">_xll.EQNXTDZ($A$1,$B13,DB$1)</f>
        <v>64.400000000000006</v>
      </c>
      <c r="DC13" cm="1">
        <f t="array" ref="DC13">_xll.EQNXTDZ($A$1,$B13,DC$1)</f>
        <v>60.4</v>
      </c>
      <c r="DD13" cm="1">
        <f t="array" ref="DD13">_xll.EQNXTDZ($A$1,$B13,DD$1)</f>
        <v>72.59</v>
      </c>
      <c r="DE13" cm="1">
        <f t="array" ref="DE13">_xll.EQNXTDZ($A$1,$B13,DE$1)</f>
        <v>82.1</v>
      </c>
      <c r="DF13" cm="1">
        <f t="array" ref="DF13">_xll.EQNXTDZ($A$1,$B13,DF$1)</f>
        <v>103.495</v>
      </c>
      <c r="DG13" cm="1">
        <f t="array" ref="DG13">_xll.EQNXTDZ($A$1,$B13,DG$1)</f>
        <v>112.8</v>
      </c>
      <c r="DH13" cm="1">
        <f t="array" ref="DH13">_xll.EQNXTDZ($A$1,$B13,DH$1)</f>
        <v>117.005</v>
      </c>
      <c r="DI13" cm="1">
        <f t="array" ref="DI13">_xll.EQNXTDZ($A$1,$B13,DI$1)</f>
        <v>144.88999999999999</v>
      </c>
      <c r="DJ13" cm="1">
        <f t="array" ref="DJ13">_xll.EQNXTDZ($A$1,$B13,DJ$1)</f>
        <v>145.1</v>
      </c>
      <c r="DK13" cm="1">
        <f t="array" ref="DK13">_xll.EQNXTDZ($A$1,$B13,DK$1)</f>
        <v>127.5</v>
      </c>
      <c r="DL13" cm="1">
        <f t="array" ref="DL13">_xll.EQNXTDZ($A$1,$B13,DL$1)</f>
        <v>133.66499999999999</v>
      </c>
      <c r="DM13" cm="1">
        <f t="array" ref="DM13">_xll.EQNXTDZ($A$1,$B13,DM$1)</f>
        <v>107.6</v>
      </c>
      <c r="DN13" cm="1">
        <f t="array" ref="DN13">_xll.EQNXTDZ($A$1,$B13,DN$1)</f>
        <v>111.15</v>
      </c>
      <c r="DO13" cm="1">
        <f t="array" ref="DO13">_xll.EQNXTDZ($A$1,$B13,DO$1)</f>
        <v>111</v>
      </c>
      <c r="DP13" cm="1">
        <f t="array" ref="DP13">_xll.EQNXTDZ($A$1,$B13,DP$1)</f>
        <v>120.8</v>
      </c>
      <c r="DQ13" cm="1">
        <f t="array" ref="DQ13">_xll.EQNXTDZ($A$1,$B13,DQ$1)</f>
        <v>131.02000000000001</v>
      </c>
      <c r="DR13" cm="1">
        <f t="array" ref="DR13">_xll.EQNXTDZ($A$1,$B13,DR$1)</f>
        <v>125.5</v>
      </c>
      <c r="DS13" cm="1">
        <f t="array" ref="DS13">_xll.EQNXTDZ($A$1,$B13,DS$1)</f>
        <v>106.105</v>
      </c>
      <c r="DT13" cm="1">
        <f t="array" ref="DT13">_xll.EQNXTDZ($A$1,$B13,DT$1)</f>
        <v>87.2</v>
      </c>
      <c r="DU13" cm="1">
        <f t="array" ref="DU13">_xll.EQNXTDZ($A$1,$B13,DU$1)</f>
        <v>110.1</v>
      </c>
      <c r="DV13" cm="1">
        <f t="array" ref="DV13">_xll.EQNXTDZ($A$1,$B13,DV$1)</f>
        <v>107.2</v>
      </c>
      <c r="DW13" cm="1">
        <f t="array" ref="DW13">_xll.EQNXTDZ($A$1,$B13,DW$1)</f>
        <v>99.4</v>
      </c>
      <c r="DX13" cm="1">
        <f t="array" ref="DX13">_xll.EQNXTDZ($A$1,$B13,DX$1)</f>
        <v>98.15</v>
      </c>
      <c r="DY13" cm="1">
        <f t="array" ref="DY13">_xll.EQNXTDZ($A$1,$B13,DY$1)</f>
        <v>108.2</v>
      </c>
      <c r="DZ13" cm="1">
        <f t="array" ref="DZ13">_xll.EQNXTDZ($A$1,$B13,DZ$1)</f>
        <v>114.2</v>
      </c>
      <c r="EA13" cm="1">
        <f t="array" ref="EA13">_xll.EQNXTDZ($A$1,$B13,EA$1)</f>
        <v>120</v>
      </c>
      <c r="EB13" cm="1">
        <f t="array" ref="EB13">_xll.EQNXTDZ($A$1,$B13,EB$1)</f>
        <v>104.35</v>
      </c>
      <c r="EC13" cm="1">
        <f t="array" ref="EC13">_xll.EQNXTDZ($A$1,$B13,EC$1)</f>
        <v>104.6</v>
      </c>
      <c r="ED13" cm="1">
        <f t="array" ref="ED13">_xll.EQNXTDZ($A$1,$B13,ED$1)</f>
        <v>107.9</v>
      </c>
      <c r="EE13" cm="1">
        <f t="array" ref="EE13">_xll.EQNXTDZ($A$1,$B13,EE$1)</f>
        <v>105.85</v>
      </c>
      <c r="EF13" cm="1">
        <f t="array" ref="EF13">_xll.EQNXTDZ($A$1,$B13,EF$1)</f>
        <v>112.05</v>
      </c>
      <c r="EG13" cm="1">
        <f t="array" ref="EG13">_xll.EQNXTDZ($A$1,$B13,EG$1)</f>
        <v>123.2</v>
      </c>
      <c r="EH13" cm="1">
        <f t="array" ref="EH13">_xll.EQNXTDZ($A$1,$B13,EH$1)</f>
        <v>123.35</v>
      </c>
      <c r="EI13" cm="1">
        <f t="array" ref="EI13">_xll.EQNXTDZ($A$1,$B13,EI$1)</f>
        <v>129</v>
      </c>
      <c r="EJ13" cm="1">
        <f t="array" ref="EJ13">_xll.EQNXTDZ($A$1,$B13,EJ$1)</f>
        <v>119</v>
      </c>
      <c r="EK13" cm="1">
        <f t="array" ref="EK13">_xll.EQNXTDZ($A$1,$B13,EK$1)</f>
        <v>128.6</v>
      </c>
      <c r="EL13" cm="1">
        <f t="array" ref="EL13">_xll.EQNXTDZ($A$1,$B13,EL$1)</f>
        <v>142.15</v>
      </c>
      <c r="EM13" cm="1">
        <f t="array" ref="EM13">_xll.EQNXTDZ($A$1,$B13,EM$1)</f>
        <v>136.80000000000001</v>
      </c>
      <c r="EN13" cm="1">
        <f t="array" ref="EN13">_xll.EQNXTDZ($A$1,$B13,EN$1)</f>
        <v>142.05000000000001</v>
      </c>
      <c r="EO13" cm="1">
        <f t="array" ref="EO13">_xll.EQNXTDZ($A$1,$B13,EO$1)</f>
        <v>156.85</v>
      </c>
      <c r="EP13" cm="1">
        <f t="array" ref="EP13">_xll.EQNXTDZ($A$1,$B13,EP$1)</f>
        <v>165.2</v>
      </c>
      <c r="EQ13" cm="1">
        <f t="array" ref="EQ13">_xll.EQNXTDZ($A$1,$B13,EQ$1)</f>
        <v>173.6</v>
      </c>
      <c r="ER13" cm="1">
        <f t="array" ref="ER13">_xll.EQNXTDZ($A$1,$B13,ER$1)</f>
        <v>174.75</v>
      </c>
      <c r="ES13" cm="1">
        <f t="array" ref="ES13">_xll.EQNXTDZ($A$1,$B13,ES$1)</f>
        <v>168</v>
      </c>
      <c r="ET13" cm="1">
        <f t="array" ref="ET13">_xll.EQNXTDZ($A$1,$B13,ET$1)</f>
        <v>154</v>
      </c>
      <c r="EU13" cm="1">
        <f t="array" ref="EU13">_xll.EQNXTDZ($A$1,$B13,EU$1)</f>
        <v>169.5</v>
      </c>
      <c r="EV13" cm="1">
        <f t="array" ref="EV13">_xll.EQNXTDZ($A$1,$B13,EV$1)</f>
        <v>149.85</v>
      </c>
      <c r="EW13" cm="1">
        <f t="array" ref="EW13">_xll.EQNXTDZ($A$1,$B13,EW$1)</f>
        <v>144.5</v>
      </c>
      <c r="EX13" cm="1">
        <f t="array" ref="EX13">_xll.EQNXTDZ($A$1,$B13,EX$1)</f>
        <v>138.35</v>
      </c>
      <c r="EY13" cm="1">
        <f t="array" ref="EY13">_xll.EQNXTDZ($A$1,$B13,EY$1)</f>
        <v>135.75</v>
      </c>
      <c r="EZ13" cm="1">
        <f t="array" ref="EZ13">_xll.EQNXTDZ($A$1,$B13,EZ$1)</f>
        <v>137.05000000000001</v>
      </c>
      <c r="FA13" cm="1">
        <f t="array" ref="FA13">_xll.EQNXTDZ($A$1,$B13,FA$1)</f>
        <v>151.75</v>
      </c>
      <c r="FB13" cm="1">
        <f t="array" ref="FB13">_xll.EQNXTDZ($A$1,$B13,FB$1)</f>
        <v>139.85</v>
      </c>
      <c r="FC13" cm="1">
        <f t="array" ref="FC13">_xll.EQNXTDZ($A$1,$B13,FC$1)</f>
        <v>158.05000000000001</v>
      </c>
      <c r="FD13" cm="1">
        <f t="array" ref="FD13">_xll.EQNXTDZ($A$1,$B13,FD$1)</f>
        <v>160.35</v>
      </c>
      <c r="FE13" cm="1">
        <f t="array" ref="FE13">_xll.EQNXTDZ($A$1,$B13,FE$1)</f>
        <v>157.80000000000001</v>
      </c>
      <c r="FF13" cm="1">
        <f t="array" ref="FF13">_xll.EQNXTDZ($A$1,$B13,FF$1)</f>
        <v>154.30000000000001</v>
      </c>
      <c r="FG13" cm="1">
        <f t="array" ref="FG13">_xll.EQNXTDZ($A$1,$B13,FG$1)</f>
        <v>168.7</v>
      </c>
      <c r="FH13" cm="1">
        <f t="array" ref="FH13">_xll.EQNXTDZ($A$1,$B13,FH$1)</f>
        <v>182.25</v>
      </c>
      <c r="FI13" cm="1">
        <f t="array" ref="FI13">_xll.EQNXTDZ($A$1,$B13,FI$1)</f>
        <v>168.8</v>
      </c>
      <c r="FJ13" cm="1">
        <f t="array" ref="FJ13">_xll.EQNXTDZ($A$1,$B13,FJ$1)</f>
        <v>181.8</v>
      </c>
      <c r="FK13" cm="1">
        <f t="array" ref="FK13">_xll.EQNXTDZ($A$1,$B13,FK$1)</f>
        <v>190</v>
      </c>
      <c r="FL13" cm="1">
        <f t="array" ref="FL13">_xll.EQNXTDZ($A$1,$B13,FL$1)</f>
        <v>203.05</v>
      </c>
      <c r="FM13" cm="1">
        <f t="array" ref="FM13">_xll.EQNXTDZ($A$1,$B13,FM$1)</f>
        <v>200</v>
      </c>
      <c r="FN13" cm="1">
        <f t="array" ref="FN13">_xll.EQNXTDZ($A$1,$B13,FN$1)</f>
        <v>212.85</v>
      </c>
      <c r="FO13" cm="1">
        <f t="array" ref="FO13">_xll.EQNXTDZ($A$1,$B13,FO$1)</f>
        <v>209.6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42.293554185127803</v>
      </c>
      <c r="D14" s="116" cm="1">
        <f t="array" ref="D14">_xll.EQNXTDZ($A$1,$B14,D$1)</f>
        <v>43.341603511634702</v>
      </c>
      <c r="E14" s="116" cm="1">
        <f t="array" ref="E14">_xll.EQNXTDZ($A$1,$B14,E$1)</f>
        <v>39.7020140323108</v>
      </c>
      <c r="F14" s="116" cm="1">
        <f t="array" ref="F14">_xll.EQNXTDZ($A$1,$B14,F$1)</f>
        <v>39.540042772759698</v>
      </c>
      <c r="G14" s="116" cm="1">
        <f t="array" ref="G14">_xll.EQNXTDZ($A$1,$B14,G$1)</f>
        <v>40.588092099266603</v>
      </c>
      <c r="H14" s="116" cm="1">
        <f t="array" ref="H14">_xll.EQNXTDZ($A$1,$B14,H$1)</f>
        <v>38.954087922030901</v>
      </c>
      <c r="I14" s="116" cm="1">
        <f t="array" ref="I14">_xll.EQNXTDZ($A$1,$B14,I$1)</f>
        <v>41.612322122898298</v>
      </c>
      <c r="J14" s="116" cm="1">
        <f t="array" ref="J14">_xll.EQNXTDZ($A$1,$B14,J$1)</f>
        <v>42.693718473430401</v>
      </c>
      <c r="K14" s="116" cm="1">
        <f t="array" ref="K14">_xll.EQNXTDZ($A$1,$B14,K$1)</f>
        <v>39.239919556532698</v>
      </c>
      <c r="L14" s="116" cm="1">
        <f t="array" ref="L14">_xll.EQNXTDZ($A$1,$B14,L$1)</f>
        <v>34.561808471851997</v>
      </c>
      <c r="M14" s="116" cm="1">
        <f t="array" ref="M14">_xll.EQNXTDZ($A$1,$B14,M$1)</f>
        <v>30.965093737703398</v>
      </c>
      <c r="N14" s="116" cm="1">
        <f t="array" ref="N14">_xll.EQNXTDZ($A$1,$B14,N$1)</f>
        <v>31.150884300129601</v>
      </c>
      <c r="O14" s="116" cm="1">
        <f t="array" ref="O14">_xll.EQNXTDZ($A$1,$B14,O$1)</f>
        <v>28.7975371760642</v>
      </c>
      <c r="P14" s="116" cm="1">
        <f t="array" ref="P14">_xll.EQNXTDZ($A$1,$B14,P$1)</f>
        <v>27.282629513204199</v>
      </c>
      <c r="Q14" s="116" cm="1">
        <f t="array" ref="Q14">_xll.EQNXTDZ($A$1,$B14,Q$1)</f>
        <v>27.582752729431199</v>
      </c>
      <c r="R14" s="116" cm="1">
        <f t="array" ref="R14">_xll.EQNXTDZ($A$1,$B14,R$1)</f>
        <v>30.321972560074201</v>
      </c>
      <c r="S14" s="116" cm="1">
        <f t="array" ref="S14">_xll.EQNXTDZ($A$1,$B14,S$1)</f>
        <v>32.761069174490203</v>
      </c>
      <c r="T14" s="116" cm="1">
        <f t="array" ref="T14">_xll.EQNXTDZ($A$1,$B14,T$1)</f>
        <v>38.5682152154533</v>
      </c>
      <c r="U14" s="116" cm="1">
        <f t="array" ref="U14">_xll.EQNXTDZ($A$1,$B14,U$1)</f>
        <v>41.1359360653952</v>
      </c>
      <c r="V14" s="116" cm="1">
        <f t="array" ref="V14">_xll.EQNXTDZ($A$1,$B14,V$1)</f>
        <v>41.4836978873725</v>
      </c>
      <c r="W14" s="116" cm="1">
        <f t="array" ref="W14">_xll.EQNXTDZ($A$1,$B14,W$1)</f>
        <v>38.101356879100301</v>
      </c>
      <c r="X14" s="116" cm="1">
        <f t="array" ref="X14">_xll.EQNXTDZ($A$1,$B14,X$1)</f>
        <v>37.729775754247797</v>
      </c>
      <c r="Y14" s="116" cm="1">
        <f t="array" ref="Y14">_xll.EQNXTDZ($A$1,$B14,Y$1)</f>
        <v>41.226449416320797</v>
      </c>
      <c r="Z14" s="116" cm="1">
        <f t="array" ref="Z14">_xll.EQNXTDZ($A$1,$B14,Z$1)</f>
        <v>47.152691971659699</v>
      </c>
      <c r="AA14" s="116" cm="1">
        <f t="array" ref="AA14">_xll.EQNXTDZ($A$1,$B14,AA$1)</f>
        <v>55.127394574262098</v>
      </c>
      <c r="AB14" s="116" cm="1">
        <f t="array" ref="AB14">_xll.EQNXTDZ($A$1,$B14,AB$1)</f>
        <v>54.679591680209199</v>
      </c>
      <c r="AC14" s="116" cm="1">
        <f t="array" ref="AC14">_xll.EQNXTDZ($A$1,$B14,AC$1)</f>
        <v>54.169858598680797</v>
      </c>
      <c r="AD14" s="116" cm="1">
        <f t="array" ref="AD14">_xll.EQNXTDZ($A$1,$B14,AD$1)</f>
        <v>50.592199306832299</v>
      </c>
      <c r="AE14" s="116" cm="1">
        <f t="array" ref="AE14">_xll.EQNXTDZ($A$1,$B14,AE$1)</f>
        <v>46.943082106358297</v>
      </c>
      <c r="AF14" s="116" cm="1">
        <f t="array" ref="AF14">_xll.EQNXTDZ($A$1,$B14,AF$1)</f>
        <v>47.190802856259999</v>
      </c>
      <c r="AG14" s="116" cm="1">
        <f t="array" ref="AG14">_xll.EQNXTDZ($A$1,$B14,AG$1)</f>
        <v>45.247147741647197</v>
      </c>
      <c r="AH14" s="116" cm="1">
        <f t="array" ref="AH14">_xll.EQNXTDZ($A$1,$B14,AH$1)</f>
        <v>40.130761484063598</v>
      </c>
      <c r="AI14" s="116" cm="1">
        <f t="array" ref="AI14">_xll.EQNXTDZ($A$1,$B14,AI$1)</f>
        <v>37.615443100447102</v>
      </c>
      <c r="AJ14" s="116" cm="1">
        <f t="array" ref="AJ14">_xll.EQNXTDZ($A$1,$B14,AJ$1)</f>
        <v>34.2283382315998</v>
      </c>
      <c r="AK14" s="116" cm="1">
        <f t="array" ref="AK14">_xll.EQNXTDZ($A$1,$B14,AK$1)</f>
        <v>36.057660692411801</v>
      </c>
      <c r="AL14" s="116" cm="1">
        <f t="array" ref="AL14">_xll.EQNXTDZ($A$1,$B14,AL$1)</f>
        <v>36.605504658540397</v>
      </c>
      <c r="AM14" s="116" cm="1">
        <f t="array" ref="AM14">_xll.EQNXTDZ($A$1,$B14,AM$1)</f>
        <v>31.727311429708401</v>
      </c>
      <c r="AN14" s="116" cm="1">
        <f t="array" ref="AN14">_xll.EQNXTDZ($A$1,$B14,AN$1)</f>
        <v>29.564518728644199</v>
      </c>
      <c r="AO14" s="116" cm="1">
        <f t="array" ref="AO14">_xll.EQNXTDZ($A$1,$B14,AO$1)</f>
        <v>25.553348124467799</v>
      </c>
      <c r="AP14" s="116" cm="1">
        <f t="array" ref="AP14">_xll.EQNXTDZ($A$1,$B14,AP$1)</f>
        <v>23.238111885002599</v>
      </c>
      <c r="AQ14" s="116" cm="1">
        <f t="array" ref="AQ14">_xll.EQNXTDZ($A$1,$B14,AQ$1)</f>
        <v>24.957865552588899</v>
      </c>
      <c r="AR14" s="116" cm="1">
        <f t="array" ref="AR14">_xll.EQNXTDZ($A$1,$B14,AR$1)</f>
        <v>23.542998961804599</v>
      </c>
      <c r="AS14" s="116" cm="1">
        <f t="array" ref="AS14">_xll.EQNXTDZ($A$1,$B14,AS$1)</f>
        <v>25.367557562041601</v>
      </c>
      <c r="AT14" s="116" cm="1">
        <f t="array" ref="AT14">_xll.EQNXTDZ($A$1,$B14,AT$1)</f>
        <v>26.315565816472901</v>
      </c>
      <c r="AU14" s="116" cm="1">
        <f t="array" ref="AU14">_xll.EQNXTDZ($A$1,$B14,AU$1)</f>
        <v>25.105545230414901</v>
      </c>
      <c r="AV14" s="116" cm="1">
        <f t="array" ref="AV14">_xll.EQNXTDZ($A$1,$B14,AV$1)</f>
        <v>31.0460793674789</v>
      </c>
      <c r="AW14" s="116" cm="1">
        <f t="array" ref="AW14">_xll.EQNXTDZ($A$1,$B14,AW$1)</f>
        <v>34.695196567952898</v>
      </c>
      <c r="AX14" s="116" cm="1">
        <f t="array" ref="AX14">_xll.EQNXTDZ($A$1,$B14,AX$1)</f>
        <v>33.866284827897402</v>
      </c>
      <c r="AY14" s="116" cm="1">
        <f t="array" ref="AY14">_xll.EQNXTDZ($A$1,$B14,AY$1)</f>
        <v>33.180288905092901</v>
      </c>
      <c r="AZ14" s="116" cm="1">
        <f t="array" ref="AZ14">_xll.EQNXTDZ($A$1,$B14,AZ$1)</f>
        <v>36.133882461612302</v>
      </c>
      <c r="BA14" s="116" cm="1">
        <f t="array" ref="BA14">_xll.EQNXTDZ($A$1,$B14,BA$1)</f>
        <v>37.596387658147002</v>
      </c>
      <c r="BB14" s="116" cm="1">
        <f t="array" ref="BB14">_xll.EQNXTDZ($A$1,$B14,BB$1)</f>
        <v>38.920740898005597</v>
      </c>
      <c r="BC14" s="116" cm="1">
        <f t="array" ref="BC14">_xll.EQNXTDZ($A$1,$B14,BC$1)</f>
        <v>41.1264083442451</v>
      </c>
      <c r="BD14" s="116" cm="1">
        <f t="array" ref="BD14">_xll.EQNXTDZ($A$1,$B14,BD$1)</f>
        <v>42.0077225506259</v>
      </c>
      <c r="BE14" s="116" cm="1">
        <f t="array" ref="BE14">_xll.EQNXTDZ($A$1,$B14,BE$1)</f>
        <v>41.4836978873725</v>
      </c>
      <c r="BF14" s="116" cm="1">
        <f t="array" ref="BF14">_xll.EQNXTDZ($A$1,$B14,BF$1)</f>
        <v>45.385299698323102</v>
      </c>
      <c r="BG14" s="116" cm="1">
        <f t="array" ref="BG14">_xll.EQNXTDZ($A$1,$B14,BG$1)</f>
        <v>47.243205322585297</v>
      </c>
      <c r="BH14" s="116" cm="1">
        <f t="array" ref="BH14">_xll.EQNXTDZ($A$1,$B14,BH$1)</f>
        <v>48.443698187493197</v>
      </c>
      <c r="BI14" s="116" cm="1">
        <f t="array" ref="BI14">_xll.EQNXTDZ($A$1,$B14,BI$1)</f>
        <v>48.191213577016498</v>
      </c>
      <c r="BJ14" s="116" cm="1">
        <f t="array" ref="BJ14">_xll.EQNXTDZ($A$1,$B14,BJ$1)</f>
        <v>49.582260864925701</v>
      </c>
      <c r="BK14" s="116" cm="1">
        <f t="array" ref="BK14">_xll.EQNXTDZ($A$1,$B14,BK$1)</f>
        <v>52.097579248542203</v>
      </c>
      <c r="BL14" s="116" cm="1">
        <f t="array" ref="BL14">_xll.EQNXTDZ($A$1,$B14,BL$1)</f>
        <v>54.498564978357997</v>
      </c>
      <c r="BM14" s="116" cm="1">
        <f t="array" ref="BM14">_xll.EQNXTDZ($A$1,$B14,BM$1)</f>
        <v>61.225136110302202</v>
      </c>
      <c r="BN14" s="116" cm="1">
        <f t="array" ref="BN14">_xll.EQNXTDZ($A$1,$B14,BN$1)</f>
        <v>66.365341670760898</v>
      </c>
      <c r="BO14" s="116" cm="1">
        <f t="array" ref="BO14">_xll.EQNXTDZ($A$1,$B14,BO$1)</f>
        <v>70.019222731809904</v>
      </c>
      <c r="BP14" s="116" cm="1">
        <f t="array" ref="BP14">_xll.EQNXTDZ($A$1,$B14,BP$1)</f>
        <v>68.404273996874295</v>
      </c>
      <c r="BQ14" s="116" cm="1">
        <f t="array" ref="BQ14">_xll.EQNXTDZ($A$1,$B14,BQ$1)</f>
        <v>70.919592380490798</v>
      </c>
      <c r="BR14" s="116" cm="1">
        <f t="array" ref="BR14">_xll.EQNXTDZ($A$1,$B14,BR$1)</f>
        <v>75.511953974820997</v>
      </c>
      <c r="BS14" s="116" cm="1">
        <f t="array" ref="BS14">_xll.EQNXTDZ($A$1,$B14,BS$1)</f>
        <v>72.06</v>
      </c>
      <c r="BT14" s="116" cm="1">
        <f t="array" ref="BT14">_xll.EQNXTDZ($A$1,$B14,BT$1)</f>
        <v>68.48</v>
      </c>
      <c r="BU14" s="116" cm="1">
        <f t="array" ref="BU14">_xll.EQNXTDZ($A$1,$B14,BU$1)</f>
        <v>62.39</v>
      </c>
      <c r="BV14" s="116" cm="1">
        <f t="array" ref="BV14">_xll.EQNXTDZ($A$1,$B14,BV$1)</f>
        <v>63.63</v>
      </c>
      <c r="BW14" s="116" cm="1">
        <f t="array" ref="BW14">_xll.EQNXTDZ($A$1,$B14,BW$1)</f>
        <v>60.755000000000003</v>
      </c>
      <c r="BX14" s="116" cm="1">
        <f t="array" ref="BX14">_xll.EQNXTDZ($A$1,$B14,BX$1)</f>
        <v>58.65</v>
      </c>
      <c r="BY14" s="116" cm="1">
        <f t="array" ref="BY14">_xll.EQNXTDZ($A$1,$B14,BY$1)</f>
        <v>61.43</v>
      </c>
      <c r="BZ14" s="116" cm="1">
        <f t="array" ref="BZ14">_xll.EQNXTDZ($A$1,$B14,BZ$1)</f>
        <v>64.67</v>
      </c>
      <c r="CA14" s="116" cm="1">
        <f t="array" ref="CA14">_xll.EQNXTDZ($A$1,$B14,CA$1)</f>
        <v>59.445</v>
      </c>
      <c r="CB14" s="116" cm="1">
        <f t="array" ref="CB14">_xll.EQNXTDZ($A$1,$B14,CB$1)</f>
        <v>61</v>
      </c>
      <c r="CC14" s="116" cm="1">
        <f t="array" ref="CC14">_xll.EQNXTDZ($A$1,$B14,CC$1)</f>
        <v>55.25</v>
      </c>
      <c r="CD14" s="116" cm="1">
        <f t="array" ref="CD14">_xll.EQNXTDZ($A$1,$B14,CD$1)</f>
        <v>52.405000000000001</v>
      </c>
      <c r="CE14" s="116" cm="1">
        <f t="array" ref="CE14">_xll.EQNXTDZ($A$1,$B14,CE$1)</f>
        <v>51.195</v>
      </c>
      <c r="CF14" s="116" cm="1">
        <f t="array" ref="CF14">_xll.EQNXTDZ($A$1,$B14,CF$1)</f>
        <v>53.18</v>
      </c>
      <c r="CG14" s="116" cm="1">
        <f t="array" ref="CG14">_xll.EQNXTDZ($A$1,$B14,CG$1)</f>
        <v>55.9</v>
      </c>
      <c r="CH14" s="116" cm="1">
        <f t="array" ref="CH14">_xll.EQNXTDZ($A$1,$B14,CH$1)</f>
        <v>56.034999999999997</v>
      </c>
      <c r="CI14" s="116" cm="1">
        <f t="array" ref="CI14">_xll.EQNXTDZ($A$1,$B14,CI$1)</f>
        <v>51.64</v>
      </c>
      <c r="CJ14" s="116" cm="1">
        <f t="array" ref="CJ14">_xll.EQNXTDZ($A$1,$B14,CJ$1)</f>
        <v>51.475000000000001</v>
      </c>
      <c r="CK14" s="116" cm="1">
        <f t="array" ref="CK14">_xll.EQNXTDZ($A$1,$B14,CK$1)</f>
        <v>43.164999999999999</v>
      </c>
      <c r="CL14" s="116" cm="1">
        <f t="array" ref="CL14">_xll.EQNXTDZ($A$1,$B14,CL$1)</f>
        <v>38.799999999999997</v>
      </c>
      <c r="CM14" s="116" cm="1">
        <f t="array" ref="CM14">_xll.EQNXTDZ($A$1,$B14,CM$1)</f>
        <v>39.965000000000003</v>
      </c>
      <c r="CN14" s="116" cm="1">
        <f t="array" ref="CN14">_xll.EQNXTDZ($A$1,$B14,CN$1)</f>
        <v>43.435000000000002</v>
      </c>
      <c r="CO14" s="116" cm="1">
        <f t="array" ref="CO14">_xll.EQNXTDZ($A$1,$B14,CO$1)</f>
        <v>47.6</v>
      </c>
      <c r="CP14" s="116" cm="1">
        <f t="array" ref="CP14">_xll.EQNXTDZ($A$1,$B14,CP$1)</f>
        <v>50.594999999999999</v>
      </c>
      <c r="CQ14" s="116" cm="1">
        <f t="array" ref="CQ14">_xll.EQNXTDZ($A$1,$B14,CQ$1)</f>
        <v>48.725000000000001</v>
      </c>
      <c r="CR14" s="116" cm="1">
        <f t="array" ref="CR14">_xll.EQNXTDZ($A$1,$B14,CR$1)</f>
        <v>39.424999999999997</v>
      </c>
      <c r="CS14" s="116" cm="1">
        <f t="array" ref="CS14">_xll.EQNXTDZ($A$1,$B14,CS$1)</f>
        <v>30.43</v>
      </c>
      <c r="CT14" s="116" cm="1">
        <f t="array" ref="CT14">_xll.EQNXTDZ($A$1,$B14,CT$1)</f>
        <v>29.85</v>
      </c>
      <c r="CU14" s="116" cm="1">
        <f t="array" ref="CU14">_xll.EQNXTDZ($A$1,$B14,CU$1)</f>
        <v>35.045000000000002</v>
      </c>
      <c r="CV14" s="116" cm="1">
        <f t="array" ref="CV14">_xll.EQNXTDZ($A$1,$B14,CV$1)</f>
        <v>37.82</v>
      </c>
      <c r="CW14" s="116" cm="1">
        <f t="array" ref="CW14">_xll.EQNXTDZ($A$1,$B14,CW$1)</f>
        <v>44.2</v>
      </c>
      <c r="CX14" s="116" cm="1">
        <f t="array" ref="CX14">_xll.EQNXTDZ($A$1,$B14,CX$1)</f>
        <v>44.375</v>
      </c>
      <c r="CY14" s="116" cm="1">
        <f t="array" ref="CY14">_xll.EQNXTDZ($A$1,$B14,CY$1)</f>
        <v>42.59</v>
      </c>
      <c r="CZ14" s="116" cm="1">
        <f t="array" ref="CZ14">_xll.EQNXTDZ($A$1,$B14,CZ$1)</f>
        <v>58.2</v>
      </c>
      <c r="DA14" s="116" cm="1">
        <f t="array" ref="DA14">_xll.EQNXTDZ($A$1,$B14,DA$1)</f>
        <v>65.33</v>
      </c>
      <c r="DB14" s="116" cm="1">
        <f t="array" ref="DB14">_xll.EQNXTDZ($A$1,$B14,DB$1)</f>
        <v>73.135000000000005</v>
      </c>
      <c r="DC14" s="116" cm="1">
        <f t="array" ref="DC14">_xll.EQNXTDZ($A$1,$B14,DC$1)</f>
        <v>75.284999999999997</v>
      </c>
      <c r="DD14" s="116" cm="1">
        <f t="array" ref="DD14">_xll.EQNXTDZ($A$1,$B14,DD$1)</f>
        <v>82.35</v>
      </c>
      <c r="DE14" s="116" cm="1">
        <f t="array" ref="DE14">_xll.EQNXTDZ($A$1,$B14,DE$1)</f>
        <v>105.25</v>
      </c>
      <c r="DF14" s="116" cm="1">
        <f t="array" ref="DF14">_xll.EQNXTDZ($A$1,$B14,DF$1)</f>
        <v>124.68</v>
      </c>
      <c r="DG14" s="116" cm="1">
        <f t="array" ref="DG14">_xll.EQNXTDZ($A$1,$B14,DG$1)</f>
        <v>119.5</v>
      </c>
      <c r="DH14" s="116" cm="1">
        <f t="array" ref="DH14">_xll.EQNXTDZ($A$1,$B14,DH$1)</f>
        <v>148.125</v>
      </c>
      <c r="DI14" s="116" cm="1">
        <f t="array" ref="DI14">_xll.EQNXTDZ($A$1,$B14,DI$1)</f>
        <v>153.46</v>
      </c>
      <c r="DJ14" s="116" cm="1">
        <f t="array" ref="DJ14">_xll.EQNXTDZ($A$1,$B14,DJ$1)</f>
        <v>147.66499999999999</v>
      </c>
      <c r="DK14" s="116" cm="1">
        <f t="array" ref="DK14">_xll.EQNXTDZ($A$1,$B14,DK$1)</f>
        <v>142.62</v>
      </c>
      <c r="DL14" s="116" cm="1">
        <f t="array" ref="DL14">_xll.EQNXTDZ($A$1,$B14,DL$1)</f>
        <v>137.27000000000001</v>
      </c>
      <c r="DM14" s="116" cm="1">
        <f t="array" ref="DM14">_xll.EQNXTDZ($A$1,$B14,DM$1)</f>
        <v>119.9</v>
      </c>
      <c r="DN14" s="116" cm="1">
        <f t="array" ref="DN14">_xll.EQNXTDZ($A$1,$B14,DN$1)</f>
        <v>124.44499999999999</v>
      </c>
      <c r="DO14" s="116" cm="1">
        <f t="array" ref="DO14">_xll.EQNXTDZ($A$1,$B14,DO$1)</f>
        <v>126.5</v>
      </c>
      <c r="DP14" s="116" cm="1">
        <f t="array" ref="DP14">_xll.EQNXTDZ($A$1,$B14,DP$1)</f>
        <v>136.62</v>
      </c>
      <c r="DQ14" s="116" cm="1">
        <f t="array" ref="DQ14">_xll.EQNXTDZ($A$1,$B14,DQ$1)</f>
        <v>138.625</v>
      </c>
      <c r="DR14" s="116" cm="1">
        <f t="array" ref="DR14">_xll.EQNXTDZ($A$1,$B14,DR$1)</f>
        <v>133</v>
      </c>
      <c r="DS14" s="116" cm="1">
        <f t="array" ref="DS14">_xll.EQNXTDZ($A$1,$B14,DS$1)</f>
        <v>109.285</v>
      </c>
      <c r="DT14" s="116" cm="1">
        <f t="array" ref="DT14">_xll.EQNXTDZ($A$1,$B14,DT$1)</f>
        <v>109.3</v>
      </c>
      <c r="DU14" s="116" cm="1">
        <f t="array" ref="DU14">_xll.EQNXTDZ($A$1,$B14,DU$1)</f>
        <v>113.8</v>
      </c>
      <c r="DV14" s="116" cm="1">
        <f t="array" ref="DV14">_xll.EQNXTDZ($A$1,$B14,DV$1)</f>
        <v>110.4</v>
      </c>
      <c r="DW14" s="116" cm="1">
        <f t="array" ref="DW14">_xll.EQNXTDZ($A$1,$B14,DW$1)</f>
        <v>104.65</v>
      </c>
      <c r="DX14" s="116" cm="1">
        <f t="array" ref="DX14">_xll.EQNXTDZ($A$1,$B14,DX$1)</f>
        <v>110</v>
      </c>
      <c r="DY14" s="116" cm="1">
        <f t="array" ref="DY14">_xll.EQNXTDZ($A$1,$B14,DY$1)</f>
        <v>116.05</v>
      </c>
      <c r="DZ14" s="116" cm="1">
        <f t="array" ref="DZ14">_xll.EQNXTDZ($A$1,$B14,DZ$1)</f>
        <v>124.3</v>
      </c>
      <c r="EA14" s="116" cm="1">
        <f t="array" ref="EA14">_xll.EQNXTDZ($A$1,$B14,EA$1)</f>
        <v>124.15</v>
      </c>
      <c r="EB14" s="116" cm="1">
        <f t="array" ref="EB14">_xll.EQNXTDZ($A$1,$B14,EB$1)</f>
        <v>109.1</v>
      </c>
      <c r="EC14" s="116" cm="1">
        <f t="array" ref="EC14">_xll.EQNXTDZ($A$1,$B14,EC$1)</f>
        <v>110.4</v>
      </c>
      <c r="ED14" s="116" cm="1">
        <f t="array" ref="ED14">_xll.EQNXTDZ($A$1,$B14,ED$1)</f>
        <v>111.85</v>
      </c>
      <c r="EE14" s="116" cm="1">
        <f t="array" ref="EE14">_xll.EQNXTDZ($A$1,$B14,EE$1)</f>
        <v>115.5</v>
      </c>
      <c r="EF14" s="116" cm="1">
        <f t="array" ref="EF14">_xll.EQNXTDZ($A$1,$B14,EF$1)</f>
        <v>123.9</v>
      </c>
      <c r="EG14" s="116" cm="1">
        <f t="array" ref="EG14">_xll.EQNXTDZ($A$1,$B14,EG$1)</f>
        <v>124.1</v>
      </c>
      <c r="EH14" s="116" cm="1">
        <f t="array" ref="EH14">_xll.EQNXTDZ($A$1,$B14,EH$1)</f>
        <v>134.85</v>
      </c>
      <c r="EI14" s="116" cm="1">
        <f t="array" ref="EI14">_xll.EQNXTDZ($A$1,$B14,EI$1)</f>
        <v>129</v>
      </c>
      <c r="EJ14" s="116" cm="1">
        <f t="array" ref="EJ14">_xll.EQNXTDZ($A$1,$B14,EJ$1)</f>
        <v>128.80000000000001</v>
      </c>
      <c r="EK14" s="116" cm="1">
        <f t="array" ref="EK14">_xll.EQNXTDZ($A$1,$B14,EK$1)</f>
        <v>141.19999999999999</v>
      </c>
      <c r="EL14" s="116" cm="1">
        <f t="array" ref="EL14">_xll.EQNXTDZ($A$1,$B14,EL$1)</f>
        <v>142.15</v>
      </c>
      <c r="EM14" s="116" cm="1">
        <f t="array" ref="EM14">_xll.EQNXTDZ($A$1,$B14,EM$1)</f>
        <v>147.35</v>
      </c>
      <c r="EN14" s="116" cm="1">
        <f t="array" ref="EN14">_xll.EQNXTDZ($A$1,$B14,EN$1)</f>
        <v>159.5</v>
      </c>
      <c r="EO14" s="116" cm="1">
        <f t="array" ref="EO14">_xll.EQNXTDZ($A$1,$B14,EO$1)</f>
        <v>170.7</v>
      </c>
      <c r="EP14" s="116" cm="1">
        <f t="array" ref="EP14">_xll.EQNXTDZ($A$1,$B14,EP$1)</f>
        <v>178</v>
      </c>
      <c r="EQ14" s="116" cm="1">
        <f t="array" ref="EQ14">_xll.EQNXTDZ($A$1,$B14,EQ$1)</f>
        <v>184.6</v>
      </c>
      <c r="ER14" s="116" cm="1">
        <f t="array" ref="ER14">_xll.EQNXTDZ($A$1,$B14,ER$1)</f>
        <v>178.15</v>
      </c>
      <c r="ES14" s="116" cm="1">
        <f t="array" ref="ES14">_xll.EQNXTDZ($A$1,$B14,ES$1)</f>
        <v>168.9</v>
      </c>
      <c r="ET14" s="116" cm="1">
        <f t="array" ref="ET14">_xll.EQNXTDZ($A$1,$B14,ET$1)</f>
        <v>170.2</v>
      </c>
      <c r="EU14" s="116" cm="1">
        <f t="array" ref="EU14">_xll.EQNXTDZ($A$1,$B14,EU$1)</f>
        <v>169.95</v>
      </c>
      <c r="EV14" s="116" cm="1">
        <f t="array" ref="EV14">_xll.EQNXTDZ($A$1,$B14,EV$1)</f>
        <v>156.80000000000001</v>
      </c>
      <c r="EW14" s="116" cm="1">
        <f t="array" ref="EW14">_xll.EQNXTDZ($A$1,$B14,EW$1)</f>
        <v>152.5</v>
      </c>
      <c r="EX14" s="116" cm="1">
        <f t="array" ref="EX14">_xll.EQNXTDZ($A$1,$B14,EX$1)</f>
        <v>139.69999999999999</v>
      </c>
      <c r="EY14" s="116" cm="1">
        <f t="array" ref="EY14">_xll.EQNXTDZ($A$1,$B14,EY$1)</f>
        <v>141.55000000000001</v>
      </c>
      <c r="EZ14" s="116" cm="1">
        <f t="array" ref="EZ14">_xll.EQNXTDZ($A$1,$B14,EZ$1)</f>
        <v>160.1</v>
      </c>
      <c r="FA14" s="116" cm="1">
        <f t="array" ref="FA14">_xll.EQNXTDZ($A$1,$B14,FA$1)</f>
        <v>156.19999999999999</v>
      </c>
      <c r="FB14" s="116" cm="1">
        <f t="array" ref="FB14">_xll.EQNXTDZ($A$1,$B14,FB$1)</f>
        <v>165.6</v>
      </c>
      <c r="FC14" s="116" cm="1">
        <f t="array" ref="FC14">_xll.EQNXTDZ($A$1,$B14,FC$1)</f>
        <v>163.35</v>
      </c>
      <c r="FD14" s="116" cm="1">
        <f t="array" ref="FD14">_xll.EQNXTDZ($A$1,$B14,FD$1)</f>
        <v>168.75</v>
      </c>
      <c r="FE14" s="116" cm="1">
        <f t="array" ref="FE14">_xll.EQNXTDZ($A$1,$B14,FE$1)</f>
        <v>162.69999999999999</v>
      </c>
      <c r="FF14" s="116" cm="1">
        <f t="array" ref="FF14">_xll.EQNXTDZ($A$1,$B14,FF$1)</f>
        <v>174.35</v>
      </c>
      <c r="FG14" s="116" cm="1">
        <f t="array" ref="FG14">_xll.EQNXTDZ($A$1,$B14,FG$1)</f>
        <v>187</v>
      </c>
      <c r="FH14" s="116" cm="1">
        <f t="array" ref="FH14">_xll.EQNXTDZ($A$1,$B14,FH$1)</f>
        <v>184.2</v>
      </c>
      <c r="FI14" s="116" cm="1">
        <f t="array" ref="FI14">_xll.EQNXTDZ($A$1,$B14,FI$1)</f>
        <v>181.35</v>
      </c>
      <c r="FJ14" s="116" cm="1">
        <f t="array" ref="FJ14">_xll.EQNXTDZ($A$1,$B14,FJ$1)</f>
        <v>202.9</v>
      </c>
      <c r="FK14" s="116" cm="1">
        <f t="array" ref="FK14">_xll.EQNXTDZ($A$1,$B14,FK$1)</f>
        <v>216.5</v>
      </c>
      <c r="FL14" s="116" cm="1">
        <f t="array" ref="FL14">_xll.EQNXTDZ($A$1,$B14,FL$1)</f>
        <v>214.35</v>
      </c>
      <c r="FM14" s="116" cm="1">
        <f t="array" ref="FM14">_xll.EQNXTDZ($A$1,$B14,FM$1)</f>
        <v>218.2</v>
      </c>
      <c r="FN14" s="116" cm="1">
        <f t="array" ref="FN14">_xll.EQNXTDZ($A$1,$B14,FN$1)</f>
        <v>224.4</v>
      </c>
      <c r="FO14" s="116" cm="1">
        <f t="array" ref="FO14">_xll.EQNXTDZ($A$1,$B14,FO$1)</f>
        <v>213.4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43.341603511634702</v>
      </c>
      <c r="HQ14" s="116">
        <f>+MAX(G14:I14)</f>
        <v>41.612322122898298</v>
      </c>
      <c r="HR14" s="116">
        <f>+MAX(J14:L14)</f>
        <v>42.693718473430401</v>
      </c>
      <c r="HS14" s="116">
        <f>+MAX(M14:O14)</f>
        <v>31.150884300129601</v>
      </c>
      <c r="HT14" s="116">
        <f>+MAX(P14:R14)</f>
        <v>30.321972560074201</v>
      </c>
      <c r="HU14" s="116">
        <f>+MAX(S14:U14)</f>
        <v>41.1359360653952</v>
      </c>
      <c r="HV14" s="116">
        <f>+MAX(V14:X14)</f>
        <v>41.4836978873725</v>
      </c>
      <c r="HW14" s="116">
        <f>+MAX(Y14:AA14)</f>
        <v>55.127394574262098</v>
      </c>
      <c r="HX14" s="116">
        <f>+MAX(AB14:AD14)</f>
        <v>54.679591680209199</v>
      </c>
      <c r="HY14" s="116">
        <f>+MAX(AE14:AG14)</f>
        <v>47.190802856259999</v>
      </c>
      <c r="HZ14" s="116">
        <f>+MAX(AH14:AJ14)</f>
        <v>40.130761484063598</v>
      </c>
      <c r="IA14" s="116">
        <f>+MAX(AK14:AM14)</f>
        <v>36.605504658540397</v>
      </c>
      <c r="IB14" s="116">
        <f>+MAX(AN14:AP14)</f>
        <v>29.564518728644199</v>
      </c>
      <c r="IC14" s="116">
        <f>+MAX(AQ14:AS14)</f>
        <v>25.367557562041601</v>
      </c>
      <c r="ID14" s="116">
        <f>+MAX(AT14:AV14)</f>
        <v>31.0460793674789</v>
      </c>
      <c r="IE14" s="116">
        <f>+MAX(AW14:AY14)</f>
        <v>34.695196567952898</v>
      </c>
      <c r="IF14" s="116">
        <f>+MAX(AZ14:BB14)</f>
        <v>38.920740898005597</v>
      </c>
      <c r="IG14" s="116">
        <f>+MAX(BC14:BE14)</f>
        <v>42.0077225506259</v>
      </c>
      <c r="IH14" s="116">
        <f>+MAX(BF14:BH14)</f>
        <v>48.443698187493197</v>
      </c>
      <c r="II14" s="116">
        <f>+MAX(BI14:BK14)</f>
        <v>52.097579248542203</v>
      </c>
      <c r="IJ14" s="116">
        <f>+MAX(BL14:BN14)</f>
        <v>66.365341670760898</v>
      </c>
      <c r="IK14" s="116">
        <f>+MAX(BO14:BQ14)</f>
        <v>70.919592380490798</v>
      </c>
      <c r="IL14" s="116">
        <f>+MAX(BR14:BT14)</f>
        <v>75.511953974820997</v>
      </c>
      <c r="IM14" s="116">
        <f>+MAX(BU14:BW14)</f>
        <v>63.63</v>
      </c>
      <c r="IN14" s="116">
        <f>+MAX(BX14:BZ14)</f>
        <v>64.67</v>
      </c>
      <c r="IO14" s="116">
        <f>+MAX(CA14:CC14)</f>
        <v>61</v>
      </c>
      <c r="IP14" s="116">
        <f>+MAX(CD14:CF14)</f>
        <v>53.18</v>
      </c>
      <c r="IQ14" s="116">
        <f>+MAX(CG14:CI14)</f>
        <v>56.034999999999997</v>
      </c>
      <c r="IR14" s="116">
        <f>+MAX(CJ14:CL14)</f>
        <v>51.475000000000001</v>
      </c>
      <c r="IS14" s="116">
        <f>+MAX(CM14:CO14)</f>
        <v>47.6</v>
      </c>
      <c r="IT14" s="116">
        <f>+MAX(CP14:CR14)</f>
        <v>50.594999999999999</v>
      </c>
      <c r="IU14" s="116">
        <f>+MAX(CS14:CU14)</f>
        <v>35.045000000000002</v>
      </c>
      <c r="IV14" s="116">
        <f>+MAX(CV14:CX14)</f>
        <v>44.375</v>
      </c>
      <c r="IW14" s="116">
        <f>+MAX(CY14:DA14)</f>
        <v>65.33</v>
      </c>
      <c r="IX14" s="116">
        <f>+MAX(DB14:DD14)</f>
        <v>82.35</v>
      </c>
      <c r="IY14" s="116">
        <f>+MAX(DE14:DG14)</f>
        <v>124.68</v>
      </c>
      <c r="IZ14" s="116">
        <f>+MAX(DH14:DJ14)</f>
        <v>153.46</v>
      </c>
      <c r="JA14" s="116">
        <f>+MAX(DK14:DM14)</f>
        <v>142.62</v>
      </c>
      <c r="JB14" s="116">
        <f>+MAX(DN14:DP14)</f>
        <v>136.62</v>
      </c>
      <c r="JC14" s="116">
        <f>+MAX(DQ14:DS14)</f>
        <v>138.625</v>
      </c>
      <c r="JD14" s="116">
        <f>+MAX(DT14:DV14)</f>
        <v>113.8</v>
      </c>
      <c r="JE14" s="116">
        <f>+MAX(DW14:DY14)</f>
        <v>116.05</v>
      </c>
      <c r="JF14" s="116">
        <f>+MAX(DZ14:EB14)</f>
        <v>124.3</v>
      </c>
      <c r="JG14" s="116">
        <f>+MAX(EC14:EE14)</f>
        <v>115.5</v>
      </c>
      <c r="JH14" s="116">
        <f>+MAX(EF14:EH14)</f>
        <v>134.85</v>
      </c>
      <c r="JI14" s="116">
        <f>+MAX(EI14:EK14)</f>
        <v>141.19999999999999</v>
      </c>
      <c r="JJ14" s="116">
        <f>+MAX(EL14:EN14)</f>
        <v>159.5</v>
      </c>
      <c r="JK14" s="116">
        <f>MAX(EO14:EQ14)</f>
        <v>184.6</v>
      </c>
      <c r="JL14" s="116">
        <f>MAX(ER14:ET14)</f>
        <v>178.15</v>
      </c>
      <c r="JM14" s="116">
        <f>MAX(EU14:EW14)</f>
        <v>169.95</v>
      </c>
      <c r="JN14" s="116">
        <f>MAX(EX14:EZ14)</f>
        <v>160.1</v>
      </c>
      <c r="JO14" s="116">
        <f>MAX(FA14:FC14)</f>
        <v>165.6</v>
      </c>
      <c r="JP14" s="116">
        <f>MAX(FD14:FF14)</f>
        <v>174.35</v>
      </c>
      <c r="JQ14" s="116">
        <f>MAX(FG14:FI14)</f>
        <v>187</v>
      </c>
      <c r="JR14" s="116">
        <f>MAX(FJ14:FL14)</f>
        <v>216.5</v>
      </c>
      <c r="JS14" s="116">
        <f>MAX(FM14:FO14)</f>
        <v>224.4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37.072362994893503</v>
      </c>
      <c r="D15" s="116" cm="1">
        <f t="array" ref="D15">_xll.EQNXTDZ($A$1,$B15,D$1)</f>
        <v>36.410186374964198</v>
      </c>
      <c r="E15" s="116" cm="1">
        <f t="array" ref="E15">_xll.EQNXTDZ($A$1,$B15,E$1)</f>
        <v>34.137824880674202</v>
      </c>
      <c r="F15" s="116" cm="1">
        <f t="array" ref="F15">_xll.EQNXTDZ($A$1,$B15,F$1)</f>
        <v>33.1135948570425</v>
      </c>
      <c r="G15" s="116" cm="1">
        <f t="array" ref="G15">_xll.EQNXTDZ($A$1,$B15,G$1)</f>
        <v>37.029488249718199</v>
      </c>
      <c r="H15" s="116" cm="1">
        <f t="array" ref="H15">_xll.EQNXTDZ($A$1,$B15,H$1)</f>
        <v>34.218810510449799</v>
      </c>
      <c r="I15" s="116" cm="1">
        <f t="array" ref="I15">_xll.EQNXTDZ($A$1,$B15,I$1)</f>
        <v>36.786531360391599</v>
      </c>
      <c r="J15" s="116" cm="1">
        <f t="array" ref="J15">_xll.EQNXTDZ($A$1,$B15,J$1)</f>
        <v>37.834580686898498</v>
      </c>
      <c r="K15" s="116" cm="1">
        <f t="array" ref="K15">_xll.EQNXTDZ($A$1,$B15,K$1)</f>
        <v>32.279919256412001</v>
      </c>
      <c r="L15" s="116" cm="1">
        <f t="array" ref="L15">_xll.EQNXTDZ($A$1,$B15,L$1)</f>
        <v>28.664149079963298</v>
      </c>
      <c r="M15" s="116" cm="1">
        <f t="array" ref="M15">_xll.EQNXTDZ($A$1,$B15,M$1)</f>
        <v>27.887639806233199</v>
      </c>
      <c r="N15" s="116" cm="1">
        <f t="array" ref="N15">_xll.EQNXTDZ($A$1,$B15,N$1)</f>
        <v>27.6637383592067</v>
      </c>
      <c r="O15" s="116" cm="1">
        <f t="array" ref="O15">_xll.EQNXTDZ($A$1,$B15,O$1)</f>
        <v>24.919754667988698</v>
      </c>
      <c r="P15" s="116" cm="1">
        <f t="array" ref="P15">_xll.EQNXTDZ($A$1,$B15,P$1)</f>
        <v>19.2936353288767</v>
      </c>
      <c r="Q15" s="116" cm="1">
        <f t="array" ref="Q15">_xll.EQNXTDZ($A$1,$B15,Q$1)</f>
        <v>18.617167127222299</v>
      </c>
      <c r="R15" s="116" cm="1">
        <f t="array" ref="R15">_xll.EQNXTDZ($A$1,$B15,R$1)</f>
        <v>25.3580298408916</v>
      </c>
      <c r="S15" s="116" cm="1">
        <f t="array" ref="S15">_xll.EQNXTDZ($A$1,$B15,S$1)</f>
        <v>25.6295698936683</v>
      </c>
      <c r="T15" s="116" cm="1">
        <f t="array" ref="T15">_xll.EQNXTDZ($A$1,$B15,T$1)</f>
        <v>31.617742636482699</v>
      </c>
      <c r="U15" s="116" cm="1">
        <f t="array" ref="U15">_xll.EQNXTDZ($A$1,$B15,U$1)</f>
        <v>37.748831196547897</v>
      </c>
      <c r="V15" s="116" cm="1">
        <f t="array" ref="V15">_xll.EQNXTDZ($A$1,$B15,V$1)</f>
        <v>32.546695448613796</v>
      </c>
      <c r="W15" s="116" cm="1">
        <f t="array" ref="W15">_xll.EQNXTDZ($A$1,$B15,W$1)</f>
        <v>32.013143064210297</v>
      </c>
      <c r="X15" s="116" cm="1">
        <f t="array" ref="X15">_xll.EQNXTDZ($A$1,$B15,X$1)</f>
        <v>31.6510896605079</v>
      </c>
      <c r="Y15" s="116" cm="1">
        <f t="array" ref="Y15">_xll.EQNXTDZ($A$1,$B15,Y$1)</f>
        <v>36.800822942116703</v>
      </c>
      <c r="Z15" s="116" cm="1">
        <f t="array" ref="Z15">_xll.EQNXTDZ($A$1,$B15,Z$1)</f>
        <v>37.039015970868299</v>
      </c>
      <c r="AA15" s="116" cm="1">
        <f t="array" ref="AA15">_xll.EQNXTDZ($A$1,$B15,AA$1)</f>
        <v>44.970843828295401</v>
      </c>
      <c r="AB15" s="116" cm="1">
        <f t="array" ref="AB15">_xll.EQNXTDZ($A$1,$B15,AB$1)</f>
        <v>47.033595457283901</v>
      </c>
      <c r="AC15" s="116" cm="1">
        <f t="array" ref="AC15">_xll.EQNXTDZ($A$1,$B15,AC$1)</f>
        <v>48.548503120143899</v>
      </c>
      <c r="AD15" s="116" cm="1">
        <f t="array" ref="AD15">_xll.EQNXTDZ($A$1,$B15,AD$1)</f>
        <v>42.979550107932297</v>
      </c>
      <c r="AE15" s="116" cm="1">
        <f t="array" ref="AE15">_xll.EQNXTDZ($A$1,$B15,AE$1)</f>
        <v>41.488461747947497</v>
      </c>
      <c r="AF15" s="116" cm="1">
        <f t="array" ref="AF15">_xll.EQNXTDZ($A$1,$B15,AF$1)</f>
        <v>43.698893054762003</v>
      </c>
      <c r="AG15" s="116" cm="1">
        <f t="array" ref="AG15">_xll.EQNXTDZ($A$1,$B15,AG$1)</f>
        <v>36.877044711317197</v>
      </c>
      <c r="AH15" s="116" cm="1">
        <f t="array" ref="AH15">_xll.EQNXTDZ($A$1,$B15,AH$1)</f>
        <v>35.495525144558201</v>
      </c>
      <c r="AI15" s="116" cm="1">
        <f t="array" ref="AI15">_xll.EQNXTDZ($A$1,$B15,AI$1)</f>
        <v>32.865874107140897</v>
      </c>
      <c r="AJ15" s="116" cm="1">
        <f t="array" ref="AJ15">_xll.EQNXTDZ($A$1,$B15,AJ$1)</f>
        <v>29.6597959401448</v>
      </c>
      <c r="AK15" s="116" cm="1">
        <f t="array" ref="AK15">_xll.EQNXTDZ($A$1,$B15,AK$1)</f>
        <v>30.117126555347799</v>
      </c>
      <c r="AL15" s="116" cm="1">
        <f t="array" ref="AL15">_xll.EQNXTDZ($A$1,$B15,AL$1)</f>
        <v>30.717372987801799</v>
      </c>
      <c r="AM15" s="116" cm="1">
        <f t="array" ref="AM15">_xll.EQNXTDZ($A$1,$B15,AM$1)</f>
        <v>27.396962167005</v>
      </c>
      <c r="AN15" s="116" cm="1">
        <f t="array" ref="AN15">_xll.EQNXTDZ($A$1,$B15,AN$1)</f>
        <v>23.3667361205285</v>
      </c>
      <c r="AO15" s="116" cm="1">
        <f t="array" ref="AO15">_xll.EQNXTDZ($A$1,$B15,AO$1)</f>
        <v>19.093553184725401</v>
      </c>
      <c r="AP15" s="116" cm="1">
        <f t="array" ref="AP15">_xll.EQNXTDZ($A$1,$B15,AP$1)</f>
        <v>19.0554423001252</v>
      </c>
      <c r="AQ15" s="116" cm="1">
        <f t="array" ref="AQ15">_xll.EQNXTDZ($A$1,$B15,AQ$1)</f>
        <v>20.046325299731699</v>
      </c>
      <c r="AR15" s="116" cm="1">
        <f t="array" ref="AR15">_xll.EQNXTDZ($A$1,$B15,AR$1)</f>
        <v>20.294046049633302</v>
      </c>
      <c r="AS15" s="116" cm="1">
        <f t="array" ref="AS15">_xll.EQNXTDZ($A$1,$B15,AS$1)</f>
        <v>21.437372587640802</v>
      </c>
      <c r="AT15" s="116" cm="1">
        <f t="array" ref="AT15">_xll.EQNXTDZ($A$1,$B15,AT$1)</f>
        <v>21.465955751090998</v>
      </c>
      <c r="AU15" s="116" cm="1">
        <f t="array" ref="AU15">_xll.EQNXTDZ($A$1,$B15,AU$1)</f>
        <v>20.1320747900822</v>
      </c>
      <c r="AV15" s="116" cm="1">
        <f t="array" ref="AV15">_xll.EQNXTDZ($A$1,$B15,AV$1)</f>
        <v>23.504888077204399</v>
      </c>
      <c r="AW15" s="116" cm="1">
        <f t="array" ref="AW15">_xll.EQNXTDZ($A$1,$B15,AW$1)</f>
        <v>29.383492026793</v>
      </c>
      <c r="AX15" s="116" cm="1">
        <f t="array" ref="AX15">_xll.EQNXTDZ($A$1,$B15,AX$1)</f>
        <v>29.6502682189948</v>
      </c>
      <c r="AY15" s="116" cm="1">
        <f t="array" ref="AY15">_xll.EQNXTDZ($A$1,$B15,AY$1)</f>
        <v>28.335442700286102</v>
      </c>
      <c r="AZ15" s="116" cm="1">
        <f t="array" ref="AZ15">_xll.EQNXTDZ($A$1,$B15,AZ$1)</f>
        <v>29.726489988195301</v>
      </c>
      <c r="BA15" s="116" cm="1">
        <f t="array" ref="BA15">_xll.EQNXTDZ($A$1,$B15,BA$1)</f>
        <v>33.728132871221497</v>
      </c>
      <c r="BB15" s="116" cm="1">
        <f t="array" ref="BB15">_xll.EQNXTDZ($A$1,$B15,BB$1)</f>
        <v>33.861520967322399</v>
      </c>
      <c r="BC15" s="116" cm="1">
        <f t="array" ref="BC15">_xll.EQNXTDZ($A$1,$B15,BC$1)</f>
        <v>35.7289543127347</v>
      </c>
      <c r="BD15" s="116" cm="1">
        <f t="array" ref="BD15">_xll.EQNXTDZ($A$1,$B15,BD$1)</f>
        <v>34.8762232698041</v>
      </c>
      <c r="BE15" s="116" cm="1">
        <f t="array" ref="BE15">_xll.EQNXTDZ($A$1,$B15,BE$1)</f>
        <v>35.9623834809112</v>
      </c>
      <c r="BF15" s="116" cm="1">
        <f t="array" ref="BF15">_xll.EQNXTDZ($A$1,$B15,BF$1)</f>
        <v>37.058071413168399</v>
      </c>
      <c r="BG15" s="116" cm="1">
        <f t="array" ref="BG15">_xll.EQNXTDZ($A$1,$B15,BG$1)</f>
        <v>43.417825280835203</v>
      </c>
      <c r="BH15" s="116" cm="1">
        <f t="array" ref="BH15">_xll.EQNXTDZ($A$1,$B15,BH$1)</f>
        <v>44.065710319039397</v>
      </c>
      <c r="BI15" s="116" cm="1">
        <f t="array" ref="BI15">_xll.EQNXTDZ($A$1,$B15,BI$1)</f>
        <v>42.169693810177002</v>
      </c>
      <c r="BJ15" s="116" cm="1">
        <f t="array" ref="BJ15">_xll.EQNXTDZ($A$1,$B15,BJ$1)</f>
        <v>40.802465825143003</v>
      </c>
      <c r="BK15" s="116" cm="1">
        <f t="array" ref="BK15">_xll.EQNXTDZ($A$1,$B15,BK$1)</f>
        <v>46.447640606555098</v>
      </c>
      <c r="BL15" s="116" cm="1">
        <f t="array" ref="BL15">_xll.EQNXTDZ($A$1,$B15,BL$1)</f>
        <v>51.635484772764201</v>
      </c>
      <c r="BM15" s="116" cm="1">
        <f t="array" ref="BM15">_xll.EQNXTDZ($A$1,$B15,BM$1)</f>
        <v>53.164684017349202</v>
      </c>
      <c r="BN15" s="116" cm="1">
        <f t="array" ref="BN15">_xll.EQNXTDZ($A$1,$B15,BN$1)</f>
        <v>59.3577027648899</v>
      </c>
      <c r="BO15" s="116" cm="1">
        <f t="array" ref="BO15">_xll.EQNXTDZ($A$1,$B15,BO$1)</f>
        <v>62.335115624284398</v>
      </c>
      <c r="BP15" s="116" cm="1">
        <f t="array" ref="BP15">_xll.EQNXTDZ($A$1,$B15,BP$1)</f>
        <v>63.807148541969099</v>
      </c>
      <c r="BQ15" s="116" cm="1">
        <f t="array" ref="BQ15">_xll.EQNXTDZ($A$1,$B15,BQ$1)</f>
        <v>62.940125917313402</v>
      </c>
      <c r="BR15" s="116" cm="1">
        <f t="array" ref="BR15">_xll.EQNXTDZ($A$1,$B15,BR$1)</f>
        <v>68.175608689272806</v>
      </c>
      <c r="BS15" s="116" cm="1">
        <f t="array" ref="BS15">_xll.EQNXTDZ($A$1,$B15,BS$1)</f>
        <v>63.3</v>
      </c>
      <c r="BT15" s="116" cm="1">
        <f t="array" ref="BT15">_xll.EQNXTDZ($A$1,$B15,BT$1)</f>
        <v>55.41</v>
      </c>
      <c r="BU15" s="116" cm="1">
        <f t="array" ref="BU15">_xll.EQNXTDZ($A$1,$B15,BU$1)</f>
        <v>55.8</v>
      </c>
      <c r="BV15" s="116" cm="1">
        <f t="array" ref="BV15">_xll.EQNXTDZ($A$1,$B15,BV$1)</f>
        <v>53.66</v>
      </c>
      <c r="BW15" s="116" cm="1">
        <f t="array" ref="BW15">_xll.EQNXTDZ($A$1,$B15,BW$1)</f>
        <v>53.835000000000001</v>
      </c>
      <c r="BX15" s="116" cm="1">
        <f t="array" ref="BX15">_xll.EQNXTDZ($A$1,$B15,BX$1)</f>
        <v>49.35</v>
      </c>
      <c r="BY15" s="116" cm="1">
        <f t="array" ref="BY15">_xll.EQNXTDZ($A$1,$B15,BY$1)</f>
        <v>54.055</v>
      </c>
      <c r="BZ15" s="116" cm="1">
        <f t="array" ref="BZ15">_xll.EQNXTDZ($A$1,$B15,BZ$1)</f>
        <v>57.45</v>
      </c>
      <c r="CA15" s="116" cm="1">
        <f t="array" ref="CA15">_xll.EQNXTDZ($A$1,$B15,CA$1)</f>
        <v>53.01</v>
      </c>
      <c r="CB15" s="116" cm="1">
        <f t="array" ref="CB15">_xll.EQNXTDZ($A$1,$B15,CB$1)</f>
        <v>51.325000000000003</v>
      </c>
      <c r="CC15" s="116" cm="1">
        <f t="array" ref="CC15">_xll.EQNXTDZ($A$1,$B15,CC$1)</f>
        <v>48.69</v>
      </c>
      <c r="CD15" s="116" cm="1">
        <f t="array" ref="CD15">_xll.EQNXTDZ($A$1,$B15,CD$1)</f>
        <v>44.21</v>
      </c>
      <c r="CE15" s="116" cm="1">
        <f t="array" ref="CE15">_xll.EQNXTDZ($A$1,$B15,CE$1)</f>
        <v>45.23</v>
      </c>
      <c r="CF15" s="116" cm="1">
        <f t="array" ref="CF15">_xll.EQNXTDZ($A$1,$B15,CF$1)</f>
        <v>50.274999999999999</v>
      </c>
      <c r="CG15" s="116" cm="1">
        <f t="array" ref="CG15">_xll.EQNXTDZ($A$1,$B15,CG$1)</f>
        <v>50.9</v>
      </c>
      <c r="CH15" s="116" cm="1">
        <f t="array" ref="CH15">_xll.EQNXTDZ($A$1,$B15,CH$1)</f>
        <v>45.55</v>
      </c>
      <c r="CI15" s="116" cm="1">
        <f t="array" ref="CI15">_xll.EQNXTDZ($A$1,$B15,CI$1)</f>
        <v>46.365000000000002</v>
      </c>
      <c r="CJ15" s="116" cm="1">
        <f t="array" ref="CJ15">_xll.EQNXTDZ($A$1,$B15,CJ$1)</f>
        <v>40.625</v>
      </c>
      <c r="CK15" s="116" cm="1">
        <f t="array" ref="CK15">_xll.EQNXTDZ($A$1,$B15,CK$1)</f>
        <v>32.244999999999997</v>
      </c>
      <c r="CL15" s="116" cm="1">
        <f t="array" ref="CL15">_xll.EQNXTDZ($A$1,$B15,CL$1)</f>
        <v>32.734999999999999</v>
      </c>
      <c r="CM15" s="116" cm="1">
        <f t="array" ref="CM15">_xll.EQNXTDZ($A$1,$B15,CM$1)</f>
        <v>32.03</v>
      </c>
      <c r="CN15" s="116" cm="1">
        <f t="array" ref="CN15">_xll.EQNXTDZ($A$1,$B15,CN$1)</f>
        <v>37.6</v>
      </c>
      <c r="CO15" s="116" cm="1">
        <f t="array" ref="CO15">_xll.EQNXTDZ($A$1,$B15,CO$1)</f>
        <v>38.905000000000001</v>
      </c>
      <c r="CP15" s="116" cm="1">
        <f t="array" ref="CP15">_xll.EQNXTDZ($A$1,$B15,CP$1)</f>
        <v>43.65</v>
      </c>
      <c r="CQ15" s="116" cm="1">
        <f t="array" ref="CQ15">_xll.EQNXTDZ($A$1,$B15,CQ$1)</f>
        <v>37.344999999999999</v>
      </c>
      <c r="CR15" s="116" cm="1">
        <f t="array" ref="CR15">_xll.EQNXTDZ($A$1,$B15,CR$1)</f>
        <v>25.09</v>
      </c>
      <c r="CS15" s="116" cm="1">
        <f t="array" ref="CS15">_xll.EQNXTDZ($A$1,$B15,CS$1)</f>
        <v>25.105</v>
      </c>
      <c r="CT15" s="116" cm="1">
        <f t="array" ref="CT15">_xll.EQNXTDZ($A$1,$B15,CT$1)</f>
        <v>26.254999999999999</v>
      </c>
      <c r="CU15" s="116" cm="1">
        <f t="array" ref="CU15">_xll.EQNXTDZ($A$1,$B15,CU$1)</f>
        <v>30</v>
      </c>
      <c r="CV15" s="116" cm="1">
        <f t="array" ref="CV15">_xll.EQNXTDZ($A$1,$B15,CV$1)</f>
        <v>32.049999999999997</v>
      </c>
      <c r="CW15" s="116" cm="1">
        <f t="array" ref="CW15">_xll.EQNXTDZ($A$1,$B15,CW$1)</f>
        <v>36.244999999999997</v>
      </c>
      <c r="CX15" s="116" cm="1">
        <f t="array" ref="CX15">_xll.EQNXTDZ($A$1,$B15,CX$1)</f>
        <v>34.299999999999997</v>
      </c>
      <c r="CY15" s="116" cm="1">
        <f t="array" ref="CY15">_xll.EQNXTDZ($A$1,$B15,CY$1)</f>
        <v>36.174999999999997</v>
      </c>
      <c r="CZ15" s="116" cm="1">
        <f t="array" ref="CZ15">_xll.EQNXTDZ($A$1,$B15,CZ$1)</f>
        <v>39.884999999999998</v>
      </c>
      <c r="DA15" s="116" cm="1">
        <f t="array" ref="DA15">_xll.EQNXTDZ($A$1,$B15,DA$1)</f>
        <v>57.7</v>
      </c>
      <c r="DB15" s="116" cm="1">
        <f t="array" ref="DB15">_xll.EQNXTDZ($A$1,$B15,DB$1)</f>
        <v>59.63</v>
      </c>
      <c r="DC15" s="116" cm="1">
        <f t="array" ref="DC15">_xll.EQNXTDZ($A$1,$B15,DC$1)</f>
        <v>59.744999999999997</v>
      </c>
      <c r="DD15" s="116" cm="1">
        <f t="array" ref="DD15">_xll.EQNXTDZ($A$1,$B15,DD$1)</f>
        <v>68.12</v>
      </c>
      <c r="DE15" s="116" cm="1">
        <f t="array" ref="DE15">_xll.EQNXTDZ($A$1,$B15,DE$1)</f>
        <v>81.864999999999995</v>
      </c>
      <c r="DF15" s="116" cm="1">
        <f t="array" ref="DF15">_xll.EQNXTDZ($A$1,$B15,DF$1)</f>
        <v>101.845</v>
      </c>
      <c r="DG15" s="116" cm="1">
        <f t="array" ref="DG15">_xll.EQNXTDZ($A$1,$B15,DG$1)</f>
        <v>105.05</v>
      </c>
      <c r="DH15" s="116" cm="1">
        <f t="array" ref="DH15">_xll.EQNXTDZ($A$1,$B15,DH$1)</f>
        <v>113.05</v>
      </c>
      <c r="DI15" s="116" cm="1">
        <f t="array" ref="DI15">_xll.EQNXTDZ($A$1,$B15,DI$1)</f>
        <v>130.97999999999999</v>
      </c>
      <c r="DJ15" s="116" cm="1">
        <f t="array" ref="DJ15">_xll.EQNXTDZ($A$1,$B15,DJ$1)</f>
        <v>123.32</v>
      </c>
      <c r="DK15" s="116" cm="1">
        <f t="array" ref="DK15">_xll.EQNXTDZ($A$1,$B15,DK$1)</f>
        <v>126.55</v>
      </c>
      <c r="DL15" s="116" cm="1">
        <f t="array" ref="DL15">_xll.EQNXTDZ($A$1,$B15,DL$1)</f>
        <v>106.38</v>
      </c>
      <c r="DM15" s="116" cm="1">
        <f t="array" ref="DM15">_xll.EQNXTDZ($A$1,$B15,DM$1)</f>
        <v>106.63500000000001</v>
      </c>
      <c r="DN15" s="116" cm="1">
        <f t="array" ref="DN15">_xll.EQNXTDZ($A$1,$B15,DN$1)</f>
        <v>106.17</v>
      </c>
      <c r="DO15" s="116" cm="1">
        <f t="array" ref="DO15">_xll.EQNXTDZ($A$1,$B15,DO$1)</f>
        <v>106.8</v>
      </c>
      <c r="DP15" s="116" cm="1">
        <f t="array" ref="DP15">_xll.EQNXTDZ($A$1,$B15,DP$1)</f>
        <v>120.8</v>
      </c>
      <c r="DQ15" s="116" cm="1">
        <f t="array" ref="DQ15">_xll.EQNXTDZ($A$1,$B15,DQ$1)</f>
        <v>121.02</v>
      </c>
      <c r="DR15" s="116" cm="1">
        <f t="array" ref="DR15">_xll.EQNXTDZ($A$1,$B15,DR$1)</f>
        <v>99.2</v>
      </c>
      <c r="DS15" s="116" cm="1">
        <f t="array" ref="DS15">_xll.EQNXTDZ($A$1,$B15,DS$1)</f>
        <v>82.71</v>
      </c>
      <c r="DT15" s="116" cm="1">
        <f t="array" ref="DT15">_xll.EQNXTDZ($A$1,$B15,DT$1)</f>
        <v>83.83</v>
      </c>
      <c r="DU15" s="116" cm="1">
        <f t="array" ref="DU15">_xll.EQNXTDZ($A$1,$B15,DU$1)</f>
        <v>101.2</v>
      </c>
      <c r="DV15" s="116" cm="1">
        <f t="array" ref="DV15">_xll.EQNXTDZ($A$1,$B15,DV$1)</f>
        <v>95</v>
      </c>
      <c r="DW15" s="116" cm="1">
        <f t="array" ref="DW15">_xll.EQNXTDZ($A$1,$B15,DW$1)</f>
        <v>98</v>
      </c>
      <c r="DX15" s="116" cm="1">
        <f t="array" ref="DX15">_xll.EQNXTDZ($A$1,$B15,DX$1)</f>
        <v>98.15</v>
      </c>
      <c r="DY15" s="116" cm="1">
        <f t="array" ref="DY15">_xll.EQNXTDZ($A$1,$B15,DY$1)</f>
        <v>101.6</v>
      </c>
      <c r="DZ15" s="116" cm="1">
        <f t="array" ref="DZ15">_xll.EQNXTDZ($A$1,$B15,DZ$1)</f>
        <v>113.75</v>
      </c>
      <c r="EA15" s="116" cm="1">
        <f t="array" ref="EA15">_xll.EQNXTDZ($A$1,$B15,EA$1)</f>
        <v>103.7</v>
      </c>
      <c r="EB15" s="116" cm="1">
        <f t="array" ref="EB15">_xll.EQNXTDZ($A$1,$B15,EB$1)</f>
        <v>101.65</v>
      </c>
      <c r="EC15" s="116" cm="1">
        <f t="array" ref="EC15">_xll.EQNXTDZ($A$1,$B15,EC$1)</f>
        <v>103.25</v>
      </c>
      <c r="ED15" s="116" cm="1">
        <f t="array" ref="ED15">_xll.EQNXTDZ($A$1,$B15,ED$1)</f>
        <v>104.1</v>
      </c>
      <c r="EE15" s="116" cm="1">
        <f t="array" ref="EE15">_xll.EQNXTDZ($A$1,$B15,EE$1)</f>
        <v>105.8</v>
      </c>
      <c r="EF15" s="116" cm="1">
        <f t="array" ref="EF15">_xll.EQNXTDZ($A$1,$B15,EF$1)</f>
        <v>111.3</v>
      </c>
      <c r="EG15" s="116" cm="1">
        <f t="array" ref="EG15">_xll.EQNXTDZ($A$1,$B15,EG$1)</f>
        <v>114.7</v>
      </c>
      <c r="EH15" s="116" cm="1">
        <f t="array" ref="EH15">_xll.EQNXTDZ($A$1,$B15,EH$1)</f>
        <v>123.3</v>
      </c>
      <c r="EI15" s="116" cm="1">
        <f t="array" ref="EI15">_xll.EQNXTDZ($A$1,$B15,EI$1)</f>
        <v>118.4</v>
      </c>
      <c r="EJ15" s="116" cm="1">
        <f t="array" ref="EJ15">_xll.EQNXTDZ($A$1,$B15,EJ$1)</f>
        <v>114.25</v>
      </c>
      <c r="EK15" s="116" cm="1">
        <f t="array" ref="EK15">_xll.EQNXTDZ($A$1,$B15,EK$1)</f>
        <v>127.8</v>
      </c>
      <c r="EL15" s="116" cm="1">
        <f t="array" ref="EL15">_xll.EQNXTDZ($A$1,$B15,EL$1)</f>
        <v>128.1</v>
      </c>
      <c r="EM15" s="116" cm="1">
        <f t="array" ref="EM15">_xll.EQNXTDZ($A$1,$B15,EM$1)</f>
        <v>134.1</v>
      </c>
      <c r="EN15" s="116" cm="1">
        <f t="array" ref="EN15">_xll.EQNXTDZ($A$1,$B15,EN$1)</f>
        <v>138.4</v>
      </c>
      <c r="EO15" s="116" cm="1">
        <f t="array" ref="EO15">_xll.EQNXTDZ($A$1,$B15,EO$1)</f>
        <v>156.55000000000001</v>
      </c>
      <c r="EP15" s="116" cm="1">
        <f t="array" ref="EP15">_xll.EQNXTDZ($A$1,$B15,EP$1)</f>
        <v>158.15</v>
      </c>
      <c r="EQ15" s="116" cm="1">
        <f t="array" ref="EQ15">_xll.EQNXTDZ($A$1,$B15,EQ$1)</f>
        <v>148.15</v>
      </c>
      <c r="ER15" s="116" cm="1">
        <f t="array" ref="ER15">_xll.EQNXTDZ($A$1,$B15,ER$1)</f>
        <v>155</v>
      </c>
      <c r="ES15" s="116" cm="1">
        <f t="array" ref="ES15">_xll.EQNXTDZ($A$1,$B15,ES$1)</f>
        <v>142.35</v>
      </c>
      <c r="ET15" s="116" cm="1">
        <f t="array" ref="ET15">_xll.EQNXTDZ($A$1,$B15,ET$1)</f>
        <v>147.65</v>
      </c>
      <c r="EU15" s="116" cm="1">
        <f t="array" ref="EU15">_xll.EQNXTDZ($A$1,$B15,EU$1)</f>
        <v>144.5</v>
      </c>
      <c r="EV15" s="116" cm="1">
        <f t="array" ref="EV15">_xll.EQNXTDZ($A$1,$B15,EV$1)</f>
        <v>137.19999999999999</v>
      </c>
      <c r="EW15" s="116" cm="1">
        <f t="array" ref="EW15">_xll.EQNXTDZ($A$1,$B15,EW$1)</f>
        <v>136.05000000000001</v>
      </c>
      <c r="EX15" s="116" cm="1">
        <f t="array" ref="EX15">_xll.EQNXTDZ($A$1,$B15,EX$1)</f>
        <v>122.6</v>
      </c>
      <c r="EY15" s="116" cm="1">
        <f t="array" ref="EY15">_xll.EQNXTDZ($A$1,$B15,EY$1)</f>
        <v>127.8</v>
      </c>
      <c r="EZ15" s="116" cm="1">
        <f t="array" ref="EZ15">_xll.EQNXTDZ($A$1,$B15,EZ$1)</f>
        <v>134.30000000000001</v>
      </c>
      <c r="FA15" s="116" cm="1">
        <f t="array" ref="FA15">_xll.EQNXTDZ($A$1,$B15,FA$1)</f>
        <v>124.2</v>
      </c>
      <c r="FB15" s="116" cm="1">
        <f t="array" ref="FB15">_xll.EQNXTDZ($A$1,$B15,FB$1)</f>
        <v>139.5</v>
      </c>
      <c r="FC15" s="116" cm="1">
        <f t="array" ref="FC15">_xll.EQNXTDZ($A$1,$B15,FC$1)</f>
        <v>149.69999999999999</v>
      </c>
      <c r="FD15" s="116" cm="1">
        <f t="array" ref="FD15">_xll.EQNXTDZ($A$1,$B15,FD$1)</f>
        <v>156.5</v>
      </c>
      <c r="FE15" s="116" cm="1">
        <f t="array" ref="FE15">_xll.EQNXTDZ($A$1,$B15,FE$1)</f>
        <v>152.55000000000001</v>
      </c>
      <c r="FF15" s="116" cm="1">
        <f t="array" ref="FF15">_xll.EQNXTDZ($A$1,$B15,FF$1)</f>
        <v>153.9</v>
      </c>
      <c r="FG15" s="116" cm="1">
        <f t="array" ref="FG15">_xll.EQNXTDZ($A$1,$B15,FG$1)</f>
        <v>166.05</v>
      </c>
      <c r="FH15" s="116" cm="1">
        <f t="array" ref="FH15">_xll.EQNXTDZ($A$1,$B15,FH$1)</f>
        <v>165.15</v>
      </c>
      <c r="FI15" s="116" cm="1">
        <f t="array" ref="FI15">_xll.EQNXTDZ($A$1,$B15,FI$1)</f>
        <v>160</v>
      </c>
      <c r="FJ15" s="116" cm="1">
        <f t="array" ref="FJ15">_xll.EQNXTDZ($A$1,$B15,FJ$1)</f>
        <v>177.25</v>
      </c>
      <c r="FK15" s="116" cm="1">
        <f t="array" ref="FK15">_xll.EQNXTDZ($A$1,$B15,FK$1)</f>
        <v>182.5</v>
      </c>
      <c r="FL15" s="116" cm="1">
        <f t="array" ref="FL15">_xll.EQNXTDZ($A$1,$B15,FL$1)</f>
        <v>181.5</v>
      </c>
      <c r="FM15" s="116" cm="1">
        <f t="array" ref="FM15">_xll.EQNXTDZ($A$1,$B15,FM$1)</f>
        <v>187.95</v>
      </c>
      <c r="FN15" s="116" cm="1">
        <f t="array" ref="FN15">_xll.EQNXTDZ($A$1,$B15,FN$1)</f>
        <v>203.05</v>
      </c>
      <c r="FO15" s="116" cm="1">
        <f t="array" ref="FO15">_xll.EQNXTDZ($A$1,$B15,FO$1)</f>
        <v>193.3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33.1135948570425</v>
      </c>
      <c r="HQ15" s="116">
        <f>+MIN(G15:I15)</f>
        <v>34.218810510449799</v>
      </c>
      <c r="HR15" s="116">
        <f>+MIN(J15:L15)</f>
        <v>28.664149079963298</v>
      </c>
      <c r="HS15" s="116">
        <f>+MIN(M15:O15)</f>
        <v>24.919754667988698</v>
      </c>
      <c r="HT15" s="116">
        <f>+MIN(P15:R15)</f>
        <v>18.617167127222299</v>
      </c>
      <c r="HU15" s="116">
        <f>+MIN(S15:U15)</f>
        <v>25.6295698936683</v>
      </c>
      <c r="HV15" s="116">
        <f>+MIN(V15:X15)</f>
        <v>31.6510896605079</v>
      </c>
      <c r="HW15" s="116">
        <f>+MIN(Y15:AA15)</f>
        <v>36.800822942116703</v>
      </c>
      <c r="HX15" s="116">
        <f>+MIN(AB15:AD15)</f>
        <v>42.979550107932297</v>
      </c>
      <c r="HY15" s="116">
        <f>+MIN(AE15:AG15)</f>
        <v>36.877044711317197</v>
      </c>
      <c r="HZ15" s="116">
        <f>+MIN(AH15:AJ15)</f>
        <v>29.6597959401448</v>
      </c>
      <c r="IA15" s="116">
        <f>+MIN(AK15:AM15)</f>
        <v>27.396962167005</v>
      </c>
      <c r="IB15" s="116">
        <f>+MIN(AN15:AP15)</f>
        <v>19.0554423001252</v>
      </c>
      <c r="IC15" s="116">
        <f>+MIN(AQ15:AS15)</f>
        <v>20.046325299731699</v>
      </c>
      <c r="ID15" s="116">
        <f>+MIN(AT15:AV15)</f>
        <v>20.1320747900822</v>
      </c>
      <c r="IE15" s="116">
        <f>+MIN(AW15:AY15)</f>
        <v>28.335442700286102</v>
      </c>
      <c r="IF15" s="116">
        <f>+MIN(AZ15:BB15)</f>
        <v>29.726489988195301</v>
      </c>
      <c r="IG15" s="116">
        <f>+MIN(BC15:BE15)</f>
        <v>34.8762232698041</v>
      </c>
      <c r="IH15" s="116">
        <f>+MIN(BF15:BH15)</f>
        <v>37.058071413168399</v>
      </c>
      <c r="II15" s="116">
        <f>+MIN(BI15:BK15)</f>
        <v>40.802465825143003</v>
      </c>
      <c r="IJ15" s="116">
        <f>+MIN(BL15:BN15)</f>
        <v>51.635484772764201</v>
      </c>
      <c r="IK15" s="116">
        <f>+MIN(BO15:BQ15)</f>
        <v>62.335115624284398</v>
      </c>
      <c r="IL15" s="116">
        <f>+MIN(BR15:BT15)</f>
        <v>55.41</v>
      </c>
      <c r="IM15" s="116">
        <f>+MIN(BU15:BW15)</f>
        <v>53.66</v>
      </c>
      <c r="IN15" s="116">
        <f>+MIN(BX15:BZ15)</f>
        <v>49.35</v>
      </c>
      <c r="IO15" s="116">
        <f>+MIN(CA15:CC15)</f>
        <v>48.69</v>
      </c>
      <c r="IP15" s="116">
        <f>+MIN(CD15:CF15)</f>
        <v>44.21</v>
      </c>
      <c r="IQ15" s="116">
        <f>+MIN(CG15:CI15)</f>
        <v>45.55</v>
      </c>
      <c r="IR15" s="116">
        <f>+MIN(CJ15:CL15)</f>
        <v>32.244999999999997</v>
      </c>
      <c r="IS15" s="116">
        <f>+MIN(CM15:CO15)</f>
        <v>32.03</v>
      </c>
      <c r="IT15" s="116">
        <f>+MIN(CP15:CR15)</f>
        <v>25.09</v>
      </c>
      <c r="IU15" s="116">
        <f>+MIN(CS15:CU15)</f>
        <v>25.105</v>
      </c>
      <c r="IV15" s="116">
        <f>+MIN(CV15:CX15)</f>
        <v>32.049999999999997</v>
      </c>
      <c r="IW15" s="116">
        <f>+MIN(CY15:DA15)</f>
        <v>36.174999999999997</v>
      </c>
      <c r="IX15" s="116">
        <f>+MIN(DB15:DD15)</f>
        <v>59.63</v>
      </c>
      <c r="IY15" s="116">
        <f>+MIN(DE15:DG15)</f>
        <v>81.864999999999995</v>
      </c>
      <c r="IZ15" s="116">
        <f>+MIN(DH15:DJ15)</f>
        <v>113.05</v>
      </c>
      <c r="JA15" s="116">
        <f>+MIN(DK15:DM15)</f>
        <v>106.38</v>
      </c>
      <c r="JB15" s="116">
        <f>+MIN(DN15:DP15)</f>
        <v>106.17</v>
      </c>
      <c r="JC15" s="116">
        <f>+MIN(DQ15:DS15)</f>
        <v>82.71</v>
      </c>
      <c r="JD15" s="116">
        <f>+MIN(DT15:DV15)</f>
        <v>83.83</v>
      </c>
      <c r="JE15" s="116">
        <f>+MIN(DW15:DY15)</f>
        <v>98</v>
      </c>
      <c r="JF15" s="116">
        <f>+MIN(DZ15:EB15)</f>
        <v>101.65</v>
      </c>
      <c r="JG15" s="116">
        <f>+MIN(EC15:EE15)</f>
        <v>103.25</v>
      </c>
      <c r="JH15" s="116">
        <f>+MIN(EF15:EH15)</f>
        <v>111.3</v>
      </c>
      <c r="JI15" s="116">
        <f>+MIN(EI15:EK15)</f>
        <v>114.25</v>
      </c>
      <c r="JJ15" s="116">
        <f>+MIN(EL15:EN15)</f>
        <v>128.1</v>
      </c>
      <c r="JK15" s="116">
        <f>MIN(EO15:EQ15)</f>
        <v>148.15</v>
      </c>
      <c r="JL15" s="116">
        <f>MIN(ER15:ET15)</f>
        <v>142.35</v>
      </c>
      <c r="JM15" s="116">
        <f>MIN(EU15:EW15)</f>
        <v>136.05000000000001</v>
      </c>
      <c r="JN15" s="116">
        <f>MIN(EX15:EZ15)</f>
        <v>122.6</v>
      </c>
      <c r="JO15" s="116">
        <f>MIN(FA15:FC15)</f>
        <v>124.2</v>
      </c>
      <c r="JP15" s="116">
        <f>MIN(FD15:FF15)</f>
        <v>152.55000000000001</v>
      </c>
      <c r="JQ15" s="116">
        <f>MIN(FG15:FI15)</f>
        <v>160</v>
      </c>
      <c r="JR15" s="116">
        <f>MIN(FJ15:FL15)</f>
        <v>177.25</v>
      </c>
      <c r="JS15" s="116">
        <f>MIN(FM15:FO15)</f>
        <v>187.95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42.0458334352262</v>
      </c>
      <c r="D16" s="116" cm="1">
        <f t="array" ref="D16">_xll.EQNXTDZ($A$1,$B16,D$1)</f>
        <v>39.406654676658803</v>
      </c>
      <c r="E16" s="116" cm="1">
        <f t="array" ref="E16">_xll.EQNXTDZ($A$1,$B16,E$1)</f>
        <v>34.5379891689769</v>
      </c>
      <c r="F16" s="116" cm="1">
        <f t="array" ref="F16">_xll.EQNXTDZ($A$1,$B16,F$1)</f>
        <v>38.182342508875799</v>
      </c>
      <c r="G16" s="116" cm="1">
        <f t="array" ref="G16">_xll.EQNXTDZ($A$1,$B16,G$1)</f>
        <v>37.372486211120503</v>
      </c>
      <c r="H16" s="116" cm="1">
        <f t="array" ref="H16">_xll.EQNXTDZ($A$1,$B16,H$1)</f>
        <v>36.719837312341198</v>
      </c>
      <c r="I16" s="116" cm="1">
        <f t="array" ref="I16">_xll.EQNXTDZ($A$1,$B16,I$1)</f>
        <v>40.807229685717999</v>
      </c>
      <c r="J16" s="116" cm="1">
        <f t="array" ref="J16">_xll.EQNXTDZ($A$1,$B16,J$1)</f>
        <v>38.5682152154533</v>
      </c>
      <c r="K16" s="116" cm="1">
        <f t="array" ref="K16">_xll.EQNXTDZ($A$1,$B16,K$1)</f>
        <v>32.618153357239301</v>
      </c>
      <c r="L16" s="116" cm="1">
        <f t="array" ref="L16">_xll.EQNXTDZ($A$1,$B16,L$1)</f>
        <v>29.755073151645401</v>
      </c>
      <c r="M16" s="116" cm="1">
        <f t="array" ref="M16">_xll.EQNXTDZ($A$1,$B16,M$1)</f>
        <v>28.854703502964501</v>
      </c>
      <c r="N16" s="116" cm="1">
        <f t="array" ref="N16">_xll.EQNXTDZ($A$1,$B16,N$1)</f>
        <v>27.801890315882599</v>
      </c>
      <c r="O16" s="116" cm="1">
        <f t="array" ref="O16">_xll.EQNXTDZ($A$1,$B16,O$1)</f>
        <v>26.086900508871299</v>
      </c>
      <c r="P16" s="116" cm="1">
        <f t="array" ref="P16">_xll.EQNXTDZ($A$1,$B16,P$1)</f>
        <v>20.551294520685001</v>
      </c>
      <c r="Q16" s="116" cm="1">
        <f t="array" ref="Q16">_xll.EQNXTDZ($A$1,$B16,Q$1)</f>
        <v>26.129775254046599</v>
      </c>
      <c r="R16" s="116" cm="1">
        <f t="array" ref="R16">_xll.EQNXTDZ($A$1,$B16,R$1)</f>
        <v>25.877290643569999</v>
      </c>
      <c r="S16" s="116" cm="1">
        <f t="array" ref="S16">_xll.EQNXTDZ($A$1,$B16,S$1)</f>
        <v>31.860699525809299</v>
      </c>
      <c r="T16" s="116" cm="1">
        <f t="array" ref="T16">_xll.EQNXTDZ($A$1,$B16,T$1)</f>
        <v>38.191870230025899</v>
      </c>
      <c r="U16" s="116" cm="1">
        <f t="array" ref="U16">_xll.EQNXTDZ($A$1,$B16,U$1)</f>
        <v>40.345135209939997</v>
      </c>
      <c r="V16" s="116" cm="1">
        <f t="array" ref="V16">_xll.EQNXTDZ($A$1,$B16,V$1)</f>
        <v>33.932978875947903</v>
      </c>
      <c r="W16" s="116" cm="1">
        <f t="array" ref="W16">_xll.EQNXTDZ($A$1,$B16,W$1)</f>
        <v>32.780124616790303</v>
      </c>
      <c r="X16" s="116" cm="1">
        <f t="array" ref="X16">_xll.EQNXTDZ($A$1,$B16,X$1)</f>
        <v>37.524929749521498</v>
      </c>
      <c r="Y16" s="116" cm="1">
        <f t="array" ref="Y16">_xll.EQNXTDZ($A$1,$B16,Y$1)</f>
        <v>38.168050927150702</v>
      </c>
      <c r="Z16" s="116" cm="1">
        <f t="array" ref="Z16">_xll.EQNXTDZ($A$1,$B16,Z$1)</f>
        <v>45.256675462797297</v>
      </c>
      <c r="AA16" s="116" cm="1">
        <f t="array" ref="AA16">_xll.EQNXTDZ($A$1,$B16,AA$1)</f>
        <v>50.334950835780603</v>
      </c>
      <c r="AB16" s="116" cm="1">
        <f t="array" ref="AB16">_xll.EQNXTDZ($A$1,$B16,AB$1)</f>
        <v>52.726408844446297</v>
      </c>
      <c r="AC16" s="116" cm="1">
        <f t="array" ref="AC16">_xll.EQNXTDZ($A$1,$B16,AC$1)</f>
        <v>48.929611966146403</v>
      </c>
      <c r="AD16" s="116" cm="1">
        <f t="array" ref="AD16">_xll.EQNXTDZ($A$1,$B16,AD$1)</f>
        <v>43.7608232422374</v>
      </c>
      <c r="AE16" s="116" cm="1">
        <f t="array" ref="AE16">_xll.EQNXTDZ($A$1,$B16,AE$1)</f>
        <v>46.623903447831204</v>
      </c>
      <c r="AF16" s="116" cm="1">
        <f t="array" ref="AF16">_xll.EQNXTDZ($A$1,$B16,AF$1)</f>
        <v>45.094704203246202</v>
      </c>
      <c r="AG16" s="116" cm="1">
        <f t="array" ref="AG16">_xll.EQNXTDZ($A$1,$B16,AG$1)</f>
        <v>38.048954412774897</v>
      </c>
      <c r="AH16" s="116" cm="1">
        <f t="array" ref="AH16">_xll.EQNXTDZ($A$1,$B16,AH$1)</f>
        <v>37.2009872304194</v>
      </c>
      <c r="AI16" s="116" cm="1">
        <f t="array" ref="AI16">_xll.EQNXTDZ($A$1,$B16,AI$1)</f>
        <v>33.885340270197602</v>
      </c>
      <c r="AJ16" s="116" cm="1">
        <f t="array" ref="AJ16">_xll.EQNXTDZ($A$1,$B16,AJ$1)</f>
        <v>30.188584463973299</v>
      </c>
      <c r="AK16" s="116" cm="1">
        <f t="array" ref="AK16">_xll.EQNXTDZ($A$1,$B16,AK$1)</f>
        <v>34.347434745975598</v>
      </c>
      <c r="AL16" s="116" cm="1">
        <f t="array" ref="AL16">_xll.EQNXTDZ($A$1,$B16,AL$1)</f>
        <v>31.298563977955599</v>
      </c>
      <c r="AM16" s="116" cm="1">
        <f t="array" ref="AM16">_xll.EQNXTDZ($A$1,$B16,AM$1)</f>
        <v>29.030966344240699</v>
      </c>
      <c r="AN16" s="116" cm="1">
        <f t="array" ref="AN16">_xll.EQNXTDZ($A$1,$B16,AN$1)</f>
        <v>23.562054404104799</v>
      </c>
      <c r="AO16" s="116" cm="1">
        <f t="array" ref="AO16">_xll.EQNXTDZ($A$1,$B16,AO$1)</f>
        <v>21.442136448215798</v>
      </c>
      <c r="AP16" s="116" cm="1">
        <f t="array" ref="AP16">_xll.EQNXTDZ($A$1,$B16,AP$1)</f>
        <v>20.1892411169826</v>
      </c>
      <c r="AQ16" s="116" cm="1">
        <f t="array" ref="AQ16">_xll.EQNXTDZ($A$1,$B16,AQ$1)</f>
        <v>23.509651937779399</v>
      </c>
      <c r="AR16" s="116" cm="1">
        <f t="array" ref="AR16">_xll.EQNXTDZ($A$1,$B16,AR$1)</f>
        <v>21.918522505719</v>
      </c>
      <c r="AS16" s="116" cm="1">
        <f t="array" ref="AS16">_xll.EQNXTDZ($A$1,$B16,AS$1)</f>
        <v>24.7292002449874</v>
      </c>
      <c r="AT16" s="116" cm="1">
        <f t="array" ref="AT16">_xll.EQNXTDZ($A$1,$B16,AT$1)</f>
        <v>23.824066735731499</v>
      </c>
      <c r="AU16" s="116" cm="1">
        <f t="array" ref="AU16">_xll.EQNXTDZ($A$1,$B16,AU$1)</f>
        <v>23.733553384805901</v>
      </c>
      <c r="AV16" s="116" cm="1">
        <f t="array" ref="AV16">_xll.EQNXTDZ($A$1,$B16,AV$1)</f>
        <v>30.441069074449899</v>
      </c>
      <c r="AW16" s="116" cm="1">
        <f t="array" ref="AW16">_xll.EQNXTDZ($A$1,$B16,AW$1)</f>
        <v>33.399426491544403</v>
      </c>
      <c r="AX16" s="116" cm="1">
        <f t="array" ref="AX16">_xll.EQNXTDZ($A$1,$B16,AX$1)</f>
        <v>31.865463386384299</v>
      </c>
      <c r="AY16" s="116" cm="1">
        <f t="array" ref="AY16">_xll.EQNXTDZ($A$1,$B16,AY$1)</f>
        <v>30.669734382051399</v>
      </c>
      <c r="AZ16" s="116" cm="1">
        <f t="array" ref="AZ16">_xll.EQNXTDZ($A$1,$B16,AZ$1)</f>
        <v>33.799590779847001</v>
      </c>
      <c r="BA16" s="116" cm="1">
        <f t="array" ref="BA16">_xll.EQNXTDZ($A$1,$B16,BA$1)</f>
        <v>35.295443000406799</v>
      </c>
      <c r="BB16" s="116" cm="1">
        <f t="array" ref="BB16">_xll.EQNXTDZ($A$1,$B16,BB$1)</f>
        <v>35.6717879858343</v>
      </c>
      <c r="BC16" s="116" cm="1">
        <f t="array" ref="BC16">_xll.EQNXTDZ($A$1,$B16,BC$1)</f>
        <v>38.553923633728203</v>
      </c>
      <c r="BD16" s="116" cm="1">
        <f t="array" ref="BD16">_xll.EQNXTDZ($A$1,$B16,BD$1)</f>
        <v>39.535278912184701</v>
      </c>
      <c r="BE16" s="116" cm="1">
        <f t="array" ref="BE16">_xll.EQNXTDZ($A$1,$B16,BE$1)</f>
        <v>37.262917417894798</v>
      </c>
      <c r="BF16" s="116" cm="1">
        <f t="array" ref="BF16">_xll.EQNXTDZ($A$1,$B16,BF$1)</f>
        <v>44.056182597889403</v>
      </c>
      <c r="BG16" s="116" cm="1">
        <f t="array" ref="BG16">_xll.EQNXTDZ($A$1,$B16,BG$1)</f>
        <v>45.985546130777003</v>
      </c>
      <c r="BH16" s="116" cm="1">
        <f t="array" ref="BH16">_xll.EQNXTDZ($A$1,$B16,BH$1)</f>
        <v>45.985546130777003</v>
      </c>
      <c r="BI16" s="116" cm="1">
        <f t="array" ref="BI16">_xll.EQNXTDZ($A$1,$B16,BI$1)</f>
        <v>42.765176382055898</v>
      </c>
      <c r="BJ16" s="116" cm="1">
        <f t="array" ref="BJ16">_xll.EQNXTDZ($A$1,$B16,BJ$1)</f>
        <v>48.105464086665997</v>
      </c>
      <c r="BK16" s="116" cm="1">
        <f t="array" ref="BK16">_xll.EQNXTDZ($A$1,$B16,BK$1)</f>
        <v>51.864150080365697</v>
      </c>
      <c r="BL16" s="116" cm="1">
        <f t="array" ref="BL16">_xll.EQNXTDZ($A$1,$B16,BL$1)</f>
        <v>54.074581387180203</v>
      </c>
      <c r="BM16" s="116" cm="1">
        <f t="array" ref="BM16">_xll.EQNXTDZ($A$1,$B16,BM$1)</f>
        <v>60.786860937399297</v>
      </c>
      <c r="BN16" s="116" cm="1">
        <f t="array" ref="BN16">_xll.EQNXTDZ($A$1,$B16,BN$1)</f>
        <v>62.030228547482402</v>
      </c>
      <c r="BO16" s="116" cm="1">
        <f t="array" ref="BO16">_xll.EQNXTDZ($A$1,$B16,BO$1)</f>
        <v>67.041809872415399</v>
      </c>
      <c r="BP16" s="116" cm="1">
        <f t="array" ref="BP16">_xll.EQNXTDZ($A$1,$B16,BP$1)</f>
        <v>66.231953574659997</v>
      </c>
      <c r="BQ16" s="116" cm="1">
        <f t="array" ref="BQ16">_xll.EQNXTDZ($A$1,$B16,BQ$1)</f>
        <v>69.785793563633405</v>
      </c>
      <c r="BR16" s="116" cm="1">
        <f t="array" ref="BR16">_xll.EQNXTDZ($A$1,$B16,BR$1)</f>
        <v>70.504999999999995</v>
      </c>
      <c r="BS16" s="116" cm="1">
        <f t="array" ref="BS16">_xll.EQNXTDZ($A$1,$B16,BS$1)</f>
        <v>67.17</v>
      </c>
      <c r="BT16" s="116" cm="1">
        <f t="array" ref="BT16">_xll.EQNXTDZ($A$1,$B16,BT$1)</f>
        <v>57.09</v>
      </c>
      <c r="BU16" s="116" cm="1">
        <f t="array" ref="BU16">_xll.EQNXTDZ($A$1,$B16,BU$1)</f>
        <v>59.47</v>
      </c>
      <c r="BV16" s="116" cm="1">
        <f t="array" ref="BV16">_xll.EQNXTDZ($A$1,$B16,BV$1)</f>
        <v>57.545000000000002</v>
      </c>
      <c r="BW16" s="116" cm="1">
        <f t="array" ref="BW16">_xll.EQNXTDZ($A$1,$B16,BW$1)</f>
        <v>56.784999999999997</v>
      </c>
      <c r="BX16" s="116" cm="1">
        <f t="array" ref="BX16">_xll.EQNXTDZ($A$1,$B16,BX$1)</f>
        <v>56.284999999999997</v>
      </c>
      <c r="BY16" s="116" cm="1">
        <f t="array" ref="BY16">_xll.EQNXTDZ($A$1,$B16,BY$1)</f>
        <v>60.164999999999999</v>
      </c>
      <c r="BZ16" s="116" cm="1">
        <f t="array" ref="BZ16">_xll.EQNXTDZ($A$1,$B16,BZ$1)</f>
        <v>58.034999999999997</v>
      </c>
      <c r="CA16" s="116" cm="1">
        <f t="array" ref="CA16">_xll.EQNXTDZ($A$1,$B16,CA$1)</f>
        <v>55.24</v>
      </c>
      <c r="CB16" s="116" cm="1">
        <f t="array" ref="CB16">_xll.EQNXTDZ($A$1,$B16,CB$1)</f>
        <v>53.024999999999999</v>
      </c>
      <c r="CC16" s="116" cm="1">
        <f t="array" ref="CC16">_xll.EQNXTDZ($A$1,$B16,CC$1)</f>
        <v>52.185000000000002</v>
      </c>
      <c r="CD16" s="116" cm="1">
        <f t="array" ref="CD16">_xll.EQNXTDZ($A$1,$B16,CD$1)</f>
        <v>47.594999999999999</v>
      </c>
      <c r="CE16" s="116" cm="1">
        <f t="array" ref="CE16">_xll.EQNXTDZ($A$1,$B16,CE$1)</f>
        <v>50.13</v>
      </c>
      <c r="CF16" s="116" cm="1">
        <f t="array" ref="CF16">_xll.EQNXTDZ($A$1,$B16,CF$1)</f>
        <v>52.085000000000001</v>
      </c>
      <c r="CG16" s="116" cm="1">
        <f t="array" ref="CG16">_xll.EQNXTDZ($A$1,$B16,CG$1)</f>
        <v>55.645000000000003</v>
      </c>
      <c r="CH16" s="116" cm="1">
        <f t="array" ref="CH16">_xll.EQNXTDZ($A$1,$B16,CH$1)</f>
        <v>48.79</v>
      </c>
      <c r="CI16" s="116" cm="1">
        <f t="array" ref="CI16">_xll.EQNXTDZ($A$1,$B16,CI$1)</f>
        <v>50.44</v>
      </c>
      <c r="CJ16" s="116" cm="1">
        <f t="array" ref="CJ16">_xll.EQNXTDZ($A$1,$B16,CJ$1)</f>
        <v>43.19</v>
      </c>
      <c r="CK16" s="116" cm="1">
        <f t="array" ref="CK16">_xll.EQNXTDZ($A$1,$B16,CK$1)</f>
        <v>34.494999999999997</v>
      </c>
      <c r="CL16" s="116" cm="1">
        <f t="array" ref="CL16">_xll.EQNXTDZ($A$1,$B16,CL$1)</f>
        <v>35.979999999999997</v>
      </c>
      <c r="CM16" s="116" cm="1">
        <f t="array" ref="CM16">_xll.EQNXTDZ($A$1,$B16,CM$1)</f>
        <v>38.049999999999997</v>
      </c>
      <c r="CN16" s="116" cm="1">
        <f t="array" ref="CN16">_xll.EQNXTDZ($A$1,$B16,CN$1)</f>
        <v>42.74</v>
      </c>
      <c r="CO16" s="116" cm="1">
        <f t="array" ref="CO16">_xll.EQNXTDZ($A$1,$B16,CO$1)</f>
        <v>47.2</v>
      </c>
      <c r="CP16" s="116" cm="1">
        <f t="array" ref="CP16">_xll.EQNXTDZ($A$1,$B16,CP$1)</f>
        <v>43.875</v>
      </c>
      <c r="CQ16" s="116" cm="1">
        <f t="array" ref="CQ16">_xll.EQNXTDZ($A$1,$B16,CQ$1)</f>
        <v>38.155000000000001</v>
      </c>
      <c r="CR16" s="116" cm="1">
        <f t="array" ref="CR16">_xll.EQNXTDZ($A$1,$B16,CR$1)</f>
        <v>26.975000000000001</v>
      </c>
      <c r="CS16" s="116" cm="1">
        <f t="array" ref="CS16">_xll.EQNXTDZ($A$1,$B16,CS$1)</f>
        <v>29.844999999999999</v>
      </c>
      <c r="CT16" s="116" cm="1">
        <f t="array" ref="CT16">_xll.EQNXTDZ($A$1,$B16,CT$1)</f>
        <v>29.52</v>
      </c>
      <c r="CU16" s="116" cm="1">
        <f t="array" ref="CU16">_xll.EQNXTDZ($A$1,$B16,CU$1)</f>
        <v>32.664999999999999</v>
      </c>
      <c r="CV16" s="116" cm="1">
        <f t="array" ref="CV16">_xll.EQNXTDZ($A$1,$B16,CV$1)</f>
        <v>36.64</v>
      </c>
      <c r="CW16" s="116" cm="1">
        <f t="array" ref="CW16">_xll.EQNXTDZ($A$1,$B16,CW$1)</f>
        <v>41.32</v>
      </c>
      <c r="CX16" s="116" cm="1">
        <f t="array" ref="CX16">_xll.EQNXTDZ($A$1,$B16,CX$1)</f>
        <v>35.975000000000001</v>
      </c>
      <c r="CY16" s="116" cm="1">
        <f t="array" ref="CY16">_xll.EQNXTDZ($A$1,$B16,CY$1)</f>
        <v>41.034999999999997</v>
      </c>
      <c r="CZ16" s="116" cm="1">
        <f t="array" ref="CZ16">_xll.EQNXTDZ($A$1,$B16,CZ$1)</f>
        <v>57.784999999999997</v>
      </c>
      <c r="DA16" s="116" cm="1">
        <f t="array" ref="DA16">_xll.EQNXTDZ($A$1,$B16,DA$1)</f>
        <v>64.355000000000004</v>
      </c>
      <c r="DB16" s="116" cm="1">
        <f t="array" ref="DB16">_xll.EQNXTDZ($A$1,$B16,DB$1)</f>
        <v>60.115000000000002</v>
      </c>
      <c r="DC16" s="116" cm="1">
        <f t="array" ref="DC16">_xll.EQNXTDZ($A$1,$B16,DC$1)</f>
        <v>71.48</v>
      </c>
      <c r="DD16" s="116" cm="1">
        <f t="array" ref="DD16">_xll.EQNXTDZ($A$1,$B16,DD$1)</f>
        <v>81.194999999999993</v>
      </c>
      <c r="DE16" s="116" cm="1">
        <f t="array" ref="DE16">_xll.EQNXTDZ($A$1,$B16,DE$1)</f>
        <v>103.395</v>
      </c>
      <c r="DF16" s="116" cm="1">
        <f t="array" ref="DF16">_xll.EQNXTDZ($A$1,$B16,DF$1)</f>
        <v>112.565</v>
      </c>
      <c r="DG16" s="116" cm="1">
        <f t="array" ref="DG16">_xll.EQNXTDZ($A$1,$B16,DG$1)</f>
        <v>116.685</v>
      </c>
      <c r="DH16" s="116" cm="1">
        <f t="array" ref="DH16">_xll.EQNXTDZ($A$1,$B16,DH$1)</f>
        <v>143.375</v>
      </c>
      <c r="DI16" s="116" cm="1">
        <f t="array" ref="DI16">_xll.EQNXTDZ($A$1,$B16,DI$1)</f>
        <v>145.005</v>
      </c>
      <c r="DJ16" s="116" cm="1">
        <f t="array" ref="DJ16">_xll.EQNXTDZ($A$1,$B16,DJ$1)</f>
        <v>128.85499999999999</v>
      </c>
      <c r="DK16" s="116" cm="1">
        <f t="array" ref="DK16">_xll.EQNXTDZ($A$1,$B16,DK$1)</f>
        <v>131.66499999999999</v>
      </c>
      <c r="DL16" s="116" cm="1">
        <f t="array" ref="DL16">_xll.EQNXTDZ($A$1,$B16,DL$1)</f>
        <v>107.16</v>
      </c>
      <c r="DM16" s="116" cm="1">
        <f t="array" ref="DM16">_xll.EQNXTDZ($A$1,$B16,DM$1)</f>
        <v>111.15</v>
      </c>
      <c r="DN16" s="116" cm="1">
        <f t="array" ref="DN16">_xll.EQNXTDZ($A$1,$B16,DN$1)</f>
        <v>108.545</v>
      </c>
      <c r="DO16" s="116" cm="1">
        <f t="array" ref="DO16">_xll.EQNXTDZ($A$1,$B16,DO$1)</f>
        <v>122.09</v>
      </c>
      <c r="DP16" s="116" cm="1">
        <f t="array" ref="DP16">_xll.EQNXTDZ($A$1,$B16,DP$1)</f>
        <v>130.70500000000001</v>
      </c>
      <c r="DQ16" s="116" cm="1">
        <f t="array" ref="DQ16">_xll.EQNXTDZ($A$1,$B16,DQ$1)</f>
        <v>127.17</v>
      </c>
      <c r="DR16" s="116" cm="1">
        <f t="array" ref="DR16">_xll.EQNXTDZ($A$1,$B16,DR$1)</f>
        <v>105.55500000000001</v>
      </c>
      <c r="DS16" s="116" cm="1">
        <f t="array" ref="DS16">_xll.EQNXTDZ($A$1,$B16,DS$1)</f>
        <v>86.694999999999993</v>
      </c>
      <c r="DT16" s="116" cm="1">
        <f t="array" ref="DT16">_xll.EQNXTDZ($A$1,$B16,DT$1)</f>
        <v>107.65</v>
      </c>
      <c r="DU16" s="116" cm="1">
        <f t="array" ref="DU16">_xll.EQNXTDZ($A$1,$B16,DU$1)</f>
        <v>108.3</v>
      </c>
      <c r="DV16" s="116" cm="1">
        <f t="array" ref="DV16">_xll.EQNXTDZ($A$1,$B16,DV$1)</f>
        <v>99.3</v>
      </c>
      <c r="DW16" s="116" cm="1">
        <f t="array" ref="DW16">_xll.EQNXTDZ($A$1,$B16,DW$1)</f>
        <v>101.55</v>
      </c>
      <c r="DX16" s="116" cm="1">
        <f t="array" ref="DX16">_xll.EQNXTDZ($A$1,$B16,DX$1)</f>
        <v>107.7</v>
      </c>
      <c r="DY16" s="116" cm="1">
        <f t="array" ref="DY16">_xll.EQNXTDZ($A$1,$B16,DY$1)</f>
        <v>112.65</v>
      </c>
      <c r="DZ16" s="116" cm="1">
        <f t="array" ref="DZ16">_xll.EQNXTDZ($A$1,$B16,DZ$1)</f>
        <v>119.65</v>
      </c>
      <c r="EA16" s="116" cm="1">
        <f t="array" ref="EA16">_xll.EQNXTDZ($A$1,$B16,EA$1)</f>
        <v>103.95</v>
      </c>
      <c r="EB16" s="116" cm="1">
        <f t="array" ref="EB16">_xll.EQNXTDZ($A$1,$B16,EB$1)</f>
        <v>104.5</v>
      </c>
      <c r="EC16" s="116" cm="1">
        <f t="array" ref="EC16">_xll.EQNXTDZ($A$1,$B16,EC$1)</f>
        <v>107.9</v>
      </c>
      <c r="ED16" s="116" cm="1">
        <f t="array" ref="ED16">_xll.EQNXTDZ($A$1,$B16,ED$1)</f>
        <v>105.85</v>
      </c>
      <c r="EE16" s="116" cm="1">
        <f t="array" ref="EE16">_xll.EQNXTDZ($A$1,$B16,EE$1)</f>
        <v>112</v>
      </c>
      <c r="EF16" s="116" cm="1">
        <f t="array" ref="EF16">_xll.EQNXTDZ($A$1,$B16,EF$1)</f>
        <v>123.15</v>
      </c>
      <c r="EG16" s="116" cm="1">
        <f t="array" ref="EG16">_xll.EQNXTDZ($A$1,$B16,EG$1)</f>
        <v>123</v>
      </c>
      <c r="EH16" s="116" cm="1">
        <f t="array" ref="EH16">_xll.EQNXTDZ($A$1,$B16,EH$1)</f>
        <v>129</v>
      </c>
      <c r="EI16" s="116" cm="1">
        <f t="array" ref="EI16">_xll.EQNXTDZ($A$1,$B16,EI$1)</f>
        <v>118.75</v>
      </c>
      <c r="EJ16" s="116" cm="1">
        <f t="array" ref="EJ16">_xll.EQNXTDZ($A$1,$B16,EJ$1)</f>
        <v>127.95</v>
      </c>
      <c r="EK16" s="116" cm="1">
        <f t="array" ref="EK16">_xll.EQNXTDZ($A$1,$B16,EK$1)</f>
        <v>139.5</v>
      </c>
      <c r="EL16" s="116" cm="1">
        <f t="array" ref="EL16">_xll.EQNXTDZ($A$1,$B16,EL$1)</f>
        <v>135.9</v>
      </c>
      <c r="EM16" s="116" cm="1">
        <f t="array" ref="EM16">_xll.EQNXTDZ($A$1,$B16,EM$1)</f>
        <v>140.9</v>
      </c>
      <c r="EN16" s="116" cm="1">
        <f t="array" ref="EN16">_xll.EQNXTDZ($A$1,$B16,EN$1)</f>
        <v>155.9</v>
      </c>
      <c r="EO16" s="116" cm="1">
        <f t="array" ref="EO16">_xll.EQNXTDZ($A$1,$B16,EO$1)</f>
        <v>164.95</v>
      </c>
      <c r="EP16" s="116" cm="1">
        <f t="array" ref="EP16">_xll.EQNXTDZ($A$1,$B16,EP$1)</f>
        <v>167.15</v>
      </c>
      <c r="EQ16" s="116" cm="1">
        <f t="array" ref="EQ16">_xll.EQNXTDZ($A$1,$B16,EQ$1)</f>
        <v>174</v>
      </c>
      <c r="ER16" s="116" cm="1">
        <f t="array" ref="ER16">_xll.EQNXTDZ($A$1,$B16,ER$1)</f>
        <v>165.35</v>
      </c>
      <c r="ES16" s="116" cm="1">
        <f t="array" ref="ES16">_xll.EQNXTDZ($A$1,$B16,ES$1)</f>
        <v>152.80000000000001</v>
      </c>
      <c r="ET16" s="116" cm="1">
        <f t="array" ref="ET16">_xll.EQNXTDZ($A$1,$B16,ET$1)</f>
        <v>168.45</v>
      </c>
      <c r="EU16" s="116" cm="1">
        <f t="array" ref="EU16">_xll.EQNXTDZ($A$1,$B16,EU$1)</f>
        <v>148.65</v>
      </c>
      <c r="EV16" s="116" cm="1">
        <f t="array" ref="EV16">_xll.EQNXTDZ($A$1,$B16,EV$1)</f>
        <v>144.55000000000001</v>
      </c>
      <c r="EW16" s="116" cm="1">
        <f t="array" ref="EW16">_xll.EQNXTDZ($A$1,$B16,EW$1)</f>
        <v>138.1</v>
      </c>
      <c r="EX16" s="116" cm="1">
        <f t="array" ref="EX16">_xll.EQNXTDZ($A$1,$B16,EX$1)</f>
        <v>134.65</v>
      </c>
      <c r="EY16" s="116" cm="1">
        <f t="array" ref="EY16">_xll.EQNXTDZ($A$1,$B16,EY$1)</f>
        <v>137.19999999999999</v>
      </c>
      <c r="EZ16" s="116" cm="1">
        <f t="array" ref="EZ16">_xll.EQNXTDZ($A$1,$B16,EZ$1)</f>
        <v>154.25</v>
      </c>
      <c r="FA16" s="116" cm="1">
        <f t="array" ref="FA16">_xll.EQNXTDZ($A$1,$B16,FA$1)</f>
        <v>139.75</v>
      </c>
      <c r="FB16" s="116" cm="1">
        <f t="array" ref="FB16">_xll.EQNXTDZ($A$1,$B16,FB$1)</f>
        <v>161</v>
      </c>
      <c r="FC16" s="116" cm="1">
        <f t="array" ref="FC16">_xll.EQNXTDZ($A$1,$B16,FC$1)</f>
        <v>159.75</v>
      </c>
      <c r="FD16" s="116" cm="1">
        <f t="array" ref="FD16">_xll.EQNXTDZ($A$1,$B16,FD$1)</f>
        <v>157.80000000000001</v>
      </c>
      <c r="FE16" s="116" cm="1">
        <f t="array" ref="FE16">_xll.EQNXTDZ($A$1,$B16,FE$1)</f>
        <v>154.44999999999999</v>
      </c>
      <c r="FF16" s="116" cm="1">
        <f t="array" ref="FF16">_xll.EQNXTDZ($A$1,$B16,FF$1)</f>
        <v>168.7</v>
      </c>
      <c r="FG16" s="116" cm="1">
        <f t="array" ref="FG16">_xll.EQNXTDZ($A$1,$B16,FG$1)</f>
        <v>182.95</v>
      </c>
      <c r="FH16" s="116" cm="1">
        <f t="array" ref="FH16">_xll.EQNXTDZ($A$1,$B16,FH$1)</f>
        <v>167.85</v>
      </c>
      <c r="FI16" s="116" cm="1">
        <f t="array" ref="FI16">_xll.EQNXTDZ($A$1,$B16,FI$1)</f>
        <v>180.05</v>
      </c>
      <c r="FJ16" s="116" cm="1">
        <f t="array" ref="FJ16">_xll.EQNXTDZ($A$1,$B16,FJ$1)</f>
        <v>193.1</v>
      </c>
      <c r="FK16" s="116" cm="1">
        <f t="array" ref="FK16">_xll.EQNXTDZ($A$1,$B16,FK$1)</f>
        <v>212.35</v>
      </c>
      <c r="FL16" s="116" cm="1">
        <f t="array" ref="FL16">_xll.EQNXTDZ($A$1,$B16,FL$1)</f>
        <v>191.8</v>
      </c>
      <c r="FM16" s="116" cm="1">
        <f t="array" ref="FM16">_xll.EQNXTDZ($A$1,$B16,FM$1)</f>
        <v>211.3</v>
      </c>
      <c r="FN16" s="116" cm="1">
        <f t="array" ref="FN16">_xll.EQNXTDZ($A$1,$B16,FN$1)</f>
        <v>208.9</v>
      </c>
      <c r="FO16" s="116" cm="1">
        <f t="array" ref="FO16">_xll.EQNXTDZ($A$1,$B16,FO$1)</f>
        <v>196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38.182342508875799</v>
      </c>
      <c r="HQ16" s="116">
        <f>+I16</f>
        <v>40.807229685717999</v>
      </c>
      <c r="HR16" s="116">
        <f>+L16</f>
        <v>29.755073151645401</v>
      </c>
      <c r="HS16" s="116">
        <f>+O16</f>
        <v>26.086900508871299</v>
      </c>
      <c r="HT16" s="116">
        <f>+R16</f>
        <v>25.877290643569999</v>
      </c>
      <c r="HU16" s="116">
        <f>+U16</f>
        <v>40.345135209939997</v>
      </c>
      <c r="HV16" s="116">
        <f>+X16</f>
        <v>37.524929749521498</v>
      </c>
      <c r="HW16" s="116">
        <f>+AA16</f>
        <v>50.334950835780603</v>
      </c>
      <c r="HX16" s="116">
        <f>+AD16</f>
        <v>43.7608232422374</v>
      </c>
      <c r="HY16" s="116">
        <f>+AG16</f>
        <v>38.048954412774897</v>
      </c>
      <c r="HZ16" s="116">
        <f>+AJ16</f>
        <v>30.188584463973299</v>
      </c>
      <c r="IA16" s="116">
        <f>+AM16</f>
        <v>29.030966344240699</v>
      </c>
      <c r="IB16" s="116">
        <f>+AP16</f>
        <v>20.1892411169826</v>
      </c>
      <c r="IC16" s="116">
        <f>+AS16</f>
        <v>24.7292002449874</v>
      </c>
      <c r="ID16" s="116">
        <f>+AV16</f>
        <v>30.441069074449899</v>
      </c>
      <c r="IE16" s="116">
        <f>+AY16</f>
        <v>30.669734382051399</v>
      </c>
      <c r="IF16" s="116">
        <f>+BB16</f>
        <v>35.6717879858343</v>
      </c>
      <c r="IG16" s="116">
        <f>+BE16</f>
        <v>37.262917417894798</v>
      </c>
      <c r="IH16" s="116">
        <f>+BH16</f>
        <v>45.985546130777003</v>
      </c>
      <c r="II16" s="116">
        <f>+BK16</f>
        <v>51.864150080365697</v>
      </c>
      <c r="IJ16" s="116">
        <f>+BN16</f>
        <v>62.030228547482402</v>
      </c>
      <c r="IK16" s="116">
        <f>+BQ16</f>
        <v>69.785793563633405</v>
      </c>
      <c r="IL16" s="116">
        <f>+BT16</f>
        <v>57.09</v>
      </c>
      <c r="IM16" s="116">
        <f>+BW16</f>
        <v>56.784999999999997</v>
      </c>
      <c r="IN16" s="116">
        <f>+BZ16</f>
        <v>58.034999999999997</v>
      </c>
      <c r="IO16" s="116">
        <f>+CC16</f>
        <v>52.185000000000002</v>
      </c>
      <c r="IP16" s="116">
        <f>+CF16</f>
        <v>52.085000000000001</v>
      </c>
      <c r="IQ16" s="116">
        <f>+CI16</f>
        <v>50.44</v>
      </c>
      <c r="IR16" s="116">
        <f>+CL16</f>
        <v>35.979999999999997</v>
      </c>
      <c r="IS16" s="116">
        <f>+CO16</f>
        <v>47.2</v>
      </c>
      <c r="IT16" s="116">
        <f>+CR16</f>
        <v>26.975000000000001</v>
      </c>
      <c r="IU16" s="116">
        <f>+CU16</f>
        <v>32.664999999999999</v>
      </c>
      <c r="IV16" s="116">
        <f>+CX16</f>
        <v>35.975000000000001</v>
      </c>
      <c r="IW16" s="116">
        <f>+DA16</f>
        <v>64.355000000000004</v>
      </c>
      <c r="IX16" s="116">
        <f>+DD16</f>
        <v>81.194999999999993</v>
      </c>
      <c r="IY16" s="116">
        <f>+DG16</f>
        <v>116.685</v>
      </c>
      <c r="IZ16" s="116">
        <f>+DJ16</f>
        <v>128.85499999999999</v>
      </c>
      <c r="JA16" s="116">
        <f>+DM16</f>
        <v>111.15</v>
      </c>
      <c r="JB16" s="116">
        <f>+DP16</f>
        <v>130.70500000000001</v>
      </c>
      <c r="JC16" s="116">
        <f>+DS16</f>
        <v>86.694999999999993</v>
      </c>
      <c r="JD16" s="116">
        <f>+DV16</f>
        <v>99.3</v>
      </c>
      <c r="JE16" s="116">
        <f>+DY16</f>
        <v>112.65</v>
      </c>
      <c r="JF16" s="116">
        <f>+EB16</f>
        <v>104.5</v>
      </c>
      <c r="JG16" s="116">
        <f>+EE16</f>
        <v>112</v>
      </c>
      <c r="JH16" s="116">
        <f>+EH16</f>
        <v>129</v>
      </c>
      <c r="JI16" s="116">
        <f>+EK16</f>
        <v>139.5</v>
      </c>
      <c r="JJ16" s="116">
        <f>+EN16</f>
        <v>155.9</v>
      </c>
      <c r="JK16" s="116">
        <f>EQ16</f>
        <v>174</v>
      </c>
      <c r="JL16" s="116">
        <f>ET16</f>
        <v>168.45</v>
      </c>
      <c r="JM16" s="116">
        <f>EW16</f>
        <v>138.1</v>
      </c>
      <c r="JN16" s="116">
        <f>EZ16</f>
        <v>154.25</v>
      </c>
      <c r="JO16" s="116">
        <f>FC16</f>
        <v>159.75</v>
      </c>
      <c r="JP16" s="116">
        <f>FF16</f>
        <v>168.7</v>
      </c>
      <c r="JQ16" s="116">
        <f>FI16</f>
        <v>180.05</v>
      </c>
      <c r="JR16" s="116">
        <f>FL16</f>
        <v>191.8</v>
      </c>
      <c r="JS16" s="116">
        <f>FO16</f>
        <v>196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43.341603511634702</v>
      </c>
      <c r="HQ19" s="116">
        <f t="shared" ref="HQ19:JI21" si="1">+IF(HQ14=0,HQ7,HQ14)</f>
        <v>41.612322122898298</v>
      </c>
      <c r="HR19" s="116">
        <f t="shared" si="1"/>
        <v>42.693718473430401</v>
      </c>
      <c r="HS19" s="116">
        <f t="shared" si="1"/>
        <v>31.150884300129601</v>
      </c>
      <c r="HT19" s="116">
        <f t="shared" si="1"/>
        <v>30.321972560074201</v>
      </c>
      <c r="HU19" s="116">
        <f t="shared" si="1"/>
        <v>41.1359360653952</v>
      </c>
      <c r="HV19" s="116">
        <f t="shared" si="1"/>
        <v>41.4836978873725</v>
      </c>
      <c r="HW19" s="116">
        <f t="shared" si="1"/>
        <v>55.127394574262098</v>
      </c>
      <c r="HX19" s="116">
        <f t="shared" si="1"/>
        <v>54.679591680209199</v>
      </c>
      <c r="HY19" s="116">
        <f t="shared" si="1"/>
        <v>47.190802856259999</v>
      </c>
      <c r="HZ19" s="116">
        <f t="shared" si="1"/>
        <v>40.130761484063598</v>
      </c>
      <c r="IA19" s="116">
        <f t="shared" si="1"/>
        <v>36.605504658540397</v>
      </c>
      <c r="IB19" s="116">
        <f t="shared" si="1"/>
        <v>29.564518728644199</v>
      </c>
      <c r="IC19" s="116">
        <f t="shared" si="1"/>
        <v>25.367557562041601</v>
      </c>
      <c r="ID19" s="116">
        <f t="shared" si="1"/>
        <v>31.0460793674789</v>
      </c>
      <c r="IE19" s="116">
        <f t="shared" si="1"/>
        <v>34.695196567952898</v>
      </c>
      <c r="IF19" s="116">
        <f t="shared" si="1"/>
        <v>38.920740898005597</v>
      </c>
      <c r="IG19" s="116">
        <f t="shared" si="1"/>
        <v>42.0077225506259</v>
      </c>
      <c r="IH19" s="116">
        <f t="shared" si="1"/>
        <v>48.443698187493197</v>
      </c>
      <c r="II19" s="116">
        <f t="shared" si="1"/>
        <v>52.097579248542203</v>
      </c>
      <c r="IJ19" s="116">
        <f t="shared" si="1"/>
        <v>66.365341670760898</v>
      </c>
      <c r="IK19" s="116">
        <f t="shared" si="1"/>
        <v>70.919592380490798</v>
      </c>
      <c r="IL19" s="116">
        <f t="shared" si="1"/>
        <v>75.511953974820997</v>
      </c>
      <c r="IM19" s="116">
        <f t="shared" si="1"/>
        <v>63.63</v>
      </c>
      <c r="IN19" s="116">
        <f t="shared" si="1"/>
        <v>64.67</v>
      </c>
      <c r="IO19" s="116">
        <f t="shared" si="1"/>
        <v>61</v>
      </c>
      <c r="IP19" s="116">
        <f t="shared" si="1"/>
        <v>53.18</v>
      </c>
      <c r="IQ19" s="116">
        <f t="shared" si="1"/>
        <v>56.034999999999997</v>
      </c>
      <c r="IR19" s="116">
        <f t="shared" si="1"/>
        <v>51.475000000000001</v>
      </c>
      <c r="IS19" s="116">
        <f t="shared" si="1"/>
        <v>47.6</v>
      </c>
      <c r="IT19" s="116">
        <f t="shared" si="1"/>
        <v>50.594999999999999</v>
      </c>
      <c r="IU19" s="116">
        <f t="shared" si="1"/>
        <v>35.045000000000002</v>
      </c>
      <c r="IV19" s="116">
        <f t="shared" si="1"/>
        <v>44.375</v>
      </c>
      <c r="IW19" s="116">
        <f t="shared" si="1"/>
        <v>65.33</v>
      </c>
      <c r="IX19" s="116">
        <f t="shared" si="1"/>
        <v>82.35</v>
      </c>
      <c r="IY19" s="116">
        <f t="shared" si="1"/>
        <v>124.68</v>
      </c>
      <c r="IZ19" s="116">
        <f t="shared" si="1"/>
        <v>153.46</v>
      </c>
      <c r="JA19" s="116">
        <f t="shared" si="1"/>
        <v>142.62</v>
      </c>
      <c r="JB19" s="116">
        <f t="shared" si="1"/>
        <v>136.62</v>
      </c>
      <c r="JC19" s="116">
        <f t="shared" si="1"/>
        <v>138.625</v>
      </c>
      <c r="JD19" s="116">
        <f t="shared" si="1"/>
        <v>113.8</v>
      </c>
      <c r="JE19" s="116">
        <f t="shared" si="1"/>
        <v>116.05</v>
      </c>
      <c r="JF19" s="116">
        <f t="shared" si="1"/>
        <v>124.3</v>
      </c>
      <c r="JG19" s="116">
        <f t="shared" si="1"/>
        <v>115.5</v>
      </c>
      <c r="JH19" s="116">
        <f t="shared" si="1"/>
        <v>134.85</v>
      </c>
      <c r="JI19" s="116">
        <f t="shared" si="1"/>
        <v>141.19999999999999</v>
      </c>
      <c r="JJ19" s="116">
        <f t="shared" ref="JJ19:JJ21" si="2">+IF(JJ14=0,JJ7,JJ14)</f>
        <v>159.5</v>
      </c>
      <c r="JK19" s="116">
        <f t="shared" ref="JK19" si="3">+IF(JK14=0,JK7,JK14)</f>
        <v>184.6</v>
      </c>
      <c r="JL19" s="116">
        <f t="shared" ref="JL19:JM19" si="4">+IF(JL14=0,JL7,JL14)</f>
        <v>178.15</v>
      </c>
      <c r="JM19" s="116">
        <f t="shared" si="4"/>
        <v>169.95</v>
      </c>
      <c r="JN19" s="116">
        <f t="shared" ref="JN19:JO19" si="5">+IF(JN14=0,JN7,JN14)</f>
        <v>160.1</v>
      </c>
      <c r="JO19" s="116">
        <f t="shared" si="5"/>
        <v>165.6</v>
      </c>
      <c r="JP19" s="116">
        <f t="shared" ref="JP19" si="6">+IF(JP14=0,JP7,JP14)</f>
        <v>174.35</v>
      </c>
      <c r="JQ19" s="116">
        <f t="shared" ref="JQ19:KH19" si="7">+IF(JQ14=0,JQ7,JQ14)</f>
        <v>187</v>
      </c>
      <c r="JR19" s="116">
        <f t="shared" si="7"/>
        <v>216.5</v>
      </c>
      <c r="JS19" s="116">
        <f t="shared" si="7"/>
        <v>224.4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33.1135948570425</v>
      </c>
      <c r="HQ20" s="116">
        <f t="shared" si="8"/>
        <v>34.218810510449799</v>
      </c>
      <c r="HR20" s="116">
        <f t="shared" si="8"/>
        <v>28.664149079963298</v>
      </c>
      <c r="HS20" s="116">
        <f t="shared" si="8"/>
        <v>24.919754667988698</v>
      </c>
      <c r="HT20" s="116">
        <f t="shared" si="8"/>
        <v>18.617167127222299</v>
      </c>
      <c r="HU20" s="116">
        <f t="shared" si="8"/>
        <v>25.6295698936683</v>
      </c>
      <c r="HV20" s="116">
        <f t="shared" si="8"/>
        <v>31.6510896605079</v>
      </c>
      <c r="HW20" s="116">
        <f t="shared" si="8"/>
        <v>36.800822942116703</v>
      </c>
      <c r="HX20" s="116">
        <f t="shared" si="8"/>
        <v>42.979550107932297</v>
      </c>
      <c r="HY20" s="116">
        <f t="shared" si="8"/>
        <v>36.877044711317197</v>
      </c>
      <c r="HZ20" s="116">
        <f t="shared" si="8"/>
        <v>29.6597959401448</v>
      </c>
      <c r="IA20" s="116">
        <f t="shared" si="8"/>
        <v>27.396962167005</v>
      </c>
      <c r="IB20" s="116">
        <f t="shared" si="8"/>
        <v>19.0554423001252</v>
      </c>
      <c r="IC20" s="116">
        <f t="shared" si="8"/>
        <v>20.046325299731699</v>
      </c>
      <c r="ID20" s="116">
        <f t="shared" si="8"/>
        <v>20.1320747900822</v>
      </c>
      <c r="IE20" s="116">
        <f t="shared" si="8"/>
        <v>28.335442700286102</v>
      </c>
      <c r="IF20" s="116">
        <f t="shared" si="1"/>
        <v>29.726489988195301</v>
      </c>
      <c r="IG20" s="116">
        <f t="shared" si="1"/>
        <v>34.8762232698041</v>
      </c>
      <c r="IH20" s="116">
        <f t="shared" si="1"/>
        <v>37.058071413168399</v>
      </c>
      <c r="II20" s="116">
        <f t="shared" si="1"/>
        <v>40.802465825143003</v>
      </c>
      <c r="IJ20" s="116">
        <f t="shared" si="1"/>
        <v>51.635484772764201</v>
      </c>
      <c r="IK20" s="116">
        <f t="shared" si="1"/>
        <v>62.335115624284398</v>
      </c>
      <c r="IL20" s="116">
        <f t="shared" si="1"/>
        <v>55.41</v>
      </c>
      <c r="IM20" s="116">
        <f t="shared" si="1"/>
        <v>53.66</v>
      </c>
      <c r="IN20" s="116">
        <f t="shared" si="1"/>
        <v>49.35</v>
      </c>
      <c r="IO20" s="116">
        <f t="shared" si="1"/>
        <v>48.69</v>
      </c>
      <c r="IP20" s="116">
        <f t="shared" si="1"/>
        <v>44.21</v>
      </c>
      <c r="IQ20" s="116">
        <f t="shared" si="1"/>
        <v>45.55</v>
      </c>
      <c r="IR20" s="116">
        <f t="shared" si="1"/>
        <v>32.244999999999997</v>
      </c>
      <c r="IS20" s="116">
        <f t="shared" si="1"/>
        <v>32.03</v>
      </c>
      <c r="IT20" s="116">
        <f t="shared" si="1"/>
        <v>25.09</v>
      </c>
      <c r="IU20" s="116">
        <f t="shared" si="1"/>
        <v>25.105</v>
      </c>
      <c r="IV20" s="116">
        <f t="shared" si="1"/>
        <v>32.049999999999997</v>
      </c>
      <c r="IW20" s="116">
        <f t="shared" si="1"/>
        <v>36.174999999999997</v>
      </c>
      <c r="IX20" s="116">
        <f t="shared" si="1"/>
        <v>59.63</v>
      </c>
      <c r="IY20" s="116">
        <f t="shared" si="1"/>
        <v>81.864999999999995</v>
      </c>
      <c r="IZ20" s="116">
        <f t="shared" si="1"/>
        <v>113.05</v>
      </c>
      <c r="JA20" s="116">
        <f t="shared" si="1"/>
        <v>106.38</v>
      </c>
      <c r="JB20" s="116">
        <f t="shared" si="1"/>
        <v>106.17</v>
      </c>
      <c r="JC20" s="116">
        <f t="shared" si="1"/>
        <v>82.71</v>
      </c>
      <c r="JD20" s="116">
        <f t="shared" si="1"/>
        <v>83.83</v>
      </c>
      <c r="JE20" s="116">
        <f t="shared" si="1"/>
        <v>98</v>
      </c>
      <c r="JF20" s="116">
        <f t="shared" si="1"/>
        <v>101.65</v>
      </c>
      <c r="JG20" s="116">
        <f t="shared" si="1"/>
        <v>103.25</v>
      </c>
      <c r="JH20" s="116">
        <f t="shared" si="1"/>
        <v>111.3</v>
      </c>
      <c r="JI20" s="116">
        <f t="shared" si="1"/>
        <v>114.25</v>
      </c>
      <c r="JJ20" s="116">
        <f t="shared" si="2"/>
        <v>128.1</v>
      </c>
      <c r="JK20" s="116">
        <f t="shared" ref="JK20" si="9">+IF(JK15=0,JK8,JK15)</f>
        <v>148.15</v>
      </c>
      <c r="JL20" s="116">
        <f t="shared" ref="JL20:JM20" si="10">+IF(JL15=0,JL8,JL15)</f>
        <v>142.35</v>
      </c>
      <c r="JM20" s="116">
        <f t="shared" si="10"/>
        <v>136.05000000000001</v>
      </c>
      <c r="JN20" s="116">
        <f t="shared" ref="JN20:JO20" si="11">+IF(JN15=0,JN8,JN15)</f>
        <v>122.6</v>
      </c>
      <c r="JO20" s="116">
        <f t="shared" si="11"/>
        <v>124.2</v>
      </c>
      <c r="JP20" s="116">
        <f t="shared" ref="JP20" si="12">+IF(JP15=0,JP8,JP15)</f>
        <v>152.55000000000001</v>
      </c>
      <c r="JQ20" s="116">
        <f t="shared" ref="JQ20:KH20" si="13">+IF(JQ15=0,JQ8,JQ15)</f>
        <v>160</v>
      </c>
      <c r="JR20" s="116">
        <f t="shared" si="13"/>
        <v>177.25</v>
      </c>
      <c r="JS20" s="116">
        <f t="shared" si="13"/>
        <v>187.95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38.182342508875799</v>
      </c>
      <c r="HQ21" s="116">
        <f t="shared" si="1"/>
        <v>40.807229685717999</v>
      </c>
      <c r="HR21" s="116">
        <f t="shared" si="1"/>
        <v>29.755073151645401</v>
      </c>
      <c r="HS21" s="116">
        <f t="shared" si="1"/>
        <v>26.086900508871299</v>
      </c>
      <c r="HT21" s="116">
        <f t="shared" si="1"/>
        <v>25.877290643569999</v>
      </c>
      <c r="HU21" s="116">
        <f t="shared" si="1"/>
        <v>40.345135209939997</v>
      </c>
      <c r="HV21" s="116">
        <f t="shared" si="1"/>
        <v>37.524929749521498</v>
      </c>
      <c r="HW21" s="116">
        <f t="shared" si="1"/>
        <v>50.334950835780603</v>
      </c>
      <c r="HX21" s="116">
        <f t="shared" si="1"/>
        <v>43.7608232422374</v>
      </c>
      <c r="HY21" s="116">
        <f t="shared" si="1"/>
        <v>38.048954412774897</v>
      </c>
      <c r="HZ21" s="116">
        <f t="shared" si="1"/>
        <v>30.188584463973299</v>
      </c>
      <c r="IA21" s="116">
        <f t="shared" si="1"/>
        <v>29.030966344240699</v>
      </c>
      <c r="IB21" s="116">
        <f t="shared" si="1"/>
        <v>20.1892411169826</v>
      </c>
      <c r="IC21" s="116">
        <f t="shared" si="1"/>
        <v>24.7292002449874</v>
      </c>
      <c r="ID21" s="116">
        <f t="shared" si="1"/>
        <v>30.441069074449899</v>
      </c>
      <c r="IE21" s="116">
        <f t="shared" si="1"/>
        <v>30.669734382051399</v>
      </c>
      <c r="IF21" s="116">
        <f t="shared" si="1"/>
        <v>35.6717879858343</v>
      </c>
      <c r="IG21" s="116">
        <f t="shared" si="1"/>
        <v>37.262917417894798</v>
      </c>
      <c r="IH21" s="116">
        <f t="shared" si="1"/>
        <v>45.985546130777003</v>
      </c>
      <c r="II21" s="116">
        <f t="shared" si="1"/>
        <v>51.864150080365697</v>
      </c>
      <c r="IJ21" s="116">
        <f t="shared" si="1"/>
        <v>62.030228547482402</v>
      </c>
      <c r="IK21" s="116">
        <f t="shared" si="1"/>
        <v>69.785793563633405</v>
      </c>
      <c r="IL21" s="116">
        <f t="shared" si="1"/>
        <v>57.09</v>
      </c>
      <c r="IM21" s="116">
        <f t="shared" si="1"/>
        <v>56.784999999999997</v>
      </c>
      <c r="IN21" s="116">
        <f t="shared" si="1"/>
        <v>58.034999999999997</v>
      </c>
      <c r="IO21" s="116">
        <f t="shared" si="1"/>
        <v>52.185000000000002</v>
      </c>
      <c r="IP21" s="116">
        <f t="shared" si="1"/>
        <v>52.085000000000001</v>
      </c>
      <c r="IQ21" s="116">
        <f t="shared" si="1"/>
        <v>50.44</v>
      </c>
      <c r="IR21" s="116">
        <f t="shared" si="1"/>
        <v>35.979999999999997</v>
      </c>
      <c r="IS21" s="116">
        <f t="shared" si="1"/>
        <v>47.2</v>
      </c>
      <c r="IT21" s="116">
        <f t="shared" si="1"/>
        <v>26.975000000000001</v>
      </c>
      <c r="IU21" s="116">
        <f t="shared" si="1"/>
        <v>32.664999999999999</v>
      </c>
      <c r="IV21" s="116">
        <f t="shared" si="1"/>
        <v>35.975000000000001</v>
      </c>
      <c r="IW21" s="116">
        <f t="shared" si="1"/>
        <v>64.355000000000004</v>
      </c>
      <c r="IX21" s="116">
        <f t="shared" si="1"/>
        <v>81.194999999999993</v>
      </c>
      <c r="IY21" s="116">
        <f t="shared" si="1"/>
        <v>116.685</v>
      </c>
      <c r="IZ21" s="116">
        <f t="shared" si="1"/>
        <v>128.85499999999999</v>
      </c>
      <c r="JA21" s="116">
        <f t="shared" si="1"/>
        <v>111.15</v>
      </c>
      <c r="JB21" s="116">
        <f t="shared" si="1"/>
        <v>130.70500000000001</v>
      </c>
      <c r="JC21" s="116">
        <f t="shared" si="1"/>
        <v>86.694999999999993</v>
      </c>
      <c r="JD21" s="116">
        <f t="shared" si="1"/>
        <v>99.3</v>
      </c>
      <c r="JE21" s="116">
        <f t="shared" si="1"/>
        <v>112.65</v>
      </c>
      <c r="JF21" s="116">
        <f t="shared" si="1"/>
        <v>104.5</v>
      </c>
      <c r="JG21" s="116">
        <f t="shared" si="1"/>
        <v>112</v>
      </c>
      <c r="JH21" s="116">
        <f t="shared" si="1"/>
        <v>129</v>
      </c>
      <c r="JI21" s="116">
        <f t="shared" si="1"/>
        <v>139.5</v>
      </c>
      <c r="JJ21" s="116">
        <f t="shared" si="2"/>
        <v>155.9</v>
      </c>
      <c r="JK21" s="116">
        <f t="shared" ref="JK21" si="14">+IF(JK16=0,JK9,JK16)</f>
        <v>174</v>
      </c>
      <c r="JL21" s="116">
        <f t="shared" ref="JL21:JM21" si="15">+IF(JL16=0,JL9,JL16)</f>
        <v>168.45</v>
      </c>
      <c r="JM21" s="116">
        <f t="shared" si="15"/>
        <v>138.1</v>
      </c>
      <c r="JN21" s="116">
        <f t="shared" ref="JN21:JO21" si="16">+IF(JN16=0,JN9,JN16)</f>
        <v>154.25</v>
      </c>
      <c r="JO21" s="116">
        <f t="shared" si="16"/>
        <v>159.75</v>
      </c>
      <c r="JP21" s="116">
        <f t="shared" ref="JP21" si="17">+IF(JP16=0,JP9,JP16)</f>
        <v>168.7</v>
      </c>
      <c r="JQ21" s="116">
        <f t="shared" ref="JQ21:KH21" si="18">+IF(JQ16=0,JQ9,JQ16)</f>
        <v>180.05</v>
      </c>
      <c r="JR21" s="116">
        <f t="shared" si="18"/>
        <v>191.8</v>
      </c>
      <c r="JS21" s="116">
        <f t="shared" si="18"/>
        <v>196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100470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201206</v>
      </c>
      <c r="D5" cm="1">
        <f t="array" ref="D5">_xll.EQNXTDZ($A$1,$B5,D$1)</f>
        <v>201209</v>
      </c>
      <c r="E5" cm="1">
        <f t="array" ref="E5">_xll.EQNXTDZ($A$1,$B5,E$1)</f>
        <v>201212</v>
      </c>
      <c r="F5" cm="1">
        <f t="array" ref="F5">_xll.EQNXTDZ($A$1,$B5,F$1)</f>
        <v>201303</v>
      </c>
      <c r="G5" cm="1">
        <f t="array" ref="G5">_xll.EQNXTDZ($A$1,$B5,G$1)</f>
        <v>201306</v>
      </c>
      <c r="H5" cm="1">
        <f t="array" ref="H5">_xll.EQNXTDZ($A$1,$B5,H$1)</f>
        <v>201309</v>
      </c>
      <c r="I5" cm="1">
        <f t="array" ref="I5">_xll.EQNXTDZ($A$1,$B5,I$1)</f>
        <v>201312</v>
      </c>
      <c r="J5" cm="1">
        <f t="array" ref="J5">_xll.EQNXTDZ($A$1,$B5,J$1)</f>
        <v>201403</v>
      </c>
      <c r="K5" cm="1">
        <f t="array" ref="K5">_xll.EQNXTDZ($A$1,$B5,K$1)</f>
        <v>201406</v>
      </c>
      <c r="L5" cm="1">
        <f t="array" ref="L5">_xll.EQNXTDZ($A$1,$B5,L$1)</f>
        <v>201409</v>
      </c>
      <c r="M5" cm="1">
        <f t="array" ref="M5">_xll.EQNXTDZ($A$1,$B5,M$1)</f>
        <v>201412</v>
      </c>
      <c r="N5" cm="1">
        <f t="array" ref="N5">_xll.EQNXTDZ($A$1,$B5,N$1)</f>
        <v>201503</v>
      </c>
      <c r="O5" cm="1">
        <f t="array" ref="O5">_xll.EQNXTDZ($A$1,$B5,O$1)</f>
        <v>201506</v>
      </c>
      <c r="P5" cm="1">
        <f t="array" ref="P5">_xll.EQNXTDZ($A$1,$B5,P$1)</f>
        <v>201509</v>
      </c>
      <c r="Q5" cm="1">
        <f t="array" ref="Q5">_xll.EQNXTDZ($A$1,$B5,Q$1)</f>
        <v>201512</v>
      </c>
      <c r="R5" cm="1">
        <f t="array" ref="R5">_xll.EQNXTDZ($A$1,$B5,R$1)</f>
        <v>201603</v>
      </c>
      <c r="S5" cm="1">
        <f t="array" ref="S5">_xll.EQNXTDZ($A$1,$B5,S$1)</f>
        <v>201606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971214450</v>
      </c>
      <c r="D6" cm="1">
        <f t="array" ref="D6">_xll.EQNXTDZ($A$1,$B6,D$1)</f>
        <v>971214450</v>
      </c>
      <c r="E6" cm="1">
        <f t="array" ref="E6">_xll.EQNXTDZ($A$1,$B6,E$1)</f>
        <v>971214545</v>
      </c>
      <c r="F6" cm="1">
        <f t="array" ref="F6">_xll.EQNXTDZ($A$1,$B6,F$1)</f>
        <v>971215229</v>
      </c>
      <c r="G6" cm="1">
        <f t="array" ref="G6">_xll.EQNXTDZ($A$1,$B6,G$1)</f>
        <v>971215229</v>
      </c>
      <c r="H6" cm="1">
        <f t="array" ref="H6">_xll.EQNXTDZ($A$1,$B6,H$1)</f>
        <v>971215229</v>
      </c>
      <c r="I6" cm="1">
        <f t="array" ref="I6">_xll.EQNXTDZ($A$1,$B6,I$1)</f>
        <v>971215229</v>
      </c>
      <c r="J6" cm="1">
        <f t="array" ref="J6">_xll.EQNXTDZ($A$1,$B6,J$1)</f>
        <v>971215405</v>
      </c>
      <c r="K6" cm="1">
        <f t="array" ref="K6">_xll.EQNXTDZ($A$1,$B6,K$1)</f>
        <v>971215405</v>
      </c>
      <c r="L6" cm="1">
        <f t="array" ref="L6">_xll.EQNXTDZ($A$1,$B6,L$1)</f>
        <v>971215405</v>
      </c>
      <c r="M6" cm="1">
        <f t="array" ref="M6">_xll.EQNXTDZ($A$1,$B6,M$1)</f>
        <v>971215439</v>
      </c>
      <c r="N6" cm="1">
        <f t="array" ref="N6">_xll.EQNXTDZ($A$1,$B6,N$1)</f>
        <v>971215439</v>
      </c>
      <c r="O6" cm="1">
        <f t="array" ref="O6">_xll.EQNXTDZ($A$1,$B6,O$1)</f>
        <v>971215439</v>
      </c>
      <c r="P6" cm="1">
        <f t="array" ref="P6">_xll.EQNXTDZ($A$1,$B6,P$1)</f>
        <v>971215439</v>
      </c>
      <c r="Q6" cm="1">
        <f t="array" ref="Q6">_xll.EQNXTDZ($A$1,$B6,Q$1)</f>
        <v>971215439</v>
      </c>
      <c r="R6" cm="1">
        <f t="array" ref="R6">_xll.EQNXTDZ($A$1,$B6,R$1)</f>
        <v>971215439</v>
      </c>
      <c r="S6" cm="1">
        <f t="array" ref="S6">_xll.EQNXTDZ($A$1,$B6,S$1)</f>
        <v>971215439</v>
      </c>
      <c r="T6" cm="1">
        <f t="array" ref="T6">_xll.EQNXTDZ($A$1,$B6,T$1)</f>
        <v>971215439</v>
      </c>
      <c r="U6" cm="1">
        <f t="array" ref="U6">_xll.EQNXTDZ($A$1,$B6,U$1)</f>
        <v>971215439</v>
      </c>
      <c r="V6" cm="1">
        <f t="array" ref="V6">_xll.EQNXTDZ($A$1,$B6,V$1)</f>
        <v>971215439</v>
      </c>
      <c r="W6" cm="1">
        <f t="array" ref="W6">_xll.EQNXTDZ($A$1,$B6,W$1)</f>
        <v>971215889</v>
      </c>
      <c r="X6" cm="1">
        <f t="array" ref="X6">_xll.EQNXTDZ($A$1,$B6,X$1)</f>
        <v>971215889</v>
      </c>
      <c r="Y6" cm="1">
        <f t="array" ref="Y6">_xll.EQNXTDZ($A$1,$B6,Y$1)</f>
        <v>971215889</v>
      </c>
      <c r="Z6" cm="1">
        <f t="array" ref="Z6">_xll.EQNXTDZ($A$1,$B6,Z$1)</f>
        <v>1204119440</v>
      </c>
      <c r="AA6" cm="1">
        <f t="array" ref="AA6">_xll.EQNXTDZ($A$1,$B6,AA$1)</f>
        <v>1204119440</v>
      </c>
      <c r="AB6" cm="1">
        <f t="array" ref="AB6">_xll.EQNXTDZ($A$1,$B6,AB$1)</f>
        <v>1204119926</v>
      </c>
      <c r="AC6" cm="1">
        <f t="array" ref="AC6">_xll.EQNXTDZ($A$1,$B6,AC$1)</f>
        <v>1204125710</v>
      </c>
      <c r="AD6" cm="1">
        <f t="array" ref="AD6">_xll.EQNXTDZ($A$1,$B6,AD$1)</f>
        <v>1204126385</v>
      </c>
      <c r="AE6" cm="1">
        <f t="array" ref="AE6">_xll.EQNXTDZ($A$1,$B6,AE$1)</f>
        <v>1204126385</v>
      </c>
      <c r="AF6" cm="1">
        <f t="array" ref="AF6">_xll.EQNXTDZ($A$1,$B6,AF$1)</f>
        <v>1204126385</v>
      </c>
      <c r="AG6" cm="1">
        <f t="array" ref="AG6">_xll.EQNXTDZ($A$1,$B6,AG$1)</f>
        <v>1204126999</v>
      </c>
      <c r="AH6" cm="1">
        <f t="array" ref="AH6">_xll.EQNXTDZ($A$1,$B6,AH$1)</f>
        <v>1204126999</v>
      </c>
      <c r="AI6" cm="1">
        <f t="array" ref="AI6">_xll.EQNXTDZ($A$1,$B6,AI$1)</f>
        <v>1204126999</v>
      </c>
      <c r="AJ6" cm="1">
        <f t="array" ref="AJ6">_xll.EQNXTDZ($A$1,$B6,AJ$1)</f>
        <v>1204126999</v>
      </c>
      <c r="AK6" cm="1">
        <f t="array" ref="AK6">_xll.EQNXTDZ($A$1,$B6,AK$1)</f>
        <v>1204126999</v>
      </c>
      <c r="AL6" cm="1">
        <f t="array" ref="AL6">_xll.EQNXTDZ($A$1,$B6,AL$1)</f>
        <v>1204126999</v>
      </c>
      <c r="AM6" cm="1">
        <f t="array" ref="AM6">_xll.EQNXTDZ($A$1,$B6,AM$1)</f>
        <v>1204126999</v>
      </c>
      <c r="AN6" cm="1">
        <f t="array" ref="AN6">_xll.EQNXTDZ($A$1,$B6,AN$1)</f>
        <v>1204126999</v>
      </c>
      <c r="AO6" cm="1">
        <f t="array" ref="AO6">_xll.EQNXTDZ($A$1,$B6,AO$1)</f>
        <v>1221543546</v>
      </c>
      <c r="AP6" cm="1">
        <f t="array" ref="AP6">_xll.EQNXTDZ($A$1,$B6,AP$1)</f>
        <v>1221530046</v>
      </c>
      <c r="AQ6" cm="1">
        <f t="array" ref="AQ6">_xll.EQNXTDZ($A$1,$B6,AQ$1)</f>
        <v>1221530046</v>
      </c>
      <c r="AR6" cm="1">
        <f t="array" ref="AR6">_xll.EQNXTDZ($A$1,$B6,AR$1)</f>
        <v>12215300460</v>
      </c>
      <c r="AS6" cm="1">
        <f t="array" ref="AS6">_xll.EQNXTDZ($A$1,$B6,AS$1)</f>
        <v>12223453300</v>
      </c>
      <c r="AT6" cm="1">
        <f t="array" ref="AT6">_xll.EQNXTDZ($A$1,$B6,AT$1)</f>
        <v>12221537000</v>
      </c>
      <c r="AU6" cm="1">
        <f t="array" ref="AU6">_xll.EQNXTDZ($A$1,$B6,AU$1)</f>
        <v>12221537000</v>
      </c>
      <c r="AV6" cm="1">
        <f t="array" ref="AV6">_xll.EQNXTDZ($A$1,$B6,AV$1)</f>
        <v>12221537000</v>
      </c>
      <c r="AW6" cm="1">
        <f t="array" ref="AW6">_xll.EQNXTDZ($A$1,$B6,AW$1)</f>
        <v>12297337309</v>
      </c>
      <c r="AX6" cm="1">
        <f t="array" ref="AX6">_xll.EQNXTDZ($A$1,$B6,AX$1)</f>
        <v>12483531541</v>
      </c>
      <c r="AY6" cm="1">
        <f t="array" ref="AY6">_xll.EQNXTDZ($A$1,$B6,AY$1)</f>
        <v>12483531541</v>
      </c>
    </row>
    <row r="7" spans="1:51" x14ac:dyDescent="0.25">
      <c r="B7" t="s">
        <v>429</v>
      </c>
      <c r="C7" s="100">
        <f>+C6/10^7</f>
        <v>97.121444999999994</v>
      </c>
      <c r="D7" s="100">
        <f t="shared" ref="D7:X7" si="0">+D6/10^7</f>
        <v>97.121444999999994</v>
      </c>
      <c r="E7" s="100">
        <f t="shared" si="0"/>
        <v>97.121454499999999</v>
      </c>
      <c r="F7" s="100">
        <f t="shared" si="0"/>
        <v>97.121522900000002</v>
      </c>
      <c r="G7" s="100">
        <f t="shared" si="0"/>
        <v>97.121522900000002</v>
      </c>
      <c r="H7" s="100">
        <f t="shared" si="0"/>
        <v>97.121522900000002</v>
      </c>
      <c r="I7" s="100">
        <f t="shared" si="0"/>
        <v>97.121522900000002</v>
      </c>
      <c r="J7" s="100">
        <f t="shared" si="0"/>
        <v>97.121540499999995</v>
      </c>
      <c r="K7" s="100">
        <f t="shared" si="0"/>
        <v>97.121540499999995</v>
      </c>
      <c r="L7" s="100">
        <f t="shared" si="0"/>
        <v>97.121540499999995</v>
      </c>
      <c r="M7" s="100">
        <f t="shared" si="0"/>
        <v>97.121543900000006</v>
      </c>
      <c r="N7" s="100">
        <f t="shared" si="0"/>
        <v>97.121543900000006</v>
      </c>
      <c r="O7" s="100">
        <f t="shared" si="0"/>
        <v>97.121543900000006</v>
      </c>
      <c r="P7" s="100">
        <f t="shared" si="0"/>
        <v>97.121543900000006</v>
      </c>
      <c r="Q7" s="100">
        <f t="shared" si="0"/>
        <v>97.121543900000006</v>
      </c>
      <c r="R7" s="100">
        <f t="shared" si="0"/>
        <v>97.121543900000006</v>
      </c>
      <c r="S7" s="100">
        <f t="shared" si="0"/>
        <v>97.121543900000006</v>
      </c>
      <c r="T7" s="100">
        <f t="shared" si="0"/>
        <v>97.121543900000006</v>
      </c>
      <c r="U7" s="100">
        <f t="shared" si="0"/>
        <v>97.121543900000006</v>
      </c>
      <c r="V7" s="100">
        <f t="shared" si="0"/>
        <v>97.121543900000006</v>
      </c>
      <c r="W7" s="100">
        <f t="shared" si="0"/>
        <v>97.121588900000006</v>
      </c>
      <c r="X7" s="100">
        <f t="shared" si="0"/>
        <v>97.121588900000006</v>
      </c>
      <c r="Y7" s="100">
        <f t="shared" ref="Y7:AS7" si="1">+Y6/10^7</f>
        <v>97.121588900000006</v>
      </c>
      <c r="Z7" s="100">
        <f t="shared" si="1"/>
        <v>120.41194400000001</v>
      </c>
      <c r="AA7" s="100">
        <f t="shared" si="1"/>
        <v>120.41194400000001</v>
      </c>
      <c r="AB7" s="100">
        <f t="shared" si="1"/>
        <v>120.4119926</v>
      </c>
      <c r="AC7" s="100">
        <f t="shared" si="1"/>
        <v>120.412571</v>
      </c>
      <c r="AD7" s="100">
        <f t="shared" si="1"/>
        <v>120.4126385</v>
      </c>
      <c r="AE7" s="100">
        <f t="shared" si="1"/>
        <v>120.4126385</v>
      </c>
      <c r="AF7" s="100">
        <f t="shared" si="1"/>
        <v>120.4126385</v>
      </c>
      <c r="AG7" s="100">
        <f t="shared" si="1"/>
        <v>120.41269990000001</v>
      </c>
      <c r="AH7" s="100">
        <f t="shared" si="1"/>
        <v>120.41269990000001</v>
      </c>
      <c r="AI7" s="100">
        <f t="shared" si="1"/>
        <v>120.41269990000001</v>
      </c>
      <c r="AJ7" s="100">
        <f t="shared" si="1"/>
        <v>120.41269990000001</v>
      </c>
      <c r="AK7" s="100">
        <f t="shared" si="1"/>
        <v>120.41269990000001</v>
      </c>
      <c r="AL7" s="100">
        <f t="shared" si="1"/>
        <v>120.41269990000001</v>
      </c>
      <c r="AM7" s="100">
        <f t="shared" si="1"/>
        <v>120.41269990000001</v>
      </c>
      <c r="AN7" s="100">
        <f t="shared" si="1"/>
        <v>120.41269990000001</v>
      </c>
      <c r="AO7" s="100">
        <f t="shared" si="1"/>
        <v>122.1543546</v>
      </c>
      <c r="AP7" s="100">
        <f t="shared" si="1"/>
        <v>122.1530046</v>
      </c>
      <c r="AQ7" s="100">
        <f t="shared" si="1"/>
        <v>122.1530046</v>
      </c>
      <c r="AR7" s="100">
        <f t="shared" si="1"/>
        <v>1221.5300460000001</v>
      </c>
      <c r="AS7" s="100">
        <f t="shared" si="1"/>
        <v>1222.3453300000001</v>
      </c>
      <c r="AT7" s="100">
        <f t="shared" ref="AT7:AX7" si="2">+AT6/10^7</f>
        <v>1222.1537000000001</v>
      </c>
      <c r="AU7" s="100">
        <f t="shared" si="2"/>
        <v>1222.1537000000001</v>
      </c>
      <c r="AV7" s="100">
        <f t="shared" si="2"/>
        <v>1222.1537000000001</v>
      </c>
      <c r="AW7" s="100">
        <f t="shared" si="2"/>
        <v>1229.7337309</v>
      </c>
      <c r="AX7" s="100">
        <f t="shared" si="2"/>
        <v>1248.3531541</v>
      </c>
      <c r="AY7" s="100">
        <f t="shared" ref="AY7" si="3">+AY6/10^7</f>
        <v>1248.3531541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L5" sqref="L5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100470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70" t="s">
        <v>529</v>
      </c>
      <c r="L2" s="170" t="s">
        <v>529</v>
      </c>
    </row>
    <row r="3" spans="1:18" x14ac:dyDescent="0.25">
      <c r="A3" s="171" t="s">
        <v>515</v>
      </c>
      <c r="B3" s="172" t="s">
        <v>517</v>
      </c>
      <c r="C3" s="172" t="s">
        <v>516</v>
      </c>
      <c r="D3" s="172" t="s">
        <v>518</v>
      </c>
      <c r="E3" s="172" t="s">
        <v>519</v>
      </c>
      <c r="F3" s="172" t="s">
        <v>520</v>
      </c>
      <c r="G3" s="172" t="s">
        <v>521</v>
      </c>
      <c r="H3" s="172"/>
      <c r="I3" s="172"/>
      <c r="J3" s="172"/>
      <c r="K3" s="172"/>
      <c r="L3" s="171" t="s">
        <v>515</v>
      </c>
      <c r="M3" s="173" t="s">
        <v>516</v>
      </c>
      <c r="N3" s="173" t="s">
        <v>517</v>
      </c>
      <c r="O3" s="173" t="s">
        <v>518</v>
      </c>
      <c r="P3" s="173" t="s">
        <v>519</v>
      </c>
      <c r="Q3" s="173" t="s">
        <v>520</v>
      </c>
      <c r="R3" s="172" t="s">
        <v>521</v>
      </c>
    </row>
    <row r="4" spans="1:18" x14ac:dyDescent="0.25">
      <c r="A4" s="170">
        <v>42005</v>
      </c>
      <c r="B4" s="116">
        <v>38.682547869254101</v>
      </c>
      <c r="C4" s="116">
        <v>38.544395912578203</v>
      </c>
      <c r="D4" s="116">
        <v>37.729775754247797</v>
      </c>
      <c r="E4" s="116">
        <v>37.729775754247797</v>
      </c>
      <c r="F4" s="116">
        <v>404.55</v>
      </c>
      <c r="G4">
        <v>488453</v>
      </c>
      <c r="H4" s="116"/>
      <c r="I4" s="116"/>
      <c r="L4" s="170">
        <v>42005</v>
      </c>
      <c r="M4" s="116">
        <v>38.533449686995098</v>
      </c>
      <c r="N4" s="116">
        <v>38.681123928594403</v>
      </c>
      <c r="O4" s="116">
        <v>37.833187960701601</v>
      </c>
      <c r="P4" s="116">
        <v>37.833187960701601</v>
      </c>
      <c r="Q4" s="116">
        <v>404.45</v>
      </c>
      <c r="R4">
        <v>2531499</v>
      </c>
    </row>
    <row r="5" spans="1:18" x14ac:dyDescent="0.25">
      <c r="A5" s="170">
        <v>42006</v>
      </c>
      <c r="B5" s="116">
        <v>39.349488349758502</v>
      </c>
      <c r="C5" s="116">
        <v>39.1398784844571</v>
      </c>
      <c r="D5" s="116">
        <v>38.682547869254101</v>
      </c>
      <c r="E5" s="116">
        <v>38.682547869254101</v>
      </c>
      <c r="F5" s="116">
        <v>410.8</v>
      </c>
      <c r="G5">
        <v>623774</v>
      </c>
      <c r="H5" s="116"/>
      <c r="I5" s="116"/>
      <c r="L5" s="170">
        <v>42006</v>
      </c>
      <c r="M5" s="116">
        <v>39.133674023818102</v>
      </c>
      <c r="N5" s="116">
        <v>39.348039858397797</v>
      </c>
      <c r="O5" s="116">
        <v>38.681123928594403</v>
      </c>
      <c r="P5" s="116">
        <v>38.681123928594403</v>
      </c>
      <c r="Q5" s="116">
        <v>410.75</v>
      </c>
      <c r="R5">
        <v>3433980</v>
      </c>
    </row>
    <row r="6" spans="1:18" x14ac:dyDescent="0.25">
      <c r="A6" s="170">
        <v>42009</v>
      </c>
      <c r="B6" s="116">
        <v>40.130761484063598</v>
      </c>
      <c r="C6" s="116">
        <v>39.697250171735703</v>
      </c>
      <c r="D6" s="116">
        <v>39.211336393082597</v>
      </c>
      <c r="E6" s="116">
        <v>39.211336393082597</v>
      </c>
      <c r="F6" s="116">
        <v>416.65</v>
      </c>
      <c r="G6">
        <v>953201</v>
      </c>
      <c r="H6" s="116"/>
      <c r="I6" s="116"/>
      <c r="L6" s="170">
        <v>42009</v>
      </c>
      <c r="M6" s="116">
        <v>39.700552564151003</v>
      </c>
      <c r="N6" s="116">
        <v>40.153102659374703</v>
      </c>
      <c r="O6" s="116">
        <v>39.348039858397797</v>
      </c>
      <c r="P6" s="116">
        <v>39.348039858397797</v>
      </c>
      <c r="Q6" s="116">
        <v>416.7</v>
      </c>
      <c r="R6">
        <v>5205645</v>
      </c>
    </row>
    <row r="7" spans="1:18" x14ac:dyDescent="0.25">
      <c r="A7" s="170">
        <v>42010</v>
      </c>
      <c r="B7" s="116">
        <v>39.616264541960199</v>
      </c>
      <c r="C7" s="116">
        <v>37.758358917697997</v>
      </c>
      <c r="D7" s="116">
        <v>37.591623797571899</v>
      </c>
      <c r="E7" s="116">
        <v>39.616264541960199</v>
      </c>
      <c r="F7" s="116">
        <v>396.3</v>
      </c>
      <c r="G7">
        <v>1239413</v>
      </c>
      <c r="H7" s="116"/>
      <c r="I7" s="116"/>
      <c r="L7" s="170">
        <v>42010</v>
      </c>
      <c r="M7" s="116">
        <v>37.776023738147003</v>
      </c>
      <c r="N7" s="116">
        <v>39.443313562655398</v>
      </c>
      <c r="O7" s="116">
        <v>37.571185273993102</v>
      </c>
      <c r="P7" s="116">
        <v>39.443313562655398</v>
      </c>
      <c r="Q7" s="116">
        <v>396.5</v>
      </c>
      <c r="R7">
        <v>6170681</v>
      </c>
    </row>
    <row r="8" spans="1:18" x14ac:dyDescent="0.25">
      <c r="A8" s="170">
        <v>42011</v>
      </c>
      <c r="B8" s="116">
        <v>37.9870242252995</v>
      </c>
      <c r="C8" s="116">
        <v>37.1152377400688</v>
      </c>
      <c r="D8" s="116">
        <v>36.548338331640103</v>
      </c>
      <c r="E8" s="116">
        <v>37.901274734948899</v>
      </c>
      <c r="F8" s="116">
        <v>389.55</v>
      </c>
      <c r="G8">
        <v>987917</v>
      </c>
      <c r="H8" s="116"/>
      <c r="I8" s="116"/>
      <c r="L8" s="170">
        <v>42011</v>
      </c>
      <c r="M8" s="116">
        <v>37.051943585789097</v>
      </c>
      <c r="N8" s="116">
        <v>37.899879553681899</v>
      </c>
      <c r="O8" s="116">
        <v>36.5469929532237</v>
      </c>
      <c r="P8" s="116">
        <v>37.899879553681899</v>
      </c>
      <c r="Q8" s="116">
        <v>388.9</v>
      </c>
      <c r="R8">
        <v>4749099</v>
      </c>
    </row>
    <row r="9" spans="1:18" x14ac:dyDescent="0.25">
      <c r="A9" s="170">
        <v>42012</v>
      </c>
      <c r="B9" s="116">
        <v>37.815525244598398</v>
      </c>
      <c r="C9" s="116">
        <v>37.605915379297002</v>
      </c>
      <c r="D9" s="116">
        <v>37.234334254444597</v>
      </c>
      <c r="E9" s="116">
        <v>37.624970821597103</v>
      </c>
      <c r="F9" s="116">
        <v>394.7</v>
      </c>
      <c r="G9">
        <v>465225</v>
      </c>
      <c r="H9" s="116"/>
      <c r="I9" s="116"/>
      <c r="L9" s="170">
        <v>42012</v>
      </c>
      <c r="M9" s="116">
        <v>37.628349496547699</v>
      </c>
      <c r="N9" s="116">
        <v>37.795078478998597</v>
      </c>
      <c r="O9" s="116">
        <v>37.213908883027102</v>
      </c>
      <c r="P9" s="116">
        <v>37.537839477502999</v>
      </c>
      <c r="Q9" s="116">
        <v>394.95</v>
      </c>
      <c r="R9">
        <v>3169917</v>
      </c>
    </row>
    <row r="10" spans="1:18" x14ac:dyDescent="0.25">
      <c r="A10" s="170">
        <v>42013</v>
      </c>
      <c r="B10" s="116">
        <v>38.5777429366034</v>
      </c>
      <c r="C10" s="116">
        <v>38.068009855074997</v>
      </c>
      <c r="D10" s="116">
        <v>37.701192590797604</v>
      </c>
      <c r="E10" s="116">
        <v>38.301439023251604</v>
      </c>
      <c r="F10" s="116">
        <v>399.55</v>
      </c>
      <c r="G10">
        <v>716717</v>
      </c>
      <c r="H10" s="116"/>
      <c r="I10" s="116"/>
      <c r="L10" s="170">
        <v>42013</v>
      </c>
      <c r="M10" s="116">
        <v>38.076135906558498</v>
      </c>
      <c r="N10" s="116">
        <v>38.576322853911101</v>
      </c>
      <c r="O10" s="116">
        <v>37.6426405521864</v>
      </c>
      <c r="P10" s="116">
        <v>38.300029111564001</v>
      </c>
      <c r="Q10" s="116">
        <v>399.65</v>
      </c>
      <c r="R10">
        <v>5061000</v>
      </c>
    </row>
    <row r="11" spans="1:18" x14ac:dyDescent="0.25">
      <c r="A11" s="170">
        <v>42016</v>
      </c>
      <c r="B11" s="116">
        <v>38.125176181975398</v>
      </c>
      <c r="C11" s="116">
        <v>37.829816826323501</v>
      </c>
      <c r="D11" s="116">
        <v>37.472527283196101</v>
      </c>
      <c r="E11" s="116">
        <v>38.125176181975398</v>
      </c>
      <c r="F11" s="116">
        <v>397.05</v>
      </c>
      <c r="G11">
        <v>415252</v>
      </c>
      <c r="H11" s="116"/>
      <c r="I11" s="116"/>
      <c r="L11" s="170">
        <v>42016</v>
      </c>
      <c r="M11" s="116">
        <v>37.799842164211398</v>
      </c>
      <c r="N11" s="116">
        <v>38.061844850919897</v>
      </c>
      <c r="O11" s="116">
        <v>37.442565773245398</v>
      </c>
      <c r="P11" s="116">
        <v>38.061844850919897</v>
      </c>
      <c r="Q11" s="116">
        <v>396.75</v>
      </c>
      <c r="R11">
        <v>2690982</v>
      </c>
    </row>
    <row r="12" spans="1:18" x14ac:dyDescent="0.25">
      <c r="A12" s="170">
        <v>42017</v>
      </c>
      <c r="B12" s="116">
        <v>37.977496504149499</v>
      </c>
      <c r="C12" s="116">
        <v>37.310556023645098</v>
      </c>
      <c r="D12" s="116">
        <v>37.215278812144398</v>
      </c>
      <c r="E12" s="116">
        <v>37.825052965748398</v>
      </c>
      <c r="F12" s="116">
        <v>391.6</v>
      </c>
      <c r="G12">
        <v>505994</v>
      </c>
      <c r="H12" s="116"/>
      <c r="I12" s="116"/>
      <c r="L12" s="170">
        <v>42017</v>
      </c>
      <c r="M12" s="116">
        <v>37.299655216858902</v>
      </c>
      <c r="N12" s="116">
        <v>37.9999169431524</v>
      </c>
      <c r="O12" s="116">
        <v>37.175799401323999</v>
      </c>
      <c r="P12" s="116">
        <v>37.8236605902758</v>
      </c>
      <c r="Q12" s="116">
        <v>391.5</v>
      </c>
      <c r="R12">
        <v>3002748</v>
      </c>
    </row>
    <row r="13" spans="1:18" x14ac:dyDescent="0.25">
      <c r="A13" s="170">
        <v>42018</v>
      </c>
      <c r="B13" s="116">
        <v>37.281972860194898</v>
      </c>
      <c r="C13" s="116">
        <v>35.895689432860799</v>
      </c>
      <c r="D13" s="116">
        <v>35.743245894459797</v>
      </c>
      <c r="E13" s="116">
        <v>37.272445139044798</v>
      </c>
      <c r="F13" s="116">
        <v>376.75</v>
      </c>
      <c r="G13">
        <v>1106758</v>
      </c>
      <c r="H13" s="116"/>
      <c r="I13" s="116"/>
      <c r="L13" s="170">
        <v>42018</v>
      </c>
      <c r="M13" s="116">
        <v>35.9038954494848</v>
      </c>
      <c r="N13" s="116">
        <v>37.294891531646002</v>
      </c>
      <c r="O13" s="116">
        <v>35.775275948736997</v>
      </c>
      <c r="P13" s="116">
        <v>37.294891531646002</v>
      </c>
      <c r="Q13" s="116">
        <v>376.85</v>
      </c>
      <c r="R13">
        <v>7129562</v>
      </c>
    </row>
    <row r="14" spans="1:18" x14ac:dyDescent="0.25">
      <c r="A14" s="170">
        <v>42019</v>
      </c>
      <c r="B14" s="116">
        <v>37.015196667993102</v>
      </c>
      <c r="C14" s="116">
        <v>36.643615543140697</v>
      </c>
      <c r="D14" s="116">
        <v>35.495525144558201</v>
      </c>
      <c r="E14" s="116">
        <v>36.205340370237799</v>
      </c>
      <c r="F14" s="116">
        <v>384.6</v>
      </c>
      <c r="G14">
        <v>1371679</v>
      </c>
      <c r="H14" s="116"/>
      <c r="I14" s="116"/>
      <c r="L14" s="170">
        <v>42019</v>
      </c>
      <c r="M14" s="116">
        <v>36.656557713120002</v>
      </c>
      <c r="N14" s="116">
        <v>37.032888844937602</v>
      </c>
      <c r="O14" s="116">
        <v>35.4513453542611</v>
      </c>
      <c r="P14" s="116">
        <v>36.0896791727871</v>
      </c>
      <c r="Q14" s="116">
        <v>384.75</v>
      </c>
      <c r="R14">
        <v>7011341</v>
      </c>
    </row>
    <row r="15" spans="1:18" x14ac:dyDescent="0.25">
      <c r="A15" s="170">
        <v>42020</v>
      </c>
      <c r="B15" s="116">
        <v>36.691254148890998</v>
      </c>
      <c r="C15" s="116">
        <v>36.481644283589603</v>
      </c>
      <c r="D15" s="116">
        <v>35.919508735735903</v>
      </c>
      <c r="E15" s="116">
        <v>36.405422514389102</v>
      </c>
      <c r="F15" s="116">
        <v>382.9</v>
      </c>
      <c r="G15">
        <v>751762</v>
      </c>
      <c r="H15" s="116"/>
      <c r="I15" s="116"/>
      <c r="L15" s="170">
        <v>42020</v>
      </c>
      <c r="M15" s="116">
        <v>36.527938212372199</v>
      </c>
      <c r="N15" s="116">
        <v>36.7280129913132</v>
      </c>
      <c r="O15" s="116">
        <v>35.851494912143103</v>
      </c>
      <c r="P15" s="116">
        <v>36.394555026411503</v>
      </c>
      <c r="Q15" s="116">
        <v>383.4</v>
      </c>
      <c r="R15">
        <v>4538517</v>
      </c>
    </row>
    <row r="16" spans="1:18" x14ac:dyDescent="0.25">
      <c r="A16" s="170">
        <v>42023</v>
      </c>
      <c r="B16" s="116">
        <v>36.8818085718923</v>
      </c>
      <c r="C16" s="116">
        <v>36.662670985440798</v>
      </c>
      <c r="D16" s="116">
        <v>36.2720344182883</v>
      </c>
      <c r="E16" s="116">
        <v>36.586449216240297</v>
      </c>
      <c r="F16" s="116">
        <v>384.8</v>
      </c>
      <c r="G16">
        <v>539344</v>
      </c>
      <c r="H16" s="116"/>
      <c r="I16" s="116"/>
      <c r="L16" s="170">
        <v>42023</v>
      </c>
      <c r="M16" s="116">
        <v>36.656557713120002</v>
      </c>
      <c r="N16" s="116">
        <v>36.861396177273903</v>
      </c>
      <c r="O16" s="116">
        <v>36.256408155237999</v>
      </c>
      <c r="P16" s="116">
        <v>36.642266657481301</v>
      </c>
      <c r="Q16" s="116">
        <v>384.75</v>
      </c>
      <c r="R16">
        <v>2789825</v>
      </c>
    </row>
    <row r="17" spans="1:18" x14ac:dyDescent="0.25">
      <c r="A17" s="170">
        <v>42024</v>
      </c>
      <c r="B17" s="116">
        <v>38.439590979927502</v>
      </c>
      <c r="C17" s="116">
        <v>38.310966744401597</v>
      </c>
      <c r="D17" s="116">
        <v>36.777003639241599</v>
      </c>
      <c r="E17" s="116">
        <v>36.843697687292</v>
      </c>
      <c r="F17" s="116">
        <v>402.1</v>
      </c>
      <c r="G17">
        <v>1105460</v>
      </c>
      <c r="H17" s="116"/>
      <c r="I17" s="116"/>
      <c r="L17" s="170">
        <v>42024</v>
      </c>
      <c r="M17" s="116">
        <v>38.300029111564001</v>
      </c>
      <c r="N17" s="116">
        <v>38.452467038376099</v>
      </c>
      <c r="O17" s="116">
        <v>36.737540361739001</v>
      </c>
      <c r="P17" s="116">
        <v>36.737540361739001</v>
      </c>
      <c r="Q17" s="116">
        <v>402</v>
      </c>
      <c r="R17">
        <v>6017882</v>
      </c>
    </row>
    <row r="18" spans="1:18" x14ac:dyDescent="0.25">
      <c r="A18" s="170">
        <v>42025</v>
      </c>
      <c r="B18" s="116">
        <v>38.711131032704301</v>
      </c>
      <c r="C18" s="116">
        <v>37.820289105173401</v>
      </c>
      <c r="D18" s="116">
        <v>37.491582725496301</v>
      </c>
      <c r="E18" s="116">
        <v>38.5872706577535</v>
      </c>
      <c r="F18" s="116">
        <v>396.95</v>
      </c>
      <c r="G18">
        <v>656603</v>
      </c>
      <c r="H18" s="116"/>
      <c r="I18" s="116"/>
      <c r="L18" s="170">
        <v>42025</v>
      </c>
      <c r="M18" s="116">
        <v>37.833187960701601</v>
      </c>
      <c r="N18" s="116">
        <v>38.681123928594403</v>
      </c>
      <c r="O18" s="116">
        <v>37.490202625374202</v>
      </c>
      <c r="P18" s="116">
        <v>38.585850224336802</v>
      </c>
      <c r="Q18" s="116">
        <v>397.1</v>
      </c>
      <c r="R18">
        <v>3897727</v>
      </c>
    </row>
    <row r="19" spans="1:18" x14ac:dyDescent="0.25">
      <c r="A19" s="170">
        <v>42026</v>
      </c>
      <c r="B19" s="116">
        <v>38.491993446252799</v>
      </c>
      <c r="C19" s="116">
        <v>38.391952374177201</v>
      </c>
      <c r="D19" s="116">
        <v>37.710720311947703</v>
      </c>
      <c r="E19" s="116">
        <v>37.920330177249099</v>
      </c>
      <c r="F19" s="116">
        <v>402.95</v>
      </c>
      <c r="G19">
        <v>667132</v>
      </c>
      <c r="H19" s="116"/>
      <c r="I19" s="116"/>
      <c r="L19" s="170">
        <v>42026</v>
      </c>
      <c r="M19" s="116">
        <v>38.433412297524598</v>
      </c>
      <c r="N19" s="116">
        <v>38.5572681130595</v>
      </c>
      <c r="O19" s="116">
        <v>37.7283868860182</v>
      </c>
      <c r="P19" s="116">
        <v>37.9189342945335</v>
      </c>
      <c r="Q19" s="116">
        <v>403.4</v>
      </c>
      <c r="R19">
        <v>4527709</v>
      </c>
    </row>
    <row r="20" spans="1:18" x14ac:dyDescent="0.25">
      <c r="A20" s="170">
        <v>42027</v>
      </c>
      <c r="B20" s="116">
        <v>39.1970448113575</v>
      </c>
      <c r="C20" s="116">
        <v>38.363369210727001</v>
      </c>
      <c r="D20" s="116">
        <v>38.058482133924997</v>
      </c>
      <c r="E20" s="116">
        <v>38.8873938739804</v>
      </c>
      <c r="F20" s="116">
        <v>402.65</v>
      </c>
      <c r="G20">
        <v>745697</v>
      </c>
      <c r="H20" s="116"/>
      <c r="I20" s="116"/>
      <c r="L20" s="170">
        <v>42027</v>
      </c>
      <c r="M20" s="116">
        <v>38.404830186247302</v>
      </c>
      <c r="N20" s="116">
        <v>39.252766154140197</v>
      </c>
      <c r="O20" s="116">
        <v>38.0142079987911</v>
      </c>
      <c r="P20" s="116">
        <v>39.062218745624897</v>
      </c>
      <c r="Q20" s="116">
        <v>403.1</v>
      </c>
      <c r="R20">
        <v>4526581</v>
      </c>
    </row>
    <row r="21" spans="1:18" x14ac:dyDescent="0.25">
      <c r="A21" s="170">
        <v>42031</v>
      </c>
      <c r="B21" s="116">
        <v>38.491993446252799</v>
      </c>
      <c r="C21" s="116">
        <v>37.925094037824103</v>
      </c>
      <c r="D21" s="116">
        <v>37.691664869647603</v>
      </c>
      <c r="E21" s="116">
        <v>38.472938003952699</v>
      </c>
      <c r="F21" s="116">
        <v>398.05</v>
      </c>
      <c r="G21">
        <v>2051801</v>
      </c>
      <c r="H21" s="116"/>
      <c r="I21" s="116"/>
      <c r="L21" s="170">
        <v>42031</v>
      </c>
      <c r="M21" s="116">
        <v>37.957043776236503</v>
      </c>
      <c r="N21" s="116">
        <v>38.490576520079202</v>
      </c>
      <c r="O21" s="116">
        <v>37.680750033889403</v>
      </c>
      <c r="P21" s="116">
        <v>38.3762480749701</v>
      </c>
      <c r="Q21" s="116">
        <v>398.4</v>
      </c>
      <c r="R21">
        <v>3972311</v>
      </c>
    </row>
    <row r="22" spans="1:18" x14ac:dyDescent="0.25">
      <c r="A22" s="170">
        <v>42032</v>
      </c>
      <c r="B22" s="116">
        <v>37.920330177249099</v>
      </c>
      <c r="C22" s="116">
        <v>37.243861975594598</v>
      </c>
      <c r="D22" s="116">
        <v>37.053307552593402</v>
      </c>
      <c r="E22" s="116">
        <v>37.834580686898498</v>
      </c>
      <c r="F22" s="116">
        <v>390.9</v>
      </c>
      <c r="G22">
        <v>661030</v>
      </c>
      <c r="H22" s="116"/>
      <c r="I22" s="116"/>
      <c r="L22" s="170">
        <v>42032</v>
      </c>
      <c r="M22" s="116">
        <v>37.2663094203687</v>
      </c>
      <c r="N22" s="116">
        <v>37.8236605902758</v>
      </c>
      <c r="O22" s="116">
        <v>37.051943585789097</v>
      </c>
      <c r="P22" s="116">
        <v>37.8236605902758</v>
      </c>
      <c r="Q22" s="116">
        <v>391.15</v>
      </c>
      <c r="R22">
        <v>3995448</v>
      </c>
    </row>
    <row r="23" spans="1:18" x14ac:dyDescent="0.25">
      <c r="A23" s="170">
        <v>42033</v>
      </c>
      <c r="B23" s="116">
        <v>37.348666908245299</v>
      </c>
      <c r="C23" s="116">
        <v>37.1247654612189</v>
      </c>
      <c r="D23" s="116">
        <v>36.557866052790096</v>
      </c>
      <c r="E23" s="116">
        <v>37.348666908245299</v>
      </c>
      <c r="F23" s="116">
        <v>389.65</v>
      </c>
      <c r="G23">
        <v>563629</v>
      </c>
      <c r="H23" s="116"/>
      <c r="I23" s="116"/>
      <c r="L23" s="170">
        <v>42033</v>
      </c>
      <c r="M23" s="116">
        <v>37.194854142175501</v>
      </c>
      <c r="N23" s="116">
        <v>37.385401550690801</v>
      </c>
      <c r="O23" s="116">
        <v>36.556520323649501</v>
      </c>
      <c r="P23" s="116">
        <v>37.1853267717498</v>
      </c>
      <c r="Q23" s="116">
        <v>390.4</v>
      </c>
      <c r="R23">
        <v>5162946</v>
      </c>
    </row>
    <row r="24" spans="1:18" x14ac:dyDescent="0.25">
      <c r="A24" s="170">
        <v>42034</v>
      </c>
      <c r="B24" s="116">
        <v>37.634498542747203</v>
      </c>
      <c r="C24" s="116">
        <v>37.2009872304194</v>
      </c>
      <c r="D24" s="116">
        <v>36.8627531295921</v>
      </c>
      <c r="E24" s="116">
        <v>37.348666908245299</v>
      </c>
      <c r="F24" s="116">
        <v>390.45</v>
      </c>
      <c r="G24">
        <v>576135</v>
      </c>
      <c r="H24" s="116"/>
      <c r="I24" s="116"/>
      <c r="L24" s="170">
        <v>42034</v>
      </c>
      <c r="M24" s="116">
        <v>37.199617827388401</v>
      </c>
      <c r="N24" s="116">
        <v>37.633113181760599</v>
      </c>
      <c r="O24" s="116">
        <v>36.8232866955708</v>
      </c>
      <c r="P24" s="116">
        <v>37.394928921116502</v>
      </c>
      <c r="Q24" s="116">
        <v>390.45</v>
      </c>
      <c r="R24">
        <v>3600813</v>
      </c>
    </row>
    <row r="25" spans="1:18" x14ac:dyDescent="0.25">
      <c r="A25" s="170">
        <v>42037</v>
      </c>
      <c r="B25" s="116">
        <v>37.615443100447102</v>
      </c>
      <c r="C25" s="116">
        <v>36.5816853556653</v>
      </c>
      <c r="D25" s="116">
        <v>36.443533398989402</v>
      </c>
      <c r="E25" s="116">
        <v>37.253389696744698</v>
      </c>
      <c r="F25" s="116">
        <v>383.95</v>
      </c>
      <c r="G25">
        <v>695377</v>
      </c>
      <c r="H25" s="116"/>
      <c r="I25" s="116"/>
      <c r="L25" s="170">
        <v>42037</v>
      </c>
      <c r="M25" s="116">
        <v>36.570811379288102</v>
      </c>
      <c r="N25" s="116">
        <v>37.614058440909098</v>
      </c>
      <c r="O25" s="116">
        <v>36.413609767262997</v>
      </c>
      <c r="P25" s="116">
        <v>37.147217290046697</v>
      </c>
      <c r="Q25" s="116">
        <v>383.85</v>
      </c>
      <c r="R25">
        <v>3179020</v>
      </c>
    </row>
    <row r="26" spans="1:18" x14ac:dyDescent="0.25">
      <c r="A26" s="170">
        <v>42038</v>
      </c>
      <c r="B26" s="116">
        <v>36.910391735342401</v>
      </c>
      <c r="C26" s="116">
        <v>36.295853721163397</v>
      </c>
      <c r="D26" s="116">
        <v>36.081479995286998</v>
      </c>
      <c r="E26" s="116">
        <v>36.729365033491298</v>
      </c>
      <c r="F26" s="116">
        <v>380.95</v>
      </c>
      <c r="G26">
        <v>896386</v>
      </c>
      <c r="H26" s="116"/>
      <c r="I26" s="116"/>
      <c r="L26" s="170">
        <v>42038</v>
      </c>
      <c r="M26" s="116">
        <v>36.308808692579703</v>
      </c>
      <c r="N26" s="116">
        <v>36.9137967146156</v>
      </c>
      <c r="O26" s="116">
        <v>36.022987579806802</v>
      </c>
      <c r="P26" s="116">
        <v>36.870923547699597</v>
      </c>
      <c r="Q26" s="116">
        <v>381.1</v>
      </c>
      <c r="R26">
        <v>3443635</v>
      </c>
    </row>
    <row r="27" spans="1:18" x14ac:dyDescent="0.25">
      <c r="A27" s="170">
        <v>42039</v>
      </c>
      <c r="B27" s="116">
        <v>37.467763422621097</v>
      </c>
      <c r="C27" s="116">
        <v>37.039015970868299</v>
      </c>
      <c r="D27" s="116">
        <v>36.453061120139402</v>
      </c>
      <c r="E27" s="116">
        <v>36.548338331640103</v>
      </c>
      <c r="F27" s="116">
        <v>388.75</v>
      </c>
      <c r="G27">
        <v>658916</v>
      </c>
      <c r="H27" s="116"/>
      <c r="I27" s="116"/>
      <c r="L27" s="170">
        <v>42039</v>
      </c>
      <c r="M27" s="116">
        <v>37.080525697066399</v>
      </c>
      <c r="N27" s="116">
        <v>37.480675254948402</v>
      </c>
      <c r="O27" s="116">
        <v>36.489828730669103</v>
      </c>
      <c r="P27" s="116">
        <v>36.575575064501002</v>
      </c>
      <c r="Q27" s="116">
        <v>389.2</v>
      </c>
      <c r="R27">
        <v>4420502</v>
      </c>
    </row>
    <row r="28" spans="1:18" x14ac:dyDescent="0.25">
      <c r="A28" s="170">
        <v>42040</v>
      </c>
      <c r="B28" s="116">
        <v>37.4058332351457</v>
      </c>
      <c r="C28" s="116">
        <v>36.152937903912502</v>
      </c>
      <c r="D28" s="116">
        <v>35.967147341486204</v>
      </c>
      <c r="E28" s="116">
        <v>37.262917417894798</v>
      </c>
      <c r="F28" s="116">
        <v>379.45</v>
      </c>
      <c r="G28">
        <v>588975</v>
      </c>
      <c r="H28" s="116"/>
      <c r="I28" s="116"/>
      <c r="L28" s="170">
        <v>42040</v>
      </c>
      <c r="M28" s="116">
        <v>36.132552339703103</v>
      </c>
      <c r="N28" s="116">
        <v>37.423511032393797</v>
      </c>
      <c r="O28" s="116">
        <v>36.018223894593902</v>
      </c>
      <c r="P28" s="116">
        <v>37.318709957710396</v>
      </c>
      <c r="Q28" s="116">
        <v>379.25</v>
      </c>
      <c r="R28">
        <v>3102143</v>
      </c>
    </row>
    <row r="29" spans="1:18" x14ac:dyDescent="0.25">
      <c r="A29" s="170">
        <v>42041</v>
      </c>
      <c r="B29" s="116">
        <v>36.3006175817384</v>
      </c>
      <c r="C29" s="116">
        <v>35.185874207181101</v>
      </c>
      <c r="D29" s="116">
        <v>35.019139087055002</v>
      </c>
      <c r="E29" s="116">
        <v>36.110063158737198</v>
      </c>
      <c r="F29" s="116">
        <v>369.3</v>
      </c>
      <c r="G29">
        <v>906793</v>
      </c>
      <c r="H29" s="116"/>
      <c r="I29" s="116"/>
      <c r="L29" s="170">
        <v>42041</v>
      </c>
      <c r="M29" s="116">
        <v>35.122651074572303</v>
      </c>
      <c r="N29" s="116">
        <v>36.2706992108766</v>
      </c>
      <c r="O29" s="116">
        <v>34.965449462547198</v>
      </c>
      <c r="P29" s="116">
        <v>36.204007617896302</v>
      </c>
      <c r="Q29" s="116">
        <v>368.65</v>
      </c>
      <c r="R29">
        <v>4519435</v>
      </c>
    </row>
    <row r="30" spans="1:18" x14ac:dyDescent="0.25">
      <c r="A30" s="170">
        <v>42044</v>
      </c>
      <c r="B30" s="116">
        <v>34.428420375751102</v>
      </c>
      <c r="C30" s="116">
        <v>33.146941881067697</v>
      </c>
      <c r="D30" s="116">
        <v>33.013553784966803</v>
      </c>
      <c r="E30" s="116">
        <v>34.109241717224002</v>
      </c>
      <c r="F30" s="116">
        <v>347.9</v>
      </c>
      <c r="G30">
        <v>1249371</v>
      </c>
      <c r="H30" s="116"/>
      <c r="I30" s="116"/>
      <c r="L30" s="170">
        <v>42044</v>
      </c>
      <c r="M30" s="116">
        <v>33.102848544310703</v>
      </c>
      <c r="N30" s="116">
        <v>34.4414440891303</v>
      </c>
      <c r="O30" s="116">
        <v>32.983756413988701</v>
      </c>
      <c r="P30" s="116">
        <v>34.012712419971002</v>
      </c>
      <c r="Q30" s="116">
        <v>347.45</v>
      </c>
      <c r="R30">
        <v>7535773</v>
      </c>
    </row>
    <row r="31" spans="1:18" x14ac:dyDescent="0.25">
      <c r="A31" s="170">
        <v>42045</v>
      </c>
      <c r="B31" s="116">
        <v>34.299796140225297</v>
      </c>
      <c r="C31" s="116">
        <v>34.075894693198798</v>
      </c>
      <c r="D31" s="116">
        <v>32.880165688866001</v>
      </c>
      <c r="E31" s="116">
        <v>33.032609227267002</v>
      </c>
      <c r="F31" s="116">
        <v>357.65</v>
      </c>
      <c r="G31">
        <v>971818</v>
      </c>
      <c r="H31" s="116"/>
      <c r="I31" s="116"/>
      <c r="L31" s="170">
        <v>42045</v>
      </c>
      <c r="M31" s="116">
        <v>34.084167698164201</v>
      </c>
      <c r="N31" s="116">
        <v>34.298533532743797</v>
      </c>
      <c r="O31" s="116">
        <v>32.869427968879499</v>
      </c>
      <c r="P31" s="116">
        <v>32.869427968879499</v>
      </c>
      <c r="Q31" s="116">
        <v>357.75</v>
      </c>
      <c r="R31">
        <v>5281226</v>
      </c>
    </row>
    <row r="32" spans="1:18" x14ac:dyDescent="0.25">
      <c r="A32" s="170">
        <v>42046</v>
      </c>
      <c r="B32" s="116">
        <v>35.1287078802807</v>
      </c>
      <c r="C32" s="116">
        <v>34.785709918878503</v>
      </c>
      <c r="D32" s="116">
        <v>33.632855659720903</v>
      </c>
      <c r="E32" s="116">
        <v>34.252157534475003</v>
      </c>
      <c r="F32" s="116">
        <v>365.1</v>
      </c>
      <c r="G32">
        <v>883954</v>
      </c>
      <c r="H32" s="116"/>
      <c r="I32" s="116"/>
      <c r="L32" s="170">
        <v>42046</v>
      </c>
      <c r="M32" s="116">
        <v>34.774902054031898</v>
      </c>
      <c r="N32" s="116">
        <v>35.127414759785097</v>
      </c>
      <c r="O32" s="116">
        <v>33.631617602940501</v>
      </c>
      <c r="P32" s="116">
        <v>34.298533532743797</v>
      </c>
      <c r="Q32" s="116">
        <v>365</v>
      </c>
      <c r="R32">
        <v>3956657</v>
      </c>
    </row>
    <row r="33" spans="1:18" x14ac:dyDescent="0.25">
      <c r="A33" s="170">
        <v>42047</v>
      </c>
      <c r="B33" s="116">
        <v>35.000083644754902</v>
      </c>
      <c r="C33" s="116">
        <v>34.785709918878503</v>
      </c>
      <c r="D33" s="116">
        <v>33.942506597097903</v>
      </c>
      <c r="E33" s="116">
        <v>34.871459409228997</v>
      </c>
      <c r="F33" s="116">
        <v>365.1</v>
      </c>
      <c r="G33">
        <v>700562</v>
      </c>
      <c r="H33" s="116"/>
      <c r="I33" s="116"/>
      <c r="L33" s="170">
        <v>42047</v>
      </c>
      <c r="M33" s="116">
        <v>34.8034841653092</v>
      </c>
      <c r="N33" s="116">
        <v>35.003558944250202</v>
      </c>
      <c r="O33" s="116">
        <v>33.917438715713402</v>
      </c>
      <c r="P33" s="116">
        <v>34.8892304991411</v>
      </c>
      <c r="Q33" s="116">
        <v>365.3</v>
      </c>
      <c r="R33">
        <v>3415692</v>
      </c>
    </row>
    <row r="34" spans="1:18" x14ac:dyDescent="0.25">
      <c r="A34" s="170">
        <v>42048</v>
      </c>
      <c r="B34" s="116">
        <v>35.424067235932696</v>
      </c>
      <c r="C34" s="116">
        <v>34.923861875554401</v>
      </c>
      <c r="D34" s="116">
        <v>34.800001500603599</v>
      </c>
      <c r="E34" s="116">
        <v>34.890514851529197</v>
      </c>
      <c r="F34" s="116">
        <v>366.55</v>
      </c>
      <c r="G34">
        <v>484389</v>
      </c>
      <c r="H34" s="116"/>
      <c r="I34" s="116"/>
      <c r="L34" s="170">
        <v>42048</v>
      </c>
      <c r="M34" s="116">
        <v>34.922576295631302</v>
      </c>
      <c r="N34" s="116">
        <v>35.422763242983798</v>
      </c>
      <c r="O34" s="116">
        <v>34.798720480096399</v>
      </c>
      <c r="P34" s="116">
        <v>35.127414759785097</v>
      </c>
      <c r="Q34" s="116">
        <v>366.55</v>
      </c>
      <c r="R34">
        <v>3736466</v>
      </c>
    </row>
    <row r="35" spans="1:18" x14ac:dyDescent="0.25">
      <c r="A35" s="170">
        <v>42051</v>
      </c>
      <c r="B35" s="116">
        <v>35.657496404109203</v>
      </c>
      <c r="C35" s="116">
        <v>35.247804394656498</v>
      </c>
      <c r="D35" s="116">
        <v>35.1096524379806</v>
      </c>
      <c r="E35" s="116">
        <v>35.238276673506498</v>
      </c>
      <c r="F35" s="116">
        <v>369.95</v>
      </c>
      <c r="G35">
        <v>427655</v>
      </c>
      <c r="H35" s="116"/>
      <c r="I35" s="116"/>
      <c r="L35" s="170">
        <v>42051</v>
      </c>
      <c r="M35" s="116">
        <v>35.232215834468498</v>
      </c>
      <c r="N35" s="116">
        <v>35.675238559266496</v>
      </c>
      <c r="O35" s="116">
        <v>35.094068963295001</v>
      </c>
      <c r="P35" s="116">
        <v>35.132178444997997</v>
      </c>
      <c r="Q35" s="116">
        <v>369.8</v>
      </c>
      <c r="R35">
        <v>2991370</v>
      </c>
    </row>
    <row r="36" spans="1:18" x14ac:dyDescent="0.25">
      <c r="A36" s="170">
        <v>42053</v>
      </c>
      <c r="B36" s="116">
        <v>35.443122678232797</v>
      </c>
      <c r="C36" s="116">
        <v>34.985792063029798</v>
      </c>
      <c r="D36" s="116">
        <v>34.738071313128202</v>
      </c>
      <c r="E36" s="116">
        <v>35.347845466732203</v>
      </c>
      <c r="F36" s="116">
        <v>367.2</v>
      </c>
      <c r="G36">
        <v>448771</v>
      </c>
      <c r="H36" s="116"/>
      <c r="I36" s="116"/>
      <c r="L36" s="170">
        <v>42053</v>
      </c>
      <c r="M36" s="116">
        <v>35.013086314676002</v>
      </c>
      <c r="N36" s="116">
        <v>35.4370542986224</v>
      </c>
      <c r="O36" s="116">
        <v>34.746319942754702</v>
      </c>
      <c r="P36" s="116">
        <v>35.4370542986224</v>
      </c>
      <c r="Q36" s="116">
        <v>367.5</v>
      </c>
      <c r="R36">
        <v>3232668</v>
      </c>
    </row>
    <row r="37" spans="1:18" x14ac:dyDescent="0.25">
      <c r="A37" s="170">
        <v>42054</v>
      </c>
      <c r="B37" s="116">
        <v>36.214868091387899</v>
      </c>
      <c r="C37" s="116">
        <v>35.786120639635101</v>
      </c>
      <c r="D37" s="116">
        <v>35.014375226479999</v>
      </c>
      <c r="E37" s="116">
        <v>35.233512812931401</v>
      </c>
      <c r="F37" s="116">
        <v>375.6</v>
      </c>
      <c r="G37">
        <v>985363</v>
      </c>
      <c r="H37" s="116"/>
      <c r="I37" s="116"/>
      <c r="L37" s="170">
        <v>42054</v>
      </c>
      <c r="M37" s="116">
        <v>35.751457522672602</v>
      </c>
      <c r="N37" s="116">
        <v>36.1849528770448</v>
      </c>
      <c r="O37" s="116">
        <v>35.060723166804799</v>
      </c>
      <c r="P37" s="116">
        <v>35.060723166804799</v>
      </c>
      <c r="Q37" s="116">
        <v>375.25</v>
      </c>
      <c r="R37">
        <v>7752626</v>
      </c>
    </row>
    <row r="38" spans="1:18" x14ac:dyDescent="0.25">
      <c r="A38" s="170">
        <v>42055</v>
      </c>
      <c r="B38" s="116">
        <v>36.362547769213798</v>
      </c>
      <c r="C38" s="116">
        <v>35.7003711492845</v>
      </c>
      <c r="D38" s="116">
        <v>35.547927610883498</v>
      </c>
      <c r="E38" s="116">
        <v>35.924272596310999</v>
      </c>
      <c r="F38" s="116">
        <v>374.7</v>
      </c>
      <c r="G38">
        <v>600147</v>
      </c>
      <c r="H38" s="116"/>
      <c r="I38" s="116"/>
      <c r="L38" s="170">
        <v>42055</v>
      </c>
      <c r="M38" s="116">
        <v>35.699056985330898</v>
      </c>
      <c r="N38" s="116">
        <v>36.380263970772901</v>
      </c>
      <c r="O38" s="116">
        <v>35.5370916880929</v>
      </c>
      <c r="P38" s="116">
        <v>36.013460209381002</v>
      </c>
      <c r="Q38" s="116">
        <v>374.7</v>
      </c>
      <c r="R38">
        <v>3442401</v>
      </c>
    </row>
    <row r="39" spans="1:18" x14ac:dyDescent="0.25">
      <c r="A39" s="170">
        <v>42058</v>
      </c>
      <c r="B39" s="116">
        <v>36.014785947236597</v>
      </c>
      <c r="C39" s="116">
        <v>34.971500481304702</v>
      </c>
      <c r="D39" s="116">
        <v>34.795237640028503</v>
      </c>
      <c r="E39" s="116">
        <v>35.871870129985602</v>
      </c>
      <c r="F39" s="116">
        <v>367.05</v>
      </c>
      <c r="G39">
        <v>421042</v>
      </c>
      <c r="H39" s="116"/>
      <c r="I39" s="116"/>
      <c r="L39" s="170">
        <v>42058</v>
      </c>
      <c r="M39" s="116">
        <v>34.998795259037401</v>
      </c>
      <c r="N39" s="116">
        <v>35.908659134697601</v>
      </c>
      <c r="O39" s="116">
        <v>34.774902054031898</v>
      </c>
      <c r="P39" s="116">
        <v>35.870549652994598</v>
      </c>
      <c r="Q39" s="116">
        <v>367.35</v>
      </c>
      <c r="R39">
        <v>3085181</v>
      </c>
    </row>
    <row r="40" spans="1:18" x14ac:dyDescent="0.25">
      <c r="A40" s="170">
        <v>42059</v>
      </c>
      <c r="B40" s="116">
        <v>35.243040534081501</v>
      </c>
      <c r="C40" s="116">
        <v>34.242629813324903</v>
      </c>
      <c r="D40" s="116">
        <v>34.071130832623801</v>
      </c>
      <c r="E40" s="116">
        <v>35.019139087055002</v>
      </c>
      <c r="F40" s="116">
        <v>359.4</v>
      </c>
      <c r="G40">
        <v>523956</v>
      </c>
      <c r="H40" s="116"/>
      <c r="I40" s="116"/>
      <c r="L40" s="170">
        <v>42059</v>
      </c>
      <c r="M40" s="116">
        <v>34.212787198911997</v>
      </c>
      <c r="N40" s="116">
        <v>35.251270575320099</v>
      </c>
      <c r="O40" s="116">
        <v>34.031767160822497</v>
      </c>
      <c r="P40" s="116">
        <v>35.070250537230599</v>
      </c>
      <c r="Q40" s="116">
        <v>359.1</v>
      </c>
      <c r="R40">
        <v>3288127</v>
      </c>
    </row>
    <row r="41" spans="1:18" x14ac:dyDescent="0.25">
      <c r="A41" s="170">
        <v>42060</v>
      </c>
      <c r="B41" s="116">
        <v>34.757126755428303</v>
      </c>
      <c r="C41" s="116">
        <v>33.456592818444797</v>
      </c>
      <c r="D41" s="116">
        <v>33.347024025219</v>
      </c>
      <c r="E41" s="116">
        <v>34.442711957476199</v>
      </c>
      <c r="F41" s="116">
        <v>351.15</v>
      </c>
      <c r="G41">
        <v>767660</v>
      </c>
      <c r="H41" s="116"/>
      <c r="I41" s="116"/>
      <c r="L41" s="170">
        <v>42060</v>
      </c>
      <c r="M41" s="116">
        <v>33.4315428239995</v>
      </c>
      <c r="N41" s="116">
        <v>34.755847313180404</v>
      </c>
      <c r="O41" s="116">
        <v>33.355323860593401</v>
      </c>
      <c r="P41" s="116">
        <v>34.565299904665203</v>
      </c>
      <c r="Q41" s="116">
        <v>350.9</v>
      </c>
      <c r="R41">
        <v>3932349</v>
      </c>
    </row>
    <row r="42" spans="1:18" x14ac:dyDescent="0.25">
      <c r="A42" s="170">
        <v>42061</v>
      </c>
      <c r="B42" s="116">
        <v>33.813882361572098</v>
      </c>
      <c r="C42" s="116">
        <v>32.913512712891198</v>
      </c>
      <c r="D42" s="116">
        <v>32.865874107140897</v>
      </c>
      <c r="E42" s="116">
        <v>33.547106169370402</v>
      </c>
      <c r="F42" s="116">
        <v>345.45</v>
      </c>
      <c r="G42">
        <v>869395</v>
      </c>
      <c r="H42" s="116"/>
      <c r="I42" s="116"/>
      <c r="L42" s="170">
        <v>42061</v>
      </c>
      <c r="M42" s="116">
        <v>32.888482709731001</v>
      </c>
      <c r="N42" s="116">
        <v>33.812637641030001</v>
      </c>
      <c r="O42" s="116">
        <v>32.797972690686301</v>
      </c>
      <c r="P42" s="116">
        <v>33.564926009960097</v>
      </c>
      <c r="Q42" s="116">
        <v>345.2</v>
      </c>
      <c r="R42">
        <v>8064365</v>
      </c>
    </row>
    <row r="43" spans="1:18" x14ac:dyDescent="0.25">
      <c r="A43" s="170">
        <v>42062</v>
      </c>
      <c r="B43" s="116">
        <v>33.785299198121898</v>
      </c>
      <c r="C43" s="116">
        <v>33.447065097294697</v>
      </c>
      <c r="D43" s="116">
        <v>32.975442900366602</v>
      </c>
      <c r="E43" s="116">
        <v>33.156469602217797</v>
      </c>
      <c r="F43" s="116">
        <v>351.05</v>
      </c>
      <c r="G43">
        <v>786129</v>
      </c>
      <c r="H43" s="116"/>
      <c r="I43" s="116"/>
      <c r="L43" s="170">
        <v>42062</v>
      </c>
      <c r="M43" s="116">
        <v>33.407724397935098</v>
      </c>
      <c r="N43" s="116">
        <v>33.7935829001784</v>
      </c>
      <c r="O43" s="116">
        <v>32.945646932285598</v>
      </c>
      <c r="P43" s="116">
        <v>33.102848544310703</v>
      </c>
      <c r="Q43" s="116">
        <v>350.65</v>
      </c>
      <c r="R43">
        <v>5014678</v>
      </c>
    </row>
    <row r="44" spans="1:18" x14ac:dyDescent="0.25">
      <c r="A44" s="170">
        <v>42063</v>
      </c>
      <c r="B44" s="116">
        <v>34.680904986227802</v>
      </c>
      <c r="C44" s="116">
        <v>33.885340270197602</v>
      </c>
      <c r="D44" s="116">
        <v>33.051664669567103</v>
      </c>
      <c r="E44" s="116">
        <v>33.823410082722198</v>
      </c>
      <c r="F44" s="116">
        <v>355.65</v>
      </c>
      <c r="G44">
        <v>1708035</v>
      </c>
      <c r="H44" s="116"/>
      <c r="I44" s="116"/>
      <c r="L44" s="170">
        <v>42063</v>
      </c>
      <c r="M44" s="116">
        <v>33.845983437520097</v>
      </c>
      <c r="N44" s="116">
        <v>34.732028887116002</v>
      </c>
      <c r="O44" s="116">
        <v>33.012338525265903</v>
      </c>
      <c r="P44" s="116">
        <v>33.931729771352003</v>
      </c>
      <c r="Q44" s="116">
        <v>355.25</v>
      </c>
      <c r="R44">
        <v>7496515</v>
      </c>
    </row>
    <row r="45" spans="1:18" x14ac:dyDescent="0.25">
      <c r="A45" s="170">
        <v>42065</v>
      </c>
      <c r="B45" s="116">
        <v>34.2283382315998</v>
      </c>
      <c r="C45" s="116">
        <v>33.613800217420803</v>
      </c>
      <c r="D45" s="116">
        <v>33.256510674293402</v>
      </c>
      <c r="E45" s="116">
        <v>34.161644183549399</v>
      </c>
      <c r="F45" s="116">
        <v>352.8</v>
      </c>
      <c r="G45">
        <v>717997</v>
      </c>
      <c r="H45" s="116"/>
      <c r="I45" s="116"/>
      <c r="L45" s="170">
        <v>42065</v>
      </c>
      <c r="M45" s="116">
        <v>33.588744436024598</v>
      </c>
      <c r="N45" s="116">
        <v>34.222314569337698</v>
      </c>
      <c r="O45" s="116">
        <v>33.25052278591</v>
      </c>
      <c r="P45" s="116">
        <v>34.050821901673999</v>
      </c>
      <c r="Q45" s="116">
        <v>352.55</v>
      </c>
      <c r="R45">
        <v>4380314</v>
      </c>
    </row>
    <row r="46" spans="1:18" x14ac:dyDescent="0.25">
      <c r="A46" s="170">
        <v>42066</v>
      </c>
      <c r="B46" s="116">
        <v>34.109241717224002</v>
      </c>
      <c r="C46" s="116">
        <v>33.680494265471197</v>
      </c>
      <c r="D46" s="116">
        <v>33.318440861768799</v>
      </c>
      <c r="E46" s="116">
        <v>33.680494265471197</v>
      </c>
      <c r="F46" s="116">
        <v>353.5</v>
      </c>
      <c r="G46">
        <v>947865</v>
      </c>
      <c r="H46" s="116"/>
      <c r="I46" s="116"/>
      <c r="L46" s="170">
        <v>42066</v>
      </c>
      <c r="M46" s="116">
        <v>33.645908658579103</v>
      </c>
      <c r="N46" s="116">
        <v>34.093695068590002</v>
      </c>
      <c r="O46" s="116">
        <v>33.298159638038797</v>
      </c>
      <c r="P46" s="116">
        <v>33.631617602940501</v>
      </c>
      <c r="Q46" s="116">
        <v>353.15</v>
      </c>
      <c r="R46">
        <v>5121104</v>
      </c>
    </row>
    <row r="47" spans="1:18" x14ac:dyDescent="0.25">
      <c r="A47" s="170">
        <v>42067</v>
      </c>
      <c r="B47" s="116">
        <v>34.013964505723401</v>
      </c>
      <c r="C47" s="116">
        <v>33.1421780204927</v>
      </c>
      <c r="D47" s="116">
        <v>32.965915179216502</v>
      </c>
      <c r="E47" s="116">
        <v>33.918687294222799</v>
      </c>
      <c r="F47" s="116">
        <v>347.85</v>
      </c>
      <c r="G47">
        <v>903641</v>
      </c>
      <c r="H47" s="116"/>
      <c r="I47" s="116"/>
      <c r="L47" s="170">
        <v>42067</v>
      </c>
      <c r="M47" s="116">
        <v>33.169540137291001</v>
      </c>
      <c r="N47" s="116">
        <v>34.027003475609597</v>
      </c>
      <c r="O47" s="116">
        <v>32.926592191434104</v>
      </c>
      <c r="P47" s="116">
        <v>33.917438715713402</v>
      </c>
      <c r="Q47" s="116">
        <v>348.15</v>
      </c>
      <c r="R47">
        <v>4673329</v>
      </c>
    </row>
    <row r="48" spans="1:18" x14ac:dyDescent="0.25">
      <c r="A48" s="170">
        <v>42068</v>
      </c>
      <c r="B48" s="116">
        <v>33.299385419468699</v>
      </c>
      <c r="C48" s="116">
        <v>32.718194429314899</v>
      </c>
      <c r="D48" s="116">
        <v>32.508584564013503</v>
      </c>
      <c r="E48" s="116">
        <v>33.156469602217797</v>
      </c>
      <c r="F48" s="116">
        <v>343.4</v>
      </c>
      <c r="G48">
        <v>1139329</v>
      </c>
      <c r="H48" s="116"/>
      <c r="I48" s="116"/>
      <c r="L48" s="170">
        <v>42068</v>
      </c>
      <c r="M48" s="116">
        <v>32.7026989864287</v>
      </c>
      <c r="N48" s="116">
        <v>33.269577526761502</v>
      </c>
      <c r="O48" s="116">
        <v>32.5121515779134</v>
      </c>
      <c r="P48" s="116">
        <v>33.202885933781197</v>
      </c>
      <c r="Q48" s="116">
        <v>343.25</v>
      </c>
      <c r="R48">
        <v>4770135</v>
      </c>
    </row>
    <row r="49" spans="1:18" x14ac:dyDescent="0.25">
      <c r="A49" s="170">
        <v>42072</v>
      </c>
      <c r="B49" s="116">
        <v>32.689611265864698</v>
      </c>
      <c r="C49" s="116">
        <v>32.051253948810498</v>
      </c>
      <c r="D49" s="116">
        <v>31.9178658527096</v>
      </c>
      <c r="E49" s="116">
        <v>32.603861775514197</v>
      </c>
      <c r="F49" s="116">
        <v>336.4</v>
      </c>
      <c r="G49">
        <v>744378</v>
      </c>
      <c r="H49" s="116"/>
      <c r="I49" s="116"/>
      <c r="L49" s="170">
        <v>42072</v>
      </c>
      <c r="M49" s="116">
        <v>32.040546741838199</v>
      </c>
      <c r="N49" s="116">
        <v>32.745572153344597</v>
      </c>
      <c r="O49" s="116">
        <v>31.9166909263033</v>
      </c>
      <c r="P49" s="116">
        <v>32.7026989864287</v>
      </c>
      <c r="Q49" s="116">
        <v>336.3</v>
      </c>
      <c r="R49">
        <v>4368765</v>
      </c>
    </row>
    <row r="50" spans="1:18" x14ac:dyDescent="0.25">
      <c r="A50" s="170">
        <v>42073</v>
      </c>
      <c r="B50" s="116">
        <v>32.318030141012301</v>
      </c>
      <c r="C50" s="116">
        <v>31.6415619393578</v>
      </c>
      <c r="D50" s="116">
        <v>31.512937703832002</v>
      </c>
      <c r="E50" s="116">
        <v>32.222752929511699</v>
      </c>
      <c r="F50" s="116">
        <v>332.1</v>
      </c>
      <c r="G50">
        <v>815997</v>
      </c>
      <c r="H50" s="116"/>
      <c r="I50" s="116"/>
      <c r="L50" s="170">
        <v>42073</v>
      </c>
      <c r="M50" s="116">
        <v>31.5927603318274</v>
      </c>
      <c r="N50" s="116">
        <v>32.297785743333797</v>
      </c>
      <c r="O50" s="116">
        <v>31.445086090228099</v>
      </c>
      <c r="P50" s="116">
        <v>32.216803094714798</v>
      </c>
      <c r="Q50" s="116">
        <v>331.6</v>
      </c>
      <c r="R50">
        <v>4091848</v>
      </c>
    </row>
    <row r="51" spans="1:18" x14ac:dyDescent="0.25">
      <c r="A51" s="170">
        <v>42074</v>
      </c>
      <c r="B51" s="116">
        <v>31.9559767373099</v>
      </c>
      <c r="C51" s="116">
        <v>31.0460793674789</v>
      </c>
      <c r="D51" s="116">
        <v>30.941274434828198</v>
      </c>
      <c r="E51" s="116">
        <v>31.774950035458701</v>
      </c>
      <c r="F51" s="116">
        <v>325.85000000000002</v>
      </c>
      <c r="G51">
        <v>996256</v>
      </c>
      <c r="H51" s="116"/>
      <c r="I51" s="116"/>
      <c r="L51" s="170">
        <v>42074</v>
      </c>
      <c r="M51" s="116">
        <v>30.992535995004399</v>
      </c>
      <c r="N51" s="116">
        <v>31.9166909263033</v>
      </c>
      <c r="O51" s="116">
        <v>30.892498605533898</v>
      </c>
      <c r="P51" s="116">
        <v>31.726143517788</v>
      </c>
      <c r="Q51" s="116">
        <v>325.3</v>
      </c>
      <c r="R51">
        <v>4682270</v>
      </c>
    </row>
    <row r="52" spans="1:18" x14ac:dyDescent="0.25">
      <c r="A52" s="170">
        <v>42075</v>
      </c>
      <c r="B52" s="116">
        <v>32.046490088235501</v>
      </c>
      <c r="C52" s="116">
        <v>31.765422314308601</v>
      </c>
      <c r="D52" s="116">
        <v>31.227106069330102</v>
      </c>
      <c r="E52" s="116">
        <v>31.289036256805499</v>
      </c>
      <c r="F52" s="116">
        <v>333.4</v>
      </c>
      <c r="G52">
        <v>886747</v>
      </c>
      <c r="H52" s="116"/>
      <c r="I52" s="116"/>
      <c r="L52" s="170">
        <v>42075</v>
      </c>
      <c r="M52" s="116">
        <v>31.745198258639601</v>
      </c>
      <c r="N52" s="116">
        <v>32.050074112263999</v>
      </c>
      <c r="O52" s="116">
        <v>31.197374459158201</v>
      </c>
      <c r="P52" s="116">
        <v>31.221192885222699</v>
      </c>
      <c r="Q52" s="116">
        <v>333.2</v>
      </c>
      <c r="R52">
        <v>4324521</v>
      </c>
    </row>
    <row r="53" spans="1:18" x14ac:dyDescent="0.25">
      <c r="A53" s="170">
        <v>42076</v>
      </c>
      <c r="B53" s="116">
        <v>32.032198506510397</v>
      </c>
      <c r="C53" s="116">
        <v>31.1127734155294</v>
      </c>
      <c r="D53" s="116">
        <v>30.965093737703398</v>
      </c>
      <c r="E53" s="116">
        <v>31.9369212950098</v>
      </c>
      <c r="F53" s="116">
        <v>326.55</v>
      </c>
      <c r="G53">
        <v>869189</v>
      </c>
      <c r="H53" s="116"/>
      <c r="I53" s="116"/>
      <c r="L53" s="170">
        <v>42076</v>
      </c>
      <c r="M53" s="116">
        <v>31.106864440113501</v>
      </c>
      <c r="N53" s="116">
        <v>32.0548377974768</v>
      </c>
      <c r="O53" s="116">
        <v>30.9639538837271</v>
      </c>
      <c r="P53" s="116">
        <v>32.011964630560897</v>
      </c>
      <c r="Q53" s="116">
        <v>326.5</v>
      </c>
      <c r="R53">
        <v>3279674</v>
      </c>
    </row>
    <row r="54" spans="1:18" x14ac:dyDescent="0.25">
      <c r="A54" s="170">
        <v>42079</v>
      </c>
      <c r="B54" s="116">
        <v>31.3462025837059</v>
      </c>
      <c r="C54" s="116">
        <v>31.0794263915041</v>
      </c>
      <c r="D54" s="116">
        <v>30.8221779204525</v>
      </c>
      <c r="E54" s="116">
        <v>31.3462025837059</v>
      </c>
      <c r="F54" s="116">
        <v>326.2</v>
      </c>
      <c r="G54">
        <v>671391</v>
      </c>
      <c r="H54" s="116"/>
      <c r="I54" s="116"/>
      <c r="L54" s="170">
        <v>42079</v>
      </c>
      <c r="M54" s="116">
        <v>31.078282328836199</v>
      </c>
      <c r="N54" s="116">
        <v>31.330757645118901</v>
      </c>
      <c r="O54" s="116">
        <v>30.782933845637601</v>
      </c>
      <c r="P54" s="116">
        <v>31.330757645118901</v>
      </c>
      <c r="Q54" s="116">
        <v>326.2</v>
      </c>
      <c r="R54">
        <v>2777100</v>
      </c>
    </row>
    <row r="55" spans="1:18" x14ac:dyDescent="0.25">
      <c r="A55" s="170">
        <v>42080</v>
      </c>
      <c r="B55" s="116">
        <v>32.056017809385601</v>
      </c>
      <c r="C55" s="116">
        <v>31.670145102808</v>
      </c>
      <c r="D55" s="116">
        <v>31.203286766455001</v>
      </c>
      <c r="E55" s="116">
        <v>31.250925372205302</v>
      </c>
      <c r="F55" s="116">
        <v>332.4</v>
      </c>
      <c r="G55">
        <v>899811</v>
      </c>
      <c r="H55" s="116"/>
      <c r="I55" s="116"/>
      <c r="L55" s="170">
        <v>42080</v>
      </c>
      <c r="M55" s="116">
        <v>31.6832703508721</v>
      </c>
      <c r="N55" s="116">
        <v>32.0548377974768</v>
      </c>
      <c r="O55" s="116">
        <v>31.164028662668098</v>
      </c>
      <c r="P55" s="116">
        <v>31.440322405015198</v>
      </c>
      <c r="Q55" s="116">
        <v>332.55</v>
      </c>
      <c r="R55">
        <v>4329067</v>
      </c>
    </row>
    <row r="56" spans="1:18" x14ac:dyDescent="0.25">
      <c r="A56" s="170">
        <v>42081</v>
      </c>
      <c r="B56" s="116">
        <v>31.9273935738597</v>
      </c>
      <c r="C56" s="116">
        <v>31.617742636482699</v>
      </c>
      <c r="D56" s="116">
        <v>31.441479795206501</v>
      </c>
      <c r="E56" s="116">
        <v>31.822588641208998</v>
      </c>
      <c r="F56" s="116">
        <v>331.85</v>
      </c>
      <c r="G56">
        <v>459749</v>
      </c>
      <c r="H56" s="116"/>
      <c r="I56" s="116"/>
      <c r="L56" s="170">
        <v>42081</v>
      </c>
      <c r="M56" s="116">
        <v>31.607051387466001</v>
      </c>
      <c r="N56" s="116">
        <v>31.983382519283602</v>
      </c>
      <c r="O56" s="116">
        <v>31.378394497247701</v>
      </c>
      <c r="P56" s="116">
        <v>31.983382519283602</v>
      </c>
      <c r="Q56" s="116">
        <v>331.75</v>
      </c>
      <c r="R56">
        <v>3099693</v>
      </c>
    </row>
    <row r="57" spans="1:18" x14ac:dyDescent="0.25">
      <c r="A57" s="170">
        <v>42082</v>
      </c>
      <c r="B57" s="116">
        <v>32.8420548042657</v>
      </c>
      <c r="C57" s="116">
        <v>32.046490088235501</v>
      </c>
      <c r="D57" s="116">
        <v>31.822588641208998</v>
      </c>
      <c r="E57" s="116">
        <v>31.832116362359098</v>
      </c>
      <c r="F57" s="116">
        <v>336.35</v>
      </c>
      <c r="G57">
        <v>1065861</v>
      </c>
      <c r="H57" s="116"/>
      <c r="I57" s="116"/>
      <c r="L57" s="170">
        <v>42082</v>
      </c>
      <c r="M57" s="116">
        <v>32.069128853115501</v>
      </c>
      <c r="N57" s="116">
        <v>32.850373228027998</v>
      </c>
      <c r="O57" s="116">
        <v>31.788071425555501</v>
      </c>
      <c r="P57" s="116">
        <v>31.845235648110101</v>
      </c>
      <c r="Q57" s="116">
        <v>336.6</v>
      </c>
      <c r="R57">
        <v>6148738</v>
      </c>
    </row>
    <row r="58" spans="1:18" x14ac:dyDescent="0.25">
      <c r="A58" s="170">
        <v>42083</v>
      </c>
      <c r="B58" s="116">
        <v>32.537167727463697</v>
      </c>
      <c r="C58" s="116">
        <v>31.341438723130899</v>
      </c>
      <c r="D58" s="116">
        <v>31.184231324154801</v>
      </c>
      <c r="E58" s="116">
        <v>32.070309391110698</v>
      </c>
      <c r="F58" s="116">
        <v>328.95</v>
      </c>
      <c r="G58">
        <v>1172104</v>
      </c>
      <c r="H58" s="116"/>
      <c r="I58" s="116"/>
      <c r="L58" s="170">
        <v>42083</v>
      </c>
      <c r="M58" s="116">
        <v>31.316466589480299</v>
      </c>
      <c r="N58" s="116">
        <v>32.526442633552101</v>
      </c>
      <c r="O58" s="116">
        <v>31.154501292242301</v>
      </c>
      <c r="P58" s="116">
        <v>32.069128853115501</v>
      </c>
      <c r="Q58" s="116">
        <v>328.7</v>
      </c>
      <c r="R58">
        <v>5776131</v>
      </c>
    </row>
    <row r="59" spans="1:18" x14ac:dyDescent="0.25">
      <c r="A59" s="170">
        <v>42086</v>
      </c>
      <c r="B59" s="116">
        <v>31.908338131559599</v>
      </c>
      <c r="C59" s="116">
        <v>31.541520867282198</v>
      </c>
      <c r="D59" s="116">
        <v>31.308091699105599</v>
      </c>
      <c r="E59" s="116">
        <v>31.441479795206501</v>
      </c>
      <c r="F59" s="116">
        <v>331.05</v>
      </c>
      <c r="G59">
        <v>543084</v>
      </c>
      <c r="H59" s="116"/>
      <c r="I59" s="116"/>
      <c r="L59" s="170">
        <v>42086</v>
      </c>
      <c r="M59" s="116">
        <v>31.573705590975901</v>
      </c>
      <c r="N59" s="116">
        <v>31.9166909263033</v>
      </c>
      <c r="O59" s="116">
        <v>31.306939219054499</v>
      </c>
      <c r="P59" s="116">
        <v>31.483195571931098</v>
      </c>
      <c r="Q59" s="116">
        <v>331.4</v>
      </c>
      <c r="R59">
        <v>3580330</v>
      </c>
    </row>
    <row r="60" spans="1:18" x14ac:dyDescent="0.25">
      <c r="A60" s="170">
        <v>42087</v>
      </c>
      <c r="B60" s="116">
        <v>31.813060920059002</v>
      </c>
      <c r="C60" s="116">
        <v>31.174703603004801</v>
      </c>
      <c r="D60" s="116">
        <v>30.965093737703398</v>
      </c>
      <c r="E60" s="116">
        <v>31.441479795206501</v>
      </c>
      <c r="F60" s="116">
        <v>327.2</v>
      </c>
      <c r="G60">
        <v>628615</v>
      </c>
      <c r="H60" s="116"/>
      <c r="I60" s="116"/>
      <c r="L60" s="170">
        <v>42087</v>
      </c>
      <c r="M60" s="116">
        <v>31.168792347880999</v>
      </c>
      <c r="N60" s="116">
        <v>31.811889851619899</v>
      </c>
      <c r="O60" s="116">
        <v>30.892498605533898</v>
      </c>
      <c r="P60" s="116">
        <v>31.449849775440899</v>
      </c>
      <c r="Q60" s="116">
        <v>327.14999999999998</v>
      </c>
      <c r="R60">
        <v>4453740</v>
      </c>
    </row>
    <row r="61" spans="1:18" x14ac:dyDescent="0.25">
      <c r="A61" s="170">
        <v>42088</v>
      </c>
      <c r="B61" s="116">
        <v>31.4033689106063</v>
      </c>
      <c r="C61" s="116">
        <v>30.765011593552099</v>
      </c>
      <c r="D61" s="116">
        <v>30.679262103201498</v>
      </c>
      <c r="E61" s="116">
        <v>31.317619420255699</v>
      </c>
      <c r="F61" s="116">
        <v>322.89999999999998</v>
      </c>
      <c r="G61">
        <v>525544</v>
      </c>
      <c r="H61" s="116"/>
      <c r="I61" s="116"/>
      <c r="L61" s="170">
        <v>42088</v>
      </c>
      <c r="M61" s="116">
        <v>30.787697530850501</v>
      </c>
      <c r="N61" s="116">
        <v>31.340285015544701</v>
      </c>
      <c r="O61" s="116">
        <v>30.6781327709542</v>
      </c>
      <c r="P61" s="116">
        <v>31.249774996499902</v>
      </c>
      <c r="Q61" s="116">
        <v>323.14999999999998</v>
      </c>
      <c r="R61">
        <v>3544781</v>
      </c>
    </row>
    <row r="62" spans="1:18" x14ac:dyDescent="0.25">
      <c r="A62" s="170">
        <v>42089</v>
      </c>
      <c r="B62" s="116">
        <v>30.946038295403302</v>
      </c>
      <c r="C62" s="116">
        <v>30.083779531322602</v>
      </c>
      <c r="D62" s="116">
        <v>29.9646830169468</v>
      </c>
      <c r="E62" s="116">
        <v>30.736428430101899</v>
      </c>
      <c r="F62" s="116">
        <v>315.75</v>
      </c>
      <c r="G62">
        <v>723289</v>
      </c>
      <c r="H62" s="116"/>
      <c r="I62" s="116"/>
      <c r="L62" s="170">
        <v>42089</v>
      </c>
      <c r="M62" s="116">
        <v>30.068381063705399</v>
      </c>
      <c r="N62" s="116">
        <v>30.9591901985142</v>
      </c>
      <c r="O62" s="116">
        <v>29.915943136893201</v>
      </c>
      <c r="P62" s="116">
        <v>30.7734064752118</v>
      </c>
      <c r="Q62" s="116">
        <v>315.60000000000002</v>
      </c>
      <c r="R62">
        <v>6516994</v>
      </c>
    </row>
    <row r="63" spans="1:18" x14ac:dyDescent="0.25">
      <c r="A63" s="170">
        <v>42090</v>
      </c>
      <c r="B63" s="116">
        <v>30.426777492724899</v>
      </c>
      <c r="C63" s="116">
        <v>30.012321622697101</v>
      </c>
      <c r="D63" s="116">
        <v>29.6597959401448</v>
      </c>
      <c r="E63" s="116">
        <v>30.169529021673199</v>
      </c>
      <c r="F63" s="116">
        <v>315</v>
      </c>
      <c r="G63">
        <v>766310</v>
      </c>
      <c r="H63" s="116"/>
      <c r="I63" s="116"/>
      <c r="L63" s="170">
        <v>42090</v>
      </c>
      <c r="M63" s="116">
        <v>30.020744211576599</v>
      </c>
      <c r="N63" s="116">
        <v>30.425657454671502</v>
      </c>
      <c r="O63" s="116">
        <v>29.649176764971902</v>
      </c>
      <c r="P63" s="116">
        <v>30.239873731369102</v>
      </c>
      <c r="Q63" s="116">
        <v>315.10000000000002</v>
      </c>
      <c r="R63">
        <v>4019204</v>
      </c>
    </row>
    <row r="64" spans="1:18" x14ac:dyDescent="0.25">
      <c r="A64" s="170">
        <v>42093</v>
      </c>
      <c r="B64" s="116">
        <v>30.955566016553298</v>
      </c>
      <c r="C64" s="116">
        <v>30.717372987801799</v>
      </c>
      <c r="D64" s="116">
        <v>30.040904786147301</v>
      </c>
      <c r="E64" s="116">
        <v>30.298153257199001</v>
      </c>
      <c r="F64" s="116">
        <v>322.39999999999998</v>
      </c>
      <c r="G64">
        <v>641281</v>
      </c>
      <c r="H64" s="116"/>
      <c r="I64" s="116"/>
      <c r="L64" s="170">
        <v>42093</v>
      </c>
      <c r="M64" s="116">
        <v>30.716242252657299</v>
      </c>
      <c r="N64" s="116">
        <v>30.9544265133013</v>
      </c>
      <c r="O64" s="116">
        <v>30.025507896789499</v>
      </c>
      <c r="P64" s="116">
        <v>30.297037953923699</v>
      </c>
      <c r="Q64" s="116">
        <v>322.39999999999998</v>
      </c>
      <c r="R64">
        <v>2990579</v>
      </c>
    </row>
    <row r="65" spans="1:18" x14ac:dyDescent="0.25">
      <c r="A65" s="170">
        <v>42094</v>
      </c>
      <c r="B65" s="116">
        <v>31.1270649972545</v>
      </c>
      <c r="C65" s="116">
        <v>30.188584463973299</v>
      </c>
      <c r="D65" s="116">
        <v>30.059960228447402</v>
      </c>
      <c r="E65" s="116">
        <v>31.1270649972545</v>
      </c>
      <c r="F65" s="116">
        <v>316.85000000000002</v>
      </c>
      <c r="G65">
        <v>677640</v>
      </c>
      <c r="H65" s="116"/>
      <c r="I65" s="116"/>
      <c r="L65" s="170">
        <v>42094</v>
      </c>
      <c r="M65" s="116">
        <v>30.1779458236017</v>
      </c>
      <c r="N65" s="116">
        <v>31.097337069687701</v>
      </c>
      <c r="O65" s="116">
        <v>30.030271582002399</v>
      </c>
      <c r="P65" s="116">
        <v>31.087809699261999</v>
      </c>
      <c r="Q65" s="116">
        <v>316.75</v>
      </c>
      <c r="R65">
        <v>3934898</v>
      </c>
    </row>
    <row r="66" spans="1:18" x14ac:dyDescent="0.25">
      <c r="A66" s="170">
        <v>42095</v>
      </c>
      <c r="B66" s="116">
        <v>30.984149180003499</v>
      </c>
      <c r="C66" s="116">
        <v>30.869816526202801</v>
      </c>
      <c r="D66" s="116">
        <v>30.117126555347799</v>
      </c>
      <c r="E66" s="116">
        <v>30.155237439948099</v>
      </c>
      <c r="F66" s="116">
        <v>324</v>
      </c>
      <c r="G66">
        <v>650669</v>
      </c>
      <c r="H66" s="116"/>
      <c r="I66" s="116"/>
      <c r="L66" s="170">
        <v>42095</v>
      </c>
      <c r="M66" s="116">
        <v>30.835334382979301</v>
      </c>
      <c r="N66" s="116">
        <v>30.9544265133013</v>
      </c>
      <c r="O66" s="116">
        <v>30.106490545408501</v>
      </c>
      <c r="P66" s="116">
        <v>30.201764249666098</v>
      </c>
      <c r="Q66" s="116">
        <v>323.64999999999998</v>
      </c>
      <c r="R66">
        <v>3086061</v>
      </c>
    </row>
    <row r="67" spans="1:18" x14ac:dyDescent="0.25">
      <c r="A67" s="170">
        <v>42100</v>
      </c>
      <c r="B67" s="116">
        <v>31.017496204028699</v>
      </c>
      <c r="C67" s="116">
        <v>30.302917117774001</v>
      </c>
      <c r="D67" s="116">
        <v>30.2028760456984</v>
      </c>
      <c r="E67" s="116">
        <v>30.879344247352801</v>
      </c>
      <c r="F67" s="116">
        <v>318.05</v>
      </c>
      <c r="G67">
        <v>591976</v>
      </c>
      <c r="H67" s="116"/>
      <c r="I67" s="116"/>
      <c r="L67" s="170">
        <v>42100</v>
      </c>
      <c r="M67" s="116">
        <v>30.306565324349499</v>
      </c>
      <c r="N67" s="116">
        <v>31.021118106281701</v>
      </c>
      <c r="O67" s="116">
        <v>30.163654767963099</v>
      </c>
      <c r="P67" s="116">
        <v>30.9067896611725</v>
      </c>
      <c r="Q67" s="116">
        <v>318.10000000000002</v>
      </c>
      <c r="R67">
        <v>3669674</v>
      </c>
    </row>
    <row r="68" spans="1:18" x14ac:dyDescent="0.25">
      <c r="A68" s="170">
        <v>42101</v>
      </c>
      <c r="B68" s="116">
        <v>31.9178658527096</v>
      </c>
      <c r="C68" s="116">
        <v>31.784477756608801</v>
      </c>
      <c r="D68" s="116">
        <v>30.2171676274235</v>
      </c>
      <c r="E68" s="116">
        <v>30.460124516750099</v>
      </c>
      <c r="F68" s="116">
        <v>333.6</v>
      </c>
      <c r="G68">
        <v>1191488</v>
      </c>
      <c r="H68" s="116"/>
      <c r="I68" s="116"/>
      <c r="L68" s="170">
        <v>42101</v>
      </c>
      <c r="M68" s="116">
        <v>31.773780369916899</v>
      </c>
      <c r="N68" s="116">
        <v>31.935745667154801</v>
      </c>
      <c r="O68" s="116">
        <v>30.201764249666098</v>
      </c>
      <c r="P68" s="116">
        <v>30.516167473716301</v>
      </c>
      <c r="Q68" s="116">
        <v>333.5</v>
      </c>
      <c r="R68">
        <v>7293723</v>
      </c>
    </row>
    <row r="69" spans="1:18" x14ac:dyDescent="0.25">
      <c r="A69" s="170">
        <v>42102</v>
      </c>
      <c r="B69" s="116">
        <v>32.2894469775621</v>
      </c>
      <c r="C69" s="116">
        <v>32.036962367085401</v>
      </c>
      <c r="D69" s="116">
        <v>31.331911001980799</v>
      </c>
      <c r="E69" s="116">
        <v>31.9178658527096</v>
      </c>
      <c r="F69" s="116">
        <v>336.25</v>
      </c>
      <c r="G69">
        <v>948362</v>
      </c>
      <c r="H69" s="116"/>
      <c r="I69" s="116"/>
      <c r="L69" s="170">
        <v>42102</v>
      </c>
      <c r="M69" s="116">
        <v>32.021492000986697</v>
      </c>
      <c r="N69" s="116">
        <v>32.288258372907997</v>
      </c>
      <c r="O69" s="116">
        <v>31.306939219054499</v>
      </c>
      <c r="P69" s="116">
        <v>32.021492000986697</v>
      </c>
      <c r="Q69" s="116">
        <v>336.1</v>
      </c>
      <c r="R69">
        <v>6284727</v>
      </c>
    </row>
    <row r="70" spans="1:18" x14ac:dyDescent="0.25">
      <c r="A70" s="170">
        <v>42103</v>
      </c>
      <c r="B70" s="116">
        <v>33.013553784966803</v>
      </c>
      <c r="C70" s="116">
        <v>32.899221131166101</v>
      </c>
      <c r="D70" s="116">
        <v>32.117947996860998</v>
      </c>
      <c r="E70" s="116">
        <v>32.132239578586102</v>
      </c>
      <c r="F70" s="116">
        <v>345.3</v>
      </c>
      <c r="G70">
        <v>819898</v>
      </c>
      <c r="H70" s="116"/>
      <c r="I70" s="116"/>
      <c r="L70" s="170">
        <v>42103</v>
      </c>
      <c r="M70" s="116">
        <v>32.96946535835</v>
      </c>
      <c r="N70" s="116">
        <v>33.098084859097803</v>
      </c>
      <c r="O70" s="116">
        <v>32.107238334818497</v>
      </c>
      <c r="P70" s="116">
        <v>32.154875186947301</v>
      </c>
      <c r="Q70" s="116">
        <v>346.05</v>
      </c>
      <c r="R70">
        <v>6151508</v>
      </c>
    </row>
    <row r="71" spans="1:18" x14ac:dyDescent="0.25">
      <c r="A71" s="170">
        <v>42104</v>
      </c>
      <c r="B71" s="116">
        <v>33.251746813718398</v>
      </c>
      <c r="C71" s="116">
        <v>32.665791962989601</v>
      </c>
      <c r="D71" s="116">
        <v>32.527640006313703</v>
      </c>
      <c r="E71" s="116">
        <v>32.965915179216502</v>
      </c>
      <c r="F71" s="116">
        <v>342.85</v>
      </c>
      <c r="G71">
        <v>728304</v>
      </c>
      <c r="H71" s="116"/>
      <c r="I71" s="116"/>
      <c r="L71" s="170">
        <v>42104</v>
      </c>
      <c r="M71" s="116">
        <v>32.650298449087003</v>
      </c>
      <c r="N71" s="116">
        <v>33.25052278591</v>
      </c>
      <c r="O71" s="116">
        <v>32.5121515779134</v>
      </c>
      <c r="P71" s="116">
        <v>32.936119561859797</v>
      </c>
      <c r="Q71" s="116">
        <v>342.7</v>
      </c>
      <c r="R71">
        <v>4816228</v>
      </c>
    </row>
    <row r="72" spans="1:18" x14ac:dyDescent="0.25">
      <c r="A72" s="170">
        <v>42107</v>
      </c>
      <c r="B72" s="116">
        <v>33.175525044517897</v>
      </c>
      <c r="C72" s="116">
        <v>32.8325270831157</v>
      </c>
      <c r="D72" s="116">
        <v>32.527640006313703</v>
      </c>
      <c r="E72" s="116">
        <v>32.8039439196655</v>
      </c>
      <c r="F72" s="116">
        <v>344.6</v>
      </c>
      <c r="G72">
        <v>491557</v>
      </c>
      <c r="H72" s="116"/>
      <c r="I72" s="116"/>
      <c r="L72" s="170">
        <v>42107</v>
      </c>
      <c r="M72" s="116">
        <v>32.888482709731001</v>
      </c>
      <c r="N72" s="116">
        <v>33.179067507716802</v>
      </c>
      <c r="O72" s="116">
        <v>32.497860522274799</v>
      </c>
      <c r="P72" s="116">
        <v>32.797972690686301</v>
      </c>
      <c r="Q72" s="116">
        <v>345.2</v>
      </c>
      <c r="R72">
        <v>3442898</v>
      </c>
    </row>
    <row r="73" spans="1:18" x14ac:dyDescent="0.25">
      <c r="A73" s="170">
        <v>42109</v>
      </c>
      <c r="B73" s="116">
        <v>32.870637967715901</v>
      </c>
      <c r="C73" s="116">
        <v>32.175114323761299</v>
      </c>
      <c r="D73" s="116">
        <v>32.013143064210297</v>
      </c>
      <c r="E73" s="116">
        <v>32.870637967715901</v>
      </c>
      <c r="F73" s="116">
        <v>337.7</v>
      </c>
      <c r="G73">
        <v>468767</v>
      </c>
      <c r="H73" s="116"/>
      <c r="I73" s="116"/>
      <c r="L73" s="170">
        <v>42109</v>
      </c>
      <c r="M73" s="116">
        <v>32.169166242586002</v>
      </c>
      <c r="N73" s="116">
        <v>32.888482709731001</v>
      </c>
      <c r="O73" s="116">
        <v>32.031019371412398</v>
      </c>
      <c r="P73" s="116">
        <v>32.869427968879499</v>
      </c>
      <c r="Q73" s="116">
        <v>337.65</v>
      </c>
      <c r="R73">
        <v>3199963</v>
      </c>
    </row>
    <row r="74" spans="1:18" x14ac:dyDescent="0.25">
      <c r="A74" s="170">
        <v>42110</v>
      </c>
      <c r="B74" s="116">
        <v>32.680083544714698</v>
      </c>
      <c r="C74" s="116">
        <v>32.137003439161099</v>
      </c>
      <c r="D74" s="116">
        <v>31.841644083509099</v>
      </c>
      <c r="E74" s="116">
        <v>32.2989746987122</v>
      </c>
      <c r="F74" s="116">
        <v>337.3</v>
      </c>
      <c r="G74">
        <v>594534</v>
      </c>
      <c r="H74" s="116"/>
      <c r="I74" s="116"/>
      <c r="L74" s="170">
        <v>42110</v>
      </c>
      <c r="M74" s="116">
        <v>32.173929927798902</v>
      </c>
      <c r="N74" s="116">
        <v>32.712226356854401</v>
      </c>
      <c r="O74" s="116">
        <v>31.7785440551297</v>
      </c>
      <c r="P74" s="116">
        <v>32.2406215207792</v>
      </c>
      <c r="Q74" s="116">
        <v>337.7</v>
      </c>
      <c r="R74">
        <v>3770739</v>
      </c>
    </row>
    <row r="75" spans="1:18" x14ac:dyDescent="0.25">
      <c r="A75" s="170">
        <v>42111</v>
      </c>
      <c r="B75" s="116">
        <v>33.537578448220302</v>
      </c>
      <c r="C75" s="116">
        <v>32.951623597491398</v>
      </c>
      <c r="D75" s="116">
        <v>32.013143064210297</v>
      </c>
      <c r="E75" s="116">
        <v>32.098892554560798</v>
      </c>
      <c r="F75" s="116">
        <v>345.85</v>
      </c>
      <c r="G75">
        <v>1148503</v>
      </c>
      <c r="H75" s="116"/>
      <c r="I75" s="116"/>
      <c r="L75" s="170">
        <v>42111</v>
      </c>
      <c r="M75" s="116">
        <v>32.9647016731371</v>
      </c>
      <c r="N75" s="116">
        <v>33.555398639534403</v>
      </c>
      <c r="O75" s="116">
        <v>31.930981981941901</v>
      </c>
      <c r="P75" s="116">
        <v>32.083419908754102</v>
      </c>
      <c r="Q75" s="116">
        <v>346</v>
      </c>
      <c r="R75">
        <v>6980772</v>
      </c>
    </row>
    <row r="76" spans="1:18" x14ac:dyDescent="0.25">
      <c r="A76" s="170">
        <v>42114</v>
      </c>
      <c r="B76" s="116">
        <v>33.747188313521697</v>
      </c>
      <c r="C76" s="116">
        <v>32.808707780240503</v>
      </c>
      <c r="D76" s="116">
        <v>32.327557862162301</v>
      </c>
      <c r="E76" s="116">
        <v>33.251746813718398</v>
      </c>
      <c r="F76" s="116">
        <v>344.35</v>
      </c>
      <c r="G76">
        <v>862965</v>
      </c>
      <c r="H76" s="116"/>
      <c r="I76" s="116"/>
      <c r="L76" s="170">
        <v>42114</v>
      </c>
      <c r="M76" s="116">
        <v>32.817027431537802</v>
      </c>
      <c r="N76" s="116">
        <v>33.755473418475397</v>
      </c>
      <c r="O76" s="116">
        <v>32.312076798972399</v>
      </c>
      <c r="P76" s="116">
        <v>33.202885933781197</v>
      </c>
      <c r="Q76" s="116">
        <v>344.45</v>
      </c>
      <c r="R76">
        <v>6266956</v>
      </c>
    </row>
    <row r="77" spans="1:18" x14ac:dyDescent="0.25">
      <c r="A77" s="170">
        <v>42115</v>
      </c>
      <c r="B77" s="116">
        <v>33.523286866495198</v>
      </c>
      <c r="C77" s="116">
        <v>33.156469602217797</v>
      </c>
      <c r="D77" s="116">
        <v>32.742013732190102</v>
      </c>
      <c r="E77" s="116">
        <v>32.965915179216502</v>
      </c>
      <c r="F77" s="116">
        <v>348</v>
      </c>
      <c r="G77">
        <v>739772</v>
      </c>
      <c r="H77" s="116"/>
      <c r="I77" s="116"/>
      <c r="L77" s="170">
        <v>42115</v>
      </c>
      <c r="M77" s="116">
        <v>33.179067507716802</v>
      </c>
      <c r="N77" s="116">
        <v>33.536343898682901</v>
      </c>
      <c r="O77" s="116">
        <v>32.731281097706002</v>
      </c>
      <c r="P77" s="116">
        <v>33.012338525265903</v>
      </c>
      <c r="Q77" s="116">
        <v>348.25</v>
      </c>
      <c r="R77">
        <v>4995068</v>
      </c>
    </row>
    <row r="78" spans="1:18" x14ac:dyDescent="0.25">
      <c r="A78" s="170">
        <v>42116</v>
      </c>
      <c r="B78" s="116">
        <v>33.775771476971897</v>
      </c>
      <c r="C78" s="116">
        <v>33.456592818444797</v>
      </c>
      <c r="D78" s="116">
        <v>32.5419315880388</v>
      </c>
      <c r="E78" s="116">
        <v>33.437537376144597</v>
      </c>
      <c r="F78" s="116">
        <v>351.15</v>
      </c>
      <c r="G78">
        <v>801087</v>
      </c>
      <c r="H78" s="116"/>
      <c r="I78" s="116"/>
      <c r="L78" s="170">
        <v>42116</v>
      </c>
      <c r="M78" s="116">
        <v>33.474415990915404</v>
      </c>
      <c r="N78" s="116">
        <v>33.774528159326898</v>
      </c>
      <c r="O78" s="116">
        <v>32.5121515779134</v>
      </c>
      <c r="P78" s="116">
        <v>33.3410328049547</v>
      </c>
      <c r="Q78" s="116">
        <v>351.35</v>
      </c>
      <c r="R78">
        <v>4784322</v>
      </c>
    </row>
    <row r="79" spans="1:18" x14ac:dyDescent="0.25">
      <c r="A79" s="170">
        <v>42117</v>
      </c>
      <c r="B79" s="116">
        <v>35.243040534081501</v>
      </c>
      <c r="C79" s="116">
        <v>35.1287078802807</v>
      </c>
      <c r="D79" s="116">
        <v>33.775771476971897</v>
      </c>
      <c r="E79" s="116">
        <v>33.775771476971897</v>
      </c>
      <c r="F79" s="116">
        <v>368.7</v>
      </c>
      <c r="G79">
        <v>1765137</v>
      </c>
      <c r="H79" s="116"/>
      <c r="I79" s="116"/>
      <c r="L79" s="170">
        <v>42117</v>
      </c>
      <c r="M79" s="116">
        <v>35.198870037978402</v>
      </c>
      <c r="N79" s="116">
        <v>35.341780594364799</v>
      </c>
      <c r="O79" s="116">
        <v>33.755473418475397</v>
      </c>
      <c r="P79" s="116">
        <v>33.822165011455702</v>
      </c>
      <c r="Q79" s="116">
        <v>369.45</v>
      </c>
      <c r="R79">
        <v>12192278</v>
      </c>
    </row>
    <row r="80" spans="1:18" x14ac:dyDescent="0.25">
      <c r="A80" s="170">
        <v>42118</v>
      </c>
      <c r="B80" s="116">
        <v>35.609857798358902</v>
      </c>
      <c r="C80" s="116">
        <v>35.266859836956598</v>
      </c>
      <c r="D80" s="116">
        <v>34.542753029551903</v>
      </c>
      <c r="E80" s="116">
        <v>35.385956351332403</v>
      </c>
      <c r="F80" s="116">
        <v>370.15</v>
      </c>
      <c r="G80">
        <v>1506498</v>
      </c>
      <c r="H80" s="116"/>
      <c r="I80" s="116"/>
      <c r="L80" s="170">
        <v>42118</v>
      </c>
      <c r="M80" s="116">
        <v>35.298907427448903</v>
      </c>
      <c r="N80" s="116">
        <v>35.708584355756599</v>
      </c>
      <c r="O80" s="116">
        <v>34.546245163813701</v>
      </c>
      <c r="P80" s="116">
        <v>35.422763242983798</v>
      </c>
      <c r="Q80" s="116">
        <v>370.5</v>
      </c>
      <c r="R80">
        <v>8458618</v>
      </c>
    </row>
    <row r="81" spans="1:18" x14ac:dyDescent="0.25">
      <c r="A81" s="170">
        <v>42121</v>
      </c>
      <c r="B81" s="116">
        <v>35.481233562833097</v>
      </c>
      <c r="C81" s="116">
        <v>35.057249971655303</v>
      </c>
      <c r="D81" s="116">
        <v>34.476058981501502</v>
      </c>
      <c r="E81" s="116">
        <v>35.223985091781401</v>
      </c>
      <c r="F81" s="116">
        <v>367.95</v>
      </c>
      <c r="G81">
        <v>694690</v>
      </c>
      <c r="H81" s="116"/>
      <c r="I81" s="116"/>
      <c r="L81" s="170">
        <v>42121</v>
      </c>
      <c r="M81" s="116">
        <v>35.146469500636698</v>
      </c>
      <c r="N81" s="116">
        <v>35.518036947241399</v>
      </c>
      <c r="O81" s="116">
        <v>34.4414440891303</v>
      </c>
      <c r="P81" s="116">
        <v>35.1655242414882</v>
      </c>
      <c r="Q81" s="116">
        <v>368.9</v>
      </c>
      <c r="R81">
        <v>4996552</v>
      </c>
    </row>
    <row r="82" spans="1:18" x14ac:dyDescent="0.25">
      <c r="A82" s="170">
        <v>42122</v>
      </c>
      <c r="B82" s="116">
        <v>35.609857798358902</v>
      </c>
      <c r="C82" s="116">
        <v>35.3811924907574</v>
      </c>
      <c r="D82" s="116">
        <v>34.880987130379097</v>
      </c>
      <c r="E82" s="116">
        <v>35.157291043730901</v>
      </c>
      <c r="F82" s="116">
        <v>371.35</v>
      </c>
      <c r="G82">
        <v>603500</v>
      </c>
      <c r="H82" s="116"/>
      <c r="I82" s="116"/>
      <c r="L82" s="170">
        <v>42122</v>
      </c>
      <c r="M82" s="116">
        <v>35.370362705642101</v>
      </c>
      <c r="N82" s="116">
        <v>35.637129077563401</v>
      </c>
      <c r="O82" s="116">
        <v>34.879703128715299</v>
      </c>
      <c r="P82" s="116">
        <v>35.251270575320099</v>
      </c>
      <c r="Q82" s="116">
        <v>371.25</v>
      </c>
      <c r="R82">
        <v>4159900</v>
      </c>
    </row>
    <row r="83" spans="1:18" x14ac:dyDescent="0.25">
      <c r="A83" s="170">
        <v>42123</v>
      </c>
      <c r="B83" s="116">
        <v>36.057660692411801</v>
      </c>
      <c r="C83" s="116">
        <v>35.181110346606097</v>
      </c>
      <c r="D83" s="116">
        <v>35.038194529355103</v>
      </c>
      <c r="E83" s="116">
        <v>35.443122678232797</v>
      </c>
      <c r="F83" s="116">
        <v>369.25</v>
      </c>
      <c r="G83">
        <v>720529</v>
      </c>
      <c r="H83" s="116"/>
      <c r="I83" s="116"/>
      <c r="L83" s="170">
        <v>42123</v>
      </c>
      <c r="M83" s="116">
        <v>35.246506890107199</v>
      </c>
      <c r="N83" s="116">
        <v>36.137316024915897</v>
      </c>
      <c r="O83" s="116">
        <v>35.060723166804799</v>
      </c>
      <c r="P83" s="116">
        <v>35.432290613409499</v>
      </c>
      <c r="Q83" s="116">
        <v>369.95</v>
      </c>
      <c r="R83">
        <v>5452386</v>
      </c>
    </row>
    <row r="84" spans="1:18" x14ac:dyDescent="0.25">
      <c r="A84" s="170">
        <v>42124</v>
      </c>
      <c r="B84" s="116">
        <v>35.157291043730901</v>
      </c>
      <c r="C84" s="116">
        <v>34.347434745975598</v>
      </c>
      <c r="D84" s="116">
        <v>34.223574371024803</v>
      </c>
      <c r="E84" s="116">
        <v>35.157291043730901</v>
      </c>
      <c r="F84" s="116">
        <v>360.5</v>
      </c>
      <c r="G84">
        <v>532289</v>
      </c>
      <c r="H84" s="116"/>
      <c r="I84" s="116"/>
      <c r="L84" s="170">
        <v>42124</v>
      </c>
      <c r="M84" s="116">
        <v>34.331879329233999</v>
      </c>
      <c r="N84" s="116">
        <v>35.146469500636698</v>
      </c>
      <c r="O84" s="116">
        <v>34.212787198911997</v>
      </c>
      <c r="P84" s="116">
        <v>35.060723166804799</v>
      </c>
      <c r="Q84" s="116">
        <v>360.35</v>
      </c>
      <c r="R84">
        <v>6180164</v>
      </c>
    </row>
    <row r="85" spans="1:18" x14ac:dyDescent="0.25">
      <c r="A85" s="170">
        <v>42128</v>
      </c>
      <c r="B85" s="116">
        <v>34.952445039004601</v>
      </c>
      <c r="C85" s="116">
        <v>34.423656515176098</v>
      </c>
      <c r="D85" s="116">
        <v>34.066366972048797</v>
      </c>
      <c r="E85" s="116">
        <v>34.5856277747272</v>
      </c>
      <c r="F85" s="116">
        <v>361.3</v>
      </c>
      <c r="G85">
        <v>509308</v>
      </c>
      <c r="H85" s="116"/>
      <c r="I85" s="116"/>
      <c r="L85" s="170">
        <v>42128</v>
      </c>
      <c r="M85" s="116">
        <v>34.455735144768902</v>
      </c>
      <c r="N85" s="116">
        <v>34.946394721695697</v>
      </c>
      <c r="O85" s="116">
        <v>34.031767160822497</v>
      </c>
      <c r="P85" s="116">
        <v>34.4462077743432</v>
      </c>
      <c r="Q85" s="116">
        <v>361.65</v>
      </c>
      <c r="R85">
        <v>3268455</v>
      </c>
    </row>
    <row r="86" spans="1:18" x14ac:dyDescent="0.25">
      <c r="A86" s="170">
        <v>42129</v>
      </c>
      <c r="B86" s="116">
        <v>36.205340370237799</v>
      </c>
      <c r="C86" s="116">
        <v>36.129118601037298</v>
      </c>
      <c r="D86" s="116">
        <v>34.5856277747272</v>
      </c>
      <c r="E86" s="116">
        <v>34.690432707377902</v>
      </c>
      <c r="F86" s="116">
        <v>379.2</v>
      </c>
      <c r="G86">
        <v>1105081</v>
      </c>
      <c r="H86" s="116"/>
      <c r="I86" s="116"/>
      <c r="L86" s="170">
        <v>42129</v>
      </c>
      <c r="M86" s="116">
        <v>36.213534988322003</v>
      </c>
      <c r="N86" s="116">
        <v>36.299281322153902</v>
      </c>
      <c r="O86" s="116">
        <v>34.570063589878103</v>
      </c>
      <c r="P86" s="116">
        <v>34.7177378314774</v>
      </c>
      <c r="Q86" s="116">
        <v>380.1</v>
      </c>
      <c r="R86">
        <v>7665150</v>
      </c>
    </row>
    <row r="87" spans="1:18" x14ac:dyDescent="0.25">
      <c r="A87" s="170">
        <v>42130</v>
      </c>
      <c r="B87" s="116">
        <v>36.605504658540397</v>
      </c>
      <c r="C87" s="116">
        <v>34.990555923604802</v>
      </c>
      <c r="D87" s="116">
        <v>34.8381123852038</v>
      </c>
      <c r="E87" s="116">
        <v>36.205340370237799</v>
      </c>
      <c r="F87" s="116">
        <v>367.25</v>
      </c>
      <c r="G87">
        <v>1087960</v>
      </c>
      <c r="H87" s="116"/>
      <c r="I87" s="116"/>
      <c r="L87" s="170">
        <v>42130</v>
      </c>
      <c r="M87" s="116">
        <v>35.027377370314603</v>
      </c>
      <c r="N87" s="116">
        <v>36.6327392870556</v>
      </c>
      <c r="O87" s="116">
        <v>34.870175758289598</v>
      </c>
      <c r="P87" s="116">
        <v>36.299281322153902</v>
      </c>
      <c r="Q87" s="116">
        <v>367.65</v>
      </c>
      <c r="R87">
        <v>5998971</v>
      </c>
    </row>
    <row r="88" spans="1:18" x14ac:dyDescent="0.25">
      <c r="A88" s="170">
        <v>42131</v>
      </c>
      <c r="B88" s="116">
        <v>35.252568255231601</v>
      </c>
      <c r="C88" s="116">
        <v>34.966736620729698</v>
      </c>
      <c r="D88" s="116">
        <v>34.361726327700701</v>
      </c>
      <c r="E88" s="116">
        <v>34.966736620729698</v>
      </c>
      <c r="F88" s="116">
        <v>367</v>
      </c>
      <c r="G88">
        <v>676879</v>
      </c>
      <c r="H88" s="116"/>
      <c r="I88" s="116"/>
      <c r="L88" s="170">
        <v>42131</v>
      </c>
      <c r="M88" s="116">
        <v>34.9940315738245</v>
      </c>
      <c r="N88" s="116">
        <v>35.313198483087497</v>
      </c>
      <c r="O88" s="116">
        <v>34.3461703848727</v>
      </c>
      <c r="P88" s="116">
        <v>34.855884702650897</v>
      </c>
      <c r="Q88" s="116">
        <v>367.3</v>
      </c>
      <c r="R88">
        <v>4140828</v>
      </c>
    </row>
    <row r="89" spans="1:18" x14ac:dyDescent="0.25">
      <c r="A89" s="170">
        <v>42132</v>
      </c>
      <c r="B89" s="116">
        <v>35.695607288709503</v>
      </c>
      <c r="C89" s="116">
        <v>34.890514851529197</v>
      </c>
      <c r="D89" s="116">
        <v>34.714252010252999</v>
      </c>
      <c r="E89" s="116">
        <v>35.171582625455997</v>
      </c>
      <c r="F89" s="116">
        <v>366.2</v>
      </c>
      <c r="G89">
        <v>518588</v>
      </c>
      <c r="H89" s="116"/>
      <c r="I89" s="116"/>
      <c r="L89" s="170">
        <v>42132</v>
      </c>
      <c r="M89" s="116">
        <v>34.936867351269903</v>
      </c>
      <c r="N89" s="116">
        <v>35.7276390966082</v>
      </c>
      <c r="O89" s="116">
        <v>34.689155720200098</v>
      </c>
      <c r="P89" s="116">
        <v>35.2607979457458</v>
      </c>
      <c r="Q89" s="116">
        <v>366.7</v>
      </c>
      <c r="R89">
        <v>3452917</v>
      </c>
    </row>
    <row r="90" spans="1:18" x14ac:dyDescent="0.25">
      <c r="A90" s="170">
        <v>42135</v>
      </c>
      <c r="B90" s="116">
        <v>36.3196730240386</v>
      </c>
      <c r="C90" s="116">
        <v>35.905217154010799</v>
      </c>
      <c r="D90" s="116">
        <v>35.295443000406799</v>
      </c>
      <c r="E90" s="116">
        <v>35.443122678232797</v>
      </c>
      <c r="F90" s="116">
        <v>376.85</v>
      </c>
      <c r="G90">
        <v>669984</v>
      </c>
      <c r="H90" s="116"/>
      <c r="I90" s="116"/>
      <c r="L90" s="170">
        <v>42135</v>
      </c>
      <c r="M90" s="116">
        <v>35.927713875549202</v>
      </c>
      <c r="N90" s="116">
        <v>36.337390803856898</v>
      </c>
      <c r="O90" s="116">
        <v>35.298907427448903</v>
      </c>
      <c r="P90" s="116">
        <v>35.4513453542611</v>
      </c>
      <c r="Q90" s="116">
        <v>377.1</v>
      </c>
      <c r="R90">
        <v>4477605</v>
      </c>
    </row>
    <row r="91" spans="1:18" x14ac:dyDescent="0.25">
      <c r="A91" s="170">
        <v>42136</v>
      </c>
      <c r="B91" s="116">
        <v>35.833759245385401</v>
      </c>
      <c r="C91" s="116">
        <v>33.647147241446</v>
      </c>
      <c r="D91" s="116">
        <v>33.570925472245499</v>
      </c>
      <c r="E91" s="116">
        <v>35.833759245385401</v>
      </c>
      <c r="F91" s="116">
        <v>353.15</v>
      </c>
      <c r="G91">
        <v>1284378</v>
      </c>
      <c r="H91" s="116"/>
      <c r="I91" s="116"/>
      <c r="L91" s="170">
        <v>42136</v>
      </c>
      <c r="M91" s="116">
        <v>33.688781825495099</v>
      </c>
      <c r="N91" s="116">
        <v>35.822912800865801</v>
      </c>
      <c r="O91" s="116">
        <v>33.588744436024598</v>
      </c>
      <c r="P91" s="116">
        <v>35.760984893098303</v>
      </c>
      <c r="Q91" s="116">
        <v>353.6</v>
      </c>
      <c r="R91">
        <v>5474619</v>
      </c>
    </row>
    <row r="92" spans="1:18" x14ac:dyDescent="0.25">
      <c r="A92" s="170">
        <v>42137</v>
      </c>
      <c r="B92" s="116">
        <v>34.418892654601102</v>
      </c>
      <c r="C92" s="116">
        <v>34.25692139505</v>
      </c>
      <c r="D92" s="116">
        <v>33.537578448220302</v>
      </c>
      <c r="E92" s="116">
        <v>33.842465525022298</v>
      </c>
      <c r="F92" s="116">
        <v>359.55</v>
      </c>
      <c r="G92">
        <v>873985</v>
      </c>
      <c r="H92" s="116"/>
      <c r="I92" s="116"/>
      <c r="L92" s="170">
        <v>42137</v>
      </c>
      <c r="M92" s="116">
        <v>34.250896680615</v>
      </c>
      <c r="N92" s="116">
        <v>34.4414440891303</v>
      </c>
      <c r="O92" s="116">
        <v>33.502998102192699</v>
      </c>
      <c r="P92" s="116">
        <v>33.941257141777797</v>
      </c>
      <c r="Q92" s="116">
        <v>359.5</v>
      </c>
      <c r="R92">
        <v>5396079</v>
      </c>
    </row>
    <row r="93" spans="1:18" x14ac:dyDescent="0.25">
      <c r="A93" s="170">
        <v>42138</v>
      </c>
      <c r="B93" s="116">
        <v>34.942917317854501</v>
      </c>
      <c r="C93" s="116">
        <v>34.8381123852038</v>
      </c>
      <c r="D93" s="116">
        <v>34.047311529748598</v>
      </c>
      <c r="E93" s="116">
        <v>34.280740697925197</v>
      </c>
      <c r="F93" s="116">
        <v>365.65</v>
      </c>
      <c r="G93">
        <v>603745</v>
      </c>
      <c r="H93" s="116"/>
      <c r="I93" s="116"/>
      <c r="L93" s="170">
        <v>42138</v>
      </c>
      <c r="M93" s="116">
        <v>34.908285239992601</v>
      </c>
      <c r="N93" s="116">
        <v>35.041668425953297</v>
      </c>
      <c r="O93" s="116">
        <v>34.046058216461098</v>
      </c>
      <c r="P93" s="116">
        <v>34.298533532743797</v>
      </c>
      <c r="Q93" s="116">
        <v>366.4</v>
      </c>
      <c r="R93">
        <v>3754097</v>
      </c>
    </row>
    <row r="94" spans="1:18" x14ac:dyDescent="0.25">
      <c r="A94" s="170">
        <v>42139</v>
      </c>
      <c r="B94" s="116">
        <v>34.757126755428303</v>
      </c>
      <c r="C94" s="116">
        <v>34.628502519902497</v>
      </c>
      <c r="D94" s="116">
        <v>33.875812549047502</v>
      </c>
      <c r="E94" s="116">
        <v>34.061603111473701</v>
      </c>
      <c r="F94" s="116">
        <v>363.45</v>
      </c>
      <c r="G94">
        <v>780044</v>
      </c>
      <c r="H94" s="116"/>
      <c r="I94" s="116"/>
      <c r="L94" s="170">
        <v>42139</v>
      </c>
      <c r="M94" s="116">
        <v>34.689155720200098</v>
      </c>
      <c r="N94" s="116">
        <v>34.860648387863797</v>
      </c>
      <c r="O94" s="116">
        <v>33.831692381881503</v>
      </c>
      <c r="P94" s="116">
        <v>34.298533532743797</v>
      </c>
      <c r="Q94" s="116">
        <v>364.1</v>
      </c>
      <c r="R94">
        <v>5169337</v>
      </c>
    </row>
    <row r="95" spans="1:18" x14ac:dyDescent="0.25">
      <c r="A95" s="170">
        <v>42142</v>
      </c>
      <c r="B95" s="116">
        <v>34.952445039004601</v>
      </c>
      <c r="C95" s="116">
        <v>34.685668846802798</v>
      </c>
      <c r="D95" s="116">
        <v>34.433184236326198</v>
      </c>
      <c r="E95" s="116">
        <v>34.776182197728403</v>
      </c>
      <c r="F95" s="116">
        <v>364.05</v>
      </c>
      <c r="G95">
        <v>360832</v>
      </c>
      <c r="H95" s="116"/>
      <c r="I95" s="116"/>
      <c r="L95" s="170">
        <v>42142</v>
      </c>
      <c r="M95" s="116">
        <v>34.693919405412998</v>
      </c>
      <c r="N95" s="116">
        <v>34.965449462547198</v>
      </c>
      <c r="O95" s="116">
        <v>34.393807237001504</v>
      </c>
      <c r="P95" s="116">
        <v>34.774902054031898</v>
      </c>
      <c r="Q95" s="116">
        <v>364.15</v>
      </c>
      <c r="R95">
        <v>2393588</v>
      </c>
    </row>
    <row r="96" spans="1:18" x14ac:dyDescent="0.25">
      <c r="A96" s="170">
        <v>42143</v>
      </c>
      <c r="B96" s="116">
        <v>35.233512812931401</v>
      </c>
      <c r="C96" s="116">
        <v>35.076305413955403</v>
      </c>
      <c r="D96" s="116">
        <v>34.495114423801603</v>
      </c>
      <c r="E96" s="116">
        <v>34.680904986227802</v>
      </c>
      <c r="F96" s="116">
        <v>368.15</v>
      </c>
      <c r="G96">
        <v>543799</v>
      </c>
      <c r="H96" s="116"/>
      <c r="I96" s="116"/>
      <c r="L96" s="170">
        <v>42143</v>
      </c>
      <c r="M96" s="116">
        <v>35.094068963295001</v>
      </c>
      <c r="N96" s="116">
        <v>35.246506890107199</v>
      </c>
      <c r="O96" s="116">
        <v>34.508135682110598</v>
      </c>
      <c r="P96" s="116">
        <v>34.679628349774298</v>
      </c>
      <c r="Q96" s="116">
        <v>368.35</v>
      </c>
      <c r="R96">
        <v>2939636</v>
      </c>
    </row>
    <row r="97" spans="1:18" x14ac:dyDescent="0.25">
      <c r="A97" s="170">
        <v>42144</v>
      </c>
      <c r="B97" s="116">
        <v>35.076305413955403</v>
      </c>
      <c r="C97" s="116">
        <v>34.428420375751102</v>
      </c>
      <c r="D97" s="116">
        <v>33.890104130772599</v>
      </c>
      <c r="E97" s="116">
        <v>35.042958389930199</v>
      </c>
      <c r="F97" s="116">
        <v>361.35</v>
      </c>
      <c r="G97">
        <v>995120</v>
      </c>
      <c r="H97" s="116"/>
      <c r="I97" s="116"/>
      <c r="L97" s="170">
        <v>42144</v>
      </c>
      <c r="M97" s="116">
        <v>34.422389348278699</v>
      </c>
      <c r="N97" s="116">
        <v>35.003558944250202</v>
      </c>
      <c r="O97" s="116">
        <v>33.874565548797399</v>
      </c>
      <c r="P97" s="116">
        <v>35.003558944250202</v>
      </c>
      <c r="Q97" s="116">
        <v>361.3</v>
      </c>
      <c r="R97">
        <v>6440489</v>
      </c>
    </row>
    <row r="98" spans="1:18" x14ac:dyDescent="0.25">
      <c r="A98" s="170">
        <v>42145</v>
      </c>
      <c r="B98" s="116">
        <v>33.4423012367197</v>
      </c>
      <c r="C98" s="116">
        <v>32.670555823564598</v>
      </c>
      <c r="D98" s="116">
        <v>32.5133484245886</v>
      </c>
      <c r="E98" s="116">
        <v>33.347024025219</v>
      </c>
      <c r="F98" s="116">
        <v>342.9</v>
      </c>
      <c r="G98">
        <v>1391813</v>
      </c>
      <c r="H98" s="116"/>
      <c r="I98" s="116"/>
      <c r="L98" s="170">
        <v>42145</v>
      </c>
      <c r="M98" s="116">
        <v>32.6074252821711</v>
      </c>
      <c r="N98" s="116">
        <v>33.441070194425201</v>
      </c>
      <c r="O98" s="116">
        <v>32.502624207487699</v>
      </c>
      <c r="P98" s="116">
        <v>33.345796490167601</v>
      </c>
      <c r="Q98" s="116">
        <v>342.25</v>
      </c>
      <c r="R98">
        <v>10255440</v>
      </c>
    </row>
    <row r="99" spans="1:18" x14ac:dyDescent="0.25">
      <c r="A99" s="170">
        <v>42146</v>
      </c>
      <c r="B99" s="116">
        <v>33.1326502993426</v>
      </c>
      <c r="C99" s="116">
        <v>32.5419315880388</v>
      </c>
      <c r="D99" s="116">
        <v>32.470473679413303</v>
      </c>
      <c r="E99" s="116">
        <v>32.584806333213997</v>
      </c>
      <c r="F99" s="116">
        <v>341.55</v>
      </c>
      <c r="G99">
        <v>573843</v>
      </c>
      <c r="H99" s="116"/>
      <c r="I99" s="116"/>
      <c r="L99" s="170">
        <v>42146</v>
      </c>
      <c r="M99" s="116">
        <v>32.5169152631263</v>
      </c>
      <c r="N99" s="116">
        <v>33.112375914736397</v>
      </c>
      <c r="O99" s="116">
        <v>32.435932614507301</v>
      </c>
      <c r="P99" s="116">
        <v>32.678880560364298</v>
      </c>
      <c r="Q99" s="116">
        <v>341.3</v>
      </c>
      <c r="R99">
        <v>3923140</v>
      </c>
    </row>
    <row r="100" spans="1:18" x14ac:dyDescent="0.25">
      <c r="A100" s="170">
        <v>42149</v>
      </c>
      <c r="B100" s="116">
        <v>32.389488049637698</v>
      </c>
      <c r="C100" s="116">
        <v>31.703492126833201</v>
      </c>
      <c r="D100" s="116">
        <v>31.584395612457499</v>
      </c>
      <c r="E100" s="116">
        <v>32.389488049637698</v>
      </c>
      <c r="F100" s="116">
        <v>332.75</v>
      </c>
      <c r="G100">
        <v>543954</v>
      </c>
      <c r="H100" s="116"/>
      <c r="I100" s="116"/>
      <c r="L100" s="170">
        <v>42149</v>
      </c>
      <c r="M100" s="116">
        <v>31.630869813530399</v>
      </c>
      <c r="N100" s="116">
        <v>32.378768391952804</v>
      </c>
      <c r="O100" s="116">
        <v>31.535596109272799</v>
      </c>
      <c r="P100" s="116">
        <v>32.340658910249701</v>
      </c>
      <c r="Q100" s="116">
        <v>332</v>
      </c>
      <c r="R100">
        <v>3894467</v>
      </c>
    </row>
    <row r="101" spans="1:18" x14ac:dyDescent="0.25">
      <c r="A101" s="170">
        <v>42150</v>
      </c>
      <c r="B101" s="116">
        <v>32.041726227660497</v>
      </c>
      <c r="C101" s="116">
        <v>31.713019847983301</v>
      </c>
      <c r="D101" s="116">
        <v>31.3795496077311</v>
      </c>
      <c r="E101" s="116">
        <v>31.846407944084199</v>
      </c>
      <c r="F101" s="116">
        <v>332.85</v>
      </c>
      <c r="G101">
        <v>436100</v>
      </c>
      <c r="H101" s="116"/>
      <c r="I101" s="116"/>
      <c r="L101" s="170">
        <v>42150</v>
      </c>
      <c r="M101" s="116">
        <v>31.711852462149398</v>
      </c>
      <c r="N101" s="116">
        <v>32.0596014826897</v>
      </c>
      <c r="O101" s="116">
        <v>31.3736308120349</v>
      </c>
      <c r="P101" s="116">
        <v>32.0596014826897</v>
      </c>
      <c r="Q101" s="116">
        <v>332.85</v>
      </c>
      <c r="R101">
        <v>2899173</v>
      </c>
    </row>
    <row r="102" spans="1:18" x14ac:dyDescent="0.25">
      <c r="A102" s="170">
        <v>42151</v>
      </c>
      <c r="B102" s="116">
        <v>31.822588641208998</v>
      </c>
      <c r="C102" s="116">
        <v>31.279508535655498</v>
      </c>
      <c r="D102" s="116">
        <v>31.203286766455001</v>
      </c>
      <c r="E102" s="116">
        <v>31.727311429708401</v>
      </c>
      <c r="F102" s="116">
        <v>328.3</v>
      </c>
      <c r="G102">
        <v>425296</v>
      </c>
      <c r="H102" s="116"/>
      <c r="I102" s="116"/>
      <c r="L102" s="170">
        <v>42151</v>
      </c>
      <c r="M102" s="116">
        <v>31.264066052138599</v>
      </c>
      <c r="N102" s="116">
        <v>31.845235648110101</v>
      </c>
      <c r="O102" s="116">
        <v>31.164028662668098</v>
      </c>
      <c r="P102" s="116">
        <v>31.711852462149398</v>
      </c>
      <c r="Q102" s="116">
        <v>328.15</v>
      </c>
      <c r="R102">
        <v>2890064</v>
      </c>
    </row>
    <row r="103" spans="1:18" x14ac:dyDescent="0.25">
      <c r="A103" s="170">
        <v>42152</v>
      </c>
      <c r="B103" s="116">
        <v>31.536757006707099</v>
      </c>
      <c r="C103" s="116">
        <v>30.931746713678201</v>
      </c>
      <c r="D103" s="116">
        <v>30.717372987801799</v>
      </c>
      <c r="E103" s="116">
        <v>31.508173843257001</v>
      </c>
      <c r="F103" s="116">
        <v>324.64999999999998</v>
      </c>
      <c r="G103">
        <v>523542</v>
      </c>
      <c r="H103" s="116"/>
      <c r="I103" s="116"/>
      <c r="L103" s="170">
        <v>42152</v>
      </c>
      <c r="M103" s="116">
        <v>30.935371772449798</v>
      </c>
      <c r="N103" s="116">
        <v>31.526068738847002</v>
      </c>
      <c r="O103" s="116">
        <v>30.692423826592901</v>
      </c>
      <c r="P103" s="116">
        <v>31.4212676641637</v>
      </c>
      <c r="Q103" s="116">
        <v>324.7</v>
      </c>
      <c r="R103">
        <v>4644009</v>
      </c>
    </row>
    <row r="104" spans="1:18" x14ac:dyDescent="0.25">
      <c r="A104" s="170">
        <v>42153</v>
      </c>
      <c r="B104" s="116">
        <v>31.622506497057699</v>
      </c>
      <c r="C104" s="116">
        <v>31.298563977955599</v>
      </c>
      <c r="D104" s="116">
        <v>30.965093737703398</v>
      </c>
      <c r="E104" s="116">
        <v>30.965093737703398</v>
      </c>
      <c r="F104" s="116">
        <v>328.5</v>
      </c>
      <c r="G104">
        <v>506217</v>
      </c>
      <c r="H104" s="116"/>
      <c r="I104" s="116"/>
      <c r="L104" s="170">
        <v>42153</v>
      </c>
      <c r="M104" s="116">
        <v>31.297411848628801</v>
      </c>
      <c r="N104" s="116">
        <v>31.6451608691691</v>
      </c>
      <c r="O104" s="116">
        <v>30.9639538837271</v>
      </c>
      <c r="P104" s="116">
        <v>30.9639538837271</v>
      </c>
      <c r="Q104" s="116">
        <v>328.5</v>
      </c>
      <c r="R104">
        <v>3721535</v>
      </c>
    </row>
    <row r="105" spans="1:18" x14ac:dyDescent="0.25">
      <c r="A105" s="170">
        <v>42156</v>
      </c>
      <c r="B105" s="116">
        <v>31.727311429708401</v>
      </c>
      <c r="C105" s="116">
        <v>31.365258026006</v>
      </c>
      <c r="D105" s="116">
        <v>31.212814487605002</v>
      </c>
      <c r="E105" s="116">
        <v>31.3462025837059</v>
      </c>
      <c r="F105" s="116">
        <v>329.2</v>
      </c>
      <c r="G105">
        <v>321017</v>
      </c>
      <c r="H105" s="116"/>
      <c r="I105" s="116"/>
      <c r="L105" s="170">
        <v>42156</v>
      </c>
      <c r="M105" s="116">
        <v>31.406976608525</v>
      </c>
      <c r="N105" s="116">
        <v>31.7356708882138</v>
      </c>
      <c r="O105" s="116">
        <v>31.1878470887325</v>
      </c>
      <c r="P105" s="116">
        <v>31.435558719802302</v>
      </c>
      <c r="Q105" s="116">
        <v>329.65</v>
      </c>
      <c r="R105">
        <v>1977913</v>
      </c>
    </row>
    <row r="106" spans="1:18" x14ac:dyDescent="0.25">
      <c r="A106" s="170">
        <v>42157</v>
      </c>
      <c r="B106" s="116">
        <v>31.517701564407002</v>
      </c>
      <c r="C106" s="116">
        <v>30.645915079176302</v>
      </c>
      <c r="D106" s="116">
        <v>30.5363462859506</v>
      </c>
      <c r="E106" s="116">
        <v>31.441479795206501</v>
      </c>
      <c r="F106" s="116">
        <v>321.64999999999998</v>
      </c>
      <c r="G106">
        <v>510950</v>
      </c>
      <c r="H106" s="116"/>
      <c r="I106" s="116"/>
      <c r="L106" s="170">
        <v>42157</v>
      </c>
      <c r="M106" s="116">
        <v>30.654314344889801</v>
      </c>
      <c r="N106" s="116">
        <v>31.526068738847002</v>
      </c>
      <c r="O106" s="116">
        <v>30.530458529354899</v>
      </c>
      <c r="P106" s="116">
        <v>31.440322405015198</v>
      </c>
      <c r="Q106" s="116">
        <v>321.75</v>
      </c>
      <c r="R106">
        <v>2315060</v>
      </c>
    </row>
    <row r="107" spans="1:18" x14ac:dyDescent="0.25">
      <c r="A107" s="170">
        <v>42158</v>
      </c>
      <c r="B107" s="116">
        <v>30.8269417810275</v>
      </c>
      <c r="C107" s="116">
        <v>30.145709718797999</v>
      </c>
      <c r="D107" s="116">
        <v>29.9456275746467</v>
      </c>
      <c r="E107" s="116">
        <v>30.7745393147021</v>
      </c>
      <c r="F107" s="116">
        <v>316.39999999999998</v>
      </c>
      <c r="G107">
        <v>509116</v>
      </c>
      <c r="H107" s="116"/>
      <c r="I107" s="116"/>
      <c r="L107" s="170">
        <v>42158</v>
      </c>
      <c r="M107" s="116">
        <v>30.1303089714729</v>
      </c>
      <c r="N107" s="116">
        <v>30.768642789998999</v>
      </c>
      <c r="O107" s="116">
        <v>29.934997877744799</v>
      </c>
      <c r="P107" s="116">
        <v>30.6828964561671</v>
      </c>
      <c r="Q107" s="116">
        <v>316.25</v>
      </c>
      <c r="R107">
        <v>2934090</v>
      </c>
    </row>
    <row r="108" spans="1:18" x14ac:dyDescent="0.25">
      <c r="A108" s="170">
        <v>42159</v>
      </c>
      <c r="B108" s="116">
        <v>30.393430468699599</v>
      </c>
      <c r="C108" s="116">
        <v>29.3692004450679</v>
      </c>
      <c r="D108" s="116">
        <v>29.0357302048157</v>
      </c>
      <c r="E108" s="116">
        <v>30.212403766848499</v>
      </c>
      <c r="F108" s="116">
        <v>308.25</v>
      </c>
      <c r="G108">
        <v>1106490</v>
      </c>
      <c r="H108" s="116"/>
      <c r="I108" s="116"/>
      <c r="L108" s="170">
        <v>42159</v>
      </c>
      <c r="M108" s="116">
        <v>29.3490645965604</v>
      </c>
      <c r="N108" s="116">
        <v>30.368493232116901</v>
      </c>
      <c r="O108" s="116">
        <v>29.015606631658699</v>
      </c>
      <c r="P108" s="116">
        <v>30.2160553053047</v>
      </c>
      <c r="Q108" s="116">
        <v>308.05</v>
      </c>
      <c r="R108">
        <v>4750173</v>
      </c>
    </row>
    <row r="109" spans="1:18" x14ac:dyDescent="0.25">
      <c r="A109" s="170">
        <v>42160</v>
      </c>
      <c r="B109" s="116">
        <v>30.198112185123399</v>
      </c>
      <c r="C109" s="116">
        <v>29.6359766372697</v>
      </c>
      <c r="D109" s="116">
        <v>28.8213564789393</v>
      </c>
      <c r="E109" s="116">
        <v>29.4216029113933</v>
      </c>
      <c r="F109" s="116">
        <v>311.05</v>
      </c>
      <c r="G109">
        <v>1049053</v>
      </c>
      <c r="H109" s="116"/>
      <c r="I109" s="116"/>
      <c r="L109" s="170">
        <v>42160</v>
      </c>
      <c r="M109" s="116">
        <v>29.639649394546101</v>
      </c>
      <c r="N109" s="116">
        <v>30.2208189905176</v>
      </c>
      <c r="O109" s="116">
        <v>28.796477111866199</v>
      </c>
      <c r="P109" s="116">
        <v>29.4395746156051</v>
      </c>
      <c r="Q109" s="116">
        <v>311.10000000000002</v>
      </c>
      <c r="R109">
        <v>5026335</v>
      </c>
    </row>
    <row r="110" spans="1:18" x14ac:dyDescent="0.25">
      <c r="A110" s="170">
        <v>42163</v>
      </c>
      <c r="B110" s="116">
        <v>30.002793901547101</v>
      </c>
      <c r="C110" s="116">
        <v>28.854703502964501</v>
      </c>
      <c r="D110" s="116">
        <v>28.730843128013699</v>
      </c>
      <c r="E110" s="116">
        <v>29.774128593945601</v>
      </c>
      <c r="F110" s="116">
        <v>302.85000000000002</v>
      </c>
      <c r="G110">
        <v>634408</v>
      </c>
      <c r="H110" s="116"/>
      <c r="I110" s="116"/>
      <c r="L110" s="170">
        <v>42163</v>
      </c>
      <c r="M110" s="116">
        <v>28.796477111866199</v>
      </c>
      <c r="N110" s="116">
        <v>30.006453155938001</v>
      </c>
      <c r="O110" s="116">
        <v>28.725021833673001</v>
      </c>
      <c r="P110" s="116">
        <v>29.725395728378</v>
      </c>
      <c r="Q110" s="116">
        <v>302.25</v>
      </c>
      <c r="R110">
        <v>3771355</v>
      </c>
    </row>
    <row r="111" spans="1:18" x14ac:dyDescent="0.25">
      <c r="A111" s="170">
        <v>42164</v>
      </c>
      <c r="B111" s="116">
        <v>29.283450954717299</v>
      </c>
      <c r="C111" s="116">
        <v>29.030966344240699</v>
      </c>
      <c r="D111" s="116">
        <v>27.9448061331336</v>
      </c>
      <c r="E111" s="116">
        <v>28.268748652235701</v>
      </c>
      <c r="F111" s="116">
        <v>304.7</v>
      </c>
      <c r="G111">
        <v>921198</v>
      </c>
      <c r="H111" s="116"/>
      <c r="I111" s="116"/>
      <c r="L111" s="170">
        <v>42164</v>
      </c>
      <c r="M111" s="116">
        <v>29.0346613725102</v>
      </c>
      <c r="N111" s="116">
        <v>29.282373003580101</v>
      </c>
      <c r="O111" s="116">
        <v>27.915195347483198</v>
      </c>
      <c r="P111" s="116">
        <v>28.201016460256</v>
      </c>
      <c r="Q111" s="116">
        <v>304.75</v>
      </c>
      <c r="R111">
        <v>6943722</v>
      </c>
    </row>
    <row r="112" spans="1:18" x14ac:dyDescent="0.25">
      <c r="A112" s="170">
        <v>42165</v>
      </c>
      <c r="B112" s="116">
        <v>29.3263256998926</v>
      </c>
      <c r="C112" s="116">
        <v>29.150062858616501</v>
      </c>
      <c r="D112" s="116">
        <v>28.754662430888899</v>
      </c>
      <c r="E112" s="116">
        <v>29.021438623090599</v>
      </c>
      <c r="F112" s="116">
        <v>305.95</v>
      </c>
      <c r="G112">
        <v>539488</v>
      </c>
      <c r="H112" s="116"/>
      <c r="I112" s="116"/>
      <c r="L112" s="170">
        <v>42165</v>
      </c>
      <c r="M112" s="116">
        <v>29.153753502832298</v>
      </c>
      <c r="N112" s="116">
        <v>29.325246170496001</v>
      </c>
      <c r="O112" s="116">
        <v>28.744076574524499</v>
      </c>
      <c r="P112" s="116">
        <v>29.058479798574599</v>
      </c>
      <c r="Q112" s="116">
        <v>306</v>
      </c>
      <c r="R112">
        <v>2920885</v>
      </c>
    </row>
    <row r="113" spans="1:18" x14ac:dyDescent="0.25">
      <c r="A113" s="170">
        <v>42166</v>
      </c>
      <c r="B113" s="116">
        <v>29.202465324941802</v>
      </c>
      <c r="C113" s="116">
        <v>28.468830796387</v>
      </c>
      <c r="D113" s="116">
        <v>28.321151118561001</v>
      </c>
      <c r="E113" s="116">
        <v>29.150062858616501</v>
      </c>
      <c r="F113" s="116">
        <v>298.8</v>
      </c>
      <c r="G113">
        <v>681766</v>
      </c>
      <c r="H113" s="116"/>
      <c r="I113" s="116"/>
      <c r="L113" s="170">
        <v>42166</v>
      </c>
      <c r="M113" s="116">
        <v>28.458255461751602</v>
      </c>
      <c r="N113" s="116">
        <v>29.239499836664098</v>
      </c>
      <c r="O113" s="116">
        <v>28.315344905365201</v>
      </c>
      <c r="P113" s="116">
        <v>29.163280873258</v>
      </c>
      <c r="Q113" s="116">
        <v>298.7</v>
      </c>
      <c r="R113">
        <v>3989250</v>
      </c>
    </row>
    <row r="114" spans="1:18" x14ac:dyDescent="0.25">
      <c r="A114" s="170">
        <v>42167</v>
      </c>
      <c r="B114" s="116">
        <v>28.668912940538299</v>
      </c>
      <c r="C114" s="116">
        <v>28.368789724311299</v>
      </c>
      <c r="D114" s="116">
        <v>28.049611065784202</v>
      </c>
      <c r="E114" s="116">
        <v>28.297331815685901</v>
      </c>
      <c r="F114" s="116">
        <v>297.75</v>
      </c>
      <c r="G114">
        <v>752951</v>
      </c>
      <c r="H114" s="116"/>
      <c r="I114" s="116"/>
      <c r="L114" s="170">
        <v>42167</v>
      </c>
      <c r="M114" s="116">
        <v>28.3486907018554</v>
      </c>
      <c r="N114" s="116">
        <v>28.6678576111184</v>
      </c>
      <c r="O114" s="116">
        <v>28.0247601073794</v>
      </c>
      <c r="P114" s="116">
        <v>28.3915638687713</v>
      </c>
      <c r="Q114" s="116">
        <v>297.55</v>
      </c>
      <c r="R114">
        <v>2718499</v>
      </c>
    </row>
    <row r="115" spans="1:18" x14ac:dyDescent="0.25">
      <c r="A115" s="170">
        <v>42170</v>
      </c>
      <c r="B115" s="116">
        <v>28.849939642389501</v>
      </c>
      <c r="C115" s="116">
        <v>28.302095676260901</v>
      </c>
      <c r="D115" s="116">
        <v>28.2020546041852</v>
      </c>
      <c r="E115" s="116">
        <v>28.392609027186499</v>
      </c>
      <c r="F115" s="116">
        <v>297.05</v>
      </c>
      <c r="G115">
        <v>637647</v>
      </c>
      <c r="H115" s="116"/>
      <c r="I115" s="116"/>
      <c r="L115" s="170">
        <v>42170</v>
      </c>
      <c r="M115" s="116">
        <v>28.296290164513699</v>
      </c>
      <c r="N115" s="116">
        <v>28.844113963994999</v>
      </c>
      <c r="O115" s="116">
        <v>28.2057801454689</v>
      </c>
      <c r="P115" s="116">
        <v>28.3915638687713</v>
      </c>
      <c r="Q115" s="116">
        <v>297</v>
      </c>
      <c r="R115">
        <v>2694931</v>
      </c>
    </row>
    <row r="116" spans="1:18" x14ac:dyDescent="0.25">
      <c r="A116" s="170">
        <v>42171</v>
      </c>
      <c r="B116" s="116">
        <v>28.364025863736298</v>
      </c>
      <c r="C116" s="116">
        <v>28.054374926359301</v>
      </c>
      <c r="D116" s="116">
        <v>27.739960128407201</v>
      </c>
      <c r="E116" s="116">
        <v>28.292567955110801</v>
      </c>
      <c r="F116" s="116">
        <v>294.45</v>
      </c>
      <c r="G116">
        <v>845901</v>
      </c>
      <c r="H116" s="116"/>
      <c r="I116" s="116"/>
      <c r="L116" s="170">
        <v>42171</v>
      </c>
      <c r="M116" s="116">
        <v>28.053342218656699</v>
      </c>
      <c r="N116" s="116">
        <v>28.3439270166425</v>
      </c>
      <c r="O116" s="116">
        <v>27.724647938967902</v>
      </c>
      <c r="P116" s="116">
        <v>28.277235423662098</v>
      </c>
      <c r="Q116" s="116">
        <v>294.45</v>
      </c>
      <c r="R116">
        <v>3068405</v>
      </c>
    </row>
    <row r="117" spans="1:18" x14ac:dyDescent="0.25">
      <c r="A117" s="170">
        <v>42172</v>
      </c>
      <c r="B117" s="116">
        <v>29.6502682189948</v>
      </c>
      <c r="C117" s="116">
        <v>29.0690772288409</v>
      </c>
      <c r="D117" s="116">
        <v>28.435483772361799</v>
      </c>
      <c r="E117" s="116">
        <v>28.983327738490399</v>
      </c>
      <c r="F117" s="116">
        <v>305.10000000000002</v>
      </c>
      <c r="G117">
        <v>1620089</v>
      </c>
      <c r="H117" s="116"/>
      <c r="I117" s="116"/>
      <c r="L117" s="170">
        <v>42172</v>
      </c>
      <c r="M117" s="116">
        <v>29.063243483787499</v>
      </c>
      <c r="N117" s="116">
        <v>29.6253583389075</v>
      </c>
      <c r="O117" s="116">
        <v>28.415382294835702</v>
      </c>
      <c r="P117" s="116">
        <v>28.9346239830397</v>
      </c>
      <c r="Q117" s="116">
        <v>305.05</v>
      </c>
      <c r="R117">
        <v>8323477</v>
      </c>
    </row>
    <row r="118" spans="1:18" x14ac:dyDescent="0.25">
      <c r="A118" s="170">
        <v>42173</v>
      </c>
      <c r="B118" s="116">
        <v>29.226284627817002</v>
      </c>
      <c r="C118" s="116">
        <v>28.926161411590002</v>
      </c>
      <c r="D118" s="116">
        <v>28.654621358813198</v>
      </c>
      <c r="E118" s="116">
        <v>29.0595495076909</v>
      </c>
      <c r="F118" s="116">
        <v>303.60000000000002</v>
      </c>
      <c r="G118">
        <v>642365</v>
      </c>
      <c r="H118" s="116"/>
      <c r="I118" s="116"/>
      <c r="L118" s="170">
        <v>42173</v>
      </c>
      <c r="M118" s="116">
        <v>28.9346239830397</v>
      </c>
      <c r="N118" s="116">
        <v>29.201390354961099</v>
      </c>
      <c r="O118" s="116">
        <v>28.6678576111184</v>
      </c>
      <c r="P118" s="116">
        <v>28.9917882055943</v>
      </c>
      <c r="Q118" s="116">
        <v>303.7</v>
      </c>
      <c r="R118">
        <v>3879758</v>
      </c>
    </row>
    <row r="119" spans="1:18" x14ac:dyDescent="0.25">
      <c r="A119" s="170">
        <v>42174</v>
      </c>
      <c r="B119" s="116">
        <v>29.516880122893902</v>
      </c>
      <c r="C119" s="116">
        <v>29.040494065390799</v>
      </c>
      <c r="D119" s="116">
        <v>28.954744575040198</v>
      </c>
      <c r="E119" s="116">
        <v>28.954744575040198</v>
      </c>
      <c r="F119" s="116">
        <v>304.8</v>
      </c>
      <c r="G119">
        <v>643929</v>
      </c>
      <c r="H119" s="116"/>
      <c r="I119" s="116"/>
      <c r="L119" s="170">
        <v>42174</v>
      </c>
      <c r="M119" s="116">
        <v>29.053716113361801</v>
      </c>
      <c r="N119" s="116">
        <v>29.511029893798302</v>
      </c>
      <c r="O119" s="116">
        <v>28.972733464742799</v>
      </c>
      <c r="P119" s="116">
        <v>29.101352965490602</v>
      </c>
      <c r="Q119" s="116">
        <v>304.95</v>
      </c>
      <c r="R119">
        <v>3289553</v>
      </c>
    </row>
    <row r="120" spans="1:18" x14ac:dyDescent="0.25">
      <c r="A120" s="170">
        <v>42177</v>
      </c>
      <c r="B120" s="116">
        <v>29.807475617970798</v>
      </c>
      <c r="C120" s="116">
        <v>29.574046449794299</v>
      </c>
      <c r="D120" s="116">
        <v>29.278687094142299</v>
      </c>
      <c r="E120" s="116">
        <v>29.440658353693401</v>
      </c>
      <c r="F120" s="116">
        <v>310.39999999999998</v>
      </c>
      <c r="G120">
        <v>683901</v>
      </c>
      <c r="H120" s="116"/>
      <c r="I120" s="116"/>
      <c r="L120" s="170">
        <v>42177</v>
      </c>
      <c r="M120" s="116">
        <v>29.596776227630201</v>
      </c>
      <c r="N120" s="116">
        <v>29.801614691784099</v>
      </c>
      <c r="O120" s="116">
        <v>29.249027207089899</v>
      </c>
      <c r="P120" s="116">
        <v>29.4395746156051</v>
      </c>
      <c r="Q120" s="116">
        <v>310.64999999999998</v>
      </c>
      <c r="R120">
        <v>3567461</v>
      </c>
    </row>
    <row r="121" spans="1:18" x14ac:dyDescent="0.25">
      <c r="A121" s="170">
        <v>42178</v>
      </c>
      <c r="B121" s="116">
        <v>30.164765161098099</v>
      </c>
      <c r="C121" s="116">
        <v>29.864641944871199</v>
      </c>
      <c r="D121" s="116">
        <v>29.6169211949695</v>
      </c>
      <c r="E121" s="116">
        <v>29.6312127766946</v>
      </c>
      <c r="F121" s="116">
        <v>313.45</v>
      </c>
      <c r="G121">
        <v>451647</v>
      </c>
      <c r="H121" s="116"/>
      <c r="I121" s="116"/>
      <c r="L121" s="170">
        <v>42178</v>
      </c>
      <c r="M121" s="116">
        <v>29.825433117848501</v>
      </c>
      <c r="N121" s="116">
        <v>30.1731821383888</v>
      </c>
      <c r="O121" s="116">
        <v>29.611067283268799</v>
      </c>
      <c r="P121" s="116">
        <v>29.639649394546101</v>
      </c>
      <c r="Q121" s="116">
        <v>313.05</v>
      </c>
      <c r="R121">
        <v>3013141</v>
      </c>
    </row>
    <row r="122" spans="1:18" x14ac:dyDescent="0.25">
      <c r="A122" s="170">
        <v>42179</v>
      </c>
      <c r="B122" s="116">
        <v>29.9742107380969</v>
      </c>
      <c r="C122" s="116">
        <v>28.973800017340299</v>
      </c>
      <c r="D122" s="116">
        <v>28.8070648972142</v>
      </c>
      <c r="E122" s="116">
        <v>29.912280550621499</v>
      </c>
      <c r="F122" s="116">
        <v>304.10000000000002</v>
      </c>
      <c r="G122">
        <v>914864</v>
      </c>
      <c r="H122" s="116"/>
      <c r="I122" s="116"/>
      <c r="L122" s="170">
        <v>42179</v>
      </c>
      <c r="M122" s="116">
        <v>29.015606631658699</v>
      </c>
      <c r="N122" s="116">
        <v>29.9540526185963</v>
      </c>
      <c r="O122" s="116">
        <v>28.858405019633601</v>
      </c>
      <c r="P122" s="116">
        <v>29.915943136893201</v>
      </c>
      <c r="Q122" s="116">
        <v>304.55</v>
      </c>
      <c r="R122">
        <v>2831828</v>
      </c>
    </row>
    <row r="123" spans="1:18" x14ac:dyDescent="0.25">
      <c r="A123" s="170">
        <v>42180</v>
      </c>
      <c r="B123" s="116">
        <v>29.045257925965799</v>
      </c>
      <c r="C123" s="116">
        <v>28.8451757818145</v>
      </c>
      <c r="D123" s="116">
        <v>28.726079267438699</v>
      </c>
      <c r="E123" s="116">
        <v>28.964272296190199</v>
      </c>
      <c r="F123" s="116">
        <v>302.75</v>
      </c>
      <c r="G123">
        <v>689458</v>
      </c>
      <c r="H123" s="116"/>
      <c r="I123" s="116"/>
      <c r="L123" s="170">
        <v>42180</v>
      </c>
      <c r="M123" s="116">
        <v>28.839350278782099</v>
      </c>
      <c r="N123" s="116">
        <v>29.039425057723101</v>
      </c>
      <c r="O123" s="116">
        <v>28.696439722395699</v>
      </c>
      <c r="P123" s="116">
        <v>28.9441513534655</v>
      </c>
      <c r="Q123" s="116">
        <v>302.7</v>
      </c>
      <c r="R123">
        <v>4608311</v>
      </c>
    </row>
    <row r="124" spans="1:18" x14ac:dyDescent="0.25">
      <c r="A124" s="170">
        <v>42181</v>
      </c>
      <c r="B124" s="116">
        <v>28.868995084689601</v>
      </c>
      <c r="C124" s="116">
        <v>28.397372887761499</v>
      </c>
      <c r="D124" s="116">
        <v>28.297331815685901</v>
      </c>
      <c r="E124" s="116">
        <v>28.768954012614</v>
      </c>
      <c r="F124" s="116">
        <v>298.05</v>
      </c>
      <c r="G124">
        <v>986694</v>
      </c>
      <c r="H124" s="116"/>
      <c r="I124" s="116"/>
      <c r="L124" s="170">
        <v>42181</v>
      </c>
      <c r="M124" s="116">
        <v>28.453491776538701</v>
      </c>
      <c r="N124" s="116">
        <v>28.877459760485198</v>
      </c>
      <c r="O124" s="116">
        <v>28.296290164513699</v>
      </c>
      <c r="P124" s="116">
        <v>28.820295537930601</v>
      </c>
      <c r="Q124" s="116">
        <v>298.64999999999998</v>
      </c>
      <c r="R124">
        <v>3380657</v>
      </c>
    </row>
    <row r="125" spans="1:18" x14ac:dyDescent="0.25">
      <c r="A125" s="170">
        <v>42184</v>
      </c>
      <c r="B125" s="116">
        <v>28.335442700286102</v>
      </c>
      <c r="C125" s="116">
        <v>28.173471440735099</v>
      </c>
      <c r="D125" s="116">
        <v>27.396962167005</v>
      </c>
      <c r="E125" s="116">
        <v>28.106777392684599</v>
      </c>
      <c r="F125" s="116">
        <v>295.7</v>
      </c>
      <c r="G125">
        <v>1078658</v>
      </c>
      <c r="H125" s="116"/>
      <c r="I125" s="116"/>
      <c r="L125" s="170">
        <v>42184</v>
      </c>
      <c r="M125" s="116">
        <v>28.229598571533302</v>
      </c>
      <c r="N125" s="116">
        <v>28.367745442706902</v>
      </c>
      <c r="O125" s="116">
        <v>27.3816626036405</v>
      </c>
      <c r="P125" s="116">
        <v>28.010469051740799</v>
      </c>
      <c r="Q125" s="116">
        <v>296.3</v>
      </c>
      <c r="R125">
        <v>3531575</v>
      </c>
    </row>
    <row r="126" spans="1:18" x14ac:dyDescent="0.25">
      <c r="A126" s="170">
        <v>42185</v>
      </c>
      <c r="B126" s="116">
        <v>29.207229185516798</v>
      </c>
      <c r="C126" s="116">
        <v>29.030966344240699</v>
      </c>
      <c r="D126" s="116">
        <v>28.135360556134799</v>
      </c>
      <c r="E126" s="116">
        <v>28.297331815685901</v>
      </c>
      <c r="F126" s="116">
        <v>304.7</v>
      </c>
      <c r="G126">
        <v>579432</v>
      </c>
      <c r="H126" s="116"/>
      <c r="I126" s="116"/>
      <c r="L126" s="170">
        <v>42185</v>
      </c>
      <c r="M126" s="116">
        <v>29.020370316871599</v>
      </c>
      <c r="N126" s="116">
        <v>29.201390354961099</v>
      </c>
      <c r="O126" s="116">
        <v>28.129561182062801</v>
      </c>
      <c r="P126" s="116">
        <v>28.229598571533302</v>
      </c>
      <c r="Q126" s="116">
        <v>304.60000000000002</v>
      </c>
      <c r="R126">
        <v>3062319</v>
      </c>
    </row>
    <row r="127" spans="1:18" x14ac:dyDescent="0.25">
      <c r="A127" s="170">
        <v>42186</v>
      </c>
      <c r="B127" s="116">
        <v>29.4073113296682</v>
      </c>
      <c r="C127" s="116">
        <v>29.207229185516798</v>
      </c>
      <c r="D127" s="116">
        <v>28.907105969289901</v>
      </c>
      <c r="E127" s="116">
        <v>29.1071881134412</v>
      </c>
      <c r="F127" s="116">
        <v>306.55</v>
      </c>
      <c r="G127">
        <v>469896</v>
      </c>
      <c r="H127" s="116"/>
      <c r="I127" s="116"/>
      <c r="L127" s="170">
        <v>42186</v>
      </c>
      <c r="M127" s="116">
        <v>29.244263521876999</v>
      </c>
      <c r="N127" s="116">
        <v>29.4395746156051</v>
      </c>
      <c r="O127" s="116">
        <v>28.906041871762401</v>
      </c>
      <c r="P127" s="116">
        <v>29.058479798574599</v>
      </c>
      <c r="Q127" s="116">
        <v>306.95</v>
      </c>
      <c r="R127">
        <v>3143855</v>
      </c>
    </row>
    <row r="128" spans="1:18" x14ac:dyDescent="0.25">
      <c r="A128" s="170">
        <v>42187</v>
      </c>
      <c r="B128" s="116">
        <v>29.564518728644199</v>
      </c>
      <c r="C128" s="116">
        <v>29.002383180790499</v>
      </c>
      <c r="D128" s="116">
        <v>28.916633690439902</v>
      </c>
      <c r="E128" s="116">
        <v>29.250103930692099</v>
      </c>
      <c r="F128" s="116">
        <v>304.39999999999998</v>
      </c>
      <c r="G128">
        <v>562661</v>
      </c>
      <c r="H128" s="116"/>
      <c r="I128" s="116"/>
      <c r="L128" s="170">
        <v>42187</v>
      </c>
      <c r="M128" s="116">
        <v>28.996551890807201</v>
      </c>
      <c r="N128" s="116">
        <v>29.5777214867787</v>
      </c>
      <c r="O128" s="116">
        <v>28.886987130910899</v>
      </c>
      <c r="P128" s="116">
        <v>29.272845633154301</v>
      </c>
      <c r="Q128" s="116">
        <v>304.35000000000002</v>
      </c>
      <c r="R128">
        <v>3840112</v>
      </c>
    </row>
    <row r="129" spans="1:18" x14ac:dyDescent="0.25">
      <c r="A129" s="170">
        <v>42188</v>
      </c>
      <c r="B129" s="116">
        <v>29.345381142192799</v>
      </c>
      <c r="C129" s="116">
        <v>28.673676801113299</v>
      </c>
      <c r="D129" s="116">
        <v>28.559344147312601</v>
      </c>
      <c r="E129" s="116">
        <v>29.345381142192799</v>
      </c>
      <c r="F129" s="116">
        <v>300.95</v>
      </c>
      <c r="G129">
        <v>499554</v>
      </c>
      <c r="H129" s="116"/>
      <c r="I129" s="116"/>
      <c r="L129" s="170">
        <v>42188</v>
      </c>
      <c r="M129" s="116">
        <v>28.696439722395699</v>
      </c>
      <c r="N129" s="116">
        <v>29.334773540921699</v>
      </c>
      <c r="O129" s="116">
        <v>28.539238110370601</v>
      </c>
      <c r="P129" s="116">
        <v>29.187099299322401</v>
      </c>
      <c r="Q129" s="116">
        <v>301.2</v>
      </c>
      <c r="R129">
        <v>2742506</v>
      </c>
    </row>
    <row r="130" spans="1:18" x14ac:dyDescent="0.25">
      <c r="A130" s="170">
        <v>42191</v>
      </c>
      <c r="B130" s="116">
        <v>28.5450525655875</v>
      </c>
      <c r="C130" s="116">
        <v>28.464066935811999</v>
      </c>
      <c r="D130" s="116">
        <v>27.849528921632899</v>
      </c>
      <c r="E130" s="116">
        <v>28.097249671534598</v>
      </c>
      <c r="F130" s="116">
        <v>298.75</v>
      </c>
      <c r="G130">
        <v>663354</v>
      </c>
      <c r="H130" s="116"/>
      <c r="I130" s="116"/>
      <c r="L130" s="170">
        <v>42191</v>
      </c>
      <c r="M130" s="116">
        <v>28.4868375730289</v>
      </c>
      <c r="N130" s="116">
        <v>28.558292851222099</v>
      </c>
      <c r="O130" s="116">
        <v>27.819921643225602</v>
      </c>
      <c r="P130" s="116">
        <v>28.105742755998399</v>
      </c>
      <c r="Q130" s="116">
        <v>299</v>
      </c>
      <c r="R130">
        <v>3708182</v>
      </c>
    </row>
    <row r="131" spans="1:18" x14ac:dyDescent="0.25">
      <c r="A131" s="170">
        <v>42192</v>
      </c>
      <c r="B131" s="116">
        <v>28.892814387564801</v>
      </c>
      <c r="C131" s="116">
        <v>28.340206560861098</v>
      </c>
      <c r="D131" s="116">
        <v>28.2020546041852</v>
      </c>
      <c r="E131" s="116">
        <v>28.654621358813198</v>
      </c>
      <c r="F131" s="116">
        <v>297.45</v>
      </c>
      <c r="G131">
        <v>877207</v>
      </c>
      <c r="H131" s="116"/>
      <c r="I131" s="116"/>
      <c r="L131" s="170">
        <v>42192</v>
      </c>
      <c r="M131" s="116">
        <v>28.410618609622802</v>
      </c>
      <c r="N131" s="116">
        <v>28.872696075272302</v>
      </c>
      <c r="O131" s="116">
        <v>28.2105438306818</v>
      </c>
      <c r="P131" s="116">
        <v>28.744076574524499</v>
      </c>
      <c r="Q131" s="116">
        <v>298.2</v>
      </c>
      <c r="R131">
        <v>3298732</v>
      </c>
    </row>
    <row r="132" spans="1:18" x14ac:dyDescent="0.25">
      <c r="A132" s="170">
        <v>42193</v>
      </c>
      <c r="B132" s="116">
        <v>28.011500181184001</v>
      </c>
      <c r="C132" s="116">
        <v>27.001561739277399</v>
      </c>
      <c r="D132" s="116">
        <v>26.868173643176501</v>
      </c>
      <c r="E132" s="116">
        <v>27.992444738883901</v>
      </c>
      <c r="F132" s="116">
        <v>283.39999999999998</v>
      </c>
      <c r="G132">
        <v>1446189</v>
      </c>
      <c r="H132" s="116"/>
      <c r="I132" s="116"/>
      <c r="L132" s="170">
        <v>42193</v>
      </c>
      <c r="M132" s="116">
        <v>26.9767493605456</v>
      </c>
      <c r="N132" s="116">
        <v>28.010469051740799</v>
      </c>
      <c r="O132" s="116">
        <v>26.848129859797801</v>
      </c>
      <c r="P132" s="116">
        <v>28.010469051740799</v>
      </c>
      <c r="Q132" s="116">
        <v>283.14999999999998</v>
      </c>
      <c r="R132">
        <v>8141937</v>
      </c>
    </row>
    <row r="133" spans="1:18" x14ac:dyDescent="0.25">
      <c r="A133" s="170">
        <v>42194</v>
      </c>
      <c r="B133" s="116">
        <v>27.3683790035548</v>
      </c>
      <c r="C133" s="116">
        <v>26.730021686500599</v>
      </c>
      <c r="D133" s="116">
        <v>26.639508335575002</v>
      </c>
      <c r="E133" s="116">
        <v>27.173060719978501</v>
      </c>
      <c r="F133" s="116">
        <v>280.55</v>
      </c>
      <c r="G133">
        <v>974983</v>
      </c>
      <c r="H133" s="116"/>
      <c r="I133" s="116"/>
      <c r="L133" s="170">
        <v>42194</v>
      </c>
      <c r="M133" s="116">
        <v>26.724274044262899</v>
      </c>
      <c r="N133" s="116">
        <v>27.3816626036405</v>
      </c>
      <c r="O133" s="116">
        <v>26.638527710430999</v>
      </c>
      <c r="P133" s="116">
        <v>27.010095157035799</v>
      </c>
      <c r="Q133" s="116">
        <v>280.5</v>
      </c>
      <c r="R133">
        <v>6214726</v>
      </c>
    </row>
    <row r="134" spans="1:18" x14ac:dyDescent="0.25">
      <c r="A134" s="170">
        <v>42195</v>
      </c>
      <c r="B134" s="116">
        <v>27.115894393078101</v>
      </c>
      <c r="C134" s="116">
        <v>26.7681325711008</v>
      </c>
      <c r="D134" s="116">
        <v>26.582342008674601</v>
      </c>
      <c r="E134" s="116">
        <v>26.868173643176501</v>
      </c>
      <c r="F134" s="116">
        <v>280.95</v>
      </c>
      <c r="G134">
        <v>702436</v>
      </c>
      <c r="H134" s="116"/>
      <c r="I134" s="116"/>
      <c r="L134" s="170">
        <v>42195</v>
      </c>
      <c r="M134" s="116">
        <v>26.762383525966001</v>
      </c>
      <c r="N134" s="116">
        <v>27.1053688612934</v>
      </c>
      <c r="O134" s="116">
        <v>26.5575450618121</v>
      </c>
      <c r="P134" s="116">
        <v>26.952930934481198</v>
      </c>
      <c r="Q134" s="116">
        <v>280.89999999999998</v>
      </c>
      <c r="R134">
        <v>4021397</v>
      </c>
    </row>
    <row r="135" spans="1:18" x14ac:dyDescent="0.25">
      <c r="A135" s="170">
        <v>42198</v>
      </c>
      <c r="B135" s="116">
        <v>27.211171604578698</v>
      </c>
      <c r="C135" s="116">
        <v>27.101602811353001</v>
      </c>
      <c r="D135" s="116">
        <v>26.596633590399701</v>
      </c>
      <c r="E135" s="116">
        <v>26.858645922026401</v>
      </c>
      <c r="F135" s="116">
        <v>284.45</v>
      </c>
      <c r="G135">
        <v>658957</v>
      </c>
      <c r="H135" s="116"/>
      <c r="I135" s="116"/>
      <c r="L135" s="170">
        <v>42198</v>
      </c>
      <c r="M135" s="116">
        <v>27.100605176080499</v>
      </c>
      <c r="N135" s="116">
        <v>27.219697306402502</v>
      </c>
      <c r="O135" s="116">
        <v>26.581363487876501</v>
      </c>
      <c r="P135" s="116">
        <v>27.010095157035799</v>
      </c>
      <c r="Q135" s="116">
        <v>284.45</v>
      </c>
      <c r="R135">
        <v>3436859</v>
      </c>
    </row>
    <row r="136" spans="1:18" x14ac:dyDescent="0.25">
      <c r="A136" s="170">
        <v>42199</v>
      </c>
      <c r="B136" s="116">
        <v>27.3350319795295</v>
      </c>
      <c r="C136" s="116">
        <v>26.839590479726301</v>
      </c>
      <c r="D136" s="116">
        <v>26.7776602922509</v>
      </c>
      <c r="E136" s="116">
        <v>27.154005277678401</v>
      </c>
      <c r="F136" s="116">
        <v>281.7</v>
      </c>
      <c r="G136">
        <v>561904</v>
      </c>
      <c r="H136" s="116"/>
      <c r="I136" s="116"/>
      <c r="L136" s="170">
        <v>42199</v>
      </c>
      <c r="M136" s="116">
        <v>26.7862019520304</v>
      </c>
      <c r="N136" s="116">
        <v>27.314971010660202</v>
      </c>
      <c r="O136" s="116">
        <v>26.724274044262899</v>
      </c>
      <c r="P136" s="116">
        <v>27.129187287357801</v>
      </c>
      <c r="Q136" s="116">
        <v>281.14999999999998</v>
      </c>
      <c r="R136">
        <v>3430737</v>
      </c>
    </row>
    <row r="137" spans="1:18" x14ac:dyDescent="0.25">
      <c r="A137" s="170">
        <v>42200</v>
      </c>
      <c r="B137" s="116">
        <v>27.144477556528301</v>
      </c>
      <c r="C137" s="116">
        <v>26.744313268225699</v>
      </c>
      <c r="D137" s="116">
        <v>26.620452893274901</v>
      </c>
      <c r="E137" s="116">
        <v>26.963450854677099</v>
      </c>
      <c r="F137" s="116">
        <v>280.7</v>
      </c>
      <c r="G137">
        <v>564323</v>
      </c>
      <c r="H137" s="116"/>
      <c r="I137" s="116"/>
      <c r="L137" s="170">
        <v>42200</v>
      </c>
      <c r="M137" s="116">
        <v>26.714746673837102</v>
      </c>
      <c r="N137" s="116">
        <v>27.133950972570702</v>
      </c>
      <c r="O137" s="116">
        <v>26.590890858302199</v>
      </c>
      <c r="P137" s="116">
        <v>26.9338761936297</v>
      </c>
      <c r="Q137" s="116">
        <v>280.39999999999998</v>
      </c>
      <c r="R137">
        <v>3679789</v>
      </c>
    </row>
    <row r="138" spans="1:18" x14ac:dyDescent="0.25">
      <c r="A138" s="170">
        <v>42201</v>
      </c>
      <c r="B138" s="116">
        <v>27.320740397804499</v>
      </c>
      <c r="C138" s="116">
        <v>26.8205350374262</v>
      </c>
      <c r="D138" s="116">
        <v>26.7347855470756</v>
      </c>
      <c r="E138" s="116">
        <v>27.154005277678401</v>
      </c>
      <c r="F138" s="116">
        <v>281.5</v>
      </c>
      <c r="G138">
        <v>932539</v>
      </c>
      <c r="H138" s="116"/>
      <c r="I138" s="116"/>
      <c r="L138" s="170">
        <v>42201</v>
      </c>
      <c r="M138" s="116">
        <v>26.752856155540201</v>
      </c>
      <c r="N138" s="116">
        <v>27.2959162698086</v>
      </c>
      <c r="O138" s="116">
        <v>26.686164562559899</v>
      </c>
      <c r="P138" s="116">
        <v>27.162533083848</v>
      </c>
      <c r="Q138" s="116">
        <v>280.8</v>
      </c>
      <c r="R138">
        <v>6313384</v>
      </c>
    </row>
    <row r="139" spans="1:18" x14ac:dyDescent="0.25">
      <c r="A139" s="170">
        <v>42202</v>
      </c>
      <c r="B139" s="116">
        <v>27.292157234354299</v>
      </c>
      <c r="C139" s="116">
        <v>27.0873112296279</v>
      </c>
      <c r="D139" s="116">
        <v>26.706202383625399</v>
      </c>
      <c r="E139" s="116">
        <v>26.868173643176501</v>
      </c>
      <c r="F139" s="116">
        <v>284.3</v>
      </c>
      <c r="G139">
        <v>919068</v>
      </c>
      <c r="H139" s="116"/>
      <c r="I139" s="116"/>
      <c r="L139" s="170">
        <v>42202</v>
      </c>
      <c r="M139" s="116">
        <v>27.0624956943775</v>
      </c>
      <c r="N139" s="116">
        <v>27.281625214169999</v>
      </c>
      <c r="O139" s="116">
        <v>26.676637192134098</v>
      </c>
      <c r="P139" s="116">
        <v>26.867184600649299</v>
      </c>
      <c r="Q139" s="116">
        <v>284.05</v>
      </c>
      <c r="R139">
        <v>6449985</v>
      </c>
    </row>
    <row r="140" spans="1:18" x14ac:dyDescent="0.25">
      <c r="A140" s="170">
        <v>42205</v>
      </c>
      <c r="B140" s="116">
        <v>27.411253748730001</v>
      </c>
      <c r="C140" s="116">
        <v>27.0587280661777</v>
      </c>
      <c r="D140" s="116">
        <v>26.972978575827199</v>
      </c>
      <c r="E140" s="116">
        <v>27.239754768028899</v>
      </c>
      <c r="F140" s="116">
        <v>284</v>
      </c>
      <c r="G140">
        <v>546039</v>
      </c>
      <c r="H140" s="116"/>
      <c r="I140" s="116"/>
      <c r="L140" s="170">
        <v>42205</v>
      </c>
      <c r="M140" s="116">
        <v>27.014858842248699</v>
      </c>
      <c r="N140" s="116">
        <v>27.410244714917798</v>
      </c>
      <c r="O140" s="116">
        <v>26.962458304906999</v>
      </c>
      <c r="P140" s="116">
        <v>27.1530057134222</v>
      </c>
      <c r="Q140" s="116">
        <v>283.55</v>
      </c>
      <c r="R140">
        <v>3733723</v>
      </c>
    </row>
    <row r="141" spans="1:18" x14ac:dyDescent="0.25">
      <c r="A141" s="170">
        <v>42206</v>
      </c>
      <c r="B141" s="116">
        <v>27.106366671928001</v>
      </c>
      <c r="C141" s="116">
        <v>26.167886138646899</v>
      </c>
      <c r="D141" s="116">
        <v>26.105955951171499</v>
      </c>
      <c r="E141" s="116">
        <v>27.092075090203</v>
      </c>
      <c r="F141" s="116">
        <v>274.64999999999998</v>
      </c>
      <c r="G141">
        <v>1010988</v>
      </c>
      <c r="H141" s="116"/>
      <c r="I141" s="116"/>
      <c r="L141" s="170">
        <v>42206</v>
      </c>
      <c r="M141" s="116">
        <v>26.171686559568698</v>
      </c>
      <c r="N141" s="116">
        <v>27.0672593795903</v>
      </c>
      <c r="O141" s="116">
        <v>26.090703910949699</v>
      </c>
      <c r="P141" s="116">
        <v>27.0672593795903</v>
      </c>
      <c r="Q141" s="116">
        <v>274.7</v>
      </c>
      <c r="R141">
        <v>5095184</v>
      </c>
    </row>
    <row r="142" spans="1:18" x14ac:dyDescent="0.25">
      <c r="A142" s="170">
        <v>42207</v>
      </c>
      <c r="B142" s="116">
        <v>26.7728964316759</v>
      </c>
      <c r="C142" s="116">
        <v>26.710966244200399</v>
      </c>
      <c r="D142" s="116">
        <v>25.581931287918</v>
      </c>
      <c r="E142" s="116">
        <v>25.9154015281702</v>
      </c>
      <c r="F142" s="116">
        <v>280.35000000000002</v>
      </c>
      <c r="G142">
        <v>842541</v>
      </c>
      <c r="H142" s="116"/>
      <c r="I142" s="116"/>
      <c r="L142" s="170">
        <v>42207</v>
      </c>
      <c r="M142" s="116">
        <v>26.714746673837102</v>
      </c>
      <c r="N142" s="116">
        <v>26.771910896391699</v>
      </c>
      <c r="O142" s="116">
        <v>25.600044334023</v>
      </c>
      <c r="P142" s="116">
        <v>25.842992279879901</v>
      </c>
      <c r="Q142" s="116">
        <v>280.39999999999998</v>
      </c>
      <c r="R142">
        <v>5910848</v>
      </c>
    </row>
    <row r="143" spans="1:18" x14ac:dyDescent="0.25">
      <c r="A143" s="170">
        <v>42208</v>
      </c>
      <c r="B143" s="116">
        <v>26.153594556921799</v>
      </c>
      <c r="C143" s="116">
        <v>25.753430268619201</v>
      </c>
      <c r="D143" s="116">
        <v>25.705791662868801</v>
      </c>
      <c r="E143" s="116">
        <v>26.105955951171499</v>
      </c>
      <c r="F143" s="116">
        <v>270.3</v>
      </c>
      <c r="G143">
        <v>869158</v>
      </c>
      <c r="H143" s="116"/>
      <c r="I143" s="116"/>
      <c r="L143" s="170">
        <v>42208</v>
      </c>
      <c r="M143" s="116">
        <v>25.714372779132098</v>
      </c>
      <c r="N143" s="116">
        <v>26.1478681335043</v>
      </c>
      <c r="O143" s="116">
        <v>25.657208556577501</v>
      </c>
      <c r="P143" s="116">
        <v>26.1049949665884</v>
      </c>
      <c r="Q143" s="116">
        <v>269.89999999999998</v>
      </c>
      <c r="R143">
        <v>6961219</v>
      </c>
    </row>
    <row r="144" spans="1:18" x14ac:dyDescent="0.25">
      <c r="A144" s="170">
        <v>42209</v>
      </c>
      <c r="B144" s="116">
        <v>26.001151018520801</v>
      </c>
      <c r="C144" s="116">
        <v>25.257988768815899</v>
      </c>
      <c r="D144" s="116">
        <v>25.157947696740202</v>
      </c>
      <c r="E144" s="116">
        <v>26.001151018520801</v>
      </c>
      <c r="F144" s="116">
        <v>265.10000000000002</v>
      </c>
      <c r="G144">
        <v>729622</v>
      </c>
      <c r="H144" s="116"/>
      <c r="I144" s="116"/>
      <c r="L144" s="170">
        <v>42209</v>
      </c>
      <c r="M144" s="116">
        <v>25.252295313482701</v>
      </c>
      <c r="N144" s="116">
        <v>25.881101761583</v>
      </c>
      <c r="O144" s="116">
        <v>25.171312664863699</v>
      </c>
      <c r="P144" s="116">
        <v>25.6953180382806</v>
      </c>
      <c r="Q144" s="116">
        <v>265.05</v>
      </c>
      <c r="R144">
        <v>3810280</v>
      </c>
    </row>
    <row r="145" spans="1:18" x14ac:dyDescent="0.25">
      <c r="A145" s="170">
        <v>42212</v>
      </c>
      <c r="B145" s="116">
        <v>25.248461047665799</v>
      </c>
      <c r="C145" s="116">
        <v>23.952690971257301</v>
      </c>
      <c r="D145" s="116">
        <v>23.8907607837819</v>
      </c>
      <c r="E145" s="116">
        <v>25.248461047665799</v>
      </c>
      <c r="F145" s="116">
        <v>251.4</v>
      </c>
      <c r="G145">
        <v>1428378</v>
      </c>
      <c r="H145" s="116"/>
      <c r="I145" s="116"/>
      <c r="L145" s="170">
        <v>42212</v>
      </c>
      <c r="M145" s="116">
        <v>23.889881342598699</v>
      </c>
      <c r="N145" s="116">
        <v>25.076038960605999</v>
      </c>
      <c r="O145" s="116">
        <v>23.823189749618301</v>
      </c>
      <c r="P145" s="116">
        <v>25.056984219754501</v>
      </c>
      <c r="Q145" s="116">
        <v>250.75</v>
      </c>
      <c r="R145">
        <v>7648463</v>
      </c>
    </row>
    <row r="146" spans="1:18" x14ac:dyDescent="0.25">
      <c r="A146" s="170">
        <v>42213</v>
      </c>
      <c r="B146" s="116">
        <v>24.047968182758002</v>
      </c>
      <c r="C146" s="116">
        <v>23.757372687680999</v>
      </c>
      <c r="D146" s="116">
        <v>23.500124216629398</v>
      </c>
      <c r="E146" s="116">
        <v>23.938399389532201</v>
      </c>
      <c r="F146" s="116">
        <v>249.35</v>
      </c>
      <c r="G146">
        <v>1073791</v>
      </c>
      <c r="H146" s="116"/>
      <c r="I146" s="116"/>
      <c r="L146" s="170">
        <v>42213</v>
      </c>
      <c r="M146" s="116">
        <v>23.746970786212199</v>
      </c>
      <c r="N146" s="116">
        <v>24.051846639836601</v>
      </c>
      <c r="O146" s="116">
        <v>23.475440729077999</v>
      </c>
      <c r="P146" s="116">
        <v>23.913699768663101</v>
      </c>
      <c r="Q146" s="116">
        <v>249.25</v>
      </c>
      <c r="R146">
        <v>5538500</v>
      </c>
    </row>
    <row r="147" spans="1:18" x14ac:dyDescent="0.25">
      <c r="A147" s="170">
        <v>42214</v>
      </c>
      <c r="B147" s="116">
        <v>24.262341908634401</v>
      </c>
      <c r="C147" s="116">
        <v>23.8812330626319</v>
      </c>
      <c r="D147" s="116">
        <v>23.771664269406099</v>
      </c>
      <c r="E147" s="116">
        <v>24.000329577007602</v>
      </c>
      <c r="F147" s="116">
        <v>250.65</v>
      </c>
      <c r="G147">
        <v>687885</v>
      </c>
      <c r="H147" s="116"/>
      <c r="I147" s="116"/>
      <c r="L147" s="170">
        <v>42214</v>
      </c>
      <c r="M147" s="116">
        <v>23.870826601747101</v>
      </c>
      <c r="N147" s="116">
        <v>24.261448789203399</v>
      </c>
      <c r="O147" s="116">
        <v>23.761261841850899</v>
      </c>
      <c r="P147" s="116">
        <v>23.913699768663101</v>
      </c>
      <c r="Q147" s="116">
        <v>250.55</v>
      </c>
      <c r="R147">
        <v>4003496</v>
      </c>
    </row>
    <row r="148" spans="1:18" x14ac:dyDescent="0.25">
      <c r="A148" s="170">
        <v>42215</v>
      </c>
      <c r="B148" s="116">
        <v>24.086079067358199</v>
      </c>
      <c r="C148" s="116">
        <v>23.662095476180401</v>
      </c>
      <c r="D148" s="116">
        <v>23.600165288705</v>
      </c>
      <c r="E148" s="116">
        <v>24.047968182758002</v>
      </c>
      <c r="F148" s="116">
        <v>248.35</v>
      </c>
      <c r="G148">
        <v>772451</v>
      </c>
      <c r="H148" s="116"/>
      <c r="I148" s="116"/>
      <c r="L148" s="170">
        <v>42215</v>
      </c>
      <c r="M148" s="116">
        <v>23.642169711528801</v>
      </c>
      <c r="N148" s="116">
        <v>24.104247177178301</v>
      </c>
      <c r="O148" s="116">
        <v>23.5850054889743</v>
      </c>
      <c r="P148" s="116">
        <v>24.094719806752501</v>
      </c>
      <c r="Q148" s="116">
        <v>248.15</v>
      </c>
      <c r="R148">
        <v>5169083</v>
      </c>
    </row>
    <row r="149" spans="1:18" x14ac:dyDescent="0.25">
      <c r="A149" s="170">
        <v>42216</v>
      </c>
      <c r="B149" s="116">
        <v>24.071787485633099</v>
      </c>
      <c r="C149" s="116">
        <v>23.562054404104799</v>
      </c>
      <c r="D149" s="116">
        <v>23.3667361205285</v>
      </c>
      <c r="E149" s="116">
        <v>23.771664269406099</v>
      </c>
      <c r="F149" s="116">
        <v>247.3</v>
      </c>
      <c r="G149">
        <v>1095008</v>
      </c>
      <c r="H149" s="116"/>
      <c r="I149" s="116"/>
      <c r="L149" s="170">
        <v>42216</v>
      </c>
      <c r="M149" s="116">
        <v>23.523077581206799</v>
      </c>
      <c r="N149" s="116">
        <v>24.075665065900999</v>
      </c>
      <c r="O149" s="116">
        <v>23.342057543117299</v>
      </c>
      <c r="P149" s="116">
        <v>23.818426064405401</v>
      </c>
      <c r="Q149" s="116">
        <v>246.9</v>
      </c>
      <c r="R149">
        <v>8848138</v>
      </c>
    </row>
    <row r="150" spans="1:18" x14ac:dyDescent="0.25">
      <c r="A150" s="170">
        <v>42219</v>
      </c>
      <c r="B150" s="116">
        <v>23.8859969232069</v>
      </c>
      <c r="C150" s="116">
        <v>23.6287484521552</v>
      </c>
      <c r="D150" s="116">
        <v>23.385791562828601</v>
      </c>
      <c r="E150" s="116">
        <v>23.562054404104799</v>
      </c>
      <c r="F150" s="116">
        <v>248</v>
      </c>
      <c r="G150">
        <v>805564</v>
      </c>
      <c r="H150" s="116"/>
      <c r="I150" s="116"/>
      <c r="L150" s="170">
        <v>42219</v>
      </c>
      <c r="M150" s="116">
        <v>23.6231149706773</v>
      </c>
      <c r="N150" s="116">
        <v>23.894645027811499</v>
      </c>
      <c r="O150" s="116">
        <v>23.370639654394601</v>
      </c>
      <c r="P150" s="116">
        <v>23.523077581206799</v>
      </c>
      <c r="Q150" s="116">
        <v>247.95</v>
      </c>
      <c r="R150">
        <v>3556212</v>
      </c>
    </row>
    <row r="151" spans="1:18" x14ac:dyDescent="0.25">
      <c r="A151" s="170">
        <v>42220</v>
      </c>
      <c r="B151" s="116">
        <v>24.7577834084376</v>
      </c>
      <c r="C151" s="116">
        <v>24.429077028760499</v>
      </c>
      <c r="D151" s="116">
        <v>23.452485610878998</v>
      </c>
      <c r="E151" s="116">
        <v>23.724025663655802</v>
      </c>
      <c r="F151" s="116">
        <v>256.39999999999998</v>
      </c>
      <c r="G151">
        <v>1994030</v>
      </c>
      <c r="H151" s="116"/>
      <c r="I151" s="116"/>
      <c r="L151" s="170">
        <v>42220</v>
      </c>
      <c r="M151" s="116">
        <v>24.418650401228501</v>
      </c>
      <c r="N151" s="116">
        <v>24.747344680917301</v>
      </c>
      <c r="O151" s="116">
        <v>23.4420949325878</v>
      </c>
      <c r="P151" s="116">
        <v>23.789843953128202</v>
      </c>
      <c r="Q151" s="116">
        <v>256.3</v>
      </c>
      <c r="R151">
        <v>9723318</v>
      </c>
    </row>
    <row r="152" spans="1:18" x14ac:dyDescent="0.25">
      <c r="A152" s="170">
        <v>42221</v>
      </c>
      <c r="B152" s="116">
        <v>25.553348124467799</v>
      </c>
      <c r="C152" s="116">
        <v>24.986448716039099</v>
      </c>
      <c r="D152" s="116">
        <v>24.676797778662099</v>
      </c>
      <c r="E152" s="116">
        <v>24.7720749901627</v>
      </c>
      <c r="F152" s="116">
        <v>262.25</v>
      </c>
      <c r="G152">
        <v>1334998</v>
      </c>
      <c r="H152" s="116"/>
      <c r="I152" s="116"/>
      <c r="L152" s="170">
        <v>42221</v>
      </c>
      <c r="M152" s="116">
        <v>24.990292626774199</v>
      </c>
      <c r="N152" s="116">
        <v>25.580989593171399</v>
      </c>
      <c r="O152" s="116">
        <v>24.766399421768799</v>
      </c>
      <c r="P152" s="116">
        <v>24.7711631069817</v>
      </c>
      <c r="Q152" s="116">
        <v>262.3</v>
      </c>
      <c r="R152">
        <v>7979075</v>
      </c>
    </row>
    <row r="153" spans="1:18" x14ac:dyDescent="0.25">
      <c r="A153" s="170">
        <v>42222</v>
      </c>
      <c r="B153" s="116">
        <v>25.2913357928411</v>
      </c>
      <c r="C153" s="116">
        <v>24.895935365113498</v>
      </c>
      <c r="D153" s="116">
        <v>24.4386047499105</v>
      </c>
      <c r="E153" s="116">
        <v>24.986448716039099</v>
      </c>
      <c r="F153" s="116">
        <v>261.3</v>
      </c>
      <c r="G153">
        <v>920212</v>
      </c>
      <c r="H153" s="116"/>
      <c r="I153" s="116"/>
      <c r="L153" s="170">
        <v>42222</v>
      </c>
      <c r="M153" s="116">
        <v>24.8664368112393</v>
      </c>
      <c r="N153" s="116">
        <v>25.285641109972801</v>
      </c>
      <c r="O153" s="116">
        <v>24.4138867160156</v>
      </c>
      <c r="P153" s="116">
        <v>24.995056311987099</v>
      </c>
      <c r="Q153" s="116">
        <v>261</v>
      </c>
      <c r="R153">
        <v>6376740</v>
      </c>
    </row>
    <row r="154" spans="1:18" x14ac:dyDescent="0.25">
      <c r="A154" s="170">
        <v>42223</v>
      </c>
      <c r="B154" s="116">
        <v>25.219877884215698</v>
      </c>
      <c r="C154" s="116">
        <v>24.967393273738999</v>
      </c>
      <c r="D154" s="116">
        <v>24.7863665718878</v>
      </c>
      <c r="E154" s="116">
        <v>24.867352201663302</v>
      </c>
      <c r="F154" s="116">
        <v>262.05</v>
      </c>
      <c r="G154">
        <v>621156</v>
      </c>
      <c r="H154" s="116"/>
      <c r="I154" s="116"/>
      <c r="L154" s="170">
        <v>42223</v>
      </c>
      <c r="M154" s="116">
        <v>24.966474200709801</v>
      </c>
      <c r="N154" s="116">
        <v>25.204658461353802</v>
      </c>
      <c r="O154" s="116">
        <v>24.785454162620301</v>
      </c>
      <c r="P154" s="116">
        <v>24.8664368112393</v>
      </c>
      <c r="Q154" s="116">
        <v>262.05</v>
      </c>
      <c r="R154">
        <v>3791638</v>
      </c>
    </row>
    <row r="155" spans="1:18" x14ac:dyDescent="0.25">
      <c r="A155" s="170">
        <v>42226</v>
      </c>
      <c r="B155" s="116">
        <v>25.234169465940699</v>
      </c>
      <c r="C155" s="116">
        <v>24.881643783388402</v>
      </c>
      <c r="D155" s="116">
        <v>24.7720749901627</v>
      </c>
      <c r="E155" s="116">
        <v>25.0579066246646</v>
      </c>
      <c r="F155" s="116">
        <v>261.14999999999998</v>
      </c>
      <c r="G155">
        <v>666644</v>
      </c>
      <c r="H155" s="116"/>
      <c r="I155" s="116"/>
      <c r="L155" s="170">
        <v>42226</v>
      </c>
      <c r="M155" s="116">
        <v>24.880727866877901</v>
      </c>
      <c r="N155" s="116">
        <v>25.247531628269801</v>
      </c>
      <c r="O155" s="116">
        <v>24.7711631069817</v>
      </c>
      <c r="P155" s="116">
        <v>25.0474568493288</v>
      </c>
      <c r="Q155" s="116">
        <v>261.14999999999998</v>
      </c>
      <c r="R155">
        <v>3401136</v>
      </c>
    </row>
    <row r="156" spans="1:18" x14ac:dyDescent="0.25">
      <c r="A156" s="170">
        <v>42227</v>
      </c>
      <c r="B156" s="116">
        <v>24.7720749901627</v>
      </c>
      <c r="C156" s="116">
        <v>23.523943519504499</v>
      </c>
      <c r="D156" s="116">
        <v>23.438194029154001</v>
      </c>
      <c r="E156" s="116">
        <v>24.7720749901627</v>
      </c>
      <c r="F156" s="116">
        <v>246.9</v>
      </c>
      <c r="G156">
        <v>1573019</v>
      </c>
      <c r="H156" s="116"/>
      <c r="I156" s="116"/>
      <c r="L156" s="170">
        <v>42227</v>
      </c>
      <c r="M156" s="116">
        <v>23.513550210781101</v>
      </c>
      <c r="N156" s="116">
        <v>24.7711631069817</v>
      </c>
      <c r="O156" s="116">
        <v>23.4087491360977</v>
      </c>
      <c r="P156" s="116">
        <v>24.766399421768799</v>
      </c>
      <c r="Q156" s="116">
        <v>246.8</v>
      </c>
      <c r="R156">
        <v>8827248</v>
      </c>
    </row>
    <row r="157" spans="1:18" x14ac:dyDescent="0.25">
      <c r="A157" s="170">
        <v>42228</v>
      </c>
      <c r="B157" s="116">
        <v>24.571992846011401</v>
      </c>
      <c r="C157" s="116">
        <v>23.733553384805901</v>
      </c>
      <c r="D157" s="116">
        <v>23.462013332029102</v>
      </c>
      <c r="E157" s="116">
        <v>24.200411721159</v>
      </c>
      <c r="F157" s="116">
        <v>249.1</v>
      </c>
      <c r="G157">
        <v>2926040</v>
      </c>
      <c r="H157" s="116"/>
      <c r="I157" s="116"/>
      <c r="L157" s="170">
        <v>42228</v>
      </c>
      <c r="M157" s="116">
        <v>23.727916045360701</v>
      </c>
      <c r="N157" s="116">
        <v>24.571088328040702</v>
      </c>
      <c r="O157" s="116">
        <v>23.4468586178007</v>
      </c>
      <c r="P157" s="116">
        <v>24.237630363139001</v>
      </c>
      <c r="Q157" s="116">
        <v>249.05</v>
      </c>
      <c r="R157">
        <v>15172684</v>
      </c>
    </row>
    <row r="158" spans="1:18" x14ac:dyDescent="0.25">
      <c r="A158" s="170">
        <v>42229</v>
      </c>
      <c r="B158" s="116">
        <v>24.200411721159</v>
      </c>
      <c r="C158" s="116">
        <v>22.256756606546201</v>
      </c>
      <c r="D158" s="116">
        <v>22.132896231595399</v>
      </c>
      <c r="E158" s="116">
        <v>24.057495903907999</v>
      </c>
      <c r="F158" s="116">
        <v>233.6</v>
      </c>
      <c r="G158">
        <v>2702271</v>
      </c>
      <c r="H158" s="116"/>
      <c r="I158" s="116"/>
      <c r="L158" s="170">
        <v>42229</v>
      </c>
      <c r="M158" s="116">
        <v>22.2559373145804</v>
      </c>
      <c r="N158" s="116">
        <v>24.189993511010201</v>
      </c>
      <c r="O158" s="116">
        <v>22.132081499045501</v>
      </c>
      <c r="P158" s="116">
        <v>24.1375929736685</v>
      </c>
      <c r="Q158" s="116">
        <v>233.6</v>
      </c>
      <c r="R158">
        <v>13764560</v>
      </c>
    </row>
    <row r="159" spans="1:18" x14ac:dyDescent="0.25">
      <c r="A159" s="170">
        <v>42230</v>
      </c>
      <c r="B159" s="116">
        <v>22.780781269799601</v>
      </c>
      <c r="C159" s="116">
        <v>22.590226846798402</v>
      </c>
      <c r="D159" s="116">
        <v>21.842300736518499</v>
      </c>
      <c r="E159" s="116">
        <v>22.352033818046799</v>
      </c>
      <c r="F159" s="116">
        <v>237.1</v>
      </c>
      <c r="G159">
        <v>1798515</v>
      </c>
      <c r="H159" s="116"/>
      <c r="I159" s="116"/>
      <c r="L159" s="170">
        <v>42230</v>
      </c>
      <c r="M159" s="116">
        <v>22.637032131610901</v>
      </c>
      <c r="N159" s="116">
        <v>22.789470058423099</v>
      </c>
      <c r="O159" s="116">
        <v>21.817678274995401</v>
      </c>
      <c r="P159" s="116">
        <v>22.317865222347901</v>
      </c>
      <c r="Q159" s="116">
        <v>237.6</v>
      </c>
      <c r="R159">
        <v>9065329</v>
      </c>
    </row>
    <row r="160" spans="1:18" x14ac:dyDescent="0.25">
      <c r="A160" s="170">
        <v>42233</v>
      </c>
      <c r="B160" s="116">
        <v>23.6287484521552</v>
      </c>
      <c r="C160" s="116">
        <v>23.490596495479299</v>
      </c>
      <c r="D160" s="116">
        <v>22.332978375746698</v>
      </c>
      <c r="E160" s="116">
        <v>22.685504058298999</v>
      </c>
      <c r="F160" s="116">
        <v>246.55</v>
      </c>
      <c r="G160">
        <v>1643107</v>
      </c>
      <c r="H160" s="116"/>
      <c r="I160" s="116"/>
      <c r="L160" s="170">
        <v>42233</v>
      </c>
      <c r="M160" s="116">
        <v>23.508786525568201</v>
      </c>
      <c r="N160" s="116">
        <v>23.675515508019</v>
      </c>
      <c r="O160" s="116">
        <v>22.313101537135001</v>
      </c>
      <c r="P160" s="116">
        <v>22.722778465442801</v>
      </c>
      <c r="Q160" s="116">
        <v>246.75</v>
      </c>
      <c r="R160">
        <v>8524452</v>
      </c>
    </row>
    <row r="161" spans="1:18" x14ac:dyDescent="0.25">
      <c r="A161" s="170">
        <v>42234</v>
      </c>
      <c r="B161" s="116">
        <v>24.238522605759201</v>
      </c>
      <c r="C161" s="116">
        <v>23.976510274132501</v>
      </c>
      <c r="D161" s="116">
        <v>23.519179658929499</v>
      </c>
      <c r="E161" s="116">
        <v>23.6239845915802</v>
      </c>
      <c r="F161" s="116">
        <v>251.65</v>
      </c>
      <c r="G161">
        <v>1872328</v>
      </c>
      <c r="H161" s="116"/>
      <c r="I161" s="116"/>
      <c r="L161" s="170">
        <v>42234</v>
      </c>
      <c r="M161" s="116">
        <v>24.0423192694109</v>
      </c>
      <c r="N161" s="116">
        <v>24.285267215267801</v>
      </c>
      <c r="O161" s="116">
        <v>23.4944954699295</v>
      </c>
      <c r="P161" s="116">
        <v>23.637406026316</v>
      </c>
      <c r="Q161" s="116">
        <v>252.35</v>
      </c>
      <c r="R161">
        <v>9805064</v>
      </c>
    </row>
    <row r="162" spans="1:18" x14ac:dyDescent="0.25">
      <c r="A162" s="170">
        <v>42235</v>
      </c>
      <c r="B162" s="116">
        <v>24.105134509658299</v>
      </c>
      <c r="C162" s="116">
        <v>23.809775154006399</v>
      </c>
      <c r="D162" s="116">
        <v>23.509651937779399</v>
      </c>
      <c r="E162" s="116">
        <v>23.9145800866571</v>
      </c>
      <c r="F162" s="116">
        <v>249.9</v>
      </c>
      <c r="G162">
        <v>1100802</v>
      </c>
      <c r="H162" s="116"/>
      <c r="I162" s="116"/>
      <c r="L162" s="170">
        <v>42235</v>
      </c>
      <c r="M162" s="116">
        <v>23.799371323553899</v>
      </c>
      <c r="N162" s="116">
        <v>24.1375929736685</v>
      </c>
      <c r="O162" s="116">
        <v>23.508786525568201</v>
      </c>
      <c r="P162" s="116">
        <v>23.827953434831201</v>
      </c>
      <c r="Q162" s="116">
        <v>249.8</v>
      </c>
      <c r="R162">
        <v>4304085</v>
      </c>
    </row>
    <row r="163" spans="1:18" x14ac:dyDescent="0.25">
      <c r="A163" s="170">
        <v>42236</v>
      </c>
      <c r="B163" s="116">
        <v>23.695442500205601</v>
      </c>
      <c r="C163" s="116">
        <v>23.0237381591262</v>
      </c>
      <c r="D163" s="116">
        <v>22.937988668775699</v>
      </c>
      <c r="E163" s="116">
        <v>23.6335123127302</v>
      </c>
      <c r="F163" s="116">
        <v>241.65</v>
      </c>
      <c r="G163">
        <v>1068341</v>
      </c>
      <c r="H163" s="116"/>
      <c r="I163" s="116"/>
      <c r="L163" s="170">
        <v>42236</v>
      </c>
      <c r="M163" s="116">
        <v>23.013363263428499</v>
      </c>
      <c r="N163" s="116">
        <v>23.6659881375932</v>
      </c>
      <c r="O163" s="116">
        <v>22.913325873958001</v>
      </c>
      <c r="P163" s="116">
        <v>23.599296544612901</v>
      </c>
      <c r="Q163" s="116">
        <v>241.55</v>
      </c>
      <c r="R163">
        <v>4626334</v>
      </c>
    </row>
    <row r="164" spans="1:18" x14ac:dyDescent="0.25">
      <c r="A164" s="170">
        <v>42237</v>
      </c>
      <c r="B164" s="116">
        <v>22.695031779449099</v>
      </c>
      <c r="C164" s="116">
        <v>22.604518428523502</v>
      </c>
      <c r="D164" s="116">
        <v>22.066202183544899</v>
      </c>
      <c r="E164" s="116">
        <v>22.675976337148899</v>
      </c>
      <c r="F164" s="116">
        <v>237.25</v>
      </c>
      <c r="G164">
        <v>1438498</v>
      </c>
      <c r="H164" s="116"/>
      <c r="I164" s="116"/>
      <c r="L164" s="170">
        <v>42237</v>
      </c>
      <c r="M164" s="116">
        <v>22.603686335120798</v>
      </c>
      <c r="N164" s="116">
        <v>22.722778465442801</v>
      </c>
      <c r="O164" s="116">
        <v>22.055862535639399</v>
      </c>
      <c r="P164" s="116">
        <v>22.722778465442801</v>
      </c>
      <c r="Q164" s="116">
        <v>237.25</v>
      </c>
      <c r="R164">
        <v>5247042</v>
      </c>
    </row>
    <row r="165" spans="1:18" x14ac:dyDescent="0.25">
      <c r="A165" s="170">
        <v>42240</v>
      </c>
      <c r="B165" s="116">
        <v>21.999508135494501</v>
      </c>
      <c r="C165" s="116">
        <v>19.641397150854001</v>
      </c>
      <c r="D165" s="116">
        <v>19.3126907711769</v>
      </c>
      <c r="E165" s="116">
        <v>21.913758645143901</v>
      </c>
      <c r="F165" s="116">
        <v>206.15</v>
      </c>
      <c r="G165">
        <v>3304580</v>
      </c>
      <c r="H165" s="116"/>
      <c r="I165" s="116"/>
      <c r="L165" s="170">
        <v>42240</v>
      </c>
      <c r="M165" s="116">
        <v>19.6359104474958</v>
      </c>
      <c r="N165" s="116">
        <v>21.8462603862727</v>
      </c>
      <c r="O165" s="116">
        <v>19.307216167807098</v>
      </c>
      <c r="P165" s="116">
        <v>21.8462603862727</v>
      </c>
      <c r="Q165" s="116">
        <v>206.1</v>
      </c>
      <c r="R165">
        <v>11711489</v>
      </c>
    </row>
    <row r="166" spans="1:18" x14ac:dyDescent="0.25">
      <c r="A166" s="170">
        <v>42241</v>
      </c>
      <c r="B166" s="116">
        <v>20.770432107136401</v>
      </c>
      <c r="C166" s="116">
        <v>20.403614842859</v>
      </c>
      <c r="D166" s="116">
        <v>19.093553184725401</v>
      </c>
      <c r="E166" s="116">
        <v>19.817659992130199</v>
      </c>
      <c r="F166" s="116">
        <v>214.15</v>
      </c>
      <c r="G166">
        <v>2622801</v>
      </c>
      <c r="H166" s="116"/>
      <c r="I166" s="116"/>
      <c r="L166" s="170">
        <v>42241</v>
      </c>
      <c r="M166" s="116">
        <v>20.3361721737894</v>
      </c>
      <c r="N166" s="116">
        <v>20.760140157735801</v>
      </c>
      <c r="O166" s="116">
        <v>19.064268221950101</v>
      </c>
      <c r="P166" s="116">
        <v>20.0074778941006</v>
      </c>
      <c r="Q166" s="116">
        <v>213.45</v>
      </c>
      <c r="R166">
        <v>14206932</v>
      </c>
    </row>
    <row r="167" spans="1:18" x14ac:dyDescent="0.25">
      <c r="A167" s="170">
        <v>42242</v>
      </c>
      <c r="B167" s="116">
        <v>20.922875645537399</v>
      </c>
      <c r="C167" s="116">
        <v>20.532239078384901</v>
      </c>
      <c r="D167" s="116">
        <v>19.917701064205801</v>
      </c>
      <c r="E167" s="116">
        <v>20.389323261133899</v>
      </c>
      <c r="F167" s="116">
        <v>215.5</v>
      </c>
      <c r="G167">
        <v>1581868</v>
      </c>
      <c r="H167" s="116"/>
      <c r="I167" s="116"/>
      <c r="L167" s="170">
        <v>42242</v>
      </c>
      <c r="M167" s="116">
        <v>20.545774323156099</v>
      </c>
      <c r="N167" s="116">
        <v>20.9316328253995</v>
      </c>
      <c r="O167" s="116">
        <v>19.907440504630099</v>
      </c>
      <c r="P167" s="116">
        <v>20.293299006873401</v>
      </c>
      <c r="Q167" s="116">
        <v>215.65</v>
      </c>
      <c r="R167">
        <v>8336683</v>
      </c>
    </row>
    <row r="168" spans="1:18" x14ac:dyDescent="0.25">
      <c r="A168" s="170">
        <v>42243</v>
      </c>
      <c r="B168" s="116">
        <v>21.842300736518499</v>
      </c>
      <c r="C168" s="116">
        <v>21.518358217416299</v>
      </c>
      <c r="D168" s="116">
        <v>20.513183636084701</v>
      </c>
      <c r="E168" s="116">
        <v>20.865709318637101</v>
      </c>
      <c r="F168" s="116">
        <v>225.85</v>
      </c>
      <c r="G168">
        <v>1894654</v>
      </c>
      <c r="H168" s="116"/>
      <c r="I168" s="116"/>
      <c r="L168" s="170">
        <v>42243</v>
      </c>
      <c r="M168" s="116">
        <v>21.5699666439256</v>
      </c>
      <c r="N168" s="116">
        <v>21.8938972384015</v>
      </c>
      <c r="O168" s="116">
        <v>20.493373785814399</v>
      </c>
      <c r="P168" s="116">
        <v>20.960214936676799</v>
      </c>
      <c r="Q168" s="116">
        <v>226.4</v>
      </c>
      <c r="R168">
        <v>14227129</v>
      </c>
    </row>
    <row r="169" spans="1:18" x14ac:dyDescent="0.25">
      <c r="A169" s="170">
        <v>42244</v>
      </c>
      <c r="B169" s="116">
        <v>22.352033818046799</v>
      </c>
      <c r="C169" s="116">
        <v>21.770842827892999</v>
      </c>
      <c r="D169" s="116">
        <v>21.2944567703899</v>
      </c>
      <c r="E169" s="116">
        <v>22.056674462394898</v>
      </c>
      <c r="F169" s="116">
        <v>228.5</v>
      </c>
      <c r="G169">
        <v>1422964</v>
      </c>
      <c r="H169" s="116"/>
      <c r="I169" s="116"/>
      <c r="L169" s="170">
        <v>42244</v>
      </c>
      <c r="M169" s="116">
        <v>21.812914589782501</v>
      </c>
      <c r="N169" s="116">
        <v>22.3512110188381</v>
      </c>
      <c r="O169" s="116">
        <v>21.265090790301201</v>
      </c>
      <c r="P169" s="116">
        <v>22.1606636103228</v>
      </c>
      <c r="Q169" s="116">
        <v>228.95</v>
      </c>
      <c r="R169">
        <v>9387248</v>
      </c>
    </row>
    <row r="170" spans="1:18" x14ac:dyDescent="0.25">
      <c r="A170" s="170">
        <v>42247</v>
      </c>
      <c r="B170" s="116">
        <v>21.794662130768199</v>
      </c>
      <c r="C170" s="116">
        <v>21.442136448215798</v>
      </c>
      <c r="D170" s="116">
        <v>21.3230399338401</v>
      </c>
      <c r="E170" s="116">
        <v>21.6041077077669</v>
      </c>
      <c r="F170" s="116">
        <v>225.05</v>
      </c>
      <c r="G170">
        <v>904645</v>
      </c>
      <c r="H170" s="116"/>
      <c r="I170" s="116"/>
      <c r="L170" s="170">
        <v>42247</v>
      </c>
      <c r="M170" s="116">
        <v>21.4746929396679</v>
      </c>
      <c r="N170" s="116">
        <v>21.789096163718099</v>
      </c>
      <c r="O170" s="116">
        <v>21.307963957217101</v>
      </c>
      <c r="P170" s="116">
        <v>21.465165569242199</v>
      </c>
      <c r="Q170" s="116">
        <v>225.4</v>
      </c>
      <c r="R170">
        <v>5782337</v>
      </c>
    </row>
    <row r="171" spans="1:18" x14ac:dyDescent="0.25">
      <c r="A171" s="170">
        <v>42248</v>
      </c>
      <c r="B171" s="116">
        <v>21.5469413808665</v>
      </c>
      <c r="C171" s="116">
        <v>20.598933126435298</v>
      </c>
      <c r="D171" s="116">
        <v>20.341684655383599</v>
      </c>
      <c r="E171" s="116">
        <v>21.056263741638301</v>
      </c>
      <c r="F171" s="116">
        <v>216.2</v>
      </c>
      <c r="G171">
        <v>1387057</v>
      </c>
      <c r="H171" s="116"/>
      <c r="I171" s="116"/>
      <c r="L171" s="170">
        <v>42248</v>
      </c>
      <c r="M171" s="116">
        <v>20.6077022309236</v>
      </c>
      <c r="N171" s="116">
        <v>21.555675588286899</v>
      </c>
      <c r="O171" s="116">
        <v>20.298062692086301</v>
      </c>
      <c r="P171" s="116">
        <v>21.150762345192</v>
      </c>
      <c r="Q171" s="116">
        <v>216.3</v>
      </c>
      <c r="R171">
        <v>6475249</v>
      </c>
    </row>
    <row r="172" spans="1:18" x14ac:dyDescent="0.25">
      <c r="A172" s="170">
        <v>42249</v>
      </c>
      <c r="B172" s="116">
        <v>21.523122077991399</v>
      </c>
      <c r="C172" s="116">
        <v>20.927639506112499</v>
      </c>
      <c r="D172" s="116">
        <v>20.065380742031799</v>
      </c>
      <c r="E172" s="116">
        <v>20.770432107136401</v>
      </c>
      <c r="F172" s="116">
        <v>219.65</v>
      </c>
      <c r="G172">
        <v>1920355</v>
      </c>
      <c r="H172" s="116"/>
      <c r="I172" s="116"/>
      <c r="L172" s="170">
        <v>42249</v>
      </c>
      <c r="M172" s="116">
        <v>20.912578084547999</v>
      </c>
      <c r="N172" s="116">
        <v>21.5223297917968</v>
      </c>
      <c r="O172" s="116">
        <v>20.036060005377902</v>
      </c>
      <c r="P172" s="116">
        <v>20.855413861993402</v>
      </c>
      <c r="Q172" s="116">
        <v>219.5</v>
      </c>
      <c r="R172">
        <v>8909770</v>
      </c>
    </row>
    <row r="173" spans="1:18" x14ac:dyDescent="0.25">
      <c r="A173" s="170">
        <v>42250</v>
      </c>
      <c r="B173" s="116">
        <v>22.1710071161956</v>
      </c>
      <c r="C173" s="116">
        <v>21.8804116211187</v>
      </c>
      <c r="D173" s="116">
        <v>21.108666207963701</v>
      </c>
      <c r="E173" s="116">
        <v>21.246818164639599</v>
      </c>
      <c r="F173" s="116">
        <v>229.65</v>
      </c>
      <c r="G173">
        <v>1330997</v>
      </c>
      <c r="H173" s="116"/>
      <c r="I173" s="116"/>
      <c r="L173" s="170">
        <v>42250</v>
      </c>
      <c r="M173" s="116">
        <v>21.8891335531886</v>
      </c>
      <c r="N173" s="116">
        <v>22.1701909807486</v>
      </c>
      <c r="O173" s="116">
        <v>21.1602897156178</v>
      </c>
      <c r="P173" s="116">
        <v>21.284145531152699</v>
      </c>
      <c r="Q173" s="116">
        <v>229.75</v>
      </c>
      <c r="R173">
        <v>7083000</v>
      </c>
    </row>
    <row r="174" spans="1:18" x14ac:dyDescent="0.25">
      <c r="A174" s="170">
        <v>42251</v>
      </c>
      <c r="B174" s="116">
        <v>21.785134409618099</v>
      </c>
      <c r="C174" s="116">
        <v>20.860945458062002</v>
      </c>
      <c r="D174" s="116">
        <v>20.6799187562108</v>
      </c>
      <c r="E174" s="116">
        <v>21.732731943292698</v>
      </c>
      <c r="F174" s="116">
        <v>218.95</v>
      </c>
      <c r="G174">
        <v>1415920</v>
      </c>
      <c r="H174" s="116"/>
      <c r="I174" s="116"/>
      <c r="L174" s="170">
        <v>42251</v>
      </c>
      <c r="M174" s="116">
        <v>20.855413861993402</v>
      </c>
      <c r="N174" s="116">
        <v>21.808150904569601</v>
      </c>
      <c r="O174" s="116">
        <v>20.674393823903898</v>
      </c>
      <c r="P174" s="116">
        <v>21.808150904569601</v>
      </c>
      <c r="Q174" s="116">
        <v>218.9</v>
      </c>
      <c r="R174">
        <v>7229850</v>
      </c>
    </row>
    <row r="175" spans="1:18" x14ac:dyDescent="0.25">
      <c r="A175" s="170">
        <v>42254</v>
      </c>
      <c r="B175" s="116">
        <v>21.3325676549901</v>
      </c>
      <c r="C175" s="116">
        <v>20.570349962985102</v>
      </c>
      <c r="D175" s="116">
        <v>20.494128193784601</v>
      </c>
      <c r="E175" s="116">
        <v>21.046736020488201</v>
      </c>
      <c r="F175" s="116">
        <v>215.9</v>
      </c>
      <c r="G175">
        <v>1032757</v>
      </c>
      <c r="H175" s="116"/>
      <c r="I175" s="116"/>
      <c r="L175" s="170">
        <v>42254</v>
      </c>
      <c r="M175" s="116">
        <v>20.5648290640077</v>
      </c>
      <c r="N175" s="116">
        <v>21.3413097537073</v>
      </c>
      <c r="O175" s="116">
        <v>20.498137471027299</v>
      </c>
      <c r="P175" s="116">
        <v>21.079307066998801</v>
      </c>
      <c r="Q175" s="116">
        <v>215.85</v>
      </c>
      <c r="R175">
        <v>4933877</v>
      </c>
    </row>
    <row r="176" spans="1:18" x14ac:dyDescent="0.25">
      <c r="A176" s="170">
        <v>42255</v>
      </c>
      <c r="B176" s="116">
        <v>22.1995902796458</v>
      </c>
      <c r="C176" s="116">
        <v>21.799425991343199</v>
      </c>
      <c r="D176" s="116">
        <v>20.6942103379359</v>
      </c>
      <c r="E176" s="116">
        <v>20.6942103379359</v>
      </c>
      <c r="F176" s="116">
        <v>228.8</v>
      </c>
      <c r="G176">
        <v>1689465</v>
      </c>
      <c r="H176" s="116"/>
      <c r="I176" s="116"/>
      <c r="L176" s="170">
        <v>42255</v>
      </c>
      <c r="M176" s="116">
        <v>21.793859848931</v>
      </c>
      <c r="N176" s="116">
        <v>22.198773092025899</v>
      </c>
      <c r="O176" s="116">
        <v>20.7029759351812</v>
      </c>
      <c r="P176" s="116">
        <v>20.826831750716099</v>
      </c>
      <c r="Q176" s="116">
        <v>228.75</v>
      </c>
      <c r="R176">
        <v>8236919</v>
      </c>
    </row>
    <row r="177" spans="1:18" x14ac:dyDescent="0.25">
      <c r="A177" s="170">
        <v>42256</v>
      </c>
      <c r="B177" s="116">
        <v>23.0046827168261</v>
      </c>
      <c r="C177" s="116">
        <v>22.795072851524701</v>
      </c>
      <c r="D177" s="116">
        <v>22.1376600921704</v>
      </c>
      <c r="E177" s="116">
        <v>22.504477356447801</v>
      </c>
      <c r="F177" s="116">
        <v>239.25</v>
      </c>
      <c r="G177">
        <v>1671661</v>
      </c>
      <c r="H177" s="116"/>
      <c r="I177" s="116"/>
      <c r="L177" s="170">
        <v>42256</v>
      </c>
      <c r="M177" s="116">
        <v>22.818052169700401</v>
      </c>
      <c r="N177" s="116">
        <v>23.0371816894929</v>
      </c>
      <c r="O177" s="116">
        <v>22.136845184258402</v>
      </c>
      <c r="P177" s="116">
        <v>22.4845942047987</v>
      </c>
      <c r="Q177" s="116">
        <v>239.5</v>
      </c>
      <c r="R177">
        <v>8824007</v>
      </c>
    </row>
    <row r="178" spans="1:18" x14ac:dyDescent="0.25">
      <c r="A178" s="170">
        <v>42257</v>
      </c>
      <c r="B178" s="116">
        <v>23.152362394652101</v>
      </c>
      <c r="C178" s="116">
        <v>22.895113923600402</v>
      </c>
      <c r="D178" s="116">
        <v>22.075729904694999</v>
      </c>
      <c r="E178" s="116">
        <v>22.580699125648302</v>
      </c>
      <c r="F178" s="116">
        <v>240.3</v>
      </c>
      <c r="G178">
        <v>1258801</v>
      </c>
      <c r="H178" s="116"/>
      <c r="I178" s="116"/>
      <c r="L178" s="170">
        <v>42257</v>
      </c>
      <c r="M178" s="116">
        <v>22.884743762680699</v>
      </c>
      <c r="N178" s="116">
        <v>23.151510134602098</v>
      </c>
      <c r="O178" s="116">
        <v>22.065389906065199</v>
      </c>
      <c r="P178" s="116">
        <v>22.517940001288899</v>
      </c>
      <c r="Q178" s="116">
        <v>240.2</v>
      </c>
      <c r="R178">
        <v>7252370</v>
      </c>
    </row>
    <row r="179" spans="1:18" x14ac:dyDescent="0.25">
      <c r="A179" s="170">
        <v>42258</v>
      </c>
      <c r="B179" s="116">
        <v>23.228584163852599</v>
      </c>
      <c r="C179" s="116">
        <v>22.204354140220801</v>
      </c>
      <c r="D179" s="116">
        <v>22.009035856644601</v>
      </c>
      <c r="E179" s="116">
        <v>23.152362394652101</v>
      </c>
      <c r="F179" s="116">
        <v>233.05</v>
      </c>
      <c r="G179">
        <v>1169526</v>
      </c>
      <c r="H179" s="116"/>
      <c r="I179" s="116"/>
      <c r="L179" s="170">
        <v>42258</v>
      </c>
      <c r="M179" s="116">
        <v>22.194009406812999</v>
      </c>
      <c r="N179" s="116">
        <v>23.199146986730899</v>
      </c>
      <c r="O179" s="116">
        <v>21.998698313084901</v>
      </c>
      <c r="P179" s="116">
        <v>23.184855931092301</v>
      </c>
      <c r="Q179" s="116">
        <v>232.95</v>
      </c>
      <c r="R179">
        <v>5909535</v>
      </c>
    </row>
    <row r="180" spans="1:18" x14ac:dyDescent="0.25">
      <c r="A180" s="170">
        <v>42261</v>
      </c>
      <c r="B180" s="116">
        <v>23.142834673502001</v>
      </c>
      <c r="C180" s="116">
        <v>22.990391135101</v>
      </c>
      <c r="D180" s="116">
        <v>22.294867491146402</v>
      </c>
      <c r="E180" s="116">
        <v>22.361561539196899</v>
      </c>
      <c r="F180" s="116">
        <v>241.3</v>
      </c>
      <c r="G180">
        <v>1119553</v>
      </c>
      <c r="H180" s="116"/>
      <c r="I180" s="116"/>
      <c r="L180" s="170">
        <v>42261</v>
      </c>
      <c r="M180" s="116">
        <v>23.0371816894929</v>
      </c>
      <c r="N180" s="116">
        <v>23.1753285606665</v>
      </c>
      <c r="O180" s="116">
        <v>22.294046796283499</v>
      </c>
      <c r="P180" s="116">
        <v>22.294046796283499</v>
      </c>
      <c r="Q180" s="116">
        <v>241.8</v>
      </c>
      <c r="R180">
        <v>7159139</v>
      </c>
    </row>
    <row r="181" spans="1:18" x14ac:dyDescent="0.25">
      <c r="A181" s="170">
        <v>42262</v>
      </c>
      <c r="B181" s="116">
        <v>23.238111885002599</v>
      </c>
      <c r="C181" s="116">
        <v>21.8232452942183</v>
      </c>
      <c r="D181" s="116">
        <v>21.742259664442798</v>
      </c>
      <c r="E181" s="116">
        <v>23.238111885002599</v>
      </c>
      <c r="F181" s="116">
        <v>229.05</v>
      </c>
      <c r="G181">
        <v>1783463</v>
      </c>
      <c r="H181" s="116"/>
      <c r="I181" s="116"/>
      <c r="L181" s="170">
        <v>42262</v>
      </c>
      <c r="M181" s="116">
        <v>21.831969330633999</v>
      </c>
      <c r="N181" s="116">
        <v>23.232492783221101</v>
      </c>
      <c r="O181" s="116">
        <v>21.770041422866601</v>
      </c>
      <c r="P181" s="116">
        <v>23.0324180042801</v>
      </c>
      <c r="Q181" s="116">
        <v>229.15</v>
      </c>
      <c r="R181">
        <v>9148259</v>
      </c>
    </row>
    <row r="182" spans="1:18" x14ac:dyDescent="0.25">
      <c r="A182" s="170">
        <v>42263</v>
      </c>
      <c r="B182" s="116">
        <v>22.218645721945901</v>
      </c>
      <c r="C182" s="116">
        <v>21.9328140874441</v>
      </c>
      <c r="D182" s="116">
        <v>21.651746313517201</v>
      </c>
      <c r="E182" s="116">
        <v>22.056674462394898</v>
      </c>
      <c r="F182" s="116">
        <v>230.2</v>
      </c>
      <c r="G182">
        <v>1203954</v>
      </c>
      <c r="H182" s="116"/>
      <c r="I182" s="116"/>
      <c r="L182" s="170">
        <v>42263</v>
      </c>
      <c r="M182" s="116">
        <v>21.960588831381799</v>
      </c>
      <c r="N182" s="116">
        <v>22.232118888515998</v>
      </c>
      <c r="O182" s="116">
        <v>21.636658236905902</v>
      </c>
      <c r="P182" s="116">
        <v>22.103499387768199</v>
      </c>
      <c r="Q182" s="116">
        <v>230.5</v>
      </c>
      <c r="R182">
        <v>7191606</v>
      </c>
    </row>
    <row r="183" spans="1:18" x14ac:dyDescent="0.25">
      <c r="A183" s="170">
        <v>42265</v>
      </c>
      <c r="B183" s="116">
        <v>22.418727866097299</v>
      </c>
      <c r="C183" s="116">
        <v>21.775606688467999</v>
      </c>
      <c r="D183" s="116">
        <v>21.723204222142702</v>
      </c>
      <c r="E183" s="116">
        <v>22.1995902796458</v>
      </c>
      <c r="F183" s="116">
        <v>228.55</v>
      </c>
      <c r="G183">
        <v>1207826</v>
      </c>
      <c r="H183" s="116"/>
      <c r="I183" s="116"/>
      <c r="L183" s="170">
        <v>42265</v>
      </c>
      <c r="M183" s="116">
        <v>21.731931941163499</v>
      </c>
      <c r="N183" s="116">
        <v>22.427429982244199</v>
      </c>
      <c r="O183" s="116">
        <v>21.6652403481832</v>
      </c>
      <c r="P183" s="116">
        <v>22.294046796283499</v>
      </c>
      <c r="Q183" s="116">
        <v>228.1</v>
      </c>
      <c r="R183">
        <v>7629706</v>
      </c>
    </row>
    <row r="184" spans="1:18" x14ac:dyDescent="0.25">
      <c r="A184" s="170">
        <v>42268</v>
      </c>
      <c r="B184" s="116">
        <v>21.832773015368399</v>
      </c>
      <c r="C184" s="116">
        <v>21.613635428917</v>
      </c>
      <c r="D184" s="116">
        <v>21.2754013280897</v>
      </c>
      <c r="E184" s="116">
        <v>21.6279270106421</v>
      </c>
      <c r="F184" s="116">
        <v>226.85</v>
      </c>
      <c r="G184">
        <v>868486</v>
      </c>
      <c r="H184" s="116"/>
      <c r="I184" s="116"/>
      <c r="L184" s="170">
        <v>42268</v>
      </c>
      <c r="M184" s="116">
        <v>21.574730329138401</v>
      </c>
      <c r="N184" s="116">
        <v>21.8462603862727</v>
      </c>
      <c r="O184" s="116">
        <v>21.255563419875401</v>
      </c>
      <c r="P184" s="116">
        <v>21.560439273499799</v>
      </c>
      <c r="Q184" s="116">
        <v>226.45</v>
      </c>
      <c r="R184">
        <v>5374416</v>
      </c>
    </row>
    <row r="185" spans="1:18" x14ac:dyDescent="0.25">
      <c r="A185" s="170">
        <v>42269</v>
      </c>
      <c r="B185" s="116">
        <v>21.8661200393936</v>
      </c>
      <c r="C185" s="116">
        <v>20.960986530137699</v>
      </c>
      <c r="D185" s="116">
        <v>20.884764760937198</v>
      </c>
      <c r="E185" s="116">
        <v>21.818481433643299</v>
      </c>
      <c r="F185" s="116">
        <v>220</v>
      </c>
      <c r="G185">
        <v>1087253</v>
      </c>
      <c r="H185" s="116"/>
      <c r="I185" s="116"/>
      <c r="L185" s="170">
        <v>42269</v>
      </c>
      <c r="M185" s="116">
        <v>20.969742307102599</v>
      </c>
      <c r="N185" s="116">
        <v>21.808150904569601</v>
      </c>
      <c r="O185" s="116">
        <v>20.8839959732707</v>
      </c>
      <c r="P185" s="116">
        <v>21.722404570737801</v>
      </c>
      <c r="Q185" s="116">
        <v>220.1</v>
      </c>
      <c r="R185">
        <v>5098481</v>
      </c>
    </row>
    <row r="186" spans="1:18" x14ac:dyDescent="0.25">
      <c r="A186" s="170">
        <v>42270</v>
      </c>
      <c r="B186" s="116">
        <v>21.3373315155652</v>
      </c>
      <c r="C186" s="116">
        <v>21.0657914627884</v>
      </c>
      <c r="D186" s="116">
        <v>20.389323261133899</v>
      </c>
      <c r="E186" s="116">
        <v>20.579877684135202</v>
      </c>
      <c r="F186" s="116">
        <v>221.1</v>
      </c>
      <c r="G186">
        <v>1428009</v>
      </c>
      <c r="H186" s="116"/>
      <c r="I186" s="116"/>
      <c r="L186" s="170">
        <v>42270</v>
      </c>
      <c r="M186" s="116">
        <v>21.055488640934399</v>
      </c>
      <c r="N186" s="116">
        <v>21.3460734389202</v>
      </c>
      <c r="O186" s="116">
        <v>20.388572711131101</v>
      </c>
      <c r="P186" s="116">
        <v>20.4266821928341</v>
      </c>
      <c r="Q186" s="116">
        <v>221</v>
      </c>
      <c r="R186">
        <v>7194580</v>
      </c>
    </row>
    <row r="187" spans="1:18" x14ac:dyDescent="0.25">
      <c r="A187" s="170">
        <v>42271</v>
      </c>
      <c r="B187" s="116">
        <v>21.0372082993382</v>
      </c>
      <c r="C187" s="116">
        <v>20.522711357234801</v>
      </c>
      <c r="D187" s="116">
        <v>20.4655450303344</v>
      </c>
      <c r="E187" s="116">
        <v>20.960986530137699</v>
      </c>
      <c r="F187" s="116">
        <v>215.4</v>
      </c>
      <c r="G187">
        <v>874534</v>
      </c>
      <c r="H187" s="116"/>
      <c r="I187" s="116"/>
      <c r="L187" s="170">
        <v>42271</v>
      </c>
      <c r="M187" s="116">
        <v>20.498137471027299</v>
      </c>
      <c r="N187" s="116">
        <v>21.031670214870001</v>
      </c>
      <c r="O187" s="116">
        <v>20.4171548224083</v>
      </c>
      <c r="P187" s="116">
        <v>20.960214936676799</v>
      </c>
      <c r="Q187" s="116">
        <v>215.15</v>
      </c>
      <c r="R187">
        <v>5634416</v>
      </c>
    </row>
    <row r="188" spans="1:18" x14ac:dyDescent="0.25">
      <c r="A188" s="170">
        <v>42275</v>
      </c>
      <c r="B188" s="116">
        <v>20.813306852311701</v>
      </c>
      <c r="C188" s="116">
        <v>19.955811948806101</v>
      </c>
      <c r="D188" s="116">
        <v>19.8795901796056</v>
      </c>
      <c r="E188" s="116">
        <v>20.698974198510999</v>
      </c>
      <c r="F188" s="116">
        <v>209.45</v>
      </c>
      <c r="G188">
        <v>1180068</v>
      </c>
      <c r="H188" s="116"/>
      <c r="I188" s="116"/>
      <c r="L188" s="170">
        <v>42275</v>
      </c>
      <c r="M188" s="116">
        <v>19.936022615907401</v>
      </c>
      <c r="N188" s="116">
        <v>20.812540695077502</v>
      </c>
      <c r="O188" s="116">
        <v>19.864567337714099</v>
      </c>
      <c r="P188" s="116">
        <v>20.7410854168843</v>
      </c>
      <c r="Q188" s="116">
        <v>209.25</v>
      </c>
      <c r="R188">
        <v>5730608</v>
      </c>
    </row>
    <row r="189" spans="1:18" x14ac:dyDescent="0.25">
      <c r="A189" s="170">
        <v>42276</v>
      </c>
      <c r="B189" s="116">
        <v>19.650924872004101</v>
      </c>
      <c r="C189" s="116">
        <v>19.184066535650999</v>
      </c>
      <c r="D189" s="116">
        <v>19.0554423001252</v>
      </c>
      <c r="E189" s="116">
        <v>19.5365922182033</v>
      </c>
      <c r="F189" s="116">
        <v>201.35</v>
      </c>
      <c r="G189">
        <v>3335005</v>
      </c>
      <c r="H189" s="116"/>
      <c r="I189" s="116"/>
      <c r="L189" s="170">
        <v>42276</v>
      </c>
      <c r="M189" s="116">
        <v>19.188124037485</v>
      </c>
      <c r="N189" s="116">
        <v>19.6930746700504</v>
      </c>
      <c r="O189" s="116">
        <v>19.026158740247102</v>
      </c>
      <c r="P189" s="116">
        <v>19.531109372812502</v>
      </c>
      <c r="Q189" s="116">
        <v>201.4</v>
      </c>
      <c r="R189">
        <v>12085656</v>
      </c>
    </row>
    <row r="190" spans="1:18" x14ac:dyDescent="0.25">
      <c r="A190" s="170">
        <v>42277</v>
      </c>
      <c r="B190" s="116">
        <v>20.341684655383599</v>
      </c>
      <c r="C190" s="116">
        <v>20.1892411169826</v>
      </c>
      <c r="D190" s="116">
        <v>19.631869429704</v>
      </c>
      <c r="E190" s="116">
        <v>19.669980314304201</v>
      </c>
      <c r="F190" s="116">
        <v>211.9</v>
      </c>
      <c r="G190">
        <v>1528998</v>
      </c>
      <c r="H190" s="116"/>
      <c r="I190" s="116"/>
      <c r="L190" s="170">
        <v>42277</v>
      </c>
      <c r="M190" s="116">
        <v>20.255189525170401</v>
      </c>
      <c r="N190" s="116">
        <v>20.4266821928341</v>
      </c>
      <c r="O190" s="116">
        <v>19.578746224941298</v>
      </c>
      <c r="P190" s="116">
        <v>19.712129410901898</v>
      </c>
      <c r="Q190" s="116">
        <v>212.6</v>
      </c>
      <c r="R190">
        <v>9291880</v>
      </c>
    </row>
    <row r="191" spans="1:18" x14ac:dyDescent="0.25">
      <c r="A191" s="170">
        <v>42278</v>
      </c>
      <c r="B191" s="116">
        <v>20.575113823560098</v>
      </c>
      <c r="C191" s="116">
        <v>20.213060419857801</v>
      </c>
      <c r="D191" s="116">
        <v>20.046325299731699</v>
      </c>
      <c r="E191" s="116">
        <v>20.575113823560098</v>
      </c>
      <c r="F191" s="116">
        <v>212.15</v>
      </c>
      <c r="G191">
        <v>1071432</v>
      </c>
      <c r="H191" s="116"/>
      <c r="I191" s="116"/>
      <c r="L191" s="170">
        <v>42278</v>
      </c>
      <c r="M191" s="116">
        <v>20.221843728680199</v>
      </c>
      <c r="N191" s="116">
        <v>20.531483267517501</v>
      </c>
      <c r="O191" s="116">
        <v>20.031296320165001</v>
      </c>
      <c r="P191" s="116">
        <v>20.483846415388701</v>
      </c>
      <c r="Q191" s="116">
        <v>212.25</v>
      </c>
      <c r="R191">
        <v>4872962</v>
      </c>
    </row>
    <row r="192" spans="1:18" x14ac:dyDescent="0.25">
      <c r="A192" s="170">
        <v>42282</v>
      </c>
      <c r="B192" s="116">
        <v>21.475483472241098</v>
      </c>
      <c r="C192" s="116">
        <v>21.389733981890501</v>
      </c>
      <c r="D192" s="116">
        <v>20.4226702851591</v>
      </c>
      <c r="E192" s="116">
        <v>20.4846004726346</v>
      </c>
      <c r="F192" s="116">
        <v>224.5</v>
      </c>
      <c r="G192">
        <v>1669942</v>
      </c>
      <c r="H192" s="116"/>
      <c r="I192" s="116"/>
      <c r="L192" s="170">
        <v>42282</v>
      </c>
      <c r="M192" s="116">
        <v>21.4365834579649</v>
      </c>
      <c r="N192" s="116">
        <v>21.512802421370999</v>
      </c>
      <c r="O192" s="116">
        <v>20.407627451982599</v>
      </c>
      <c r="P192" s="116">
        <v>20.4743190449629</v>
      </c>
      <c r="Q192" s="116">
        <v>225</v>
      </c>
      <c r="R192">
        <v>8121342</v>
      </c>
    </row>
    <row r="193" spans="1:18" x14ac:dyDescent="0.25">
      <c r="A193" s="170">
        <v>42283</v>
      </c>
      <c r="B193" s="116">
        <v>21.799425991343199</v>
      </c>
      <c r="C193" s="116">
        <v>21.6422185923672</v>
      </c>
      <c r="D193" s="116">
        <v>21.261109746364699</v>
      </c>
      <c r="E193" s="116">
        <v>21.699384919267501</v>
      </c>
      <c r="F193" s="116">
        <v>227.15</v>
      </c>
      <c r="G193">
        <v>1405498</v>
      </c>
      <c r="H193" s="116"/>
      <c r="I193" s="116"/>
      <c r="L193" s="170">
        <v>42283</v>
      </c>
      <c r="M193" s="116">
        <v>21.674767718609001</v>
      </c>
      <c r="N193" s="116">
        <v>21.817678274995401</v>
      </c>
      <c r="O193" s="116">
        <v>21.260327105088301</v>
      </c>
      <c r="P193" s="116">
        <v>21.693822459460499</v>
      </c>
      <c r="Q193" s="116">
        <v>227.5</v>
      </c>
      <c r="R193">
        <v>7359821</v>
      </c>
    </row>
    <row r="194" spans="1:18" x14ac:dyDescent="0.25">
      <c r="A194" s="170">
        <v>42284</v>
      </c>
      <c r="B194" s="116">
        <v>22.656920894848799</v>
      </c>
      <c r="C194" s="116">
        <v>22.561643683348201</v>
      </c>
      <c r="D194" s="116">
        <v>21.2992206309649</v>
      </c>
      <c r="E194" s="116">
        <v>21.5802884048917</v>
      </c>
      <c r="F194" s="116">
        <v>236.8</v>
      </c>
      <c r="G194">
        <v>1794441</v>
      </c>
      <c r="H194" s="116"/>
      <c r="I194" s="116"/>
      <c r="L194" s="170">
        <v>42284</v>
      </c>
      <c r="M194" s="116">
        <v>22.560813168204799</v>
      </c>
      <c r="N194" s="116">
        <v>22.646559502036698</v>
      </c>
      <c r="O194" s="116">
        <v>21.303200272004201</v>
      </c>
      <c r="P194" s="116">
        <v>21.4365834579649</v>
      </c>
      <c r="Q194" s="116">
        <v>236.8</v>
      </c>
      <c r="R194">
        <v>9838509</v>
      </c>
    </row>
    <row r="195" spans="1:18" x14ac:dyDescent="0.25">
      <c r="A195" s="170">
        <v>42285</v>
      </c>
      <c r="B195" s="116">
        <v>23.095196067751701</v>
      </c>
      <c r="C195" s="116">
        <v>22.914169365900499</v>
      </c>
      <c r="D195" s="116">
        <v>22.514005077597901</v>
      </c>
      <c r="E195" s="116">
        <v>22.675976337148899</v>
      </c>
      <c r="F195" s="116">
        <v>240.5</v>
      </c>
      <c r="G195">
        <v>1785501</v>
      </c>
      <c r="H195" s="116"/>
      <c r="I195" s="116"/>
      <c r="L195" s="170">
        <v>42285</v>
      </c>
      <c r="M195" s="116">
        <v>22.9419079852353</v>
      </c>
      <c r="N195" s="116">
        <v>23.1229280233248</v>
      </c>
      <c r="O195" s="116">
        <v>22.503648945650301</v>
      </c>
      <c r="P195" s="116">
        <v>22.6656142428882</v>
      </c>
      <c r="Q195" s="116">
        <v>240.8</v>
      </c>
      <c r="R195">
        <v>8915502</v>
      </c>
    </row>
    <row r="196" spans="1:18" x14ac:dyDescent="0.25">
      <c r="A196" s="170">
        <v>42286</v>
      </c>
      <c r="B196" s="116">
        <v>23.938399389532201</v>
      </c>
      <c r="C196" s="116">
        <v>23.8907607837819</v>
      </c>
      <c r="D196" s="116">
        <v>23.057085183151401</v>
      </c>
      <c r="E196" s="116">
        <v>23.152362394652101</v>
      </c>
      <c r="F196" s="116">
        <v>250.75</v>
      </c>
      <c r="G196">
        <v>2008366</v>
      </c>
      <c r="H196" s="116"/>
      <c r="I196" s="116"/>
      <c r="L196" s="170">
        <v>42286</v>
      </c>
      <c r="M196" s="116">
        <v>23.923227139088802</v>
      </c>
      <c r="N196" s="116">
        <v>24.104247177178301</v>
      </c>
      <c r="O196" s="116">
        <v>23.075291171196</v>
      </c>
      <c r="P196" s="116">
        <v>23.094345912047501</v>
      </c>
      <c r="Q196" s="116">
        <v>251.1</v>
      </c>
      <c r="R196">
        <v>10520046</v>
      </c>
    </row>
    <row r="197" spans="1:18" x14ac:dyDescent="0.25">
      <c r="A197" s="170">
        <v>42289</v>
      </c>
      <c r="B197" s="116">
        <v>24.957865552588899</v>
      </c>
      <c r="C197" s="116">
        <v>23.9288716683822</v>
      </c>
      <c r="D197" s="116">
        <v>23.819302875156499</v>
      </c>
      <c r="E197" s="116">
        <v>24.267105769209401</v>
      </c>
      <c r="F197" s="116">
        <v>251.15</v>
      </c>
      <c r="G197">
        <v>1678346</v>
      </c>
      <c r="H197" s="116"/>
      <c r="I197" s="116"/>
      <c r="L197" s="170">
        <v>42289</v>
      </c>
      <c r="M197" s="116">
        <v>23.8994087130244</v>
      </c>
      <c r="N197" s="116">
        <v>24.956946830284</v>
      </c>
      <c r="O197" s="116">
        <v>23.799371323553899</v>
      </c>
      <c r="P197" s="116">
        <v>24.304321956119299</v>
      </c>
      <c r="Q197" s="116">
        <v>250.85</v>
      </c>
      <c r="R197">
        <v>10570075</v>
      </c>
    </row>
    <row r="198" spans="1:18" x14ac:dyDescent="0.25">
      <c r="A198" s="170">
        <v>42290</v>
      </c>
      <c r="B198" s="116">
        <v>23.695442500205601</v>
      </c>
      <c r="C198" s="116">
        <v>23.3619722599535</v>
      </c>
      <c r="D198" s="116">
        <v>23.204764860977399</v>
      </c>
      <c r="E198" s="116">
        <v>23.695442500205601</v>
      </c>
      <c r="F198" s="116">
        <v>245.2</v>
      </c>
      <c r="G198">
        <v>838180</v>
      </c>
      <c r="H198" s="116"/>
      <c r="I198" s="116"/>
      <c r="L198" s="170">
        <v>42290</v>
      </c>
      <c r="M198" s="116">
        <v>23.342057543117299</v>
      </c>
      <c r="N198" s="116">
        <v>23.689806563657701</v>
      </c>
      <c r="O198" s="116">
        <v>23.1753285606665</v>
      </c>
      <c r="P198" s="116">
        <v>23.6278786558902</v>
      </c>
      <c r="Q198" s="116">
        <v>245</v>
      </c>
      <c r="R198">
        <v>5821295</v>
      </c>
    </row>
    <row r="199" spans="1:18" x14ac:dyDescent="0.25">
      <c r="A199" s="170">
        <v>42291</v>
      </c>
      <c r="B199" s="116">
        <v>24.095606788508299</v>
      </c>
      <c r="C199" s="116">
        <v>23.6287484521552</v>
      </c>
      <c r="D199" s="116">
        <v>23.266695048452799</v>
      </c>
      <c r="E199" s="116">
        <v>23.271458909027899</v>
      </c>
      <c r="F199" s="116">
        <v>248</v>
      </c>
      <c r="G199">
        <v>953970</v>
      </c>
      <c r="H199" s="116"/>
      <c r="I199" s="116"/>
      <c r="L199" s="170">
        <v>42291</v>
      </c>
      <c r="M199" s="116">
        <v>23.661224452380399</v>
      </c>
      <c r="N199" s="116">
        <v>24.104247177178301</v>
      </c>
      <c r="O199" s="116">
        <v>23.203910671943799</v>
      </c>
      <c r="P199" s="116">
        <v>23.246783838859699</v>
      </c>
      <c r="Q199" s="116">
        <v>248.35</v>
      </c>
      <c r="R199">
        <v>6290182</v>
      </c>
    </row>
    <row r="200" spans="1:18" x14ac:dyDescent="0.25">
      <c r="A200" s="170">
        <v>42292</v>
      </c>
      <c r="B200" s="116">
        <v>24.4957710768109</v>
      </c>
      <c r="C200" s="116">
        <v>24.324272096109802</v>
      </c>
      <c r="D200" s="116">
        <v>23.6382761733053</v>
      </c>
      <c r="E200" s="116">
        <v>23.809775154006399</v>
      </c>
      <c r="F200" s="116">
        <v>255.3</v>
      </c>
      <c r="G200">
        <v>1176863</v>
      </c>
      <c r="H200" s="116"/>
      <c r="I200" s="116"/>
      <c r="L200" s="170">
        <v>42292</v>
      </c>
      <c r="M200" s="116">
        <v>24.318613011758</v>
      </c>
      <c r="N200" s="116">
        <v>24.5043967350603</v>
      </c>
      <c r="O200" s="116">
        <v>23.6326423411031</v>
      </c>
      <c r="P200" s="116">
        <v>23.737443415786501</v>
      </c>
      <c r="Q200" s="116">
        <v>255.25</v>
      </c>
      <c r="R200">
        <v>7008049</v>
      </c>
    </row>
    <row r="201" spans="1:18" x14ac:dyDescent="0.25">
      <c r="A201" s="170">
        <v>42293</v>
      </c>
      <c r="B201" s="116">
        <v>24.4862433556608</v>
      </c>
      <c r="C201" s="116">
        <v>24.071787485633099</v>
      </c>
      <c r="D201" s="116">
        <v>23.671623197330501</v>
      </c>
      <c r="E201" s="116">
        <v>24.295688932659601</v>
      </c>
      <c r="F201" s="116">
        <v>252.65</v>
      </c>
      <c r="G201">
        <v>823274</v>
      </c>
      <c r="H201" s="116"/>
      <c r="I201" s="116"/>
      <c r="L201" s="170">
        <v>42293</v>
      </c>
      <c r="M201" s="116">
        <v>24.094719806752501</v>
      </c>
      <c r="N201" s="116">
        <v>24.4567598829315</v>
      </c>
      <c r="O201" s="116">
        <v>23.6659881375932</v>
      </c>
      <c r="P201" s="116">
        <v>24.380540919525401</v>
      </c>
      <c r="Q201" s="116">
        <v>252.9</v>
      </c>
      <c r="R201">
        <v>5326586</v>
      </c>
    </row>
    <row r="202" spans="1:18" x14ac:dyDescent="0.25">
      <c r="A202" s="170">
        <v>42296</v>
      </c>
      <c r="B202" s="116">
        <v>24.290925072084601</v>
      </c>
      <c r="C202" s="116">
        <v>23.6430400338803</v>
      </c>
      <c r="D202" s="116">
        <v>23.547762822379699</v>
      </c>
      <c r="E202" s="116">
        <v>24.105134509658299</v>
      </c>
      <c r="F202" s="116">
        <v>248.15</v>
      </c>
      <c r="G202">
        <v>697166</v>
      </c>
      <c r="H202" s="116"/>
      <c r="I202" s="116"/>
      <c r="L202" s="170">
        <v>42296</v>
      </c>
      <c r="M202" s="116">
        <v>23.6659881375932</v>
      </c>
      <c r="N202" s="116">
        <v>24.209048251861699</v>
      </c>
      <c r="O202" s="116">
        <v>23.508786525568201</v>
      </c>
      <c r="P202" s="116">
        <v>24.113774547604098</v>
      </c>
      <c r="Q202" s="116">
        <v>248.4</v>
      </c>
      <c r="R202">
        <v>4478358</v>
      </c>
    </row>
    <row r="203" spans="1:18" x14ac:dyDescent="0.25">
      <c r="A203" s="170">
        <v>42297</v>
      </c>
      <c r="B203" s="116">
        <v>23.733553384805901</v>
      </c>
      <c r="C203" s="116">
        <v>22.942752529350699</v>
      </c>
      <c r="D203" s="116">
        <v>22.866530760150201</v>
      </c>
      <c r="E203" s="116">
        <v>23.600165288705</v>
      </c>
      <c r="F203" s="116">
        <v>240.8</v>
      </c>
      <c r="G203">
        <v>1047785</v>
      </c>
      <c r="H203" s="116"/>
      <c r="I203" s="116"/>
      <c r="L203" s="170">
        <v>42297</v>
      </c>
      <c r="M203" s="116">
        <v>22.9419079852353</v>
      </c>
      <c r="N203" s="116">
        <v>23.713624989722099</v>
      </c>
      <c r="O203" s="116">
        <v>22.865689021829201</v>
      </c>
      <c r="P203" s="116">
        <v>23.5373686368455</v>
      </c>
      <c r="Q203" s="116">
        <v>240.8</v>
      </c>
      <c r="R203">
        <v>5248509</v>
      </c>
    </row>
    <row r="204" spans="1:18" x14ac:dyDescent="0.25">
      <c r="A204" s="170">
        <v>42298</v>
      </c>
      <c r="B204" s="116">
        <v>23.504888077204399</v>
      </c>
      <c r="C204" s="116">
        <v>23.3238613753532</v>
      </c>
      <c r="D204" s="116">
        <v>22.699795640024099</v>
      </c>
      <c r="E204" s="116">
        <v>22.961807971650799</v>
      </c>
      <c r="F204" s="116">
        <v>244.8</v>
      </c>
      <c r="G204">
        <v>1108765</v>
      </c>
      <c r="H204" s="116"/>
      <c r="I204" s="116"/>
      <c r="L204" s="170">
        <v>42298</v>
      </c>
      <c r="M204" s="116">
        <v>23.284893320562801</v>
      </c>
      <c r="N204" s="116">
        <v>23.480204414290899</v>
      </c>
      <c r="O204" s="116">
        <v>22.698960039378399</v>
      </c>
      <c r="P204" s="116">
        <v>23.027654319067199</v>
      </c>
      <c r="Q204" s="116">
        <v>244.4</v>
      </c>
      <c r="R204">
        <v>8042203</v>
      </c>
    </row>
    <row r="205" spans="1:18" x14ac:dyDescent="0.25">
      <c r="A205" s="170">
        <v>42300</v>
      </c>
      <c r="B205" s="116">
        <v>23.966982552982401</v>
      </c>
      <c r="C205" s="116">
        <v>23.442957889729001</v>
      </c>
      <c r="D205" s="116">
        <v>23.276222769602899</v>
      </c>
      <c r="E205" s="116">
        <v>23.533471240654599</v>
      </c>
      <c r="F205" s="116">
        <v>246.05</v>
      </c>
      <c r="G205">
        <v>690571</v>
      </c>
      <c r="H205" s="116"/>
      <c r="I205" s="116"/>
      <c r="L205" s="170">
        <v>42300</v>
      </c>
      <c r="M205" s="116">
        <v>23.437331247374999</v>
      </c>
      <c r="N205" s="116">
        <v>23.970863991217598</v>
      </c>
      <c r="O205" s="116">
        <v>23.2610748944984</v>
      </c>
      <c r="P205" s="116">
        <v>23.570714433335599</v>
      </c>
      <c r="Q205" s="116">
        <v>246</v>
      </c>
      <c r="R205">
        <v>5005801</v>
      </c>
    </row>
    <row r="206" spans="1:18" x14ac:dyDescent="0.25">
      <c r="A206" s="170">
        <v>42303</v>
      </c>
      <c r="B206" s="116">
        <v>23.962218692407401</v>
      </c>
      <c r="C206" s="116">
        <v>23.766900408831098</v>
      </c>
      <c r="D206" s="116">
        <v>23.471541053179202</v>
      </c>
      <c r="E206" s="116">
        <v>23.533471240654599</v>
      </c>
      <c r="F206" s="116">
        <v>249.45</v>
      </c>
      <c r="G206">
        <v>680444</v>
      </c>
      <c r="H206" s="116"/>
      <c r="I206" s="116"/>
      <c r="L206" s="170">
        <v>42303</v>
      </c>
      <c r="M206" s="116">
        <v>23.785080267915301</v>
      </c>
      <c r="N206" s="116">
        <v>23.966100306004801</v>
      </c>
      <c r="O206" s="116">
        <v>23.461149673439401</v>
      </c>
      <c r="P206" s="116">
        <v>23.565950748122699</v>
      </c>
      <c r="Q206" s="116">
        <v>249.65</v>
      </c>
      <c r="R206">
        <v>4188032</v>
      </c>
    </row>
    <row r="207" spans="1:18" x14ac:dyDescent="0.25">
      <c r="A207" s="170">
        <v>42304</v>
      </c>
      <c r="B207" s="116">
        <v>23.866941480906799</v>
      </c>
      <c r="C207" s="116">
        <v>23.433430168578901</v>
      </c>
      <c r="D207" s="116">
        <v>23.276222769602899</v>
      </c>
      <c r="E207" s="116">
        <v>23.766900408831098</v>
      </c>
      <c r="F207" s="116">
        <v>245.95</v>
      </c>
      <c r="G207">
        <v>587821</v>
      </c>
      <c r="H207" s="116"/>
      <c r="I207" s="116"/>
      <c r="L207" s="170">
        <v>42304</v>
      </c>
      <c r="M207" s="116">
        <v>23.432567562162099</v>
      </c>
      <c r="N207" s="116">
        <v>23.847008175682699</v>
      </c>
      <c r="O207" s="116">
        <v>23.251547524072599</v>
      </c>
      <c r="P207" s="116">
        <v>23.708861304509199</v>
      </c>
      <c r="Q207" s="116">
        <v>245.95</v>
      </c>
      <c r="R207">
        <v>3403655</v>
      </c>
    </row>
    <row r="208" spans="1:18" x14ac:dyDescent="0.25">
      <c r="A208" s="170">
        <v>42305</v>
      </c>
      <c r="B208" s="116">
        <v>23.676387057905501</v>
      </c>
      <c r="C208" s="116">
        <v>23.5572905435297</v>
      </c>
      <c r="D208" s="116">
        <v>23.295278211903</v>
      </c>
      <c r="E208" s="116">
        <v>23.390555423403601</v>
      </c>
      <c r="F208" s="116">
        <v>247.25</v>
      </c>
      <c r="G208">
        <v>526325</v>
      </c>
      <c r="H208" s="116"/>
      <c r="I208" s="116"/>
      <c r="L208" s="170">
        <v>42305</v>
      </c>
      <c r="M208" s="116">
        <v>23.546896007271201</v>
      </c>
      <c r="N208" s="116">
        <v>23.675515508019</v>
      </c>
      <c r="O208" s="116">
        <v>23.246783838859699</v>
      </c>
      <c r="P208" s="116">
        <v>23.294420690988499</v>
      </c>
      <c r="Q208" s="116">
        <v>247.15</v>
      </c>
      <c r="R208">
        <v>3436974</v>
      </c>
    </row>
    <row r="209" spans="1:18" x14ac:dyDescent="0.25">
      <c r="A209" s="170">
        <v>42306</v>
      </c>
      <c r="B209" s="116">
        <v>23.9145800866571</v>
      </c>
      <c r="C209" s="116">
        <v>23.5715821252548</v>
      </c>
      <c r="D209" s="116">
        <v>23.3143336542031</v>
      </c>
      <c r="E209" s="116">
        <v>23.5811098464049</v>
      </c>
      <c r="F209" s="116">
        <v>247.4</v>
      </c>
      <c r="G209">
        <v>704079</v>
      </c>
      <c r="H209" s="116"/>
      <c r="I209" s="116"/>
      <c r="L209" s="170">
        <v>42306</v>
      </c>
      <c r="M209" s="116">
        <v>23.5897691741872</v>
      </c>
      <c r="N209" s="116">
        <v>23.956572935579</v>
      </c>
      <c r="O209" s="116">
        <v>23.313475431840001</v>
      </c>
      <c r="P209" s="116">
        <v>23.465913358652202</v>
      </c>
      <c r="Q209" s="116">
        <v>247.6</v>
      </c>
      <c r="R209">
        <v>4589032</v>
      </c>
    </row>
    <row r="210" spans="1:18" x14ac:dyDescent="0.25">
      <c r="A210" s="170">
        <v>42307</v>
      </c>
      <c r="B210" s="116">
        <v>24.271869629784401</v>
      </c>
      <c r="C210" s="116">
        <v>23.509651937779399</v>
      </c>
      <c r="D210" s="116">
        <v>23.381027702253601</v>
      </c>
      <c r="E210" s="116">
        <v>23.6287484521552</v>
      </c>
      <c r="F210" s="116">
        <v>246.75</v>
      </c>
      <c r="G210">
        <v>1010652</v>
      </c>
      <c r="H210" s="116"/>
      <c r="I210" s="116"/>
      <c r="L210" s="170">
        <v>42307</v>
      </c>
      <c r="M210" s="116">
        <v>23.4944954699295</v>
      </c>
      <c r="N210" s="116">
        <v>24.275739844842001</v>
      </c>
      <c r="O210" s="116">
        <v>23.356348598756</v>
      </c>
      <c r="P210" s="116">
        <v>23.6659881375932</v>
      </c>
      <c r="Q210" s="116">
        <v>246.6</v>
      </c>
      <c r="R210">
        <v>6173260</v>
      </c>
    </row>
    <row r="211" spans="1:18" x14ac:dyDescent="0.25">
      <c r="A211" s="170">
        <v>42310</v>
      </c>
      <c r="B211" s="116">
        <v>23.542998961804599</v>
      </c>
      <c r="C211" s="116">
        <v>22.7379065246244</v>
      </c>
      <c r="D211" s="116">
        <v>22.514005077597901</v>
      </c>
      <c r="E211" s="116">
        <v>23.542998961804599</v>
      </c>
      <c r="F211" s="116">
        <v>238.65</v>
      </c>
      <c r="G211">
        <v>946901</v>
      </c>
      <c r="H211" s="116"/>
      <c r="I211" s="116"/>
      <c r="L211" s="170">
        <v>42310</v>
      </c>
      <c r="M211" s="116">
        <v>22.7608879471458</v>
      </c>
      <c r="N211" s="116">
        <v>23.4944954699295</v>
      </c>
      <c r="O211" s="116">
        <v>22.513176316075999</v>
      </c>
      <c r="P211" s="116">
        <v>23.484968099503799</v>
      </c>
      <c r="Q211" s="116">
        <v>238.9</v>
      </c>
      <c r="R211">
        <v>4909596</v>
      </c>
    </row>
    <row r="212" spans="1:18" x14ac:dyDescent="0.25">
      <c r="A212" s="170">
        <v>42311</v>
      </c>
      <c r="B212" s="116">
        <v>23.142834673502001</v>
      </c>
      <c r="C212" s="116">
        <v>22.490185774722701</v>
      </c>
      <c r="D212" s="116">
        <v>22.399672423797099</v>
      </c>
      <c r="E212" s="116">
        <v>22.961807971650799</v>
      </c>
      <c r="F212" s="116">
        <v>236.05</v>
      </c>
      <c r="G212">
        <v>796025</v>
      </c>
      <c r="H212" s="116"/>
      <c r="I212" s="116"/>
      <c r="L212" s="170">
        <v>42311</v>
      </c>
      <c r="M212" s="116">
        <v>22.456012093521402</v>
      </c>
      <c r="N212" s="116">
        <v>23.151510134602098</v>
      </c>
      <c r="O212" s="116">
        <v>22.379793130115399</v>
      </c>
      <c r="P212" s="116">
        <v>23.027654319067199</v>
      </c>
      <c r="Q212" s="116">
        <v>235.7</v>
      </c>
      <c r="R212">
        <v>4492769</v>
      </c>
    </row>
    <row r="213" spans="1:18" x14ac:dyDescent="0.25">
      <c r="A213" s="170">
        <v>42312</v>
      </c>
      <c r="B213" s="116">
        <v>22.861766899575201</v>
      </c>
      <c r="C213" s="116">
        <v>22.4663664718476</v>
      </c>
      <c r="D213" s="116">
        <v>22.304395212296502</v>
      </c>
      <c r="E213" s="116">
        <v>22.7712535486496</v>
      </c>
      <c r="F213" s="116">
        <v>235.8</v>
      </c>
      <c r="G213">
        <v>925824</v>
      </c>
      <c r="H213" s="116"/>
      <c r="I213" s="116"/>
      <c r="L213" s="170">
        <v>42312</v>
      </c>
      <c r="M213" s="116">
        <v>22.427429982244199</v>
      </c>
      <c r="N213" s="116">
        <v>22.865689021829201</v>
      </c>
      <c r="O213" s="116">
        <v>22.279755740644799</v>
      </c>
      <c r="P213" s="116">
        <v>22.784706373210199</v>
      </c>
      <c r="Q213" s="116">
        <v>235.4</v>
      </c>
      <c r="R213">
        <v>4861348</v>
      </c>
    </row>
    <row r="214" spans="1:18" x14ac:dyDescent="0.25">
      <c r="A214" s="170">
        <v>42313</v>
      </c>
      <c r="B214" s="116">
        <v>22.4854219141477</v>
      </c>
      <c r="C214" s="116">
        <v>21.494538914541199</v>
      </c>
      <c r="D214" s="116">
        <v>21.394497842465501</v>
      </c>
      <c r="E214" s="116">
        <v>22.4854219141477</v>
      </c>
      <c r="F214" s="116">
        <v>225.6</v>
      </c>
      <c r="G214">
        <v>1508769</v>
      </c>
      <c r="H214" s="116"/>
      <c r="I214" s="116"/>
      <c r="L214" s="170">
        <v>42313</v>
      </c>
      <c r="M214" s="116">
        <v>21.4746929396679</v>
      </c>
      <c r="N214" s="116">
        <v>22.4845942047987</v>
      </c>
      <c r="O214" s="116">
        <v>21.369891864984599</v>
      </c>
      <c r="P214" s="116">
        <v>22.4845942047987</v>
      </c>
      <c r="Q214" s="116">
        <v>225.4</v>
      </c>
      <c r="R214">
        <v>8801639</v>
      </c>
    </row>
    <row r="215" spans="1:18" x14ac:dyDescent="0.25">
      <c r="A215" s="170">
        <v>42314</v>
      </c>
      <c r="B215" s="116">
        <v>21.113430068538701</v>
      </c>
      <c r="C215" s="116">
        <v>20.9705142512877</v>
      </c>
      <c r="D215" s="116">
        <v>20.508419775509701</v>
      </c>
      <c r="E215" s="116">
        <v>20.837126155186901</v>
      </c>
      <c r="F215" s="116">
        <v>220.1</v>
      </c>
      <c r="G215">
        <v>1862829</v>
      </c>
      <c r="H215" s="116"/>
      <c r="I215" s="116"/>
      <c r="L215" s="170">
        <v>42314</v>
      </c>
      <c r="M215" s="116">
        <v>20.984033362741201</v>
      </c>
      <c r="N215" s="116">
        <v>21.136471289553398</v>
      </c>
      <c r="O215" s="116">
        <v>20.493373785814399</v>
      </c>
      <c r="P215" s="116">
        <v>20.855413861993402</v>
      </c>
      <c r="Q215" s="116">
        <v>220.25</v>
      </c>
      <c r="R215">
        <v>9906366</v>
      </c>
    </row>
    <row r="216" spans="1:18" x14ac:dyDescent="0.25">
      <c r="A216" s="170">
        <v>42317</v>
      </c>
      <c r="B216" s="116">
        <v>21.365914679015301</v>
      </c>
      <c r="C216" s="116">
        <v>21.165832534863998</v>
      </c>
      <c r="D216" s="116">
        <v>20.294046049633302</v>
      </c>
      <c r="E216" s="116">
        <v>20.4846004726346</v>
      </c>
      <c r="F216" s="116">
        <v>222.15</v>
      </c>
      <c r="G216">
        <v>1411587</v>
      </c>
      <c r="H216" s="116"/>
      <c r="I216" s="116"/>
      <c r="L216" s="170">
        <v>42317</v>
      </c>
      <c r="M216" s="116">
        <v>21.174580771256402</v>
      </c>
      <c r="N216" s="116">
        <v>21.3794192354103</v>
      </c>
      <c r="O216" s="116">
        <v>20.259953210383301</v>
      </c>
      <c r="P216" s="116">
        <v>20.483846415388701</v>
      </c>
      <c r="Q216" s="116">
        <v>222.25</v>
      </c>
      <c r="R216">
        <v>6272638</v>
      </c>
    </row>
    <row r="217" spans="1:18" x14ac:dyDescent="0.25">
      <c r="A217" s="170">
        <v>42318</v>
      </c>
      <c r="B217" s="116">
        <v>21.175360256014098</v>
      </c>
      <c r="C217" s="116">
        <v>20.7656682465614</v>
      </c>
      <c r="D217" s="116">
        <v>20.6799187562108</v>
      </c>
      <c r="E217" s="116">
        <v>21.146777092563902</v>
      </c>
      <c r="F217" s="116">
        <v>217.95</v>
      </c>
      <c r="G217">
        <v>897038</v>
      </c>
      <c r="H217" s="116"/>
      <c r="I217" s="116"/>
      <c r="L217" s="170">
        <v>42318</v>
      </c>
      <c r="M217" s="116">
        <v>20.774431213374399</v>
      </c>
      <c r="N217" s="116">
        <v>21.174580771256402</v>
      </c>
      <c r="O217" s="116">
        <v>20.688684879542599</v>
      </c>
      <c r="P217" s="116">
        <v>21.036433900082901</v>
      </c>
      <c r="Q217" s="116">
        <v>218.05</v>
      </c>
      <c r="R217">
        <v>4536410</v>
      </c>
    </row>
    <row r="218" spans="1:18" x14ac:dyDescent="0.25">
      <c r="A218" s="170">
        <v>42319</v>
      </c>
      <c r="B218" s="116">
        <v>21.132485510838801</v>
      </c>
      <c r="C218" s="116">
        <v>21.0419721599132</v>
      </c>
      <c r="D218" s="116">
        <v>20.960986530137699</v>
      </c>
      <c r="E218" s="116">
        <v>20.960986530137699</v>
      </c>
      <c r="F218" s="116">
        <v>220.85</v>
      </c>
      <c r="G218">
        <v>247816</v>
      </c>
      <c r="H218" s="116"/>
      <c r="I218" s="116"/>
      <c r="L218" s="170">
        <v>42319</v>
      </c>
      <c r="M218" s="116">
        <v>21.003088103592699</v>
      </c>
      <c r="N218" s="116">
        <v>21.126943919127601</v>
      </c>
      <c r="O218" s="116">
        <v>20.936396510612401</v>
      </c>
      <c r="P218" s="116">
        <v>21.003088103592699</v>
      </c>
      <c r="Q218" s="116">
        <v>220.45</v>
      </c>
      <c r="R218">
        <v>772162</v>
      </c>
    </row>
    <row r="219" spans="1:18" x14ac:dyDescent="0.25">
      <c r="A219" s="170">
        <v>42321</v>
      </c>
      <c r="B219" s="116">
        <v>21.3039844915399</v>
      </c>
      <c r="C219" s="116">
        <v>21.165832534863998</v>
      </c>
      <c r="D219" s="116">
        <v>20.660863313910699</v>
      </c>
      <c r="E219" s="116">
        <v>20.856181597487002</v>
      </c>
      <c r="F219" s="116">
        <v>222.15</v>
      </c>
      <c r="G219">
        <v>810250</v>
      </c>
      <c r="H219" s="116"/>
      <c r="I219" s="116"/>
      <c r="L219" s="170">
        <v>42321</v>
      </c>
      <c r="M219" s="116">
        <v>21.212690252959501</v>
      </c>
      <c r="N219" s="116">
        <v>21.303200272004201</v>
      </c>
      <c r="O219" s="116">
        <v>20.636284342200899</v>
      </c>
      <c r="P219" s="116">
        <v>20.8363591211419</v>
      </c>
      <c r="Q219" s="116">
        <v>222.65</v>
      </c>
      <c r="R219">
        <v>4426975</v>
      </c>
    </row>
    <row r="220" spans="1:18" x14ac:dyDescent="0.25">
      <c r="A220" s="170">
        <v>42324</v>
      </c>
      <c r="B220" s="116">
        <v>21.970924972044301</v>
      </c>
      <c r="C220" s="116">
        <v>21.8947032028438</v>
      </c>
      <c r="D220" s="116">
        <v>20.989569693587899</v>
      </c>
      <c r="E220" s="116">
        <v>21.175360256014098</v>
      </c>
      <c r="F220" s="116">
        <v>229.8</v>
      </c>
      <c r="G220">
        <v>1283137</v>
      </c>
      <c r="H220" s="116"/>
      <c r="I220" s="116"/>
      <c r="L220" s="170">
        <v>42324</v>
      </c>
      <c r="M220" s="116">
        <v>21.970116201807599</v>
      </c>
      <c r="N220" s="116">
        <v>22.093972017342502</v>
      </c>
      <c r="O220" s="116">
        <v>20.979269677528301</v>
      </c>
      <c r="P220" s="116">
        <v>21.231744993810999</v>
      </c>
      <c r="Q220" s="116">
        <v>230.6</v>
      </c>
      <c r="R220">
        <v>6923327</v>
      </c>
    </row>
    <row r="221" spans="1:18" x14ac:dyDescent="0.25">
      <c r="A221" s="170">
        <v>42325</v>
      </c>
      <c r="B221" s="116">
        <v>22.4663664718476</v>
      </c>
      <c r="C221" s="116">
        <v>22.342506096896798</v>
      </c>
      <c r="D221" s="116">
        <v>22.009035856644601</v>
      </c>
      <c r="E221" s="116">
        <v>22.104313068145199</v>
      </c>
      <c r="F221" s="116">
        <v>234.5</v>
      </c>
      <c r="G221">
        <v>1009714</v>
      </c>
      <c r="H221" s="116"/>
      <c r="I221" s="116"/>
      <c r="L221" s="170">
        <v>42325</v>
      </c>
      <c r="M221" s="116">
        <v>22.3464473336252</v>
      </c>
      <c r="N221" s="116">
        <v>22.460775778734298</v>
      </c>
      <c r="O221" s="116">
        <v>21.998698313084901</v>
      </c>
      <c r="P221" s="116">
        <v>22.093972017342502</v>
      </c>
      <c r="Q221" s="116">
        <v>234.55</v>
      </c>
      <c r="R221">
        <v>5240948</v>
      </c>
    </row>
    <row r="222" spans="1:18" x14ac:dyDescent="0.25">
      <c r="A222" s="170">
        <v>42326</v>
      </c>
      <c r="B222" s="116">
        <v>22.371089260346899</v>
      </c>
      <c r="C222" s="116">
        <v>21.518358217416299</v>
      </c>
      <c r="D222" s="116">
        <v>21.451664169365898</v>
      </c>
      <c r="E222" s="116">
        <v>22.342506096896798</v>
      </c>
      <c r="F222" s="116">
        <v>225.85</v>
      </c>
      <c r="G222">
        <v>899973</v>
      </c>
      <c r="H222" s="116"/>
      <c r="I222" s="116"/>
      <c r="L222" s="170">
        <v>42326</v>
      </c>
      <c r="M222" s="116">
        <v>21.517566106583899</v>
      </c>
      <c r="N222" s="116">
        <v>22.3893205005411</v>
      </c>
      <c r="O222" s="116">
        <v>21.455638198816398</v>
      </c>
      <c r="P222" s="116">
        <v>22.3035741667093</v>
      </c>
      <c r="Q222" s="116">
        <v>225.85</v>
      </c>
      <c r="R222">
        <v>5283608</v>
      </c>
    </row>
    <row r="223" spans="1:18" x14ac:dyDescent="0.25">
      <c r="A223" s="170">
        <v>42327</v>
      </c>
      <c r="B223" s="116">
        <v>21.8851754816938</v>
      </c>
      <c r="C223" s="116">
        <v>21.808953712493199</v>
      </c>
      <c r="D223" s="116">
        <v>21.518358217416299</v>
      </c>
      <c r="E223" s="116">
        <v>21.723204222142702</v>
      </c>
      <c r="F223" s="116">
        <v>228.9</v>
      </c>
      <c r="G223">
        <v>765448</v>
      </c>
      <c r="H223" s="116"/>
      <c r="I223" s="116"/>
      <c r="L223" s="170">
        <v>42327</v>
      </c>
      <c r="M223" s="116">
        <v>21.793859848931</v>
      </c>
      <c r="N223" s="116">
        <v>21.8843698679757</v>
      </c>
      <c r="O223" s="116">
        <v>21.493747680519501</v>
      </c>
      <c r="P223" s="116">
        <v>21.674767718609001</v>
      </c>
      <c r="Q223" s="116">
        <v>228.75</v>
      </c>
      <c r="R223">
        <v>3661120</v>
      </c>
    </row>
    <row r="224" spans="1:18" x14ac:dyDescent="0.25">
      <c r="A224" s="170">
        <v>42328</v>
      </c>
      <c r="B224" s="116">
        <v>22.1424239527454</v>
      </c>
      <c r="C224" s="116">
        <v>21.8851754816938</v>
      </c>
      <c r="D224" s="116">
        <v>21.723204222142702</v>
      </c>
      <c r="E224" s="116">
        <v>21.842300736518499</v>
      </c>
      <c r="F224" s="116">
        <v>229.7</v>
      </c>
      <c r="G224">
        <v>683901</v>
      </c>
      <c r="H224" s="116"/>
      <c r="I224" s="116"/>
      <c r="L224" s="170">
        <v>42328</v>
      </c>
      <c r="M224" s="116">
        <v>21.912951979252998</v>
      </c>
      <c r="N224" s="116">
        <v>22.174954665961501</v>
      </c>
      <c r="O224" s="116">
        <v>21.731931941163499</v>
      </c>
      <c r="P224" s="116">
        <v>21.731931941163499</v>
      </c>
      <c r="Q224" s="116">
        <v>230</v>
      </c>
      <c r="R224">
        <v>3859405</v>
      </c>
    </row>
    <row r="225" spans="1:18" x14ac:dyDescent="0.25">
      <c r="A225" s="170">
        <v>42331</v>
      </c>
      <c r="B225" s="116">
        <v>21.999508135494501</v>
      </c>
      <c r="C225" s="116">
        <v>21.380206260740401</v>
      </c>
      <c r="D225" s="116">
        <v>21.256345885789599</v>
      </c>
      <c r="E225" s="116">
        <v>21.961397250894301</v>
      </c>
      <c r="F225" s="116">
        <v>224.4</v>
      </c>
      <c r="G225">
        <v>799549</v>
      </c>
      <c r="H225" s="116"/>
      <c r="I225" s="116"/>
      <c r="L225" s="170">
        <v>42331</v>
      </c>
      <c r="M225" s="116">
        <v>21.3841829206232</v>
      </c>
      <c r="N225" s="116">
        <v>21.993934627872001</v>
      </c>
      <c r="O225" s="116">
        <v>21.255563419875401</v>
      </c>
      <c r="P225" s="116">
        <v>21.993934627872001</v>
      </c>
      <c r="Q225" s="116">
        <v>224.45</v>
      </c>
      <c r="R225">
        <v>4102378</v>
      </c>
    </row>
    <row r="226" spans="1:18" x14ac:dyDescent="0.25">
      <c r="A226" s="170">
        <v>42332</v>
      </c>
      <c r="B226" s="116">
        <v>21.5707606837417</v>
      </c>
      <c r="C226" s="116">
        <v>21.375442400165401</v>
      </c>
      <c r="D226" s="116">
        <v>21.170596395439102</v>
      </c>
      <c r="E226" s="116">
        <v>21.237290443489499</v>
      </c>
      <c r="F226" s="116">
        <v>224.35</v>
      </c>
      <c r="G226">
        <v>657004</v>
      </c>
      <c r="H226" s="116"/>
      <c r="I226" s="116"/>
      <c r="L226" s="170">
        <v>42332</v>
      </c>
      <c r="M226" s="116">
        <v>21.374655550197399</v>
      </c>
      <c r="N226" s="116">
        <v>21.5699666439256</v>
      </c>
      <c r="O226" s="116">
        <v>21.1983991973208</v>
      </c>
      <c r="P226" s="116">
        <v>21.279381845939799</v>
      </c>
      <c r="Q226" s="116">
        <v>224.35</v>
      </c>
      <c r="R226">
        <v>4179013</v>
      </c>
    </row>
    <row r="227" spans="1:18" x14ac:dyDescent="0.25">
      <c r="A227" s="170">
        <v>42334</v>
      </c>
      <c r="B227" s="116">
        <v>21.8947032028438</v>
      </c>
      <c r="C227" s="116">
        <v>21.713676500992602</v>
      </c>
      <c r="D227" s="116">
        <v>21.370678539590401</v>
      </c>
      <c r="E227" s="116">
        <v>21.399261703040601</v>
      </c>
      <c r="F227" s="116">
        <v>227.9</v>
      </c>
      <c r="G227">
        <v>583931</v>
      </c>
      <c r="H227" s="116"/>
      <c r="I227" s="116"/>
      <c r="L227" s="170">
        <v>42334</v>
      </c>
      <c r="M227" s="116">
        <v>21.712877200312001</v>
      </c>
      <c r="N227" s="116">
        <v>21.912951979252998</v>
      </c>
      <c r="O227" s="116">
        <v>21.360364494558802</v>
      </c>
      <c r="P227" s="116">
        <v>21.484220310093701</v>
      </c>
      <c r="Q227" s="116">
        <v>227.9</v>
      </c>
      <c r="R227">
        <v>4588073</v>
      </c>
    </row>
    <row r="228" spans="1:18" x14ac:dyDescent="0.25">
      <c r="A228" s="170">
        <v>42335</v>
      </c>
      <c r="B228" s="116">
        <v>22.390144702647099</v>
      </c>
      <c r="C228" s="116">
        <v>22.028091298944702</v>
      </c>
      <c r="D228" s="116">
        <v>21.727968082717702</v>
      </c>
      <c r="E228" s="116">
        <v>21.818481433643299</v>
      </c>
      <c r="F228" s="116">
        <v>231.2</v>
      </c>
      <c r="G228">
        <v>931266</v>
      </c>
      <c r="H228" s="116"/>
      <c r="I228" s="116"/>
      <c r="L228" s="170">
        <v>42335</v>
      </c>
      <c r="M228" s="116">
        <v>22.032044109575001</v>
      </c>
      <c r="N228" s="116">
        <v>22.3893205005411</v>
      </c>
      <c r="O228" s="116">
        <v>21.679531403821802</v>
      </c>
      <c r="P228" s="116">
        <v>21.712877200312001</v>
      </c>
      <c r="Q228" s="116">
        <v>231.25</v>
      </c>
      <c r="R228">
        <v>5393087</v>
      </c>
    </row>
    <row r="229" spans="1:18" x14ac:dyDescent="0.25">
      <c r="A229" s="170">
        <v>42338</v>
      </c>
      <c r="B229" s="116">
        <v>22.323450654596598</v>
      </c>
      <c r="C229" s="116">
        <v>21.918522505719</v>
      </c>
      <c r="D229" s="116">
        <v>21.808953712493199</v>
      </c>
      <c r="E229" s="116">
        <v>22.085257625845099</v>
      </c>
      <c r="F229" s="116">
        <v>230.05</v>
      </c>
      <c r="G229">
        <v>526222</v>
      </c>
      <c r="H229" s="116"/>
      <c r="I229" s="116"/>
      <c r="L229" s="170">
        <v>42338</v>
      </c>
      <c r="M229" s="116">
        <v>21.874842497549999</v>
      </c>
      <c r="N229" s="116">
        <v>22.332156277986499</v>
      </c>
      <c r="O229" s="116">
        <v>21.7986235341439</v>
      </c>
      <c r="P229" s="116">
        <v>22.141608869471298</v>
      </c>
      <c r="Q229" s="116">
        <v>229.6</v>
      </c>
      <c r="R229">
        <v>4556796</v>
      </c>
    </row>
    <row r="230" spans="1:18" x14ac:dyDescent="0.25">
      <c r="A230" s="170">
        <v>42339</v>
      </c>
      <c r="B230" s="116">
        <v>22.7379065246244</v>
      </c>
      <c r="C230" s="116">
        <v>22.642629313123699</v>
      </c>
      <c r="D230" s="116">
        <v>21.947105669169201</v>
      </c>
      <c r="E230" s="116">
        <v>21.961397250894301</v>
      </c>
      <c r="F230" s="116">
        <v>237.65</v>
      </c>
      <c r="G230">
        <v>958339</v>
      </c>
      <c r="H230" s="116"/>
      <c r="I230" s="116"/>
      <c r="L230" s="170">
        <v>42339</v>
      </c>
      <c r="M230" s="116">
        <v>22.632268446398101</v>
      </c>
      <c r="N230" s="116">
        <v>22.722778465442801</v>
      </c>
      <c r="O230" s="116">
        <v>21.9415340905303</v>
      </c>
      <c r="P230" s="116">
        <v>21.989170942659101</v>
      </c>
      <c r="Q230" s="116">
        <v>237.55</v>
      </c>
      <c r="R230">
        <v>6586598</v>
      </c>
    </row>
    <row r="231" spans="1:18" x14ac:dyDescent="0.25">
      <c r="A231" s="170">
        <v>42340</v>
      </c>
      <c r="B231" s="116">
        <v>23.404847005128701</v>
      </c>
      <c r="C231" s="116">
        <v>23.200001000402398</v>
      </c>
      <c r="D231" s="116">
        <v>22.690267918874</v>
      </c>
      <c r="E231" s="116">
        <v>22.795072851524701</v>
      </c>
      <c r="F231" s="116">
        <v>243.5</v>
      </c>
      <c r="G231">
        <v>1426307</v>
      </c>
      <c r="H231" s="116"/>
      <c r="I231" s="116"/>
      <c r="L231" s="170">
        <v>42340</v>
      </c>
      <c r="M231" s="116">
        <v>23.232492783221101</v>
      </c>
      <c r="N231" s="116">
        <v>23.427803876949199</v>
      </c>
      <c r="O231" s="116">
        <v>22.684668983739702</v>
      </c>
      <c r="P231" s="116">
        <v>22.860925336616301</v>
      </c>
      <c r="Q231" s="116">
        <v>243.85</v>
      </c>
      <c r="R231">
        <v>8858386</v>
      </c>
    </row>
    <row r="232" spans="1:18" x14ac:dyDescent="0.25">
      <c r="A232" s="170">
        <v>42341</v>
      </c>
      <c r="B232" s="116">
        <v>23.209528721552399</v>
      </c>
      <c r="C232" s="116">
        <v>22.880822341875302</v>
      </c>
      <c r="D232" s="116">
        <v>22.580699125648302</v>
      </c>
      <c r="E232" s="116">
        <v>23.0475574620014</v>
      </c>
      <c r="F232" s="116">
        <v>240.15</v>
      </c>
      <c r="G232">
        <v>1154022</v>
      </c>
      <c r="H232" s="116"/>
      <c r="I232" s="116"/>
      <c r="L232" s="170">
        <v>42341</v>
      </c>
      <c r="M232" s="116">
        <v>22.879980077467899</v>
      </c>
      <c r="N232" s="116">
        <v>23.199146986730899</v>
      </c>
      <c r="O232" s="116">
        <v>22.560813168204799</v>
      </c>
      <c r="P232" s="116">
        <v>22.879980077467899</v>
      </c>
      <c r="Q232" s="116">
        <v>240.15</v>
      </c>
      <c r="R232">
        <v>7107867</v>
      </c>
    </row>
    <row r="233" spans="1:18" x14ac:dyDescent="0.25">
      <c r="A233" s="170">
        <v>42342</v>
      </c>
      <c r="B233" s="116">
        <v>23.247639606152699</v>
      </c>
      <c r="C233" s="116">
        <v>22.885586202450298</v>
      </c>
      <c r="D233" s="116">
        <v>22.604518428523502</v>
      </c>
      <c r="E233" s="116">
        <v>22.675976337148899</v>
      </c>
      <c r="F233" s="116">
        <v>240.2</v>
      </c>
      <c r="G233">
        <v>1032649</v>
      </c>
      <c r="H233" s="116"/>
      <c r="I233" s="116"/>
      <c r="L233" s="170">
        <v>42342</v>
      </c>
      <c r="M233" s="116">
        <v>22.8895074478936</v>
      </c>
      <c r="N233" s="116">
        <v>23.270602264924101</v>
      </c>
      <c r="O233" s="116">
        <v>22.589395279482101</v>
      </c>
      <c r="P233" s="116">
        <v>22.679905298526901</v>
      </c>
      <c r="Q233" s="116">
        <v>240.25</v>
      </c>
      <c r="R233">
        <v>5538118</v>
      </c>
    </row>
    <row r="234" spans="1:18" x14ac:dyDescent="0.25">
      <c r="A234" s="170">
        <v>42345</v>
      </c>
      <c r="B234" s="116">
        <v>23.562054404104799</v>
      </c>
      <c r="C234" s="116">
        <v>23.204764860977399</v>
      </c>
      <c r="D234" s="116">
        <v>23.104723788901801</v>
      </c>
      <c r="E234" s="116">
        <v>23.247639606152699</v>
      </c>
      <c r="F234" s="116">
        <v>243.55</v>
      </c>
      <c r="G234">
        <v>697687</v>
      </c>
      <c r="H234" s="116"/>
      <c r="I234" s="116"/>
      <c r="L234" s="170">
        <v>42345</v>
      </c>
      <c r="M234" s="116">
        <v>23.203910671943799</v>
      </c>
      <c r="N234" s="116">
        <v>23.5802418037614</v>
      </c>
      <c r="O234" s="116">
        <v>23.099109597260401</v>
      </c>
      <c r="P234" s="116">
        <v>23.323002802265801</v>
      </c>
      <c r="Q234" s="116">
        <v>243.55</v>
      </c>
      <c r="R234">
        <v>4936426</v>
      </c>
    </row>
    <row r="235" spans="1:18" x14ac:dyDescent="0.25">
      <c r="A235" s="170">
        <v>42346</v>
      </c>
      <c r="B235" s="116">
        <v>23.166653976377201</v>
      </c>
      <c r="C235" s="116">
        <v>22.366325399771899</v>
      </c>
      <c r="D235" s="116">
        <v>22.275812048846301</v>
      </c>
      <c r="E235" s="116">
        <v>23.142834673502001</v>
      </c>
      <c r="F235" s="116">
        <v>234.75</v>
      </c>
      <c r="G235">
        <v>757416</v>
      </c>
      <c r="H235" s="116"/>
      <c r="I235" s="116"/>
      <c r="L235" s="170">
        <v>42346</v>
      </c>
      <c r="M235" s="116">
        <v>22.365502074476701</v>
      </c>
      <c r="N235" s="116">
        <v>23.156273819814999</v>
      </c>
      <c r="O235" s="116">
        <v>22.246409944154699</v>
      </c>
      <c r="P235" s="116">
        <v>23.061000115557299</v>
      </c>
      <c r="Q235" s="116">
        <v>234.75</v>
      </c>
      <c r="R235">
        <v>4545921</v>
      </c>
    </row>
    <row r="236" spans="1:18" x14ac:dyDescent="0.25">
      <c r="A236" s="170">
        <v>42347</v>
      </c>
      <c r="B236" s="116">
        <v>22.4758941929976</v>
      </c>
      <c r="C236" s="116">
        <v>21.613635428917</v>
      </c>
      <c r="D236" s="116">
        <v>21.437372587640802</v>
      </c>
      <c r="E236" s="116">
        <v>22.294867491146402</v>
      </c>
      <c r="F236" s="116">
        <v>226.85</v>
      </c>
      <c r="G236">
        <v>906515</v>
      </c>
      <c r="H236" s="116"/>
      <c r="I236" s="116"/>
      <c r="L236" s="170">
        <v>42347</v>
      </c>
      <c r="M236" s="116">
        <v>21.6128398108415</v>
      </c>
      <c r="N236" s="116">
        <v>22.470303149160099</v>
      </c>
      <c r="O236" s="116">
        <v>21.4270560875391</v>
      </c>
      <c r="P236" s="116">
        <v>22.294046796283499</v>
      </c>
      <c r="Q236" s="116">
        <v>226.85</v>
      </c>
      <c r="R236">
        <v>4727674</v>
      </c>
    </row>
    <row r="237" spans="1:18" x14ac:dyDescent="0.25">
      <c r="A237" s="170">
        <v>42348</v>
      </c>
      <c r="B237" s="116">
        <v>22.342506096896798</v>
      </c>
      <c r="C237" s="116">
        <v>22.1948264190708</v>
      </c>
      <c r="D237" s="116">
        <v>21.504066635691199</v>
      </c>
      <c r="E237" s="116">
        <v>21.504066635691199</v>
      </c>
      <c r="F237" s="116">
        <v>232.95</v>
      </c>
      <c r="G237">
        <v>928471</v>
      </c>
      <c r="H237" s="116"/>
      <c r="I237" s="116"/>
      <c r="L237" s="170">
        <v>42348</v>
      </c>
      <c r="M237" s="116">
        <v>22.198773092025899</v>
      </c>
      <c r="N237" s="116">
        <v>22.365502074476701</v>
      </c>
      <c r="O237" s="116">
        <v>21.579494014351301</v>
      </c>
      <c r="P237" s="116">
        <v>21.6509492925445</v>
      </c>
      <c r="Q237" s="116">
        <v>233</v>
      </c>
      <c r="R237">
        <v>4804837</v>
      </c>
    </row>
    <row r="238" spans="1:18" x14ac:dyDescent="0.25">
      <c r="A238" s="170">
        <v>42349</v>
      </c>
      <c r="B238" s="116">
        <v>23.238111885002599</v>
      </c>
      <c r="C238" s="116">
        <v>22.952280250500799</v>
      </c>
      <c r="D238" s="116">
        <v>22.4473110295474</v>
      </c>
      <c r="E238" s="116">
        <v>22.4473110295474</v>
      </c>
      <c r="F238" s="116">
        <v>240.9</v>
      </c>
      <c r="G238">
        <v>1693286</v>
      </c>
      <c r="H238" s="116"/>
      <c r="I238" s="116"/>
      <c r="L238" s="170">
        <v>42349</v>
      </c>
      <c r="M238" s="116">
        <v>22.951435355661101</v>
      </c>
      <c r="N238" s="116">
        <v>23.237256468433898</v>
      </c>
      <c r="O238" s="116">
        <v>22.3988478709669</v>
      </c>
      <c r="P238" s="116">
        <v>22.3988478709669</v>
      </c>
      <c r="Q238" s="116">
        <v>240.9</v>
      </c>
      <c r="R238">
        <v>11922435</v>
      </c>
    </row>
    <row r="239" spans="1:18" x14ac:dyDescent="0.25">
      <c r="A239" s="170">
        <v>42352</v>
      </c>
      <c r="B239" s="116">
        <v>23.700206360780701</v>
      </c>
      <c r="C239" s="116">
        <v>23.3476806782284</v>
      </c>
      <c r="D239" s="116">
        <v>22.7474342457744</v>
      </c>
      <c r="E239" s="116">
        <v>22.818892154399901</v>
      </c>
      <c r="F239" s="116">
        <v>245.05</v>
      </c>
      <c r="G239">
        <v>1608531</v>
      </c>
      <c r="H239" s="116"/>
      <c r="I239" s="116"/>
      <c r="L239" s="170">
        <v>42352</v>
      </c>
      <c r="M239" s="116">
        <v>23.342057543117299</v>
      </c>
      <c r="N239" s="116">
        <v>23.713624989722099</v>
      </c>
      <c r="O239" s="116">
        <v>22.7180147802299</v>
      </c>
      <c r="P239" s="116">
        <v>22.770415317571601</v>
      </c>
      <c r="Q239" s="116">
        <v>245</v>
      </c>
      <c r="R239">
        <v>11314471</v>
      </c>
    </row>
    <row r="240" spans="1:18" x14ac:dyDescent="0.25">
      <c r="A240" s="170">
        <v>42353</v>
      </c>
      <c r="B240" s="116">
        <v>23.590637567555</v>
      </c>
      <c r="C240" s="116">
        <v>23.266695048452799</v>
      </c>
      <c r="D240" s="116">
        <v>22.985627274525999</v>
      </c>
      <c r="E240" s="116">
        <v>23.533471240654599</v>
      </c>
      <c r="F240" s="116">
        <v>244.2</v>
      </c>
      <c r="G240">
        <v>670255</v>
      </c>
      <c r="H240" s="116"/>
      <c r="I240" s="116"/>
      <c r="L240" s="170">
        <v>42353</v>
      </c>
      <c r="M240" s="116">
        <v>23.280129635349901</v>
      </c>
      <c r="N240" s="116">
        <v>23.556423377697001</v>
      </c>
      <c r="O240" s="116">
        <v>22.984781152151299</v>
      </c>
      <c r="P240" s="116">
        <v>23.532604951632599</v>
      </c>
      <c r="Q240" s="116">
        <v>244.35</v>
      </c>
      <c r="R240">
        <v>5218812</v>
      </c>
    </row>
    <row r="241" spans="1:18" x14ac:dyDescent="0.25">
      <c r="A241" s="170">
        <v>42354</v>
      </c>
      <c r="B241" s="116">
        <v>23.685914779055601</v>
      </c>
      <c r="C241" s="116">
        <v>23.3333890965033</v>
      </c>
      <c r="D241" s="116">
        <v>23.090432207176701</v>
      </c>
      <c r="E241" s="116">
        <v>23.523943519504499</v>
      </c>
      <c r="F241" s="116">
        <v>244.9</v>
      </c>
      <c r="G241">
        <v>955501</v>
      </c>
      <c r="H241" s="116"/>
      <c r="I241" s="116"/>
      <c r="L241" s="170">
        <v>42354</v>
      </c>
      <c r="M241" s="116">
        <v>23.313475431840001</v>
      </c>
      <c r="N241" s="116">
        <v>23.685042878444801</v>
      </c>
      <c r="O241" s="116">
        <v>23.065763800770199</v>
      </c>
      <c r="P241" s="116">
        <v>23.4897317847166</v>
      </c>
      <c r="Q241" s="116">
        <v>244.7</v>
      </c>
      <c r="R241">
        <v>5759897</v>
      </c>
    </row>
    <row r="242" spans="1:18" x14ac:dyDescent="0.25">
      <c r="A242" s="170">
        <v>42355</v>
      </c>
      <c r="B242" s="116">
        <v>24.538645821986201</v>
      </c>
      <c r="C242" s="116">
        <v>24.443368610485599</v>
      </c>
      <c r="D242" s="116">
        <v>23.457249471454102</v>
      </c>
      <c r="E242" s="116">
        <v>23.457249471454102</v>
      </c>
      <c r="F242" s="116">
        <v>256.55</v>
      </c>
      <c r="G242">
        <v>1643464</v>
      </c>
      <c r="H242" s="116"/>
      <c r="I242" s="116"/>
      <c r="L242" s="170">
        <v>42355</v>
      </c>
      <c r="M242" s="116">
        <v>24.494869364634599</v>
      </c>
      <c r="N242" s="116">
        <v>24.575852013253499</v>
      </c>
      <c r="O242" s="116">
        <v>23.4420949325878</v>
      </c>
      <c r="P242" s="116">
        <v>23.523077581206799</v>
      </c>
      <c r="Q242" s="116">
        <v>257.10000000000002</v>
      </c>
      <c r="R242">
        <v>12112293</v>
      </c>
    </row>
    <row r="243" spans="1:18" x14ac:dyDescent="0.25">
      <c r="A243" s="170">
        <v>42356</v>
      </c>
      <c r="B243" s="116">
        <v>24.571992846011401</v>
      </c>
      <c r="C243" s="116">
        <v>24.329035956684798</v>
      </c>
      <c r="D243" s="116">
        <v>24.205175581734</v>
      </c>
      <c r="E243" s="116">
        <v>24.4957710768109</v>
      </c>
      <c r="F243" s="116">
        <v>255.35</v>
      </c>
      <c r="G243">
        <v>927606</v>
      </c>
      <c r="H243" s="116"/>
      <c r="I243" s="116"/>
      <c r="L243" s="170">
        <v>42356</v>
      </c>
      <c r="M243" s="116">
        <v>24.356722493461</v>
      </c>
      <c r="N243" s="116">
        <v>24.575852013253499</v>
      </c>
      <c r="O243" s="116">
        <v>24.199520881435902</v>
      </c>
      <c r="P243" s="116">
        <v>24.437705142079999</v>
      </c>
      <c r="Q243" s="116">
        <v>255.65</v>
      </c>
      <c r="R243">
        <v>6944209</v>
      </c>
    </row>
    <row r="244" spans="1:18" x14ac:dyDescent="0.25">
      <c r="A244" s="170">
        <v>42359</v>
      </c>
      <c r="B244" s="116">
        <v>24.914990807413702</v>
      </c>
      <c r="C244" s="116">
        <v>24.633923033486798</v>
      </c>
      <c r="D244" s="116">
        <v>24.271869629784401</v>
      </c>
      <c r="E244" s="116">
        <v>24.305216653809602</v>
      </c>
      <c r="F244" s="116">
        <v>258.55</v>
      </c>
      <c r="G244">
        <v>1109400</v>
      </c>
      <c r="H244" s="116"/>
      <c r="I244" s="116"/>
      <c r="L244" s="170">
        <v>42359</v>
      </c>
      <c r="M244" s="116">
        <v>24.623488865382299</v>
      </c>
      <c r="N244" s="116">
        <v>24.9045462929423</v>
      </c>
      <c r="O244" s="116">
        <v>24.261448789203399</v>
      </c>
      <c r="P244" s="116">
        <v>24.342431437822398</v>
      </c>
      <c r="Q244" s="116">
        <v>258.45</v>
      </c>
      <c r="R244">
        <v>6195237</v>
      </c>
    </row>
    <row r="245" spans="1:18" x14ac:dyDescent="0.25">
      <c r="A245" s="170">
        <v>42360</v>
      </c>
      <c r="B245" s="116">
        <v>24.919754667988698</v>
      </c>
      <c r="C245" s="116">
        <v>24.505298797961</v>
      </c>
      <c r="D245" s="116">
        <v>24.4386047499105</v>
      </c>
      <c r="E245" s="116">
        <v>24.633923033486798</v>
      </c>
      <c r="F245" s="116">
        <v>257.2</v>
      </c>
      <c r="G245">
        <v>814667</v>
      </c>
      <c r="H245" s="116"/>
      <c r="I245" s="116"/>
      <c r="L245" s="170">
        <v>42360</v>
      </c>
      <c r="M245" s="116">
        <v>24.523451475911799</v>
      </c>
      <c r="N245" s="116">
        <v>24.942655774645399</v>
      </c>
      <c r="O245" s="116">
        <v>24.442468827292899</v>
      </c>
      <c r="P245" s="116">
        <v>24.675889402724</v>
      </c>
      <c r="Q245" s="116">
        <v>257.39999999999998</v>
      </c>
      <c r="R245">
        <v>4544256</v>
      </c>
    </row>
    <row r="246" spans="1:18" x14ac:dyDescent="0.25">
      <c r="A246" s="170">
        <v>42361</v>
      </c>
      <c r="B246" s="116">
        <v>25.367557562041601</v>
      </c>
      <c r="C246" s="116">
        <v>25.124600672715001</v>
      </c>
      <c r="D246" s="116">
        <v>24.962629413163999</v>
      </c>
      <c r="E246" s="116">
        <v>24.962629413163999</v>
      </c>
      <c r="F246" s="116">
        <v>263.7</v>
      </c>
      <c r="G246">
        <v>1270019</v>
      </c>
      <c r="H246" s="116"/>
      <c r="I246" s="116"/>
      <c r="L246" s="170">
        <v>42361</v>
      </c>
      <c r="M246" s="116">
        <v>25.195131090928101</v>
      </c>
      <c r="N246" s="116">
        <v>25.380914814230401</v>
      </c>
      <c r="O246" s="116">
        <v>24.985528941561299</v>
      </c>
      <c r="P246" s="116">
        <v>24.985528941561299</v>
      </c>
      <c r="Q246" s="116">
        <v>264.45</v>
      </c>
      <c r="R246">
        <v>7702901</v>
      </c>
    </row>
    <row r="247" spans="1:18" x14ac:dyDescent="0.25">
      <c r="A247" s="170">
        <v>42362</v>
      </c>
      <c r="B247" s="116">
        <v>25.367557562041601</v>
      </c>
      <c r="C247" s="116">
        <v>25.105545230414901</v>
      </c>
      <c r="D247" s="116">
        <v>24.848296759363201</v>
      </c>
      <c r="E247" s="116">
        <v>25.248461047665799</v>
      </c>
      <c r="F247" s="116">
        <v>263.5</v>
      </c>
      <c r="G247">
        <v>738705</v>
      </c>
      <c r="H247" s="116"/>
      <c r="I247" s="116"/>
      <c r="L247" s="170">
        <v>42362</v>
      </c>
      <c r="M247" s="116">
        <v>25.0903300162447</v>
      </c>
      <c r="N247" s="116">
        <v>25.342805332527401</v>
      </c>
      <c r="O247" s="116">
        <v>24.828327329536201</v>
      </c>
      <c r="P247" s="116">
        <v>25.342805332527401</v>
      </c>
      <c r="Q247" s="116">
        <v>263.35000000000002</v>
      </c>
      <c r="R247">
        <v>3843796</v>
      </c>
    </row>
    <row r="248" spans="1:18" x14ac:dyDescent="0.25">
      <c r="A248" s="170">
        <v>42366</v>
      </c>
      <c r="B248" s="116">
        <v>25.153183836165201</v>
      </c>
      <c r="C248" s="116">
        <v>24.205175581734</v>
      </c>
      <c r="D248" s="116">
        <v>24.105134509658299</v>
      </c>
      <c r="E248" s="116">
        <v>25.105545230414901</v>
      </c>
      <c r="F248" s="116">
        <v>254.05</v>
      </c>
      <c r="G248">
        <v>1341907</v>
      </c>
      <c r="H248" s="116"/>
      <c r="I248" s="116"/>
      <c r="L248" s="170">
        <v>42366</v>
      </c>
      <c r="M248" s="116">
        <v>24.209048251861699</v>
      </c>
      <c r="N248" s="116">
        <v>25.1808400352894</v>
      </c>
      <c r="O248" s="116">
        <v>24.104247177178301</v>
      </c>
      <c r="P248" s="116">
        <v>25.1474942387993</v>
      </c>
      <c r="Q248" s="116">
        <v>254.1</v>
      </c>
      <c r="R248">
        <v>5317617</v>
      </c>
    </row>
    <row r="249" spans="1:18" x14ac:dyDescent="0.25">
      <c r="A249" s="170">
        <v>42367</v>
      </c>
      <c r="B249" s="116">
        <v>24.4862433556608</v>
      </c>
      <c r="C249" s="116">
        <v>24.309980514384701</v>
      </c>
      <c r="D249" s="116">
        <v>24.1480092548336</v>
      </c>
      <c r="E249" s="116">
        <v>24.4862433556608</v>
      </c>
      <c r="F249" s="116">
        <v>255.15</v>
      </c>
      <c r="G249">
        <v>701686</v>
      </c>
      <c r="H249" s="116"/>
      <c r="I249" s="116"/>
      <c r="L249" s="170">
        <v>42367</v>
      </c>
      <c r="M249" s="116">
        <v>24.323376696970801</v>
      </c>
      <c r="N249" s="116">
        <v>24.4996330498474</v>
      </c>
      <c r="O249" s="116">
        <v>24.1375929736685</v>
      </c>
      <c r="P249" s="116">
        <v>24.3710135490997</v>
      </c>
      <c r="Q249" s="116">
        <v>255.3</v>
      </c>
      <c r="R249">
        <v>3800523</v>
      </c>
    </row>
    <row r="250" spans="1:18" x14ac:dyDescent="0.25">
      <c r="A250" s="170">
        <v>42368</v>
      </c>
      <c r="B250" s="116">
        <v>24.938810110288799</v>
      </c>
      <c r="C250" s="116">
        <v>24.595812148886601</v>
      </c>
      <c r="D250" s="116">
        <v>24.343327538409898</v>
      </c>
      <c r="E250" s="116">
        <v>24.4910072162359</v>
      </c>
      <c r="F250" s="116">
        <v>258.14999999999998</v>
      </c>
      <c r="G250">
        <v>820244</v>
      </c>
      <c r="H250" s="116"/>
      <c r="I250" s="116"/>
      <c r="L250" s="170">
        <v>42368</v>
      </c>
      <c r="M250" s="116">
        <v>24.647307291446801</v>
      </c>
      <c r="N250" s="116">
        <v>24.942655774645399</v>
      </c>
      <c r="O250" s="116">
        <v>24.304321956119299</v>
      </c>
      <c r="P250" s="116">
        <v>24.428177771654202</v>
      </c>
      <c r="Q250" s="116">
        <v>258.7</v>
      </c>
      <c r="R250">
        <v>6812728</v>
      </c>
    </row>
    <row r="251" spans="1:18" x14ac:dyDescent="0.25">
      <c r="A251" s="170">
        <v>42369</v>
      </c>
      <c r="B251" s="116">
        <v>24.824477456488101</v>
      </c>
      <c r="C251" s="116">
        <v>24.7292002449874</v>
      </c>
      <c r="D251" s="116">
        <v>24.4910072162359</v>
      </c>
      <c r="E251" s="116">
        <v>24.7720749901627</v>
      </c>
      <c r="F251" s="116">
        <v>259.55</v>
      </c>
      <c r="G251">
        <v>661421</v>
      </c>
      <c r="H251" s="116"/>
      <c r="I251" s="116"/>
      <c r="L251" s="170">
        <v>42369</v>
      </c>
      <c r="M251" s="116">
        <v>24.752108366130098</v>
      </c>
      <c r="N251" s="116">
        <v>24.847382070387798</v>
      </c>
      <c r="O251" s="116">
        <v>24.480578308995899</v>
      </c>
      <c r="P251" s="116">
        <v>24.7711631069817</v>
      </c>
      <c r="Q251" s="116">
        <v>259.8</v>
      </c>
      <c r="R251">
        <v>4446690</v>
      </c>
    </row>
    <row r="252" spans="1:18" x14ac:dyDescent="0.25">
      <c r="A252" s="170">
        <v>42370</v>
      </c>
      <c r="B252" s="116">
        <v>24.867352201663302</v>
      </c>
      <c r="C252" s="116">
        <v>24.514826519111001</v>
      </c>
      <c r="D252" s="116">
        <v>24.200411721159</v>
      </c>
      <c r="E252" s="116">
        <v>24.867352201663302</v>
      </c>
      <c r="F252" s="116">
        <v>257.3</v>
      </c>
      <c r="G252">
        <v>737947</v>
      </c>
      <c r="H252" s="116"/>
      <c r="I252" s="116"/>
      <c r="L252" s="170">
        <v>42370</v>
      </c>
      <c r="M252" s="116">
        <v>24.523451475911799</v>
      </c>
      <c r="N252" s="116">
        <v>24.761635736555899</v>
      </c>
      <c r="O252" s="116">
        <v>24.1423566588814</v>
      </c>
      <c r="P252" s="116">
        <v>24.675889402724</v>
      </c>
      <c r="Q252" s="116">
        <v>257.39999999999998</v>
      </c>
      <c r="R252">
        <v>3151567</v>
      </c>
    </row>
    <row r="253" spans="1:18" x14ac:dyDescent="0.25">
      <c r="A253" s="170">
        <v>42373</v>
      </c>
      <c r="B253" s="116">
        <v>25.0674343458147</v>
      </c>
      <c r="C253" s="116">
        <v>24.4862433556608</v>
      </c>
      <c r="D253" s="116">
        <v>24.1575369759837</v>
      </c>
      <c r="E253" s="116">
        <v>24.433840889335499</v>
      </c>
      <c r="F253" s="116">
        <v>257</v>
      </c>
      <c r="G253">
        <v>1411657</v>
      </c>
      <c r="H253" s="116"/>
      <c r="I253" s="116"/>
      <c r="L253" s="170">
        <v>42373</v>
      </c>
      <c r="M253" s="116">
        <v>24.475814623782998</v>
      </c>
      <c r="N253" s="116">
        <v>25.076038960605999</v>
      </c>
      <c r="O253" s="116">
        <v>24.113774547604098</v>
      </c>
      <c r="P253" s="116">
        <v>24.294794585693602</v>
      </c>
      <c r="Q253" s="116">
        <v>256.89999999999998</v>
      </c>
      <c r="R253">
        <v>6981400</v>
      </c>
    </row>
    <row r="254" spans="1:18" x14ac:dyDescent="0.25">
      <c r="A254" s="170">
        <v>42374</v>
      </c>
      <c r="B254" s="116">
        <v>26.315565816472901</v>
      </c>
      <c r="C254" s="116">
        <v>26.115483672321499</v>
      </c>
      <c r="D254" s="116">
        <v>24.533881961411101</v>
      </c>
      <c r="E254" s="116">
        <v>24.533881961411101</v>
      </c>
      <c r="F254" s="116">
        <v>274.10000000000002</v>
      </c>
      <c r="G254">
        <v>2624152</v>
      </c>
      <c r="H254" s="116"/>
      <c r="I254" s="116"/>
      <c r="L254" s="170">
        <v>42374</v>
      </c>
      <c r="M254" s="116">
        <v>26.133577077865699</v>
      </c>
      <c r="N254" s="116">
        <v>26.3336518568067</v>
      </c>
      <c r="O254" s="116">
        <v>24.537742531550499</v>
      </c>
      <c r="P254" s="116">
        <v>24.537742531550499</v>
      </c>
      <c r="Q254" s="116">
        <v>274.3</v>
      </c>
      <c r="R254">
        <v>15008921</v>
      </c>
    </row>
    <row r="255" spans="1:18" x14ac:dyDescent="0.25">
      <c r="A255" s="170">
        <v>42375</v>
      </c>
      <c r="B255" s="116">
        <v>26.148830696346799</v>
      </c>
      <c r="C255" s="116">
        <v>25.581931287918</v>
      </c>
      <c r="D255" s="116">
        <v>25.3580298408916</v>
      </c>
      <c r="E255" s="116">
        <v>26.086900508871299</v>
      </c>
      <c r="F255" s="116">
        <v>268.5</v>
      </c>
      <c r="G255">
        <v>955658</v>
      </c>
      <c r="H255" s="116"/>
      <c r="I255" s="116"/>
      <c r="L255" s="170">
        <v>42375</v>
      </c>
      <c r="M255" s="116">
        <v>25.6048080192359</v>
      </c>
      <c r="N255" s="116">
        <v>26.162159189142901</v>
      </c>
      <c r="O255" s="116">
        <v>25.342805332527401</v>
      </c>
      <c r="P255" s="116">
        <v>25.990666521479199</v>
      </c>
      <c r="Q255" s="116">
        <v>268.75</v>
      </c>
      <c r="R255">
        <v>7454725</v>
      </c>
    </row>
    <row r="256" spans="1:18" x14ac:dyDescent="0.25">
      <c r="A256" s="170">
        <v>42376</v>
      </c>
      <c r="B256" s="116">
        <v>25.143656115015201</v>
      </c>
      <c r="C256" s="116">
        <v>23.828830596306499</v>
      </c>
      <c r="D256" s="116">
        <v>23.657331615605401</v>
      </c>
      <c r="E256" s="116">
        <v>25.143656115015201</v>
      </c>
      <c r="F256" s="116">
        <v>250.1</v>
      </c>
      <c r="G256">
        <v>1538293</v>
      </c>
      <c r="H256" s="116"/>
      <c r="I256" s="116"/>
      <c r="L256" s="170">
        <v>42376</v>
      </c>
      <c r="M256" s="116">
        <v>23.8088986939797</v>
      </c>
      <c r="N256" s="116">
        <v>25.085566331031799</v>
      </c>
      <c r="O256" s="116">
        <v>23.646933396741701</v>
      </c>
      <c r="P256" s="116">
        <v>25.056984219754501</v>
      </c>
      <c r="Q256" s="116">
        <v>249.9</v>
      </c>
      <c r="R256">
        <v>9503720</v>
      </c>
    </row>
    <row r="257" spans="1:18" x14ac:dyDescent="0.25">
      <c r="A257" s="170">
        <v>42377</v>
      </c>
      <c r="B257" s="116">
        <v>24.414785447035399</v>
      </c>
      <c r="C257" s="116">
        <v>24.1718285577088</v>
      </c>
      <c r="D257" s="116">
        <v>23.738317245380902</v>
      </c>
      <c r="E257" s="116">
        <v>24.005093437582701</v>
      </c>
      <c r="F257" s="116">
        <v>253.7</v>
      </c>
      <c r="G257">
        <v>1096956</v>
      </c>
      <c r="H257" s="116"/>
      <c r="I257" s="116"/>
      <c r="L257" s="170">
        <v>42377</v>
      </c>
      <c r="M257" s="116">
        <v>24.161411399732899</v>
      </c>
      <c r="N257" s="116">
        <v>24.418650401228501</v>
      </c>
      <c r="O257" s="116">
        <v>23.727916045360701</v>
      </c>
      <c r="P257" s="116">
        <v>24.008973472920701</v>
      </c>
      <c r="Q257" s="116">
        <v>253.6</v>
      </c>
      <c r="R257">
        <v>6299465</v>
      </c>
    </row>
    <row r="258" spans="1:18" x14ac:dyDescent="0.25">
      <c r="A258" s="170">
        <v>42380</v>
      </c>
      <c r="B258" s="116">
        <v>24.1527731154086</v>
      </c>
      <c r="C258" s="116">
        <v>24.009857298157701</v>
      </c>
      <c r="D258" s="116">
        <v>23.3048059330531</v>
      </c>
      <c r="E258" s="116">
        <v>23.6287484521552</v>
      </c>
      <c r="F258" s="116">
        <v>252</v>
      </c>
      <c r="G258">
        <v>1153095</v>
      </c>
      <c r="H258" s="116"/>
      <c r="I258" s="116"/>
      <c r="L258" s="170">
        <v>42380</v>
      </c>
      <c r="M258" s="116">
        <v>23.975627676430499</v>
      </c>
      <c r="N258" s="116">
        <v>24.1375929736685</v>
      </c>
      <c r="O258" s="116">
        <v>23.270602264924101</v>
      </c>
      <c r="P258" s="116">
        <v>23.532604951632599</v>
      </c>
      <c r="Q258" s="116">
        <v>251.65</v>
      </c>
      <c r="R258">
        <v>6085363</v>
      </c>
    </row>
    <row r="259" spans="1:18" x14ac:dyDescent="0.25">
      <c r="A259" s="170">
        <v>42381</v>
      </c>
      <c r="B259" s="116">
        <v>24.324272096109802</v>
      </c>
      <c r="C259" s="116">
        <v>23.471541053179202</v>
      </c>
      <c r="D259" s="116">
        <v>23.209528721552399</v>
      </c>
      <c r="E259" s="116">
        <v>24.1623008365587</v>
      </c>
      <c r="F259" s="116">
        <v>246.35</v>
      </c>
      <c r="G259">
        <v>923596</v>
      </c>
      <c r="H259" s="116"/>
      <c r="I259" s="116"/>
      <c r="L259" s="170">
        <v>42381</v>
      </c>
      <c r="M259" s="116">
        <v>23.413512821310601</v>
      </c>
      <c r="N259" s="116">
        <v>24.323376696970801</v>
      </c>
      <c r="O259" s="116">
        <v>23.1658011902407</v>
      </c>
      <c r="P259" s="116">
        <v>24.109010862391202</v>
      </c>
      <c r="Q259" s="116">
        <v>245.75</v>
      </c>
      <c r="R259">
        <v>5425352</v>
      </c>
    </row>
    <row r="260" spans="1:18" x14ac:dyDescent="0.25">
      <c r="A260" s="170">
        <v>42382</v>
      </c>
      <c r="B260" s="116">
        <v>23.981274134707501</v>
      </c>
      <c r="C260" s="116">
        <v>23.533471240654599</v>
      </c>
      <c r="D260" s="116">
        <v>22.590226846798402</v>
      </c>
      <c r="E260" s="116">
        <v>23.6382761733053</v>
      </c>
      <c r="F260" s="116">
        <v>247</v>
      </c>
      <c r="G260">
        <v>1390818</v>
      </c>
      <c r="H260" s="116"/>
      <c r="I260" s="116"/>
      <c r="L260" s="170">
        <v>42382</v>
      </c>
      <c r="M260" s="116">
        <v>23.4944954699295</v>
      </c>
      <c r="N260" s="116">
        <v>23.989918732069199</v>
      </c>
      <c r="O260" s="116">
        <v>22.5798679090564</v>
      </c>
      <c r="P260" s="116">
        <v>23.675515508019</v>
      </c>
      <c r="Q260" s="116">
        <v>246.6</v>
      </c>
      <c r="R260">
        <v>7482478</v>
      </c>
    </row>
    <row r="261" spans="1:18" x14ac:dyDescent="0.25">
      <c r="A261" s="170">
        <v>42383</v>
      </c>
      <c r="B261" s="116">
        <v>23.104723788901801</v>
      </c>
      <c r="C261" s="116">
        <v>22.7426703851994</v>
      </c>
      <c r="D261" s="116">
        <v>22.075729904694999</v>
      </c>
      <c r="E261" s="116">
        <v>22.4473110295474</v>
      </c>
      <c r="F261" s="116">
        <v>238.7</v>
      </c>
      <c r="G261">
        <v>1447369</v>
      </c>
      <c r="H261" s="116"/>
      <c r="I261" s="116"/>
      <c r="L261" s="170">
        <v>42383</v>
      </c>
      <c r="M261" s="116">
        <v>22.746596891507199</v>
      </c>
      <c r="N261" s="116">
        <v>23.108636967686198</v>
      </c>
      <c r="O261" s="116">
        <v>22.055862535639399</v>
      </c>
      <c r="P261" s="116">
        <v>22.3893205005411</v>
      </c>
      <c r="Q261" s="116">
        <v>238.75</v>
      </c>
      <c r="R261">
        <v>8884802</v>
      </c>
    </row>
    <row r="262" spans="1:18" x14ac:dyDescent="0.25">
      <c r="A262" s="170">
        <v>42384</v>
      </c>
      <c r="B262" s="116">
        <v>23.152362394652101</v>
      </c>
      <c r="C262" s="116">
        <v>21.9042309239939</v>
      </c>
      <c r="D262" s="116">
        <v>21.761315106742899</v>
      </c>
      <c r="E262" s="116">
        <v>22.990391135101</v>
      </c>
      <c r="F262" s="116">
        <v>229.9</v>
      </c>
      <c r="G262">
        <v>993987</v>
      </c>
      <c r="H262" s="116"/>
      <c r="I262" s="116"/>
      <c r="L262" s="170">
        <v>42384</v>
      </c>
      <c r="M262" s="116">
        <v>21.8843698679757</v>
      </c>
      <c r="N262" s="116">
        <v>23.151510134602098</v>
      </c>
      <c r="O262" s="116">
        <v>21.731931941163499</v>
      </c>
      <c r="P262" s="116">
        <v>23.103873282473302</v>
      </c>
      <c r="Q262" s="116">
        <v>229.7</v>
      </c>
      <c r="R262">
        <v>5991645</v>
      </c>
    </row>
    <row r="263" spans="1:18" x14ac:dyDescent="0.25">
      <c r="A263" s="170">
        <v>42387</v>
      </c>
      <c r="B263" s="116">
        <v>23.247639606152699</v>
      </c>
      <c r="C263" s="116">
        <v>22.5092412170229</v>
      </c>
      <c r="D263" s="116">
        <v>21.465955751090998</v>
      </c>
      <c r="E263" s="116">
        <v>21.913758645143901</v>
      </c>
      <c r="F263" s="116">
        <v>236.25</v>
      </c>
      <c r="G263">
        <v>1501750</v>
      </c>
      <c r="H263" s="116"/>
      <c r="I263" s="116"/>
      <c r="L263" s="170">
        <v>42387</v>
      </c>
      <c r="M263" s="116">
        <v>22.475066834372999</v>
      </c>
      <c r="N263" s="116">
        <v>23.246783838859699</v>
      </c>
      <c r="O263" s="116">
        <v>21.455638198816398</v>
      </c>
      <c r="P263" s="116">
        <v>21.8938972384015</v>
      </c>
      <c r="Q263" s="116">
        <v>235.9</v>
      </c>
      <c r="R263">
        <v>8417421</v>
      </c>
    </row>
    <row r="264" spans="1:18" x14ac:dyDescent="0.25">
      <c r="A264" s="170">
        <v>42388</v>
      </c>
      <c r="B264" s="116">
        <v>22.985627274525999</v>
      </c>
      <c r="C264" s="116">
        <v>22.671212476573899</v>
      </c>
      <c r="D264" s="116">
        <v>22.037619020094802</v>
      </c>
      <c r="E264" s="116">
        <v>22.580699125648302</v>
      </c>
      <c r="F264" s="116">
        <v>237.95</v>
      </c>
      <c r="G264">
        <v>1064495</v>
      </c>
      <c r="H264" s="116"/>
      <c r="I264" s="116"/>
      <c r="L264" s="170">
        <v>42388</v>
      </c>
      <c r="M264" s="116">
        <v>22.675141613314</v>
      </c>
      <c r="N264" s="116">
        <v>22.956199040874001</v>
      </c>
      <c r="O264" s="116">
        <v>22.032044109575001</v>
      </c>
      <c r="P264" s="116">
        <v>22.632268446398101</v>
      </c>
      <c r="Q264" s="116">
        <v>238</v>
      </c>
      <c r="R264">
        <v>6304102</v>
      </c>
    </row>
    <row r="265" spans="1:18" x14ac:dyDescent="0.25">
      <c r="A265" s="170">
        <v>42389</v>
      </c>
      <c r="B265" s="116">
        <v>22.380616981496999</v>
      </c>
      <c r="C265" s="116">
        <v>22.075729904694999</v>
      </c>
      <c r="D265" s="116">
        <v>21.6041077077669</v>
      </c>
      <c r="E265" s="116">
        <v>22.380616981496999</v>
      </c>
      <c r="F265" s="116">
        <v>231.7</v>
      </c>
      <c r="G265">
        <v>966716</v>
      </c>
      <c r="H265" s="116"/>
      <c r="I265" s="116"/>
      <c r="L265" s="170">
        <v>42389</v>
      </c>
      <c r="M265" s="116">
        <v>22.103499387768199</v>
      </c>
      <c r="N265" s="116">
        <v>22.294046796283499</v>
      </c>
      <c r="O265" s="116">
        <v>21.579494014351301</v>
      </c>
      <c r="P265" s="116">
        <v>22.179718351174301</v>
      </c>
      <c r="Q265" s="116">
        <v>232</v>
      </c>
      <c r="R265">
        <v>5486812</v>
      </c>
    </row>
    <row r="266" spans="1:18" x14ac:dyDescent="0.25">
      <c r="A266" s="170">
        <v>42390</v>
      </c>
      <c r="B266" s="116">
        <v>22.795072851524701</v>
      </c>
      <c r="C266" s="116">
        <v>22.347269957471799</v>
      </c>
      <c r="D266" s="116">
        <v>22.047146741244799</v>
      </c>
      <c r="E266" s="116">
        <v>22.261520467121201</v>
      </c>
      <c r="F266" s="116">
        <v>234.55</v>
      </c>
      <c r="G266">
        <v>924204</v>
      </c>
      <c r="H266" s="116"/>
      <c r="I266" s="116"/>
      <c r="L266" s="170">
        <v>42390</v>
      </c>
      <c r="M266" s="116">
        <v>22.446484723095701</v>
      </c>
      <c r="N266" s="116">
        <v>22.8037611140618</v>
      </c>
      <c r="O266" s="116">
        <v>22.032044109575001</v>
      </c>
      <c r="P266" s="116">
        <v>22.360738389263801</v>
      </c>
      <c r="Q266" s="116">
        <v>235.6</v>
      </c>
      <c r="R266">
        <v>6245316</v>
      </c>
    </row>
    <row r="267" spans="1:18" x14ac:dyDescent="0.25">
      <c r="A267" s="170">
        <v>42391</v>
      </c>
      <c r="B267" s="116">
        <v>23.819302875156499</v>
      </c>
      <c r="C267" s="116">
        <v>23.542998961804599</v>
      </c>
      <c r="D267" s="116">
        <v>22.656920894848799</v>
      </c>
      <c r="E267" s="116">
        <v>22.675976337148899</v>
      </c>
      <c r="F267" s="116">
        <v>247.1</v>
      </c>
      <c r="G267">
        <v>967862</v>
      </c>
      <c r="H267" s="116"/>
      <c r="I267" s="116"/>
      <c r="L267" s="170">
        <v>42391</v>
      </c>
      <c r="M267" s="116">
        <v>23.608823915038698</v>
      </c>
      <c r="N267" s="116">
        <v>23.894645027811499</v>
      </c>
      <c r="O267" s="116">
        <v>22.641795816823802</v>
      </c>
      <c r="P267" s="116">
        <v>22.703723724591299</v>
      </c>
      <c r="Q267" s="116">
        <v>247.8</v>
      </c>
      <c r="R267">
        <v>6510761</v>
      </c>
    </row>
    <row r="268" spans="1:18" x14ac:dyDescent="0.25">
      <c r="A268" s="170">
        <v>42394</v>
      </c>
      <c r="B268" s="116">
        <v>24.381438423010099</v>
      </c>
      <c r="C268" s="116">
        <v>24.1861201394339</v>
      </c>
      <c r="D268" s="116">
        <v>23.724025663655802</v>
      </c>
      <c r="E268" s="116">
        <v>23.724025663655802</v>
      </c>
      <c r="F268" s="116">
        <v>253.85</v>
      </c>
      <c r="G268">
        <v>833189</v>
      </c>
      <c r="H268" s="116"/>
      <c r="I268" s="116"/>
      <c r="L268" s="170">
        <v>42394</v>
      </c>
      <c r="M268" s="116">
        <v>24.285267215267801</v>
      </c>
      <c r="N268" s="116">
        <v>24.428177771654202</v>
      </c>
      <c r="O268" s="116">
        <v>23.704097619296299</v>
      </c>
      <c r="P268" s="116">
        <v>23.7231523601478</v>
      </c>
      <c r="Q268" s="116">
        <v>254.9</v>
      </c>
      <c r="R268">
        <v>5576543</v>
      </c>
    </row>
    <row r="269" spans="1:18" x14ac:dyDescent="0.25">
      <c r="A269" s="170">
        <v>42396</v>
      </c>
      <c r="B269" s="116">
        <v>24.7673111295877</v>
      </c>
      <c r="C269" s="116">
        <v>24.538645821986201</v>
      </c>
      <c r="D269" s="116">
        <v>24.1813562788588</v>
      </c>
      <c r="E269" s="116">
        <v>24.362382980709999</v>
      </c>
      <c r="F269" s="116">
        <v>257.55</v>
      </c>
      <c r="G269">
        <v>778728</v>
      </c>
      <c r="H269" s="116"/>
      <c r="I269" s="116"/>
      <c r="L269" s="170">
        <v>42396</v>
      </c>
      <c r="M269" s="116">
        <v>24.5425062167634</v>
      </c>
      <c r="N269" s="116">
        <v>24.761635736555899</v>
      </c>
      <c r="O269" s="116">
        <v>24.1423566588814</v>
      </c>
      <c r="P269" s="116">
        <v>24.294794585693602</v>
      </c>
      <c r="Q269" s="116">
        <v>257.60000000000002</v>
      </c>
      <c r="R269">
        <v>6235665</v>
      </c>
    </row>
    <row r="270" spans="1:18" x14ac:dyDescent="0.25">
      <c r="A270" s="170">
        <v>42397</v>
      </c>
      <c r="B270" s="116">
        <v>24.629159172911798</v>
      </c>
      <c r="C270" s="116">
        <v>24.238522605759201</v>
      </c>
      <c r="D270" s="116">
        <v>24.062259764483102</v>
      </c>
      <c r="E270" s="116">
        <v>24.4671879133607</v>
      </c>
      <c r="F270" s="116">
        <v>254.4</v>
      </c>
      <c r="G270">
        <v>480329</v>
      </c>
      <c r="H270" s="116"/>
      <c r="I270" s="116"/>
      <c r="L270" s="170">
        <v>42397</v>
      </c>
      <c r="M270" s="116">
        <v>24.218575622287499</v>
      </c>
      <c r="N270" s="116">
        <v>24.623488865382299</v>
      </c>
      <c r="O270" s="116">
        <v>24.047082954623701</v>
      </c>
      <c r="P270" s="116">
        <v>24.485341994208799</v>
      </c>
      <c r="Q270" s="116">
        <v>254.2</v>
      </c>
      <c r="R270">
        <v>6016704</v>
      </c>
    </row>
    <row r="271" spans="1:18" x14ac:dyDescent="0.25">
      <c r="A271" s="170">
        <v>42398</v>
      </c>
      <c r="B271" s="116">
        <v>24.629159172911798</v>
      </c>
      <c r="C271" s="116">
        <v>23.824066735731499</v>
      </c>
      <c r="D271" s="116">
        <v>23.5858737069799</v>
      </c>
      <c r="E271" s="116">
        <v>24.1527731154086</v>
      </c>
      <c r="F271" s="116">
        <v>250.05</v>
      </c>
      <c r="G271">
        <v>849539</v>
      </c>
      <c r="H271" s="116"/>
      <c r="I271" s="116"/>
      <c r="L271" s="170">
        <v>42398</v>
      </c>
      <c r="M271" s="116">
        <v>23.789843953128202</v>
      </c>
      <c r="N271" s="116">
        <v>24.656834661872502</v>
      </c>
      <c r="O271" s="116">
        <v>23.575478118548499</v>
      </c>
      <c r="P271" s="116">
        <v>24.261448789203399</v>
      </c>
      <c r="Q271" s="116">
        <v>249.7</v>
      </c>
      <c r="R271">
        <v>6747965</v>
      </c>
    </row>
    <row r="272" spans="1:18" x14ac:dyDescent="0.25">
      <c r="A272" s="170">
        <v>42401</v>
      </c>
      <c r="B272" s="116">
        <v>24.276633490359501</v>
      </c>
      <c r="C272" s="116">
        <v>23.762136548256102</v>
      </c>
      <c r="D272" s="116">
        <v>23.495360356054299</v>
      </c>
      <c r="E272" s="116">
        <v>23.9145800866571</v>
      </c>
      <c r="F272" s="116">
        <v>249.4</v>
      </c>
      <c r="G272">
        <v>588831</v>
      </c>
      <c r="H272" s="116"/>
      <c r="I272" s="116"/>
      <c r="L272" s="170">
        <v>42401</v>
      </c>
      <c r="M272" s="116">
        <v>23.751734471425099</v>
      </c>
      <c r="N272" s="116">
        <v>24.290030900480701</v>
      </c>
      <c r="O272" s="116">
        <v>23.484968099503799</v>
      </c>
      <c r="P272" s="116">
        <v>23.713624989722099</v>
      </c>
      <c r="Q272" s="116">
        <v>249.3</v>
      </c>
      <c r="R272">
        <v>4420717</v>
      </c>
    </row>
    <row r="273" spans="1:18" x14ac:dyDescent="0.25">
      <c r="A273" s="170">
        <v>42402</v>
      </c>
      <c r="B273" s="116">
        <v>23.866941480906799</v>
      </c>
      <c r="C273" s="116">
        <v>22.056674462394898</v>
      </c>
      <c r="D273" s="116">
        <v>21.913758645143901</v>
      </c>
      <c r="E273" s="116">
        <v>23.843122178031599</v>
      </c>
      <c r="F273" s="116">
        <v>231.5</v>
      </c>
      <c r="G273">
        <v>1533237</v>
      </c>
      <c r="H273" s="116"/>
      <c r="I273" s="116"/>
      <c r="L273" s="170">
        <v>42402</v>
      </c>
      <c r="M273" s="116">
        <v>22.051098850426602</v>
      </c>
      <c r="N273" s="116">
        <v>23.913699768663101</v>
      </c>
      <c r="O273" s="116">
        <v>21.922479349678799</v>
      </c>
      <c r="P273" s="116">
        <v>23.842244490469799</v>
      </c>
      <c r="Q273" s="116">
        <v>231.45</v>
      </c>
      <c r="R273">
        <v>8388473</v>
      </c>
    </row>
    <row r="274" spans="1:18" x14ac:dyDescent="0.25">
      <c r="A274" s="170">
        <v>42403</v>
      </c>
      <c r="B274" s="116">
        <v>22.280575909421302</v>
      </c>
      <c r="C274" s="116">
        <v>21.3420953761402</v>
      </c>
      <c r="D274" s="116">
        <v>21.103902347388601</v>
      </c>
      <c r="E274" s="116">
        <v>21.713676500992602</v>
      </c>
      <c r="F274" s="116">
        <v>224</v>
      </c>
      <c r="G274">
        <v>1458652</v>
      </c>
      <c r="H274" s="116"/>
      <c r="I274" s="116"/>
      <c r="L274" s="170">
        <v>42403</v>
      </c>
      <c r="M274" s="116">
        <v>21.3413097537073</v>
      </c>
      <c r="N274" s="116">
        <v>22.284519425857699</v>
      </c>
      <c r="O274" s="116">
        <v>21.098361807850299</v>
      </c>
      <c r="P274" s="116">
        <v>21.712877200312001</v>
      </c>
      <c r="Q274" s="116">
        <v>224</v>
      </c>
      <c r="R274">
        <v>7791522</v>
      </c>
    </row>
    <row r="275" spans="1:18" x14ac:dyDescent="0.25">
      <c r="A275" s="170">
        <v>42404</v>
      </c>
      <c r="B275" s="116">
        <v>21.770842827892999</v>
      </c>
      <c r="C275" s="116">
        <v>21.5469413808665</v>
      </c>
      <c r="D275" s="116">
        <v>20.880000900362099</v>
      </c>
      <c r="E275" s="116">
        <v>21.413553284765701</v>
      </c>
      <c r="F275" s="116">
        <v>226.15</v>
      </c>
      <c r="G275">
        <v>1900589</v>
      </c>
      <c r="H275" s="116"/>
      <c r="I275" s="116"/>
      <c r="L275" s="170">
        <v>42404</v>
      </c>
      <c r="M275" s="116">
        <v>21.527093477009601</v>
      </c>
      <c r="N275" s="116">
        <v>21.779568793292299</v>
      </c>
      <c r="O275" s="116">
        <v>20.864941232419199</v>
      </c>
      <c r="P275" s="116">
        <v>21.3794192354103</v>
      </c>
      <c r="Q275" s="116">
        <v>225.95</v>
      </c>
      <c r="R275">
        <v>11709422</v>
      </c>
    </row>
    <row r="276" spans="1:18" x14ac:dyDescent="0.25">
      <c r="A276" s="170">
        <v>42405</v>
      </c>
      <c r="B276" s="116">
        <v>22.780781269799601</v>
      </c>
      <c r="C276" s="116">
        <v>22.294867491146402</v>
      </c>
      <c r="D276" s="116">
        <v>20.4846004726346</v>
      </c>
      <c r="E276" s="116">
        <v>20.4846004726346</v>
      </c>
      <c r="F276" s="116">
        <v>234</v>
      </c>
      <c r="G276">
        <v>3764402</v>
      </c>
      <c r="H276" s="116"/>
      <c r="I276" s="116"/>
      <c r="L276" s="170">
        <v>42405</v>
      </c>
      <c r="M276" s="116">
        <v>22.279755740644799</v>
      </c>
      <c r="N276" s="116">
        <v>22.703723724591299</v>
      </c>
      <c r="O276" s="116">
        <v>20.579120119646301</v>
      </c>
      <c r="P276" s="116">
        <v>20.579120119646301</v>
      </c>
      <c r="Q276" s="116">
        <v>233.85</v>
      </c>
      <c r="R276">
        <v>25803399</v>
      </c>
    </row>
    <row r="277" spans="1:18" x14ac:dyDescent="0.25">
      <c r="A277" s="170">
        <v>42408</v>
      </c>
      <c r="B277" s="116">
        <v>23.228584163852599</v>
      </c>
      <c r="C277" s="116">
        <v>22.337742236321699</v>
      </c>
      <c r="D277" s="116">
        <v>22.1805348373457</v>
      </c>
      <c r="E277" s="116">
        <v>22.580699125648302</v>
      </c>
      <c r="F277" s="116">
        <v>234.45</v>
      </c>
      <c r="G277">
        <v>1418720</v>
      </c>
      <c r="H277" s="116"/>
      <c r="I277" s="116"/>
      <c r="L277" s="170">
        <v>42408</v>
      </c>
      <c r="M277" s="116">
        <v>22.3035741667093</v>
      </c>
      <c r="N277" s="116">
        <v>23.242020153646799</v>
      </c>
      <c r="O277" s="116">
        <v>22.108263072981099</v>
      </c>
      <c r="P277" s="116">
        <v>22.732305835868601</v>
      </c>
      <c r="Q277" s="116">
        <v>234.1</v>
      </c>
      <c r="R277">
        <v>10332441</v>
      </c>
    </row>
    <row r="278" spans="1:18" x14ac:dyDescent="0.25">
      <c r="A278" s="170">
        <v>42409</v>
      </c>
      <c r="B278" s="116">
        <v>22.604518428523502</v>
      </c>
      <c r="C278" s="116">
        <v>22.4425471689724</v>
      </c>
      <c r="D278" s="116">
        <v>21.913758645143901</v>
      </c>
      <c r="E278" s="116">
        <v>22.028091298944702</v>
      </c>
      <c r="F278" s="116">
        <v>235.55</v>
      </c>
      <c r="G278">
        <v>1147329</v>
      </c>
      <c r="H278" s="116"/>
      <c r="I278" s="116"/>
      <c r="L278" s="170">
        <v>42409</v>
      </c>
      <c r="M278" s="116">
        <v>22.4369573526699</v>
      </c>
      <c r="N278" s="116">
        <v>22.608450020333599</v>
      </c>
      <c r="O278" s="116">
        <v>21.922479349678799</v>
      </c>
      <c r="P278" s="116">
        <v>21.998698313084901</v>
      </c>
      <c r="Q278" s="116">
        <v>235.5</v>
      </c>
      <c r="R278">
        <v>7562851</v>
      </c>
    </row>
    <row r="279" spans="1:18" x14ac:dyDescent="0.25">
      <c r="A279" s="170">
        <v>42410</v>
      </c>
      <c r="B279" s="116">
        <v>22.628337731398599</v>
      </c>
      <c r="C279" s="116">
        <v>22.4520748901225</v>
      </c>
      <c r="D279" s="116">
        <v>21.666037895242301</v>
      </c>
      <c r="E279" s="116">
        <v>22.294867491146402</v>
      </c>
      <c r="F279" s="116">
        <v>235.65</v>
      </c>
      <c r="G279">
        <v>988279</v>
      </c>
      <c r="H279" s="116"/>
      <c r="I279" s="116"/>
      <c r="L279" s="170">
        <v>42410</v>
      </c>
      <c r="M279" s="116">
        <v>22.456012093521402</v>
      </c>
      <c r="N279" s="116">
        <v>22.651323187249599</v>
      </c>
      <c r="O279" s="116">
        <v>21.636658236905902</v>
      </c>
      <c r="P279" s="116">
        <v>22.375029444902498</v>
      </c>
      <c r="Q279" s="116">
        <v>235.7</v>
      </c>
      <c r="R279">
        <v>7616029</v>
      </c>
    </row>
    <row r="280" spans="1:18" x14ac:dyDescent="0.25">
      <c r="A280" s="170">
        <v>42411</v>
      </c>
      <c r="B280" s="116">
        <v>22.4854219141477</v>
      </c>
      <c r="C280" s="116">
        <v>21.437372587640802</v>
      </c>
      <c r="D280" s="116">
        <v>21.075319183938401</v>
      </c>
      <c r="E280" s="116">
        <v>22.4425471689724</v>
      </c>
      <c r="F280" s="116">
        <v>225</v>
      </c>
      <c r="G280">
        <v>883942</v>
      </c>
      <c r="H280" s="116"/>
      <c r="I280" s="116"/>
      <c r="L280" s="170">
        <v>42411</v>
      </c>
      <c r="M280" s="116">
        <v>21.3889466058361</v>
      </c>
      <c r="N280" s="116">
        <v>22.608450020333599</v>
      </c>
      <c r="O280" s="116">
        <v>21.041197585295802</v>
      </c>
      <c r="P280" s="116">
        <v>22.479830519585899</v>
      </c>
      <c r="Q280" s="116">
        <v>224.5</v>
      </c>
      <c r="R280">
        <v>6151670</v>
      </c>
    </row>
    <row r="281" spans="1:18" x14ac:dyDescent="0.25">
      <c r="A281" s="170">
        <v>42412</v>
      </c>
      <c r="B281" s="116">
        <v>21.708912640417601</v>
      </c>
      <c r="C281" s="116">
        <v>20.756140525411301</v>
      </c>
      <c r="D281" s="116">
        <v>20.1320747900822</v>
      </c>
      <c r="E281" s="116">
        <v>21.5898161260418</v>
      </c>
      <c r="F281" s="116">
        <v>217.85</v>
      </c>
      <c r="G281">
        <v>1388445</v>
      </c>
      <c r="H281" s="116"/>
      <c r="I281" s="116"/>
      <c r="L281" s="170">
        <v>42412</v>
      </c>
      <c r="M281" s="116">
        <v>20.722030676032698</v>
      </c>
      <c r="N281" s="116">
        <v>21.8510240714856</v>
      </c>
      <c r="O281" s="116">
        <v>20.117042653996801</v>
      </c>
      <c r="P281" s="116">
        <v>21.531857162222501</v>
      </c>
      <c r="Q281" s="116">
        <v>217.5</v>
      </c>
      <c r="R281">
        <v>9373751</v>
      </c>
    </row>
    <row r="282" spans="1:18" x14ac:dyDescent="0.25">
      <c r="A282" s="170">
        <v>42415</v>
      </c>
      <c r="B282" s="116">
        <v>23.59540142813</v>
      </c>
      <c r="C282" s="116">
        <v>23.457249471454102</v>
      </c>
      <c r="D282" s="116">
        <v>20.960986530137699</v>
      </c>
      <c r="E282" s="116">
        <v>20.960986530137699</v>
      </c>
      <c r="F282" s="116">
        <v>246.2</v>
      </c>
      <c r="G282">
        <v>2689462</v>
      </c>
      <c r="H282" s="116"/>
      <c r="I282" s="116"/>
      <c r="L282" s="170">
        <v>42415</v>
      </c>
      <c r="M282" s="116">
        <v>23.504022840355301</v>
      </c>
      <c r="N282" s="116">
        <v>23.6278786558902</v>
      </c>
      <c r="O282" s="116">
        <v>21.150762345192</v>
      </c>
      <c r="P282" s="116">
        <v>21.150762345192</v>
      </c>
      <c r="Q282" s="116">
        <v>246.7</v>
      </c>
      <c r="R282">
        <v>13602332</v>
      </c>
    </row>
    <row r="283" spans="1:18" x14ac:dyDescent="0.25">
      <c r="A283" s="170">
        <v>42416</v>
      </c>
      <c r="B283" s="116">
        <v>23.957454831832401</v>
      </c>
      <c r="C283" s="116">
        <v>23.3286252359282</v>
      </c>
      <c r="D283" s="116">
        <v>23.157126255227102</v>
      </c>
      <c r="E283" s="116">
        <v>23.724025663655802</v>
      </c>
      <c r="F283" s="116">
        <v>244.85</v>
      </c>
      <c r="G283">
        <v>1598223</v>
      </c>
      <c r="H283" s="116"/>
      <c r="I283" s="116"/>
      <c r="L283" s="170">
        <v>42416</v>
      </c>
      <c r="M283" s="116">
        <v>23.327766487478701</v>
      </c>
      <c r="N283" s="116">
        <v>23.970863991217598</v>
      </c>
      <c r="O283" s="116">
        <v>23.1658011902407</v>
      </c>
      <c r="P283" s="116">
        <v>23.780316582702401</v>
      </c>
      <c r="Q283" s="116">
        <v>244.85</v>
      </c>
      <c r="R283">
        <v>9146831</v>
      </c>
    </row>
    <row r="284" spans="1:18" x14ac:dyDescent="0.25">
      <c r="A284" s="170">
        <v>42417</v>
      </c>
      <c r="B284" s="116">
        <v>24.062259764483102</v>
      </c>
      <c r="C284" s="116">
        <v>23.947927110682301</v>
      </c>
      <c r="D284" s="116">
        <v>22.685504058298999</v>
      </c>
      <c r="E284" s="116">
        <v>23.409610865703801</v>
      </c>
      <c r="F284" s="116">
        <v>251.35</v>
      </c>
      <c r="G284">
        <v>1348419</v>
      </c>
      <c r="H284" s="116"/>
      <c r="I284" s="116"/>
      <c r="L284" s="170">
        <v>42417</v>
      </c>
      <c r="M284" s="116">
        <v>23.937518194727499</v>
      </c>
      <c r="N284" s="116">
        <v>24.094719806752501</v>
      </c>
      <c r="O284" s="116">
        <v>22.675141613314</v>
      </c>
      <c r="P284" s="116">
        <v>23.342057543117299</v>
      </c>
      <c r="Q284" s="116">
        <v>251.25</v>
      </c>
      <c r="R284">
        <v>8295421</v>
      </c>
    </row>
    <row r="285" spans="1:18" x14ac:dyDescent="0.25">
      <c r="A285" s="170">
        <v>42418</v>
      </c>
      <c r="B285" s="116">
        <v>24.4386047499105</v>
      </c>
      <c r="C285" s="116">
        <v>23.866941480906799</v>
      </c>
      <c r="D285" s="116">
        <v>23.180945558102302</v>
      </c>
      <c r="E285" s="116">
        <v>24.2194671634591</v>
      </c>
      <c r="F285" s="116">
        <v>250.5</v>
      </c>
      <c r="G285">
        <v>1573536</v>
      </c>
      <c r="H285" s="116"/>
      <c r="I285" s="116"/>
      <c r="L285" s="170">
        <v>42418</v>
      </c>
      <c r="M285" s="116">
        <v>23.8994087130244</v>
      </c>
      <c r="N285" s="116">
        <v>24.437705142079999</v>
      </c>
      <c r="O285" s="116">
        <v>23.1705648754536</v>
      </c>
      <c r="P285" s="116">
        <v>24.294794585693602</v>
      </c>
      <c r="Q285" s="116">
        <v>250.85</v>
      </c>
      <c r="R285">
        <v>9459329</v>
      </c>
    </row>
    <row r="286" spans="1:18" x14ac:dyDescent="0.25">
      <c r="A286" s="170">
        <v>42419</v>
      </c>
      <c r="B286" s="116">
        <v>24.248050326909301</v>
      </c>
      <c r="C286" s="116">
        <v>24.128953812533499</v>
      </c>
      <c r="D286" s="116">
        <v>23.528707380079499</v>
      </c>
      <c r="E286" s="116">
        <v>23.724025663655802</v>
      </c>
      <c r="F286" s="116">
        <v>253.25</v>
      </c>
      <c r="G286">
        <v>904711</v>
      </c>
      <c r="H286" s="116"/>
      <c r="I286" s="116"/>
      <c r="L286" s="170">
        <v>42419</v>
      </c>
      <c r="M286" s="116">
        <v>24.1280656032427</v>
      </c>
      <c r="N286" s="116">
        <v>24.242394048351901</v>
      </c>
      <c r="O286" s="116">
        <v>23.518313895993899</v>
      </c>
      <c r="P286" s="116">
        <v>23.675515508019</v>
      </c>
      <c r="Q286" s="116">
        <v>253.25</v>
      </c>
      <c r="R286">
        <v>6770618</v>
      </c>
    </row>
    <row r="287" spans="1:18" x14ac:dyDescent="0.25">
      <c r="A287" s="170">
        <v>42422</v>
      </c>
      <c r="B287" s="116">
        <v>24.524354240261101</v>
      </c>
      <c r="C287" s="116">
        <v>24.314744374959702</v>
      </c>
      <c r="D287" s="116">
        <v>23.981274134707501</v>
      </c>
      <c r="E287" s="116">
        <v>24.248050326909301</v>
      </c>
      <c r="F287" s="116">
        <v>255.2</v>
      </c>
      <c r="G287">
        <v>651179</v>
      </c>
      <c r="H287" s="116"/>
      <c r="I287" s="116"/>
      <c r="L287" s="170">
        <v>42422</v>
      </c>
      <c r="M287" s="116">
        <v>24.318613011758</v>
      </c>
      <c r="N287" s="116">
        <v>24.532978846337599</v>
      </c>
      <c r="O287" s="116">
        <v>23.980391361643399</v>
      </c>
      <c r="P287" s="116">
        <v>24.161411399732899</v>
      </c>
      <c r="Q287" s="116">
        <v>255.25</v>
      </c>
      <c r="R287">
        <v>4810335</v>
      </c>
    </row>
    <row r="288" spans="1:18" x14ac:dyDescent="0.25">
      <c r="A288" s="170">
        <v>42423</v>
      </c>
      <c r="B288" s="116">
        <v>24.891171504538502</v>
      </c>
      <c r="C288" s="116">
        <v>24.1480092548336</v>
      </c>
      <c r="D288" s="116">
        <v>24.009857298157701</v>
      </c>
      <c r="E288" s="116">
        <v>24.386202283585199</v>
      </c>
      <c r="F288" s="116">
        <v>253.45</v>
      </c>
      <c r="G288">
        <v>1177006</v>
      </c>
      <c r="H288" s="116"/>
      <c r="I288" s="116"/>
      <c r="L288" s="170">
        <v>42423</v>
      </c>
      <c r="M288" s="116">
        <v>24.156647714519998</v>
      </c>
      <c r="N288" s="116">
        <v>24.923601033793901</v>
      </c>
      <c r="O288" s="116">
        <v>24.018500843346398</v>
      </c>
      <c r="P288" s="116">
        <v>24.3710135490997</v>
      </c>
      <c r="Q288" s="116">
        <v>253.55</v>
      </c>
      <c r="R288">
        <v>8452358</v>
      </c>
    </row>
    <row r="289" spans="1:18" x14ac:dyDescent="0.25">
      <c r="A289" s="170">
        <v>42424</v>
      </c>
      <c r="B289" s="116">
        <v>24.1765924182838</v>
      </c>
      <c r="C289" s="116">
        <v>23.6144568704301</v>
      </c>
      <c r="D289" s="116">
        <v>23.509651937779399</v>
      </c>
      <c r="E289" s="116">
        <v>23.900288504932</v>
      </c>
      <c r="F289" s="116">
        <v>247.85</v>
      </c>
      <c r="G289">
        <v>667522</v>
      </c>
      <c r="H289" s="116"/>
      <c r="I289" s="116"/>
      <c r="L289" s="170">
        <v>42424</v>
      </c>
      <c r="M289" s="116">
        <v>23.618351285464399</v>
      </c>
      <c r="N289" s="116">
        <v>24.1757024553715</v>
      </c>
      <c r="O289" s="116">
        <v>23.527841266419699</v>
      </c>
      <c r="P289" s="116">
        <v>23.875590286960001</v>
      </c>
      <c r="Q289" s="116">
        <v>247.9</v>
      </c>
      <c r="R289">
        <v>4743823</v>
      </c>
    </row>
    <row r="290" spans="1:18" x14ac:dyDescent="0.25">
      <c r="A290" s="170">
        <v>42425</v>
      </c>
      <c r="B290" s="116">
        <v>23.809775154006399</v>
      </c>
      <c r="C290" s="116">
        <v>23.6335123127302</v>
      </c>
      <c r="D290" s="116">
        <v>23.3048059330531</v>
      </c>
      <c r="E290" s="116">
        <v>23.6144568704301</v>
      </c>
      <c r="F290" s="116">
        <v>248.05</v>
      </c>
      <c r="G290">
        <v>672333</v>
      </c>
      <c r="H290" s="116"/>
      <c r="I290" s="116"/>
      <c r="L290" s="170">
        <v>42425</v>
      </c>
      <c r="M290" s="116">
        <v>23.642169711528801</v>
      </c>
      <c r="N290" s="116">
        <v>23.804135008766799</v>
      </c>
      <c r="O290" s="116">
        <v>23.3039480614143</v>
      </c>
      <c r="P290" s="116">
        <v>23.542132322058301</v>
      </c>
      <c r="Q290" s="116">
        <v>248.15</v>
      </c>
      <c r="R290">
        <v>5588168</v>
      </c>
    </row>
    <row r="291" spans="1:18" x14ac:dyDescent="0.25">
      <c r="A291" s="170">
        <v>42426</v>
      </c>
      <c r="B291" s="116">
        <v>24.009857298157701</v>
      </c>
      <c r="C291" s="116">
        <v>23.6668593367555</v>
      </c>
      <c r="D291" s="116">
        <v>23.190473279252299</v>
      </c>
      <c r="E291" s="116">
        <v>23.828830596306499</v>
      </c>
      <c r="F291" s="116">
        <v>248.4</v>
      </c>
      <c r="G291">
        <v>677814</v>
      </c>
      <c r="H291" s="116"/>
      <c r="I291" s="116"/>
      <c r="L291" s="170">
        <v>42426</v>
      </c>
      <c r="M291" s="116">
        <v>23.6707518228061</v>
      </c>
      <c r="N291" s="116">
        <v>23.980391361643399</v>
      </c>
      <c r="O291" s="116">
        <v>23.1658011902407</v>
      </c>
      <c r="P291" s="116">
        <v>23.7707892122766</v>
      </c>
      <c r="Q291" s="116">
        <v>248.45</v>
      </c>
      <c r="R291">
        <v>5336837</v>
      </c>
    </row>
    <row r="292" spans="1:18" x14ac:dyDescent="0.25">
      <c r="A292" s="170">
        <v>42429</v>
      </c>
      <c r="B292" s="116">
        <v>25.105545230414901</v>
      </c>
      <c r="C292" s="116">
        <v>23.733553384805901</v>
      </c>
      <c r="D292" s="116">
        <v>23.371499981103501</v>
      </c>
      <c r="E292" s="116">
        <v>23.528707380079499</v>
      </c>
      <c r="F292" s="116">
        <v>249.1</v>
      </c>
      <c r="G292">
        <v>1789346</v>
      </c>
      <c r="H292" s="116"/>
      <c r="I292" s="116"/>
      <c r="L292" s="170">
        <v>42429</v>
      </c>
      <c r="M292" s="116">
        <v>23.732679730573601</v>
      </c>
      <c r="N292" s="116">
        <v>25.118912127522002</v>
      </c>
      <c r="O292" s="116">
        <v>23.3515849135431</v>
      </c>
      <c r="P292" s="116">
        <v>23.523077581206799</v>
      </c>
      <c r="Q292" s="116">
        <v>249.1</v>
      </c>
      <c r="R292">
        <v>9850435</v>
      </c>
    </row>
    <row r="293" spans="1:18" x14ac:dyDescent="0.25">
      <c r="A293" s="170">
        <v>42430</v>
      </c>
      <c r="B293" s="116">
        <v>24.581520567161501</v>
      </c>
      <c r="C293" s="116">
        <v>24.4767156345108</v>
      </c>
      <c r="D293" s="116">
        <v>23.504888077204399</v>
      </c>
      <c r="E293" s="116">
        <v>23.819302875156499</v>
      </c>
      <c r="F293" s="116">
        <v>256.89999999999998</v>
      </c>
      <c r="G293">
        <v>1639647</v>
      </c>
      <c r="H293" s="116"/>
      <c r="I293" s="116"/>
      <c r="L293" s="170">
        <v>42430</v>
      </c>
      <c r="M293" s="116">
        <v>24.490105679421699</v>
      </c>
      <c r="N293" s="116">
        <v>24.5949067541051</v>
      </c>
      <c r="O293" s="116">
        <v>23.4897317847166</v>
      </c>
      <c r="P293" s="116">
        <v>23.818426064405401</v>
      </c>
      <c r="Q293" s="116">
        <v>257.05</v>
      </c>
      <c r="R293">
        <v>7111226</v>
      </c>
    </row>
    <row r="294" spans="1:18" x14ac:dyDescent="0.25">
      <c r="A294" s="170">
        <v>42431</v>
      </c>
      <c r="B294" s="116">
        <v>25.658153057118501</v>
      </c>
      <c r="C294" s="116">
        <v>25.453307052392201</v>
      </c>
      <c r="D294" s="116">
        <v>24.7720749901627</v>
      </c>
      <c r="E294" s="116">
        <v>24.7958942930379</v>
      </c>
      <c r="F294" s="116">
        <v>267.14999999999998</v>
      </c>
      <c r="G294">
        <v>1042848</v>
      </c>
      <c r="H294" s="116"/>
      <c r="I294" s="116"/>
      <c r="L294" s="170">
        <v>42431</v>
      </c>
      <c r="M294" s="116">
        <v>25.490479574126699</v>
      </c>
      <c r="N294" s="116">
        <v>25.676263297429099</v>
      </c>
      <c r="O294" s="116">
        <v>24.723526254852899</v>
      </c>
      <c r="P294" s="116">
        <v>24.7711631069817</v>
      </c>
      <c r="Q294" s="116">
        <v>267.55</v>
      </c>
      <c r="R294">
        <v>7645620</v>
      </c>
    </row>
    <row r="295" spans="1:18" x14ac:dyDescent="0.25">
      <c r="A295" s="170">
        <v>42432</v>
      </c>
      <c r="B295" s="116">
        <v>27.411253748730001</v>
      </c>
      <c r="C295" s="116">
        <v>27.277865652629199</v>
      </c>
      <c r="D295" s="116">
        <v>25.88681836472</v>
      </c>
      <c r="E295" s="116">
        <v>25.88681836472</v>
      </c>
      <c r="F295" s="116">
        <v>286.3</v>
      </c>
      <c r="G295">
        <v>2531255</v>
      </c>
      <c r="H295" s="116"/>
      <c r="I295" s="116"/>
      <c r="L295" s="170">
        <v>42432</v>
      </c>
      <c r="M295" s="116">
        <v>27.348316807150301</v>
      </c>
      <c r="N295" s="116">
        <v>27.534100530452701</v>
      </c>
      <c r="O295" s="116">
        <v>25.9239749284989</v>
      </c>
      <c r="P295" s="116">
        <v>26.0097212623307</v>
      </c>
      <c r="Q295" s="116">
        <v>287.05</v>
      </c>
      <c r="R295">
        <v>17533077</v>
      </c>
    </row>
    <row r="296" spans="1:18" x14ac:dyDescent="0.25">
      <c r="A296" s="170">
        <v>42433</v>
      </c>
      <c r="B296" s="116">
        <v>27.744723988982201</v>
      </c>
      <c r="C296" s="116">
        <v>27.473183936205501</v>
      </c>
      <c r="D296" s="116">
        <v>27.130185974803201</v>
      </c>
      <c r="E296" s="116">
        <v>27.535114123680899</v>
      </c>
      <c r="F296" s="116">
        <v>288.35000000000002</v>
      </c>
      <c r="G296">
        <v>1277979</v>
      </c>
      <c r="H296" s="116"/>
      <c r="I296" s="116"/>
      <c r="L296" s="170">
        <v>42433</v>
      </c>
      <c r="M296" s="116">
        <v>27.491227363536801</v>
      </c>
      <c r="N296" s="116">
        <v>27.743702679819499</v>
      </c>
      <c r="O296" s="116">
        <v>27.1053688612934</v>
      </c>
      <c r="P296" s="116">
        <v>27.534100530452701</v>
      </c>
      <c r="Q296" s="116">
        <v>288.55</v>
      </c>
      <c r="R296">
        <v>9170166</v>
      </c>
    </row>
    <row r="297" spans="1:18" x14ac:dyDescent="0.25">
      <c r="A297" s="170">
        <v>42437</v>
      </c>
      <c r="B297" s="116">
        <v>28.2496932099356</v>
      </c>
      <c r="C297" s="116">
        <v>27.806654176457599</v>
      </c>
      <c r="D297" s="116">
        <v>27.287393373779199</v>
      </c>
      <c r="E297" s="116">
        <v>27.511294820805698</v>
      </c>
      <c r="F297" s="116">
        <v>291.85000000000002</v>
      </c>
      <c r="G297">
        <v>1266789</v>
      </c>
      <c r="H297" s="116"/>
      <c r="I297" s="116"/>
      <c r="L297" s="170">
        <v>42437</v>
      </c>
      <c r="M297" s="116">
        <v>27.800866902374</v>
      </c>
      <c r="N297" s="116">
        <v>28.267708053236401</v>
      </c>
      <c r="O297" s="116">
        <v>27.343553121937401</v>
      </c>
      <c r="P297" s="116">
        <v>27.419772085343499</v>
      </c>
      <c r="Q297" s="116">
        <v>291.8</v>
      </c>
      <c r="R297">
        <v>9281598</v>
      </c>
    </row>
    <row r="298" spans="1:18" x14ac:dyDescent="0.25">
      <c r="A298" s="170">
        <v>42438</v>
      </c>
      <c r="B298" s="116">
        <v>28.283040233960801</v>
      </c>
      <c r="C298" s="116">
        <v>28.149652137859899</v>
      </c>
      <c r="D298" s="116">
        <v>26.801479595126001</v>
      </c>
      <c r="E298" s="116">
        <v>27.134949835378201</v>
      </c>
      <c r="F298" s="116">
        <v>295.45</v>
      </c>
      <c r="G298">
        <v>1435597</v>
      </c>
      <c r="H298" s="116"/>
      <c r="I298" s="116"/>
      <c r="L298" s="170">
        <v>42438</v>
      </c>
      <c r="M298" s="116">
        <v>28.143852237701498</v>
      </c>
      <c r="N298" s="116">
        <v>28.248653312384899</v>
      </c>
      <c r="O298" s="116">
        <v>26.800493007669001</v>
      </c>
      <c r="P298" s="116">
        <v>27.010095157035799</v>
      </c>
      <c r="Q298" s="116">
        <v>295.39999999999998</v>
      </c>
      <c r="R298">
        <v>10158431</v>
      </c>
    </row>
    <row r="299" spans="1:18" x14ac:dyDescent="0.25">
      <c r="A299" s="170">
        <v>42439</v>
      </c>
      <c r="B299" s="116">
        <v>28.692732243413499</v>
      </c>
      <c r="C299" s="116">
        <v>28.2163461859103</v>
      </c>
      <c r="D299" s="116">
        <v>27.9543338542836</v>
      </c>
      <c r="E299" s="116">
        <v>28.2211100464854</v>
      </c>
      <c r="F299" s="116">
        <v>296.14999999999998</v>
      </c>
      <c r="G299">
        <v>1270446</v>
      </c>
      <c r="H299" s="116"/>
      <c r="I299" s="116"/>
      <c r="L299" s="170">
        <v>42439</v>
      </c>
      <c r="M299" s="116">
        <v>28.267708053236401</v>
      </c>
      <c r="N299" s="116">
        <v>28.701203407608599</v>
      </c>
      <c r="O299" s="116">
        <v>27.943777458760501</v>
      </c>
      <c r="P299" s="116">
        <v>28.229598571533302</v>
      </c>
      <c r="Q299" s="116">
        <v>296.7</v>
      </c>
      <c r="R299">
        <v>8556968</v>
      </c>
    </row>
    <row r="300" spans="1:18" x14ac:dyDescent="0.25">
      <c r="A300" s="170">
        <v>42440</v>
      </c>
      <c r="B300" s="116">
        <v>28.392609027186499</v>
      </c>
      <c r="C300" s="116">
        <v>28.054374926359301</v>
      </c>
      <c r="D300" s="116">
        <v>27.6494467774816</v>
      </c>
      <c r="E300" s="116">
        <v>28.2020546041852</v>
      </c>
      <c r="F300" s="116">
        <v>294.45</v>
      </c>
      <c r="G300">
        <v>1421526</v>
      </c>
      <c r="H300" s="116"/>
      <c r="I300" s="116"/>
      <c r="L300" s="170">
        <v>42440</v>
      </c>
      <c r="M300" s="116">
        <v>28.015232736953699</v>
      </c>
      <c r="N300" s="116">
        <v>28.410618609622802</v>
      </c>
      <c r="O300" s="116">
        <v>27.6627200312005</v>
      </c>
      <c r="P300" s="116">
        <v>28.201016460256</v>
      </c>
      <c r="Q300" s="116">
        <v>294.05</v>
      </c>
      <c r="R300">
        <v>7633668</v>
      </c>
    </row>
    <row r="301" spans="1:18" x14ac:dyDescent="0.25">
      <c r="A301" s="170">
        <v>42443</v>
      </c>
      <c r="B301" s="116">
        <v>28.616510474213001</v>
      </c>
      <c r="C301" s="116">
        <v>28.2306377676354</v>
      </c>
      <c r="D301" s="116">
        <v>28.125832834984699</v>
      </c>
      <c r="E301" s="116">
        <v>28.297331815685901</v>
      </c>
      <c r="F301" s="116">
        <v>296.3</v>
      </c>
      <c r="G301">
        <v>1005740</v>
      </c>
      <c r="H301" s="116"/>
      <c r="I301" s="116"/>
      <c r="L301" s="170">
        <v>42443</v>
      </c>
      <c r="M301" s="116">
        <v>28.267708053236401</v>
      </c>
      <c r="N301" s="116">
        <v>28.605929703350899</v>
      </c>
      <c r="O301" s="116">
        <v>28.129561182062801</v>
      </c>
      <c r="P301" s="116">
        <v>28.196252775043199</v>
      </c>
      <c r="Q301" s="116">
        <v>296.7</v>
      </c>
      <c r="R301">
        <v>4445317</v>
      </c>
    </row>
    <row r="302" spans="1:18" x14ac:dyDescent="0.25">
      <c r="A302" s="170">
        <v>42444</v>
      </c>
      <c r="B302" s="116">
        <v>28.716551546288599</v>
      </c>
      <c r="C302" s="116">
        <v>28.564108007887601</v>
      </c>
      <c r="D302" s="116">
        <v>28.025791762909101</v>
      </c>
      <c r="E302" s="116">
        <v>28.2020546041852</v>
      </c>
      <c r="F302" s="116">
        <v>299.8</v>
      </c>
      <c r="G302">
        <v>1087235</v>
      </c>
      <c r="H302" s="116"/>
      <c r="I302" s="116"/>
      <c r="L302" s="170">
        <v>42444</v>
      </c>
      <c r="M302" s="116">
        <v>28.6249844442025</v>
      </c>
      <c r="N302" s="116">
        <v>28.772658685801801</v>
      </c>
      <c r="O302" s="116">
        <v>28.019996422166599</v>
      </c>
      <c r="P302" s="116">
        <v>28.296290164513699</v>
      </c>
      <c r="Q302" s="116">
        <v>300.45</v>
      </c>
      <c r="R302">
        <v>6978051</v>
      </c>
    </row>
    <row r="303" spans="1:18" x14ac:dyDescent="0.25">
      <c r="A303" s="170">
        <v>42445</v>
      </c>
      <c r="B303" s="116">
        <v>28.8451757818145</v>
      </c>
      <c r="C303" s="116">
        <v>28.5069416809872</v>
      </c>
      <c r="D303" s="116">
        <v>28.030555623484101</v>
      </c>
      <c r="E303" s="116">
        <v>28.564108007887601</v>
      </c>
      <c r="F303" s="116">
        <v>299.2</v>
      </c>
      <c r="G303">
        <v>1156563</v>
      </c>
      <c r="H303" s="116"/>
      <c r="I303" s="116"/>
      <c r="L303" s="170">
        <v>42445</v>
      </c>
      <c r="M303" s="116">
        <v>28.5344744251577</v>
      </c>
      <c r="N303" s="116">
        <v>28.844113963994999</v>
      </c>
      <c r="O303" s="116">
        <v>28.0295237925923</v>
      </c>
      <c r="P303" s="116">
        <v>28.582111277286501</v>
      </c>
      <c r="Q303" s="116">
        <v>299.5</v>
      </c>
      <c r="R303">
        <v>7039372</v>
      </c>
    </row>
    <row r="304" spans="1:18" x14ac:dyDescent="0.25">
      <c r="A304" s="170">
        <v>42446</v>
      </c>
      <c r="B304" s="116">
        <v>29.1167158345913</v>
      </c>
      <c r="C304" s="116">
        <v>28.1829991618851</v>
      </c>
      <c r="D304" s="116">
        <v>28.106777392684599</v>
      </c>
      <c r="E304" s="116">
        <v>28.964272296190199</v>
      </c>
      <c r="F304" s="116">
        <v>295.8</v>
      </c>
      <c r="G304">
        <v>1075013</v>
      </c>
      <c r="H304" s="116"/>
      <c r="I304" s="116"/>
      <c r="L304" s="170">
        <v>42446</v>
      </c>
      <c r="M304" s="116">
        <v>28.191489089830299</v>
      </c>
      <c r="N304" s="116">
        <v>29.1204077063421</v>
      </c>
      <c r="O304" s="116">
        <v>28.096215385572702</v>
      </c>
      <c r="P304" s="116">
        <v>29.010842946445798</v>
      </c>
      <c r="Q304" s="116">
        <v>295.89999999999998</v>
      </c>
      <c r="R304">
        <v>8005526</v>
      </c>
    </row>
    <row r="305" spans="1:18" x14ac:dyDescent="0.25">
      <c r="A305" s="170">
        <v>42447</v>
      </c>
      <c r="B305" s="116">
        <v>28.8451757818145</v>
      </c>
      <c r="C305" s="116">
        <v>28.773717873189</v>
      </c>
      <c r="D305" s="116">
        <v>28.316387257986001</v>
      </c>
      <c r="E305" s="116">
        <v>28.478358517537099</v>
      </c>
      <c r="F305" s="116">
        <v>302</v>
      </c>
      <c r="G305">
        <v>976280</v>
      </c>
      <c r="H305" s="116"/>
      <c r="I305" s="116"/>
      <c r="L305" s="170">
        <v>42447</v>
      </c>
      <c r="M305" s="116">
        <v>28.791713426653299</v>
      </c>
      <c r="N305" s="116">
        <v>28.844113963994999</v>
      </c>
      <c r="O305" s="116">
        <v>28.291526479300799</v>
      </c>
      <c r="P305" s="116">
        <v>28.553529166009199</v>
      </c>
      <c r="Q305" s="116">
        <v>302.2</v>
      </c>
      <c r="R305">
        <v>7314488</v>
      </c>
    </row>
    <row r="306" spans="1:18" x14ac:dyDescent="0.25">
      <c r="A306" s="170">
        <v>42450</v>
      </c>
      <c r="B306" s="116">
        <v>29.126243555741301</v>
      </c>
      <c r="C306" s="116">
        <v>28.859467363539601</v>
      </c>
      <c r="D306" s="116">
        <v>28.659385219388199</v>
      </c>
      <c r="E306" s="116">
        <v>28.916633690439902</v>
      </c>
      <c r="F306" s="116">
        <v>302.89999999999998</v>
      </c>
      <c r="G306">
        <v>672243</v>
      </c>
      <c r="H306" s="116"/>
      <c r="I306" s="116"/>
      <c r="L306" s="170">
        <v>42450</v>
      </c>
      <c r="M306" s="116">
        <v>28.920332927401098</v>
      </c>
      <c r="N306" s="116">
        <v>29.148989817619398</v>
      </c>
      <c r="O306" s="116">
        <v>28.644039185054002</v>
      </c>
      <c r="P306" s="116">
        <v>28.772658685801801</v>
      </c>
      <c r="Q306" s="116">
        <v>303.55</v>
      </c>
      <c r="R306">
        <v>5651710</v>
      </c>
    </row>
    <row r="307" spans="1:18" x14ac:dyDescent="0.25">
      <c r="A307" s="170">
        <v>42451</v>
      </c>
      <c r="B307" s="116">
        <v>29.693142964170001</v>
      </c>
      <c r="C307" s="116">
        <v>29.483533098868701</v>
      </c>
      <c r="D307" s="116">
        <v>28.692732243413499</v>
      </c>
      <c r="E307" s="116">
        <v>29.011910901940599</v>
      </c>
      <c r="F307" s="116">
        <v>309.45</v>
      </c>
      <c r="G307">
        <v>1025169</v>
      </c>
      <c r="H307" s="116"/>
      <c r="I307" s="116"/>
      <c r="L307" s="170">
        <v>42451</v>
      </c>
      <c r="M307" s="116">
        <v>29.515793579011198</v>
      </c>
      <c r="N307" s="116">
        <v>29.706340987526499</v>
      </c>
      <c r="O307" s="116">
        <v>28.7107307780343</v>
      </c>
      <c r="P307" s="116">
        <v>28.877459760485198</v>
      </c>
      <c r="Q307" s="116">
        <v>309.8</v>
      </c>
      <c r="R307">
        <v>6579069</v>
      </c>
    </row>
    <row r="308" spans="1:18" x14ac:dyDescent="0.25">
      <c r="A308" s="170">
        <v>42452</v>
      </c>
      <c r="B308" s="116">
        <v>30.2266953485735</v>
      </c>
      <c r="C308" s="116">
        <v>30.164765161098099</v>
      </c>
      <c r="D308" s="116">
        <v>29.607393473819499</v>
      </c>
      <c r="E308" s="116">
        <v>29.6693236612949</v>
      </c>
      <c r="F308" s="116">
        <v>316.60000000000002</v>
      </c>
      <c r="G308">
        <v>982311</v>
      </c>
      <c r="H308" s="116"/>
      <c r="I308" s="116"/>
      <c r="L308" s="170">
        <v>42452</v>
      </c>
      <c r="M308" s="116">
        <v>30.2208189905176</v>
      </c>
      <c r="N308" s="116">
        <v>30.287510583498001</v>
      </c>
      <c r="O308" s="116">
        <v>29.587248857204401</v>
      </c>
      <c r="P308" s="116">
        <v>29.706340987526499</v>
      </c>
      <c r="Q308" s="116">
        <v>317.2</v>
      </c>
      <c r="R308">
        <v>6377772</v>
      </c>
    </row>
    <row r="309" spans="1:18" x14ac:dyDescent="0.25">
      <c r="A309" s="170">
        <v>42457</v>
      </c>
      <c r="B309" s="116">
        <v>30.288625536048901</v>
      </c>
      <c r="C309" s="116">
        <v>28.587927310762801</v>
      </c>
      <c r="D309" s="116">
        <v>28.368789724311299</v>
      </c>
      <c r="E309" s="116">
        <v>30.2266953485735</v>
      </c>
      <c r="F309" s="116">
        <v>300.05</v>
      </c>
      <c r="G309">
        <v>1238801</v>
      </c>
      <c r="H309" s="116"/>
      <c r="I309" s="116"/>
      <c r="L309" s="170">
        <v>42457</v>
      </c>
      <c r="M309" s="116">
        <v>28.501128628667601</v>
      </c>
      <c r="N309" s="116">
        <v>30.335147435626801</v>
      </c>
      <c r="O309" s="116">
        <v>28.334399646216699</v>
      </c>
      <c r="P309" s="116">
        <v>30.335147435626801</v>
      </c>
      <c r="Q309" s="116">
        <v>299.14999999999998</v>
      </c>
      <c r="R309">
        <v>9069782</v>
      </c>
    </row>
    <row r="310" spans="1:18" x14ac:dyDescent="0.25">
      <c r="A310" s="170">
        <v>42458</v>
      </c>
      <c r="B310" s="116">
        <v>29.307270257592499</v>
      </c>
      <c r="C310" s="116">
        <v>28.954744575040198</v>
      </c>
      <c r="D310" s="116">
        <v>28.583163450187701</v>
      </c>
      <c r="E310" s="116">
        <v>28.583163450187701</v>
      </c>
      <c r="F310" s="116">
        <v>303.89999999999998</v>
      </c>
      <c r="G310">
        <v>876281</v>
      </c>
      <c r="H310" s="116"/>
      <c r="I310" s="116"/>
      <c r="L310" s="170">
        <v>42458</v>
      </c>
      <c r="M310" s="116">
        <v>28.9489150386784</v>
      </c>
      <c r="N310" s="116">
        <v>29.320482485283101</v>
      </c>
      <c r="O310" s="116">
        <v>28.582111277286501</v>
      </c>
      <c r="P310" s="116">
        <v>28.582111277286501</v>
      </c>
      <c r="Q310" s="116">
        <v>303.85000000000002</v>
      </c>
      <c r="R310">
        <v>5937162</v>
      </c>
    </row>
    <row r="311" spans="1:18" x14ac:dyDescent="0.25">
      <c r="A311" s="170">
        <v>42459</v>
      </c>
      <c r="B311" s="116">
        <v>31.0460793674789</v>
      </c>
      <c r="C311" s="116">
        <v>30.907927410803001</v>
      </c>
      <c r="D311" s="116">
        <v>29.0976603922911</v>
      </c>
      <c r="E311" s="116">
        <v>29.440658353693401</v>
      </c>
      <c r="F311" s="116">
        <v>324.39999999999998</v>
      </c>
      <c r="G311">
        <v>1678940</v>
      </c>
      <c r="H311" s="116"/>
      <c r="I311" s="116"/>
      <c r="L311" s="170">
        <v>42459</v>
      </c>
      <c r="M311" s="116">
        <v>30.897262290746699</v>
      </c>
      <c r="N311" s="116">
        <v>31.035409161920299</v>
      </c>
      <c r="O311" s="116">
        <v>29.087061909851901</v>
      </c>
      <c r="P311" s="116">
        <v>29.482447782521099</v>
      </c>
      <c r="Q311" s="116">
        <v>324.3</v>
      </c>
      <c r="R311">
        <v>12438899</v>
      </c>
    </row>
    <row r="312" spans="1:18" x14ac:dyDescent="0.25">
      <c r="A312" s="170">
        <v>42460</v>
      </c>
      <c r="B312" s="116">
        <v>31.022260064603799</v>
      </c>
      <c r="C312" s="116">
        <v>30.441069074449899</v>
      </c>
      <c r="D312" s="116">
        <v>29.9742107380969</v>
      </c>
      <c r="E312" s="116">
        <v>30.965093737703398</v>
      </c>
      <c r="F312" s="116">
        <v>319.5</v>
      </c>
      <c r="G312">
        <v>1645626</v>
      </c>
      <c r="H312" s="116"/>
      <c r="I312" s="116"/>
      <c r="L312" s="170">
        <v>42460</v>
      </c>
      <c r="M312" s="116">
        <v>30.4590032511617</v>
      </c>
      <c r="N312" s="116">
        <v>30.9544265133013</v>
      </c>
      <c r="O312" s="116">
        <v>29.9540526185963</v>
      </c>
      <c r="P312" s="116">
        <v>30.9544265133013</v>
      </c>
      <c r="Q312" s="116">
        <v>319.7</v>
      </c>
      <c r="R312">
        <v>13349925</v>
      </c>
    </row>
    <row r="313" spans="1:18" x14ac:dyDescent="0.25">
      <c r="A313" s="170">
        <v>42461</v>
      </c>
      <c r="B313" s="116">
        <v>30.4839438196252</v>
      </c>
      <c r="C313" s="116">
        <v>30.269570093748801</v>
      </c>
      <c r="D313" s="116">
        <v>29.817003339120799</v>
      </c>
      <c r="E313" s="116">
        <v>30.298153257199001</v>
      </c>
      <c r="F313" s="116">
        <v>317.7</v>
      </c>
      <c r="G313">
        <v>1250826</v>
      </c>
      <c r="H313" s="116"/>
      <c r="I313" s="116"/>
      <c r="L313" s="170">
        <v>42461</v>
      </c>
      <c r="M313" s="116">
        <v>30.2732195278593</v>
      </c>
      <c r="N313" s="116">
        <v>30.473294306800302</v>
      </c>
      <c r="O313" s="116">
        <v>29.8540152291258</v>
      </c>
      <c r="P313" s="116">
        <v>30.263692157433599</v>
      </c>
      <c r="Q313" s="116">
        <v>317.75</v>
      </c>
      <c r="R313">
        <v>5570019</v>
      </c>
    </row>
    <row r="314" spans="1:18" x14ac:dyDescent="0.25">
      <c r="A314" s="170">
        <v>42464</v>
      </c>
      <c r="B314" s="116">
        <v>30.765011593552099</v>
      </c>
      <c r="C314" s="116">
        <v>30.5077631225004</v>
      </c>
      <c r="D314" s="116">
        <v>30.021849343847201</v>
      </c>
      <c r="E314" s="116">
        <v>30.026613204422201</v>
      </c>
      <c r="F314" s="116">
        <v>320.2</v>
      </c>
      <c r="G314">
        <v>598901</v>
      </c>
      <c r="H314" s="116"/>
      <c r="I314" s="116"/>
      <c r="L314" s="170">
        <v>42464</v>
      </c>
      <c r="M314" s="116">
        <v>30.520931158929098</v>
      </c>
      <c r="N314" s="116">
        <v>30.782933845637601</v>
      </c>
      <c r="O314" s="116">
        <v>29.982634729873599</v>
      </c>
      <c r="P314" s="116">
        <v>30.087435804557</v>
      </c>
      <c r="Q314" s="116">
        <v>320.35000000000002</v>
      </c>
      <c r="R314">
        <v>5167920</v>
      </c>
    </row>
    <row r="315" spans="1:18" x14ac:dyDescent="0.25">
      <c r="A315" s="170">
        <v>42465</v>
      </c>
      <c r="B315" s="116">
        <v>30.417249771574799</v>
      </c>
      <c r="C315" s="116">
        <v>29.736017709345301</v>
      </c>
      <c r="D315" s="116">
        <v>29.383492026793</v>
      </c>
      <c r="E315" s="116">
        <v>30.288625536048901</v>
      </c>
      <c r="F315" s="116">
        <v>312.10000000000002</v>
      </c>
      <c r="G315">
        <v>803013</v>
      </c>
      <c r="H315" s="116"/>
      <c r="I315" s="116"/>
      <c r="L315" s="170">
        <v>42465</v>
      </c>
      <c r="M315" s="116">
        <v>29.753977839655299</v>
      </c>
      <c r="N315" s="116">
        <v>30.430421139884398</v>
      </c>
      <c r="O315" s="116">
        <v>29.372883022624801</v>
      </c>
      <c r="P315" s="116">
        <v>30.197000564453202</v>
      </c>
      <c r="Q315" s="116">
        <v>312.3</v>
      </c>
      <c r="R315">
        <v>5723253</v>
      </c>
    </row>
    <row r="316" spans="1:18" x14ac:dyDescent="0.25">
      <c r="A316" s="170">
        <v>42466</v>
      </c>
      <c r="B316" s="116">
        <v>31.622506497057699</v>
      </c>
      <c r="C316" s="116">
        <v>31.293800117380499</v>
      </c>
      <c r="D316" s="116">
        <v>29.888461247746299</v>
      </c>
      <c r="E316" s="116">
        <v>29.9170444111965</v>
      </c>
      <c r="F316" s="116">
        <v>328.45</v>
      </c>
      <c r="G316">
        <v>2208652</v>
      </c>
      <c r="H316" s="116"/>
      <c r="I316" s="116"/>
      <c r="L316" s="170">
        <v>42466</v>
      </c>
      <c r="M316" s="116">
        <v>31.302175533841599</v>
      </c>
      <c r="N316" s="116">
        <v>31.630869813530399</v>
      </c>
      <c r="O316" s="116">
        <v>29.873069969977301</v>
      </c>
      <c r="P316" s="116">
        <v>30.011216841150901</v>
      </c>
      <c r="Q316" s="116">
        <v>328.55</v>
      </c>
      <c r="R316">
        <v>14591057</v>
      </c>
    </row>
    <row r="317" spans="1:18" x14ac:dyDescent="0.25">
      <c r="A317" s="170">
        <v>42467</v>
      </c>
      <c r="B317" s="116">
        <v>31.6987282662582</v>
      </c>
      <c r="C317" s="116">
        <v>30.865052665627701</v>
      </c>
      <c r="D317" s="116">
        <v>30.698317545501599</v>
      </c>
      <c r="E317" s="116">
        <v>31.441479795206501</v>
      </c>
      <c r="F317" s="116">
        <v>323.95</v>
      </c>
      <c r="G317">
        <v>1267575</v>
      </c>
      <c r="H317" s="116"/>
      <c r="I317" s="116"/>
      <c r="L317" s="170">
        <v>42467</v>
      </c>
      <c r="M317" s="116">
        <v>30.840098068192201</v>
      </c>
      <c r="N317" s="116">
        <v>31.702325091723601</v>
      </c>
      <c r="O317" s="116">
        <v>30.68766014138</v>
      </c>
      <c r="P317" s="116">
        <v>31.430795034589401</v>
      </c>
      <c r="Q317" s="116">
        <v>323.7</v>
      </c>
      <c r="R317">
        <v>8609454</v>
      </c>
    </row>
    <row r="318" spans="1:18" x14ac:dyDescent="0.25">
      <c r="A318" s="170">
        <v>42468</v>
      </c>
      <c r="B318" s="116">
        <v>30.926982853103102</v>
      </c>
      <c r="C318" s="116">
        <v>30.703081406076699</v>
      </c>
      <c r="D318" s="116">
        <v>30.374375026399498</v>
      </c>
      <c r="E318" s="116">
        <v>30.7745393147021</v>
      </c>
      <c r="F318" s="116">
        <v>322.25</v>
      </c>
      <c r="G318">
        <v>743645</v>
      </c>
      <c r="H318" s="116"/>
      <c r="I318" s="116"/>
      <c r="L318" s="170">
        <v>42468</v>
      </c>
      <c r="M318" s="116">
        <v>30.68766014138</v>
      </c>
      <c r="N318" s="116">
        <v>30.944899142875599</v>
      </c>
      <c r="O318" s="116">
        <v>30.397075343394199</v>
      </c>
      <c r="P318" s="116">
        <v>30.7781701604247</v>
      </c>
      <c r="Q318" s="116">
        <v>322.10000000000002</v>
      </c>
      <c r="R318">
        <v>6080953</v>
      </c>
    </row>
    <row r="319" spans="1:18" x14ac:dyDescent="0.25">
      <c r="A319" s="170">
        <v>42471</v>
      </c>
      <c r="B319" s="116">
        <v>31.732075290283401</v>
      </c>
      <c r="C319" s="116">
        <v>31.551048588432199</v>
      </c>
      <c r="D319" s="116">
        <v>30.4696522379001</v>
      </c>
      <c r="E319" s="116">
        <v>30.679262103201498</v>
      </c>
      <c r="F319" s="116">
        <v>331.15</v>
      </c>
      <c r="G319">
        <v>1397650</v>
      </c>
      <c r="H319" s="116"/>
      <c r="I319" s="116"/>
      <c r="L319" s="170">
        <v>42471</v>
      </c>
      <c r="M319" s="116">
        <v>31.5498871649114</v>
      </c>
      <c r="N319" s="116">
        <v>31.754725629065302</v>
      </c>
      <c r="O319" s="116">
        <v>30.492349047651899</v>
      </c>
      <c r="P319" s="116">
        <v>30.6781327709542</v>
      </c>
      <c r="Q319" s="116">
        <v>331.15</v>
      </c>
      <c r="R319">
        <v>9014830</v>
      </c>
    </row>
    <row r="320" spans="1:18" x14ac:dyDescent="0.25">
      <c r="A320" s="170">
        <v>42472</v>
      </c>
      <c r="B320" s="116">
        <v>31.512937703832002</v>
      </c>
      <c r="C320" s="116">
        <v>30.884108107927901</v>
      </c>
      <c r="D320" s="116">
        <v>30.321972560074201</v>
      </c>
      <c r="E320" s="116">
        <v>30.679262103201498</v>
      </c>
      <c r="F320" s="116">
        <v>324.14999999999998</v>
      </c>
      <c r="G320">
        <v>1551340</v>
      </c>
      <c r="H320" s="116"/>
      <c r="I320" s="116"/>
      <c r="L320" s="170">
        <v>42472</v>
      </c>
      <c r="M320" s="116">
        <v>30.9163170315983</v>
      </c>
      <c r="N320" s="116">
        <v>31.526068738847002</v>
      </c>
      <c r="O320" s="116">
        <v>30.297037953923699</v>
      </c>
      <c r="P320" s="116">
        <v>30.8591528090437</v>
      </c>
      <c r="Q320" s="116">
        <v>324.5</v>
      </c>
      <c r="R320">
        <v>11110285</v>
      </c>
    </row>
    <row r="321" spans="1:18" x14ac:dyDescent="0.25">
      <c r="A321" s="170">
        <v>42473</v>
      </c>
      <c r="B321" s="116">
        <v>32.013143064210297</v>
      </c>
      <c r="C321" s="116">
        <v>31.6892005451082</v>
      </c>
      <c r="D321" s="116">
        <v>31.0746625309291</v>
      </c>
      <c r="E321" s="116">
        <v>31.1223011366794</v>
      </c>
      <c r="F321" s="116">
        <v>332.6</v>
      </c>
      <c r="G321">
        <v>1624245</v>
      </c>
      <c r="H321" s="116"/>
      <c r="I321" s="116"/>
      <c r="L321" s="170">
        <v>42473</v>
      </c>
      <c r="M321" s="116">
        <v>31.711852462149398</v>
      </c>
      <c r="N321" s="116">
        <v>32.031019371412398</v>
      </c>
      <c r="O321" s="116">
        <v>31.059227587984701</v>
      </c>
      <c r="P321" s="116">
        <v>31.202138144371101</v>
      </c>
      <c r="Q321" s="116">
        <v>332.85</v>
      </c>
      <c r="R321">
        <v>10284415</v>
      </c>
    </row>
    <row r="322" spans="1:18" x14ac:dyDescent="0.25">
      <c r="A322" s="170">
        <v>42478</v>
      </c>
      <c r="B322" s="116">
        <v>32.065545530535601</v>
      </c>
      <c r="C322" s="116">
        <v>31.9178658527096</v>
      </c>
      <c r="D322" s="116">
        <v>31.227106069330102</v>
      </c>
      <c r="E322" s="116">
        <v>31.546284727857199</v>
      </c>
      <c r="F322" s="116">
        <v>335</v>
      </c>
      <c r="G322">
        <v>851568</v>
      </c>
      <c r="H322" s="116"/>
      <c r="I322" s="116"/>
      <c r="L322" s="170">
        <v>42478</v>
      </c>
      <c r="M322" s="116">
        <v>31.969091463645</v>
      </c>
      <c r="N322" s="116">
        <v>32.131056760882899</v>
      </c>
      <c r="O322" s="116">
        <v>31.216429200009799</v>
      </c>
      <c r="P322" s="116">
        <v>31.621342443104702</v>
      </c>
      <c r="Q322" s="116">
        <v>335.55</v>
      </c>
      <c r="R322">
        <v>7192987</v>
      </c>
    </row>
    <row r="323" spans="1:18" x14ac:dyDescent="0.25">
      <c r="A323" s="170">
        <v>42480</v>
      </c>
      <c r="B323" s="116">
        <v>34.175935765274502</v>
      </c>
      <c r="C323" s="116">
        <v>33.999672923998297</v>
      </c>
      <c r="D323" s="116">
        <v>32.108420275710898</v>
      </c>
      <c r="E323" s="116">
        <v>32.108420275710898</v>
      </c>
      <c r="F323" s="116">
        <v>356.85</v>
      </c>
      <c r="G323">
        <v>2484639</v>
      </c>
      <c r="H323" s="116"/>
      <c r="I323" s="116"/>
      <c r="L323" s="170">
        <v>42480</v>
      </c>
      <c r="M323" s="116">
        <v>34.055585586886899</v>
      </c>
      <c r="N323" s="116">
        <v>34.231841939763498</v>
      </c>
      <c r="O323" s="116">
        <v>32.173929927798902</v>
      </c>
      <c r="P323" s="116">
        <v>32.197748353863297</v>
      </c>
      <c r="Q323" s="116">
        <v>357.45</v>
      </c>
      <c r="R323">
        <v>18382196</v>
      </c>
    </row>
    <row r="324" spans="1:18" x14ac:dyDescent="0.25">
      <c r="A324" s="170">
        <v>42481</v>
      </c>
      <c r="B324" s="116">
        <v>34.695196567952898</v>
      </c>
      <c r="C324" s="116">
        <v>33.766243755821797</v>
      </c>
      <c r="D324" s="116">
        <v>33.580453193395599</v>
      </c>
      <c r="E324" s="116">
        <v>34.109241717224002</v>
      </c>
      <c r="F324" s="116">
        <v>354.4</v>
      </c>
      <c r="G324">
        <v>1358169</v>
      </c>
      <c r="H324" s="116"/>
      <c r="I324" s="116"/>
      <c r="L324" s="170">
        <v>42481</v>
      </c>
      <c r="M324" s="116">
        <v>33.779291844539799</v>
      </c>
      <c r="N324" s="116">
        <v>34.684392034987198</v>
      </c>
      <c r="O324" s="116">
        <v>33.641144973366202</v>
      </c>
      <c r="P324" s="116">
        <v>34.184205087634702</v>
      </c>
      <c r="Q324" s="116">
        <v>354.55</v>
      </c>
      <c r="R324">
        <v>10350647</v>
      </c>
    </row>
    <row r="325" spans="1:18" x14ac:dyDescent="0.25">
      <c r="A325" s="170">
        <v>42482</v>
      </c>
      <c r="B325" s="116">
        <v>34.633266380477501</v>
      </c>
      <c r="C325" s="116">
        <v>33.709077428921397</v>
      </c>
      <c r="D325" s="116">
        <v>33.604272496270703</v>
      </c>
      <c r="E325" s="116">
        <v>34.175935765274502</v>
      </c>
      <c r="F325" s="116">
        <v>353.8</v>
      </c>
      <c r="G325">
        <v>1408221</v>
      </c>
      <c r="H325" s="116"/>
      <c r="I325" s="116"/>
      <c r="L325" s="170">
        <v>42482</v>
      </c>
      <c r="M325" s="116">
        <v>33.693545510707899</v>
      </c>
      <c r="N325" s="116">
        <v>34.655809923709903</v>
      </c>
      <c r="O325" s="116">
        <v>33.564926009960097</v>
      </c>
      <c r="P325" s="116">
        <v>34.107986124228603</v>
      </c>
      <c r="Q325" s="116">
        <v>353.65</v>
      </c>
      <c r="R325">
        <v>12095871</v>
      </c>
    </row>
    <row r="326" spans="1:18" x14ac:dyDescent="0.25">
      <c r="A326" s="170">
        <v>42485</v>
      </c>
      <c r="B326" s="116">
        <v>33.699549707771403</v>
      </c>
      <c r="C326" s="116">
        <v>33.1135948570425</v>
      </c>
      <c r="D326" s="116">
        <v>32.8325270831157</v>
      </c>
      <c r="E326" s="116">
        <v>33.699549707771403</v>
      </c>
      <c r="F326" s="116">
        <v>347.55</v>
      </c>
      <c r="G326">
        <v>823947</v>
      </c>
      <c r="H326" s="116"/>
      <c r="I326" s="116"/>
      <c r="L326" s="170">
        <v>42485</v>
      </c>
      <c r="M326" s="116">
        <v>33.102848544310703</v>
      </c>
      <c r="N326" s="116">
        <v>33.6983091959208</v>
      </c>
      <c r="O326" s="116">
        <v>32.826554801963603</v>
      </c>
      <c r="P326" s="116">
        <v>33.583980750811698</v>
      </c>
      <c r="Q326" s="116">
        <v>347.45</v>
      </c>
      <c r="R326">
        <v>6159623</v>
      </c>
    </row>
    <row r="327" spans="1:18" x14ac:dyDescent="0.25">
      <c r="A327" s="170">
        <v>42486</v>
      </c>
      <c r="B327" s="116">
        <v>34.347434745975598</v>
      </c>
      <c r="C327" s="116">
        <v>34.147352601824302</v>
      </c>
      <c r="D327" s="116">
        <v>33.061192390717203</v>
      </c>
      <c r="E327" s="116">
        <v>33.061192390717203</v>
      </c>
      <c r="F327" s="116">
        <v>358.4</v>
      </c>
      <c r="G327">
        <v>1138357</v>
      </c>
      <c r="H327" s="116"/>
      <c r="I327" s="116"/>
      <c r="L327" s="170">
        <v>42486</v>
      </c>
      <c r="M327" s="116">
        <v>34.1651503467832</v>
      </c>
      <c r="N327" s="116">
        <v>34.355697755298401</v>
      </c>
      <c r="O327" s="116">
        <v>33.069502747820501</v>
      </c>
      <c r="P327" s="116">
        <v>33.074266433033401</v>
      </c>
      <c r="Q327" s="116">
        <v>358.6</v>
      </c>
      <c r="R327">
        <v>8345302</v>
      </c>
    </row>
    <row r="328" spans="1:18" x14ac:dyDescent="0.25">
      <c r="A328" s="170">
        <v>42487</v>
      </c>
      <c r="B328" s="116">
        <v>34.5189337266767</v>
      </c>
      <c r="C328" s="116">
        <v>33.9758536211232</v>
      </c>
      <c r="D328" s="116">
        <v>33.7043135683464</v>
      </c>
      <c r="E328" s="116">
        <v>34.114005577799098</v>
      </c>
      <c r="F328" s="116">
        <v>356.6</v>
      </c>
      <c r="G328">
        <v>708467</v>
      </c>
      <c r="H328" s="116"/>
      <c r="I328" s="116"/>
      <c r="L328" s="170">
        <v>42487</v>
      </c>
      <c r="M328" s="116">
        <v>33.988893993906601</v>
      </c>
      <c r="N328" s="116">
        <v>34.5271904229621</v>
      </c>
      <c r="O328" s="116">
        <v>33.741182362836703</v>
      </c>
      <c r="P328" s="116">
        <v>34.193732458060502</v>
      </c>
      <c r="Q328" s="116">
        <v>356.75</v>
      </c>
      <c r="R328">
        <v>6027540</v>
      </c>
    </row>
    <row r="329" spans="1:18" x14ac:dyDescent="0.25">
      <c r="A329" s="170">
        <v>42488</v>
      </c>
      <c r="B329" s="116">
        <v>34.461767399776399</v>
      </c>
      <c r="C329" s="116">
        <v>33.127886438767597</v>
      </c>
      <c r="D329" s="116">
        <v>32.965915179216502</v>
      </c>
      <c r="E329" s="116">
        <v>34.080658553773901</v>
      </c>
      <c r="F329" s="116">
        <v>347.7</v>
      </c>
      <c r="G329">
        <v>1210948</v>
      </c>
      <c r="H329" s="116"/>
      <c r="I329" s="116"/>
      <c r="L329" s="170">
        <v>42488</v>
      </c>
      <c r="M329" s="116">
        <v>33.117139599949297</v>
      </c>
      <c r="N329" s="116">
        <v>34.489080941259097</v>
      </c>
      <c r="O329" s="116">
        <v>32.9789927287758</v>
      </c>
      <c r="P329" s="116">
        <v>34.012712419971002</v>
      </c>
      <c r="Q329" s="116">
        <v>347.6</v>
      </c>
      <c r="R329">
        <v>10079174</v>
      </c>
    </row>
    <row r="330" spans="1:18" x14ac:dyDescent="0.25">
      <c r="A330" s="170">
        <v>42489</v>
      </c>
      <c r="B330" s="116">
        <v>33.7043135683464</v>
      </c>
      <c r="C330" s="116">
        <v>33.399426491544403</v>
      </c>
      <c r="D330" s="116">
        <v>32.618153357239301</v>
      </c>
      <c r="E330" s="116">
        <v>33.108830996467503</v>
      </c>
      <c r="F330" s="116">
        <v>350.55</v>
      </c>
      <c r="G330">
        <v>1106782</v>
      </c>
      <c r="H330" s="116"/>
      <c r="I330" s="116"/>
      <c r="L330" s="170">
        <v>42489</v>
      </c>
      <c r="M330" s="116">
        <v>33.450597564851002</v>
      </c>
      <c r="N330" s="116">
        <v>33.717363936772301</v>
      </c>
      <c r="O330" s="116">
        <v>32.650298449087003</v>
      </c>
      <c r="P330" s="116">
        <v>33.126666970375098</v>
      </c>
      <c r="Q330" s="116">
        <v>351.1</v>
      </c>
      <c r="R330">
        <v>7804551</v>
      </c>
    </row>
    <row r="331" spans="1:18" x14ac:dyDescent="0.25">
      <c r="A331" s="170">
        <v>42492</v>
      </c>
      <c r="B331" s="116">
        <v>33.4232457944195</v>
      </c>
      <c r="C331" s="116">
        <v>33.042136948417003</v>
      </c>
      <c r="D331" s="116">
        <v>32.808707780240503</v>
      </c>
      <c r="E331" s="116">
        <v>33.347024025219</v>
      </c>
      <c r="F331" s="116">
        <v>346.8</v>
      </c>
      <c r="G331">
        <v>642241</v>
      </c>
      <c r="H331" s="116"/>
      <c r="I331" s="116"/>
      <c r="L331" s="170">
        <v>42492</v>
      </c>
      <c r="M331" s="116">
        <v>33.055211692181899</v>
      </c>
      <c r="N331" s="116">
        <v>33.441070194425201</v>
      </c>
      <c r="O331" s="116">
        <v>32.812263746324902</v>
      </c>
      <c r="P331" s="116">
        <v>33.25052278591</v>
      </c>
      <c r="Q331" s="116">
        <v>346.95</v>
      </c>
      <c r="R331">
        <v>4181306</v>
      </c>
    </row>
    <row r="332" spans="1:18" x14ac:dyDescent="0.25">
      <c r="A332" s="170">
        <v>42493</v>
      </c>
      <c r="B332" s="116">
        <v>33.866284827897402</v>
      </c>
      <c r="C332" s="116">
        <v>33.199344347393101</v>
      </c>
      <c r="D332" s="116">
        <v>33.027845366691899</v>
      </c>
      <c r="E332" s="116">
        <v>33.161233462792801</v>
      </c>
      <c r="F332" s="116">
        <v>348.45</v>
      </c>
      <c r="G332">
        <v>948215</v>
      </c>
      <c r="H332" s="116"/>
      <c r="I332" s="116"/>
      <c r="L332" s="170">
        <v>42493</v>
      </c>
      <c r="M332" s="116">
        <v>33.2409954154842</v>
      </c>
      <c r="N332" s="116">
        <v>33.8840929192232</v>
      </c>
      <c r="O332" s="116">
        <v>33.0599753773948</v>
      </c>
      <c r="P332" s="116">
        <v>33.226704359845598</v>
      </c>
      <c r="Q332" s="116">
        <v>348.9</v>
      </c>
      <c r="R332">
        <v>6374681</v>
      </c>
    </row>
    <row r="333" spans="1:18" x14ac:dyDescent="0.25">
      <c r="A333" s="170">
        <v>42494</v>
      </c>
      <c r="B333" s="116">
        <v>33.127886438767597</v>
      </c>
      <c r="C333" s="116">
        <v>31.341438723130899</v>
      </c>
      <c r="D333" s="116">
        <v>31.208050627030001</v>
      </c>
      <c r="E333" s="116">
        <v>33.127886438767597</v>
      </c>
      <c r="F333" s="116">
        <v>328.95</v>
      </c>
      <c r="G333">
        <v>1385076</v>
      </c>
      <c r="H333" s="116"/>
      <c r="I333" s="116"/>
      <c r="L333" s="170">
        <v>42494</v>
      </c>
      <c r="M333" s="116">
        <v>31.3212302746932</v>
      </c>
      <c r="N333" s="116">
        <v>33.083793803459201</v>
      </c>
      <c r="O333" s="116">
        <v>31.1926107739454</v>
      </c>
      <c r="P333" s="116">
        <v>32.9647016731371</v>
      </c>
      <c r="Q333" s="116">
        <v>328.75</v>
      </c>
      <c r="R333">
        <v>7957557</v>
      </c>
    </row>
    <row r="334" spans="1:18" x14ac:dyDescent="0.25">
      <c r="A334" s="170">
        <v>42495</v>
      </c>
      <c r="B334" s="116">
        <v>31.879754968109399</v>
      </c>
      <c r="C334" s="116">
        <v>31.632034218207799</v>
      </c>
      <c r="D334" s="116">
        <v>30.888871968502901</v>
      </c>
      <c r="E334" s="116">
        <v>31.269980814505399</v>
      </c>
      <c r="F334" s="116">
        <v>332</v>
      </c>
      <c r="G334">
        <v>1163243</v>
      </c>
      <c r="H334" s="116"/>
      <c r="I334" s="116"/>
      <c r="L334" s="170">
        <v>42495</v>
      </c>
      <c r="M334" s="116">
        <v>31.611815072678901</v>
      </c>
      <c r="N334" s="116">
        <v>31.897636185451798</v>
      </c>
      <c r="O334" s="116">
        <v>30.882971235108101</v>
      </c>
      <c r="P334" s="116">
        <v>31.345048700757602</v>
      </c>
      <c r="Q334" s="116">
        <v>331.8</v>
      </c>
      <c r="R334">
        <v>8335949</v>
      </c>
    </row>
    <row r="335" spans="1:18" x14ac:dyDescent="0.25">
      <c r="A335" s="170">
        <v>42496</v>
      </c>
      <c r="B335" s="116">
        <v>31.584395612457499</v>
      </c>
      <c r="C335" s="116">
        <v>31.3890773288812</v>
      </c>
      <c r="D335" s="116">
        <v>30.974621458853498</v>
      </c>
      <c r="E335" s="116">
        <v>31.498646122106901</v>
      </c>
      <c r="F335" s="116">
        <v>329.45</v>
      </c>
      <c r="G335">
        <v>768956</v>
      </c>
      <c r="H335" s="116"/>
      <c r="I335" s="116"/>
      <c r="L335" s="170">
        <v>42496</v>
      </c>
      <c r="M335" s="116">
        <v>31.3736308120349</v>
      </c>
      <c r="N335" s="116">
        <v>31.583232961401599</v>
      </c>
      <c r="O335" s="116">
        <v>30.973481254152802</v>
      </c>
      <c r="P335" s="116">
        <v>31.440322405015198</v>
      </c>
      <c r="Q335" s="116">
        <v>329.3</v>
      </c>
      <c r="R335">
        <v>5362816</v>
      </c>
    </row>
    <row r="336" spans="1:18" x14ac:dyDescent="0.25">
      <c r="A336" s="170">
        <v>42499</v>
      </c>
      <c r="B336" s="116">
        <v>31.908338131559599</v>
      </c>
      <c r="C336" s="116">
        <v>31.3509664442809</v>
      </c>
      <c r="D336" s="116">
        <v>31.208050627030001</v>
      </c>
      <c r="E336" s="116">
        <v>31.527229285557102</v>
      </c>
      <c r="F336" s="116">
        <v>329.05</v>
      </c>
      <c r="G336">
        <v>531405</v>
      </c>
      <c r="H336" s="116"/>
      <c r="I336" s="116"/>
      <c r="L336" s="170">
        <v>42499</v>
      </c>
      <c r="M336" s="116">
        <v>31.316466589480299</v>
      </c>
      <c r="N336" s="116">
        <v>31.9119272410904</v>
      </c>
      <c r="O336" s="116">
        <v>31.173556033093799</v>
      </c>
      <c r="P336" s="116">
        <v>31.440322405015198</v>
      </c>
      <c r="Q336" s="116">
        <v>328.7</v>
      </c>
      <c r="R336">
        <v>4658395</v>
      </c>
    </row>
    <row r="337" spans="1:18" x14ac:dyDescent="0.25">
      <c r="A337" s="170">
        <v>42500</v>
      </c>
      <c r="B337" s="116">
        <v>32.108420275710898</v>
      </c>
      <c r="C337" s="116">
        <v>31.246161511630199</v>
      </c>
      <c r="D337" s="116">
        <v>31.017496204028699</v>
      </c>
      <c r="E337" s="116">
        <v>31.536757006707099</v>
      </c>
      <c r="F337" s="116">
        <v>327.95</v>
      </c>
      <c r="G337">
        <v>1219960</v>
      </c>
      <c r="H337" s="116"/>
      <c r="I337" s="116"/>
      <c r="L337" s="170">
        <v>42500</v>
      </c>
      <c r="M337" s="116">
        <v>31.254538681712798</v>
      </c>
      <c r="N337" s="116">
        <v>32.131056760882899</v>
      </c>
      <c r="O337" s="116">
        <v>30.978244939365698</v>
      </c>
      <c r="P337" s="116">
        <v>31.526068738847002</v>
      </c>
      <c r="Q337" s="116">
        <v>328.05</v>
      </c>
      <c r="R337">
        <v>10750089</v>
      </c>
    </row>
    <row r="338" spans="1:18" x14ac:dyDescent="0.25">
      <c r="A338" s="170">
        <v>42501</v>
      </c>
      <c r="B338" s="116">
        <v>31.6415619393578</v>
      </c>
      <c r="C338" s="116">
        <v>31.3462025837059</v>
      </c>
      <c r="D338" s="116">
        <v>30.488707680200299</v>
      </c>
      <c r="E338" s="116">
        <v>30.574457170550801</v>
      </c>
      <c r="F338" s="116">
        <v>329</v>
      </c>
      <c r="G338">
        <v>708767</v>
      </c>
      <c r="H338" s="116"/>
      <c r="I338" s="116"/>
      <c r="L338" s="170">
        <v>42501</v>
      </c>
      <c r="M338" s="116">
        <v>31.4212676641637</v>
      </c>
      <c r="N338" s="116">
        <v>31.630869813530399</v>
      </c>
      <c r="O338" s="116">
        <v>30.40660271382</v>
      </c>
      <c r="P338" s="116">
        <v>30.478057992013198</v>
      </c>
      <c r="Q338" s="116">
        <v>329.8</v>
      </c>
      <c r="R338">
        <v>5687705</v>
      </c>
    </row>
    <row r="339" spans="1:18" x14ac:dyDescent="0.25">
      <c r="A339" s="170">
        <v>42502</v>
      </c>
      <c r="B339" s="116">
        <v>31.632034218207799</v>
      </c>
      <c r="C339" s="116">
        <v>31.517701564407002</v>
      </c>
      <c r="D339" s="116">
        <v>31.165175881854701</v>
      </c>
      <c r="E339" s="116">
        <v>31.446243655781601</v>
      </c>
      <c r="F339" s="116">
        <v>330.8</v>
      </c>
      <c r="G339">
        <v>548562</v>
      </c>
      <c r="H339" s="116"/>
      <c r="I339" s="116"/>
      <c r="L339" s="170">
        <v>42502</v>
      </c>
      <c r="M339" s="116">
        <v>31.497486627569799</v>
      </c>
      <c r="N339" s="116">
        <v>31.649924554382</v>
      </c>
      <c r="O339" s="116">
        <v>31.116391810539302</v>
      </c>
      <c r="P339" s="116">
        <v>31.559414535337201</v>
      </c>
      <c r="Q339" s="116">
        <v>330.6</v>
      </c>
      <c r="R339">
        <v>4706634</v>
      </c>
    </row>
    <row r="340" spans="1:18" x14ac:dyDescent="0.25">
      <c r="A340" s="170">
        <v>42503</v>
      </c>
      <c r="B340" s="116">
        <v>31.365258026006</v>
      </c>
      <c r="C340" s="116">
        <v>30.7745393147021</v>
      </c>
      <c r="D340" s="116">
        <v>30.617331915726101</v>
      </c>
      <c r="E340" s="116">
        <v>31.160412021279701</v>
      </c>
      <c r="F340" s="116">
        <v>323</v>
      </c>
      <c r="G340">
        <v>755588</v>
      </c>
      <c r="H340" s="116"/>
      <c r="I340" s="116"/>
      <c r="L340" s="170">
        <v>42503</v>
      </c>
      <c r="M340" s="116">
        <v>30.740060678721701</v>
      </c>
      <c r="N340" s="116">
        <v>31.378394497247701</v>
      </c>
      <c r="O340" s="116">
        <v>30.601913807548101</v>
      </c>
      <c r="P340" s="116">
        <v>31.154501292242301</v>
      </c>
      <c r="Q340" s="116">
        <v>322.64999999999998</v>
      </c>
      <c r="R340">
        <v>5602557</v>
      </c>
    </row>
    <row r="341" spans="1:18" x14ac:dyDescent="0.25">
      <c r="A341" s="170">
        <v>42506</v>
      </c>
      <c r="B341" s="116">
        <v>31.184231324154801</v>
      </c>
      <c r="C341" s="116">
        <v>31.0937179732292</v>
      </c>
      <c r="D341" s="116">
        <v>30.4696522379001</v>
      </c>
      <c r="E341" s="116">
        <v>30.707845266651699</v>
      </c>
      <c r="F341" s="116">
        <v>326.35000000000002</v>
      </c>
      <c r="G341">
        <v>541196</v>
      </c>
      <c r="H341" s="116"/>
      <c r="I341" s="116"/>
      <c r="L341" s="170">
        <v>42506</v>
      </c>
      <c r="M341" s="116">
        <v>31.097337069687701</v>
      </c>
      <c r="N341" s="116">
        <v>31.1783197183067</v>
      </c>
      <c r="O341" s="116">
        <v>30.430421139884398</v>
      </c>
      <c r="P341" s="116">
        <v>30.7781701604247</v>
      </c>
      <c r="Q341" s="116">
        <v>326.39999999999998</v>
      </c>
      <c r="R341">
        <v>3930807</v>
      </c>
    </row>
    <row r="342" spans="1:18" x14ac:dyDescent="0.25">
      <c r="A342" s="170">
        <v>42507</v>
      </c>
      <c r="B342" s="116">
        <v>31.560576309582299</v>
      </c>
      <c r="C342" s="116">
        <v>31.150884300129601</v>
      </c>
      <c r="D342" s="116">
        <v>30.950802155978302</v>
      </c>
      <c r="E342" s="116">
        <v>31.250925372205302</v>
      </c>
      <c r="F342" s="116">
        <v>326.95</v>
      </c>
      <c r="G342">
        <v>661881</v>
      </c>
      <c r="H342" s="116"/>
      <c r="I342" s="116"/>
      <c r="L342" s="170">
        <v>42507</v>
      </c>
      <c r="M342" s="116">
        <v>31.168792347880999</v>
      </c>
      <c r="N342" s="116">
        <v>31.5498871649114</v>
      </c>
      <c r="O342" s="116">
        <v>30.9067896611725</v>
      </c>
      <c r="P342" s="116">
        <v>31.325993959906</v>
      </c>
      <c r="Q342" s="116">
        <v>327.14999999999998</v>
      </c>
      <c r="R342">
        <v>4879761</v>
      </c>
    </row>
    <row r="343" spans="1:18" x14ac:dyDescent="0.25">
      <c r="A343" s="170">
        <v>42508</v>
      </c>
      <c r="B343" s="116">
        <v>31.441479795206501</v>
      </c>
      <c r="C343" s="116">
        <v>31.3366748625558</v>
      </c>
      <c r="D343" s="116">
        <v>30.8126501993024</v>
      </c>
      <c r="E343" s="116">
        <v>31.1080095549543</v>
      </c>
      <c r="F343" s="116">
        <v>328.9</v>
      </c>
      <c r="G343">
        <v>661880</v>
      </c>
      <c r="H343" s="116"/>
      <c r="I343" s="116"/>
      <c r="L343" s="170">
        <v>42508</v>
      </c>
      <c r="M343" s="116">
        <v>31.349812385970399</v>
      </c>
      <c r="N343" s="116">
        <v>31.4593771458667</v>
      </c>
      <c r="O343" s="116">
        <v>30.787697530850501</v>
      </c>
      <c r="P343" s="116">
        <v>31.030645476707399</v>
      </c>
      <c r="Q343" s="116">
        <v>329.05</v>
      </c>
      <c r="R343">
        <v>3759529</v>
      </c>
    </row>
    <row r="344" spans="1:18" x14ac:dyDescent="0.25">
      <c r="A344" s="170">
        <v>42509</v>
      </c>
      <c r="B344" s="116">
        <v>32.132239578586102</v>
      </c>
      <c r="C344" s="116">
        <v>31.0698986703541</v>
      </c>
      <c r="D344" s="116">
        <v>30.917455131953101</v>
      </c>
      <c r="E344" s="116">
        <v>31.241397651055198</v>
      </c>
      <c r="F344" s="116">
        <v>326.10000000000002</v>
      </c>
      <c r="G344">
        <v>889660</v>
      </c>
      <c r="H344" s="116"/>
      <c r="I344" s="116"/>
      <c r="L344" s="170">
        <v>42509</v>
      </c>
      <c r="M344" s="116">
        <v>31.083046014049099</v>
      </c>
      <c r="N344" s="116">
        <v>32.1453478165216</v>
      </c>
      <c r="O344" s="116">
        <v>30.9639538837271</v>
      </c>
      <c r="P344" s="116">
        <v>31.106864440113501</v>
      </c>
      <c r="Q344" s="116">
        <v>326.25</v>
      </c>
      <c r="R344">
        <v>6510727</v>
      </c>
    </row>
    <row r="345" spans="1:18" x14ac:dyDescent="0.25">
      <c r="A345" s="170">
        <v>42510</v>
      </c>
      <c r="B345" s="116">
        <v>31.184231324154801</v>
      </c>
      <c r="C345" s="116">
        <v>30.765011593552099</v>
      </c>
      <c r="D345" s="116">
        <v>30.607804194576001</v>
      </c>
      <c r="E345" s="116">
        <v>31.146120439554601</v>
      </c>
      <c r="F345" s="116">
        <v>322.89999999999998</v>
      </c>
      <c r="G345">
        <v>537028</v>
      </c>
      <c r="H345" s="116"/>
      <c r="I345" s="116"/>
      <c r="L345" s="170">
        <v>42510</v>
      </c>
      <c r="M345" s="116">
        <v>30.740060678721701</v>
      </c>
      <c r="N345" s="116">
        <v>31.164028662668098</v>
      </c>
      <c r="O345" s="116">
        <v>30.5923864371224</v>
      </c>
      <c r="P345" s="116">
        <v>31.078282328836199</v>
      </c>
      <c r="Q345" s="116">
        <v>322.64999999999998</v>
      </c>
      <c r="R345">
        <v>4611092</v>
      </c>
    </row>
    <row r="346" spans="1:18" x14ac:dyDescent="0.25">
      <c r="A346" s="170">
        <v>42513</v>
      </c>
      <c r="B346" s="116">
        <v>31.022260064603799</v>
      </c>
      <c r="C346" s="116">
        <v>29.878933526596299</v>
      </c>
      <c r="D346" s="116">
        <v>29.783656315095602</v>
      </c>
      <c r="E346" s="116">
        <v>30.869816526202801</v>
      </c>
      <c r="F346" s="116">
        <v>313.60000000000002</v>
      </c>
      <c r="G346">
        <v>885866</v>
      </c>
      <c r="H346" s="116"/>
      <c r="I346" s="116"/>
      <c r="L346" s="170">
        <v>42513</v>
      </c>
      <c r="M346" s="116">
        <v>29.873069969977301</v>
      </c>
      <c r="N346" s="116">
        <v>31.035409161920299</v>
      </c>
      <c r="O346" s="116">
        <v>29.773032580506801</v>
      </c>
      <c r="P346" s="116">
        <v>30.935371772449798</v>
      </c>
      <c r="Q346" s="116">
        <v>313.55</v>
      </c>
      <c r="R346">
        <v>6397200</v>
      </c>
    </row>
    <row r="347" spans="1:18" x14ac:dyDescent="0.25">
      <c r="A347" s="170">
        <v>42514</v>
      </c>
      <c r="B347" s="116">
        <v>30.345791862949302</v>
      </c>
      <c r="C347" s="116">
        <v>30.2600423725988</v>
      </c>
      <c r="D347" s="116">
        <v>29.6502682189948</v>
      </c>
      <c r="E347" s="116">
        <v>29.878933526596299</v>
      </c>
      <c r="F347" s="116">
        <v>317.60000000000002</v>
      </c>
      <c r="G347">
        <v>734492</v>
      </c>
      <c r="H347" s="116"/>
      <c r="I347" s="116"/>
      <c r="L347" s="170">
        <v>42514</v>
      </c>
      <c r="M347" s="116">
        <v>30.2684558426464</v>
      </c>
      <c r="N347" s="116">
        <v>30.339911120839702</v>
      </c>
      <c r="O347" s="116">
        <v>29.653940450184798</v>
      </c>
      <c r="P347" s="116">
        <v>29.863542599551501</v>
      </c>
      <c r="Q347" s="116">
        <v>317.7</v>
      </c>
      <c r="R347">
        <v>5022884</v>
      </c>
    </row>
    <row r="348" spans="1:18" x14ac:dyDescent="0.25">
      <c r="A348" s="170">
        <v>42515</v>
      </c>
      <c r="B348" s="116">
        <v>31.0794263915041</v>
      </c>
      <c r="C348" s="116">
        <v>30.903163550228001</v>
      </c>
      <c r="D348" s="116">
        <v>30.302917117774001</v>
      </c>
      <c r="E348" s="116">
        <v>30.488707680200299</v>
      </c>
      <c r="F348" s="116">
        <v>324.35000000000002</v>
      </c>
      <c r="G348">
        <v>766920</v>
      </c>
      <c r="H348" s="116"/>
      <c r="I348" s="116"/>
      <c r="L348" s="170">
        <v>42515</v>
      </c>
      <c r="M348" s="116">
        <v>30.925844402024001</v>
      </c>
      <c r="N348" s="116">
        <v>31.106864440113501</v>
      </c>
      <c r="O348" s="116">
        <v>30.3113290095624</v>
      </c>
      <c r="P348" s="116">
        <v>30.487585362438999</v>
      </c>
      <c r="Q348" s="116">
        <v>324.60000000000002</v>
      </c>
      <c r="R348">
        <v>5523886</v>
      </c>
    </row>
    <row r="349" spans="1:18" x14ac:dyDescent="0.25">
      <c r="A349" s="170">
        <v>42516</v>
      </c>
      <c r="B349" s="116">
        <v>31.3700218865811</v>
      </c>
      <c r="C349" s="116">
        <v>30.965093737703398</v>
      </c>
      <c r="D349" s="116">
        <v>30.5363462859506</v>
      </c>
      <c r="E349" s="116">
        <v>30.688789824351598</v>
      </c>
      <c r="F349" s="116">
        <v>325</v>
      </c>
      <c r="G349">
        <v>1341136</v>
      </c>
      <c r="H349" s="116"/>
      <c r="I349" s="116"/>
      <c r="L349" s="170">
        <v>42516</v>
      </c>
      <c r="M349" s="116">
        <v>30.983008624578598</v>
      </c>
      <c r="N349" s="116">
        <v>31.378394497247701</v>
      </c>
      <c r="O349" s="116">
        <v>30.487585362438999</v>
      </c>
      <c r="P349" s="116">
        <v>30.487585362438999</v>
      </c>
      <c r="Q349" s="116">
        <v>325.2</v>
      </c>
      <c r="R349">
        <v>12892426</v>
      </c>
    </row>
    <row r="350" spans="1:18" x14ac:dyDescent="0.25">
      <c r="A350" s="170">
        <v>42517</v>
      </c>
      <c r="B350" s="116">
        <v>31.565340170157299</v>
      </c>
      <c r="C350" s="116">
        <v>31.3462025837059</v>
      </c>
      <c r="D350" s="116">
        <v>30.946038295403302</v>
      </c>
      <c r="E350" s="116">
        <v>31.022260064603799</v>
      </c>
      <c r="F350" s="116">
        <v>329</v>
      </c>
      <c r="G350">
        <v>746087</v>
      </c>
      <c r="H350" s="116"/>
      <c r="I350" s="116"/>
      <c r="L350" s="170">
        <v>42517</v>
      </c>
      <c r="M350" s="116">
        <v>31.402212923312099</v>
      </c>
      <c r="N350" s="116">
        <v>31.630869813530399</v>
      </c>
      <c r="O350" s="116">
        <v>30.921080716811101</v>
      </c>
      <c r="P350" s="116">
        <v>31.059227587984701</v>
      </c>
      <c r="Q350" s="116">
        <v>329.6</v>
      </c>
      <c r="R350">
        <v>4404479</v>
      </c>
    </row>
    <row r="351" spans="1:18" x14ac:dyDescent="0.25">
      <c r="A351" s="170">
        <v>42520</v>
      </c>
      <c r="B351" s="116">
        <v>31.855935665234199</v>
      </c>
      <c r="C351" s="116">
        <v>30.7840670358522</v>
      </c>
      <c r="D351" s="116">
        <v>30.712609127226699</v>
      </c>
      <c r="E351" s="116">
        <v>31.541520867282198</v>
      </c>
      <c r="F351" s="116">
        <v>323.10000000000002</v>
      </c>
      <c r="G351">
        <v>934068</v>
      </c>
      <c r="H351" s="116"/>
      <c r="I351" s="116"/>
      <c r="L351" s="170">
        <v>42520</v>
      </c>
      <c r="M351" s="116">
        <v>30.711478567444399</v>
      </c>
      <c r="N351" s="116">
        <v>31.878581444600201</v>
      </c>
      <c r="O351" s="116">
        <v>30.625732233612499</v>
      </c>
      <c r="P351" s="116">
        <v>31.635633498743299</v>
      </c>
      <c r="Q351" s="116">
        <v>322.35000000000002</v>
      </c>
      <c r="R351">
        <v>6618099</v>
      </c>
    </row>
    <row r="352" spans="1:18" x14ac:dyDescent="0.25">
      <c r="A352" s="170">
        <v>42521</v>
      </c>
      <c r="B352" s="116">
        <v>32.156058881461199</v>
      </c>
      <c r="C352" s="116">
        <v>31.865463386384299</v>
      </c>
      <c r="D352" s="116">
        <v>30.5315824253755</v>
      </c>
      <c r="E352" s="116">
        <v>30.936510574253202</v>
      </c>
      <c r="F352" s="116">
        <v>334.45</v>
      </c>
      <c r="G352">
        <v>1355167</v>
      </c>
      <c r="H352" s="116"/>
      <c r="I352" s="116"/>
      <c r="L352" s="170">
        <v>42521</v>
      </c>
      <c r="M352" s="116">
        <v>31.854763018535799</v>
      </c>
      <c r="N352" s="116">
        <v>32.154875186947301</v>
      </c>
      <c r="O352" s="116">
        <v>30.511403788503401</v>
      </c>
      <c r="P352" s="116">
        <v>30.9163170315983</v>
      </c>
      <c r="Q352" s="116">
        <v>334.35</v>
      </c>
      <c r="R352">
        <v>10042011</v>
      </c>
    </row>
    <row r="353" spans="1:18" x14ac:dyDescent="0.25">
      <c r="A353" s="170">
        <v>42522</v>
      </c>
      <c r="B353" s="116">
        <v>32.337085583312401</v>
      </c>
      <c r="C353" s="116">
        <v>31.6463257999329</v>
      </c>
      <c r="D353" s="116">
        <v>31.4319520740565</v>
      </c>
      <c r="E353" s="116">
        <v>31.96550445846</v>
      </c>
      <c r="F353" s="116">
        <v>332.15</v>
      </c>
      <c r="G353">
        <v>946146</v>
      </c>
      <c r="H353" s="116"/>
      <c r="I353" s="116"/>
      <c r="L353" s="170">
        <v>42522</v>
      </c>
      <c r="M353" s="116">
        <v>31.6451608691691</v>
      </c>
      <c r="N353" s="116">
        <v>32.354949965888402</v>
      </c>
      <c r="O353" s="116">
        <v>31.383158182460601</v>
      </c>
      <c r="P353" s="116">
        <v>32.002437260135203</v>
      </c>
      <c r="Q353" s="116">
        <v>332.15</v>
      </c>
      <c r="R353">
        <v>6483031</v>
      </c>
    </row>
    <row r="354" spans="1:18" x14ac:dyDescent="0.25">
      <c r="A354" s="170">
        <v>42523</v>
      </c>
      <c r="B354" s="116">
        <v>32.584806333213997</v>
      </c>
      <c r="C354" s="116">
        <v>32.456182097688199</v>
      </c>
      <c r="D354" s="116">
        <v>31.536757006707099</v>
      </c>
      <c r="E354" s="116">
        <v>31.632034218207799</v>
      </c>
      <c r="F354" s="116">
        <v>340.65</v>
      </c>
      <c r="G354">
        <v>914749</v>
      </c>
      <c r="H354" s="116"/>
      <c r="I354" s="116"/>
      <c r="L354" s="170">
        <v>42523</v>
      </c>
      <c r="M354" s="116">
        <v>32.454987355358902</v>
      </c>
      <c r="N354" s="116">
        <v>32.574079485680898</v>
      </c>
      <c r="O354" s="116">
        <v>31.473668201505401</v>
      </c>
      <c r="P354" s="116">
        <v>31.630869813530399</v>
      </c>
      <c r="Q354" s="116">
        <v>340.65</v>
      </c>
      <c r="R354">
        <v>5572983</v>
      </c>
    </row>
    <row r="355" spans="1:18" x14ac:dyDescent="0.25">
      <c r="A355" s="170">
        <v>42524</v>
      </c>
      <c r="B355" s="116">
        <v>33.180288905092901</v>
      </c>
      <c r="C355" s="116">
        <v>32.265627674686897</v>
      </c>
      <c r="D355" s="116">
        <v>32.065545530535601</v>
      </c>
      <c r="E355" s="116">
        <v>32.608625636089201</v>
      </c>
      <c r="F355" s="116">
        <v>338.65</v>
      </c>
      <c r="G355">
        <v>969721</v>
      </c>
      <c r="H355" s="116"/>
      <c r="I355" s="116"/>
      <c r="L355" s="170">
        <v>42524</v>
      </c>
      <c r="M355" s="116">
        <v>32.254912576417901</v>
      </c>
      <c r="N355" s="116">
        <v>33.183831192929702</v>
      </c>
      <c r="O355" s="116">
        <v>32.050074112263999</v>
      </c>
      <c r="P355" s="116">
        <v>32.774154264621899</v>
      </c>
      <c r="Q355" s="116">
        <v>338.55</v>
      </c>
      <c r="R355">
        <v>8832388</v>
      </c>
    </row>
    <row r="356" spans="1:18" x14ac:dyDescent="0.25">
      <c r="A356" s="170">
        <v>42527</v>
      </c>
      <c r="B356" s="116">
        <v>32.451418237113202</v>
      </c>
      <c r="C356" s="116">
        <v>32.175114323761299</v>
      </c>
      <c r="D356" s="116">
        <v>31.6558535210829</v>
      </c>
      <c r="E356" s="116">
        <v>32.013143064210297</v>
      </c>
      <c r="F356" s="116">
        <v>337.7</v>
      </c>
      <c r="G356">
        <v>680474</v>
      </c>
      <c r="H356" s="116"/>
      <c r="I356" s="116"/>
      <c r="L356" s="170">
        <v>42527</v>
      </c>
      <c r="M356" s="116">
        <v>32.188220983437503</v>
      </c>
      <c r="N356" s="116">
        <v>32.459751040571703</v>
      </c>
      <c r="O356" s="116">
        <v>31.6451608691691</v>
      </c>
      <c r="P356" s="116">
        <v>31.9166909263033</v>
      </c>
      <c r="Q356" s="116">
        <v>337.85</v>
      </c>
      <c r="R356">
        <v>4969784</v>
      </c>
    </row>
    <row r="357" spans="1:18" x14ac:dyDescent="0.25">
      <c r="A357" s="170">
        <v>42528</v>
      </c>
      <c r="B357" s="116">
        <v>32.846818664840796</v>
      </c>
      <c r="C357" s="116">
        <v>32.665791962989601</v>
      </c>
      <c r="D357" s="116">
        <v>32.108420275710898</v>
      </c>
      <c r="E357" s="116">
        <v>32.184642044911399</v>
      </c>
      <c r="F357" s="116">
        <v>342.85</v>
      </c>
      <c r="G357">
        <v>579612</v>
      </c>
      <c r="H357" s="116"/>
      <c r="I357" s="116"/>
      <c r="L357" s="170">
        <v>42528</v>
      </c>
      <c r="M357" s="116">
        <v>32.640771078661203</v>
      </c>
      <c r="N357" s="116">
        <v>32.759863208983198</v>
      </c>
      <c r="O357" s="116">
        <v>32.112002020031397</v>
      </c>
      <c r="P357" s="116">
        <v>32.350186280675501</v>
      </c>
      <c r="Q357" s="116">
        <v>342.6</v>
      </c>
      <c r="R357">
        <v>3898620</v>
      </c>
    </row>
    <row r="358" spans="1:18" x14ac:dyDescent="0.25">
      <c r="A358" s="170">
        <v>42529</v>
      </c>
      <c r="B358" s="116">
        <v>32.984970621516702</v>
      </c>
      <c r="C358" s="116">
        <v>32.537167727463697</v>
      </c>
      <c r="D358" s="116">
        <v>32.2418083718118</v>
      </c>
      <c r="E358" s="116">
        <v>32.608625636089201</v>
      </c>
      <c r="F358" s="116">
        <v>341.5</v>
      </c>
      <c r="G358">
        <v>703502</v>
      </c>
      <c r="H358" s="116"/>
      <c r="I358" s="116"/>
      <c r="L358" s="170">
        <v>42529</v>
      </c>
      <c r="M358" s="116">
        <v>32.535970003977802</v>
      </c>
      <c r="N358" s="116">
        <v>33.007574840053103</v>
      </c>
      <c r="O358" s="116">
        <v>32.250148891205001</v>
      </c>
      <c r="P358" s="116">
        <v>32.7026989864287</v>
      </c>
      <c r="Q358" s="116">
        <v>341.5</v>
      </c>
      <c r="R358">
        <v>4466650</v>
      </c>
    </row>
    <row r="359" spans="1:18" x14ac:dyDescent="0.25">
      <c r="A359" s="170">
        <v>42530</v>
      </c>
      <c r="B359" s="116">
        <v>33.004026063816802</v>
      </c>
      <c r="C359" s="116">
        <v>32.5895701937891</v>
      </c>
      <c r="D359" s="116">
        <v>32.432362794813002</v>
      </c>
      <c r="E359" s="116">
        <v>32.584806333213997</v>
      </c>
      <c r="F359" s="116">
        <v>342.05</v>
      </c>
      <c r="G359">
        <v>614999</v>
      </c>
      <c r="H359" s="116"/>
      <c r="I359" s="116"/>
      <c r="L359" s="170">
        <v>42530</v>
      </c>
      <c r="M359" s="116">
        <v>32.588370541319499</v>
      </c>
      <c r="N359" s="116">
        <v>33.031393266117497</v>
      </c>
      <c r="O359" s="116">
        <v>32.393059447591398</v>
      </c>
      <c r="P359" s="116">
        <v>32.393059447591398</v>
      </c>
      <c r="Q359" s="116">
        <v>342.05</v>
      </c>
      <c r="R359">
        <v>5935910</v>
      </c>
    </row>
    <row r="360" spans="1:18" x14ac:dyDescent="0.25">
      <c r="A360" s="170">
        <v>42531</v>
      </c>
      <c r="B360" s="116">
        <v>32.8229993619656</v>
      </c>
      <c r="C360" s="116">
        <v>31.9131019921346</v>
      </c>
      <c r="D360" s="116">
        <v>31.813060920059002</v>
      </c>
      <c r="E360" s="116">
        <v>32.5895701937891</v>
      </c>
      <c r="F360" s="116">
        <v>334.95</v>
      </c>
      <c r="G360">
        <v>778124</v>
      </c>
      <c r="H360" s="116"/>
      <c r="I360" s="116"/>
      <c r="L360" s="170">
        <v>42531</v>
      </c>
      <c r="M360" s="116">
        <v>31.859526703748699</v>
      </c>
      <c r="N360" s="116">
        <v>32.821791116750703</v>
      </c>
      <c r="O360" s="116">
        <v>31.773780369916899</v>
      </c>
      <c r="P360" s="116">
        <v>32.583606856106599</v>
      </c>
      <c r="Q360" s="116">
        <v>334.4</v>
      </c>
      <c r="R360">
        <v>5506426</v>
      </c>
    </row>
    <row r="361" spans="1:18" x14ac:dyDescent="0.25">
      <c r="A361" s="170">
        <v>42534</v>
      </c>
      <c r="B361" s="116">
        <v>31.441479795206501</v>
      </c>
      <c r="C361" s="116">
        <v>30.850761083902601</v>
      </c>
      <c r="D361" s="116">
        <v>30.650678939751302</v>
      </c>
      <c r="E361" s="116">
        <v>31.3938411894562</v>
      </c>
      <c r="F361" s="116">
        <v>323.8</v>
      </c>
      <c r="G361">
        <v>634841</v>
      </c>
      <c r="H361" s="116"/>
      <c r="I361" s="116"/>
      <c r="L361" s="170">
        <v>42534</v>
      </c>
      <c r="M361" s="116">
        <v>30.782933845637601</v>
      </c>
      <c r="N361" s="116">
        <v>31.435558719802302</v>
      </c>
      <c r="O361" s="116">
        <v>30.582859066696599</v>
      </c>
      <c r="P361" s="116">
        <v>31.2783571077772</v>
      </c>
      <c r="Q361" s="116">
        <v>323.10000000000002</v>
      </c>
      <c r="R361">
        <v>6576686</v>
      </c>
    </row>
    <row r="362" spans="1:18" x14ac:dyDescent="0.25">
      <c r="A362" s="170">
        <v>42535</v>
      </c>
      <c r="B362" s="116">
        <v>31.222342208755101</v>
      </c>
      <c r="C362" s="116">
        <v>30.965093737703398</v>
      </c>
      <c r="D362" s="116">
        <v>30.617331915726101</v>
      </c>
      <c r="E362" s="116">
        <v>31.031787785753799</v>
      </c>
      <c r="F362" s="116">
        <v>325</v>
      </c>
      <c r="G362">
        <v>608781</v>
      </c>
      <c r="H362" s="116"/>
      <c r="I362" s="116"/>
      <c r="L362" s="170">
        <v>42535</v>
      </c>
      <c r="M362" s="116">
        <v>30.9591901985142</v>
      </c>
      <c r="N362" s="116">
        <v>31.197374459158201</v>
      </c>
      <c r="O362" s="116">
        <v>30.611441177973902</v>
      </c>
      <c r="P362" s="116">
        <v>30.9639538837271</v>
      </c>
      <c r="Q362" s="116">
        <v>324.95</v>
      </c>
      <c r="R362">
        <v>4008566</v>
      </c>
    </row>
    <row r="363" spans="1:18" x14ac:dyDescent="0.25">
      <c r="A363" s="170">
        <v>42536</v>
      </c>
      <c r="B363" s="116">
        <v>31.546284727857199</v>
      </c>
      <c r="C363" s="116">
        <v>31.4319520740565</v>
      </c>
      <c r="D363" s="116">
        <v>30.860288805052701</v>
      </c>
      <c r="E363" s="116">
        <v>31.050843228053999</v>
      </c>
      <c r="F363" s="116">
        <v>329.9</v>
      </c>
      <c r="G363">
        <v>599109</v>
      </c>
      <c r="H363" s="116"/>
      <c r="I363" s="116"/>
      <c r="L363" s="170">
        <v>42536</v>
      </c>
      <c r="M363" s="116">
        <v>31.4641408310796</v>
      </c>
      <c r="N363" s="116">
        <v>31.583232961401599</v>
      </c>
      <c r="O363" s="116">
        <v>30.849625438617899</v>
      </c>
      <c r="P363" s="116">
        <v>31.068754958410501</v>
      </c>
      <c r="Q363" s="116">
        <v>330.25</v>
      </c>
      <c r="R363">
        <v>4134184</v>
      </c>
    </row>
    <row r="364" spans="1:18" x14ac:dyDescent="0.25">
      <c r="A364" s="170">
        <v>42537</v>
      </c>
      <c r="B364" s="116">
        <v>31.765422314308601</v>
      </c>
      <c r="C364" s="116">
        <v>31.446243655781601</v>
      </c>
      <c r="D364" s="116">
        <v>30.898399689653001</v>
      </c>
      <c r="E364" s="116">
        <v>31.4319520740565</v>
      </c>
      <c r="F364" s="116">
        <v>330.05</v>
      </c>
      <c r="G364">
        <v>833479</v>
      </c>
      <c r="H364" s="116"/>
      <c r="I364" s="116"/>
      <c r="L364" s="170">
        <v>42537</v>
      </c>
      <c r="M364" s="116">
        <v>31.487959257143999</v>
      </c>
      <c r="N364" s="116">
        <v>31.773780369916899</v>
      </c>
      <c r="O364" s="116">
        <v>30.878207549895201</v>
      </c>
      <c r="P364" s="116">
        <v>31.392685552886402</v>
      </c>
      <c r="Q364" s="116">
        <v>330.5</v>
      </c>
      <c r="R364">
        <v>6490905</v>
      </c>
    </row>
    <row r="365" spans="1:18" x14ac:dyDescent="0.25">
      <c r="A365" s="170">
        <v>42538</v>
      </c>
      <c r="B365" s="116">
        <v>31.7225475691334</v>
      </c>
      <c r="C365" s="116">
        <v>31.012732343453699</v>
      </c>
      <c r="D365" s="116">
        <v>30.888871968502901</v>
      </c>
      <c r="E365" s="116">
        <v>31.6415619393578</v>
      </c>
      <c r="F365" s="116">
        <v>325.5</v>
      </c>
      <c r="G365">
        <v>707379</v>
      </c>
      <c r="H365" s="116"/>
      <c r="I365" s="116"/>
      <c r="L365" s="170">
        <v>42538</v>
      </c>
      <c r="M365" s="116">
        <v>31.006827050643</v>
      </c>
      <c r="N365" s="116">
        <v>31.773780369916899</v>
      </c>
      <c r="O365" s="116">
        <v>30.849625438617899</v>
      </c>
      <c r="P365" s="116">
        <v>31.726143517788</v>
      </c>
      <c r="Q365" s="116">
        <v>325.45</v>
      </c>
      <c r="R365">
        <v>5702881</v>
      </c>
    </row>
    <row r="366" spans="1:18" x14ac:dyDescent="0.25">
      <c r="A366" s="170">
        <v>42541</v>
      </c>
      <c r="B366" s="116">
        <v>32.103656415135902</v>
      </c>
      <c r="C366" s="116">
        <v>32.027434645935401</v>
      </c>
      <c r="D366" s="116">
        <v>30.7459561512519</v>
      </c>
      <c r="E366" s="116">
        <v>30.869816526202801</v>
      </c>
      <c r="F366" s="116">
        <v>336.15</v>
      </c>
      <c r="G366">
        <v>1042051</v>
      </c>
      <c r="H366" s="116"/>
      <c r="I366" s="116"/>
      <c r="L366" s="170">
        <v>42541</v>
      </c>
      <c r="M366" s="116">
        <v>32.035783056625299</v>
      </c>
      <c r="N366" s="116">
        <v>32.102474649605703</v>
      </c>
      <c r="O366" s="116">
        <v>30.754351734360299</v>
      </c>
      <c r="P366" s="116">
        <v>30.9067896611725</v>
      </c>
      <c r="Q366" s="116">
        <v>336.25</v>
      </c>
      <c r="R366">
        <v>6200742</v>
      </c>
    </row>
    <row r="367" spans="1:18" x14ac:dyDescent="0.25">
      <c r="A367" s="170">
        <v>42542</v>
      </c>
      <c r="B367" s="116">
        <v>32.175114323761299</v>
      </c>
      <c r="C367" s="116">
        <v>31.808297059483898</v>
      </c>
      <c r="D367" s="116">
        <v>31.7082559874083</v>
      </c>
      <c r="E367" s="116">
        <v>32.060781669960598</v>
      </c>
      <c r="F367" s="116">
        <v>333.85</v>
      </c>
      <c r="G367">
        <v>501695</v>
      </c>
      <c r="H367" s="116"/>
      <c r="I367" s="116"/>
      <c r="L367" s="170">
        <v>42542</v>
      </c>
      <c r="M367" s="116">
        <v>31.8261809072586</v>
      </c>
      <c r="N367" s="116">
        <v>32.173929927798902</v>
      </c>
      <c r="O367" s="116">
        <v>31.702325091723601</v>
      </c>
      <c r="P367" s="116">
        <v>32.011964630560897</v>
      </c>
      <c r="Q367" s="116">
        <v>334.05</v>
      </c>
      <c r="R367">
        <v>3490952</v>
      </c>
    </row>
    <row r="368" spans="1:18" x14ac:dyDescent="0.25">
      <c r="A368" s="170">
        <v>42543</v>
      </c>
      <c r="B368" s="116">
        <v>31.803533198908902</v>
      </c>
      <c r="C368" s="116">
        <v>31.632034218207799</v>
      </c>
      <c r="D368" s="116">
        <v>31.179467463579801</v>
      </c>
      <c r="E368" s="116">
        <v>31.803533198908902</v>
      </c>
      <c r="F368" s="116">
        <v>332</v>
      </c>
      <c r="G368">
        <v>550949</v>
      </c>
      <c r="H368" s="116"/>
      <c r="I368" s="116"/>
      <c r="L368" s="170">
        <v>42543</v>
      </c>
      <c r="M368" s="116">
        <v>31.673742980446399</v>
      </c>
      <c r="N368" s="116">
        <v>31.821417222045699</v>
      </c>
      <c r="O368" s="116">
        <v>31.159264977455202</v>
      </c>
      <c r="P368" s="116">
        <v>31.821417222045699</v>
      </c>
      <c r="Q368" s="116">
        <v>332.45</v>
      </c>
      <c r="R368">
        <v>4627091</v>
      </c>
    </row>
    <row r="369" spans="1:18" x14ac:dyDescent="0.25">
      <c r="A369" s="170">
        <v>42544</v>
      </c>
      <c r="B369" s="116">
        <v>31.9940876219102</v>
      </c>
      <c r="C369" s="116">
        <v>31.798769338333901</v>
      </c>
      <c r="D369" s="116">
        <v>31.217578348180002</v>
      </c>
      <c r="E369" s="116">
        <v>31.670145102808</v>
      </c>
      <c r="F369" s="116">
        <v>333.75</v>
      </c>
      <c r="G369">
        <v>666921</v>
      </c>
      <c r="H369" s="116"/>
      <c r="I369" s="116"/>
      <c r="L369" s="170">
        <v>42544</v>
      </c>
      <c r="M369" s="116">
        <v>31.816653536832799</v>
      </c>
      <c r="N369" s="116">
        <v>32.007200945348004</v>
      </c>
      <c r="O369" s="116">
        <v>31.211665514796898</v>
      </c>
      <c r="P369" s="116">
        <v>31.583232961401599</v>
      </c>
      <c r="Q369" s="116">
        <v>333.95</v>
      </c>
      <c r="R369">
        <v>4684494</v>
      </c>
    </row>
    <row r="370" spans="1:18" x14ac:dyDescent="0.25">
      <c r="A370" s="170">
        <v>42545</v>
      </c>
      <c r="B370" s="116">
        <v>30.140945858222999</v>
      </c>
      <c r="C370" s="116">
        <v>29.774128593945601</v>
      </c>
      <c r="D370" s="116">
        <v>28.335442700286102</v>
      </c>
      <c r="E370" s="116">
        <v>29.3358534210427</v>
      </c>
      <c r="F370" s="116">
        <v>312.5</v>
      </c>
      <c r="G370">
        <v>2702260</v>
      </c>
      <c r="H370" s="116"/>
      <c r="I370" s="116"/>
      <c r="L370" s="170">
        <v>42545</v>
      </c>
      <c r="M370" s="116">
        <v>29.787323636145398</v>
      </c>
      <c r="N370" s="116">
        <v>30.144600027111501</v>
      </c>
      <c r="O370" s="116">
        <v>28.229598571533302</v>
      </c>
      <c r="P370" s="116">
        <v>29.2585545775156</v>
      </c>
      <c r="Q370" s="116">
        <v>312.64999999999998</v>
      </c>
      <c r="R370">
        <v>14410710</v>
      </c>
    </row>
    <row r="371" spans="1:18" x14ac:dyDescent="0.25">
      <c r="A371" s="170">
        <v>42548</v>
      </c>
      <c r="B371" s="116">
        <v>29.783656315095602</v>
      </c>
      <c r="C371" s="116">
        <v>29.569282589219199</v>
      </c>
      <c r="D371" s="116">
        <v>29.316797978742599</v>
      </c>
      <c r="E371" s="116">
        <v>29.6502682189948</v>
      </c>
      <c r="F371" s="116">
        <v>310.35000000000002</v>
      </c>
      <c r="G371">
        <v>1104258</v>
      </c>
      <c r="H371" s="116"/>
      <c r="I371" s="116"/>
      <c r="L371" s="170">
        <v>42548</v>
      </c>
      <c r="M371" s="116">
        <v>29.5824851719916</v>
      </c>
      <c r="N371" s="116">
        <v>29.777796265719701</v>
      </c>
      <c r="O371" s="116">
        <v>29.296664059218699</v>
      </c>
      <c r="P371" s="116">
        <v>29.511029893798302</v>
      </c>
      <c r="Q371" s="116">
        <v>310.5</v>
      </c>
      <c r="R371">
        <v>6579079</v>
      </c>
    </row>
    <row r="372" spans="1:18" x14ac:dyDescent="0.25">
      <c r="A372" s="170">
        <v>42549</v>
      </c>
      <c r="B372" s="116">
        <v>29.9313359929216</v>
      </c>
      <c r="C372" s="116">
        <v>29.6740875218699</v>
      </c>
      <c r="D372" s="116">
        <v>29.283450954717299</v>
      </c>
      <c r="E372" s="116">
        <v>29.6693236612949</v>
      </c>
      <c r="F372" s="116">
        <v>311.45</v>
      </c>
      <c r="G372">
        <v>851074</v>
      </c>
      <c r="H372" s="116"/>
      <c r="I372" s="116"/>
      <c r="L372" s="170">
        <v>42549</v>
      </c>
      <c r="M372" s="116">
        <v>29.6777588762492</v>
      </c>
      <c r="N372" s="116">
        <v>29.9540526185963</v>
      </c>
      <c r="O372" s="116">
        <v>29.249027207089899</v>
      </c>
      <c r="P372" s="116">
        <v>29.6729951910363</v>
      </c>
      <c r="Q372" s="116">
        <v>311.5</v>
      </c>
      <c r="R372">
        <v>7926086</v>
      </c>
    </row>
    <row r="373" spans="1:18" x14ac:dyDescent="0.25">
      <c r="A373" s="170">
        <v>42550</v>
      </c>
      <c r="B373" s="116">
        <v>30.198112185123399</v>
      </c>
      <c r="C373" s="116">
        <v>29.864641944871199</v>
      </c>
      <c r="D373" s="116">
        <v>29.745545430495401</v>
      </c>
      <c r="E373" s="116">
        <v>29.745545430495401</v>
      </c>
      <c r="F373" s="116">
        <v>313.45</v>
      </c>
      <c r="G373">
        <v>642267</v>
      </c>
      <c r="H373" s="116"/>
      <c r="I373" s="116"/>
      <c r="L373" s="170">
        <v>42550</v>
      </c>
      <c r="M373" s="116">
        <v>29.877833655190202</v>
      </c>
      <c r="N373" s="116">
        <v>30.201764249666098</v>
      </c>
      <c r="O373" s="116">
        <v>29.782559950932601</v>
      </c>
      <c r="P373" s="116">
        <v>29.915943136893201</v>
      </c>
      <c r="Q373" s="116">
        <v>313.60000000000002</v>
      </c>
      <c r="R373">
        <v>5616012</v>
      </c>
    </row>
    <row r="374" spans="1:18" x14ac:dyDescent="0.25">
      <c r="A374" s="170">
        <v>42551</v>
      </c>
      <c r="B374" s="116">
        <v>30.931746713678201</v>
      </c>
      <c r="C374" s="116">
        <v>30.669734382051399</v>
      </c>
      <c r="D374" s="116">
        <v>30.036140925572301</v>
      </c>
      <c r="E374" s="116">
        <v>30.036140925572301</v>
      </c>
      <c r="F374" s="116">
        <v>321.89999999999998</v>
      </c>
      <c r="G374">
        <v>774897</v>
      </c>
      <c r="H374" s="116"/>
      <c r="I374" s="116"/>
      <c r="L374" s="170">
        <v>42551</v>
      </c>
      <c r="M374" s="116">
        <v>30.6733690857413</v>
      </c>
      <c r="N374" s="116">
        <v>30.892498605533898</v>
      </c>
      <c r="O374" s="116">
        <v>30.030271582002399</v>
      </c>
      <c r="P374" s="116">
        <v>30.077908434131199</v>
      </c>
      <c r="Q374" s="116">
        <v>321.95</v>
      </c>
      <c r="R374">
        <v>6392234</v>
      </c>
    </row>
    <row r="375" spans="1:18" x14ac:dyDescent="0.25">
      <c r="A375" s="170">
        <v>42552</v>
      </c>
      <c r="B375" s="116">
        <v>31.493882261531901</v>
      </c>
      <c r="C375" s="116">
        <v>31.188995184729901</v>
      </c>
      <c r="D375" s="116">
        <v>30.969857598278399</v>
      </c>
      <c r="E375" s="116">
        <v>30.969857598278399</v>
      </c>
      <c r="F375" s="116">
        <v>327.35000000000002</v>
      </c>
      <c r="G375">
        <v>554155</v>
      </c>
      <c r="H375" s="116"/>
      <c r="I375" s="116"/>
      <c r="L375" s="170">
        <v>42552</v>
      </c>
      <c r="M375" s="116">
        <v>31.259302366925699</v>
      </c>
      <c r="N375" s="116">
        <v>31.526068738847002</v>
      </c>
      <c r="O375" s="116">
        <v>31.097337069687701</v>
      </c>
      <c r="P375" s="116">
        <v>31.106864440113501</v>
      </c>
      <c r="Q375" s="116">
        <v>328.1</v>
      </c>
      <c r="R375">
        <v>4994251</v>
      </c>
    </row>
    <row r="376" spans="1:18" x14ac:dyDescent="0.25">
      <c r="A376" s="170">
        <v>42555</v>
      </c>
      <c r="B376" s="116">
        <v>31.798769338333901</v>
      </c>
      <c r="C376" s="116">
        <v>31.555812449007298</v>
      </c>
      <c r="D376" s="116">
        <v>31.3462025837059</v>
      </c>
      <c r="E376" s="116">
        <v>31.441479795206501</v>
      </c>
      <c r="F376" s="116">
        <v>331.2</v>
      </c>
      <c r="G376">
        <v>401000</v>
      </c>
      <c r="H376" s="116"/>
      <c r="I376" s="116"/>
      <c r="L376" s="170">
        <v>42555</v>
      </c>
      <c r="M376" s="116">
        <v>31.559414535337201</v>
      </c>
      <c r="N376" s="116">
        <v>31.811889851619899</v>
      </c>
      <c r="O376" s="116">
        <v>31.245011311287101</v>
      </c>
      <c r="P376" s="116">
        <v>31.316466589480299</v>
      </c>
      <c r="Q376" s="116">
        <v>331.25</v>
      </c>
      <c r="R376">
        <v>3232796</v>
      </c>
    </row>
    <row r="377" spans="1:18" x14ac:dyDescent="0.25">
      <c r="A377" s="170">
        <v>42556</v>
      </c>
      <c r="B377" s="116">
        <v>32.117947996860998</v>
      </c>
      <c r="C377" s="116">
        <v>31.832116362359098</v>
      </c>
      <c r="D377" s="116">
        <v>31.441479795206501</v>
      </c>
      <c r="E377" s="116">
        <v>31.6796728239581</v>
      </c>
      <c r="F377" s="116">
        <v>334.1</v>
      </c>
      <c r="G377">
        <v>626735</v>
      </c>
      <c r="H377" s="116"/>
      <c r="I377" s="116"/>
      <c r="L377" s="170">
        <v>42556</v>
      </c>
      <c r="M377" s="116">
        <v>31.788071425555501</v>
      </c>
      <c r="N377" s="116">
        <v>32.1453478165216</v>
      </c>
      <c r="O377" s="116">
        <v>31.4641408310796</v>
      </c>
      <c r="P377" s="116">
        <v>31.678506665659199</v>
      </c>
      <c r="Q377" s="116">
        <v>333.65</v>
      </c>
      <c r="R377">
        <v>3943390</v>
      </c>
    </row>
    <row r="378" spans="1:18" x14ac:dyDescent="0.25">
      <c r="A378" s="170">
        <v>42558</v>
      </c>
      <c r="B378" s="116">
        <v>32.132239578586102</v>
      </c>
      <c r="C378" s="116">
        <v>30.2648062331738</v>
      </c>
      <c r="D378" s="116">
        <v>30.155237439948099</v>
      </c>
      <c r="E378" s="116">
        <v>31.870227246959299</v>
      </c>
      <c r="F378" s="116">
        <v>317.64999999999998</v>
      </c>
      <c r="G378">
        <v>1581783</v>
      </c>
      <c r="H378" s="116"/>
      <c r="I378" s="116"/>
      <c r="L378" s="170">
        <v>42558</v>
      </c>
      <c r="M378" s="116">
        <v>30.2684558426464</v>
      </c>
      <c r="N378" s="116">
        <v>32.131056760882899</v>
      </c>
      <c r="O378" s="116">
        <v>30.1350726566858</v>
      </c>
      <c r="P378" s="116">
        <v>31.840471962897201</v>
      </c>
      <c r="Q378" s="116">
        <v>317.7</v>
      </c>
      <c r="R378">
        <v>10126780</v>
      </c>
    </row>
    <row r="379" spans="1:18" x14ac:dyDescent="0.25">
      <c r="A379" s="170">
        <v>42559</v>
      </c>
      <c r="B379" s="116">
        <v>30.455360656174999</v>
      </c>
      <c r="C379" s="116">
        <v>30.355319584099401</v>
      </c>
      <c r="D379" s="116">
        <v>29.726489988195301</v>
      </c>
      <c r="E379" s="116">
        <v>30.059960228447402</v>
      </c>
      <c r="F379" s="116">
        <v>318.60000000000002</v>
      </c>
      <c r="G379">
        <v>1095026</v>
      </c>
      <c r="H379" s="116"/>
      <c r="I379" s="116"/>
      <c r="L379" s="170">
        <v>42559</v>
      </c>
      <c r="M379" s="116">
        <v>30.330383750413901</v>
      </c>
      <c r="N379" s="116">
        <v>30.430421139884398</v>
      </c>
      <c r="O379" s="116">
        <v>29.734923098803801</v>
      </c>
      <c r="P379" s="116">
        <v>30.006453155938001</v>
      </c>
      <c r="Q379" s="116">
        <v>318.35000000000002</v>
      </c>
      <c r="R379">
        <v>7764479</v>
      </c>
    </row>
    <row r="380" spans="1:18" x14ac:dyDescent="0.25">
      <c r="A380" s="170">
        <v>42562</v>
      </c>
      <c r="B380" s="116">
        <v>31.3938411894562</v>
      </c>
      <c r="C380" s="116">
        <v>31.179467463579801</v>
      </c>
      <c r="D380" s="116">
        <v>30.474416098475199</v>
      </c>
      <c r="E380" s="116">
        <v>30.7745393147021</v>
      </c>
      <c r="F380" s="116">
        <v>327.25</v>
      </c>
      <c r="G380">
        <v>1063803</v>
      </c>
      <c r="H380" s="116"/>
      <c r="I380" s="116"/>
      <c r="L380" s="170">
        <v>42562</v>
      </c>
      <c r="M380" s="116">
        <v>31.154501292242301</v>
      </c>
      <c r="N380" s="116">
        <v>31.4117402937379</v>
      </c>
      <c r="O380" s="116">
        <v>30.4542395659488</v>
      </c>
      <c r="P380" s="116">
        <v>30.9639538837271</v>
      </c>
      <c r="Q380" s="116">
        <v>327</v>
      </c>
      <c r="R380">
        <v>7692459</v>
      </c>
    </row>
    <row r="381" spans="1:18" x14ac:dyDescent="0.25">
      <c r="A381" s="170">
        <v>42563</v>
      </c>
      <c r="B381" s="116">
        <v>32.775360756215299</v>
      </c>
      <c r="C381" s="116">
        <v>32.622917217814297</v>
      </c>
      <c r="D381" s="116">
        <v>31.3366748625558</v>
      </c>
      <c r="E381" s="116">
        <v>31.441479795206501</v>
      </c>
      <c r="F381" s="116">
        <v>342.4</v>
      </c>
      <c r="G381">
        <v>1956442</v>
      </c>
      <c r="H381" s="116"/>
      <c r="I381" s="116"/>
      <c r="L381" s="170">
        <v>42563</v>
      </c>
      <c r="M381" s="116">
        <v>32.612188967383901</v>
      </c>
      <c r="N381" s="116">
        <v>32.759863208983198</v>
      </c>
      <c r="O381" s="116">
        <v>31.345048700757602</v>
      </c>
      <c r="P381" s="116">
        <v>31.435558719802302</v>
      </c>
      <c r="Q381" s="116">
        <v>342.3</v>
      </c>
      <c r="R381">
        <v>9886586</v>
      </c>
    </row>
    <row r="382" spans="1:18" x14ac:dyDescent="0.25">
      <c r="A382" s="170">
        <v>42564</v>
      </c>
      <c r="B382" s="116">
        <v>34.185463486424503</v>
      </c>
      <c r="C382" s="116">
        <v>34.080658553773901</v>
      </c>
      <c r="D382" s="116">
        <v>32.775360756215299</v>
      </c>
      <c r="E382" s="116">
        <v>32.799180059090403</v>
      </c>
      <c r="F382" s="116">
        <v>357.7</v>
      </c>
      <c r="G382">
        <v>2126843</v>
      </c>
      <c r="H382" s="116"/>
      <c r="I382" s="116"/>
      <c r="L382" s="170">
        <v>42564</v>
      </c>
      <c r="M382" s="116">
        <v>34.084167698164201</v>
      </c>
      <c r="N382" s="116">
        <v>34.169914031996001</v>
      </c>
      <c r="O382" s="116">
        <v>32.802736375899201</v>
      </c>
      <c r="P382" s="116">
        <v>32.840845857602197</v>
      </c>
      <c r="Q382" s="116">
        <v>357.75</v>
      </c>
      <c r="R382">
        <v>13345822</v>
      </c>
    </row>
    <row r="383" spans="1:18" x14ac:dyDescent="0.25">
      <c r="A383" s="170">
        <v>42565</v>
      </c>
      <c r="B383" s="116">
        <v>34.433184236326198</v>
      </c>
      <c r="C383" s="116">
        <v>34.223574371024803</v>
      </c>
      <c r="D383" s="116">
        <v>33.670966544321203</v>
      </c>
      <c r="E383" s="116">
        <v>34.013964505723401</v>
      </c>
      <c r="F383" s="116">
        <v>359.2</v>
      </c>
      <c r="G383">
        <v>879047</v>
      </c>
      <c r="H383" s="116"/>
      <c r="I383" s="116"/>
      <c r="L383" s="170">
        <v>42565</v>
      </c>
      <c r="M383" s="116">
        <v>34.231841939763498</v>
      </c>
      <c r="N383" s="116">
        <v>34.427153033491599</v>
      </c>
      <c r="O383" s="116">
        <v>33.664963399430697</v>
      </c>
      <c r="P383" s="116">
        <v>34.184205087634702</v>
      </c>
      <c r="Q383" s="116">
        <v>359.3</v>
      </c>
      <c r="R383">
        <v>7970875</v>
      </c>
    </row>
    <row r="384" spans="1:18" x14ac:dyDescent="0.25">
      <c r="A384" s="170">
        <v>42566</v>
      </c>
      <c r="B384" s="116">
        <v>35.695607288709503</v>
      </c>
      <c r="C384" s="116">
        <v>35.524108308008302</v>
      </c>
      <c r="D384" s="116">
        <v>33.990145202848304</v>
      </c>
      <c r="E384" s="116">
        <v>34.204518928724703</v>
      </c>
      <c r="F384" s="116">
        <v>372.85</v>
      </c>
      <c r="G384">
        <v>1969437</v>
      </c>
      <c r="H384" s="116"/>
      <c r="I384" s="116"/>
      <c r="L384" s="170">
        <v>42566</v>
      </c>
      <c r="M384" s="116">
        <v>35.527564317667199</v>
      </c>
      <c r="N384" s="116">
        <v>35.670474874053603</v>
      </c>
      <c r="O384" s="116">
        <v>33.988893993906601</v>
      </c>
      <c r="P384" s="116">
        <v>34.231841939763498</v>
      </c>
      <c r="Q384" s="116">
        <v>372.9</v>
      </c>
      <c r="R384">
        <v>13431169</v>
      </c>
    </row>
    <row r="385" spans="1:18" x14ac:dyDescent="0.25">
      <c r="A385" s="170">
        <v>42569</v>
      </c>
      <c r="B385" s="116">
        <v>36.133882461612302</v>
      </c>
      <c r="C385" s="116">
        <v>34.833348524628803</v>
      </c>
      <c r="D385" s="116">
        <v>34.618974798752397</v>
      </c>
      <c r="E385" s="116">
        <v>35.633677101234099</v>
      </c>
      <c r="F385" s="116">
        <v>365.6</v>
      </c>
      <c r="G385">
        <v>1107101</v>
      </c>
      <c r="H385" s="116"/>
      <c r="I385" s="116"/>
      <c r="L385" s="170">
        <v>42569</v>
      </c>
      <c r="M385" s="116">
        <v>34.836829961799403</v>
      </c>
      <c r="N385" s="116">
        <v>36.146843395341698</v>
      </c>
      <c r="O385" s="116">
        <v>34.631991497645501</v>
      </c>
      <c r="P385" s="116">
        <v>35.579964855008797</v>
      </c>
      <c r="Q385" s="116">
        <v>365.65</v>
      </c>
      <c r="R385">
        <v>7697416</v>
      </c>
    </row>
    <row r="386" spans="1:18" x14ac:dyDescent="0.25">
      <c r="A386" s="170">
        <v>42570</v>
      </c>
      <c r="B386" s="116">
        <v>35.395484072482503</v>
      </c>
      <c r="C386" s="116">
        <v>35.276387558106698</v>
      </c>
      <c r="D386" s="116">
        <v>34.5189337266767</v>
      </c>
      <c r="E386" s="116">
        <v>34.900042572679197</v>
      </c>
      <c r="F386" s="116">
        <v>370.25</v>
      </c>
      <c r="G386">
        <v>1047668</v>
      </c>
      <c r="H386" s="116"/>
      <c r="I386" s="116"/>
      <c r="L386" s="170">
        <v>42570</v>
      </c>
      <c r="M386" s="116">
        <v>35.275089001384501</v>
      </c>
      <c r="N386" s="116">
        <v>35.408472187345097</v>
      </c>
      <c r="O386" s="116">
        <v>34.522426737749299</v>
      </c>
      <c r="P386" s="116">
        <v>35.055959481591898</v>
      </c>
      <c r="Q386" s="116">
        <v>370.25</v>
      </c>
      <c r="R386">
        <v>8246048</v>
      </c>
    </row>
    <row r="387" spans="1:18" x14ac:dyDescent="0.25">
      <c r="A387" s="170">
        <v>42571</v>
      </c>
      <c r="B387" s="116">
        <v>35.490761283983097</v>
      </c>
      <c r="C387" s="116">
        <v>35.104888577405603</v>
      </c>
      <c r="D387" s="116">
        <v>34.942917317854501</v>
      </c>
      <c r="E387" s="116">
        <v>35.304970721556899</v>
      </c>
      <c r="F387" s="116">
        <v>368.45</v>
      </c>
      <c r="G387">
        <v>703060</v>
      </c>
      <c r="H387" s="116"/>
      <c r="I387" s="116"/>
      <c r="L387" s="170">
        <v>42571</v>
      </c>
      <c r="M387" s="116">
        <v>35.103596333720702</v>
      </c>
      <c r="N387" s="116">
        <v>35.5370916880929</v>
      </c>
      <c r="O387" s="116">
        <v>34.908285239992601</v>
      </c>
      <c r="P387" s="116">
        <v>35.460872724686801</v>
      </c>
      <c r="Q387" s="116">
        <v>368.45</v>
      </c>
      <c r="R387">
        <v>5907217</v>
      </c>
    </row>
    <row r="388" spans="1:18" x14ac:dyDescent="0.25">
      <c r="A388" s="170">
        <v>42572</v>
      </c>
      <c r="B388" s="116">
        <v>35.252568255231601</v>
      </c>
      <c r="C388" s="116">
        <v>34.5189337266767</v>
      </c>
      <c r="D388" s="116">
        <v>34.380781770000802</v>
      </c>
      <c r="E388" s="116">
        <v>35.252568255231601</v>
      </c>
      <c r="F388" s="116">
        <v>362.3</v>
      </c>
      <c r="G388">
        <v>572113</v>
      </c>
      <c r="H388" s="116"/>
      <c r="I388" s="116"/>
      <c r="L388" s="170">
        <v>42572</v>
      </c>
      <c r="M388" s="116">
        <v>34.517663052536399</v>
      </c>
      <c r="N388" s="116">
        <v>35.251270575320099</v>
      </c>
      <c r="O388" s="116">
        <v>34.403334607427198</v>
      </c>
      <c r="P388" s="116">
        <v>35.251270575320099</v>
      </c>
      <c r="Q388" s="116">
        <v>362.3</v>
      </c>
      <c r="R388">
        <v>5343359</v>
      </c>
    </row>
    <row r="389" spans="1:18" x14ac:dyDescent="0.25">
      <c r="A389" s="170">
        <v>42573</v>
      </c>
      <c r="B389" s="116">
        <v>35.133471740855803</v>
      </c>
      <c r="C389" s="116">
        <v>34.804765361178603</v>
      </c>
      <c r="D389" s="116">
        <v>33.9663258999731</v>
      </c>
      <c r="E389" s="116">
        <v>34.418892654601102</v>
      </c>
      <c r="F389" s="116">
        <v>365.3</v>
      </c>
      <c r="G389">
        <v>828449</v>
      </c>
      <c r="H389" s="116"/>
      <c r="I389" s="116"/>
      <c r="L389" s="170">
        <v>42573</v>
      </c>
      <c r="M389" s="116">
        <v>34.817775220947901</v>
      </c>
      <c r="N389" s="116">
        <v>35.146469500636698</v>
      </c>
      <c r="O389" s="116">
        <v>33.960311882629298</v>
      </c>
      <c r="P389" s="116">
        <v>34.517663052536399</v>
      </c>
      <c r="Q389" s="116">
        <v>365.45</v>
      </c>
      <c r="R389">
        <v>7372910</v>
      </c>
    </row>
    <row r="390" spans="1:18" x14ac:dyDescent="0.25">
      <c r="A390" s="170">
        <v>42576</v>
      </c>
      <c r="B390" s="116">
        <v>35.057249971655303</v>
      </c>
      <c r="C390" s="116">
        <v>34.661849543927701</v>
      </c>
      <c r="D390" s="116">
        <v>34.514169866101703</v>
      </c>
      <c r="E390" s="116">
        <v>34.8476401063539</v>
      </c>
      <c r="F390" s="116">
        <v>363.8</v>
      </c>
      <c r="G390">
        <v>578585</v>
      </c>
      <c r="H390" s="116"/>
      <c r="I390" s="116"/>
      <c r="L390" s="170">
        <v>42576</v>
      </c>
      <c r="M390" s="116">
        <v>34.646282553284202</v>
      </c>
      <c r="N390" s="116">
        <v>35.041668425953297</v>
      </c>
      <c r="O390" s="116">
        <v>34.503371996897698</v>
      </c>
      <c r="P390" s="116">
        <v>34.774902054031898</v>
      </c>
      <c r="Q390" s="116">
        <v>363.65</v>
      </c>
      <c r="R390">
        <v>5676435</v>
      </c>
    </row>
    <row r="391" spans="1:18" x14ac:dyDescent="0.25">
      <c r="A391" s="170">
        <v>42577</v>
      </c>
      <c r="B391" s="116">
        <v>35.7003711492845</v>
      </c>
      <c r="C391" s="116">
        <v>35.028666808205102</v>
      </c>
      <c r="D391" s="116">
        <v>34.618974798752397</v>
      </c>
      <c r="E391" s="116">
        <v>34.680904986227802</v>
      </c>
      <c r="F391" s="116">
        <v>367.65</v>
      </c>
      <c r="G391">
        <v>1194833</v>
      </c>
      <c r="H391" s="116"/>
      <c r="I391" s="116"/>
      <c r="L391" s="170">
        <v>42577</v>
      </c>
      <c r="M391" s="116">
        <v>35.041668425953297</v>
      </c>
      <c r="N391" s="116">
        <v>35.7276390966082</v>
      </c>
      <c r="O391" s="116">
        <v>34.589118330729598</v>
      </c>
      <c r="P391" s="116">
        <v>34.670100979348597</v>
      </c>
      <c r="Q391" s="116">
        <v>367.8</v>
      </c>
      <c r="R391">
        <v>7798763</v>
      </c>
    </row>
    <row r="392" spans="1:18" x14ac:dyDescent="0.25">
      <c r="A392" s="170">
        <v>42578</v>
      </c>
      <c r="B392" s="116">
        <v>35.276387558106698</v>
      </c>
      <c r="C392" s="116">
        <v>34.5761000535771</v>
      </c>
      <c r="D392" s="116">
        <v>33.766243755821797</v>
      </c>
      <c r="E392" s="116">
        <v>35.252568255231601</v>
      </c>
      <c r="F392" s="116">
        <v>362.9</v>
      </c>
      <c r="G392">
        <v>1440564</v>
      </c>
      <c r="H392" s="116"/>
      <c r="I392" s="116"/>
      <c r="L392" s="170">
        <v>42578</v>
      </c>
      <c r="M392" s="116">
        <v>34.589118330729598</v>
      </c>
      <c r="N392" s="116">
        <v>35.298907427448903</v>
      </c>
      <c r="O392" s="116">
        <v>33.736418677623902</v>
      </c>
      <c r="P392" s="116">
        <v>35.146469500636698</v>
      </c>
      <c r="Q392" s="116">
        <v>363.05</v>
      </c>
      <c r="R392">
        <v>10359001</v>
      </c>
    </row>
    <row r="393" spans="1:18" x14ac:dyDescent="0.25">
      <c r="A393" s="170">
        <v>42579</v>
      </c>
      <c r="B393" s="116">
        <v>34.261685255624997</v>
      </c>
      <c r="C393" s="116">
        <v>33.3756071886692</v>
      </c>
      <c r="D393" s="116">
        <v>33.237455231993302</v>
      </c>
      <c r="E393" s="116">
        <v>34.190227346999599</v>
      </c>
      <c r="F393" s="116">
        <v>350.3</v>
      </c>
      <c r="G393">
        <v>1198477</v>
      </c>
      <c r="H393" s="116"/>
      <c r="I393" s="116"/>
      <c r="L393" s="170">
        <v>42579</v>
      </c>
      <c r="M393" s="116">
        <v>33.331505434528999</v>
      </c>
      <c r="N393" s="116">
        <v>34.222314569337698</v>
      </c>
      <c r="O393" s="116">
        <v>33.217176989419798</v>
      </c>
      <c r="P393" s="116">
        <v>34.107986124228603</v>
      </c>
      <c r="Q393" s="116">
        <v>349.85</v>
      </c>
      <c r="R393">
        <v>10526709</v>
      </c>
    </row>
    <row r="394" spans="1:18" x14ac:dyDescent="0.25">
      <c r="A394" s="170">
        <v>42580</v>
      </c>
      <c r="B394" s="116">
        <v>34.185463486424503</v>
      </c>
      <c r="C394" s="116">
        <v>33.799590779847001</v>
      </c>
      <c r="D394" s="116">
        <v>33.4423012367197</v>
      </c>
      <c r="E394" s="116">
        <v>33.4423012367197</v>
      </c>
      <c r="F394" s="116">
        <v>354.75</v>
      </c>
      <c r="G394">
        <v>1221438</v>
      </c>
      <c r="H394" s="116"/>
      <c r="I394" s="116"/>
      <c r="L394" s="170">
        <v>42580</v>
      </c>
      <c r="M394" s="116">
        <v>33.826928696668602</v>
      </c>
      <c r="N394" s="116">
        <v>34.203259828486203</v>
      </c>
      <c r="O394" s="116">
        <v>33.445833879638101</v>
      </c>
      <c r="P394" s="116">
        <v>33.445833879638101</v>
      </c>
      <c r="Q394" s="116">
        <v>355.05</v>
      </c>
      <c r="R394">
        <v>8349227</v>
      </c>
    </row>
    <row r="395" spans="1:18" x14ac:dyDescent="0.25">
      <c r="A395" s="170">
        <v>42583</v>
      </c>
      <c r="B395" s="116">
        <v>34.909570293829297</v>
      </c>
      <c r="C395" s="116">
        <v>34.714252010252999</v>
      </c>
      <c r="D395" s="116">
        <v>33.728132871221497</v>
      </c>
      <c r="E395" s="116">
        <v>34.204518928724703</v>
      </c>
      <c r="F395" s="116">
        <v>364.35</v>
      </c>
      <c r="G395">
        <v>1015584</v>
      </c>
      <c r="H395" s="116"/>
      <c r="I395" s="116"/>
      <c r="L395" s="170">
        <v>42583</v>
      </c>
      <c r="M395" s="116">
        <v>34.760610998393297</v>
      </c>
      <c r="N395" s="116">
        <v>34.927339980844103</v>
      </c>
      <c r="O395" s="116">
        <v>33.750709733262497</v>
      </c>
      <c r="P395" s="116">
        <v>33.931729771352003</v>
      </c>
      <c r="Q395" s="116">
        <v>364.85</v>
      </c>
      <c r="R395">
        <v>10082335</v>
      </c>
    </row>
    <row r="396" spans="1:18" x14ac:dyDescent="0.25">
      <c r="A396" s="170">
        <v>42584</v>
      </c>
      <c r="B396" s="116">
        <v>35.252568255231601</v>
      </c>
      <c r="C396" s="116">
        <v>34.480822842076499</v>
      </c>
      <c r="D396" s="116">
        <v>34.309323861375397</v>
      </c>
      <c r="E396" s="116">
        <v>34.871459409228997</v>
      </c>
      <c r="F396" s="116">
        <v>361.9</v>
      </c>
      <c r="G396">
        <v>1084020</v>
      </c>
      <c r="H396" s="116"/>
      <c r="I396" s="116"/>
      <c r="L396" s="170">
        <v>42584</v>
      </c>
      <c r="M396" s="116">
        <v>34.474789885620403</v>
      </c>
      <c r="N396" s="116">
        <v>35.317962168300397</v>
      </c>
      <c r="O396" s="116">
        <v>34.308060903169597</v>
      </c>
      <c r="P396" s="116">
        <v>34.913048925205501</v>
      </c>
      <c r="Q396" s="116">
        <v>361.85</v>
      </c>
      <c r="R396">
        <v>8108008</v>
      </c>
    </row>
    <row r="397" spans="1:18" x14ac:dyDescent="0.25">
      <c r="A397" s="170">
        <v>42585</v>
      </c>
      <c r="B397" s="116">
        <v>34.909570293829297</v>
      </c>
      <c r="C397" s="116">
        <v>34.071130832623801</v>
      </c>
      <c r="D397" s="116">
        <v>33.828173943297202</v>
      </c>
      <c r="E397" s="116">
        <v>34.776182197728403</v>
      </c>
      <c r="F397" s="116">
        <v>357.6</v>
      </c>
      <c r="G397">
        <v>865150</v>
      </c>
      <c r="H397" s="116"/>
      <c r="I397" s="116"/>
      <c r="L397" s="170">
        <v>42585</v>
      </c>
      <c r="M397" s="116">
        <v>34.112749809441503</v>
      </c>
      <c r="N397" s="116">
        <v>34.913048925205501</v>
      </c>
      <c r="O397" s="116">
        <v>33.812637641030001</v>
      </c>
      <c r="P397" s="116">
        <v>34.741556257541802</v>
      </c>
      <c r="Q397" s="116">
        <v>358.05</v>
      </c>
      <c r="R397">
        <v>5746762</v>
      </c>
    </row>
    <row r="398" spans="1:18" x14ac:dyDescent="0.25">
      <c r="A398" s="170">
        <v>42586</v>
      </c>
      <c r="B398" s="116">
        <v>35.776592918485001</v>
      </c>
      <c r="C398" s="116">
        <v>35.638440961809103</v>
      </c>
      <c r="D398" s="116">
        <v>34.037783808598597</v>
      </c>
      <c r="E398" s="116">
        <v>34.504642144951603</v>
      </c>
      <c r="F398" s="116">
        <v>374.05</v>
      </c>
      <c r="G398">
        <v>1552280</v>
      </c>
      <c r="H398" s="116"/>
      <c r="I398" s="116"/>
      <c r="L398" s="170">
        <v>42586</v>
      </c>
      <c r="M398" s="116">
        <v>35.613310651498999</v>
      </c>
      <c r="N398" s="116">
        <v>35.7181117261824</v>
      </c>
      <c r="O398" s="116">
        <v>34.050821901673999</v>
      </c>
      <c r="P398" s="116">
        <v>34.336643014446899</v>
      </c>
      <c r="Q398" s="116">
        <v>373.8</v>
      </c>
      <c r="R398">
        <v>9639368</v>
      </c>
    </row>
    <row r="399" spans="1:18" x14ac:dyDescent="0.25">
      <c r="A399" s="170">
        <v>42587</v>
      </c>
      <c r="B399" s="116">
        <v>36.467352701864499</v>
      </c>
      <c r="C399" s="116">
        <v>36.2910898605884</v>
      </c>
      <c r="D399" s="116">
        <v>35.914744875160899</v>
      </c>
      <c r="E399" s="116">
        <v>36.052896831836797</v>
      </c>
      <c r="F399" s="116">
        <v>380.9</v>
      </c>
      <c r="G399">
        <v>1227749</v>
      </c>
      <c r="H399" s="116"/>
      <c r="I399" s="116"/>
      <c r="L399" s="170">
        <v>42587</v>
      </c>
      <c r="M399" s="116">
        <v>36.365972915134201</v>
      </c>
      <c r="N399" s="116">
        <v>36.489828730669103</v>
      </c>
      <c r="O399" s="116">
        <v>35.870549652994598</v>
      </c>
      <c r="P399" s="116">
        <v>36.013460209381002</v>
      </c>
      <c r="Q399" s="116">
        <v>381.7</v>
      </c>
      <c r="R399">
        <v>9117890</v>
      </c>
    </row>
    <row r="400" spans="1:18" x14ac:dyDescent="0.25">
      <c r="A400" s="170">
        <v>42590</v>
      </c>
      <c r="B400" s="116">
        <v>36.619796240265501</v>
      </c>
      <c r="C400" s="116">
        <v>36.162465625062502</v>
      </c>
      <c r="D400" s="116">
        <v>35.852814687685502</v>
      </c>
      <c r="E400" s="116">
        <v>36.305381442313497</v>
      </c>
      <c r="F400" s="116">
        <v>379.55</v>
      </c>
      <c r="G400">
        <v>864693</v>
      </c>
      <c r="H400" s="116"/>
      <c r="I400" s="116"/>
      <c r="L400" s="170">
        <v>42590</v>
      </c>
      <c r="M400" s="116">
        <v>36.161134450980299</v>
      </c>
      <c r="N400" s="116">
        <v>36.6327392870556</v>
      </c>
      <c r="O400" s="116">
        <v>35.846731226930203</v>
      </c>
      <c r="P400" s="116">
        <v>36.432664508114598</v>
      </c>
      <c r="Q400" s="116">
        <v>379.55</v>
      </c>
      <c r="R400">
        <v>6662412</v>
      </c>
    </row>
    <row r="401" spans="1:18" x14ac:dyDescent="0.25">
      <c r="A401" s="170">
        <v>42591</v>
      </c>
      <c r="B401" s="116">
        <v>36.443533398989402</v>
      </c>
      <c r="C401" s="116">
        <v>35.771829057909997</v>
      </c>
      <c r="D401" s="116">
        <v>35.638440961809103</v>
      </c>
      <c r="E401" s="116">
        <v>36.110063158737198</v>
      </c>
      <c r="F401" s="116">
        <v>375.45</v>
      </c>
      <c r="G401">
        <v>701826</v>
      </c>
      <c r="H401" s="116"/>
      <c r="I401" s="116"/>
      <c r="L401" s="170">
        <v>42591</v>
      </c>
      <c r="M401" s="116">
        <v>35.760984893098303</v>
      </c>
      <c r="N401" s="116">
        <v>36.437428193327399</v>
      </c>
      <c r="O401" s="116">
        <v>35.594255910647497</v>
      </c>
      <c r="P401" s="116">
        <v>36.108733913638702</v>
      </c>
      <c r="Q401" s="116">
        <v>375.35</v>
      </c>
      <c r="R401">
        <v>5618546</v>
      </c>
    </row>
    <row r="402" spans="1:18" x14ac:dyDescent="0.25">
      <c r="A402" s="170">
        <v>42592</v>
      </c>
      <c r="B402" s="116">
        <v>36.138646322187398</v>
      </c>
      <c r="C402" s="116">
        <v>35.266859836956598</v>
      </c>
      <c r="D402" s="116">
        <v>35.085833135105503</v>
      </c>
      <c r="E402" s="116">
        <v>35.948091899186103</v>
      </c>
      <c r="F402" s="116">
        <v>370.15</v>
      </c>
      <c r="G402">
        <v>1016095</v>
      </c>
      <c r="H402" s="116"/>
      <c r="I402" s="116"/>
      <c r="L402" s="170">
        <v>42592</v>
      </c>
      <c r="M402" s="116">
        <v>35.279852686597302</v>
      </c>
      <c r="N402" s="116">
        <v>36.146843395341698</v>
      </c>
      <c r="O402" s="116">
        <v>35.0750142224435</v>
      </c>
      <c r="P402" s="116">
        <v>36.003932838955301</v>
      </c>
      <c r="Q402" s="116">
        <v>370.3</v>
      </c>
      <c r="R402">
        <v>4594009</v>
      </c>
    </row>
    <row r="403" spans="1:18" x14ac:dyDescent="0.25">
      <c r="A403" s="170">
        <v>42593</v>
      </c>
      <c r="B403" s="116">
        <v>35.581274634908702</v>
      </c>
      <c r="C403" s="116">
        <v>35.1096524379806</v>
      </c>
      <c r="D403" s="116">
        <v>34.471295120926399</v>
      </c>
      <c r="E403" s="116">
        <v>35.185874207181101</v>
      </c>
      <c r="F403" s="116">
        <v>368.5</v>
      </c>
      <c r="G403">
        <v>618720</v>
      </c>
      <c r="H403" s="116"/>
      <c r="I403" s="116"/>
      <c r="L403" s="170">
        <v>42593</v>
      </c>
      <c r="M403" s="116">
        <v>35.094068963295001</v>
      </c>
      <c r="N403" s="116">
        <v>35.594255910647497</v>
      </c>
      <c r="O403" s="116">
        <v>34.4414440891303</v>
      </c>
      <c r="P403" s="116">
        <v>35.279852686597302</v>
      </c>
      <c r="Q403" s="116">
        <v>368.35</v>
      </c>
      <c r="R403">
        <v>4419528</v>
      </c>
    </row>
    <row r="404" spans="1:18" x14ac:dyDescent="0.25">
      <c r="A404" s="170">
        <v>42594</v>
      </c>
      <c r="B404" s="116">
        <v>36.024313668386597</v>
      </c>
      <c r="C404" s="116">
        <v>35.7098988704346</v>
      </c>
      <c r="D404" s="116">
        <v>35.100124716830599</v>
      </c>
      <c r="E404" s="116">
        <v>35.100124716830599</v>
      </c>
      <c r="F404" s="116">
        <v>374.8</v>
      </c>
      <c r="G404">
        <v>542884</v>
      </c>
      <c r="H404" s="116"/>
      <c r="I404" s="116"/>
      <c r="L404" s="170">
        <v>42594</v>
      </c>
      <c r="M404" s="116">
        <v>35.703820670543799</v>
      </c>
      <c r="N404" s="116">
        <v>36.046806005871197</v>
      </c>
      <c r="O404" s="116">
        <v>35.189342667552602</v>
      </c>
      <c r="P404" s="116">
        <v>35.251270575320099</v>
      </c>
      <c r="Q404" s="116">
        <v>374.75</v>
      </c>
      <c r="R404">
        <v>4411019</v>
      </c>
    </row>
    <row r="405" spans="1:18" x14ac:dyDescent="0.25">
      <c r="A405" s="170">
        <v>42598</v>
      </c>
      <c r="B405" s="116">
        <v>36.2910898605884</v>
      </c>
      <c r="C405" s="116">
        <v>36.129118601037298</v>
      </c>
      <c r="D405" s="116">
        <v>35.562219192608602</v>
      </c>
      <c r="E405" s="116">
        <v>35.562219192608602</v>
      </c>
      <c r="F405" s="116">
        <v>379.2</v>
      </c>
      <c r="G405">
        <v>702047</v>
      </c>
      <c r="H405" s="116"/>
      <c r="I405" s="116"/>
      <c r="L405" s="170">
        <v>42598</v>
      </c>
      <c r="M405" s="116">
        <v>36.123024969277303</v>
      </c>
      <c r="N405" s="116">
        <v>36.299281322153902</v>
      </c>
      <c r="O405" s="116">
        <v>35.5418553733058</v>
      </c>
      <c r="P405" s="116">
        <v>35.7276390966082</v>
      </c>
      <c r="Q405" s="116">
        <v>379.15</v>
      </c>
      <c r="R405">
        <v>6104127</v>
      </c>
    </row>
    <row r="406" spans="1:18" x14ac:dyDescent="0.25">
      <c r="A406" s="170">
        <v>42599</v>
      </c>
      <c r="B406" s="116">
        <v>37.362958489970403</v>
      </c>
      <c r="C406" s="116">
        <v>37.286736720769902</v>
      </c>
      <c r="D406" s="116">
        <v>36.133882461612302</v>
      </c>
      <c r="E406" s="116">
        <v>36.2529789759881</v>
      </c>
      <c r="F406" s="116">
        <v>391.35</v>
      </c>
      <c r="G406">
        <v>1391259</v>
      </c>
      <c r="H406" s="116"/>
      <c r="I406" s="116"/>
      <c r="L406" s="170">
        <v>42599</v>
      </c>
      <c r="M406" s="116">
        <v>37.333001013349097</v>
      </c>
      <c r="N406" s="116">
        <v>37.437802088032498</v>
      </c>
      <c r="O406" s="116">
        <v>36.199243932683402</v>
      </c>
      <c r="P406" s="116">
        <v>36.199243932683402</v>
      </c>
      <c r="Q406" s="116">
        <v>391.85</v>
      </c>
      <c r="R406">
        <v>9353131</v>
      </c>
    </row>
    <row r="407" spans="1:18" x14ac:dyDescent="0.25">
      <c r="A407" s="170">
        <v>42600</v>
      </c>
      <c r="B407" s="116">
        <v>37.539221331246601</v>
      </c>
      <c r="C407" s="116">
        <v>36.891336293042301</v>
      </c>
      <c r="D407" s="116">
        <v>36.724601172916202</v>
      </c>
      <c r="E407" s="116">
        <v>37.348666908245299</v>
      </c>
      <c r="F407" s="116">
        <v>387.2</v>
      </c>
      <c r="G407">
        <v>749404</v>
      </c>
      <c r="H407" s="116"/>
      <c r="I407" s="116"/>
      <c r="L407" s="170">
        <v>42600</v>
      </c>
      <c r="M407" s="116">
        <v>36.889978288551099</v>
      </c>
      <c r="N407" s="116">
        <v>37.528312107077198</v>
      </c>
      <c r="O407" s="116">
        <v>36.689903509610097</v>
      </c>
      <c r="P407" s="116">
        <v>37.394928921116502</v>
      </c>
      <c r="Q407" s="116">
        <v>387.2</v>
      </c>
      <c r="R407">
        <v>5920398</v>
      </c>
    </row>
    <row r="408" spans="1:18" x14ac:dyDescent="0.25">
      <c r="A408" s="170">
        <v>42601</v>
      </c>
      <c r="B408" s="116">
        <v>37.596387658147002</v>
      </c>
      <c r="C408" s="116">
        <v>37.377250071695499</v>
      </c>
      <c r="D408" s="116">
        <v>36.548338331640103</v>
      </c>
      <c r="E408" s="116">
        <v>37.062835273743403</v>
      </c>
      <c r="F408" s="116">
        <v>392.3</v>
      </c>
      <c r="G408">
        <v>1818093</v>
      </c>
      <c r="H408" s="116"/>
      <c r="I408" s="116"/>
      <c r="L408" s="170">
        <v>42601</v>
      </c>
      <c r="M408" s="116">
        <v>37.361583124626399</v>
      </c>
      <c r="N408" s="116">
        <v>37.599767385270397</v>
      </c>
      <c r="O408" s="116">
        <v>36.537465582797999</v>
      </c>
      <c r="P408" s="116">
        <v>37.075762011853499</v>
      </c>
      <c r="Q408" s="116">
        <v>392.15</v>
      </c>
      <c r="R408">
        <v>8947214</v>
      </c>
    </row>
    <row r="409" spans="1:18" x14ac:dyDescent="0.25">
      <c r="A409" s="170">
        <v>42604</v>
      </c>
      <c r="B409" s="116">
        <v>37.348666908245299</v>
      </c>
      <c r="C409" s="116">
        <v>36.915155595917497</v>
      </c>
      <c r="D409" s="116">
        <v>36.653143264290698</v>
      </c>
      <c r="E409" s="116">
        <v>37.348666908245299</v>
      </c>
      <c r="F409" s="116">
        <v>387.45</v>
      </c>
      <c r="G409">
        <v>830222</v>
      </c>
      <c r="H409" s="116"/>
      <c r="I409" s="116"/>
      <c r="L409" s="170">
        <v>42604</v>
      </c>
      <c r="M409" s="116">
        <v>36.980488307595898</v>
      </c>
      <c r="N409" s="116">
        <v>37.299655216858902</v>
      </c>
      <c r="O409" s="116">
        <v>36.6327392870556</v>
      </c>
      <c r="P409" s="116">
        <v>37.299655216858902</v>
      </c>
      <c r="Q409" s="116">
        <v>388.15</v>
      </c>
      <c r="R409">
        <v>5563430</v>
      </c>
    </row>
    <row r="410" spans="1:18" x14ac:dyDescent="0.25">
      <c r="A410" s="170">
        <v>42605</v>
      </c>
      <c r="B410" s="116">
        <v>37.272445139044798</v>
      </c>
      <c r="C410" s="116">
        <v>36.724601172916202</v>
      </c>
      <c r="D410" s="116">
        <v>36.033841389536697</v>
      </c>
      <c r="E410" s="116">
        <v>36.891336293042301</v>
      </c>
      <c r="F410" s="116">
        <v>385.45</v>
      </c>
      <c r="G410">
        <v>1157940</v>
      </c>
      <c r="H410" s="116"/>
      <c r="I410" s="116"/>
      <c r="L410" s="170">
        <v>42605</v>
      </c>
      <c r="M410" s="116">
        <v>36.694667194822998</v>
      </c>
      <c r="N410" s="116">
        <v>37.252018364730098</v>
      </c>
      <c r="O410" s="116">
        <v>36.027751265019702</v>
      </c>
      <c r="P410" s="116">
        <v>36.961433566744397</v>
      </c>
      <c r="Q410" s="116">
        <v>385.15</v>
      </c>
      <c r="R410">
        <v>6720835</v>
      </c>
    </row>
    <row r="411" spans="1:18" x14ac:dyDescent="0.25">
      <c r="A411" s="170">
        <v>42606</v>
      </c>
      <c r="B411" s="116">
        <v>36.891336293042301</v>
      </c>
      <c r="C411" s="116">
        <v>36.219631951962903</v>
      </c>
      <c r="D411" s="116">
        <v>36.119590879887198</v>
      </c>
      <c r="E411" s="116">
        <v>36.595976937390397</v>
      </c>
      <c r="F411" s="116">
        <v>380.15</v>
      </c>
      <c r="G411">
        <v>751477</v>
      </c>
      <c r="H411" s="116"/>
      <c r="I411" s="116"/>
      <c r="L411" s="170">
        <v>42606</v>
      </c>
      <c r="M411" s="116">
        <v>36.199243932683402</v>
      </c>
      <c r="N411" s="116">
        <v>36.899505658976899</v>
      </c>
      <c r="O411" s="116">
        <v>36.0849154875742</v>
      </c>
      <c r="P411" s="116">
        <v>36.737540361739001</v>
      </c>
      <c r="Q411" s="116">
        <v>379.95</v>
      </c>
      <c r="R411">
        <v>4261868</v>
      </c>
    </row>
    <row r="412" spans="1:18" x14ac:dyDescent="0.25">
      <c r="A412" s="170">
        <v>42607</v>
      </c>
      <c r="B412" s="116">
        <v>36.443533398989402</v>
      </c>
      <c r="C412" s="116">
        <v>35.481233562833097</v>
      </c>
      <c r="D412" s="116">
        <v>35.333553885007099</v>
      </c>
      <c r="E412" s="116">
        <v>36.3006175817384</v>
      </c>
      <c r="F412" s="116">
        <v>372.4</v>
      </c>
      <c r="G412">
        <v>639152</v>
      </c>
      <c r="H412" s="116"/>
      <c r="I412" s="116"/>
      <c r="L412" s="170">
        <v>42607</v>
      </c>
      <c r="M412" s="116">
        <v>35.470400095112602</v>
      </c>
      <c r="N412" s="116">
        <v>36.423137137688798</v>
      </c>
      <c r="O412" s="116">
        <v>35.298907427448903</v>
      </c>
      <c r="P412" s="116">
        <v>36.365972915134201</v>
      </c>
      <c r="Q412" s="116">
        <v>372.3</v>
      </c>
      <c r="R412">
        <v>4773691</v>
      </c>
    </row>
    <row r="413" spans="1:18" x14ac:dyDescent="0.25">
      <c r="A413" s="170">
        <v>42608</v>
      </c>
      <c r="B413" s="116">
        <v>35.805176081935201</v>
      </c>
      <c r="C413" s="116">
        <v>35.238276673506498</v>
      </c>
      <c r="D413" s="116">
        <v>35.038194529355103</v>
      </c>
      <c r="E413" s="116">
        <v>35.500289005133197</v>
      </c>
      <c r="F413" s="116">
        <v>369.85</v>
      </c>
      <c r="G413">
        <v>588356</v>
      </c>
      <c r="H413" s="116"/>
      <c r="I413" s="116"/>
      <c r="L413" s="170">
        <v>42608</v>
      </c>
      <c r="M413" s="116">
        <v>35.198870037978402</v>
      </c>
      <c r="N413" s="116">
        <v>35.818149115652901</v>
      </c>
      <c r="O413" s="116">
        <v>34.9940315738245</v>
      </c>
      <c r="P413" s="116">
        <v>35.7276390966082</v>
      </c>
      <c r="Q413" s="116">
        <v>369.45</v>
      </c>
      <c r="R413">
        <v>4311789</v>
      </c>
    </row>
    <row r="414" spans="1:18" x14ac:dyDescent="0.25">
      <c r="A414" s="170">
        <v>42611</v>
      </c>
      <c r="B414" s="116">
        <v>35.767065197334901</v>
      </c>
      <c r="C414" s="116">
        <v>35.547927610883498</v>
      </c>
      <c r="D414" s="116">
        <v>35.023902947630098</v>
      </c>
      <c r="E414" s="116">
        <v>35.252568255231601</v>
      </c>
      <c r="F414" s="116">
        <v>373.1</v>
      </c>
      <c r="G414">
        <v>421796</v>
      </c>
      <c r="H414" s="116"/>
      <c r="I414" s="116"/>
      <c r="L414" s="170">
        <v>42611</v>
      </c>
      <c r="M414" s="116">
        <v>35.608546966286099</v>
      </c>
      <c r="N414" s="116">
        <v>35.770512263524097</v>
      </c>
      <c r="O414" s="116">
        <v>35.036904740740397</v>
      </c>
      <c r="P414" s="116">
        <v>35.146469500636698</v>
      </c>
      <c r="Q414" s="116">
        <v>373.75</v>
      </c>
      <c r="R414">
        <v>3718240</v>
      </c>
    </row>
    <row r="415" spans="1:18" x14ac:dyDescent="0.25">
      <c r="A415" s="170">
        <v>42612</v>
      </c>
      <c r="B415" s="116">
        <v>36.157701764487499</v>
      </c>
      <c r="C415" s="116">
        <v>35.995730504936397</v>
      </c>
      <c r="D415" s="116">
        <v>35.7289543127347</v>
      </c>
      <c r="E415" s="116">
        <v>35.7289543127347</v>
      </c>
      <c r="F415" s="116">
        <v>377.8</v>
      </c>
      <c r="G415">
        <v>591808</v>
      </c>
      <c r="H415" s="116"/>
      <c r="I415" s="116"/>
      <c r="L415" s="170">
        <v>42612</v>
      </c>
      <c r="M415" s="116">
        <v>35.9896417833166</v>
      </c>
      <c r="N415" s="116">
        <v>36.156370765767498</v>
      </c>
      <c r="O415" s="116">
        <v>35.7276390966082</v>
      </c>
      <c r="P415" s="116">
        <v>35.760984893098303</v>
      </c>
      <c r="Q415" s="116">
        <v>377.75</v>
      </c>
      <c r="R415">
        <v>3804436</v>
      </c>
    </row>
    <row r="416" spans="1:18" x14ac:dyDescent="0.25">
      <c r="A416" s="170">
        <v>42613</v>
      </c>
      <c r="B416" s="116">
        <v>36.3196730240386</v>
      </c>
      <c r="C416" s="116">
        <v>35.295443000406799</v>
      </c>
      <c r="D416" s="116">
        <v>35.166818764881</v>
      </c>
      <c r="E416" s="116">
        <v>35.9909666443614</v>
      </c>
      <c r="F416" s="116">
        <v>370.45</v>
      </c>
      <c r="G416">
        <v>517791</v>
      </c>
      <c r="H416" s="116"/>
      <c r="I416" s="116"/>
      <c r="L416" s="170">
        <v>42613</v>
      </c>
      <c r="M416" s="116">
        <v>35.2607979457458</v>
      </c>
      <c r="N416" s="116">
        <v>36.332627118644098</v>
      </c>
      <c r="O416" s="116">
        <v>35.136942130210898</v>
      </c>
      <c r="P416" s="116">
        <v>36.013460209381002</v>
      </c>
      <c r="Q416" s="116">
        <v>370.1</v>
      </c>
      <c r="R416">
        <v>4530361</v>
      </c>
    </row>
    <row r="417" spans="1:18" x14ac:dyDescent="0.25">
      <c r="A417" s="170">
        <v>42614</v>
      </c>
      <c r="B417" s="116">
        <v>35.948091899186103</v>
      </c>
      <c r="C417" s="116">
        <v>35.614621658933899</v>
      </c>
      <c r="D417" s="116">
        <v>35.214457370631301</v>
      </c>
      <c r="E417" s="116">
        <v>35.328790024432102</v>
      </c>
      <c r="F417" s="116">
        <v>373.8</v>
      </c>
      <c r="G417">
        <v>749849</v>
      </c>
      <c r="H417" s="116"/>
      <c r="I417" s="116"/>
      <c r="L417" s="170">
        <v>42614</v>
      </c>
      <c r="M417" s="116">
        <v>35.689529614905098</v>
      </c>
      <c r="N417" s="116">
        <v>35.9848780981037</v>
      </c>
      <c r="O417" s="116">
        <v>35.203633723191203</v>
      </c>
      <c r="P417" s="116">
        <v>35.375126390855002</v>
      </c>
      <c r="Q417" s="116">
        <v>374.6</v>
      </c>
      <c r="R417">
        <v>4453409</v>
      </c>
    </row>
    <row r="418" spans="1:18" x14ac:dyDescent="0.25">
      <c r="A418" s="170">
        <v>42615</v>
      </c>
      <c r="B418" s="116">
        <v>35.790884500210097</v>
      </c>
      <c r="C418" s="116">
        <v>35.605093937783899</v>
      </c>
      <c r="D418" s="116">
        <v>35.304970721556899</v>
      </c>
      <c r="E418" s="116">
        <v>35.748009755034801</v>
      </c>
      <c r="F418" s="116">
        <v>373.7</v>
      </c>
      <c r="G418">
        <v>406658</v>
      </c>
      <c r="H418" s="116"/>
      <c r="I418" s="116"/>
      <c r="L418" s="170">
        <v>42615</v>
      </c>
      <c r="M418" s="116">
        <v>35.651420133202102</v>
      </c>
      <c r="N418" s="116">
        <v>35.841967541717302</v>
      </c>
      <c r="O418" s="116">
        <v>35.289380057023102</v>
      </c>
      <c r="P418" s="116">
        <v>35.818149115652901</v>
      </c>
      <c r="Q418" s="116">
        <v>374.2</v>
      </c>
      <c r="R418">
        <v>2824297</v>
      </c>
    </row>
    <row r="419" spans="1:18" x14ac:dyDescent="0.25">
      <c r="A419" s="170">
        <v>42619</v>
      </c>
      <c r="B419" s="116">
        <v>36.843697687292</v>
      </c>
      <c r="C419" s="116">
        <v>36.762712057516502</v>
      </c>
      <c r="D419" s="116">
        <v>35.643204822384099</v>
      </c>
      <c r="E419" s="116">
        <v>35.643204822384099</v>
      </c>
      <c r="F419" s="116">
        <v>385.85</v>
      </c>
      <c r="G419">
        <v>1136918</v>
      </c>
      <c r="H419" s="116"/>
      <c r="I419" s="116"/>
      <c r="L419" s="170">
        <v>42619</v>
      </c>
      <c r="M419" s="116">
        <v>36.751831417377602</v>
      </c>
      <c r="N419" s="116">
        <v>36.847105121635202</v>
      </c>
      <c r="O419" s="116">
        <v>35.670474874053603</v>
      </c>
      <c r="P419" s="116">
        <v>35.7276390966082</v>
      </c>
      <c r="Q419" s="116">
        <v>385.75</v>
      </c>
      <c r="R419">
        <v>5828507</v>
      </c>
    </row>
    <row r="420" spans="1:18" x14ac:dyDescent="0.25">
      <c r="A420" s="170">
        <v>42620</v>
      </c>
      <c r="B420" s="116">
        <v>37.529693610096501</v>
      </c>
      <c r="C420" s="116">
        <v>37.153348624669</v>
      </c>
      <c r="D420" s="116">
        <v>36.8246422449919</v>
      </c>
      <c r="E420" s="116">
        <v>36.8722808507422</v>
      </c>
      <c r="F420" s="116">
        <v>389.95</v>
      </c>
      <c r="G420">
        <v>1511327</v>
      </c>
      <c r="H420" s="116"/>
      <c r="I420" s="116"/>
      <c r="L420" s="170">
        <v>42620</v>
      </c>
      <c r="M420" s="116">
        <v>37.151980975259598</v>
      </c>
      <c r="N420" s="116">
        <v>37.5521305331416</v>
      </c>
      <c r="O420" s="116">
        <v>36.832814065996601</v>
      </c>
      <c r="P420" s="116">
        <v>36.880450918125398</v>
      </c>
      <c r="Q420" s="116">
        <v>389.95</v>
      </c>
      <c r="R420">
        <v>6965026</v>
      </c>
    </row>
    <row r="421" spans="1:18" x14ac:dyDescent="0.25">
      <c r="A421" s="170">
        <v>42621</v>
      </c>
      <c r="B421" s="116">
        <v>38.920740898005597</v>
      </c>
      <c r="C421" s="116">
        <v>38.387188513602098</v>
      </c>
      <c r="D421" s="116">
        <v>37.2009872304194</v>
      </c>
      <c r="E421" s="116">
        <v>37.2009872304194</v>
      </c>
      <c r="F421" s="116">
        <v>402.9</v>
      </c>
      <c r="G421">
        <v>1946708</v>
      </c>
      <c r="H421" s="116"/>
      <c r="I421" s="116"/>
      <c r="L421" s="170">
        <v>42621</v>
      </c>
      <c r="M421" s="116">
        <v>38.395302815821601</v>
      </c>
      <c r="N421" s="116">
        <v>38.9288355596643</v>
      </c>
      <c r="O421" s="116">
        <v>37.1805630865369</v>
      </c>
      <c r="P421" s="116">
        <v>37.1805630865369</v>
      </c>
      <c r="Q421" s="116">
        <v>403</v>
      </c>
      <c r="R421">
        <v>11234744</v>
      </c>
    </row>
    <row r="422" spans="1:18" x14ac:dyDescent="0.25">
      <c r="A422" s="170">
        <v>42622</v>
      </c>
      <c r="B422" s="116">
        <v>38.777825080754702</v>
      </c>
      <c r="C422" s="116">
        <v>37.586859936996902</v>
      </c>
      <c r="D422" s="116">
        <v>37.420124816870803</v>
      </c>
      <c r="E422" s="116">
        <v>38.453882561652598</v>
      </c>
      <c r="F422" s="116">
        <v>394.5</v>
      </c>
      <c r="G422">
        <v>1307739</v>
      </c>
      <c r="H422" s="116"/>
      <c r="I422" s="116"/>
      <c r="L422" s="170">
        <v>42622</v>
      </c>
      <c r="M422" s="116">
        <v>37.595003700057603</v>
      </c>
      <c r="N422" s="116">
        <v>38.766870262426302</v>
      </c>
      <c r="O422" s="116">
        <v>37.4663841993098</v>
      </c>
      <c r="P422" s="116">
        <v>38.576322853911101</v>
      </c>
      <c r="Q422" s="116">
        <v>394.6</v>
      </c>
      <c r="R422">
        <v>5962851</v>
      </c>
    </row>
    <row r="423" spans="1:18" x14ac:dyDescent="0.25">
      <c r="A423" s="170">
        <v>42625</v>
      </c>
      <c r="B423" s="116">
        <v>36.8627531295921</v>
      </c>
      <c r="C423" s="116">
        <v>35.595566216633799</v>
      </c>
      <c r="D423" s="116">
        <v>35.443122678232797</v>
      </c>
      <c r="E423" s="116">
        <v>36.681726427740898</v>
      </c>
      <c r="F423" s="116">
        <v>373.6</v>
      </c>
      <c r="G423">
        <v>945091</v>
      </c>
      <c r="H423" s="116"/>
      <c r="I423" s="116"/>
      <c r="L423" s="170">
        <v>42625</v>
      </c>
      <c r="M423" s="116">
        <v>35.565673799370202</v>
      </c>
      <c r="N423" s="116">
        <v>36.766122473016203</v>
      </c>
      <c r="O423" s="116">
        <v>35.308434797874597</v>
      </c>
      <c r="P423" s="116">
        <v>36.680376139184403</v>
      </c>
      <c r="Q423" s="116">
        <v>373.3</v>
      </c>
      <c r="R423">
        <v>6717365</v>
      </c>
    </row>
    <row r="424" spans="1:18" x14ac:dyDescent="0.25">
      <c r="A424" s="170">
        <v>42627</v>
      </c>
      <c r="B424" s="116">
        <v>35.9909666443614</v>
      </c>
      <c r="C424" s="116">
        <v>35.609857798358902</v>
      </c>
      <c r="D424" s="116">
        <v>34.623738659327401</v>
      </c>
      <c r="E424" s="116">
        <v>35.204929649481201</v>
      </c>
      <c r="F424" s="116">
        <v>373.75</v>
      </c>
      <c r="G424">
        <v>2012160</v>
      </c>
      <c r="H424" s="116"/>
      <c r="I424" s="116"/>
      <c r="L424" s="170">
        <v>42627</v>
      </c>
      <c r="M424" s="116">
        <v>35.6228380219248</v>
      </c>
      <c r="N424" s="116">
        <v>36.013460209381002</v>
      </c>
      <c r="O424" s="116">
        <v>34.598645701155299</v>
      </c>
      <c r="P424" s="116">
        <v>35.251270575320099</v>
      </c>
      <c r="Q424" s="116">
        <v>373.9</v>
      </c>
      <c r="R424">
        <v>11105369</v>
      </c>
    </row>
    <row r="425" spans="1:18" x14ac:dyDescent="0.25">
      <c r="A425" s="170">
        <v>42628</v>
      </c>
      <c r="B425" s="116">
        <v>35.733718173309697</v>
      </c>
      <c r="C425" s="116">
        <v>34.957208899579598</v>
      </c>
      <c r="D425" s="116">
        <v>34.699960428527902</v>
      </c>
      <c r="E425" s="116">
        <v>35.7289543127347</v>
      </c>
      <c r="F425" s="116">
        <v>366.9</v>
      </c>
      <c r="G425">
        <v>843650</v>
      </c>
      <c r="H425" s="116"/>
      <c r="I425" s="116"/>
      <c r="L425" s="170">
        <v>42628</v>
      </c>
      <c r="M425" s="116">
        <v>34.908285239992601</v>
      </c>
      <c r="N425" s="116">
        <v>35.737166467033902</v>
      </c>
      <c r="O425" s="116">
        <v>34.655809923709903</v>
      </c>
      <c r="P425" s="116">
        <v>35.632365392350501</v>
      </c>
      <c r="Q425" s="116">
        <v>366.4</v>
      </c>
      <c r="R425">
        <v>4875040</v>
      </c>
    </row>
    <row r="426" spans="1:18" x14ac:dyDescent="0.25">
      <c r="A426" s="170">
        <v>42629</v>
      </c>
      <c r="B426" s="116">
        <v>35.424067235932696</v>
      </c>
      <c r="C426" s="116">
        <v>34.209282789299699</v>
      </c>
      <c r="D426" s="116">
        <v>34.090186274923902</v>
      </c>
      <c r="E426" s="116">
        <v>35.300206860981902</v>
      </c>
      <c r="F426" s="116">
        <v>359.05</v>
      </c>
      <c r="G426">
        <v>964430</v>
      </c>
      <c r="H426" s="116"/>
      <c r="I426" s="116"/>
      <c r="L426" s="170">
        <v>42629</v>
      </c>
      <c r="M426" s="116">
        <v>34.188968772847602</v>
      </c>
      <c r="N426" s="116">
        <v>35.432290613409499</v>
      </c>
      <c r="O426" s="116">
        <v>34.0698766425255</v>
      </c>
      <c r="P426" s="116">
        <v>35.203633723191203</v>
      </c>
      <c r="Q426" s="116">
        <v>358.85</v>
      </c>
      <c r="R426">
        <v>6075750</v>
      </c>
    </row>
    <row r="427" spans="1:18" x14ac:dyDescent="0.25">
      <c r="A427" s="170">
        <v>42632</v>
      </c>
      <c r="B427" s="116">
        <v>34.652321822777601</v>
      </c>
      <c r="C427" s="116">
        <v>34.447475818051302</v>
      </c>
      <c r="D427" s="116">
        <v>33.861520967322399</v>
      </c>
      <c r="E427" s="116">
        <v>34.252157534475003</v>
      </c>
      <c r="F427" s="116">
        <v>361.55</v>
      </c>
      <c r="G427">
        <v>747474</v>
      </c>
      <c r="H427" s="116"/>
      <c r="I427" s="116"/>
      <c r="L427" s="170">
        <v>42632</v>
      </c>
      <c r="M427" s="116">
        <v>34.455735144768902</v>
      </c>
      <c r="N427" s="116">
        <v>34.674864664561397</v>
      </c>
      <c r="O427" s="116">
        <v>33.850747122732997</v>
      </c>
      <c r="P427" s="116">
        <v>34.298533532743797</v>
      </c>
      <c r="Q427" s="116">
        <v>361.65</v>
      </c>
      <c r="R427">
        <v>5121611</v>
      </c>
    </row>
    <row r="428" spans="1:18" x14ac:dyDescent="0.25">
      <c r="A428" s="170">
        <v>42633</v>
      </c>
      <c r="B428" s="116">
        <v>35.214457370631301</v>
      </c>
      <c r="C428" s="116">
        <v>34.8190569429037</v>
      </c>
      <c r="D428" s="116">
        <v>34.242629813324903</v>
      </c>
      <c r="E428" s="116">
        <v>34.4903505632265</v>
      </c>
      <c r="F428" s="116">
        <v>365.45</v>
      </c>
      <c r="G428">
        <v>1311037</v>
      </c>
      <c r="H428" s="116"/>
      <c r="I428" s="116"/>
      <c r="L428" s="170">
        <v>42633</v>
      </c>
      <c r="M428" s="116">
        <v>34.832066276586502</v>
      </c>
      <c r="N428" s="116">
        <v>35.251270575320099</v>
      </c>
      <c r="O428" s="116">
        <v>34.227078254550598</v>
      </c>
      <c r="P428" s="116">
        <v>34.7082104610516</v>
      </c>
      <c r="Q428" s="116">
        <v>365.6</v>
      </c>
      <c r="R428">
        <v>5697810</v>
      </c>
    </row>
    <row r="429" spans="1:18" x14ac:dyDescent="0.25">
      <c r="A429" s="170">
        <v>42634</v>
      </c>
      <c r="B429" s="116">
        <v>35.4383588176578</v>
      </c>
      <c r="C429" s="116">
        <v>35.185874207181101</v>
      </c>
      <c r="D429" s="116">
        <v>34.800001500603599</v>
      </c>
      <c r="E429" s="116">
        <v>34.8190569429037</v>
      </c>
      <c r="F429" s="116">
        <v>369.3</v>
      </c>
      <c r="G429">
        <v>942574</v>
      </c>
      <c r="H429" s="116"/>
      <c r="I429" s="116"/>
      <c r="L429" s="170">
        <v>42634</v>
      </c>
      <c r="M429" s="116">
        <v>35.232215834468498</v>
      </c>
      <c r="N429" s="116">
        <v>35.489454835964104</v>
      </c>
      <c r="O429" s="116">
        <v>34.8034841653092</v>
      </c>
      <c r="P429" s="116">
        <v>34.8034841653092</v>
      </c>
      <c r="Q429" s="116">
        <v>369.8</v>
      </c>
      <c r="R429">
        <v>6868967</v>
      </c>
    </row>
    <row r="430" spans="1:18" x14ac:dyDescent="0.25">
      <c r="A430" s="170">
        <v>42635</v>
      </c>
      <c r="B430" s="116">
        <v>36.143410182762402</v>
      </c>
      <c r="C430" s="116">
        <v>35.852814687685502</v>
      </c>
      <c r="D430" s="116">
        <v>35.462178120532897</v>
      </c>
      <c r="E430" s="116">
        <v>35.938564178036103</v>
      </c>
      <c r="F430" s="116">
        <v>376.3</v>
      </c>
      <c r="G430">
        <v>878522</v>
      </c>
      <c r="H430" s="116"/>
      <c r="I430" s="116"/>
      <c r="L430" s="170">
        <v>42635</v>
      </c>
      <c r="M430" s="116">
        <v>35.942004931187803</v>
      </c>
      <c r="N430" s="116">
        <v>36.1849528770448</v>
      </c>
      <c r="O430" s="116">
        <v>35.518036947241399</v>
      </c>
      <c r="P430" s="116">
        <v>35.9848780981037</v>
      </c>
      <c r="Q430" s="116">
        <v>377.25</v>
      </c>
      <c r="R430">
        <v>6669414</v>
      </c>
    </row>
    <row r="431" spans="1:18" x14ac:dyDescent="0.25">
      <c r="A431" s="170">
        <v>42636</v>
      </c>
      <c r="B431" s="116">
        <v>36.033841389536697</v>
      </c>
      <c r="C431" s="116">
        <v>35.433594957082697</v>
      </c>
      <c r="D431" s="116">
        <v>35.343081606157099</v>
      </c>
      <c r="E431" s="116">
        <v>35.852814687685502</v>
      </c>
      <c r="F431" s="116">
        <v>371.9</v>
      </c>
      <c r="G431">
        <v>521034</v>
      </c>
      <c r="H431" s="116"/>
      <c r="I431" s="116"/>
      <c r="L431" s="170">
        <v>42636</v>
      </c>
      <c r="M431" s="116">
        <v>35.4418179838353</v>
      </c>
      <c r="N431" s="116">
        <v>36.051569691084097</v>
      </c>
      <c r="O431" s="116">
        <v>35.346544279577699</v>
      </c>
      <c r="P431" s="116">
        <v>35.951532301613597</v>
      </c>
      <c r="Q431" s="116">
        <v>372</v>
      </c>
      <c r="R431">
        <v>4461871</v>
      </c>
    </row>
    <row r="432" spans="1:18" x14ac:dyDescent="0.25">
      <c r="A432" s="170">
        <v>42639</v>
      </c>
      <c r="B432" s="116">
        <v>35.838523105960398</v>
      </c>
      <c r="C432" s="116">
        <v>35.290679139831802</v>
      </c>
      <c r="D432" s="116">
        <v>35.157291043730901</v>
      </c>
      <c r="E432" s="116">
        <v>35.4383588176578</v>
      </c>
      <c r="F432" s="116">
        <v>370.4</v>
      </c>
      <c r="G432">
        <v>463780</v>
      </c>
      <c r="H432" s="116"/>
      <c r="I432" s="116"/>
      <c r="L432" s="170">
        <v>42639</v>
      </c>
      <c r="M432" s="116">
        <v>35.227452149255598</v>
      </c>
      <c r="N432" s="116">
        <v>35.875313338207498</v>
      </c>
      <c r="O432" s="116">
        <v>35.098832648507901</v>
      </c>
      <c r="P432" s="116">
        <v>35.379890076067802</v>
      </c>
      <c r="Q432" s="116">
        <v>369.75</v>
      </c>
      <c r="R432">
        <v>4351638</v>
      </c>
    </row>
    <row r="433" spans="1:18" x14ac:dyDescent="0.25">
      <c r="A433" s="170">
        <v>42640</v>
      </c>
      <c r="B433" s="116">
        <v>35.6813157069844</v>
      </c>
      <c r="C433" s="116">
        <v>35.047722250505203</v>
      </c>
      <c r="D433" s="116">
        <v>34.919098014979397</v>
      </c>
      <c r="E433" s="116">
        <v>35.443122678232797</v>
      </c>
      <c r="F433" s="116">
        <v>367.85</v>
      </c>
      <c r="G433">
        <v>586524</v>
      </c>
      <c r="H433" s="116"/>
      <c r="I433" s="116"/>
      <c r="L433" s="170">
        <v>42640</v>
      </c>
      <c r="M433" s="116">
        <v>35.055959481591898</v>
      </c>
      <c r="N433" s="116">
        <v>35.689529614905098</v>
      </c>
      <c r="O433" s="116">
        <v>34.927339980844103</v>
      </c>
      <c r="P433" s="116">
        <v>35.498982206389897</v>
      </c>
      <c r="Q433" s="116">
        <v>367.95</v>
      </c>
      <c r="R433">
        <v>4403977</v>
      </c>
    </row>
    <row r="434" spans="1:18" x14ac:dyDescent="0.25">
      <c r="A434" s="170">
        <v>42641</v>
      </c>
      <c r="B434" s="116">
        <v>36.386367072089001</v>
      </c>
      <c r="C434" s="116">
        <v>36.186284927937699</v>
      </c>
      <c r="D434" s="116">
        <v>35.152527183155897</v>
      </c>
      <c r="E434" s="116">
        <v>35.171582625455997</v>
      </c>
      <c r="F434" s="116">
        <v>379.8</v>
      </c>
      <c r="G434">
        <v>912041</v>
      </c>
      <c r="H434" s="116"/>
      <c r="I434" s="116"/>
      <c r="L434" s="170">
        <v>42641</v>
      </c>
      <c r="M434" s="116">
        <v>36.237353414386398</v>
      </c>
      <c r="N434" s="116">
        <v>36.413609767262997</v>
      </c>
      <c r="O434" s="116">
        <v>35.084541592869201</v>
      </c>
      <c r="P434" s="116">
        <v>35.084541592869201</v>
      </c>
      <c r="Q434" s="116">
        <v>380.35</v>
      </c>
      <c r="R434">
        <v>6338968</v>
      </c>
    </row>
    <row r="435" spans="1:18" x14ac:dyDescent="0.25">
      <c r="A435" s="170">
        <v>42642</v>
      </c>
      <c r="B435" s="116">
        <v>36.548338331640103</v>
      </c>
      <c r="C435" s="116">
        <v>35.047722250505203</v>
      </c>
      <c r="D435" s="116">
        <v>34.728543591978102</v>
      </c>
      <c r="E435" s="116">
        <v>36.376839350938901</v>
      </c>
      <c r="F435" s="116">
        <v>367.85</v>
      </c>
      <c r="G435">
        <v>865946</v>
      </c>
      <c r="H435" s="116"/>
      <c r="I435" s="116"/>
      <c r="L435" s="170">
        <v>42642</v>
      </c>
      <c r="M435" s="116">
        <v>35.136942130210898</v>
      </c>
      <c r="N435" s="116">
        <v>36.570811379288102</v>
      </c>
      <c r="O435" s="116">
        <v>34.774902054031898</v>
      </c>
      <c r="P435" s="116">
        <v>36.523174527159298</v>
      </c>
      <c r="Q435" s="116">
        <v>368.8</v>
      </c>
      <c r="R435">
        <v>13361086</v>
      </c>
    </row>
    <row r="436" spans="1:18" x14ac:dyDescent="0.25">
      <c r="A436" s="170">
        <v>42643</v>
      </c>
      <c r="B436" s="116">
        <v>36.014785947236597</v>
      </c>
      <c r="C436" s="116">
        <v>35.6717879858343</v>
      </c>
      <c r="D436" s="116">
        <v>34.671377265077702</v>
      </c>
      <c r="E436" s="116">
        <v>34.776182197728403</v>
      </c>
      <c r="F436" s="116">
        <v>374.4</v>
      </c>
      <c r="G436">
        <v>740589</v>
      </c>
      <c r="H436" s="116"/>
      <c r="I436" s="116"/>
      <c r="L436" s="170">
        <v>42643</v>
      </c>
      <c r="M436" s="116">
        <v>35.656183818414902</v>
      </c>
      <c r="N436" s="116">
        <v>35.961059672039298</v>
      </c>
      <c r="O436" s="116">
        <v>34.612936756793999</v>
      </c>
      <c r="P436" s="116">
        <v>35.046432111166197</v>
      </c>
      <c r="Q436" s="116">
        <v>374.25</v>
      </c>
      <c r="R436">
        <v>5506157</v>
      </c>
    </row>
    <row r="437" spans="1:18" x14ac:dyDescent="0.25">
      <c r="A437" s="170">
        <v>42646</v>
      </c>
      <c r="B437" s="116">
        <v>36.634087821990597</v>
      </c>
      <c r="C437" s="116">
        <v>36.476880423014599</v>
      </c>
      <c r="D437" s="116">
        <v>35.7289543127347</v>
      </c>
      <c r="E437" s="116">
        <v>35.824231524235302</v>
      </c>
      <c r="F437" s="116">
        <v>382.85</v>
      </c>
      <c r="G437">
        <v>476130</v>
      </c>
      <c r="H437" s="116"/>
      <c r="I437" s="116"/>
      <c r="L437" s="170">
        <v>42646</v>
      </c>
      <c r="M437" s="116">
        <v>36.475537675030502</v>
      </c>
      <c r="N437" s="116">
        <v>36.661321398332902</v>
      </c>
      <c r="O437" s="116">
        <v>35.851494912143103</v>
      </c>
      <c r="P437" s="116">
        <v>35.908659134697601</v>
      </c>
      <c r="Q437" s="116">
        <v>382.85</v>
      </c>
      <c r="R437">
        <v>4480810</v>
      </c>
    </row>
    <row r="438" spans="1:18" x14ac:dyDescent="0.25">
      <c r="A438" s="170">
        <v>42647</v>
      </c>
      <c r="B438" s="116">
        <v>37.353430768820402</v>
      </c>
      <c r="C438" s="116">
        <v>37.167640206394097</v>
      </c>
      <c r="D438" s="116">
        <v>36.467352701864499</v>
      </c>
      <c r="E438" s="116">
        <v>36.777003639241599</v>
      </c>
      <c r="F438" s="116">
        <v>390.1</v>
      </c>
      <c r="G438">
        <v>1507096</v>
      </c>
      <c r="H438" s="116"/>
      <c r="I438" s="116"/>
      <c r="L438" s="170">
        <v>42647</v>
      </c>
      <c r="M438" s="116">
        <v>37.2663094203687</v>
      </c>
      <c r="N438" s="116">
        <v>37.442565773245398</v>
      </c>
      <c r="O438" s="116">
        <v>36.432664508114598</v>
      </c>
      <c r="P438" s="116">
        <v>36.775649843441997</v>
      </c>
      <c r="Q438" s="116">
        <v>391.15</v>
      </c>
      <c r="R438">
        <v>8523432</v>
      </c>
    </row>
    <row r="439" spans="1:18" x14ac:dyDescent="0.25">
      <c r="A439" s="170">
        <v>42648</v>
      </c>
      <c r="B439" s="116">
        <v>37.777414359998097</v>
      </c>
      <c r="C439" s="116">
        <v>37.191459509269301</v>
      </c>
      <c r="D439" s="116">
        <v>36.967558062242801</v>
      </c>
      <c r="E439" s="116">
        <v>37.634498542747203</v>
      </c>
      <c r="F439" s="116">
        <v>390.35</v>
      </c>
      <c r="G439">
        <v>803772</v>
      </c>
      <c r="H439" s="116"/>
      <c r="I439" s="116"/>
      <c r="L439" s="170">
        <v>42648</v>
      </c>
      <c r="M439" s="116">
        <v>37.223436253452803</v>
      </c>
      <c r="N439" s="116">
        <v>37.776023738147003</v>
      </c>
      <c r="O439" s="116">
        <v>37.061470956214897</v>
      </c>
      <c r="P439" s="116">
        <v>37.652167922612101</v>
      </c>
      <c r="Q439" s="116">
        <v>390.7</v>
      </c>
      <c r="R439">
        <v>5154852</v>
      </c>
    </row>
    <row r="440" spans="1:18" x14ac:dyDescent="0.25">
      <c r="A440" s="170">
        <v>42649</v>
      </c>
      <c r="B440" s="116">
        <v>37.629734682172199</v>
      </c>
      <c r="C440" s="116">
        <v>37.091418437193603</v>
      </c>
      <c r="D440" s="116">
        <v>36.838933826717003</v>
      </c>
      <c r="E440" s="116">
        <v>37.348666908245299</v>
      </c>
      <c r="F440" s="116">
        <v>389.3</v>
      </c>
      <c r="G440">
        <v>573341</v>
      </c>
      <c r="H440" s="116"/>
      <c r="I440" s="116"/>
      <c r="L440" s="170">
        <v>42649</v>
      </c>
      <c r="M440" s="116">
        <v>37.142453604833797</v>
      </c>
      <c r="N440" s="116">
        <v>37.714095830379598</v>
      </c>
      <c r="O440" s="116">
        <v>36.828050380783701</v>
      </c>
      <c r="P440" s="116">
        <v>37.423511032393797</v>
      </c>
      <c r="Q440" s="116">
        <v>389.85</v>
      </c>
      <c r="R440">
        <v>7730432</v>
      </c>
    </row>
    <row r="441" spans="1:18" x14ac:dyDescent="0.25">
      <c r="A441" s="170">
        <v>42650</v>
      </c>
      <c r="B441" s="116">
        <v>38.834991407655103</v>
      </c>
      <c r="C441" s="116">
        <v>38.720658753854302</v>
      </c>
      <c r="D441" s="116">
        <v>37.158112485244096</v>
      </c>
      <c r="E441" s="116">
        <v>37.310556023645098</v>
      </c>
      <c r="F441" s="116">
        <v>406.4</v>
      </c>
      <c r="G441">
        <v>1768940</v>
      </c>
      <c r="H441" s="116"/>
      <c r="I441" s="116"/>
      <c r="L441" s="170">
        <v>42650</v>
      </c>
      <c r="M441" s="116">
        <v>38.7335244659361</v>
      </c>
      <c r="N441" s="116">
        <v>38.8335618554066</v>
      </c>
      <c r="O441" s="116">
        <v>37.175799401323999</v>
      </c>
      <c r="P441" s="116">
        <v>37.433038402819598</v>
      </c>
      <c r="Q441" s="116">
        <v>406.55</v>
      </c>
      <c r="R441">
        <v>11610384</v>
      </c>
    </row>
    <row r="442" spans="1:18" x14ac:dyDescent="0.25">
      <c r="A442" s="170">
        <v>42653</v>
      </c>
      <c r="B442" s="116">
        <v>40.016428830262797</v>
      </c>
      <c r="C442" s="116">
        <v>39.768708080361201</v>
      </c>
      <c r="D442" s="116">
        <v>38.968379503755997</v>
      </c>
      <c r="E442" s="116">
        <v>38.968379503755997</v>
      </c>
      <c r="F442" s="116">
        <v>417.4</v>
      </c>
      <c r="G442">
        <v>1324410</v>
      </c>
      <c r="H442" s="116"/>
      <c r="I442" s="116"/>
      <c r="L442" s="170">
        <v>42653</v>
      </c>
      <c r="M442" s="116">
        <v>39.862517861388902</v>
      </c>
      <c r="N442" s="116">
        <v>40.081647381181497</v>
      </c>
      <c r="O442" s="116">
        <v>38.966945041367303</v>
      </c>
      <c r="P442" s="116">
        <v>39.052691375199203</v>
      </c>
      <c r="Q442" s="116">
        <v>418.4</v>
      </c>
      <c r="R442">
        <v>11642373</v>
      </c>
    </row>
    <row r="443" spans="1:18" x14ac:dyDescent="0.25">
      <c r="A443" s="170">
        <v>42656</v>
      </c>
      <c r="B443" s="116">
        <v>39.997373387962703</v>
      </c>
      <c r="C443" s="116">
        <v>39.430473979534</v>
      </c>
      <c r="D443" s="116">
        <v>38.963615643180901</v>
      </c>
      <c r="E443" s="116">
        <v>39.611500681385202</v>
      </c>
      <c r="F443" s="116">
        <v>413.85</v>
      </c>
      <c r="G443">
        <v>1223958</v>
      </c>
      <c r="H443" s="116"/>
      <c r="I443" s="116"/>
      <c r="L443" s="170">
        <v>42656</v>
      </c>
      <c r="M443" s="116">
        <v>39.424258821803903</v>
      </c>
      <c r="N443" s="116">
        <v>40.053065269904202</v>
      </c>
      <c r="O443" s="116">
        <v>38.947890300515802</v>
      </c>
      <c r="P443" s="116">
        <v>39.443313562655398</v>
      </c>
      <c r="Q443" s="116">
        <v>413.8</v>
      </c>
      <c r="R443">
        <v>11106052</v>
      </c>
    </row>
    <row r="444" spans="1:18" x14ac:dyDescent="0.25">
      <c r="A444" s="170">
        <v>42657</v>
      </c>
      <c r="B444" s="116">
        <v>39.706777892885803</v>
      </c>
      <c r="C444" s="116">
        <v>39.244683417107801</v>
      </c>
      <c r="D444" s="116">
        <v>39.030309691231402</v>
      </c>
      <c r="E444" s="116">
        <v>39.549570493909798</v>
      </c>
      <c r="F444" s="116">
        <v>411.9</v>
      </c>
      <c r="G444">
        <v>651706</v>
      </c>
      <c r="H444" s="116"/>
      <c r="I444" s="116"/>
      <c r="L444" s="170">
        <v>42657</v>
      </c>
      <c r="M444" s="116">
        <v>39.281348265417499</v>
      </c>
      <c r="N444" s="116">
        <v>39.776771527557102</v>
      </c>
      <c r="O444" s="116">
        <v>39.0145818934961</v>
      </c>
      <c r="P444" s="116">
        <v>39.633860971170698</v>
      </c>
      <c r="Q444" s="116">
        <v>412.3</v>
      </c>
      <c r="R444">
        <v>5275390</v>
      </c>
    </row>
    <row r="445" spans="1:18" x14ac:dyDescent="0.25">
      <c r="A445" s="170">
        <v>42660</v>
      </c>
      <c r="B445" s="116">
        <v>39.592445239085102</v>
      </c>
      <c r="C445" s="116">
        <v>39.130350763307</v>
      </c>
      <c r="D445" s="116">
        <v>38.882630013405397</v>
      </c>
      <c r="E445" s="116">
        <v>39.1589339267572</v>
      </c>
      <c r="F445" s="116">
        <v>410.7</v>
      </c>
      <c r="G445">
        <v>957054</v>
      </c>
      <c r="H445" s="116"/>
      <c r="I445" s="116"/>
      <c r="L445" s="170">
        <v>42660</v>
      </c>
      <c r="M445" s="116">
        <v>39.138437709031002</v>
      </c>
      <c r="N445" s="116">
        <v>39.614806230319097</v>
      </c>
      <c r="O445" s="116">
        <v>38.8335618554066</v>
      </c>
      <c r="P445" s="116">
        <v>39.271820894991698</v>
      </c>
      <c r="Q445" s="116">
        <v>410.8</v>
      </c>
      <c r="R445">
        <v>6712935</v>
      </c>
    </row>
    <row r="446" spans="1:18" x14ac:dyDescent="0.25">
      <c r="A446" s="170">
        <v>42661</v>
      </c>
      <c r="B446" s="116">
        <v>40.588092099266603</v>
      </c>
      <c r="C446" s="116">
        <v>40.483287166615902</v>
      </c>
      <c r="D446" s="116">
        <v>39.287558162283098</v>
      </c>
      <c r="E446" s="116">
        <v>39.387599234358703</v>
      </c>
      <c r="F446" s="116">
        <v>424.9</v>
      </c>
      <c r="G446">
        <v>1014687</v>
      </c>
      <c r="H446" s="116"/>
      <c r="I446" s="116"/>
      <c r="L446" s="170">
        <v>42661</v>
      </c>
      <c r="M446" s="116">
        <v>40.4865606242764</v>
      </c>
      <c r="N446" s="116">
        <v>40.634234865875698</v>
      </c>
      <c r="O446" s="116">
        <v>39.262293524565898</v>
      </c>
      <c r="P446" s="116">
        <v>39.4814230443585</v>
      </c>
      <c r="Q446" s="116">
        <v>424.95</v>
      </c>
      <c r="R446">
        <v>7584884</v>
      </c>
    </row>
    <row r="447" spans="1:18" x14ac:dyDescent="0.25">
      <c r="A447" s="170">
        <v>42662</v>
      </c>
      <c r="B447" s="116">
        <v>40.731007916517498</v>
      </c>
      <c r="C447" s="116">
        <v>40.535689632941299</v>
      </c>
      <c r="D447" s="116">
        <v>40.159344647513798</v>
      </c>
      <c r="E447" s="116">
        <v>40.683369310767198</v>
      </c>
      <c r="F447" s="116">
        <v>425.45</v>
      </c>
      <c r="G447">
        <v>908188</v>
      </c>
      <c r="H447" s="116"/>
      <c r="I447" s="116"/>
      <c r="L447" s="170">
        <v>42662</v>
      </c>
      <c r="M447" s="116">
        <v>40.586598013746901</v>
      </c>
      <c r="N447" s="116">
        <v>40.7533269961977</v>
      </c>
      <c r="O447" s="116">
        <v>40.129284233310301</v>
      </c>
      <c r="P447" s="116">
        <v>40.586598013746901</v>
      </c>
      <c r="Q447" s="116">
        <v>426</v>
      </c>
      <c r="R447">
        <v>4973722</v>
      </c>
    </row>
    <row r="448" spans="1:18" x14ac:dyDescent="0.25">
      <c r="A448" s="170">
        <v>42663</v>
      </c>
      <c r="B448" s="116">
        <v>41.1264083442451</v>
      </c>
      <c r="C448" s="116">
        <v>40.821521267443103</v>
      </c>
      <c r="D448" s="116">
        <v>40.511870330066102</v>
      </c>
      <c r="E448" s="116">
        <v>40.778646522267799</v>
      </c>
      <c r="F448" s="116">
        <v>428.45</v>
      </c>
      <c r="G448">
        <v>676241</v>
      </c>
      <c r="H448" s="116"/>
      <c r="I448" s="116"/>
      <c r="L448" s="170">
        <v>42663</v>
      </c>
      <c r="M448" s="116">
        <v>40.829545959603799</v>
      </c>
      <c r="N448" s="116">
        <v>41.148712868866802</v>
      </c>
      <c r="O448" s="116">
        <v>40.515142735553702</v>
      </c>
      <c r="P448" s="116">
        <v>40.7533269961977</v>
      </c>
      <c r="Q448" s="116">
        <v>428.55</v>
      </c>
      <c r="R448">
        <v>5062646</v>
      </c>
    </row>
    <row r="449" spans="1:18" x14ac:dyDescent="0.25">
      <c r="A449" s="170">
        <v>42664</v>
      </c>
      <c r="B449" s="116">
        <v>40.854868291468399</v>
      </c>
      <c r="C449" s="116">
        <v>40.711952474217398</v>
      </c>
      <c r="D449" s="116">
        <v>40.192691671539002</v>
      </c>
      <c r="E449" s="116">
        <v>40.778646522267799</v>
      </c>
      <c r="F449" s="116">
        <v>427.3</v>
      </c>
      <c r="G449">
        <v>401264</v>
      </c>
      <c r="H449" s="116"/>
      <c r="I449" s="116"/>
      <c r="L449" s="170">
        <v>42664</v>
      </c>
      <c r="M449" s="116">
        <v>40.700926458856003</v>
      </c>
      <c r="N449" s="116">
        <v>40.820018589177998</v>
      </c>
      <c r="O449" s="116">
        <v>40.176921085439098</v>
      </c>
      <c r="P449" s="116">
        <v>40.681871718004501</v>
      </c>
      <c r="Q449" s="116">
        <v>427.2</v>
      </c>
      <c r="R449">
        <v>4124680</v>
      </c>
    </row>
    <row r="450" spans="1:18" x14ac:dyDescent="0.25">
      <c r="A450" s="170">
        <v>42667</v>
      </c>
      <c r="B450" s="116">
        <v>41.064478156769702</v>
      </c>
      <c r="C450" s="116">
        <v>40.607147541566697</v>
      </c>
      <c r="D450" s="116">
        <v>40.511870330066102</v>
      </c>
      <c r="E450" s="116">
        <v>40.731007916517498</v>
      </c>
      <c r="F450" s="116">
        <v>426.2</v>
      </c>
      <c r="G450">
        <v>376692</v>
      </c>
      <c r="H450" s="116"/>
      <c r="I450" s="116"/>
      <c r="L450" s="170">
        <v>42667</v>
      </c>
      <c r="M450" s="116">
        <v>40.591361698959801</v>
      </c>
      <c r="N450" s="116">
        <v>41.101076016737998</v>
      </c>
      <c r="O450" s="116">
        <v>40.491324309489301</v>
      </c>
      <c r="P450" s="116">
        <v>40.724744884920398</v>
      </c>
      <c r="Q450" s="116">
        <v>426.05</v>
      </c>
      <c r="R450">
        <v>2881988</v>
      </c>
    </row>
    <row r="451" spans="1:18" x14ac:dyDescent="0.25">
      <c r="A451" s="170">
        <v>42668</v>
      </c>
      <c r="B451" s="116">
        <v>39.921151618762202</v>
      </c>
      <c r="C451" s="116">
        <v>39.587681378509998</v>
      </c>
      <c r="D451" s="116">
        <v>38.982671085481101</v>
      </c>
      <c r="E451" s="116">
        <v>39.1589339267572</v>
      </c>
      <c r="F451" s="116">
        <v>415.5</v>
      </c>
      <c r="G451">
        <v>1046834</v>
      </c>
      <c r="H451" s="116"/>
      <c r="I451" s="116"/>
      <c r="L451" s="170">
        <v>42668</v>
      </c>
      <c r="M451" s="116">
        <v>39.5624056929774</v>
      </c>
      <c r="N451" s="116">
        <v>39.938736824795001</v>
      </c>
      <c r="O451" s="116">
        <v>38.905017133599799</v>
      </c>
      <c r="P451" s="116">
        <v>39.062218745624897</v>
      </c>
      <c r="Q451" s="116">
        <v>415.25</v>
      </c>
      <c r="R451">
        <v>8696996</v>
      </c>
    </row>
    <row r="452" spans="1:18" x14ac:dyDescent="0.25">
      <c r="A452" s="170">
        <v>42669</v>
      </c>
      <c r="B452" s="116">
        <v>39.902096176462102</v>
      </c>
      <c r="C452" s="116">
        <v>38.001315807024604</v>
      </c>
      <c r="D452" s="116">
        <v>37.286736720769902</v>
      </c>
      <c r="E452" s="116">
        <v>39.444765561259103</v>
      </c>
      <c r="F452" s="116">
        <v>398.85</v>
      </c>
      <c r="G452">
        <v>1036912</v>
      </c>
      <c r="H452" s="116"/>
      <c r="I452" s="116"/>
      <c r="L452" s="170">
        <v>42669</v>
      </c>
      <c r="M452" s="116">
        <v>37.976098517087998</v>
      </c>
      <c r="N452" s="116">
        <v>39.900627343091998</v>
      </c>
      <c r="O452" s="116">
        <v>37.242490994304298</v>
      </c>
      <c r="P452" s="116">
        <v>39.4766593591456</v>
      </c>
      <c r="Q452" s="116">
        <v>398.6</v>
      </c>
      <c r="R452">
        <v>8302477</v>
      </c>
    </row>
    <row r="453" spans="1:18" x14ac:dyDescent="0.25">
      <c r="A453" s="170">
        <v>42670</v>
      </c>
      <c r="B453" s="116">
        <v>38.0156073887497</v>
      </c>
      <c r="C453" s="116">
        <v>37.834580686898498</v>
      </c>
      <c r="D453" s="116">
        <v>36.3006175817384</v>
      </c>
      <c r="E453" s="116">
        <v>36.3006175817384</v>
      </c>
      <c r="F453" s="116">
        <v>397.1</v>
      </c>
      <c r="G453">
        <v>1666970</v>
      </c>
      <c r="H453" s="116"/>
      <c r="I453" s="116"/>
      <c r="L453" s="170">
        <v>42670</v>
      </c>
      <c r="M453" s="116">
        <v>37.837951645914501</v>
      </c>
      <c r="N453" s="116">
        <v>38.109481703048701</v>
      </c>
      <c r="O453" s="116">
        <v>36.523174527159298</v>
      </c>
      <c r="P453" s="116">
        <v>36.966197251957198</v>
      </c>
      <c r="Q453" s="116">
        <v>397.15</v>
      </c>
      <c r="R453">
        <v>13709731</v>
      </c>
    </row>
    <row r="454" spans="1:18" x14ac:dyDescent="0.25">
      <c r="A454" s="170">
        <v>42671</v>
      </c>
      <c r="B454" s="116">
        <v>38.649200845228897</v>
      </c>
      <c r="C454" s="116">
        <v>38.534868191428103</v>
      </c>
      <c r="D454" s="116">
        <v>37.882219292648799</v>
      </c>
      <c r="E454" s="116">
        <v>38.0156073887497</v>
      </c>
      <c r="F454" s="116">
        <v>404.45</v>
      </c>
      <c r="G454">
        <v>902794</v>
      </c>
      <c r="H454" s="116"/>
      <c r="I454" s="116"/>
      <c r="L454" s="170">
        <v>42671</v>
      </c>
      <c r="M454" s="116">
        <v>38.628723391252699</v>
      </c>
      <c r="N454" s="116">
        <v>38.728760780723199</v>
      </c>
      <c r="O454" s="116">
        <v>37.857006386766002</v>
      </c>
      <c r="P454" s="116">
        <v>37.990389572726698</v>
      </c>
      <c r="Q454" s="116">
        <v>405.45</v>
      </c>
      <c r="R454">
        <v>6788166</v>
      </c>
    </row>
    <row r="455" spans="1:18" x14ac:dyDescent="0.25">
      <c r="A455" s="170">
        <v>42673</v>
      </c>
      <c r="B455" s="116">
        <v>38.9064493162806</v>
      </c>
      <c r="C455" s="116">
        <v>38.553923633728203</v>
      </c>
      <c r="D455" s="116">
        <v>38.301439023251604</v>
      </c>
      <c r="E455" s="116">
        <v>38.9064493162806</v>
      </c>
      <c r="F455" s="116">
        <v>404.65</v>
      </c>
      <c r="G455">
        <v>113087</v>
      </c>
      <c r="H455" s="116"/>
      <c r="I455" s="116"/>
      <c r="L455" s="170">
        <v>42673</v>
      </c>
      <c r="M455" s="116">
        <v>38.5572681130595</v>
      </c>
      <c r="N455" s="116">
        <v>38.866907651896803</v>
      </c>
      <c r="O455" s="116">
        <v>38.347665963692798</v>
      </c>
      <c r="P455" s="116">
        <v>38.776397632852103</v>
      </c>
      <c r="Q455" s="116">
        <v>404.7</v>
      </c>
      <c r="R455">
        <v>637163</v>
      </c>
    </row>
    <row r="456" spans="1:18" x14ac:dyDescent="0.25">
      <c r="A456" s="170">
        <v>42675</v>
      </c>
      <c r="B456" s="116">
        <v>40.383246094540297</v>
      </c>
      <c r="C456" s="116">
        <v>39.797291243811401</v>
      </c>
      <c r="D456" s="116">
        <v>38.491993446252799</v>
      </c>
      <c r="E456" s="116">
        <v>38.491993446252799</v>
      </c>
      <c r="F456" s="116">
        <v>417.7</v>
      </c>
      <c r="G456">
        <v>1177033</v>
      </c>
      <c r="H456" s="116"/>
      <c r="I456" s="116"/>
      <c r="L456" s="170">
        <v>42675</v>
      </c>
      <c r="M456" s="116">
        <v>39.795826268408597</v>
      </c>
      <c r="N456" s="116">
        <v>40.3912869200188</v>
      </c>
      <c r="O456" s="116">
        <v>38.214282777732102</v>
      </c>
      <c r="P456" s="116">
        <v>38.571559168698201</v>
      </c>
      <c r="Q456" s="116">
        <v>417.7</v>
      </c>
      <c r="R456">
        <v>9473737</v>
      </c>
    </row>
    <row r="457" spans="1:18" x14ac:dyDescent="0.25">
      <c r="A457" s="170">
        <v>42676</v>
      </c>
      <c r="B457" s="116">
        <v>39.635319984260299</v>
      </c>
      <c r="C457" s="116">
        <v>39.411418537233899</v>
      </c>
      <c r="D457" s="116">
        <v>38.730186475004402</v>
      </c>
      <c r="E457" s="116">
        <v>38.730186475004402</v>
      </c>
      <c r="F457" s="116">
        <v>413.65</v>
      </c>
      <c r="G457">
        <v>837224</v>
      </c>
      <c r="H457" s="116"/>
      <c r="I457" s="116"/>
      <c r="L457" s="170">
        <v>42676</v>
      </c>
      <c r="M457" s="116">
        <v>39.381385654888</v>
      </c>
      <c r="N457" s="116">
        <v>39.671970452873701</v>
      </c>
      <c r="O457" s="116">
        <v>38.681123928594403</v>
      </c>
      <c r="P457" s="116">
        <v>38.681123928594403</v>
      </c>
      <c r="Q457" s="116">
        <v>413.35</v>
      </c>
      <c r="R457">
        <v>7410152</v>
      </c>
    </row>
    <row r="458" spans="1:18" x14ac:dyDescent="0.25">
      <c r="A458" s="170">
        <v>42677</v>
      </c>
      <c r="B458" s="116">
        <v>39.959262503362503</v>
      </c>
      <c r="C458" s="116">
        <v>38.425299398202398</v>
      </c>
      <c r="D458" s="116">
        <v>37.977496504149499</v>
      </c>
      <c r="E458" s="116">
        <v>39.216100253657601</v>
      </c>
      <c r="F458" s="116">
        <v>403.3</v>
      </c>
      <c r="G458">
        <v>1085274</v>
      </c>
      <c r="H458" s="116"/>
      <c r="I458" s="116"/>
      <c r="L458" s="170">
        <v>42677</v>
      </c>
      <c r="M458" s="116">
        <v>38.423884927098896</v>
      </c>
      <c r="N458" s="116">
        <v>39.986373676923897</v>
      </c>
      <c r="O458" s="116">
        <v>37.980862202300898</v>
      </c>
      <c r="P458" s="116">
        <v>39.157492449882497</v>
      </c>
      <c r="Q458" s="116">
        <v>403.3</v>
      </c>
      <c r="R458">
        <v>8494155</v>
      </c>
    </row>
    <row r="459" spans="1:18" x14ac:dyDescent="0.25">
      <c r="A459" s="170">
        <v>42678</v>
      </c>
      <c r="B459" s="116">
        <v>38.815935965355003</v>
      </c>
      <c r="C459" s="116">
        <v>38.401480095327202</v>
      </c>
      <c r="D459" s="116">
        <v>37.948913340699299</v>
      </c>
      <c r="E459" s="116">
        <v>38.325258326126701</v>
      </c>
      <c r="F459" s="116">
        <v>403.05</v>
      </c>
      <c r="G459">
        <v>708382</v>
      </c>
      <c r="H459" s="116"/>
      <c r="I459" s="116"/>
      <c r="L459" s="170">
        <v>42678</v>
      </c>
      <c r="M459" s="116">
        <v>38.404830186247302</v>
      </c>
      <c r="N459" s="116">
        <v>38.8335618554066</v>
      </c>
      <c r="O459" s="116">
        <v>37.942752720597902</v>
      </c>
      <c r="P459" s="116">
        <v>38.481049149653401</v>
      </c>
      <c r="Q459" s="116">
        <v>403.1</v>
      </c>
      <c r="R459">
        <v>5096305</v>
      </c>
    </row>
    <row r="460" spans="1:18" x14ac:dyDescent="0.25">
      <c r="A460" s="170">
        <v>42681</v>
      </c>
      <c r="B460" s="116">
        <v>39.468584864134201</v>
      </c>
      <c r="C460" s="116">
        <v>39.206572532507501</v>
      </c>
      <c r="D460" s="116">
        <v>38.601562239478497</v>
      </c>
      <c r="E460" s="116">
        <v>38.601562239478497</v>
      </c>
      <c r="F460" s="116">
        <v>411.5</v>
      </c>
      <c r="G460">
        <v>697980</v>
      </c>
      <c r="H460" s="116"/>
      <c r="I460" s="116"/>
      <c r="L460" s="170">
        <v>42681</v>
      </c>
      <c r="M460" s="116">
        <v>39.309930376694702</v>
      </c>
      <c r="N460" s="116">
        <v>39.5719330634032</v>
      </c>
      <c r="O460" s="116">
        <v>38.709706039871698</v>
      </c>
      <c r="P460" s="116">
        <v>38.709706039871698</v>
      </c>
      <c r="Q460" s="116">
        <v>412.6</v>
      </c>
      <c r="R460">
        <v>4516324</v>
      </c>
    </row>
    <row r="461" spans="1:18" x14ac:dyDescent="0.25">
      <c r="A461" s="170">
        <v>42682</v>
      </c>
      <c r="B461" s="116">
        <v>39.530515051609598</v>
      </c>
      <c r="C461" s="116">
        <v>38.930268619155697</v>
      </c>
      <c r="D461" s="116">
        <v>38.5872706577535</v>
      </c>
      <c r="E461" s="116">
        <v>39.4018908160838</v>
      </c>
      <c r="F461" s="116">
        <v>408.6</v>
      </c>
      <c r="G461">
        <v>486439</v>
      </c>
      <c r="H461" s="116"/>
      <c r="I461" s="116"/>
      <c r="L461" s="170">
        <v>42682</v>
      </c>
      <c r="M461" s="116">
        <v>38.933599244877101</v>
      </c>
      <c r="N461" s="116">
        <v>39.576696748616101</v>
      </c>
      <c r="O461" s="116">
        <v>38.633487076465599</v>
      </c>
      <c r="P461" s="116">
        <v>39.443313562655398</v>
      </c>
      <c r="Q461" s="116">
        <v>408.65</v>
      </c>
      <c r="R461">
        <v>3253417</v>
      </c>
    </row>
    <row r="462" spans="1:18" x14ac:dyDescent="0.25">
      <c r="A462" s="170">
        <v>42683</v>
      </c>
      <c r="B462" s="116">
        <v>38.434827119352498</v>
      </c>
      <c r="C462" s="116">
        <v>38.091829157950201</v>
      </c>
      <c r="D462" s="116">
        <v>36.205340370237799</v>
      </c>
      <c r="E462" s="116">
        <v>36.576921495090197</v>
      </c>
      <c r="F462" s="116">
        <v>399.8</v>
      </c>
      <c r="G462">
        <v>949934</v>
      </c>
      <c r="H462" s="116"/>
      <c r="I462" s="116"/>
      <c r="L462" s="170">
        <v>42683</v>
      </c>
      <c r="M462" s="116">
        <v>38.047553795281303</v>
      </c>
      <c r="N462" s="116">
        <v>38.481049149653401</v>
      </c>
      <c r="O462" s="116">
        <v>35.918186505123401</v>
      </c>
      <c r="P462" s="116">
        <v>36.204007617896302</v>
      </c>
      <c r="Q462" s="116">
        <v>399.35</v>
      </c>
      <c r="R462">
        <v>5912250</v>
      </c>
    </row>
    <row r="463" spans="1:18" x14ac:dyDescent="0.25">
      <c r="A463" s="170">
        <v>42684</v>
      </c>
      <c r="B463" s="116">
        <v>41.826695848774698</v>
      </c>
      <c r="C463" s="116">
        <v>41.621849844048398</v>
      </c>
      <c r="D463" s="116">
        <v>38.720658753854302</v>
      </c>
      <c r="E463" s="116">
        <v>38.720658753854302</v>
      </c>
      <c r="F463" s="116">
        <v>436.85</v>
      </c>
      <c r="G463">
        <v>1819052</v>
      </c>
      <c r="H463" s="116"/>
      <c r="I463" s="116"/>
      <c r="L463" s="170">
        <v>42684</v>
      </c>
      <c r="M463" s="116">
        <v>41.634608760580697</v>
      </c>
      <c r="N463" s="116">
        <v>41.8537382803732</v>
      </c>
      <c r="O463" s="116">
        <v>38.866907651896803</v>
      </c>
      <c r="P463" s="116">
        <v>38.866907651896803</v>
      </c>
      <c r="Q463" s="116">
        <v>437</v>
      </c>
      <c r="R463">
        <v>10898034</v>
      </c>
    </row>
    <row r="464" spans="1:18" x14ac:dyDescent="0.25">
      <c r="A464" s="170">
        <v>42685</v>
      </c>
      <c r="B464" s="116">
        <v>42.0077225506259</v>
      </c>
      <c r="C464" s="116">
        <v>40.669077729042101</v>
      </c>
      <c r="D464" s="116">
        <v>40.426120839715502</v>
      </c>
      <c r="E464" s="116">
        <v>41.093061320219903</v>
      </c>
      <c r="F464" s="116">
        <v>426.85</v>
      </c>
      <c r="G464">
        <v>1090380</v>
      </c>
      <c r="H464" s="116"/>
      <c r="I464" s="116"/>
      <c r="L464" s="170">
        <v>42685</v>
      </c>
      <c r="M464" s="116">
        <v>40.634234865875698</v>
      </c>
      <c r="N464" s="116">
        <v>42.063340429740002</v>
      </c>
      <c r="O464" s="116">
        <v>40.396050605231601</v>
      </c>
      <c r="P464" s="116">
        <v>41.205877091421399</v>
      </c>
      <c r="Q464" s="116">
        <v>426.5</v>
      </c>
      <c r="R464">
        <v>8733209</v>
      </c>
    </row>
    <row r="465" spans="1:18" x14ac:dyDescent="0.25">
      <c r="A465" s="170">
        <v>42689</v>
      </c>
      <c r="B465" s="116">
        <v>39.730597195761</v>
      </c>
      <c r="C465" s="116">
        <v>37.496346586071297</v>
      </c>
      <c r="D465" s="116">
        <v>37.305792163070002</v>
      </c>
      <c r="E465" s="116">
        <v>39.073184436406599</v>
      </c>
      <c r="F465" s="116">
        <v>393.55</v>
      </c>
      <c r="G465">
        <v>828414</v>
      </c>
      <c r="H465" s="116"/>
      <c r="I465" s="116"/>
      <c r="L465" s="170">
        <v>42689</v>
      </c>
      <c r="M465" s="116">
        <v>37.447329458458199</v>
      </c>
      <c r="N465" s="116">
        <v>39.824408379685899</v>
      </c>
      <c r="O465" s="116">
        <v>37.252018364730098</v>
      </c>
      <c r="P465" s="116">
        <v>39.2051293020114</v>
      </c>
      <c r="Q465" s="116">
        <v>393.05</v>
      </c>
      <c r="R465">
        <v>9253517</v>
      </c>
    </row>
    <row r="466" spans="1:18" x14ac:dyDescent="0.25">
      <c r="A466" s="170">
        <v>42690</v>
      </c>
      <c r="B466" s="116">
        <v>38.215689532901003</v>
      </c>
      <c r="C466" s="116">
        <v>37.324847605370202</v>
      </c>
      <c r="D466" s="116">
        <v>36.2625066971382</v>
      </c>
      <c r="E466" s="116">
        <v>37.729775754247797</v>
      </c>
      <c r="F466" s="116">
        <v>391.75</v>
      </c>
      <c r="G466">
        <v>909385</v>
      </c>
      <c r="H466" s="116"/>
      <c r="I466" s="116"/>
      <c r="L466" s="170">
        <v>42690</v>
      </c>
      <c r="M466" s="116">
        <v>37.418747347180897</v>
      </c>
      <c r="N466" s="116">
        <v>38.242864889009397</v>
      </c>
      <c r="O466" s="116">
        <v>36.284990266515301</v>
      </c>
      <c r="P466" s="116">
        <v>37.8236605902758</v>
      </c>
      <c r="Q466" s="116">
        <v>392.75</v>
      </c>
      <c r="R466">
        <v>8230718</v>
      </c>
    </row>
    <row r="467" spans="1:18" x14ac:dyDescent="0.25">
      <c r="A467" s="170">
        <v>42691</v>
      </c>
      <c r="B467" s="116">
        <v>37.948913340699299</v>
      </c>
      <c r="C467" s="116">
        <v>37.439180259170897</v>
      </c>
      <c r="D467" s="116">
        <v>36.891336293042301</v>
      </c>
      <c r="E467" s="116">
        <v>37.4439441197459</v>
      </c>
      <c r="F467" s="116">
        <v>392.95</v>
      </c>
      <c r="G467">
        <v>656514</v>
      </c>
      <c r="H467" s="116"/>
      <c r="I467" s="116"/>
      <c r="L467" s="170">
        <v>42691</v>
      </c>
      <c r="M467" s="116">
        <v>37.418747347180897</v>
      </c>
      <c r="N467" s="116">
        <v>37.976098517087998</v>
      </c>
      <c r="O467" s="116">
        <v>36.870923547699597</v>
      </c>
      <c r="P467" s="116">
        <v>37.490202625374202</v>
      </c>
      <c r="Q467" s="116">
        <v>392.75</v>
      </c>
      <c r="R467">
        <v>4361763</v>
      </c>
    </row>
    <row r="468" spans="1:18" x14ac:dyDescent="0.25">
      <c r="A468" s="170">
        <v>42692</v>
      </c>
      <c r="B468" s="116">
        <v>37.596387658147002</v>
      </c>
      <c r="C468" s="116">
        <v>36.691254148890998</v>
      </c>
      <c r="D468" s="116">
        <v>36.3196730240386</v>
      </c>
      <c r="E468" s="116">
        <v>37.234334254444597</v>
      </c>
      <c r="F468" s="116">
        <v>385.1</v>
      </c>
      <c r="G468">
        <v>542404</v>
      </c>
      <c r="H468" s="116"/>
      <c r="I468" s="116"/>
      <c r="L468" s="170">
        <v>42692</v>
      </c>
      <c r="M468" s="116">
        <v>36.689903509610097</v>
      </c>
      <c r="N468" s="116">
        <v>39.2908756358432</v>
      </c>
      <c r="O468" s="116">
        <v>36.323099748218297</v>
      </c>
      <c r="P468" s="116">
        <v>37.161508345685398</v>
      </c>
      <c r="Q468" s="116">
        <v>385.1</v>
      </c>
      <c r="R468">
        <v>4660147</v>
      </c>
    </row>
    <row r="469" spans="1:18" x14ac:dyDescent="0.25">
      <c r="A469" s="170">
        <v>42695</v>
      </c>
      <c r="B469" s="116">
        <v>37.091418437193603</v>
      </c>
      <c r="C469" s="116">
        <v>35.4002479330575</v>
      </c>
      <c r="D469" s="116">
        <v>34.8762232698041</v>
      </c>
      <c r="E469" s="116">
        <v>36.691254148890998</v>
      </c>
      <c r="F469" s="116">
        <v>371.55</v>
      </c>
      <c r="G469">
        <v>959439</v>
      </c>
      <c r="H469" s="116"/>
      <c r="I469" s="116"/>
      <c r="L469" s="170">
        <v>42695</v>
      </c>
      <c r="M469" s="116">
        <v>35.389417446493603</v>
      </c>
      <c r="N469" s="116">
        <v>37.118635178769402</v>
      </c>
      <c r="O469" s="116">
        <v>34.8987578695669</v>
      </c>
      <c r="P469" s="116">
        <v>36.7232493061003</v>
      </c>
      <c r="Q469" s="116">
        <v>371.45</v>
      </c>
      <c r="R469">
        <v>6566271</v>
      </c>
    </row>
    <row r="470" spans="1:18" x14ac:dyDescent="0.25">
      <c r="A470" s="170">
        <v>42696</v>
      </c>
      <c r="B470" s="116">
        <v>36.157701764487499</v>
      </c>
      <c r="C470" s="116">
        <v>36.014785947236597</v>
      </c>
      <c r="D470" s="116">
        <v>35.524108308008302</v>
      </c>
      <c r="E470" s="116">
        <v>35.724190452159597</v>
      </c>
      <c r="F470" s="116">
        <v>378</v>
      </c>
      <c r="G470">
        <v>486766</v>
      </c>
      <c r="H470" s="116"/>
      <c r="I470" s="116"/>
      <c r="L470" s="170">
        <v>42696</v>
      </c>
      <c r="M470" s="116">
        <v>36.018223894593902</v>
      </c>
      <c r="N470" s="116">
        <v>36.175425506619</v>
      </c>
      <c r="O470" s="116">
        <v>35.518036947241399</v>
      </c>
      <c r="P470" s="116">
        <v>35.889604393846099</v>
      </c>
      <c r="Q470" s="116">
        <v>378.05</v>
      </c>
      <c r="R470">
        <v>4143438</v>
      </c>
    </row>
    <row r="471" spans="1:18" x14ac:dyDescent="0.25">
      <c r="A471" s="170">
        <v>42697</v>
      </c>
      <c r="B471" s="116">
        <v>37.539221331246601</v>
      </c>
      <c r="C471" s="116">
        <v>37.382013932270503</v>
      </c>
      <c r="D471" s="116">
        <v>36.2529789759881</v>
      </c>
      <c r="E471" s="116">
        <v>36.3006175817384</v>
      </c>
      <c r="F471" s="116">
        <v>392.35</v>
      </c>
      <c r="G471">
        <v>737750</v>
      </c>
      <c r="H471" s="116"/>
      <c r="I471" s="116"/>
      <c r="L471" s="170">
        <v>42697</v>
      </c>
      <c r="M471" s="116">
        <v>37.413983661968103</v>
      </c>
      <c r="N471" s="116">
        <v>37.614058440909098</v>
      </c>
      <c r="O471" s="116">
        <v>36.208771303109202</v>
      </c>
      <c r="P471" s="116">
        <v>36.299281322153902</v>
      </c>
      <c r="Q471" s="116">
        <v>392.7</v>
      </c>
      <c r="R471">
        <v>5124218</v>
      </c>
    </row>
    <row r="472" spans="1:18" x14ac:dyDescent="0.25">
      <c r="A472" s="170">
        <v>42698</v>
      </c>
      <c r="B472" s="116">
        <v>38.110884600250301</v>
      </c>
      <c r="C472" s="116">
        <v>37.944149480124203</v>
      </c>
      <c r="D472" s="116">
        <v>36.753184336366402</v>
      </c>
      <c r="E472" s="116">
        <v>36.905627874767397</v>
      </c>
      <c r="F472" s="116">
        <v>398.25</v>
      </c>
      <c r="G472">
        <v>686181</v>
      </c>
      <c r="H472" s="116"/>
      <c r="I472" s="116"/>
      <c r="L472" s="170">
        <v>42698</v>
      </c>
      <c r="M472" s="116">
        <v>37.933225350172101</v>
      </c>
      <c r="N472" s="116">
        <v>38.176173296028999</v>
      </c>
      <c r="O472" s="116">
        <v>36.737540361739001</v>
      </c>
      <c r="P472" s="116">
        <v>36.875687232912497</v>
      </c>
      <c r="Q472" s="116">
        <v>398.15</v>
      </c>
      <c r="R472">
        <v>7117077</v>
      </c>
    </row>
    <row r="473" spans="1:18" x14ac:dyDescent="0.25">
      <c r="A473" s="170">
        <v>42699</v>
      </c>
      <c r="B473" s="116">
        <v>39.320905186308302</v>
      </c>
      <c r="C473" s="116">
        <v>38.844519128805103</v>
      </c>
      <c r="D473" s="116">
        <v>37.929857898399099</v>
      </c>
      <c r="E473" s="116">
        <v>38.101356879100301</v>
      </c>
      <c r="F473" s="116">
        <v>407.7</v>
      </c>
      <c r="G473">
        <v>980430</v>
      </c>
      <c r="H473" s="116"/>
      <c r="I473" s="116"/>
      <c r="L473" s="170">
        <v>42699</v>
      </c>
      <c r="M473" s="116">
        <v>38.943126615302901</v>
      </c>
      <c r="N473" s="116">
        <v>39.395676710526601</v>
      </c>
      <c r="O473" s="116">
        <v>37.871297442404703</v>
      </c>
      <c r="P473" s="116">
        <v>38.0142079987911</v>
      </c>
      <c r="Q473" s="116">
        <v>408.75</v>
      </c>
      <c r="R473">
        <v>7090491</v>
      </c>
    </row>
    <row r="474" spans="1:18" x14ac:dyDescent="0.25">
      <c r="A474" s="170">
        <v>42702</v>
      </c>
      <c r="B474" s="116">
        <v>39.1684616479073</v>
      </c>
      <c r="C474" s="116">
        <v>38.787352801904802</v>
      </c>
      <c r="D474" s="116">
        <v>38.353841489576901</v>
      </c>
      <c r="E474" s="116">
        <v>38.787352801904802</v>
      </c>
      <c r="F474" s="116">
        <v>407.1</v>
      </c>
      <c r="G474">
        <v>598955</v>
      </c>
      <c r="H474" s="116"/>
      <c r="I474" s="116"/>
      <c r="L474" s="170">
        <v>42702</v>
      </c>
      <c r="M474" s="116">
        <v>38.738288151149</v>
      </c>
      <c r="N474" s="116">
        <v>39.224184042862902</v>
      </c>
      <c r="O474" s="116">
        <v>38.342902278479897</v>
      </c>
      <c r="P474" s="116">
        <v>38.862143966683902</v>
      </c>
      <c r="Q474" s="116">
        <v>406.6</v>
      </c>
      <c r="R474">
        <v>4679209</v>
      </c>
    </row>
    <row r="475" spans="1:18" x14ac:dyDescent="0.25">
      <c r="A475" s="170">
        <v>42703</v>
      </c>
      <c r="B475" s="116">
        <v>39.763944219786197</v>
      </c>
      <c r="C475" s="116">
        <v>38.973143364331001</v>
      </c>
      <c r="D475" s="116">
        <v>38.854046849955203</v>
      </c>
      <c r="E475" s="116">
        <v>39.482876445859297</v>
      </c>
      <c r="F475" s="116">
        <v>409.05</v>
      </c>
      <c r="G475">
        <v>849936</v>
      </c>
      <c r="H475" s="116"/>
      <c r="I475" s="116"/>
      <c r="L475" s="170">
        <v>42703</v>
      </c>
      <c r="M475" s="116">
        <v>38.962181356154403</v>
      </c>
      <c r="N475" s="116">
        <v>39.786298897982903</v>
      </c>
      <c r="O475" s="116">
        <v>38.852616596258201</v>
      </c>
      <c r="P475" s="116">
        <v>39.538587266912998</v>
      </c>
      <c r="Q475" s="116">
        <v>408.95</v>
      </c>
      <c r="R475">
        <v>6015315</v>
      </c>
    </row>
    <row r="476" spans="1:18" x14ac:dyDescent="0.25">
      <c r="A476" s="170">
        <v>42704</v>
      </c>
      <c r="B476" s="116">
        <v>39.625792263110299</v>
      </c>
      <c r="C476" s="116">
        <v>39.535278912184701</v>
      </c>
      <c r="D476" s="116">
        <v>38.553923633728203</v>
      </c>
      <c r="E476" s="116">
        <v>38.777825080754702</v>
      </c>
      <c r="F476" s="116">
        <v>414.95</v>
      </c>
      <c r="G476">
        <v>763962</v>
      </c>
      <c r="H476" s="116"/>
      <c r="I476" s="116"/>
      <c r="L476" s="170">
        <v>42704</v>
      </c>
      <c r="M476" s="116">
        <v>39.543350952125898</v>
      </c>
      <c r="N476" s="116">
        <v>39.633860971170698</v>
      </c>
      <c r="O476" s="116">
        <v>38.519158631356497</v>
      </c>
      <c r="P476" s="116">
        <v>39.033636634347602</v>
      </c>
      <c r="Q476" s="116">
        <v>415.05</v>
      </c>
      <c r="R476">
        <v>5378415</v>
      </c>
    </row>
    <row r="477" spans="1:18" x14ac:dyDescent="0.25">
      <c r="A477" s="170">
        <v>42705</v>
      </c>
      <c r="B477" s="116">
        <v>39.883040734162002</v>
      </c>
      <c r="C477" s="116">
        <v>39.035073551806398</v>
      </c>
      <c r="D477" s="116">
        <v>38.873102292255297</v>
      </c>
      <c r="E477" s="116">
        <v>39.782999662086297</v>
      </c>
      <c r="F477" s="116">
        <v>409.7</v>
      </c>
      <c r="G477">
        <v>418642</v>
      </c>
      <c r="H477" s="116"/>
      <c r="I477" s="116"/>
      <c r="L477" s="170">
        <v>42705</v>
      </c>
      <c r="M477" s="116">
        <v>39.0241092639219</v>
      </c>
      <c r="N477" s="116">
        <v>39.872045231814703</v>
      </c>
      <c r="O477" s="116">
        <v>38.847852911045301</v>
      </c>
      <c r="P477" s="116">
        <v>39.762480471918401</v>
      </c>
      <c r="Q477" s="116">
        <v>409.6</v>
      </c>
      <c r="R477">
        <v>3073859</v>
      </c>
    </row>
    <row r="478" spans="1:18" x14ac:dyDescent="0.25">
      <c r="A478" s="170">
        <v>42706</v>
      </c>
      <c r="B478" s="116">
        <v>39.244683417107801</v>
      </c>
      <c r="C478" s="116">
        <v>38.720658753854302</v>
      </c>
      <c r="D478" s="116">
        <v>38.525340470278103</v>
      </c>
      <c r="E478" s="116">
        <v>38.768297359604603</v>
      </c>
      <c r="F478" s="116">
        <v>406.4</v>
      </c>
      <c r="G478">
        <v>536830</v>
      </c>
      <c r="H478" s="116"/>
      <c r="I478" s="116"/>
      <c r="L478" s="170">
        <v>42706</v>
      </c>
      <c r="M478" s="116">
        <v>38.719233410297498</v>
      </c>
      <c r="N478" s="116">
        <v>39.243238783714403</v>
      </c>
      <c r="O478" s="116">
        <v>38.528686001782198</v>
      </c>
      <c r="P478" s="116">
        <v>38.666832872955801</v>
      </c>
      <c r="Q478" s="116">
        <v>406.4</v>
      </c>
      <c r="R478">
        <v>3623139</v>
      </c>
    </row>
    <row r="479" spans="1:18" x14ac:dyDescent="0.25">
      <c r="A479" s="170">
        <v>42709</v>
      </c>
      <c r="B479" s="116">
        <v>39.530515051609598</v>
      </c>
      <c r="C479" s="116">
        <v>39.4018908160838</v>
      </c>
      <c r="D479" s="116">
        <v>38.592034518328497</v>
      </c>
      <c r="E479" s="116">
        <v>38.844519128805103</v>
      </c>
      <c r="F479" s="116">
        <v>413.55</v>
      </c>
      <c r="G479">
        <v>568634</v>
      </c>
      <c r="H479" s="116"/>
      <c r="I479" s="116"/>
      <c r="L479" s="170">
        <v>42709</v>
      </c>
      <c r="M479" s="116">
        <v>39.395676710526601</v>
      </c>
      <c r="N479" s="116">
        <v>39.500477785210002</v>
      </c>
      <c r="O479" s="116">
        <v>38.542977057420899</v>
      </c>
      <c r="P479" s="116">
        <v>38.8335618554066</v>
      </c>
      <c r="Q479" s="116">
        <v>413.5</v>
      </c>
      <c r="R479">
        <v>3500112</v>
      </c>
    </row>
    <row r="480" spans="1:18" x14ac:dyDescent="0.25">
      <c r="A480" s="170">
        <v>42710</v>
      </c>
      <c r="B480" s="116">
        <v>40.0783590177383</v>
      </c>
      <c r="C480" s="116">
        <v>39.859221431286798</v>
      </c>
      <c r="D480" s="116">
        <v>39.1589339267572</v>
      </c>
      <c r="E480" s="116">
        <v>39.1875170902074</v>
      </c>
      <c r="F480" s="116">
        <v>418.35</v>
      </c>
      <c r="G480">
        <v>651701</v>
      </c>
      <c r="H480" s="116"/>
      <c r="I480" s="116"/>
      <c r="L480" s="170">
        <v>42710</v>
      </c>
      <c r="M480" s="116">
        <v>39.867281546601802</v>
      </c>
      <c r="N480" s="116">
        <v>40.081647381181497</v>
      </c>
      <c r="O480" s="116">
        <v>39.252766154140197</v>
      </c>
      <c r="P480" s="116">
        <v>39.443313562655398</v>
      </c>
      <c r="Q480" s="116">
        <v>418.45</v>
      </c>
      <c r="R480">
        <v>3883470</v>
      </c>
    </row>
    <row r="481" spans="1:18" x14ac:dyDescent="0.25">
      <c r="A481" s="170">
        <v>42711</v>
      </c>
      <c r="B481" s="116">
        <v>40.111706041763497</v>
      </c>
      <c r="C481" s="116">
        <v>39.301849744008202</v>
      </c>
      <c r="D481" s="116">
        <v>39.035073551806398</v>
      </c>
      <c r="E481" s="116">
        <v>40.016428830262797</v>
      </c>
      <c r="F481" s="116">
        <v>412.5</v>
      </c>
      <c r="G481">
        <v>579222</v>
      </c>
      <c r="H481" s="116"/>
      <c r="I481" s="116"/>
      <c r="L481" s="170">
        <v>42711</v>
      </c>
      <c r="M481" s="116">
        <v>39.243238783714403</v>
      </c>
      <c r="N481" s="116">
        <v>40.148338974161803</v>
      </c>
      <c r="O481" s="116">
        <v>38.938362930090001</v>
      </c>
      <c r="P481" s="116">
        <v>39.948264195220801</v>
      </c>
      <c r="Q481" s="116">
        <v>411.9</v>
      </c>
      <c r="R481">
        <v>4700356</v>
      </c>
    </row>
    <row r="482" spans="1:18" x14ac:dyDescent="0.25">
      <c r="A482" s="170">
        <v>42712</v>
      </c>
      <c r="B482" s="116">
        <v>41.245504858620897</v>
      </c>
      <c r="C482" s="116">
        <v>41.116880623095099</v>
      </c>
      <c r="D482" s="116">
        <v>39.644847705410399</v>
      </c>
      <c r="E482" s="116">
        <v>39.644847705410399</v>
      </c>
      <c r="F482" s="116">
        <v>431.55</v>
      </c>
      <c r="G482">
        <v>1382170</v>
      </c>
      <c r="H482" s="116"/>
      <c r="I482" s="116"/>
      <c r="L482" s="170">
        <v>42712</v>
      </c>
      <c r="M482" s="116">
        <v>41.091548646312297</v>
      </c>
      <c r="N482" s="116">
        <v>41.229695517485801</v>
      </c>
      <c r="O482" s="116">
        <v>39.729134675428298</v>
      </c>
      <c r="P482" s="116">
        <v>39.795826268408597</v>
      </c>
      <c r="Q482" s="116">
        <v>431.3</v>
      </c>
      <c r="R482">
        <v>9445695</v>
      </c>
    </row>
    <row r="483" spans="1:18" x14ac:dyDescent="0.25">
      <c r="A483" s="170">
        <v>42713</v>
      </c>
      <c r="B483" s="116">
        <v>41.4836978873725</v>
      </c>
      <c r="C483" s="116">
        <v>40.997784108719301</v>
      </c>
      <c r="D483" s="116">
        <v>40.826285128018199</v>
      </c>
      <c r="E483" s="116">
        <v>41.293143464371198</v>
      </c>
      <c r="F483" s="116">
        <v>430.3</v>
      </c>
      <c r="G483">
        <v>526140</v>
      </c>
      <c r="H483" s="116"/>
      <c r="I483" s="116"/>
      <c r="L483" s="170">
        <v>42713</v>
      </c>
      <c r="M483" s="116">
        <v>41.020093368119099</v>
      </c>
      <c r="N483" s="116">
        <v>41.477407148555599</v>
      </c>
      <c r="O483" s="116">
        <v>40.815254903965197</v>
      </c>
      <c r="P483" s="116">
        <v>41.224931832272901</v>
      </c>
      <c r="Q483" s="116">
        <v>430.55</v>
      </c>
      <c r="R483">
        <v>4094532</v>
      </c>
    </row>
    <row r="484" spans="1:18" x14ac:dyDescent="0.25">
      <c r="A484" s="170">
        <v>42716</v>
      </c>
      <c r="B484" s="116">
        <v>41.007311829869401</v>
      </c>
      <c r="C484" s="116">
        <v>40.397537676265301</v>
      </c>
      <c r="D484" s="116">
        <v>40.278441161889603</v>
      </c>
      <c r="E484" s="116">
        <v>40.959673224119001</v>
      </c>
      <c r="F484" s="116">
        <v>424</v>
      </c>
      <c r="G484">
        <v>282642</v>
      </c>
      <c r="H484" s="116"/>
      <c r="I484" s="116"/>
      <c r="L484" s="170">
        <v>42716</v>
      </c>
      <c r="M484" s="116">
        <v>40.415105346083202</v>
      </c>
      <c r="N484" s="116">
        <v>41.010565997693298</v>
      </c>
      <c r="O484" s="116">
        <v>40.315067956612701</v>
      </c>
      <c r="P484" s="116">
        <v>40.862891756094001</v>
      </c>
      <c r="Q484" s="116">
        <v>424.2</v>
      </c>
      <c r="R484">
        <v>2491598</v>
      </c>
    </row>
    <row r="485" spans="1:18" x14ac:dyDescent="0.25">
      <c r="A485" s="170">
        <v>42717</v>
      </c>
      <c r="B485" s="116">
        <v>40.916798478943797</v>
      </c>
      <c r="C485" s="116">
        <v>40.0783590177383</v>
      </c>
      <c r="D485" s="116">
        <v>39.7782358015113</v>
      </c>
      <c r="E485" s="116">
        <v>40.578564378116504</v>
      </c>
      <c r="F485" s="116">
        <v>420.65</v>
      </c>
      <c r="G485">
        <v>526314</v>
      </c>
      <c r="H485" s="116"/>
      <c r="I485" s="116"/>
      <c r="L485" s="170">
        <v>42717</v>
      </c>
      <c r="M485" s="116">
        <v>40.1197568628845</v>
      </c>
      <c r="N485" s="116">
        <v>40.867655441306901</v>
      </c>
      <c r="O485" s="116">
        <v>39.776771527557102</v>
      </c>
      <c r="P485" s="116">
        <v>40.867655441306901</v>
      </c>
      <c r="Q485" s="116">
        <v>421.1</v>
      </c>
      <c r="R485">
        <v>3195158</v>
      </c>
    </row>
    <row r="486" spans="1:18" x14ac:dyDescent="0.25">
      <c r="A486" s="170">
        <v>42718</v>
      </c>
      <c r="B486" s="116">
        <v>40.578564378116504</v>
      </c>
      <c r="C486" s="116">
        <v>39.782999662086297</v>
      </c>
      <c r="D486" s="116">
        <v>39.687722450585703</v>
      </c>
      <c r="E486" s="116">
        <v>40.0497758542881</v>
      </c>
      <c r="F486" s="116">
        <v>417.55</v>
      </c>
      <c r="G486">
        <v>463475</v>
      </c>
      <c r="H486" s="116"/>
      <c r="I486" s="116"/>
      <c r="L486" s="170">
        <v>42718</v>
      </c>
      <c r="M486" s="116">
        <v>39.800589953621497</v>
      </c>
      <c r="N486" s="116">
        <v>40.605652754598403</v>
      </c>
      <c r="O486" s="116">
        <v>39.705316249363896</v>
      </c>
      <c r="P486" s="116">
        <v>40.2055031967164</v>
      </c>
      <c r="Q486" s="116">
        <v>417.75</v>
      </c>
      <c r="R486">
        <v>3247269</v>
      </c>
    </row>
    <row r="487" spans="1:18" x14ac:dyDescent="0.25">
      <c r="A487" s="170">
        <v>42719</v>
      </c>
      <c r="B487" s="116">
        <v>40.721480195367498</v>
      </c>
      <c r="C487" s="116">
        <v>39.935443200487299</v>
      </c>
      <c r="D487" s="116">
        <v>39.349488349758502</v>
      </c>
      <c r="E487" s="116">
        <v>39.797291243811401</v>
      </c>
      <c r="F487" s="116">
        <v>419.15</v>
      </c>
      <c r="G487">
        <v>780105</v>
      </c>
      <c r="H487" s="116"/>
      <c r="I487" s="116"/>
      <c r="L487" s="170">
        <v>42719</v>
      </c>
      <c r="M487" s="116">
        <v>39.948264195220801</v>
      </c>
      <c r="N487" s="116">
        <v>40.719981199707497</v>
      </c>
      <c r="O487" s="116">
        <v>39.333748802759096</v>
      </c>
      <c r="P487" s="116">
        <v>39.595751489467602</v>
      </c>
      <c r="Q487" s="116">
        <v>419.3</v>
      </c>
      <c r="R487">
        <v>4454182</v>
      </c>
    </row>
    <row r="488" spans="1:18" x14ac:dyDescent="0.25">
      <c r="A488" s="170">
        <v>42720</v>
      </c>
      <c r="B488" s="116">
        <v>40.3022604647647</v>
      </c>
      <c r="C488" s="116">
        <v>39.454293282409203</v>
      </c>
      <c r="D488" s="116">
        <v>39.330432907458302</v>
      </c>
      <c r="E488" s="116">
        <v>40.216510974414199</v>
      </c>
      <c r="F488" s="116">
        <v>414.1</v>
      </c>
      <c r="G488">
        <v>647115</v>
      </c>
      <c r="H488" s="116"/>
      <c r="I488" s="116"/>
      <c r="L488" s="170">
        <v>42720</v>
      </c>
      <c r="M488" s="116">
        <v>39.448077247868298</v>
      </c>
      <c r="N488" s="116">
        <v>40.281722160122499</v>
      </c>
      <c r="O488" s="116">
        <v>39.300403006269001</v>
      </c>
      <c r="P488" s="116">
        <v>40.281722160122499</v>
      </c>
      <c r="Q488" s="116">
        <v>414.05</v>
      </c>
      <c r="R488">
        <v>3547889</v>
      </c>
    </row>
    <row r="489" spans="1:18" x14ac:dyDescent="0.25">
      <c r="A489" s="170">
        <v>42723</v>
      </c>
      <c r="B489" s="116">
        <v>39.635319984260299</v>
      </c>
      <c r="C489" s="116">
        <v>39.1589339267572</v>
      </c>
      <c r="D489" s="116">
        <v>39.063656715256599</v>
      </c>
      <c r="E489" s="116">
        <v>39.4209462583839</v>
      </c>
      <c r="F489" s="116">
        <v>411</v>
      </c>
      <c r="G489">
        <v>253490</v>
      </c>
      <c r="H489" s="116"/>
      <c r="I489" s="116"/>
      <c r="L489" s="170">
        <v>42723</v>
      </c>
      <c r="M489" s="116">
        <v>39.095564542115099</v>
      </c>
      <c r="N489" s="116">
        <v>39.662443082447901</v>
      </c>
      <c r="O489" s="116">
        <v>38.976472411793097</v>
      </c>
      <c r="P489" s="116">
        <v>39.157492449882497</v>
      </c>
      <c r="Q489" s="116">
        <v>410.35</v>
      </c>
      <c r="R489">
        <v>2347383</v>
      </c>
    </row>
    <row r="490" spans="1:18" x14ac:dyDescent="0.25">
      <c r="A490" s="170">
        <v>42724</v>
      </c>
      <c r="B490" s="116">
        <v>39.444765561259103</v>
      </c>
      <c r="C490" s="116">
        <v>38.482465725102799</v>
      </c>
      <c r="D490" s="116">
        <v>38.2585642780763</v>
      </c>
      <c r="E490" s="116">
        <v>39.1589339267572</v>
      </c>
      <c r="F490" s="116">
        <v>403.9</v>
      </c>
      <c r="G490">
        <v>508748</v>
      </c>
      <c r="H490" s="116"/>
      <c r="I490" s="116"/>
      <c r="L490" s="170">
        <v>42724</v>
      </c>
      <c r="M490" s="116">
        <v>38.442939667950398</v>
      </c>
      <c r="N490" s="116">
        <v>39.443313562655398</v>
      </c>
      <c r="O490" s="116">
        <v>38.214282777732102</v>
      </c>
      <c r="P490" s="116">
        <v>39.233711413288603</v>
      </c>
      <c r="Q490" s="116">
        <v>403.5</v>
      </c>
      <c r="R490">
        <v>3541080</v>
      </c>
    </row>
    <row r="491" spans="1:18" x14ac:dyDescent="0.25">
      <c r="A491" s="170">
        <v>42725</v>
      </c>
      <c r="B491" s="116">
        <v>38.8969215951305</v>
      </c>
      <c r="C491" s="116">
        <v>38.5777429366034</v>
      </c>
      <c r="D491" s="116">
        <v>38.272855859801403</v>
      </c>
      <c r="E491" s="116">
        <v>38.5872706577535</v>
      </c>
      <c r="F491" s="116">
        <v>404.9</v>
      </c>
      <c r="G491">
        <v>354142</v>
      </c>
      <c r="H491" s="116"/>
      <c r="I491" s="116"/>
      <c r="L491" s="170">
        <v>42725</v>
      </c>
      <c r="M491" s="116">
        <v>38.538213372207998</v>
      </c>
      <c r="N491" s="116">
        <v>38.900253448386998</v>
      </c>
      <c r="O491" s="116">
        <v>38.242864889009397</v>
      </c>
      <c r="P491" s="116">
        <v>38.585850224336802</v>
      </c>
      <c r="Q491" s="116">
        <v>404.5</v>
      </c>
      <c r="R491">
        <v>2747302</v>
      </c>
    </row>
    <row r="492" spans="1:18" x14ac:dyDescent="0.25">
      <c r="A492" s="170">
        <v>42726</v>
      </c>
      <c r="B492" s="116">
        <v>38.701603311554202</v>
      </c>
      <c r="C492" s="116">
        <v>37.386777792845599</v>
      </c>
      <c r="D492" s="116">
        <v>37.2009872304194</v>
      </c>
      <c r="E492" s="116">
        <v>38.5396320520031</v>
      </c>
      <c r="F492" s="116">
        <v>392.4</v>
      </c>
      <c r="G492">
        <v>670145</v>
      </c>
      <c r="H492" s="116"/>
      <c r="I492" s="116"/>
      <c r="L492" s="170">
        <v>42726</v>
      </c>
      <c r="M492" s="116">
        <v>37.3663468098393</v>
      </c>
      <c r="N492" s="116">
        <v>38.666832872955801</v>
      </c>
      <c r="O492" s="116">
        <v>37.1805630865369</v>
      </c>
      <c r="P492" s="116">
        <v>38.538213372207998</v>
      </c>
      <c r="Q492" s="116">
        <v>392.2</v>
      </c>
      <c r="R492">
        <v>4084454</v>
      </c>
    </row>
    <row r="493" spans="1:18" x14ac:dyDescent="0.25">
      <c r="A493" s="170">
        <v>42727</v>
      </c>
      <c r="B493" s="116">
        <v>37.691664869647603</v>
      </c>
      <c r="C493" s="116">
        <v>37.229570393869501</v>
      </c>
      <c r="D493" s="116">
        <v>36.877044711317197</v>
      </c>
      <c r="E493" s="116">
        <v>37.3963055139956</v>
      </c>
      <c r="F493" s="116">
        <v>390.75</v>
      </c>
      <c r="G493">
        <v>535735</v>
      </c>
      <c r="H493" s="116"/>
      <c r="I493" s="116"/>
      <c r="L493" s="170">
        <v>42727</v>
      </c>
      <c r="M493" s="116">
        <v>37.237727309091497</v>
      </c>
      <c r="N493" s="116">
        <v>37.685513719102303</v>
      </c>
      <c r="O493" s="116">
        <v>36.875687232912497</v>
      </c>
      <c r="P493" s="116">
        <v>37.490202625374202</v>
      </c>
      <c r="Q493" s="116">
        <v>390.85</v>
      </c>
      <c r="R493">
        <v>3992131</v>
      </c>
    </row>
    <row r="494" spans="1:18" x14ac:dyDescent="0.25">
      <c r="A494" s="170">
        <v>42730</v>
      </c>
      <c r="B494" s="116">
        <v>37.129529321793903</v>
      </c>
      <c r="C494" s="116">
        <v>36.248215115413103</v>
      </c>
      <c r="D494" s="116">
        <v>36.091007716437097</v>
      </c>
      <c r="E494" s="116">
        <v>37.091418437193603</v>
      </c>
      <c r="F494" s="116">
        <v>380.45</v>
      </c>
      <c r="G494">
        <v>437119</v>
      </c>
      <c r="H494" s="116"/>
      <c r="I494" s="116"/>
      <c r="L494" s="170">
        <v>42730</v>
      </c>
      <c r="M494" s="116">
        <v>36.213534988322003</v>
      </c>
      <c r="N494" s="116">
        <v>37.118635178769402</v>
      </c>
      <c r="O494" s="116">
        <v>36.061097061509798</v>
      </c>
      <c r="P494" s="116">
        <v>37.013834104086101</v>
      </c>
      <c r="Q494" s="116">
        <v>380.1</v>
      </c>
      <c r="R494">
        <v>3232118</v>
      </c>
    </row>
    <row r="495" spans="1:18" x14ac:dyDescent="0.25">
      <c r="A495" s="170">
        <v>42731</v>
      </c>
      <c r="B495" s="116">
        <v>37.605915379297002</v>
      </c>
      <c r="C495" s="116">
        <v>37.420124816870803</v>
      </c>
      <c r="D495" s="116">
        <v>35.9623834809112</v>
      </c>
      <c r="E495" s="116">
        <v>36.3006175817384</v>
      </c>
      <c r="F495" s="116">
        <v>392.75</v>
      </c>
      <c r="G495">
        <v>555357</v>
      </c>
      <c r="H495" s="116"/>
      <c r="I495" s="116"/>
      <c r="L495" s="170">
        <v>42731</v>
      </c>
      <c r="M495" s="116">
        <v>37.385401550690801</v>
      </c>
      <c r="N495" s="116">
        <v>37.604531070483297</v>
      </c>
      <c r="O495" s="116">
        <v>35.951532301613597</v>
      </c>
      <c r="P495" s="116">
        <v>36.394555026411503</v>
      </c>
      <c r="Q495" s="116">
        <v>392.4</v>
      </c>
      <c r="R495">
        <v>3894041</v>
      </c>
    </row>
    <row r="496" spans="1:18" x14ac:dyDescent="0.25">
      <c r="A496" s="170">
        <v>42732</v>
      </c>
      <c r="B496" s="116">
        <v>37.605915379297002</v>
      </c>
      <c r="C496" s="116">
        <v>36.996141225693002</v>
      </c>
      <c r="D496" s="116">
        <v>36.843697687292</v>
      </c>
      <c r="E496" s="116">
        <v>37.605915379297002</v>
      </c>
      <c r="F496" s="116">
        <v>388.3</v>
      </c>
      <c r="G496">
        <v>465649</v>
      </c>
      <c r="H496" s="116"/>
      <c r="I496" s="116"/>
      <c r="L496" s="170">
        <v>42732</v>
      </c>
      <c r="M496" s="116">
        <v>37.0090704188732</v>
      </c>
      <c r="N496" s="116">
        <v>37.514021051438597</v>
      </c>
      <c r="O496" s="116">
        <v>36.8232866955708</v>
      </c>
      <c r="P496" s="116">
        <v>37.475911569735501</v>
      </c>
      <c r="Q496" s="116">
        <v>388.45</v>
      </c>
      <c r="R496">
        <v>3940185</v>
      </c>
    </row>
    <row r="497" spans="1:18" x14ac:dyDescent="0.25">
      <c r="A497" s="170">
        <v>42733</v>
      </c>
      <c r="B497" s="116">
        <v>37.520165888946501</v>
      </c>
      <c r="C497" s="116">
        <v>37.391541653420603</v>
      </c>
      <c r="D497" s="116">
        <v>36.919919456492501</v>
      </c>
      <c r="E497" s="116">
        <v>37.067599134318499</v>
      </c>
      <c r="F497" s="116">
        <v>392.45</v>
      </c>
      <c r="G497">
        <v>374950</v>
      </c>
      <c r="H497" s="116"/>
      <c r="I497" s="116"/>
      <c r="L497" s="170">
        <v>42733</v>
      </c>
      <c r="M497" s="116">
        <v>37.380637865477901</v>
      </c>
      <c r="N497" s="116">
        <v>37.528312107077198</v>
      </c>
      <c r="O497" s="116">
        <v>36.894741973763999</v>
      </c>
      <c r="P497" s="116">
        <v>37.013834104086101</v>
      </c>
      <c r="Q497" s="116">
        <v>392.35</v>
      </c>
      <c r="R497">
        <v>3422017</v>
      </c>
    </row>
    <row r="498" spans="1:18" x14ac:dyDescent="0.25">
      <c r="A498" s="170">
        <v>42734</v>
      </c>
      <c r="B498" s="116">
        <v>37.667845566772399</v>
      </c>
      <c r="C498" s="116">
        <v>37.262917417894798</v>
      </c>
      <c r="D498" s="116">
        <v>36.977085783392901</v>
      </c>
      <c r="E498" s="116">
        <v>37.534457470671498</v>
      </c>
      <c r="F498" s="116">
        <v>391.1</v>
      </c>
      <c r="G498">
        <v>478096</v>
      </c>
      <c r="H498" s="116"/>
      <c r="I498" s="116"/>
      <c r="L498" s="170">
        <v>42734</v>
      </c>
      <c r="M498" s="116">
        <v>37.2758367907945</v>
      </c>
      <c r="N498" s="116">
        <v>37.671222663463602</v>
      </c>
      <c r="O498" s="116">
        <v>36.975724622382998</v>
      </c>
      <c r="P498" s="116">
        <v>37.442565773245398</v>
      </c>
      <c r="Q498" s="116">
        <v>391.25</v>
      </c>
      <c r="R498">
        <v>3055022</v>
      </c>
    </row>
    <row r="499" spans="1:18" x14ac:dyDescent="0.25">
      <c r="A499" s="170">
        <v>42737</v>
      </c>
      <c r="B499" s="116">
        <v>38.820699825929999</v>
      </c>
      <c r="C499" s="116">
        <v>38.677784008678998</v>
      </c>
      <c r="D499" s="116">
        <v>37.058071413168399</v>
      </c>
      <c r="E499" s="116">
        <v>37.177167927544197</v>
      </c>
      <c r="F499" s="116">
        <v>405.95</v>
      </c>
      <c r="G499">
        <v>985088</v>
      </c>
      <c r="H499" s="116"/>
      <c r="I499" s="116"/>
      <c r="L499" s="170">
        <v>42737</v>
      </c>
      <c r="M499" s="116">
        <v>38.752579206787701</v>
      </c>
      <c r="N499" s="116">
        <v>38.905017133599799</v>
      </c>
      <c r="O499" s="116">
        <v>37.051943585789097</v>
      </c>
      <c r="P499" s="116">
        <v>37.485438940161302</v>
      </c>
      <c r="Q499" s="116">
        <v>406.75</v>
      </c>
      <c r="R499">
        <v>5578129</v>
      </c>
    </row>
    <row r="500" spans="1:18" x14ac:dyDescent="0.25">
      <c r="A500" s="170">
        <v>42738</v>
      </c>
      <c r="B500" s="116">
        <v>38.968379503755997</v>
      </c>
      <c r="C500" s="116">
        <v>38.411007816477301</v>
      </c>
      <c r="D500" s="116">
        <v>38.206161811751002</v>
      </c>
      <c r="E500" s="116">
        <v>38.844519128805103</v>
      </c>
      <c r="F500" s="116">
        <v>403.15</v>
      </c>
      <c r="G500">
        <v>466943</v>
      </c>
      <c r="H500" s="116"/>
      <c r="I500" s="116"/>
      <c r="L500" s="170">
        <v>42738</v>
      </c>
      <c r="M500" s="116">
        <v>38.423884927098896</v>
      </c>
      <c r="N500" s="116">
        <v>38.957417670941503</v>
      </c>
      <c r="O500" s="116">
        <v>38.228573833370703</v>
      </c>
      <c r="P500" s="116">
        <v>38.781161318064903</v>
      </c>
      <c r="Q500" s="116">
        <v>403.3</v>
      </c>
      <c r="R500">
        <v>3338806</v>
      </c>
    </row>
    <row r="501" spans="1:18" x14ac:dyDescent="0.25">
      <c r="A501" s="170">
        <v>42739</v>
      </c>
      <c r="B501" s="116">
        <v>38.954087922030901</v>
      </c>
      <c r="C501" s="116">
        <v>38.5967983789035</v>
      </c>
      <c r="D501" s="116">
        <v>38.2776197203764</v>
      </c>
      <c r="E501" s="116">
        <v>38.582506797178397</v>
      </c>
      <c r="F501" s="116">
        <v>405.1</v>
      </c>
      <c r="G501">
        <v>459980</v>
      </c>
      <c r="H501" s="116"/>
      <c r="I501" s="116"/>
      <c r="L501" s="170">
        <v>42739</v>
      </c>
      <c r="M501" s="116">
        <v>38.628723391252699</v>
      </c>
      <c r="N501" s="116">
        <v>38.966945041367303</v>
      </c>
      <c r="O501" s="116">
        <v>38.242864889009397</v>
      </c>
      <c r="P501" s="116">
        <v>38.500103890505002</v>
      </c>
      <c r="Q501" s="116">
        <v>405.45</v>
      </c>
      <c r="R501">
        <v>3344043</v>
      </c>
    </row>
    <row r="502" spans="1:18" x14ac:dyDescent="0.25">
      <c r="A502" s="170">
        <v>42740</v>
      </c>
      <c r="B502" s="116">
        <v>40.254621859014399</v>
      </c>
      <c r="C502" s="116">
        <v>39.935443200487299</v>
      </c>
      <c r="D502" s="116">
        <v>38.830227547080099</v>
      </c>
      <c r="E502" s="116">
        <v>38.8778661528304</v>
      </c>
      <c r="F502" s="116">
        <v>419.15</v>
      </c>
      <c r="G502">
        <v>1853986</v>
      </c>
      <c r="H502" s="116"/>
      <c r="I502" s="116"/>
      <c r="L502" s="170">
        <v>42740</v>
      </c>
      <c r="M502" s="116">
        <v>39.948264195220801</v>
      </c>
      <c r="N502" s="116">
        <v>40.253140048845196</v>
      </c>
      <c r="O502" s="116">
        <v>38.804979744129298</v>
      </c>
      <c r="P502" s="116">
        <v>38.976472411793097</v>
      </c>
      <c r="Q502" s="116">
        <v>419.3</v>
      </c>
      <c r="R502">
        <v>7196279</v>
      </c>
    </row>
    <row r="503" spans="1:18" x14ac:dyDescent="0.25">
      <c r="A503" s="170">
        <v>42741</v>
      </c>
      <c r="B503" s="116">
        <v>40.492814887766002</v>
      </c>
      <c r="C503" s="116">
        <v>39.987845666812703</v>
      </c>
      <c r="D503" s="116">
        <v>39.625792263110299</v>
      </c>
      <c r="E503" s="116">
        <v>39.968790224512503</v>
      </c>
      <c r="F503" s="116">
        <v>419.7</v>
      </c>
      <c r="G503">
        <v>800705</v>
      </c>
      <c r="H503" s="116"/>
      <c r="I503" s="116"/>
      <c r="L503" s="170">
        <v>42741</v>
      </c>
      <c r="M503" s="116">
        <v>39.972082621285203</v>
      </c>
      <c r="N503" s="116">
        <v>40.529433791192297</v>
      </c>
      <c r="O503" s="116">
        <v>39.595751489467602</v>
      </c>
      <c r="P503" s="116">
        <v>40.062592640330003</v>
      </c>
      <c r="Q503" s="116">
        <v>419.55</v>
      </c>
      <c r="R503">
        <v>4138078</v>
      </c>
    </row>
    <row r="504" spans="1:18" x14ac:dyDescent="0.25">
      <c r="A504" s="170">
        <v>42744</v>
      </c>
      <c r="B504" s="116">
        <v>40.388009955115301</v>
      </c>
      <c r="C504" s="116">
        <v>40.211747113839102</v>
      </c>
      <c r="D504" s="116">
        <v>39.959262503362503</v>
      </c>
      <c r="E504" s="116">
        <v>40.3213159070648</v>
      </c>
      <c r="F504" s="116">
        <v>422.05</v>
      </c>
      <c r="G504">
        <v>1759226</v>
      </c>
      <c r="H504" s="116"/>
      <c r="I504" s="116"/>
      <c r="L504" s="170">
        <v>42744</v>
      </c>
      <c r="M504" s="116">
        <v>40.2055031967164</v>
      </c>
      <c r="N504" s="116">
        <v>40.415105346083202</v>
      </c>
      <c r="O504" s="116">
        <v>39.953027880433702</v>
      </c>
      <c r="P504" s="116">
        <v>40.367468493954298</v>
      </c>
      <c r="Q504" s="116">
        <v>422</v>
      </c>
      <c r="R504">
        <v>3122769</v>
      </c>
    </row>
    <row r="505" spans="1:18" x14ac:dyDescent="0.25">
      <c r="A505" s="170">
        <v>42745</v>
      </c>
      <c r="B505" s="116">
        <v>41.112116762520003</v>
      </c>
      <c r="C505" s="116">
        <v>41.054950435619702</v>
      </c>
      <c r="D505" s="116">
        <v>40.2832050224646</v>
      </c>
      <c r="E505" s="116">
        <v>40.2832050224646</v>
      </c>
      <c r="F505" s="116">
        <v>430.9</v>
      </c>
      <c r="G505">
        <v>764522</v>
      </c>
      <c r="H505" s="116"/>
      <c r="I505" s="116"/>
      <c r="L505" s="170">
        <v>42745</v>
      </c>
      <c r="M505" s="116">
        <v>41.148712868866802</v>
      </c>
      <c r="N505" s="116">
        <v>41.205877091421399</v>
      </c>
      <c r="O505" s="116">
        <v>40.262667419270997</v>
      </c>
      <c r="P505" s="116">
        <v>40.272194789696698</v>
      </c>
      <c r="Q505" s="116">
        <v>431.9</v>
      </c>
      <c r="R505">
        <v>5118565</v>
      </c>
    </row>
    <row r="506" spans="1:18" x14ac:dyDescent="0.25">
      <c r="A506" s="170">
        <v>42746</v>
      </c>
      <c r="B506" s="116">
        <v>42.960494665632197</v>
      </c>
      <c r="C506" s="116">
        <v>42.693718473430401</v>
      </c>
      <c r="D506" s="116">
        <v>41.159755368270403</v>
      </c>
      <c r="E506" s="116">
        <v>41.440823142197203</v>
      </c>
      <c r="F506" s="116">
        <v>448.1</v>
      </c>
      <c r="G506">
        <v>1718182</v>
      </c>
      <c r="H506" s="116"/>
      <c r="I506" s="116"/>
      <c r="L506" s="170">
        <v>42746</v>
      </c>
      <c r="M506" s="116">
        <v>42.706437933479002</v>
      </c>
      <c r="N506" s="116">
        <v>42.963676934974501</v>
      </c>
      <c r="O506" s="116">
        <v>41.410715555575301</v>
      </c>
      <c r="P506" s="116">
        <v>41.472643463342798</v>
      </c>
      <c r="Q506" s="116">
        <v>448.25</v>
      </c>
      <c r="R506">
        <v>11431250</v>
      </c>
    </row>
    <row r="507" spans="1:18" x14ac:dyDescent="0.25">
      <c r="A507" s="170">
        <v>42747</v>
      </c>
      <c r="B507" s="116">
        <v>43.003369410807501</v>
      </c>
      <c r="C507" s="116">
        <v>42.660371449405197</v>
      </c>
      <c r="D507" s="116">
        <v>42.207804694777202</v>
      </c>
      <c r="E507" s="116">
        <v>42.874745175281603</v>
      </c>
      <c r="F507" s="116">
        <v>447.75</v>
      </c>
      <c r="G507">
        <v>737382</v>
      </c>
      <c r="H507" s="116"/>
      <c r="I507" s="116"/>
      <c r="L507" s="170">
        <v>42747</v>
      </c>
      <c r="M507" s="116">
        <v>42.639746340498597</v>
      </c>
      <c r="N507" s="116">
        <v>42.982731675826102</v>
      </c>
      <c r="O507" s="116">
        <v>42.2300694121909</v>
      </c>
      <c r="P507" s="116">
        <v>42.7778932116722</v>
      </c>
      <c r="Q507" s="116">
        <v>447.55</v>
      </c>
      <c r="R507">
        <v>5361474</v>
      </c>
    </row>
    <row r="508" spans="1:18" x14ac:dyDescent="0.25">
      <c r="A508" s="170">
        <v>42748</v>
      </c>
      <c r="B508" s="116">
        <v>42.941439223332097</v>
      </c>
      <c r="C508" s="116">
        <v>42.531747213879399</v>
      </c>
      <c r="D508" s="116">
        <v>42.069652738101297</v>
      </c>
      <c r="E508" s="116">
        <v>42.779467963781002</v>
      </c>
      <c r="F508" s="116">
        <v>446.4</v>
      </c>
      <c r="G508">
        <v>543816</v>
      </c>
      <c r="H508" s="116"/>
      <c r="I508" s="116"/>
      <c r="L508" s="170">
        <v>42748</v>
      </c>
      <c r="M508" s="116">
        <v>42.525417895389502</v>
      </c>
      <c r="N508" s="116">
        <v>42.911276397632797</v>
      </c>
      <c r="O508" s="116">
        <v>42.0347583184627</v>
      </c>
      <c r="P508" s="116">
        <v>42.873166915929801</v>
      </c>
      <c r="Q508" s="116">
        <v>446.35</v>
      </c>
      <c r="R508">
        <v>4232151</v>
      </c>
    </row>
    <row r="509" spans="1:18" x14ac:dyDescent="0.25">
      <c r="A509" s="170">
        <v>42751</v>
      </c>
      <c r="B509" s="116">
        <v>43.7798786845376</v>
      </c>
      <c r="C509" s="116">
        <v>43.675073751886899</v>
      </c>
      <c r="D509" s="116">
        <v>42.250679439952499</v>
      </c>
      <c r="E509" s="116">
        <v>42.479344747554002</v>
      </c>
      <c r="F509" s="116">
        <v>458.4</v>
      </c>
      <c r="G509">
        <v>887809</v>
      </c>
      <c r="H509" s="116"/>
      <c r="I509" s="116"/>
      <c r="L509" s="170">
        <v>42751</v>
      </c>
      <c r="M509" s="116">
        <v>43.678229716906699</v>
      </c>
      <c r="N509" s="116">
        <v>43.7782671063772</v>
      </c>
      <c r="O509" s="116">
        <v>42.2300694121909</v>
      </c>
      <c r="P509" s="116">
        <v>42.325343116448501</v>
      </c>
      <c r="Q509" s="116">
        <v>458.45</v>
      </c>
      <c r="R509">
        <v>6675950</v>
      </c>
    </row>
    <row r="510" spans="1:18" x14ac:dyDescent="0.25">
      <c r="A510" s="170">
        <v>42752</v>
      </c>
      <c r="B510" s="116">
        <v>43.7798786845376</v>
      </c>
      <c r="C510" s="116">
        <v>43.274909463584201</v>
      </c>
      <c r="D510" s="116">
        <v>42.989077829082397</v>
      </c>
      <c r="E510" s="116">
        <v>43.651254449011702</v>
      </c>
      <c r="F510" s="116">
        <v>454.2</v>
      </c>
      <c r="G510">
        <v>449320</v>
      </c>
      <c r="H510" s="116"/>
      <c r="I510" s="116"/>
      <c r="L510" s="170">
        <v>42752</v>
      </c>
      <c r="M510" s="116">
        <v>43.278080159024697</v>
      </c>
      <c r="N510" s="116">
        <v>43.787794476803001</v>
      </c>
      <c r="O510" s="116">
        <v>42.9589132497617</v>
      </c>
      <c r="P510" s="116">
        <v>43.735393939461296</v>
      </c>
      <c r="Q510" s="116">
        <v>454.25</v>
      </c>
      <c r="R510">
        <v>3342717</v>
      </c>
    </row>
    <row r="511" spans="1:18" x14ac:dyDescent="0.25">
      <c r="A511" s="170">
        <v>42753</v>
      </c>
      <c r="B511" s="116">
        <v>44.732650799543798</v>
      </c>
      <c r="C511" s="116">
        <v>44.551624097692603</v>
      </c>
      <c r="D511" s="116">
        <v>43.308256487609498</v>
      </c>
      <c r="E511" s="116">
        <v>43.351131232784702</v>
      </c>
      <c r="F511" s="116">
        <v>467.6</v>
      </c>
      <c r="G511">
        <v>1119189</v>
      </c>
      <c r="H511" s="116"/>
      <c r="I511" s="116"/>
      <c r="L511" s="170">
        <v>42753</v>
      </c>
      <c r="M511" s="116">
        <v>44.621439389057201</v>
      </c>
      <c r="N511" s="116">
        <v>44.7786410010822</v>
      </c>
      <c r="O511" s="116">
        <v>43.278080159024697</v>
      </c>
      <c r="P511" s="116">
        <v>43.3257170111535</v>
      </c>
      <c r="Q511" s="116">
        <v>468.35</v>
      </c>
      <c r="R511">
        <v>9116932</v>
      </c>
    </row>
    <row r="512" spans="1:18" x14ac:dyDescent="0.25">
      <c r="A512" s="170">
        <v>42754</v>
      </c>
      <c r="B512" s="116">
        <v>44.680248333218501</v>
      </c>
      <c r="C512" s="116">
        <v>44.503985491942302</v>
      </c>
      <c r="D512" s="116">
        <v>44.065710319039397</v>
      </c>
      <c r="E512" s="116">
        <v>44.680248333218501</v>
      </c>
      <c r="F512" s="116">
        <v>467.1</v>
      </c>
      <c r="G512">
        <v>465110</v>
      </c>
      <c r="H512" s="116"/>
      <c r="I512" s="116"/>
      <c r="L512" s="170">
        <v>42754</v>
      </c>
      <c r="M512" s="116">
        <v>44.507110943948</v>
      </c>
      <c r="N512" s="116">
        <v>44.664312555973098</v>
      </c>
      <c r="O512" s="116">
        <v>44.0497971635114</v>
      </c>
      <c r="P512" s="116">
        <v>44.654785185547297</v>
      </c>
      <c r="Q512" s="116">
        <v>467.15</v>
      </c>
      <c r="R512">
        <v>3445069</v>
      </c>
    </row>
    <row r="513" spans="1:18" x14ac:dyDescent="0.25">
      <c r="A513" s="170">
        <v>42755</v>
      </c>
      <c r="B513" s="116">
        <v>44.580207261142803</v>
      </c>
      <c r="C513" s="116">
        <v>43.313020348184502</v>
      </c>
      <c r="D513" s="116">
        <v>43.146285228058403</v>
      </c>
      <c r="E513" s="116">
        <v>44.303903347791</v>
      </c>
      <c r="F513" s="116">
        <v>454.6</v>
      </c>
      <c r="G513">
        <v>557538</v>
      </c>
      <c r="H513" s="116"/>
      <c r="I513" s="116"/>
      <c r="L513" s="170">
        <v>42755</v>
      </c>
      <c r="M513" s="116">
        <v>43.301898585089099</v>
      </c>
      <c r="N513" s="116">
        <v>44.569038851715497</v>
      </c>
      <c r="O513" s="116">
        <v>43.120878546999599</v>
      </c>
      <c r="P513" s="116">
        <v>44.397546184051699</v>
      </c>
      <c r="Q513" s="116">
        <v>454.5</v>
      </c>
      <c r="R513">
        <v>4927321</v>
      </c>
    </row>
    <row r="514" spans="1:18" x14ac:dyDescent="0.25">
      <c r="A514" s="170">
        <v>42758</v>
      </c>
      <c r="B514" s="116">
        <v>44.184806833415202</v>
      </c>
      <c r="C514" s="116">
        <v>43.984724689263899</v>
      </c>
      <c r="D514" s="116">
        <v>43.041480295407702</v>
      </c>
      <c r="E514" s="116">
        <v>43.065299598282898</v>
      </c>
      <c r="F514" s="116">
        <v>461.65</v>
      </c>
      <c r="G514">
        <v>533726</v>
      </c>
      <c r="H514" s="116"/>
      <c r="I514" s="116"/>
      <c r="L514" s="170">
        <v>42758</v>
      </c>
      <c r="M514" s="116">
        <v>43.997396626169703</v>
      </c>
      <c r="N514" s="116">
        <v>44.206998775536498</v>
      </c>
      <c r="O514" s="116">
        <v>42.930331138484398</v>
      </c>
      <c r="P514" s="116">
        <v>42.9589132497617</v>
      </c>
      <c r="Q514" s="116">
        <v>461.8</v>
      </c>
      <c r="R514">
        <v>4349975</v>
      </c>
    </row>
    <row r="515" spans="1:18" x14ac:dyDescent="0.25">
      <c r="A515" s="170">
        <v>42759</v>
      </c>
      <c r="B515" s="116">
        <v>44.446819165041902</v>
      </c>
      <c r="C515" s="116">
        <v>44.232445439165502</v>
      </c>
      <c r="D515" s="116">
        <v>43.717948497062203</v>
      </c>
      <c r="E515" s="116">
        <v>44.065710319039397</v>
      </c>
      <c r="F515" s="116">
        <v>464.25</v>
      </c>
      <c r="G515">
        <v>512587</v>
      </c>
      <c r="H515" s="116"/>
      <c r="I515" s="116"/>
      <c r="L515" s="170">
        <v>42759</v>
      </c>
      <c r="M515" s="116">
        <v>44.2308172016009</v>
      </c>
      <c r="N515" s="116">
        <v>44.445183036180602</v>
      </c>
      <c r="O515" s="116">
        <v>43.6877570873325</v>
      </c>
      <c r="P515" s="116">
        <v>44.016451367021297</v>
      </c>
      <c r="Q515" s="116">
        <v>464.25</v>
      </c>
      <c r="R515">
        <v>3731789</v>
      </c>
    </row>
    <row r="516" spans="1:18" x14ac:dyDescent="0.25">
      <c r="A516" s="170">
        <v>42760</v>
      </c>
      <c r="B516" s="116">
        <v>45.385299698323102</v>
      </c>
      <c r="C516" s="116">
        <v>44.680248333218501</v>
      </c>
      <c r="D516" s="116">
        <v>44.437291443891901</v>
      </c>
      <c r="E516" s="116">
        <v>44.618318145743103</v>
      </c>
      <c r="F516" s="116">
        <v>468.95</v>
      </c>
      <c r="G516">
        <v>734842</v>
      </c>
      <c r="H516" s="116"/>
      <c r="I516" s="116"/>
      <c r="L516" s="170">
        <v>42760</v>
      </c>
      <c r="M516" s="116">
        <v>44.731004148953403</v>
      </c>
      <c r="N516" s="116">
        <v>45.421738504821199</v>
      </c>
      <c r="O516" s="116">
        <v>44.407073554477499</v>
      </c>
      <c r="P516" s="116">
        <v>44.492819888309398</v>
      </c>
      <c r="Q516" s="116">
        <v>469.5</v>
      </c>
      <c r="R516">
        <v>6307571</v>
      </c>
    </row>
    <row r="517" spans="1:18" x14ac:dyDescent="0.25">
      <c r="A517" s="170">
        <v>42762</v>
      </c>
      <c r="B517" s="116">
        <v>45.104231924396302</v>
      </c>
      <c r="C517" s="116">
        <v>44.708831496668701</v>
      </c>
      <c r="D517" s="116">
        <v>44.160987530540098</v>
      </c>
      <c r="E517" s="116">
        <v>44.780289405294099</v>
      </c>
      <c r="F517" s="116">
        <v>469.25</v>
      </c>
      <c r="G517">
        <v>617417</v>
      </c>
      <c r="H517" s="116"/>
      <c r="I517" s="116"/>
      <c r="L517" s="170">
        <v>42762</v>
      </c>
      <c r="M517" s="116">
        <v>44.711949408101901</v>
      </c>
      <c r="N517" s="116">
        <v>45.140681077261199</v>
      </c>
      <c r="O517" s="116">
        <v>44.1450708677691</v>
      </c>
      <c r="P517" s="116">
        <v>44.764349945443598</v>
      </c>
      <c r="Q517" s="116">
        <v>469.3</v>
      </c>
      <c r="R517">
        <v>4977414</v>
      </c>
    </row>
    <row r="518" spans="1:18" x14ac:dyDescent="0.25">
      <c r="A518" s="170">
        <v>42765</v>
      </c>
      <c r="B518" s="116">
        <v>44.589734982292903</v>
      </c>
      <c r="C518" s="116">
        <v>44.0133078527141</v>
      </c>
      <c r="D518" s="116">
        <v>43.870392035463198</v>
      </c>
      <c r="E518" s="116">
        <v>44.589734982292903</v>
      </c>
      <c r="F518" s="116">
        <v>461.95</v>
      </c>
      <c r="G518">
        <v>541928</v>
      </c>
      <c r="H518" s="116"/>
      <c r="I518" s="116"/>
      <c r="L518" s="170">
        <v>42765</v>
      </c>
      <c r="M518" s="116">
        <v>44.021215052234098</v>
      </c>
      <c r="N518" s="116">
        <v>44.635730444695803</v>
      </c>
      <c r="O518" s="116">
        <v>43.840195014144697</v>
      </c>
      <c r="P518" s="116">
        <v>44.635730444695803</v>
      </c>
      <c r="Q518" s="116">
        <v>462.05</v>
      </c>
      <c r="R518">
        <v>3322749</v>
      </c>
    </row>
    <row r="519" spans="1:18" x14ac:dyDescent="0.25">
      <c r="A519" s="170">
        <v>42766</v>
      </c>
      <c r="B519" s="116">
        <v>44.904149780245</v>
      </c>
      <c r="C519" s="116">
        <v>44.056182597889403</v>
      </c>
      <c r="D519" s="116">
        <v>43.856100453738101</v>
      </c>
      <c r="E519" s="116">
        <v>43.979960828688903</v>
      </c>
      <c r="F519" s="116">
        <v>462.4</v>
      </c>
      <c r="G519">
        <v>508131</v>
      </c>
      <c r="H519" s="116"/>
      <c r="I519" s="116"/>
      <c r="L519" s="170">
        <v>42766</v>
      </c>
      <c r="M519" s="116">
        <v>44.116488756491798</v>
      </c>
      <c r="N519" s="116">
        <v>44.912024187042903</v>
      </c>
      <c r="O519" s="116">
        <v>43.835431328931797</v>
      </c>
      <c r="P519" s="116">
        <v>43.844958699357498</v>
      </c>
      <c r="Q519" s="116">
        <v>463.05</v>
      </c>
      <c r="R519">
        <v>4543771</v>
      </c>
    </row>
    <row r="520" spans="1:18" x14ac:dyDescent="0.25">
      <c r="A520" s="170">
        <v>42767</v>
      </c>
      <c r="B520" s="116">
        <v>45.237620020497097</v>
      </c>
      <c r="C520" s="116">
        <v>45.099468063821199</v>
      </c>
      <c r="D520" s="116">
        <v>43.579796540386198</v>
      </c>
      <c r="E520" s="116">
        <v>44.0704741796145</v>
      </c>
      <c r="F520" s="116">
        <v>473.35</v>
      </c>
      <c r="G520">
        <v>1045070</v>
      </c>
      <c r="H520" s="116"/>
      <c r="I520" s="116"/>
      <c r="L520" s="170">
        <v>42767</v>
      </c>
      <c r="M520" s="116">
        <v>45.216900040667298</v>
      </c>
      <c r="N520" s="116">
        <v>45.3407558562022</v>
      </c>
      <c r="O520" s="116">
        <v>43.554373901371797</v>
      </c>
      <c r="P520" s="116">
        <v>44.211762460749398</v>
      </c>
      <c r="Q520" s="116">
        <v>474.6</v>
      </c>
      <c r="R520">
        <v>5572616</v>
      </c>
    </row>
    <row r="521" spans="1:18" x14ac:dyDescent="0.25">
      <c r="A521" s="170">
        <v>42768</v>
      </c>
      <c r="B521" s="116">
        <v>45.809283289500897</v>
      </c>
      <c r="C521" s="116">
        <v>45.399591280048199</v>
      </c>
      <c r="D521" s="116">
        <v>44.446819165041902</v>
      </c>
      <c r="E521" s="116">
        <v>45.070884900370999</v>
      </c>
      <c r="F521" s="116">
        <v>476.5</v>
      </c>
      <c r="G521">
        <v>1101715</v>
      </c>
      <c r="H521" s="116"/>
      <c r="I521" s="116"/>
      <c r="L521" s="170">
        <v>42768</v>
      </c>
      <c r="M521" s="116">
        <v>45.440793245672701</v>
      </c>
      <c r="N521" s="116">
        <v>45.817124377490302</v>
      </c>
      <c r="O521" s="116">
        <v>44.4213646101162</v>
      </c>
      <c r="P521" s="116">
        <v>45.112098965983897</v>
      </c>
      <c r="Q521" s="116">
        <v>476.95</v>
      </c>
      <c r="R521">
        <v>5988117</v>
      </c>
    </row>
    <row r="522" spans="1:18" x14ac:dyDescent="0.25">
      <c r="A522" s="170">
        <v>42769</v>
      </c>
      <c r="B522" s="116">
        <v>45.780700126050696</v>
      </c>
      <c r="C522" s="116">
        <v>44.966079967720397</v>
      </c>
      <c r="D522" s="116">
        <v>44.599262703442903</v>
      </c>
      <c r="E522" s="116">
        <v>45.5329793761491</v>
      </c>
      <c r="F522" s="116">
        <v>471.95</v>
      </c>
      <c r="G522">
        <v>601710</v>
      </c>
      <c r="H522" s="116"/>
      <c r="I522" s="116"/>
      <c r="L522" s="170">
        <v>42769</v>
      </c>
      <c r="M522" s="116">
        <v>45.045407373003599</v>
      </c>
      <c r="N522" s="116">
        <v>45.731378043658403</v>
      </c>
      <c r="O522" s="116">
        <v>44.6023846482056</v>
      </c>
      <c r="P522" s="116">
        <v>45.436029560459801</v>
      </c>
      <c r="Q522" s="116">
        <v>472.8</v>
      </c>
      <c r="R522">
        <v>5284757</v>
      </c>
    </row>
    <row r="523" spans="1:18" x14ac:dyDescent="0.25">
      <c r="A523" s="170">
        <v>42772</v>
      </c>
      <c r="B523" s="116">
        <v>45.685422914550102</v>
      </c>
      <c r="C523" s="116">
        <v>45.028010155195801</v>
      </c>
      <c r="D523" s="116">
        <v>44.708831496668701</v>
      </c>
      <c r="E523" s="116">
        <v>45.247147741647197</v>
      </c>
      <c r="F523" s="116">
        <v>472.6</v>
      </c>
      <c r="G523">
        <v>962262</v>
      </c>
      <c r="H523" s="116"/>
      <c r="I523" s="116"/>
      <c r="L523" s="170">
        <v>42772</v>
      </c>
      <c r="M523" s="116">
        <v>45.102571595558103</v>
      </c>
      <c r="N523" s="116">
        <v>45.502721153440199</v>
      </c>
      <c r="O523" s="116">
        <v>44.6976583524633</v>
      </c>
      <c r="P523" s="116">
        <v>45.197845299815803</v>
      </c>
      <c r="Q523" s="116">
        <v>473.4</v>
      </c>
      <c r="R523">
        <v>4806869</v>
      </c>
    </row>
    <row r="524" spans="1:18" x14ac:dyDescent="0.25">
      <c r="A524" s="170">
        <v>42773</v>
      </c>
      <c r="B524" s="116">
        <v>45.685422914550102</v>
      </c>
      <c r="C524" s="116">
        <v>45.089940342671198</v>
      </c>
      <c r="D524" s="116">
        <v>44.789817126444198</v>
      </c>
      <c r="E524" s="116">
        <v>45.256675462797297</v>
      </c>
      <c r="F524" s="116">
        <v>473.25</v>
      </c>
      <c r="G524">
        <v>653684</v>
      </c>
      <c r="H524" s="116"/>
      <c r="I524" s="116"/>
      <c r="L524" s="170">
        <v>42773</v>
      </c>
      <c r="M524" s="116">
        <v>45.045407373003599</v>
      </c>
      <c r="N524" s="116">
        <v>45.712323302806901</v>
      </c>
      <c r="O524" s="116">
        <v>44.7834046862951</v>
      </c>
      <c r="P524" s="116">
        <v>45.264536892796102</v>
      </c>
      <c r="Q524" s="116">
        <v>472.8</v>
      </c>
      <c r="R524">
        <v>4836631</v>
      </c>
    </row>
    <row r="525" spans="1:18" x14ac:dyDescent="0.25">
      <c r="A525" s="170">
        <v>42774</v>
      </c>
      <c r="B525" s="116">
        <v>46.400002000804797</v>
      </c>
      <c r="C525" s="116">
        <v>44.846983453344599</v>
      </c>
      <c r="D525" s="116">
        <v>44.5944988428679</v>
      </c>
      <c r="E525" s="116">
        <v>46.380946558504597</v>
      </c>
      <c r="F525" s="116">
        <v>470.7</v>
      </c>
      <c r="G525">
        <v>1444323</v>
      </c>
      <c r="H525" s="116"/>
      <c r="I525" s="116"/>
      <c r="L525" s="170">
        <v>42774</v>
      </c>
      <c r="M525" s="116">
        <v>44.840568908849697</v>
      </c>
      <c r="N525" s="116">
        <v>46.2458560466496</v>
      </c>
      <c r="O525" s="116">
        <v>44.535693055225302</v>
      </c>
      <c r="P525" s="116">
        <v>46.207746564946603</v>
      </c>
      <c r="Q525" s="116">
        <v>470.65</v>
      </c>
      <c r="R525">
        <v>11287445</v>
      </c>
    </row>
    <row r="526" spans="1:18" x14ac:dyDescent="0.25">
      <c r="A526" s="170">
        <v>42775</v>
      </c>
      <c r="B526" s="116">
        <v>45.099468063821199</v>
      </c>
      <c r="C526" s="116">
        <v>43.817989569137801</v>
      </c>
      <c r="D526" s="116">
        <v>43.522630213485897</v>
      </c>
      <c r="E526" s="116">
        <v>44.775525544719102</v>
      </c>
      <c r="F526" s="116">
        <v>459.9</v>
      </c>
      <c r="G526">
        <v>1043198</v>
      </c>
      <c r="H526" s="116"/>
      <c r="I526" s="116"/>
      <c r="L526" s="170">
        <v>42775</v>
      </c>
      <c r="M526" s="116">
        <v>43.811612902867402</v>
      </c>
      <c r="N526" s="116">
        <v>45.102571595558103</v>
      </c>
      <c r="O526" s="116">
        <v>43.492445993604299</v>
      </c>
      <c r="P526" s="116">
        <v>44.745295204592097</v>
      </c>
      <c r="Q526" s="116">
        <v>459.85</v>
      </c>
      <c r="R526">
        <v>6485765</v>
      </c>
    </row>
    <row r="527" spans="1:18" x14ac:dyDescent="0.25">
      <c r="A527" s="170">
        <v>42776</v>
      </c>
      <c r="B527" s="116">
        <v>44.889858198519903</v>
      </c>
      <c r="C527" s="116">
        <v>44.565915679417699</v>
      </c>
      <c r="D527" s="116">
        <v>43.903739059488402</v>
      </c>
      <c r="E527" s="116">
        <v>44.494457770792302</v>
      </c>
      <c r="F527" s="116">
        <v>467.75</v>
      </c>
      <c r="G527">
        <v>850179</v>
      </c>
      <c r="H527" s="116"/>
      <c r="I527" s="116"/>
      <c r="L527" s="170">
        <v>42776</v>
      </c>
      <c r="M527" s="116">
        <v>44.6071483334185</v>
      </c>
      <c r="N527" s="116">
        <v>44.950133668745899</v>
      </c>
      <c r="O527" s="116">
        <v>43.878304495847701</v>
      </c>
      <c r="P527" s="116">
        <v>44.492819888309398</v>
      </c>
      <c r="Q527" s="116">
        <v>468.2</v>
      </c>
      <c r="R527">
        <v>7912091</v>
      </c>
    </row>
    <row r="528" spans="1:18" x14ac:dyDescent="0.25">
      <c r="A528" s="170">
        <v>42779</v>
      </c>
      <c r="B528" s="116">
        <v>45.4472298857985</v>
      </c>
      <c r="C528" s="116">
        <v>45.018482434045701</v>
      </c>
      <c r="D528" s="116">
        <v>44.799344847594298</v>
      </c>
      <c r="E528" s="116">
        <v>44.837455732194499</v>
      </c>
      <c r="F528" s="116">
        <v>472.5</v>
      </c>
      <c r="G528">
        <v>589288</v>
      </c>
      <c r="H528" s="116"/>
      <c r="I528" s="116"/>
      <c r="L528" s="170">
        <v>42779</v>
      </c>
      <c r="M528" s="116">
        <v>45.026352632151998</v>
      </c>
      <c r="N528" s="116">
        <v>45.445556930885601</v>
      </c>
      <c r="O528" s="116">
        <v>44.788168371508</v>
      </c>
      <c r="P528" s="116">
        <v>45.078753169493702</v>
      </c>
      <c r="Q528" s="116">
        <v>472.6</v>
      </c>
      <c r="R528">
        <v>4898780</v>
      </c>
    </row>
    <row r="529" spans="1:18" x14ac:dyDescent="0.25">
      <c r="A529" s="170">
        <v>42780</v>
      </c>
      <c r="B529" s="116">
        <v>45.218564578196997</v>
      </c>
      <c r="C529" s="116">
        <v>44.994663131170498</v>
      </c>
      <c r="D529" s="116">
        <v>44.446819165041902</v>
      </c>
      <c r="E529" s="116">
        <v>44.994663131170498</v>
      </c>
      <c r="F529" s="116">
        <v>472.25</v>
      </c>
      <c r="G529">
        <v>685112</v>
      </c>
      <c r="H529" s="116"/>
      <c r="I529" s="116"/>
      <c r="L529" s="170">
        <v>42780</v>
      </c>
      <c r="M529" s="116">
        <v>45.007297891300503</v>
      </c>
      <c r="N529" s="116">
        <v>45.2407184667317</v>
      </c>
      <c r="O529" s="116">
        <v>44.407073554477499</v>
      </c>
      <c r="P529" s="116">
        <v>45.150208447687</v>
      </c>
      <c r="Q529" s="116">
        <v>472.4</v>
      </c>
      <c r="R529">
        <v>3251700</v>
      </c>
    </row>
    <row r="530" spans="1:18" x14ac:dyDescent="0.25">
      <c r="A530" s="170">
        <v>42781</v>
      </c>
      <c r="B530" s="116">
        <v>45.2042729964719</v>
      </c>
      <c r="C530" s="116">
        <v>43.837045011437901</v>
      </c>
      <c r="D530" s="116">
        <v>43.598851982686398</v>
      </c>
      <c r="E530" s="116">
        <v>44.875566616794799</v>
      </c>
      <c r="F530" s="116">
        <v>460.1</v>
      </c>
      <c r="G530">
        <v>571173</v>
      </c>
      <c r="H530" s="116"/>
      <c r="I530" s="116"/>
      <c r="L530" s="170">
        <v>42781</v>
      </c>
      <c r="M530" s="116">
        <v>43.835431328931797</v>
      </c>
      <c r="N530" s="116">
        <v>45.231191096305899</v>
      </c>
      <c r="O530" s="116">
        <v>43.563901271797597</v>
      </c>
      <c r="P530" s="116">
        <v>45.035880002577798</v>
      </c>
      <c r="Q530" s="116">
        <v>460.1</v>
      </c>
      <c r="R530">
        <v>4228709</v>
      </c>
    </row>
    <row r="531" spans="1:18" x14ac:dyDescent="0.25">
      <c r="A531" s="170">
        <v>42782</v>
      </c>
      <c r="B531" s="116">
        <v>44.9232052225451</v>
      </c>
      <c r="C531" s="116">
        <v>44.761233962993998</v>
      </c>
      <c r="D531" s="116">
        <v>43.417825280835203</v>
      </c>
      <c r="E531" s="116">
        <v>44.303903347791</v>
      </c>
      <c r="F531" s="116">
        <v>469.8</v>
      </c>
      <c r="G531">
        <v>586931</v>
      </c>
      <c r="H531" s="116"/>
      <c r="I531" s="116"/>
      <c r="L531" s="170">
        <v>42782</v>
      </c>
      <c r="M531" s="116">
        <v>44.773877315869299</v>
      </c>
      <c r="N531" s="116">
        <v>44.921551557468703</v>
      </c>
      <c r="O531" s="116">
        <v>43.4114633449854</v>
      </c>
      <c r="P531" s="116">
        <v>44.273690368516803</v>
      </c>
      <c r="Q531" s="116">
        <v>469.95</v>
      </c>
      <c r="R531">
        <v>4820369</v>
      </c>
    </row>
    <row r="532" spans="1:18" x14ac:dyDescent="0.25">
      <c r="A532" s="170">
        <v>42783</v>
      </c>
      <c r="B532" s="116">
        <v>45.2423838810722</v>
      </c>
      <c r="C532" s="116">
        <v>44.5849711217178</v>
      </c>
      <c r="D532" s="116">
        <v>44.465874607342101</v>
      </c>
      <c r="E532" s="116">
        <v>44.789817126444198</v>
      </c>
      <c r="F532" s="116">
        <v>467.95</v>
      </c>
      <c r="G532">
        <v>431471</v>
      </c>
      <c r="H532" s="116"/>
      <c r="I532" s="116"/>
      <c r="L532" s="170">
        <v>42783</v>
      </c>
      <c r="M532" s="116">
        <v>44.6071483334185</v>
      </c>
      <c r="N532" s="116">
        <v>45.2407184667317</v>
      </c>
      <c r="O532" s="116">
        <v>44.459474091819203</v>
      </c>
      <c r="P532" s="116">
        <v>44.997770520874802</v>
      </c>
      <c r="Q532" s="116">
        <v>468.2</v>
      </c>
      <c r="R532">
        <v>3922122</v>
      </c>
    </row>
    <row r="533" spans="1:18" x14ac:dyDescent="0.25">
      <c r="A533" s="170">
        <v>42786</v>
      </c>
      <c r="B533" s="116">
        <v>46.533390096905599</v>
      </c>
      <c r="C533" s="116">
        <v>46.371418837354597</v>
      </c>
      <c r="D533" s="116">
        <v>44.3134310689411</v>
      </c>
      <c r="E533" s="116">
        <v>44.685012193793497</v>
      </c>
      <c r="F533" s="116">
        <v>486.7</v>
      </c>
      <c r="G533">
        <v>1207022</v>
      </c>
      <c r="H533" s="116"/>
      <c r="I533" s="116"/>
      <c r="L533" s="170">
        <v>42786</v>
      </c>
      <c r="M533" s="116">
        <v>46.403057658674697</v>
      </c>
      <c r="N533" s="116">
        <v>46.588841381976998</v>
      </c>
      <c r="O533" s="116">
        <v>44.278454053729703</v>
      </c>
      <c r="P533" s="116">
        <v>44.588093592566999</v>
      </c>
      <c r="Q533" s="116">
        <v>487.05</v>
      </c>
      <c r="R533">
        <v>8441156</v>
      </c>
    </row>
    <row r="534" spans="1:18" x14ac:dyDescent="0.25">
      <c r="A534" s="170">
        <v>42787</v>
      </c>
      <c r="B534" s="116">
        <v>47.243205322585297</v>
      </c>
      <c r="C534" s="116">
        <v>46.742999962207001</v>
      </c>
      <c r="D534" s="116">
        <v>46.3285440921793</v>
      </c>
      <c r="E534" s="116">
        <v>46.447640606555098</v>
      </c>
      <c r="F534" s="116">
        <v>490.6</v>
      </c>
      <c r="G534">
        <v>883118</v>
      </c>
      <c r="H534" s="116"/>
      <c r="I534" s="116"/>
      <c r="L534" s="170">
        <v>42787</v>
      </c>
      <c r="M534" s="116">
        <v>46.774625105279398</v>
      </c>
      <c r="N534" s="116">
        <v>47.246229941354599</v>
      </c>
      <c r="O534" s="116">
        <v>46.207746564946603</v>
      </c>
      <c r="P534" s="116">
        <v>46.584077696764197</v>
      </c>
      <c r="Q534" s="116">
        <v>490.95</v>
      </c>
      <c r="R534">
        <v>8063716</v>
      </c>
    </row>
    <row r="535" spans="1:18" x14ac:dyDescent="0.25">
      <c r="A535" s="170">
        <v>42788</v>
      </c>
      <c r="B535" s="116">
        <v>46.781110846807302</v>
      </c>
      <c r="C535" s="116">
        <v>46.0474763182525</v>
      </c>
      <c r="D535" s="116">
        <v>45.7949917077758</v>
      </c>
      <c r="E535" s="116">
        <v>46.714416798756801</v>
      </c>
      <c r="F535" s="116">
        <v>483.3</v>
      </c>
      <c r="G535">
        <v>447603</v>
      </c>
      <c r="H535" s="116"/>
      <c r="I535" s="116"/>
      <c r="L535" s="170">
        <v>42788</v>
      </c>
      <c r="M535" s="116">
        <v>46.117236545901797</v>
      </c>
      <c r="N535" s="116">
        <v>46.822261957408202</v>
      </c>
      <c r="O535" s="116">
        <v>45.788542266213</v>
      </c>
      <c r="P535" s="116">
        <v>46.726988253150601</v>
      </c>
      <c r="Q535" s="116">
        <v>484.05</v>
      </c>
      <c r="R535">
        <v>5010536</v>
      </c>
    </row>
    <row r="536" spans="1:18" x14ac:dyDescent="0.25">
      <c r="A536" s="170">
        <v>42789</v>
      </c>
      <c r="B536" s="116">
        <v>46.400002000804797</v>
      </c>
      <c r="C536" s="116">
        <v>46.218975298953602</v>
      </c>
      <c r="D536" s="116">
        <v>45.590145703049501</v>
      </c>
      <c r="E536" s="116">
        <v>46.209447577803502</v>
      </c>
      <c r="F536" s="116">
        <v>485.1</v>
      </c>
      <c r="G536">
        <v>610716</v>
      </c>
      <c r="H536" s="116"/>
      <c r="I536" s="116"/>
      <c r="L536" s="170">
        <v>42789</v>
      </c>
      <c r="M536" s="116">
        <v>46.279201843139802</v>
      </c>
      <c r="N536" s="116">
        <v>46.484040307293697</v>
      </c>
      <c r="O536" s="116">
        <v>45.555121690781803</v>
      </c>
      <c r="P536" s="116">
        <v>46.217273935372297</v>
      </c>
      <c r="Q536" s="116">
        <v>485.75</v>
      </c>
      <c r="R536">
        <v>4810464</v>
      </c>
    </row>
    <row r="537" spans="1:18" x14ac:dyDescent="0.25">
      <c r="A537" s="170">
        <v>42793</v>
      </c>
      <c r="B537" s="116">
        <v>46.495279212305398</v>
      </c>
      <c r="C537" s="116">
        <v>45.814047150075901</v>
      </c>
      <c r="D537" s="116">
        <v>45.690186775125099</v>
      </c>
      <c r="E537" s="116">
        <v>46.114170366302901</v>
      </c>
      <c r="F537" s="116">
        <v>480.85</v>
      </c>
      <c r="G537">
        <v>289076</v>
      </c>
      <c r="H537" s="116"/>
      <c r="I537" s="116"/>
      <c r="L537" s="170">
        <v>42793</v>
      </c>
      <c r="M537" s="116">
        <v>45.788542266213</v>
      </c>
      <c r="N537" s="116">
        <v>46.507858733358098</v>
      </c>
      <c r="O537" s="116">
        <v>45.683741191529599</v>
      </c>
      <c r="P537" s="116">
        <v>46.226801305798098</v>
      </c>
      <c r="Q537" s="116">
        <v>480.6</v>
      </c>
      <c r="R537">
        <v>2730887</v>
      </c>
    </row>
    <row r="538" spans="1:18" x14ac:dyDescent="0.25">
      <c r="A538" s="170">
        <v>42794</v>
      </c>
      <c r="B538" s="116">
        <v>46.257086183553803</v>
      </c>
      <c r="C538" s="116">
        <v>45.985546130777003</v>
      </c>
      <c r="D538" s="116">
        <v>45.814047150075901</v>
      </c>
      <c r="E538" s="116">
        <v>45.828338731800997</v>
      </c>
      <c r="F538" s="116">
        <v>482.65</v>
      </c>
      <c r="G538">
        <v>455776</v>
      </c>
      <c r="H538" s="116"/>
      <c r="I538" s="116"/>
      <c r="L538" s="170">
        <v>42794</v>
      </c>
      <c r="M538" s="116">
        <v>45.988617045154001</v>
      </c>
      <c r="N538" s="116">
        <v>46.279201843139802</v>
      </c>
      <c r="O538" s="116">
        <v>45.774251210574398</v>
      </c>
      <c r="P538" s="116">
        <v>45.874288600044899</v>
      </c>
      <c r="Q538" s="116">
        <v>482.7</v>
      </c>
      <c r="R538">
        <v>3402886</v>
      </c>
    </row>
    <row r="539" spans="1:18" x14ac:dyDescent="0.25">
      <c r="A539" s="170">
        <v>42795</v>
      </c>
      <c r="B539" s="116">
        <v>47.876798779064501</v>
      </c>
      <c r="C539" s="116">
        <v>47.667188913763098</v>
      </c>
      <c r="D539" s="116">
        <v>46.0474763182525</v>
      </c>
      <c r="E539" s="116">
        <v>46.0474763182525</v>
      </c>
      <c r="F539" s="116">
        <v>500.3</v>
      </c>
      <c r="G539">
        <v>1192447</v>
      </c>
      <c r="H539" s="116"/>
      <c r="I539" s="116"/>
      <c r="L539" s="170">
        <v>42795</v>
      </c>
      <c r="M539" s="116">
        <v>47.670197925301103</v>
      </c>
      <c r="N539" s="116">
        <v>47.875036389454898</v>
      </c>
      <c r="O539" s="116">
        <v>46.055308638134399</v>
      </c>
      <c r="P539" s="116">
        <v>46.207746564946603</v>
      </c>
      <c r="Q539" s="116">
        <v>500.35</v>
      </c>
      <c r="R539">
        <v>7716571</v>
      </c>
    </row>
    <row r="540" spans="1:18" x14ac:dyDescent="0.25">
      <c r="A540" s="170">
        <v>42796</v>
      </c>
      <c r="B540" s="116">
        <v>48.148338831841301</v>
      </c>
      <c r="C540" s="116">
        <v>47.166983553384803</v>
      </c>
      <c r="D540" s="116">
        <v>46.895443500608003</v>
      </c>
      <c r="E540" s="116">
        <v>47.7624661252637</v>
      </c>
      <c r="F540" s="116">
        <v>495.05</v>
      </c>
      <c r="G540">
        <v>840452</v>
      </c>
      <c r="H540" s="116"/>
      <c r="I540" s="116"/>
      <c r="L540" s="170">
        <v>42796</v>
      </c>
      <c r="M540" s="116">
        <v>47.127137811032597</v>
      </c>
      <c r="N540" s="116">
        <v>48.170384872653599</v>
      </c>
      <c r="O540" s="116">
        <v>46.898480920814301</v>
      </c>
      <c r="P540" s="116">
        <v>47.827399537326102</v>
      </c>
      <c r="Q540" s="116">
        <v>494.65</v>
      </c>
      <c r="R540">
        <v>5722550</v>
      </c>
    </row>
    <row r="541" spans="1:18" x14ac:dyDescent="0.25">
      <c r="A541" s="170">
        <v>42797</v>
      </c>
      <c r="B541" s="116">
        <v>47.428995885011503</v>
      </c>
      <c r="C541" s="116">
        <v>47.162219692809799</v>
      </c>
      <c r="D541" s="116">
        <v>46.6763059141566</v>
      </c>
      <c r="E541" s="116">
        <v>47.066942481309198</v>
      </c>
      <c r="F541" s="116">
        <v>495</v>
      </c>
      <c r="G541">
        <v>462082</v>
      </c>
      <c r="H541" s="116"/>
      <c r="I541" s="116"/>
      <c r="L541" s="170">
        <v>42797</v>
      </c>
      <c r="M541" s="116">
        <v>47.1700109779485</v>
      </c>
      <c r="N541" s="116">
        <v>47.422486294231199</v>
      </c>
      <c r="O541" s="116">
        <v>46.641241919318702</v>
      </c>
      <c r="P541" s="116">
        <v>47.117610440606803</v>
      </c>
      <c r="Q541" s="116">
        <v>495.1</v>
      </c>
      <c r="R541">
        <v>3357902</v>
      </c>
    </row>
    <row r="542" spans="1:18" x14ac:dyDescent="0.25">
      <c r="A542" s="170">
        <v>42800</v>
      </c>
      <c r="B542" s="116">
        <v>47.667188913763098</v>
      </c>
      <c r="C542" s="116">
        <v>46.9669014092335</v>
      </c>
      <c r="D542" s="116">
        <v>46.733472241057001</v>
      </c>
      <c r="E542" s="116">
        <v>47.247969183160301</v>
      </c>
      <c r="F542" s="116">
        <v>492.95</v>
      </c>
      <c r="G542">
        <v>584853</v>
      </c>
      <c r="H542" s="116"/>
      <c r="I542" s="116"/>
      <c r="L542" s="170">
        <v>42800</v>
      </c>
      <c r="M542" s="116">
        <v>46.941354087730197</v>
      </c>
      <c r="N542" s="116">
        <v>47.732125833068501</v>
      </c>
      <c r="O542" s="116">
        <v>46.7079335122991</v>
      </c>
      <c r="P542" s="116">
        <v>47.1700109779485</v>
      </c>
      <c r="Q542" s="116">
        <v>492.7</v>
      </c>
      <c r="R542">
        <v>4153429</v>
      </c>
    </row>
    <row r="543" spans="1:18" x14ac:dyDescent="0.25">
      <c r="A543" s="170">
        <v>42801</v>
      </c>
      <c r="B543" s="116">
        <v>47.143164250509699</v>
      </c>
      <c r="C543" s="116">
        <v>45.923615943301598</v>
      </c>
      <c r="D543" s="116">
        <v>45.828338731800997</v>
      </c>
      <c r="E543" s="116">
        <v>47.019303875558798</v>
      </c>
      <c r="F543" s="116">
        <v>482</v>
      </c>
      <c r="G543">
        <v>582039</v>
      </c>
      <c r="H543" s="116"/>
      <c r="I543" s="116"/>
      <c r="L543" s="170">
        <v>42801</v>
      </c>
      <c r="M543" s="116">
        <v>45.921925452173703</v>
      </c>
      <c r="N543" s="116">
        <v>47.065209903265199</v>
      </c>
      <c r="O543" s="116">
        <v>45.7933059514259</v>
      </c>
      <c r="P543" s="116">
        <v>47.017573051136303</v>
      </c>
      <c r="Q543" s="116">
        <v>482</v>
      </c>
      <c r="R543">
        <v>5123193</v>
      </c>
    </row>
    <row r="544" spans="1:18" x14ac:dyDescent="0.25">
      <c r="A544" s="170">
        <v>42802</v>
      </c>
      <c r="B544" s="116">
        <v>46.333307952754303</v>
      </c>
      <c r="C544" s="116">
        <v>45.056593318645902</v>
      </c>
      <c r="D544" s="116">
        <v>44.827928011044399</v>
      </c>
      <c r="E544" s="116">
        <v>46.209447577803502</v>
      </c>
      <c r="F544" s="116">
        <v>472.9</v>
      </c>
      <c r="G544">
        <v>633252</v>
      </c>
      <c r="H544" s="116"/>
      <c r="I544" s="116"/>
      <c r="L544" s="170">
        <v>42802</v>
      </c>
      <c r="M544" s="116">
        <v>45.012061576513403</v>
      </c>
      <c r="N544" s="116">
        <v>46.3411297509072</v>
      </c>
      <c r="O544" s="116">
        <v>44.788168371508</v>
      </c>
      <c r="P544" s="116">
        <v>46.198219194520803</v>
      </c>
      <c r="Q544" s="116">
        <v>472.45</v>
      </c>
      <c r="R544">
        <v>5935312</v>
      </c>
    </row>
    <row r="545" spans="1:18" x14ac:dyDescent="0.25">
      <c r="A545" s="170">
        <v>42803</v>
      </c>
      <c r="B545" s="116">
        <v>45.256675462797297</v>
      </c>
      <c r="C545" s="116">
        <v>44.732650799543798</v>
      </c>
      <c r="D545" s="116">
        <v>44.589734982292903</v>
      </c>
      <c r="E545" s="116">
        <v>44.875566616794799</v>
      </c>
      <c r="F545" s="116">
        <v>469.5</v>
      </c>
      <c r="G545">
        <v>577011</v>
      </c>
      <c r="H545" s="116"/>
      <c r="I545" s="116"/>
      <c r="L545" s="170">
        <v>42803</v>
      </c>
      <c r="M545" s="116">
        <v>44.726240463740503</v>
      </c>
      <c r="N545" s="116">
        <v>45.288355318860503</v>
      </c>
      <c r="O545" s="116">
        <v>44.559511481289697</v>
      </c>
      <c r="P545" s="116">
        <v>44.959661039171699</v>
      </c>
      <c r="Q545" s="116">
        <v>469.45</v>
      </c>
      <c r="R545">
        <v>4495787</v>
      </c>
    </row>
    <row r="546" spans="1:18" x14ac:dyDescent="0.25">
      <c r="A546" s="170">
        <v>42804</v>
      </c>
      <c r="B546" s="116">
        <v>45.1852175541718</v>
      </c>
      <c r="C546" s="116">
        <v>44.570679539992803</v>
      </c>
      <c r="D546" s="116">
        <v>44.065710319039397</v>
      </c>
      <c r="E546" s="116">
        <v>44.727886938968801</v>
      </c>
      <c r="F546" s="116">
        <v>467.8</v>
      </c>
      <c r="G546">
        <v>632569</v>
      </c>
      <c r="H546" s="116"/>
      <c r="I546" s="116"/>
      <c r="L546" s="170">
        <v>42804</v>
      </c>
      <c r="M546" s="116">
        <v>44.564275166502597</v>
      </c>
      <c r="N546" s="116">
        <v>45.197845299815803</v>
      </c>
      <c r="O546" s="116">
        <v>44.035506107872799</v>
      </c>
      <c r="P546" s="116">
        <v>44.635730444695803</v>
      </c>
      <c r="Q546" s="116">
        <v>467.75</v>
      </c>
      <c r="R546">
        <v>4523612</v>
      </c>
    </row>
    <row r="547" spans="1:18" x14ac:dyDescent="0.25">
      <c r="A547" s="170">
        <v>42808</v>
      </c>
      <c r="B547" s="116">
        <v>45.628256587649702</v>
      </c>
      <c r="C547" s="116">
        <v>45.037537876345802</v>
      </c>
      <c r="D547" s="116">
        <v>44.808872568744299</v>
      </c>
      <c r="E547" s="116">
        <v>45.542507097299101</v>
      </c>
      <c r="F547" s="116">
        <v>472.7</v>
      </c>
      <c r="G547">
        <v>600854</v>
      </c>
      <c r="H547" s="116"/>
      <c r="I547" s="116"/>
      <c r="L547" s="170">
        <v>42808</v>
      </c>
      <c r="M547" s="116">
        <v>45.021588946939197</v>
      </c>
      <c r="N547" s="116">
        <v>45.636104339400802</v>
      </c>
      <c r="O547" s="116">
        <v>44.821514167998203</v>
      </c>
      <c r="P547" s="116">
        <v>45.636104339400802</v>
      </c>
      <c r="Q547" s="116">
        <v>472.55</v>
      </c>
      <c r="R547">
        <v>5565574</v>
      </c>
    </row>
    <row r="548" spans="1:18" x14ac:dyDescent="0.25">
      <c r="A548" s="170">
        <v>42809</v>
      </c>
      <c r="B548" s="116">
        <v>45.685422914550102</v>
      </c>
      <c r="C548" s="116">
        <v>45.594909563624498</v>
      </c>
      <c r="D548" s="116">
        <v>44.832691871619502</v>
      </c>
      <c r="E548" s="116">
        <v>44.832691871619502</v>
      </c>
      <c r="F548" s="116">
        <v>478.55</v>
      </c>
      <c r="G548">
        <v>1077460</v>
      </c>
      <c r="H548" s="116"/>
      <c r="I548" s="116"/>
      <c r="L548" s="170">
        <v>42809</v>
      </c>
      <c r="M548" s="116">
        <v>45.640868024613702</v>
      </c>
      <c r="N548" s="116">
        <v>45.731378043658403</v>
      </c>
      <c r="O548" s="116">
        <v>44.816750482785302</v>
      </c>
      <c r="P548" s="116">
        <v>45.1549721328998</v>
      </c>
      <c r="Q548" s="116">
        <v>479.05</v>
      </c>
      <c r="R548">
        <v>5561866</v>
      </c>
    </row>
    <row r="549" spans="1:18" x14ac:dyDescent="0.25">
      <c r="A549" s="170">
        <v>42810</v>
      </c>
      <c r="B549" s="116">
        <v>47.729119101238503</v>
      </c>
      <c r="C549" s="116">
        <v>47.557620120537401</v>
      </c>
      <c r="D549" s="116">
        <v>45.899796640426501</v>
      </c>
      <c r="E549" s="116">
        <v>45.923615943301598</v>
      </c>
      <c r="F549" s="116">
        <v>499.15</v>
      </c>
      <c r="G549">
        <v>1250534</v>
      </c>
      <c r="H549" s="116"/>
      <c r="I549" s="116"/>
      <c r="L549" s="170">
        <v>42810</v>
      </c>
      <c r="M549" s="116">
        <v>47.603506332320698</v>
      </c>
      <c r="N549" s="116">
        <v>47.732125833068501</v>
      </c>
      <c r="O549" s="116">
        <v>45.917161766960803</v>
      </c>
      <c r="P549" s="116">
        <v>46.193455509307903</v>
      </c>
      <c r="Q549" s="116">
        <v>499.65</v>
      </c>
      <c r="R549">
        <v>10391757</v>
      </c>
    </row>
    <row r="550" spans="1:18" x14ac:dyDescent="0.25">
      <c r="A550" s="170">
        <v>42811</v>
      </c>
      <c r="B550" s="116">
        <v>48.443698187493197</v>
      </c>
      <c r="C550" s="116">
        <v>47.833924033889197</v>
      </c>
      <c r="D550" s="116">
        <v>47.448051327311703</v>
      </c>
      <c r="E550" s="116">
        <v>47.843451755039297</v>
      </c>
      <c r="F550" s="116">
        <v>502.05</v>
      </c>
      <c r="G550">
        <v>894243</v>
      </c>
      <c r="H550" s="116"/>
      <c r="I550" s="116"/>
      <c r="L550" s="170">
        <v>42811</v>
      </c>
      <c r="M550" s="116">
        <v>47.846454278177703</v>
      </c>
      <c r="N550" s="116">
        <v>48.470497041065101</v>
      </c>
      <c r="O550" s="116">
        <v>47.455832090721401</v>
      </c>
      <c r="P550" s="116">
        <v>48.003655890202701</v>
      </c>
      <c r="Q550" s="116">
        <v>502.2</v>
      </c>
      <c r="R550">
        <v>6800312</v>
      </c>
    </row>
    <row r="551" spans="1:18" x14ac:dyDescent="0.25">
      <c r="A551" s="170">
        <v>42814</v>
      </c>
      <c r="B551" s="116">
        <v>47.924437384814802</v>
      </c>
      <c r="C551" s="116">
        <v>47.328954812935898</v>
      </c>
      <c r="D551" s="116">
        <v>46.814457870832499</v>
      </c>
      <c r="E551" s="116">
        <v>47.8291601733142</v>
      </c>
      <c r="F551" s="116">
        <v>496.75</v>
      </c>
      <c r="G551">
        <v>462368</v>
      </c>
      <c r="H551" s="116"/>
      <c r="I551" s="116"/>
      <c r="L551" s="170">
        <v>42814</v>
      </c>
      <c r="M551" s="116">
        <v>47.317685219547798</v>
      </c>
      <c r="N551" s="116">
        <v>47.894091130306499</v>
      </c>
      <c r="O551" s="116">
        <v>46.874662494749899</v>
      </c>
      <c r="P551" s="116">
        <v>47.875036389454898</v>
      </c>
      <c r="Q551" s="116">
        <v>496.65</v>
      </c>
      <c r="R551">
        <v>3995540</v>
      </c>
    </row>
    <row r="552" spans="1:18" x14ac:dyDescent="0.25">
      <c r="A552" s="170">
        <v>42815</v>
      </c>
      <c r="B552" s="116">
        <v>47.7624661252637</v>
      </c>
      <c r="C552" s="116">
        <v>47.314663231210801</v>
      </c>
      <c r="D552" s="116">
        <v>46.933554385208303</v>
      </c>
      <c r="E552" s="116">
        <v>47.328954812935898</v>
      </c>
      <c r="F552" s="116">
        <v>496.6</v>
      </c>
      <c r="G552">
        <v>461574</v>
      </c>
      <c r="H552" s="116"/>
      <c r="I552" s="116"/>
      <c r="L552" s="170">
        <v>42815</v>
      </c>
      <c r="M552" s="116">
        <v>47.293866793483403</v>
      </c>
      <c r="N552" s="116">
        <v>47.760707944345803</v>
      </c>
      <c r="O552" s="116">
        <v>46.908008291240101</v>
      </c>
      <c r="P552" s="116">
        <v>47.341503645612299</v>
      </c>
      <c r="Q552" s="116">
        <v>496.4</v>
      </c>
      <c r="R552">
        <v>4967685</v>
      </c>
    </row>
    <row r="553" spans="1:18" x14ac:dyDescent="0.25">
      <c r="A553" s="170">
        <v>42816</v>
      </c>
      <c r="B553" s="116">
        <v>46.990720712108697</v>
      </c>
      <c r="C553" s="116">
        <v>46.566737120930902</v>
      </c>
      <c r="D553" s="116">
        <v>46.457168327705098</v>
      </c>
      <c r="E553" s="116">
        <v>46.781110846807302</v>
      </c>
      <c r="F553" s="116">
        <v>488.75</v>
      </c>
      <c r="G553">
        <v>444450</v>
      </c>
      <c r="H553" s="116"/>
      <c r="I553" s="116"/>
      <c r="L553" s="170">
        <v>42816</v>
      </c>
      <c r="M553" s="116">
        <v>46.503095048145198</v>
      </c>
      <c r="N553" s="116">
        <v>47.046155162413598</v>
      </c>
      <c r="O553" s="116">
        <v>46.3411297509072</v>
      </c>
      <c r="P553" s="116">
        <v>46.684115086234698</v>
      </c>
      <c r="Q553" s="116">
        <v>488.1</v>
      </c>
      <c r="R553">
        <v>4652350</v>
      </c>
    </row>
    <row r="554" spans="1:18" x14ac:dyDescent="0.25">
      <c r="A554" s="170">
        <v>42817</v>
      </c>
      <c r="B554" s="116">
        <v>47.295607788910701</v>
      </c>
      <c r="C554" s="116">
        <v>47.205094437985103</v>
      </c>
      <c r="D554" s="116">
        <v>46.495279212305398</v>
      </c>
      <c r="E554" s="116">
        <v>46.495279212305398</v>
      </c>
      <c r="F554" s="116">
        <v>495.45</v>
      </c>
      <c r="G554">
        <v>419705</v>
      </c>
      <c r="H554" s="116"/>
      <c r="I554" s="116"/>
      <c r="L554" s="170">
        <v>42817</v>
      </c>
      <c r="M554" s="116">
        <v>47.208120459651603</v>
      </c>
      <c r="N554" s="116">
        <v>47.312921534334997</v>
      </c>
      <c r="O554" s="116">
        <v>46.445930825590601</v>
      </c>
      <c r="P554" s="116">
        <v>46.445930825590601</v>
      </c>
      <c r="Q554" s="116">
        <v>495.5</v>
      </c>
      <c r="R554">
        <v>4126938</v>
      </c>
    </row>
    <row r="555" spans="1:18" x14ac:dyDescent="0.25">
      <c r="A555" s="170">
        <v>42818</v>
      </c>
      <c r="B555" s="116">
        <v>47.600494865712697</v>
      </c>
      <c r="C555" s="116">
        <v>46.990720712108697</v>
      </c>
      <c r="D555" s="116">
        <v>46.804930149682399</v>
      </c>
      <c r="E555" s="116">
        <v>47.162219692809799</v>
      </c>
      <c r="F555" s="116">
        <v>493.2</v>
      </c>
      <c r="G555">
        <v>427749</v>
      </c>
      <c r="H555" s="116"/>
      <c r="I555" s="116"/>
      <c r="L555" s="170">
        <v>42818</v>
      </c>
      <c r="M555" s="116">
        <v>46.9889909398591</v>
      </c>
      <c r="N555" s="116">
        <v>47.6273247583851</v>
      </c>
      <c r="O555" s="116">
        <v>46.788916160917999</v>
      </c>
      <c r="P555" s="116">
        <v>47.2605209969933</v>
      </c>
      <c r="Q555" s="116">
        <v>493.2</v>
      </c>
      <c r="R555">
        <v>3082110</v>
      </c>
    </row>
    <row r="556" spans="1:18" x14ac:dyDescent="0.25">
      <c r="A556" s="170">
        <v>42821</v>
      </c>
      <c r="B556" s="116">
        <v>46.971665269808497</v>
      </c>
      <c r="C556" s="116">
        <v>45.509160073273897</v>
      </c>
      <c r="D556" s="116">
        <v>45.299550207972501</v>
      </c>
      <c r="E556" s="116">
        <v>46.924026664058204</v>
      </c>
      <c r="F556" s="116">
        <v>477.65</v>
      </c>
      <c r="G556">
        <v>664256</v>
      </c>
      <c r="H556" s="116"/>
      <c r="I556" s="116"/>
      <c r="L556" s="170">
        <v>42821</v>
      </c>
      <c r="M556" s="116">
        <v>45.397920078756798</v>
      </c>
      <c r="N556" s="116">
        <v>46.946117772943097</v>
      </c>
      <c r="O556" s="116">
        <v>45.221663725880198</v>
      </c>
      <c r="P556" s="116">
        <v>46.946117772943097</v>
      </c>
      <c r="Q556" s="116">
        <v>476.5</v>
      </c>
      <c r="R556">
        <v>6189956</v>
      </c>
    </row>
    <row r="557" spans="1:18" x14ac:dyDescent="0.25">
      <c r="A557" s="170">
        <v>42822</v>
      </c>
      <c r="B557" s="116">
        <v>45.947435246176802</v>
      </c>
      <c r="C557" s="116">
        <v>45.723533799150303</v>
      </c>
      <c r="D557" s="116">
        <v>45.4853407703988</v>
      </c>
      <c r="E557" s="116">
        <v>45.585381842474398</v>
      </c>
      <c r="F557" s="116">
        <v>479.9</v>
      </c>
      <c r="G557">
        <v>376086</v>
      </c>
      <c r="H557" s="116"/>
      <c r="I557" s="116"/>
      <c r="L557" s="170">
        <v>42822</v>
      </c>
      <c r="M557" s="116">
        <v>45.750432784509997</v>
      </c>
      <c r="N557" s="116">
        <v>45.983853359941101</v>
      </c>
      <c r="O557" s="116">
        <v>45.445556930885601</v>
      </c>
      <c r="P557" s="116">
        <v>45.497957468227298</v>
      </c>
      <c r="Q557" s="116">
        <v>480.2</v>
      </c>
      <c r="R557">
        <v>4396544</v>
      </c>
    </row>
    <row r="558" spans="1:18" x14ac:dyDescent="0.25">
      <c r="A558" s="170">
        <v>42823</v>
      </c>
      <c r="B558" s="116">
        <v>46.147517390328098</v>
      </c>
      <c r="C558" s="116">
        <v>46.052240178827503</v>
      </c>
      <c r="D558" s="116">
        <v>45.761644683750603</v>
      </c>
      <c r="E558" s="116">
        <v>45.828338731800997</v>
      </c>
      <c r="F558" s="116">
        <v>483.35</v>
      </c>
      <c r="G558">
        <v>507176</v>
      </c>
      <c r="H558" s="116"/>
      <c r="I558" s="116"/>
      <c r="L558" s="170">
        <v>42823</v>
      </c>
      <c r="M558" s="116">
        <v>46.150582342391999</v>
      </c>
      <c r="N558" s="116">
        <v>46.198219194520803</v>
      </c>
      <c r="O558" s="116">
        <v>45.755196469722897</v>
      </c>
      <c r="P558" s="116">
        <v>45.921925452173703</v>
      </c>
      <c r="Q558" s="116">
        <v>484.4</v>
      </c>
      <c r="R558">
        <v>3264312</v>
      </c>
    </row>
    <row r="559" spans="1:18" x14ac:dyDescent="0.25">
      <c r="A559" s="170">
        <v>42824</v>
      </c>
      <c r="B559" s="116">
        <v>46.3475995344794</v>
      </c>
      <c r="C559" s="116">
        <v>45.556798679024197</v>
      </c>
      <c r="D559" s="116">
        <v>45.351952674297898</v>
      </c>
      <c r="E559" s="116">
        <v>46.114170366302901</v>
      </c>
      <c r="F559" s="116">
        <v>478.15</v>
      </c>
      <c r="G559">
        <v>384265</v>
      </c>
      <c r="H559" s="116"/>
      <c r="I559" s="116"/>
      <c r="L559" s="170">
        <v>42824</v>
      </c>
      <c r="M559" s="116">
        <v>45.493193783014398</v>
      </c>
      <c r="N559" s="116">
        <v>46.3363660656943</v>
      </c>
      <c r="O559" s="116">
        <v>45.3312284857764</v>
      </c>
      <c r="P559" s="116">
        <v>46.150582342391999</v>
      </c>
      <c r="Q559" s="116">
        <v>477.5</v>
      </c>
      <c r="R559">
        <v>4642454</v>
      </c>
    </row>
    <row r="560" spans="1:18" x14ac:dyDescent="0.25">
      <c r="A560" s="170">
        <v>42825</v>
      </c>
      <c r="B560" s="116">
        <v>46.271377765278899</v>
      </c>
      <c r="C560" s="116">
        <v>45.985546130777003</v>
      </c>
      <c r="D560" s="116">
        <v>45.647312029949802</v>
      </c>
      <c r="E560" s="116">
        <v>45.733061520300403</v>
      </c>
      <c r="F560" s="116">
        <v>482.65</v>
      </c>
      <c r="G560">
        <v>418891</v>
      </c>
      <c r="H560" s="116"/>
      <c r="I560" s="116"/>
      <c r="L560" s="170">
        <v>42825</v>
      </c>
      <c r="M560" s="116">
        <v>45.988617045154001</v>
      </c>
      <c r="N560" s="116">
        <v>46.293492898778403</v>
      </c>
      <c r="O560" s="116">
        <v>45.640868024613702</v>
      </c>
      <c r="P560" s="116">
        <v>45.7933059514259</v>
      </c>
      <c r="Q560" s="116">
        <v>482.7</v>
      </c>
      <c r="R560">
        <v>3215307</v>
      </c>
    </row>
    <row r="561" spans="1:18" x14ac:dyDescent="0.25">
      <c r="A561" s="170">
        <v>42828</v>
      </c>
      <c r="B561" s="116">
        <v>46.6381950295563</v>
      </c>
      <c r="C561" s="116">
        <v>46.242794601828699</v>
      </c>
      <c r="D561" s="116">
        <v>46.0951149240028</v>
      </c>
      <c r="E561" s="116">
        <v>46.209447577803502</v>
      </c>
      <c r="F561" s="116">
        <v>485.35</v>
      </c>
      <c r="G561">
        <v>1550660</v>
      </c>
      <c r="H561" s="116"/>
      <c r="I561" s="116"/>
      <c r="L561" s="170">
        <v>42828</v>
      </c>
      <c r="M561" s="116">
        <v>46.288729213565503</v>
      </c>
      <c r="N561" s="116">
        <v>46.674587715808897</v>
      </c>
      <c r="O561" s="116">
        <v>45.998144415579802</v>
      </c>
      <c r="P561" s="116">
        <v>46.303020269204197</v>
      </c>
      <c r="Q561" s="116">
        <v>485.85</v>
      </c>
      <c r="R561">
        <v>3140253</v>
      </c>
    </row>
    <row r="562" spans="1:18" x14ac:dyDescent="0.25">
      <c r="A562" s="170">
        <v>42830</v>
      </c>
      <c r="B562" s="116">
        <v>47.438523606161603</v>
      </c>
      <c r="C562" s="116">
        <v>47.005012293833801</v>
      </c>
      <c r="D562" s="116">
        <v>46.304724789304103</v>
      </c>
      <c r="E562" s="116">
        <v>46.304724789304103</v>
      </c>
      <c r="F562" s="116">
        <v>493.35</v>
      </c>
      <c r="G562">
        <v>546830</v>
      </c>
      <c r="H562" s="116"/>
      <c r="I562" s="116"/>
      <c r="L562" s="170">
        <v>42830</v>
      </c>
      <c r="M562" s="116">
        <v>46.998518310284801</v>
      </c>
      <c r="N562" s="116">
        <v>47.465359461147202</v>
      </c>
      <c r="O562" s="116">
        <v>46.364948176971602</v>
      </c>
      <c r="P562" s="116">
        <v>46.493567677719398</v>
      </c>
      <c r="Q562" s="116">
        <v>493.3</v>
      </c>
      <c r="R562">
        <v>4919654</v>
      </c>
    </row>
    <row r="563" spans="1:18" x14ac:dyDescent="0.25">
      <c r="A563" s="170">
        <v>42831</v>
      </c>
      <c r="B563" s="116">
        <v>48.0530616203406</v>
      </c>
      <c r="C563" s="116">
        <v>47.795813149288897</v>
      </c>
      <c r="D563" s="116">
        <v>46.142753529753101</v>
      </c>
      <c r="E563" s="116">
        <v>46.985956851533601</v>
      </c>
      <c r="F563" s="116">
        <v>501.65</v>
      </c>
      <c r="G563">
        <v>798888</v>
      </c>
      <c r="H563" s="116"/>
      <c r="I563" s="116"/>
      <c r="L563" s="170">
        <v>42831</v>
      </c>
      <c r="M563" s="116">
        <v>47.794053740835999</v>
      </c>
      <c r="N563" s="116">
        <v>48.056056427544398</v>
      </c>
      <c r="O563" s="116">
        <v>46.107709175476103</v>
      </c>
      <c r="P563" s="116">
        <v>47.036627791987897</v>
      </c>
      <c r="Q563" s="116">
        <v>501.65</v>
      </c>
      <c r="R563">
        <v>5058885</v>
      </c>
    </row>
    <row r="564" spans="1:18" x14ac:dyDescent="0.25">
      <c r="A564" s="170">
        <v>42832</v>
      </c>
      <c r="B564" s="116">
        <v>48.191213577016498</v>
      </c>
      <c r="C564" s="116">
        <v>46.962137548658497</v>
      </c>
      <c r="D564" s="116">
        <v>46.781110846807302</v>
      </c>
      <c r="E564" s="116">
        <v>47.872034918489398</v>
      </c>
      <c r="F564" s="116">
        <v>492.9</v>
      </c>
      <c r="G564">
        <v>582942</v>
      </c>
      <c r="H564" s="116"/>
      <c r="I564" s="116"/>
      <c r="L564" s="170">
        <v>42832</v>
      </c>
      <c r="M564" s="116">
        <v>46.9889909398591</v>
      </c>
      <c r="N564" s="116">
        <v>48.241840150846798</v>
      </c>
      <c r="O564" s="116">
        <v>46.746042994002103</v>
      </c>
      <c r="P564" s="116">
        <v>47.722598462642701</v>
      </c>
      <c r="Q564" s="116">
        <v>493.2</v>
      </c>
      <c r="R564">
        <v>5379967</v>
      </c>
    </row>
    <row r="565" spans="1:18" x14ac:dyDescent="0.25">
      <c r="A565" s="170">
        <v>42835</v>
      </c>
      <c r="B565" s="116">
        <v>47.4909260724869</v>
      </c>
      <c r="C565" s="116">
        <v>47.205094437985103</v>
      </c>
      <c r="D565" s="116">
        <v>46.752527683357101</v>
      </c>
      <c r="E565" s="116">
        <v>47.2670246254605</v>
      </c>
      <c r="F565" s="116">
        <v>495.45</v>
      </c>
      <c r="G565">
        <v>453710</v>
      </c>
      <c r="H565" s="116"/>
      <c r="I565" s="116"/>
      <c r="L565" s="170">
        <v>42835</v>
      </c>
      <c r="M565" s="116">
        <v>47.193829404012902</v>
      </c>
      <c r="N565" s="116">
        <v>47.522523683701699</v>
      </c>
      <c r="O565" s="116">
        <v>46.722224567937701</v>
      </c>
      <c r="P565" s="116">
        <v>47.351031016038</v>
      </c>
      <c r="Q565" s="116">
        <v>495.35</v>
      </c>
      <c r="R565">
        <v>2992630</v>
      </c>
    </row>
    <row r="566" spans="1:18" x14ac:dyDescent="0.25">
      <c r="A566" s="170">
        <v>42836</v>
      </c>
      <c r="B566" s="116">
        <v>47.2384414620103</v>
      </c>
      <c r="C566" s="116">
        <v>46.523862375755598</v>
      </c>
      <c r="D566" s="116">
        <v>46.352363395054503</v>
      </c>
      <c r="E566" s="116">
        <v>47.2384414620103</v>
      </c>
      <c r="F566" s="116">
        <v>488.3</v>
      </c>
      <c r="G566">
        <v>327509</v>
      </c>
      <c r="H566" s="116"/>
      <c r="I566" s="116"/>
      <c r="L566" s="170">
        <v>42836</v>
      </c>
      <c r="M566" s="116">
        <v>46.503095048145198</v>
      </c>
      <c r="N566" s="116">
        <v>47.2557573117804</v>
      </c>
      <c r="O566" s="116">
        <v>46.331602380481499</v>
      </c>
      <c r="P566" s="116">
        <v>47.208120459651603</v>
      </c>
      <c r="Q566" s="116">
        <v>488.1</v>
      </c>
      <c r="R566">
        <v>4084688</v>
      </c>
    </row>
    <row r="567" spans="1:18" x14ac:dyDescent="0.25">
      <c r="A567" s="170">
        <v>42837</v>
      </c>
      <c r="B567" s="116">
        <v>46.952609827508397</v>
      </c>
      <c r="C567" s="116">
        <v>45.537743236724097</v>
      </c>
      <c r="D567" s="116">
        <v>45.432938304073403</v>
      </c>
      <c r="E567" s="116">
        <v>46.6858336353067</v>
      </c>
      <c r="F567" s="116">
        <v>477.95</v>
      </c>
      <c r="G567">
        <v>731244</v>
      </c>
      <c r="H567" s="116"/>
      <c r="I567" s="116"/>
      <c r="L567" s="170">
        <v>42837</v>
      </c>
      <c r="M567" s="116">
        <v>45.483666412588597</v>
      </c>
      <c r="N567" s="116">
        <v>46.927063032091603</v>
      </c>
      <c r="O567" s="116">
        <v>45.350283226628001</v>
      </c>
      <c r="P567" s="116">
        <v>46.722224567937701</v>
      </c>
      <c r="Q567" s="116">
        <v>477.4</v>
      </c>
      <c r="R567">
        <v>5007724</v>
      </c>
    </row>
    <row r="568" spans="1:18" x14ac:dyDescent="0.25">
      <c r="A568" s="170">
        <v>42838</v>
      </c>
      <c r="B568" s="116">
        <v>45.4472298857985</v>
      </c>
      <c r="C568" s="116">
        <v>44.208626136290398</v>
      </c>
      <c r="D568" s="116">
        <v>44.075238040189497</v>
      </c>
      <c r="E568" s="116">
        <v>45.256675462797297</v>
      </c>
      <c r="F568" s="116">
        <v>464</v>
      </c>
      <c r="G568">
        <v>734495</v>
      </c>
      <c r="H568" s="116"/>
      <c r="I568" s="116"/>
      <c r="L568" s="170">
        <v>42838</v>
      </c>
      <c r="M568" s="116">
        <v>44.164125608620601</v>
      </c>
      <c r="N568" s="116">
        <v>45.655159080252403</v>
      </c>
      <c r="O568" s="116">
        <v>44.035506107872799</v>
      </c>
      <c r="P568" s="116">
        <v>45.197845299815803</v>
      </c>
      <c r="Q568" s="116">
        <v>463.55</v>
      </c>
      <c r="R568">
        <v>5907485</v>
      </c>
    </row>
    <row r="569" spans="1:18" x14ac:dyDescent="0.25">
      <c r="A569" s="170">
        <v>42842</v>
      </c>
      <c r="B569" s="116">
        <v>44.580207261142803</v>
      </c>
      <c r="C569" s="116">
        <v>44.022835573864199</v>
      </c>
      <c r="D569" s="116">
        <v>43.827517290287901</v>
      </c>
      <c r="E569" s="116">
        <v>43.827517290287901</v>
      </c>
      <c r="F569" s="116">
        <v>462.05</v>
      </c>
      <c r="G569">
        <v>516542</v>
      </c>
      <c r="H569" s="116"/>
      <c r="I569" s="116"/>
      <c r="L569" s="170">
        <v>42842</v>
      </c>
      <c r="M569" s="116">
        <v>44.0545608487243</v>
      </c>
      <c r="N569" s="116">
        <v>44.578566222141198</v>
      </c>
      <c r="O569" s="116">
        <v>43.802085532441602</v>
      </c>
      <c r="P569" s="116">
        <v>43.835431328931797</v>
      </c>
      <c r="Q569" s="116">
        <v>462.4</v>
      </c>
      <c r="R569">
        <v>3787898</v>
      </c>
    </row>
    <row r="570" spans="1:18" x14ac:dyDescent="0.25">
      <c r="A570" s="170">
        <v>42843</v>
      </c>
      <c r="B570" s="116">
        <v>45.1852175541718</v>
      </c>
      <c r="C570" s="116">
        <v>42.8985644781568</v>
      </c>
      <c r="D570" s="116">
        <v>42.693718473430401</v>
      </c>
      <c r="E570" s="116">
        <v>44.303903347791</v>
      </c>
      <c r="F570" s="116">
        <v>450.25</v>
      </c>
      <c r="G570">
        <v>886369</v>
      </c>
      <c r="H570" s="116"/>
      <c r="I570" s="116"/>
      <c r="L570" s="170">
        <v>42843</v>
      </c>
      <c r="M570" s="116">
        <v>42.863639545504</v>
      </c>
      <c r="N570" s="116">
        <v>45.159735818112701</v>
      </c>
      <c r="O570" s="116">
        <v>42.6826195074146</v>
      </c>
      <c r="P570" s="116">
        <v>44.502347258735099</v>
      </c>
      <c r="Q570" s="116">
        <v>449.9</v>
      </c>
      <c r="R570">
        <v>7307227</v>
      </c>
    </row>
    <row r="571" spans="1:18" x14ac:dyDescent="0.25">
      <c r="A571" s="170">
        <v>42844</v>
      </c>
      <c r="B571" s="116">
        <v>43.351131232784702</v>
      </c>
      <c r="C571" s="116">
        <v>43.012897131957502</v>
      </c>
      <c r="D571" s="116">
        <v>42.169693810177002</v>
      </c>
      <c r="E571" s="116">
        <v>42.684190752280401</v>
      </c>
      <c r="F571" s="116">
        <v>451.45</v>
      </c>
      <c r="G571">
        <v>990101</v>
      </c>
      <c r="H571" s="116"/>
      <c r="I571" s="116"/>
      <c r="L571" s="170">
        <v>42844</v>
      </c>
      <c r="M571" s="116">
        <v>42.944622194122999</v>
      </c>
      <c r="N571" s="116">
        <v>43.397172289346699</v>
      </c>
      <c r="O571" s="116">
        <v>42.115740967081699</v>
      </c>
      <c r="P571" s="116">
        <v>42.6826195074146</v>
      </c>
      <c r="Q571" s="116">
        <v>450.75</v>
      </c>
      <c r="R571">
        <v>9427124</v>
      </c>
    </row>
    <row r="572" spans="1:18" x14ac:dyDescent="0.25">
      <c r="A572" s="170">
        <v>42845</v>
      </c>
      <c r="B572" s="116">
        <v>43.346367372209698</v>
      </c>
      <c r="C572" s="116">
        <v>43.255854021284101</v>
      </c>
      <c r="D572" s="116">
        <v>42.741357079180702</v>
      </c>
      <c r="E572" s="116">
        <v>43.346367372209698</v>
      </c>
      <c r="F572" s="116">
        <v>454</v>
      </c>
      <c r="G572">
        <v>519793</v>
      </c>
      <c r="H572" s="116"/>
      <c r="I572" s="116"/>
      <c r="L572" s="170">
        <v>42845</v>
      </c>
      <c r="M572" s="116">
        <v>43.292371214663298</v>
      </c>
      <c r="N572" s="116">
        <v>43.425754400624001</v>
      </c>
      <c r="O572" s="116">
        <v>42.706437933479002</v>
      </c>
      <c r="P572" s="116">
        <v>42.944622194122999</v>
      </c>
      <c r="Q572" s="116">
        <v>454.4</v>
      </c>
      <c r="R572">
        <v>4022665</v>
      </c>
    </row>
    <row r="573" spans="1:18" x14ac:dyDescent="0.25">
      <c r="A573" s="170">
        <v>42846</v>
      </c>
      <c r="B573" s="116">
        <v>43.827517290287901</v>
      </c>
      <c r="C573" s="116">
        <v>42.960494665632197</v>
      </c>
      <c r="D573" s="116">
        <v>42.836634290681403</v>
      </c>
      <c r="E573" s="116">
        <v>43.646490588436698</v>
      </c>
      <c r="F573" s="116">
        <v>450.9</v>
      </c>
      <c r="G573">
        <v>571452</v>
      </c>
      <c r="H573" s="116"/>
      <c r="I573" s="116"/>
      <c r="L573" s="170">
        <v>42846</v>
      </c>
      <c r="M573" s="116">
        <v>42.9541495645488</v>
      </c>
      <c r="N573" s="116">
        <v>43.892595551486302</v>
      </c>
      <c r="O573" s="116">
        <v>42.787420582097901</v>
      </c>
      <c r="P573" s="116">
        <v>43.825903958505997</v>
      </c>
      <c r="Q573" s="116">
        <v>450.85</v>
      </c>
      <c r="R573">
        <v>4643978</v>
      </c>
    </row>
    <row r="574" spans="1:18" x14ac:dyDescent="0.25">
      <c r="A574" s="170">
        <v>42849</v>
      </c>
      <c r="B574" s="116">
        <v>43.298728766459398</v>
      </c>
      <c r="C574" s="116">
        <v>42.965258526207201</v>
      </c>
      <c r="D574" s="116">
        <v>42.62702442538</v>
      </c>
      <c r="E574" s="116">
        <v>42.970022386782198</v>
      </c>
      <c r="F574" s="116">
        <v>450.95</v>
      </c>
      <c r="G574">
        <v>448157</v>
      </c>
      <c r="H574" s="116"/>
      <c r="I574" s="116"/>
      <c r="L574" s="170">
        <v>42849</v>
      </c>
      <c r="M574" s="116">
        <v>42.939858508910099</v>
      </c>
      <c r="N574" s="116">
        <v>43.311425955514899</v>
      </c>
      <c r="O574" s="116">
        <v>42.596873173582701</v>
      </c>
      <c r="P574" s="116">
        <v>43.063714324445002</v>
      </c>
      <c r="Q574" s="116">
        <v>450.7</v>
      </c>
      <c r="R574">
        <v>4956153</v>
      </c>
    </row>
    <row r="575" spans="1:18" x14ac:dyDescent="0.25">
      <c r="A575" s="170">
        <v>42850</v>
      </c>
      <c r="B575" s="116">
        <v>43.579796540386198</v>
      </c>
      <c r="C575" s="116">
        <v>43.251090160709097</v>
      </c>
      <c r="D575" s="116">
        <v>43.012897131957502</v>
      </c>
      <c r="E575" s="116">
        <v>43.027188713682598</v>
      </c>
      <c r="F575" s="116">
        <v>453.95</v>
      </c>
      <c r="G575">
        <v>376409</v>
      </c>
      <c r="H575" s="116"/>
      <c r="I575" s="116"/>
      <c r="L575" s="170">
        <v>42850</v>
      </c>
      <c r="M575" s="116">
        <v>43.3161896407277</v>
      </c>
      <c r="N575" s="116">
        <v>43.625829179565002</v>
      </c>
      <c r="O575" s="116">
        <v>42.997022731464703</v>
      </c>
      <c r="P575" s="116">
        <v>43.197097510405698</v>
      </c>
      <c r="Q575" s="116">
        <v>454.65</v>
      </c>
      <c r="R575">
        <v>4250166</v>
      </c>
    </row>
    <row r="576" spans="1:18" x14ac:dyDescent="0.25">
      <c r="A576" s="170">
        <v>42851</v>
      </c>
      <c r="B576" s="116">
        <v>44.103821203639697</v>
      </c>
      <c r="C576" s="116">
        <v>43.279673324159297</v>
      </c>
      <c r="D576" s="116">
        <v>43.017660992532598</v>
      </c>
      <c r="E576" s="116">
        <v>43.4511723048604</v>
      </c>
      <c r="F576" s="116">
        <v>454.25</v>
      </c>
      <c r="G576">
        <v>611115</v>
      </c>
      <c r="H576" s="116"/>
      <c r="I576" s="116"/>
      <c r="L576" s="170">
        <v>42851</v>
      </c>
      <c r="M576" s="116">
        <v>43.2352069921088</v>
      </c>
      <c r="N576" s="116">
        <v>44.140307182556199</v>
      </c>
      <c r="O576" s="116">
        <v>42.9493858793359</v>
      </c>
      <c r="P576" s="116">
        <v>43.530555475307402</v>
      </c>
      <c r="Q576" s="116">
        <v>453.8</v>
      </c>
      <c r="R576">
        <v>4674438</v>
      </c>
    </row>
    <row r="577" spans="1:18" x14ac:dyDescent="0.25">
      <c r="A577" s="170">
        <v>42852</v>
      </c>
      <c r="B577" s="116">
        <v>43.351131232784702</v>
      </c>
      <c r="C577" s="116">
        <v>42.469817026404002</v>
      </c>
      <c r="D577" s="116">
        <v>42.350720512028197</v>
      </c>
      <c r="E577" s="116">
        <v>43.336839651059698</v>
      </c>
      <c r="F577" s="116">
        <v>445.75</v>
      </c>
      <c r="G577">
        <v>529556</v>
      </c>
      <c r="H577" s="116"/>
      <c r="I577" s="116"/>
      <c r="L577" s="170">
        <v>42852</v>
      </c>
      <c r="M577" s="116">
        <v>42.477781043260698</v>
      </c>
      <c r="N577" s="116">
        <v>43.335244381579301</v>
      </c>
      <c r="O577" s="116">
        <v>42.301524690384099</v>
      </c>
      <c r="P577" s="116">
        <v>43.254261732960302</v>
      </c>
      <c r="Q577" s="116">
        <v>445.85</v>
      </c>
      <c r="R577">
        <v>6189923</v>
      </c>
    </row>
    <row r="578" spans="1:18" x14ac:dyDescent="0.25">
      <c r="A578" s="170">
        <v>42853</v>
      </c>
      <c r="B578" s="116">
        <v>43.675073751886899</v>
      </c>
      <c r="C578" s="116">
        <v>42.765176382055898</v>
      </c>
      <c r="D578" s="116">
        <v>42.503164050429199</v>
      </c>
      <c r="E578" s="116">
        <v>42.526983353304303</v>
      </c>
      <c r="F578" s="116">
        <v>448.85</v>
      </c>
      <c r="G578">
        <v>687035</v>
      </c>
      <c r="H578" s="116"/>
      <c r="I578" s="116"/>
      <c r="L578" s="170">
        <v>42853</v>
      </c>
      <c r="M578" s="116">
        <v>42.801711637736602</v>
      </c>
      <c r="N578" s="116">
        <v>43.702048142971101</v>
      </c>
      <c r="O578" s="116">
        <v>42.477781043260698</v>
      </c>
      <c r="P578" s="116">
        <v>42.6826195074146</v>
      </c>
      <c r="Q578" s="116">
        <v>449.25</v>
      </c>
      <c r="R578">
        <v>6256122</v>
      </c>
    </row>
    <row r="579" spans="1:18" x14ac:dyDescent="0.25">
      <c r="A579" s="170">
        <v>42857</v>
      </c>
      <c r="B579" s="116">
        <v>43.236798578984001</v>
      </c>
      <c r="C579" s="116">
        <v>42.422178420653601</v>
      </c>
      <c r="D579" s="116">
        <v>42.255443300527602</v>
      </c>
      <c r="E579" s="116">
        <v>42.879509035856699</v>
      </c>
      <c r="F579" s="116">
        <v>445.25</v>
      </c>
      <c r="G579">
        <v>709863</v>
      </c>
      <c r="H579" s="116"/>
      <c r="I579" s="116"/>
      <c r="L579" s="170">
        <v>42857</v>
      </c>
      <c r="M579" s="116">
        <v>42.4015620798546</v>
      </c>
      <c r="N579" s="116">
        <v>43.254261732960302</v>
      </c>
      <c r="O579" s="116">
        <v>42.244360467829502</v>
      </c>
      <c r="P579" s="116">
        <v>42.968440620187401</v>
      </c>
      <c r="Q579" s="116">
        <v>445.05</v>
      </c>
      <c r="R579">
        <v>4689154</v>
      </c>
    </row>
    <row r="580" spans="1:18" x14ac:dyDescent="0.25">
      <c r="A580" s="170">
        <v>42858</v>
      </c>
      <c r="B580" s="116">
        <v>42.8699813147066</v>
      </c>
      <c r="C580" s="116">
        <v>41.983903247750803</v>
      </c>
      <c r="D580" s="116">
        <v>41.693307752673903</v>
      </c>
      <c r="E580" s="116">
        <v>42.5889135407797</v>
      </c>
      <c r="F580" s="116">
        <v>440.65</v>
      </c>
      <c r="G580">
        <v>702201</v>
      </c>
      <c r="H580" s="116"/>
      <c r="I580" s="116"/>
      <c r="L580" s="170">
        <v>42858</v>
      </c>
      <c r="M580" s="116">
        <v>41.996648836759697</v>
      </c>
      <c r="N580" s="116">
        <v>42.868403230716901</v>
      </c>
      <c r="O580" s="116">
        <v>41.687009297922401</v>
      </c>
      <c r="P580" s="116">
        <v>42.615927914434202</v>
      </c>
      <c r="Q580" s="116">
        <v>440.8</v>
      </c>
      <c r="R580">
        <v>5008822</v>
      </c>
    </row>
    <row r="581" spans="1:18" x14ac:dyDescent="0.25">
      <c r="A581" s="170">
        <v>42859</v>
      </c>
      <c r="B581" s="116">
        <v>42.6079689830799</v>
      </c>
      <c r="C581" s="116">
        <v>42.174457670751998</v>
      </c>
      <c r="D581" s="116">
        <v>41.598030541173202</v>
      </c>
      <c r="E581" s="116">
        <v>42.5889135407797</v>
      </c>
      <c r="F581" s="116">
        <v>442.65</v>
      </c>
      <c r="G581">
        <v>818081</v>
      </c>
      <c r="H581" s="116"/>
      <c r="I581" s="116"/>
      <c r="L581" s="170">
        <v>42859</v>
      </c>
      <c r="M581" s="116">
        <v>42.153850448784802</v>
      </c>
      <c r="N581" s="116">
        <v>42.6826195074146</v>
      </c>
      <c r="O581" s="116">
        <v>41.548862426748897</v>
      </c>
      <c r="P581" s="116">
        <v>42.5873458031569</v>
      </c>
      <c r="Q581" s="116">
        <v>442.45</v>
      </c>
      <c r="R581">
        <v>6535720</v>
      </c>
    </row>
    <row r="582" spans="1:18" x14ac:dyDescent="0.25">
      <c r="A582" s="170">
        <v>42860</v>
      </c>
      <c r="B582" s="116">
        <v>42.155402228451898</v>
      </c>
      <c r="C582" s="116">
        <v>41.255032579770997</v>
      </c>
      <c r="D582" s="116">
        <v>40.802465825143003</v>
      </c>
      <c r="E582" s="116">
        <v>42.155402228451898</v>
      </c>
      <c r="F582" s="116">
        <v>433</v>
      </c>
      <c r="G582">
        <v>738002</v>
      </c>
      <c r="H582" s="116"/>
      <c r="I582" s="116"/>
      <c r="L582" s="170">
        <v>42860</v>
      </c>
      <c r="M582" s="116">
        <v>41.3106781661048</v>
      </c>
      <c r="N582" s="116">
        <v>42.063340429740002</v>
      </c>
      <c r="O582" s="116">
        <v>40.777145422262102</v>
      </c>
      <c r="P582" s="116">
        <v>42.063340429740002</v>
      </c>
      <c r="Q582" s="116">
        <v>433.6</v>
      </c>
      <c r="R582">
        <v>5701881</v>
      </c>
    </row>
    <row r="583" spans="1:18" x14ac:dyDescent="0.25">
      <c r="A583" s="170">
        <v>42863</v>
      </c>
      <c r="B583" s="116">
        <v>41.559919656573001</v>
      </c>
      <c r="C583" s="116">
        <v>41.159755368270403</v>
      </c>
      <c r="D583" s="116">
        <v>40.826285128018199</v>
      </c>
      <c r="E583" s="116">
        <v>41.355073651846602</v>
      </c>
      <c r="F583" s="116">
        <v>432</v>
      </c>
      <c r="G583">
        <v>771566</v>
      </c>
      <c r="H583" s="116"/>
      <c r="I583" s="116"/>
      <c r="L583" s="170">
        <v>42863</v>
      </c>
      <c r="M583" s="116">
        <v>41.148712868866802</v>
      </c>
      <c r="N583" s="116">
        <v>41.5774445380261</v>
      </c>
      <c r="O583" s="116">
        <v>40.786672792687902</v>
      </c>
      <c r="P583" s="116">
        <v>41.348787647807796</v>
      </c>
      <c r="Q583" s="116">
        <v>431.9</v>
      </c>
      <c r="R583">
        <v>5515622</v>
      </c>
    </row>
    <row r="584" spans="1:18" x14ac:dyDescent="0.25">
      <c r="A584" s="170">
        <v>42864</v>
      </c>
      <c r="B584" s="116">
        <v>41.921973060275398</v>
      </c>
      <c r="C584" s="116">
        <v>41.297907324946301</v>
      </c>
      <c r="D584" s="116">
        <v>41.1835746711455</v>
      </c>
      <c r="E584" s="116">
        <v>41.207393974020697</v>
      </c>
      <c r="F584" s="116">
        <v>433.45</v>
      </c>
      <c r="G584">
        <v>682159</v>
      </c>
      <c r="H584" s="116"/>
      <c r="I584" s="116"/>
      <c r="L584" s="170">
        <v>42864</v>
      </c>
      <c r="M584" s="116">
        <v>41.301150795679</v>
      </c>
      <c r="N584" s="116">
        <v>41.920429873353598</v>
      </c>
      <c r="O584" s="116">
        <v>41.086784961099397</v>
      </c>
      <c r="P584" s="116">
        <v>41.158240239292603</v>
      </c>
      <c r="Q584" s="116">
        <v>433.5</v>
      </c>
      <c r="R584">
        <v>4738911</v>
      </c>
    </row>
    <row r="585" spans="1:18" x14ac:dyDescent="0.25">
      <c r="A585" s="170">
        <v>42865</v>
      </c>
      <c r="B585" s="116">
        <v>41.802876545899601</v>
      </c>
      <c r="C585" s="116">
        <v>41.721890916124003</v>
      </c>
      <c r="D585" s="116">
        <v>41.288379603796201</v>
      </c>
      <c r="E585" s="116">
        <v>41.4455870027722</v>
      </c>
      <c r="F585" s="116">
        <v>437.9</v>
      </c>
      <c r="G585">
        <v>2555939</v>
      </c>
      <c r="H585" s="116"/>
      <c r="I585" s="116"/>
      <c r="L585" s="170">
        <v>42865</v>
      </c>
      <c r="M585" s="116">
        <v>41.677481927496601</v>
      </c>
      <c r="N585" s="116">
        <v>41.782283002180002</v>
      </c>
      <c r="O585" s="116">
        <v>41.263041313975997</v>
      </c>
      <c r="P585" s="116">
        <v>41.467879778129898</v>
      </c>
      <c r="Q585" s="116">
        <v>437.45</v>
      </c>
      <c r="R585">
        <v>3539929</v>
      </c>
    </row>
    <row r="586" spans="1:18" x14ac:dyDescent="0.25">
      <c r="A586" s="170">
        <v>42866</v>
      </c>
      <c r="B586" s="116">
        <v>42.431706141803701</v>
      </c>
      <c r="C586" s="116">
        <v>41.960083944875599</v>
      </c>
      <c r="D586" s="116">
        <v>41.840987430499801</v>
      </c>
      <c r="E586" s="116">
        <v>42.012486411201003</v>
      </c>
      <c r="F586" s="116">
        <v>440.4</v>
      </c>
      <c r="G586">
        <v>725882</v>
      </c>
      <c r="H586" s="116"/>
      <c r="I586" s="116"/>
      <c r="L586" s="170">
        <v>42866</v>
      </c>
      <c r="M586" s="116">
        <v>42.0299946332498</v>
      </c>
      <c r="N586" s="116">
        <v>42.434907876344703</v>
      </c>
      <c r="O586" s="116">
        <v>41.891847762076303</v>
      </c>
      <c r="P586" s="116">
        <v>41.987121466333903</v>
      </c>
      <c r="Q586" s="116">
        <v>441.15</v>
      </c>
      <c r="R586">
        <v>5533078</v>
      </c>
    </row>
    <row r="587" spans="1:18" x14ac:dyDescent="0.25">
      <c r="A587" s="170">
        <v>42867</v>
      </c>
      <c r="B587" s="116">
        <v>42.264971021677603</v>
      </c>
      <c r="C587" s="116">
        <v>41.612322122898298</v>
      </c>
      <c r="D587" s="116">
        <v>41.274088022071098</v>
      </c>
      <c r="E587" s="116">
        <v>42.198276973627202</v>
      </c>
      <c r="F587" s="116">
        <v>436.75</v>
      </c>
      <c r="G587">
        <v>697751</v>
      </c>
      <c r="H587" s="116"/>
      <c r="I587" s="116"/>
      <c r="L587" s="170">
        <v>42867</v>
      </c>
      <c r="M587" s="116">
        <v>41.606026649303402</v>
      </c>
      <c r="N587" s="116">
        <v>42.291997319958298</v>
      </c>
      <c r="O587" s="116">
        <v>41.2154044618472</v>
      </c>
      <c r="P587" s="116">
        <v>42.149086763571901</v>
      </c>
      <c r="Q587" s="116">
        <v>436.7</v>
      </c>
      <c r="R587">
        <v>5796510</v>
      </c>
    </row>
    <row r="588" spans="1:18" x14ac:dyDescent="0.25">
      <c r="A588" s="170">
        <v>42870</v>
      </c>
      <c r="B588" s="116">
        <v>43.575032679811201</v>
      </c>
      <c r="C588" s="116">
        <v>43.422589141410199</v>
      </c>
      <c r="D588" s="116">
        <v>41.540864214272901</v>
      </c>
      <c r="E588" s="116">
        <v>41.540864214272901</v>
      </c>
      <c r="F588" s="116">
        <v>455.75</v>
      </c>
      <c r="G588">
        <v>1484779</v>
      </c>
      <c r="H588" s="116"/>
      <c r="I588" s="116"/>
      <c r="L588" s="170">
        <v>42870</v>
      </c>
      <c r="M588" s="116">
        <v>43.449572826688403</v>
      </c>
      <c r="N588" s="116">
        <v>43.530555475307402</v>
      </c>
      <c r="O588" s="116">
        <v>41.710827723986803</v>
      </c>
      <c r="P588" s="116">
        <v>41.729882464838298</v>
      </c>
      <c r="Q588" s="116">
        <v>456.05</v>
      </c>
      <c r="R588">
        <v>9754791</v>
      </c>
    </row>
    <row r="589" spans="1:18" x14ac:dyDescent="0.25">
      <c r="A589" s="170">
        <v>42871</v>
      </c>
      <c r="B589" s="116">
        <v>44.3610696746914</v>
      </c>
      <c r="C589" s="116">
        <v>43.541685655785997</v>
      </c>
      <c r="D589" s="116">
        <v>43.455936165435403</v>
      </c>
      <c r="E589" s="116">
        <v>44.2943756266409</v>
      </c>
      <c r="F589" s="116">
        <v>457</v>
      </c>
      <c r="G589">
        <v>1209299</v>
      </c>
      <c r="H589" s="116"/>
      <c r="I589" s="116"/>
      <c r="L589" s="170">
        <v>42871</v>
      </c>
      <c r="M589" s="116">
        <v>43.4972096788172</v>
      </c>
      <c r="N589" s="116">
        <v>44.206998775536498</v>
      </c>
      <c r="O589" s="116">
        <v>43.382881233708098</v>
      </c>
      <c r="P589" s="116">
        <v>44.116488756491798</v>
      </c>
      <c r="Q589" s="116">
        <v>456.55</v>
      </c>
      <c r="R589">
        <v>10298954</v>
      </c>
    </row>
    <row r="590" spans="1:18" x14ac:dyDescent="0.25">
      <c r="A590" s="170">
        <v>42872</v>
      </c>
      <c r="B590" s="116">
        <v>47.486162211911903</v>
      </c>
      <c r="C590" s="116">
        <v>47.005012293833801</v>
      </c>
      <c r="D590" s="116">
        <v>44.399180559291601</v>
      </c>
      <c r="E590" s="116">
        <v>44.780289405294099</v>
      </c>
      <c r="F590" s="116">
        <v>493.35</v>
      </c>
      <c r="G590">
        <v>5089559</v>
      </c>
      <c r="H590" s="116"/>
      <c r="I590" s="116"/>
      <c r="L590" s="170">
        <v>42872</v>
      </c>
      <c r="M590" s="116">
        <v>47.055682532839398</v>
      </c>
      <c r="N590" s="116">
        <v>47.5415784245533</v>
      </c>
      <c r="O590" s="116">
        <v>44.378491443200197</v>
      </c>
      <c r="P590" s="116">
        <v>44.7786410010822</v>
      </c>
      <c r="Q590" s="116">
        <v>493.9</v>
      </c>
      <c r="R590">
        <v>49407351</v>
      </c>
    </row>
    <row r="591" spans="1:18" x14ac:dyDescent="0.25">
      <c r="A591" s="170">
        <v>42873</v>
      </c>
      <c r="B591" s="116">
        <v>47.314663231210801</v>
      </c>
      <c r="C591" s="116">
        <v>46.380946558504597</v>
      </c>
      <c r="D591" s="116">
        <v>46.185628274928398</v>
      </c>
      <c r="E591" s="116">
        <v>46.495279212305398</v>
      </c>
      <c r="F591" s="116">
        <v>486.8</v>
      </c>
      <c r="G591">
        <v>2445866</v>
      </c>
      <c r="H591" s="116"/>
      <c r="I591" s="116"/>
      <c r="L591" s="170">
        <v>42873</v>
      </c>
      <c r="M591" s="116">
        <v>46.326838695268599</v>
      </c>
      <c r="N591" s="116">
        <v>47.317685219547798</v>
      </c>
      <c r="O591" s="116">
        <v>46.0743633789859</v>
      </c>
      <c r="P591" s="116">
        <v>46.507858733358098</v>
      </c>
      <c r="Q591" s="116">
        <v>486.25</v>
      </c>
      <c r="R591">
        <v>13370374</v>
      </c>
    </row>
    <row r="592" spans="1:18" x14ac:dyDescent="0.25">
      <c r="A592" s="170">
        <v>42874</v>
      </c>
      <c r="B592" s="116">
        <v>47.233677601435197</v>
      </c>
      <c r="C592" s="116">
        <v>46.6286673084063</v>
      </c>
      <c r="D592" s="116">
        <v>45.842630313526101</v>
      </c>
      <c r="E592" s="116">
        <v>46.509570794030502</v>
      </c>
      <c r="F592" s="116">
        <v>489.4</v>
      </c>
      <c r="G592">
        <v>897345</v>
      </c>
      <c r="H592" s="116"/>
      <c r="I592" s="116"/>
      <c r="L592" s="170">
        <v>42874</v>
      </c>
      <c r="M592" s="116">
        <v>46.636478234105901</v>
      </c>
      <c r="N592" s="116">
        <v>47.2557573117804</v>
      </c>
      <c r="O592" s="116">
        <v>45.755196469722897</v>
      </c>
      <c r="P592" s="116">
        <v>46.684115086234698</v>
      </c>
      <c r="Q592" s="116">
        <v>489.5</v>
      </c>
      <c r="R592">
        <v>9075025</v>
      </c>
    </row>
    <row r="593" spans="1:18" x14ac:dyDescent="0.25">
      <c r="A593" s="170">
        <v>42877</v>
      </c>
      <c r="B593" s="116">
        <v>47.305135510060701</v>
      </c>
      <c r="C593" s="116">
        <v>46.361891116204497</v>
      </c>
      <c r="D593" s="116">
        <v>46.171336693203301</v>
      </c>
      <c r="E593" s="116">
        <v>46.814457870832499</v>
      </c>
      <c r="F593" s="116">
        <v>486.6</v>
      </c>
      <c r="G593">
        <v>575760</v>
      </c>
      <c r="H593" s="116"/>
      <c r="I593" s="116"/>
      <c r="L593" s="170">
        <v>42877</v>
      </c>
      <c r="M593" s="116">
        <v>46.3411297509072</v>
      </c>
      <c r="N593" s="116">
        <v>47.3462673308251</v>
      </c>
      <c r="O593" s="116">
        <v>46.145818657179099</v>
      </c>
      <c r="P593" s="116">
        <v>46.955645143368898</v>
      </c>
      <c r="Q593" s="116">
        <v>486.4</v>
      </c>
      <c r="R593">
        <v>6222549</v>
      </c>
    </row>
    <row r="594" spans="1:18" x14ac:dyDescent="0.25">
      <c r="A594" s="170">
        <v>42878</v>
      </c>
      <c r="B594" s="116">
        <v>47.295607788910701</v>
      </c>
      <c r="C594" s="116">
        <v>46.723944519906901</v>
      </c>
      <c r="D594" s="116">
        <v>45.5043962126989</v>
      </c>
      <c r="E594" s="116">
        <v>46.519098515180602</v>
      </c>
      <c r="F594" s="116">
        <v>490.4</v>
      </c>
      <c r="G594">
        <v>990253</v>
      </c>
      <c r="H594" s="116"/>
      <c r="I594" s="116"/>
      <c r="L594" s="170">
        <v>42878</v>
      </c>
      <c r="M594" s="116">
        <v>46.722224567937701</v>
      </c>
      <c r="N594" s="116">
        <v>47.336739960399399</v>
      </c>
      <c r="O594" s="116">
        <v>45.502721153440199</v>
      </c>
      <c r="P594" s="116">
        <v>46.593605067189898</v>
      </c>
      <c r="Q594" s="116">
        <v>490.4</v>
      </c>
      <c r="R594">
        <v>9779642</v>
      </c>
    </row>
    <row r="595" spans="1:18" x14ac:dyDescent="0.25">
      <c r="A595" s="170">
        <v>42879</v>
      </c>
      <c r="B595" s="116">
        <v>47.186038995684903</v>
      </c>
      <c r="C595" s="116">
        <v>46.014129294227203</v>
      </c>
      <c r="D595" s="116">
        <v>45.847394174101098</v>
      </c>
      <c r="E595" s="116">
        <v>46.876388058307903</v>
      </c>
      <c r="F595" s="116">
        <v>482.95</v>
      </c>
      <c r="G595">
        <v>665146</v>
      </c>
      <c r="H595" s="116"/>
      <c r="I595" s="116"/>
      <c r="L595" s="170">
        <v>42879</v>
      </c>
      <c r="M595" s="116">
        <v>46.050544952921499</v>
      </c>
      <c r="N595" s="116">
        <v>47.160483607522799</v>
      </c>
      <c r="O595" s="116">
        <v>45.874288600044899</v>
      </c>
      <c r="P595" s="116">
        <v>46.922299346878702</v>
      </c>
      <c r="Q595" s="116">
        <v>483.35</v>
      </c>
      <c r="R595">
        <v>7240413</v>
      </c>
    </row>
    <row r="596" spans="1:18" x14ac:dyDescent="0.25">
      <c r="A596" s="170">
        <v>42880</v>
      </c>
      <c r="B596" s="116">
        <v>46.390474279654697</v>
      </c>
      <c r="C596" s="116">
        <v>46.238030741253702</v>
      </c>
      <c r="D596" s="116">
        <v>45.451993746373503</v>
      </c>
      <c r="E596" s="116">
        <v>46.0570040394025</v>
      </c>
      <c r="F596" s="116">
        <v>485.3</v>
      </c>
      <c r="G596">
        <v>410535</v>
      </c>
      <c r="H596" s="116"/>
      <c r="I596" s="116"/>
      <c r="L596" s="170">
        <v>42880</v>
      </c>
      <c r="M596" s="116">
        <v>46.179164453669301</v>
      </c>
      <c r="N596" s="116">
        <v>46.403057658674697</v>
      </c>
      <c r="O596" s="116">
        <v>45.416974819608299</v>
      </c>
      <c r="P596" s="116">
        <v>46.207746564946603</v>
      </c>
      <c r="Q596" s="116">
        <v>484.7</v>
      </c>
      <c r="R596">
        <v>6461254</v>
      </c>
    </row>
    <row r="597" spans="1:18" x14ac:dyDescent="0.25">
      <c r="A597" s="170">
        <v>42881</v>
      </c>
      <c r="B597" s="116">
        <v>49.048708480522201</v>
      </c>
      <c r="C597" s="116">
        <v>48.762876846020298</v>
      </c>
      <c r="D597" s="116">
        <v>46.257086183553803</v>
      </c>
      <c r="E597" s="116">
        <v>46.471459909430202</v>
      </c>
      <c r="F597" s="116">
        <v>511.8</v>
      </c>
      <c r="G597">
        <v>1717261</v>
      </c>
      <c r="H597" s="116"/>
      <c r="I597" s="116"/>
      <c r="L597" s="170">
        <v>42881</v>
      </c>
      <c r="M597" s="116">
        <v>48.756318153837903</v>
      </c>
      <c r="N597" s="116">
        <v>49.051666637036597</v>
      </c>
      <c r="O597" s="116">
        <v>46.269674472714001</v>
      </c>
      <c r="P597" s="116">
        <v>46.388766603035997</v>
      </c>
      <c r="Q597" s="116">
        <v>511.75</v>
      </c>
      <c r="R597">
        <v>16240203</v>
      </c>
    </row>
    <row r="598" spans="1:18" x14ac:dyDescent="0.25">
      <c r="A598" s="170">
        <v>42884</v>
      </c>
      <c r="B598" s="116">
        <v>49.582260864925701</v>
      </c>
      <c r="C598" s="116">
        <v>48.3817680000178</v>
      </c>
      <c r="D598" s="116">
        <v>48.267435346216999</v>
      </c>
      <c r="E598" s="116">
        <v>48.734293682570097</v>
      </c>
      <c r="F598" s="116">
        <v>507.8</v>
      </c>
      <c r="G598">
        <v>819437</v>
      </c>
      <c r="H598" s="116"/>
      <c r="I598" s="116"/>
      <c r="L598" s="170">
        <v>42884</v>
      </c>
      <c r="M598" s="116">
        <v>48.370459651594601</v>
      </c>
      <c r="N598" s="116">
        <v>49.604254121730797</v>
      </c>
      <c r="O598" s="116">
        <v>48.222785409995303</v>
      </c>
      <c r="P598" s="116">
        <v>48.789663950328098</v>
      </c>
      <c r="Q598" s="116">
        <v>507.7</v>
      </c>
      <c r="R598">
        <v>6772389</v>
      </c>
    </row>
    <row r="599" spans="1:18" x14ac:dyDescent="0.25">
      <c r="A599" s="170">
        <v>42885</v>
      </c>
      <c r="B599" s="116">
        <v>48.9057926632712</v>
      </c>
      <c r="C599" s="116">
        <v>48.658071913369596</v>
      </c>
      <c r="D599" s="116">
        <v>48.0721170626408</v>
      </c>
      <c r="E599" s="116">
        <v>48.357948697142596</v>
      </c>
      <c r="F599" s="116">
        <v>510.7</v>
      </c>
      <c r="G599">
        <v>438708</v>
      </c>
      <c r="H599" s="116"/>
      <c r="I599" s="116"/>
      <c r="L599" s="170">
        <v>42885</v>
      </c>
      <c r="M599" s="116">
        <v>48.765845524263703</v>
      </c>
      <c r="N599" s="116">
        <v>48.970683988417598</v>
      </c>
      <c r="O599" s="116">
        <v>48.041765371905797</v>
      </c>
      <c r="P599" s="116">
        <v>48.437151244574899</v>
      </c>
      <c r="Q599" s="116">
        <v>511.85</v>
      </c>
      <c r="R599">
        <v>4082146</v>
      </c>
    </row>
    <row r="600" spans="1:18" x14ac:dyDescent="0.25">
      <c r="A600" s="170">
        <v>42886</v>
      </c>
      <c r="B600" s="116">
        <v>49.048708480522201</v>
      </c>
      <c r="C600" s="116">
        <v>48.105464086665997</v>
      </c>
      <c r="D600" s="116">
        <v>47.876798779064501</v>
      </c>
      <c r="E600" s="116">
        <v>48.658071913369596</v>
      </c>
      <c r="F600" s="116">
        <v>504.9</v>
      </c>
      <c r="G600">
        <v>451724</v>
      </c>
      <c r="H600" s="116"/>
      <c r="I600" s="116"/>
      <c r="L600" s="170">
        <v>42886</v>
      </c>
      <c r="M600" s="116">
        <v>48.0846385388217</v>
      </c>
      <c r="N600" s="116">
        <v>49.065957692675198</v>
      </c>
      <c r="O600" s="116">
        <v>47.875036389454898</v>
      </c>
      <c r="P600" s="116">
        <v>48.603880227025698</v>
      </c>
      <c r="Q600" s="116">
        <v>504.7</v>
      </c>
      <c r="R600">
        <v>4365325</v>
      </c>
    </row>
    <row r="601" spans="1:18" x14ac:dyDescent="0.25">
      <c r="A601" s="170">
        <v>42887</v>
      </c>
      <c r="B601" s="116">
        <v>48.396059581742897</v>
      </c>
      <c r="C601" s="116">
        <v>47.438523606161603</v>
      </c>
      <c r="D601" s="116">
        <v>47.114581087059499</v>
      </c>
      <c r="E601" s="116">
        <v>48.229324461616798</v>
      </c>
      <c r="F601" s="116">
        <v>497.9</v>
      </c>
      <c r="G601">
        <v>466125</v>
      </c>
      <c r="H601" s="116"/>
      <c r="I601" s="116"/>
      <c r="L601" s="170">
        <v>42887</v>
      </c>
      <c r="M601" s="116">
        <v>47.365322071676701</v>
      </c>
      <c r="N601" s="116">
        <v>48.394278077659003</v>
      </c>
      <c r="O601" s="116">
        <v>47.065209903265199</v>
      </c>
      <c r="P601" s="116">
        <v>48.0846385388217</v>
      </c>
      <c r="Q601" s="116">
        <v>497.15</v>
      </c>
      <c r="R601">
        <v>3886388</v>
      </c>
    </row>
    <row r="602" spans="1:18" x14ac:dyDescent="0.25">
      <c r="A602" s="170">
        <v>42888</v>
      </c>
      <c r="B602" s="116">
        <v>47.924437384814802</v>
      </c>
      <c r="C602" s="116">
        <v>46.838277173707702</v>
      </c>
      <c r="D602" s="116">
        <v>46.500043072880402</v>
      </c>
      <c r="E602" s="116">
        <v>47.8291601733142</v>
      </c>
      <c r="F602" s="116">
        <v>491.6</v>
      </c>
      <c r="G602">
        <v>591217</v>
      </c>
      <c r="H602" s="116"/>
      <c r="I602" s="116"/>
      <c r="L602" s="170">
        <v>42888</v>
      </c>
      <c r="M602" s="116">
        <v>46.869898809536998</v>
      </c>
      <c r="N602" s="116">
        <v>47.941727982435303</v>
      </c>
      <c r="O602" s="116">
        <v>46.498331362932298</v>
      </c>
      <c r="P602" s="116">
        <v>47.822635852113201</v>
      </c>
      <c r="Q602" s="116">
        <v>491.95</v>
      </c>
      <c r="R602">
        <v>5681201</v>
      </c>
    </row>
    <row r="603" spans="1:18" x14ac:dyDescent="0.25">
      <c r="A603" s="170">
        <v>42891</v>
      </c>
      <c r="B603" s="116">
        <v>47.629078029162798</v>
      </c>
      <c r="C603" s="116">
        <v>46.800166289107402</v>
      </c>
      <c r="D603" s="116">
        <v>46.447640606555098</v>
      </c>
      <c r="E603" s="116">
        <v>46.900207361183099</v>
      </c>
      <c r="F603" s="116">
        <v>491.2</v>
      </c>
      <c r="G603">
        <v>483184</v>
      </c>
      <c r="H603" s="116"/>
      <c r="I603" s="116"/>
      <c r="L603" s="170">
        <v>42891</v>
      </c>
      <c r="M603" s="116">
        <v>46.8079709017696</v>
      </c>
      <c r="N603" s="116">
        <v>47.6273247583851</v>
      </c>
      <c r="O603" s="116">
        <v>46.398293973461797</v>
      </c>
      <c r="P603" s="116">
        <v>46.969936199007499</v>
      </c>
      <c r="Q603" s="116">
        <v>491.3</v>
      </c>
      <c r="R603">
        <v>4742679</v>
      </c>
    </row>
    <row r="604" spans="1:18" x14ac:dyDescent="0.25">
      <c r="A604" s="170">
        <v>42892</v>
      </c>
      <c r="B604" s="116">
        <v>47.295607788910701</v>
      </c>
      <c r="C604" s="116">
        <v>46.6858336353067</v>
      </c>
      <c r="D604" s="116">
        <v>46.576264842080903</v>
      </c>
      <c r="E604" s="116">
        <v>46.9287905246333</v>
      </c>
      <c r="F604" s="116">
        <v>490</v>
      </c>
      <c r="G604">
        <v>396487</v>
      </c>
      <c r="H604" s="116"/>
      <c r="I604" s="116"/>
      <c r="L604" s="170">
        <v>42892</v>
      </c>
      <c r="M604" s="116">
        <v>46.712697197512</v>
      </c>
      <c r="N604" s="116">
        <v>47.303394163909203</v>
      </c>
      <c r="O604" s="116">
        <v>46.536440844635401</v>
      </c>
      <c r="P604" s="116">
        <v>47.055682532839398</v>
      </c>
      <c r="Q604" s="116">
        <v>490.3</v>
      </c>
      <c r="R604">
        <v>4123554</v>
      </c>
    </row>
    <row r="605" spans="1:18" x14ac:dyDescent="0.25">
      <c r="A605" s="170">
        <v>42893</v>
      </c>
      <c r="B605" s="116">
        <v>47.066942481309198</v>
      </c>
      <c r="C605" s="116">
        <v>46.785874707382298</v>
      </c>
      <c r="D605" s="116">
        <v>46.457168327705098</v>
      </c>
      <c r="E605" s="116">
        <v>46.814457870832499</v>
      </c>
      <c r="F605" s="116">
        <v>491.05</v>
      </c>
      <c r="G605">
        <v>233468</v>
      </c>
      <c r="H605" s="116"/>
      <c r="I605" s="116"/>
      <c r="L605" s="170">
        <v>42893</v>
      </c>
      <c r="M605" s="116">
        <v>46.765097734853597</v>
      </c>
      <c r="N605" s="116">
        <v>47.098555699755302</v>
      </c>
      <c r="O605" s="116">
        <v>46.398293973461797</v>
      </c>
      <c r="P605" s="116">
        <v>46.850844068685497</v>
      </c>
      <c r="Q605" s="116">
        <v>490.85</v>
      </c>
      <c r="R605">
        <v>3287207</v>
      </c>
    </row>
    <row r="606" spans="1:18" x14ac:dyDescent="0.25">
      <c r="A606" s="170">
        <v>42894</v>
      </c>
      <c r="B606" s="116">
        <v>48.677127355669697</v>
      </c>
      <c r="C606" s="116">
        <v>47.5385646782373</v>
      </c>
      <c r="D606" s="116">
        <v>47.400412721561302</v>
      </c>
      <c r="E606" s="116">
        <v>47.924437384814802</v>
      </c>
      <c r="F606" s="116">
        <v>498.95</v>
      </c>
      <c r="G606">
        <v>2968477</v>
      </c>
      <c r="H606" s="116"/>
      <c r="I606" s="116"/>
      <c r="L606" s="170">
        <v>42894</v>
      </c>
      <c r="M606" s="116">
        <v>47.5415784245533</v>
      </c>
      <c r="N606" s="116">
        <v>48.7229723573478</v>
      </c>
      <c r="O606" s="116">
        <v>47.408195238592597</v>
      </c>
      <c r="P606" s="116">
        <v>47.922673241583801</v>
      </c>
      <c r="Q606" s="116">
        <v>499</v>
      </c>
      <c r="R606">
        <v>11928366</v>
      </c>
    </row>
    <row r="607" spans="1:18" x14ac:dyDescent="0.25">
      <c r="A607" s="170">
        <v>42895</v>
      </c>
      <c r="B607" s="116">
        <v>48.3436571154175</v>
      </c>
      <c r="C607" s="116">
        <v>48.238852182766898</v>
      </c>
      <c r="D607" s="116">
        <v>47.276552346610501</v>
      </c>
      <c r="E607" s="116">
        <v>47.486162211911903</v>
      </c>
      <c r="F607" s="116">
        <v>506.3</v>
      </c>
      <c r="G607">
        <v>706052</v>
      </c>
      <c r="H607" s="116"/>
      <c r="I607" s="116"/>
      <c r="L607" s="170">
        <v>42895</v>
      </c>
      <c r="M607" s="116">
        <v>48.308531743827103</v>
      </c>
      <c r="N607" s="116">
        <v>48.432387559361999</v>
      </c>
      <c r="O607" s="116">
        <v>47.241466256141798</v>
      </c>
      <c r="P607" s="116">
        <v>47.484414201998703</v>
      </c>
      <c r="Q607" s="116">
        <v>507.05</v>
      </c>
      <c r="R607">
        <v>6332939</v>
      </c>
    </row>
    <row r="608" spans="1:18" x14ac:dyDescent="0.25">
      <c r="A608" s="170">
        <v>42898</v>
      </c>
      <c r="B608" s="116">
        <v>48.967722850746597</v>
      </c>
      <c r="C608" s="116">
        <v>48.338893254842503</v>
      </c>
      <c r="D608" s="116">
        <v>48.162630413566298</v>
      </c>
      <c r="E608" s="116">
        <v>48.357948697142596</v>
      </c>
      <c r="F608" s="116">
        <v>507.35</v>
      </c>
      <c r="G608">
        <v>533685</v>
      </c>
      <c r="H608" s="116"/>
      <c r="I608" s="116"/>
      <c r="L608" s="170">
        <v>42898</v>
      </c>
      <c r="M608" s="116">
        <v>48.437151244574899</v>
      </c>
      <c r="N608" s="116">
        <v>48.989738729269099</v>
      </c>
      <c r="O608" s="116">
        <v>48.160857502227799</v>
      </c>
      <c r="P608" s="116">
        <v>48.370459651594601</v>
      </c>
      <c r="Q608" s="116">
        <v>508.4</v>
      </c>
      <c r="R608">
        <v>5283279</v>
      </c>
    </row>
    <row r="609" spans="1:18" x14ac:dyDescent="0.25">
      <c r="A609" s="170">
        <v>42899</v>
      </c>
      <c r="B609" s="116">
        <v>48.839098615220799</v>
      </c>
      <c r="C609" s="116">
        <v>48.457989769218301</v>
      </c>
      <c r="D609" s="116">
        <v>48.138811110691201</v>
      </c>
      <c r="E609" s="116">
        <v>48.538975398993799</v>
      </c>
      <c r="F609" s="116">
        <v>508.6</v>
      </c>
      <c r="G609">
        <v>464979</v>
      </c>
      <c r="H609" s="116"/>
      <c r="I609" s="116"/>
      <c r="L609" s="170">
        <v>42899</v>
      </c>
      <c r="M609" s="116">
        <v>48.456205985426401</v>
      </c>
      <c r="N609" s="116">
        <v>48.865882913734197</v>
      </c>
      <c r="O609" s="116">
        <v>48.160857502227799</v>
      </c>
      <c r="P609" s="116">
        <v>48.494315467129503</v>
      </c>
      <c r="Q609" s="116">
        <v>508.6</v>
      </c>
      <c r="R609">
        <v>5965585</v>
      </c>
    </row>
    <row r="610" spans="1:18" x14ac:dyDescent="0.25">
      <c r="A610" s="170">
        <v>42900</v>
      </c>
      <c r="B610" s="116">
        <v>48.553266980718902</v>
      </c>
      <c r="C610" s="116">
        <v>47.910145803089698</v>
      </c>
      <c r="D610" s="116">
        <v>47.767229985838803</v>
      </c>
      <c r="E610" s="116">
        <v>48.4008234423179</v>
      </c>
      <c r="F610" s="116">
        <v>502.85</v>
      </c>
      <c r="G610">
        <v>346639</v>
      </c>
      <c r="H610" s="116"/>
      <c r="I610" s="116"/>
      <c r="L610" s="170">
        <v>42900</v>
      </c>
      <c r="M610" s="116">
        <v>47.889327445093599</v>
      </c>
      <c r="N610" s="116">
        <v>48.565770745322702</v>
      </c>
      <c r="O610" s="116">
        <v>47.746416888707103</v>
      </c>
      <c r="P610" s="116">
        <v>48.399041762871903</v>
      </c>
      <c r="Q610" s="116">
        <v>502.65</v>
      </c>
      <c r="R610">
        <v>4696131</v>
      </c>
    </row>
    <row r="611" spans="1:18" x14ac:dyDescent="0.25">
      <c r="A611" s="170">
        <v>42901</v>
      </c>
      <c r="B611" s="116">
        <v>48.276963067367099</v>
      </c>
      <c r="C611" s="116">
        <v>47.891090360789597</v>
      </c>
      <c r="D611" s="116">
        <v>47.619550308012798</v>
      </c>
      <c r="E611" s="116">
        <v>47.8196324521641</v>
      </c>
      <c r="F611" s="116">
        <v>502.65</v>
      </c>
      <c r="G611">
        <v>546872</v>
      </c>
      <c r="H611" s="116"/>
      <c r="I611" s="116"/>
      <c r="L611" s="170">
        <v>42901</v>
      </c>
      <c r="M611" s="116">
        <v>47.879800074667799</v>
      </c>
      <c r="N611" s="116">
        <v>48.256131206485399</v>
      </c>
      <c r="O611" s="116">
        <v>47.565396850617702</v>
      </c>
      <c r="P611" s="116">
        <v>47.713071092217</v>
      </c>
      <c r="Q611" s="116">
        <v>502.55</v>
      </c>
      <c r="R611">
        <v>4078026</v>
      </c>
    </row>
    <row r="612" spans="1:18" x14ac:dyDescent="0.25">
      <c r="A612" s="170">
        <v>42902</v>
      </c>
      <c r="B612" s="116">
        <v>48.3627125577177</v>
      </c>
      <c r="C612" s="116">
        <v>47.838687894464201</v>
      </c>
      <c r="D612" s="116">
        <v>47.767229985838803</v>
      </c>
      <c r="E612" s="116">
        <v>48.110227947241</v>
      </c>
      <c r="F612" s="116">
        <v>502.1</v>
      </c>
      <c r="G612">
        <v>281258</v>
      </c>
      <c r="H612" s="116"/>
      <c r="I612" s="116"/>
      <c r="L612" s="170">
        <v>42902</v>
      </c>
      <c r="M612" s="116">
        <v>47.822635852113201</v>
      </c>
      <c r="N612" s="116">
        <v>48.370459651594601</v>
      </c>
      <c r="O612" s="116">
        <v>47.746416888707103</v>
      </c>
      <c r="P612" s="116">
        <v>48.017946945841402</v>
      </c>
      <c r="Q612" s="116">
        <v>501.95</v>
      </c>
      <c r="R612">
        <v>3424915</v>
      </c>
    </row>
    <row r="613" spans="1:18" x14ac:dyDescent="0.25">
      <c r="A613" s="170">
        <v>42905</v>
      </c>
      <c r="B613" s="116">
        <v>49.5441499803254</v>
      </c>
      <c r="C613" s="116">
        <v>49.477455932274999</v>
      </c>
      <c r="D613" s="116">
        <v>48.3912957211679</v>
      </c>
      <c r="E613" s="116">
        <v>48.686655076819797</v>
      </c>
      <c r="F613" s="116">
        <v>519.29999999999995</v>
      </c>
      <c r="G613">
        <v>888454</v>
      </c>
      <c r="H613" s="116"/>
      <c r="I613" s="116"/>
      <c r="L613" s="170">
        <v>42905</v>
      </c>
      <c r="M613" s="116">
        <v>49.499453047047403</v>
      </c>
      <c r="N613" s="116">
        <v>49.599490436517897</v>
      </c>
      <c r="O613" s="116">
        <v>48.351404910743</v>
      </c>
      <c r="P613" s="116">
        <v>48.618171282664399</v>
      </c>
      <c r="Q613" s="116">
        <v>519.54999999999995</v>
      </c>
      <c r="R613">
        <v>9593934</v>
      </c>
    </row>
    <row r="614" spans="1:18" x14ac:dyDescent="0.25">
      <c r="A614" s="170">
        <v>42906</v>
      </c>
      <c r="B614" s="116">
        <v>50.020536037828599</v>
      </c>
      <c r="C614" s="116">
        <v>49.753759845626803</v>
      </c>
      <c r="D614" s="116">
        <v>49.639427191826101</v>
      </c>
      <c r="E614" s="116">
        <v>49.920494965752901</v>
      </c>
      <c r="F614" s="116">
        <v>522.20000000000005</v>
      </c>
      <c r="G614">
        <v>592815</v>
      </c>
      <c r="H614" s="116"/>
      <c r="I614" s="116"/>
      <c r="L614" s="170">
        <v>42906</v>
      </c>
      <c r="M614" s="116">
        <v>49.766219418968703</v>
      </c>
      <c r="N614" s="116">
        <v>50.080622643018899</v>
      </c>
      <c r="O614" s="116">
        <v>49.589963066092103</v>
      </c>
      <c r="P614" s="116">
        <v>49.923421030993801</v>
      </c>
      <c r="Q614" s="116">
        <v>522.35</v>
      </c>
      <c r="R614">
        <v>5911795</v>
      </c>
    </row>
    <row r="615" spans="1:18" x14ac:dyDescent="0.25">
      <c r="A615" s="170">
        <v>42907</v>
      </c>
      <c r="B615" s="116">
        <v>49.896675662877698</v>
      </c>
      <c r="C615" s="116">
        <v>49.320248533299001</v>
      </c>
      <c r="D615" s="116">
        <v>49.163041134322903</v>
      </c>
      <c r="E615" s="116">
        <v>49.734704403326703</v>
      </c>
      <c r="F615" s="116">
        <v>517.65</v>
      </c>
      <c r="G615">
        <v>298536</v>
      </c>
      <c r="H615" s="116"/>
      <c r="I615" s="116"/>
      <c r="L615" s="170">
        <v>42907</v>
      </c>
      <c r="M615" s="116">
        <v>49.318433008957903</v>
      </c>
      <c r="N615" s="116">
        <v>49.890075234503598</v>
      </c>
      <c r="O615" s="116">
        <v>49.132649285655603</v>
      </c>
      <c r="P615" s="116">
        <v>49.666182029498202</v>
      </c>
      <c r="Q615" s="116">
        <v>517.65</v>
      </c>
      <c r="R615">
        <v>4260883</v>
      </c>
    </row>
    <row r="616" spans="1:18" x14ac:dyDescent="0.25">
      <c r="A616" s="170">
        <v>42908</v>
      </c>
      <c r="B616" s="116">
        <v>49.734704403326703</v>
      </c>
      <c r="C616" s="116">
        <v>49.024889177646997</v>
      </c>
      <c r="D616" s="116">
        <v>48.791460009470498</v>
      </c>
      <c r="E616" s="116">
        <v>49.591788586075701</v>
      </c>
      <c r="F616" s="116">
        <v>514.54999999999995</v>
      </c>
      <c r="G616">
        <v>351428</v>
      </c>
      <c r="H616" s="116"/>
      <c r="I616" s="116"/>
      <c r="L616" s="170">
        <v>42908</v>
      </c>
      <c r="M616" s="116">
        <v>49.065957692675198</v>
      </c>
      <c r="N616" s="116">
        <v>49.766219418968703</v>
      </c>
      <c r="O616" s="116">
        <v>48.780136579902297</v>
      </c>
      <c r="P616" s="116">
        <v>49.6375999182209</v>
      </c>
      <c r="Q616" s="116">
        <v>515</v>
      </c>
      <c r="R616">
        <v>3812931</v>
      </c>
    </row>
    <row r="617" spans="1:18" x14ac:dyDescent="0.25">
      <c r="A617" s="170">
        <v>42909</v>
      </c>
      <c r="B617" s="116">
        <v>49.163041134322903</v>
      </c>
      <c r="C617" s="116">
        <v>48.3436571154175</v>
      </c>
      <c r="D617" s="116">
        <v>47.919673524239798</v>
      </c>
      <c r="E617" s="116">
        <v>49.048708480522201</v>
      </c>
      <c r="F617" s="116">
        <v>507.4</v>
      </c>
      <c r="G617">
        <v>451401</v>
      </c>
      <c r="H617" s="116"/>
      <c r="I617" s="116"/>
      <c r="L617" s="170">
        <v>42909</v>
      </c>
      <c r="M617" s="116">
        <v>48.327586484678598</v>
      </c>
      <c r="N617" s="116">
        <v>48.961156617991797</v>
      </c>
      <c r="O617" s="116">
        <v>47.894091130306499</v>
      </c>
      <c r="P617" s="116">
        <v>48.961156617991797</v>
      </c>
      <c r="Q617" s="116">
        <v>507.25</v>
      </c>
      <c r="R617">
        <v>3995573</v>
      </c>
    </row>
    <row r="618" spans="1:18" x14ac:dyDescent="0.25">
      <c r="A618" s="170">
        <v>42913</v>
      </c>
      <c r="B618" s="116">
        <v>48.9248481055714</v>
      </c>
      <c r="C618" s="116">
        <v>48.634252610494499</v>
      </c>
      <c r="D618" s="116">
        <v>47.972075990565102</v>
      </c>
      <c r="E618" s="116">
        <v>48.4008234423179</v>
      </c>
      <c r="F618" s="116">
        <v>510.45</v>
      </c>
      <c r="G618">
        <v>433518</v>
      </c>
      <c r="H618" s="116"/>
      <c r="I618" s="116"/>
      <c r="L618" s="170">
        <v>42913</v>
      </c>
      <c r="M618" s="116">
        <v>48.675335505219003</v>
      </c>
      <c r="N618" s="116">
        <v>48.951629247566103</v>
      </c>
      <c r="O618" s="116">
        <v>47.9988922049899</v>
      </c>
      <c r="P618" s="116">
        <v>48.589589171387097</v>
      </c>
      <c r="Q618" s="116">
        <v>510.9</v>
      </c>
      <c r="R618">
        <v>4546092</v>
      </c>
    </row>
    <row r="619" spans="1:18" x14ac:dyDescent="0.25">
      <c r="A619" s="170">
        <v>42914</v>
      </c>
      <c r="B619" s="116">
        <v>49.768051427351899</v>
      </c>
      <c r="C619" s="116">
        <v>49.5346222591754</v>
      </c>
      <c r="D619" s="116">
        <v>48.558030841293899</v>
      </c>
      <c r="E619" s="116">
        <v>48.781932288320398</v>
      </c>
      <c r="F619" s="116">
        <v>519.9</v>
      </c>
      <c r="G619">
        <v>601130</v>
      </c>
      <c r="H619" s="116"/>
      <c r="I619" s="116"/>
      <c r="L619" s="170">
        <v>42914</v>
      </c>
      <c r="M619" s="116">
        <v>49.599490436517897</v>
      </c>
      <c r="N619" s="116">
        <v>49.813856271097499</v>
      </c>
      <c r="O619" s="116">
        <v>48.532424948832499</v>
      </c>
      <c r="P619" s="116">
        <v>48.780136579902297</v>
      </c>
      <c r="Q619" s="116">
        <v>520.6</v>
      </c>
      <c r="R619">
        <v>6896090</v>
      </c>
    </row>
    <row r="620" spans="1:18" x14ac:dyDescent="0.25">
      <c r="A620" s="170">
        <v>42915</v>
      </c>
      <c r="B620" s="116">
        <v>51.068585364335398</v>
      </c>
      <c r="C620" s="116">
        <v>50.944724989384603</v>
      </c>
      <c r="D620" s="116">
        <v>49.8538009177025</v>
      </c>
      <c r="E620" s="116">
        <v>49.8538009177025</v>
      </c>
      <c r="F620" s="116">
        <v>534.70000000000005</v>
      </c>
      <c r="G620">
        <v>853471</v>
      </c>
      <c r="H620" s="116"/>
      <c r="I620" s="116"/>
      <c r="L620" s="170">
        <v>42915</v>
      </c>
      <c r="M620" s="116">
        <v>50.976195463040497</v>
      </c>
      <c r="N620" s="116">
        <v>51.123869704639802</v>
      </c>
      <c r="O620" s="116">
        <v>49.737637307691401</v>
      </c>
      <c r="P620" s="116">
        <v>50.0091673648257</v>
      </c>
      <c r="Q620" s="116">
        <v>535.04999999999995</v>
      </c>
      <c r="R620">
        <v>9651954</v>
      </c>
    </row>
    <row r="621" spans="1:18" x14ac:dyDescent="0.25">
      <c r="A621" s="170">
        <v>42916</v>
      </c>
      <c r="B621" s="116">
        <v>52.097579248542203</v>
      </c>
      <c r="C621" s="116">
        <v>51.864150080365697</v>
      </c>
      <c r="D621" s="116">
        <v>50.525505258781898</v>
      </c>
      <c r="E621" s="116">
        <v>50.835156196158898</v>
      </c>
      <c r="F621" s="116">
        <v>544.35</v>
      </c>
      <c r="G621">
        <v>916104</v>
      </c>
      <c r="H621" s="116"/>
      <c r="I621" s="116"/>
      <c r="L621" s="170">
        <v>42916</v>
      </c>
      <c r="M621" s="116">
        <v>51.995624098597098</v>
      </c>
      <c r="N621" s="116">
        <v>52.200462562750999</v>
      </c>
      <c r="O621" s="116">
        <v>50.499826941752403</v>
      </c>
      <c r="P621" s="116">
        <v>50.919031240485999</v>
      </c>
      <c r="Q621" s="116">
        <v>545.75</v>
      </c>
      <c r="R621">
        <v>8469286</v>
      </c>
    </row>
    <row r="622" spans="1:18" x14ac:dyDescent="0.25">
      <c r="A622" s="170">
        <v>42919</v>
      </c>
      <c r="B622" s="116">
        <v>52.631131632945703</v>
      </c>
      <c r="C622" s="116">
        <v>52.345299998443799</v>
      </c>
      <c r="D622" s="116">
        <v>51.635484772764201</v>
      </c>
      <c r="E622" s="116">
        <v>51.835566916915496</v>
      </c>
      <c r="F622" s="116">
        <v>549.4</v>
      </c>
      <c r="G622">
        <v>481716</v>
      </c>
      <c r="H622" s="116"/>
      <c r="I622" s="116"/>
      <c r="L622" s="170">
        <v>42919</v>
      </c>
      <c r="M622" s="116">
        <v>52.457701564246499</v>
      </c>
      <c r="N622" s="116">
        <v>52.719704250954997</v>
      </c>
      <c r="O622" s="116">
        <v>51.643111392843899</v>
      </c>
      <c r="P622" s="116">
        <v>51.971805672532703</v>
      </c>
      <c r="Q622" s="116">
        <v>550.6</v>
      </c>
      <c r="R622">
        <v>6447865</v>
      </c>
    </row>
    <row r="623" spans="1:18" x14ac:dyDescent="0.25">
      <c r="A623" s="170">
        <v>42920</v>
      </c>
      <c r="B623" s="116">
        <v>52.816922195371902</v>
      </c>
      <c r="C623" s="116">
        <v>52.054704503366899</v>
      </c>
      <c r="D623" s="116">
        <v>51.864150080365697</v>
      </c>
      <c r="E623" s="116">
        <v>52.407230185919197</v>
      </c>
      <c r="F623" s="116">
        <v>546.35</v>
      </c>
      <c r="G623">
        <v>410014</v>
      </c>
      <c r="H623" s="116"/>
      <c r="I623" s="116"/>
      <c r="L623" s="170">
        <v>42920</v>
      </c>
      <c r="M623" s="116">
        <v>52.167116766260797</v>
      </c>
      <c r="N623" s="116">
        <v>52.834032696064099</v>
      </c>
      <c r="O623" s="116">
        <v>51.867004597849302</v>
      </c>
      <c r="P623" s="116">
        <v>52.505338416375402</v>
      </c>
      <c r="Q623" s="116">
        <v>547.54999999999995</v>
      </c>
      <c r="R623">
        <v>5039815</v>
      </c>
    </row>
    <row r="624" spans="1:18" x14ac:dyDescent="0.25">
      <c r="A624" s="170">
        <v>42921</v>
      </c>
      <c r="B624" s="116">
        <v>52.626367772370699</v>
      </c>
      <c r="C624" s="116">
        <v>52.378647022469004</v>
      </c>
      <c r="D624" s="116">
        <v>51.926080267841101</v>
      </c>
      <c r="E624" s="116">
        <v>52.011829758191602</v>
      </c>
      <c r="F624" s="116">
        <v>549.75</v>
      </c>
      <c r="G624">
        <v>1074914</v>
      </c>
      <c r="H624" s="116"/>
      <c r="I624" s="116"/>
      <c r="L624" s="170">
        <v>42921</v>
      </c>
      <c r="M624" s="116">
        <v>52.395773656479101</v>
      </c>
      <c r="N624" s="116">
        <v>52.638721602335998</v>
      </c>
      <c r="O624" s="116">
        <v>51.828895116146199</v>
      </c>
      <c r="P624" s="116">
        <v>51.867004597849302</v>
      </c>
      <c r="Q624" s="116">
        <v>549.95000000000005</v>
      </c>
      <c r="R624">
        <v>4725845</v>
      </c>
    </row>
    <row r="625" spans="1:18" x14ac:dyDescent="0.25">
      <c r="A625" s="170">
        <v>42922</v>
      </c>
      <c r="B625" s="116">
        <v>53.112281551023898</v>
      </c>
      <c r="C625" s="116">
        <v>52.816922195371902</v>
      </c>
      <c r="D625" s="116">
        <v>52.307189113843599</v>
      </c>
      <c r="E625" s="116">
        <v>52.4024663253442</v>
      </c>
      <c r="F625" s="116">
        <v>554.35</v>
      </c>
      <c r="G625">
        <v>460209</v>
      </c>
      <c r="H625" s="116"/>
      <c r="I625" s="116"/>
      <c r="L625" s="170">
        <v>42922</v>
      </c>
      <c r="M625" s="116">
        <v>52.8435600664899</v>
      </c>
      <c r="N625" s="116">
        <v>53.1150901236241</v>
      </c>
      <c r="O625" s="116">
        <v>52.3052636374344</v>
      </c>
      <c r="P625" s="116">
        <v>52.400537341692001</v>
      </c>
      <c r="Q625" s="116">
        <v>554.65</v>
      </c>
      <c r="R625">
        <v>6506592</v>
      </c>
    </row>
    <row r="626" spans="1:18" x14ac:dyDescent="0.25">
      <c r="A626" s="170">
        <v>42923</v>
      </c>
      <c r="B626" s="116">
        <v>52.878852382847299</v>
      </c>
      <c r="C626" s="116">
        <v>52.764519729046597</v>
      </c>
      <c r="D626" s="116">
        <v>52.473924233969697</v>
      </c>
      <c r="E626" s="116">
        <v>52.602548469495503</v>
      </c>
      <c r="F626" s="116">
        <v>553.79999999999995</v>
      </c>
      <c r="G626">
        <v>410937</v>
      </c>
      <c r="H626" s="116"/>
      <c r="I626" s="116"/>
      <c r="L626" s="170">
        <v>42923</v>
      </c>
      <c r="M626" s="116">
        <v>52.719704250954997</v>
      </c>
      <c r="N626" s="116">
        <v>52.867378492554302</v>
      </c>
      <c r="O626" s="116">
        <v>52.486283675523801</v>
      </c>
      <c r="P626" s="116">
        <v>52.686358454464802</v>
      </c>
      <c r="Q626" s="116">
        <v>553.35</v>
      </c>
      <c r="R626">
        <v>4100041</v>
      </c>
    </row>
    <row r="627" spans="1:18" x14ac:dyDescent="0.25">
      <c r="A627" s="170">
        <v>42926</v>
      </c>
      <c r="B627" s="116">
        <v>53.402877046100798</v>
      </c>
      <c r="C627" s="116">
        <v>53.279016671150004</v>
      </c>
      <c r="D627" s="116">
        <v>52.307189113843599</v>
      </c>
      <c r="E627" s="116">
        <v>52.878852382847299</v>
      </c>
      <c r="F627" s="116">
        <v>559.20000000000005</v>
      </c>
      <c r="G627">
        <v>1072569</v>
      </c>
      <c r="H627" s="116"/>
      <c r="I627" s="116"/>
      <c r="L627" s="170">
        <v>42926</v>
      </c>
      <c r="M627" s="116">
        <v>53.291346476500699</v>
      </c>
      <c r="N627" s="116">
        <v>53.505712311080401</v>
      </c>
      <c r="O627" s="116">
        <v>52.314791007860102</v>
      </c>
      <c r="P627" s="116">
        <v>53.248473309584803</v>
      </c>
      <c r="Q627" s="116">
        <v>559.35</v>
      </c>
      <c r="R627">
        <v>1089492</v>
      </c>
    </row>
    <row r="628" spans="1:18" x14ac:dyDescent="0.25">
      <c r="A628" s="170">
        <v>42927</v>
      </c>
      <c r="B628" s="116">
        <v>53.541029002776703</v>
      </c>
      <c r="C628" s="116">
        <v>53.074170666423598</v>
      </c>
      <c r="D628" s="116">
        <v>52.902671685722503</v>
      </c>
      <c r="E628" s="116">
        <v>53.283780531725</v>
      </c>
      <c r="F628" s="116">
        <v>557.04999999999995</v>
      </c>
      <c r="G628">
        <v>633419</v>
      </c>
      <c r="H628" s="116"/>
      <c r="I628" s="116"/>
      <c r="L628" s="170">
        <v>42927</v>
      </c>
      <c r="M628" s="116">
        <v>53.053162215856702</v>
      </c>
      <c r="N628" s="116">
        <v>53.539058107570597</v>
      </c>
      <c r="O628" s="116">
        <v>52.895960603831597</v>
      </c>
      <c r="P628" s="116">
        <v>53.3913838659712</v>
      </c>
      <c r="Q628" s="116">
        <v>556.85</v>
      </c>
      <c r="R628">
        <v>4912769</v>
      </c>
    </row>
    <row r="629" spans="1:18" x14ac:dyDescent="0.25">
      <c r="A629" s="170">
        <v>42928</v>
      </c>
      <c r="B629" s="116">
        <v>53.541029002776703</v>
      </c>
      <c r="C629" s="116">
        <v>53.2456696471247</v>
      </c>
      <c r="D629" s="116">
        <v>52.878852382847299</v>
      </c>
      <c r="E629" s="116">
        <v>53.355238440350497</v>
      </c>
      <c r="F629" s="116">
        <v>558.85</v>
      </c>
      <c r="G629">
        <v>479488</v>
      </c>
      <c r="H629" s="116"/>
      <c r="I629" s="116"/>
      <c r="L629" s="170">
        <v>42928</v>
      </c>
      <c r="M629" s="116">
        <v>53.267528050436297</v>
      </c>
      <c r="N629" s="116">
        <v>53.467602829377299</v>
      </c>
      <c r="O629" s="116">
        <v>52.876905862980102</v>
      </c>
      <c r="P629" s="116">
        <v>53.353274384268197</v>
      </c>
      <c r="Q629" s="116">
        <v>559.1</v>
      </c>
      <c r="R629">
        <v>4061003</v>
      </c>
    </row>
    <row r="630" spans="1:18" x14ac:dyDescent="0.25">
      <c r="A630" s="170">
        <v>42929</v>
      </c>
      <c r="B630" s="116">
        <v>53.917373988204098</v>
      </c>
      <c r="C630" s="116">
        <v>53.641070074852301</v>
      </c>
      <c r="D630" s="116">
        <v>53.360002300925501</v>
      </c>
      <c r="E630" s="116">
        <v>53.8268606372786</v>
      </c>
      <c r="F630" s="116">
        <v>563</v>
      </c>
      <c r="G630">
        <v>1129986</v>
      </c>
      <c r="H630" s="116"/>
      <c r="I630" s="116"/>
      <c r="L630" s="170">
        <v>42929</v>
      </c>
      <c r="M630" s="116">
        <v>53.729605516085797</v>
      </c>
      <c r="N630" s="116">
        <v>53.924916609813899</v>
      </c>
      <c r="O630" s="116">
        <v>53.372329125119698</v>
      </c>
      <c r="P630" s="116">
        <v>53.829642905556298</v>
      </c>
      <c r="Q630" s="116">
        <v>563.95000000000005</v>
      </c>
      <c r="R630">
        <v>4252470</v>
      </c>
    </row>
    <row r="631" spans="1:18" x14ac:dyDescent="0.25">
      <c r="A631" s="170">
        <v>42930</v>
      </c>
      <c r="B631" s="116">
        <v>53.917373988204098</v>
      </c>
      <c r="C631" s="116">
        <v>53.307599834600097</v>
      </c>
      <c r="D631" s="116">
        <v>53.074170666423598</v>
      </c>
      <c r="E631" s="116">
        <v>53.898318545903997</v>
      </c>
      <c r="F631" s="116">
        <v>559.5</v>
      </c>
      <c r="G631">
        <v>362135</v>
      </c>
      <c r="H631" s="116"/>
      <c r="I631" s="116"/>
      <c r="L631" s="170">
        <v>42930</v>
      </c>
      <c r="M631" s="116">
        <v>53.200836457455999</v>
      </c>
      <c r="N631" s="116">
        <v>53.820115535130498</v>
      </c>
      <c r="O631" s="116">
        <v>53.043634845430901</v>
      </c>
      <c r="P631" s="116">
        <v>53.820115535130498</v>
      </c>
      <c r="Q631" s="116">
        <v>558.4</v>
      </c>
      <c r="R631">
        <v>4677703</v>
      </c>
    </row>
    <row r="632" spans="1:18" x14ac:dyDescent="0.25">
      <c r="A632" s="170">
        <v>42933</v>
      </c>
      <c r="B632" s="116">
        <v>53.641070074852301</v>
      </c>
      <c r="C632" s="116">
        <v>53.2456696471247</v>
      </c>
      <c r="D632" s="116">
        <v>53.107517690448802</v>
      </c>
      <c r="E632" s="116">
        <v>53.450515651851099</v>
      </c>
      <c r="F632" s="116">
        <v>558.85</v>
      </c>
      <c r="G632">
        <v>299253</v>
      </c>
      <c r="H632" s="116"/>
      <c r="I632" s="116"/>
      <c r="L632" s="170">
        <v>42933</v>
      </c>
      <c r="M632" s="116">
        <v>53.334219643416702</v>
      </c>
      <c r="N632" s="116">
        <v>53.710550775234303</v>
      </c>
      <c r="O632" s="116">
        <v>53.076980641921097</v>
      </c>
      <c r="P632" s="116">
        <v>53.553349163209198</v>
      </c>
      <c r="Q632" s="116">
        <v>559.79999999999995</v>
      </c>
      <c r="R632">
        <v>2460456</v>
      </c>
    </row>
    <row r="633" spans="1:18" x14ac:dyDescent="0.25">
      <c r="A633" s="170">
        <v>42934</v>
      </c>
      <c r="B633" s="116">
        <v>54.1174561323555</v>
      </c>
      <c r="C633" s="116">
        <v>53.622014632552201</v>
      </c>
      <c r="D633" s="116">
        <v>53.045587502973397</v>
      </c>
      <c r="E633" s="116">
        <v>53.259961228849797</v>
      </c>
      <c r="F633" s="116">
        <v>562.79999999999995</v>
      </c>
      <c r="G633">
        <v>378393</v>
      </c>
      <c r="H633" s="116"/>
      <c r="I633" s="116"/>
      <c r="L633" s="170">
        <v>42934</v>
      </c>
      <c r="M633" s="116">
        <v>53.6676776083183</v>
      </c>
      <c r="N633" s="116">
        <v>54.210737722586799</v>
      </c>
      <c r="O633" s="116">
        <v>53.067453271495303</v>
      </c>
      <c r="P633" s="116">
        <v>53.119853808837</v>
      </c>
      <c r="Q633" s="116">
        <v>563.29999999999995</v>
      </c>
      <c r="R633">
        <v>3442296</v>
      </c>
    </row>
    <row r="634" spans="1:18" x14ac:dyDescent="0.25">
      <c r="A634" s="170">
        <v>42935</v>
      </c>
      <c r="B634" s="116">
        <v>54.498564978357997</v>
      </c>
      <c r="C634" s="116">
        <v>54.403287766857297</v>
      </c>
      <c r="D634" s="116">
        <v>53.641070074852301</v>
      </c>
      <c r="E634" s="116">
        <v>53.679180959452601</v>
      </c>
      <c r="F634" s="116">
        <v>571</v>
      </c>
      <c r="G634">
        <v>359002</v>
      </c>
      <c r="H634" s="116"/>
      <c r="I634" s="116"/>
      <c r="L634" s="170">
        <v>42935</v>
      </c>
      <c r="M634" s="116">
        <v>54.420339871953601</v>
      </c>
      <c r="N634" s="116">
        <v>54.529904631849803</v>
      </c>
      <c r="O634" s="116">
        <v>53.6724412935312</v>
      </c>
      <c r="P634" s="116">
        <v>53.734369201298698</v>
      </c>
      <c r="Q634" s="116">
        <v>571.20000000000005</v>
      </c>
      <c r="R634">
        <v>3285956</v>
      </c>
    </row>
    <row r="635" spans="1:18" x14ac:dyDescent="0.25">
      <c r="A635" s="170">
        <v>42936</v>
      </c>
      <c r="B635" s="116">
        <v>53.726819565202902</v>
      </c>
      <c r="C635" s="116">
        <v>52.9646018731979</v>
      </c>
      <c r="D635" s="116">
        <v>52.897907825147499</v>
      </c>
      <c r="E635" s="116">
        <v>53.641070074852301</v>
      </c>
      <c r="F635" s="116">
        <v>555.9</v>
      </c>
      <c r="G635">
        <v>527881</v>
      </c>
      <c r="H635" s="116"/>
      <c r="I635" s="116"/>
      <c r="L635" s="170">
        <v>42936</v>
      </c>
      <c r="M635" s="116">
        <v>53.086508012346897</v>
      </c>
      <c r="N635" s="116">
        <v>53.710550775234303</v>
      </c>
      <c r="O635" s="116">
        <v>52.995997993302097</v>
      </c>
      <c r="P635" s="116">
        <v>53.5724039040607</v>
      </c>
      <c r="Q635" s="116">
        <v>557.20000000000005</v>
      </c>
      <c r="R635">
        <v>3260506</v>
      </c>
    </row>
    <row r="636" spans="1:18" x14ac:dyDescent="0.25">
      <c r="A636" s="170">
        <v>42937</v>
      </c>
      <c r="B636" s="116">
        <v>53.126573132749002</v>
      </c>
      <c r="C636" s="116">
        <v>52.650187075245803</v>
      </c>
      <c r="D636" s="116">
        <v>51.816511474615403</v>
      </c>
      <c r="E636" s="116">
        <v>52.974129594348</v>
      </c>
      <c r="F636" s="116">
        <v>552.6</v>
      </c>
      <c r="G636">
        <v>381361</v>
      </c>
      <c r="H636" s="116"/>
      <c r="I636" s="116"/>
      <c r="L636" s="170">
        <v>42937</v>
      </c>
      <c r="M636" s="116">
        <v>52.710176880529197</v>
      </c>
      <c r="N636" s="116">
        <v>53.167490660965797</v>
      </c>
      <c r="O636" s="116">
        <v>51.795549319656097</v>
      </c>
      <c r="P636" s="116">
        <v>53.162726975752904</v>
      </c>
      <c r="Q636" s="116">
        <v>553.25</v>
      </c>
      <c r="R636">
        <v>3295008</v>
      </c>
    </row>
    <row r="637" spans="1:18" x14ac:dyDescent="0.25">
      <c r="A637" s="170">
        <v>42940</v>
      </c>
      <c r="B637" s="116">
        <v>52.878852382847299</v>
      </c>
      <c r="C637" s="116">
        <v>52.159509436017601</v>
      </c>
      <c r="D637" s="116">
        <v>52.097579248542203</v>
      </c>
      <c r="E637" s="116">
        <v>52.878852382847299</v>
      </c>
      <c r="F637" s="116">
        <v>547.45000000000005</v>
      </c>
      <c r="G637">
        <v>427419</v>
      </c>
      <c r="H637" s="116"/>
      <c r="I637" s="116"/>
      <c r="L637" s="170">
        <v>42940</v>
      </c>
      <c r="M637" s="116">
        <v>52.257626785305497</v>
      </c>
      <c r="N637" s="116">
        <v>52.819741640425498</v>
      </c>
      <c r="O637" s="116">
        <v>52.148062025409303</v>
      </c>
      <c r="P637" s="116">
        <v>52.819741640425498</v>
      </c>
      <c r="Q637" s="116">
        <v>548.5</v>
      </c>
      <c r="R637">
        <v>2160449</v>
      </c>
    </row>
    <row r="638" spans="1:18" x14ac:dyDescent="0.25">
      <c r="A638" s="170">
        <v>42941</v>
      </c>
      <c r="B638" s="116">
        <v>52.807394474221901</v>
      </c>
      <c r="C638" s="116">
        <v>52.697825680996097</v>
      </c>
      <c r="D638" s="116">
        <v>52.297661392693499</v>
      </c>
      <c r="E638" s="116">
        <v>52.345299998443799</v>
      </c>
      <c r="F638" s="116">
        <v>553.1</v>
      </c>
      <c r="G638">
        <v>220658</v>
      </c>
      <c r="H638" s="116"/>
      <c r="I638" s="116"/>
      <c r="L638" s="170">
        <v>42941</v>
      </c>
      <c r="M638" s="116">
        <v>52.681594769252001</v>
      </c>
      <c r="N638" s="116">
        <v>52.786395843935303</v>
      </c>
      <c r="O638" s="116">
        <v>52.281445211369899</v>
      </c>
      <c r="P638" s="116">
        <v>52.2957362670086</v>
      </c>
      <c r="Q638" s="116">
        <v>552.95000000000005</v>
      </c>
      <c r="R638">
        <v>2840175</v>
      </c>
    </row>
    <row r="639" spans="1:18" x14ac:dyDescent="0.25">
      <c r="A639" s="170">
        <v>42942</v>
      </c>
      <c r="B639" s="116">
        <v>54.003123478554699</v>
      </c>
      <c r="C639" s="116">
        <v>53.869735382453797</v>
      </c>
      <c r="D639" s="116">
        <v>52.874088522272302</v>
      </c>
      <c r="E639" s="116">
        <v>52.931254849172703</v>
      </c>
      <c r="F639" s="116">
        <v>565.4</v>
      </c>
      <c r="G639">
        <v>393562</v>
      </c>
      <c r="H639" s="116"/>
      <c r="I639" s="116"/>
      <c r="L639" s="170">
        <v>42942</v>
      </c>
      <c r="M639" s="116">
        <v>53.901098183749497</v>
      </c>
      <c r="N639" s="116">
        <v>54.110700333116299</v>
      </c>
      <c r="O639" s="116">
        <v>52.791159529148203</v>
      </c>
      <c r="P639" s="116">
        <v>52.876905862980102</v>
      </c>
      <c r="Q639" s="116">
        <v>565.75</v>
      </c>
      <c r="R639">
        <v>7087415</v>
      </c>
    </row>
    <row r="640" spans="1:18" x14ac:dyDescent="0.25">
      <c r="A640" s="170">
        <v>42943</v>
      </c>
      <c r="B640" s="116">
        <v>54.179386319830897</v>
      </c>
      <c r="C640" s="116">
        <v>53.450515651851099</v>
      </c>
      <c r="D640" s="116">
        <v>53.259961228849797</v>
      </c>
      <c r="E640" s="116">
        <v>53.955484872804398</v>
      </c>
      <c r="F640" s="116">
        <v>561</v>
      </c>
      <c r="G640">
        <v>283664</v>
      </c>
      <c r="H640" s="116"/>
      <c r="I640" s="116"/>
      <c r="L640" s="170">
        <v>42943</v>
      </c>
      <c r="M640" s="116">
        <v>53.472366514590199</v>
      </c>
      <c r="N640" s="116">
        <v>54.167864555670903</v>
      </c>
      <c r="O640" s="116">
        <v>53.172254346178697</v>
      </c>
      <c r="P640" s="116">
        <v>54.015426628858698</v>
      </c>
      <c r="Q640" s="116">
        <v>561.25</v>
      </c>
      <c r="R640">
        <v>4019198</v>
      </c>
    </row>
    <row r="641" spans="1:18" x14ac:dyDescent="0.25">
      <c r="A641" s="170">
        <v>42944</v>
      </c>
      <c r="B641" s="116">
        <v>53.355238440350497</v>
      </c>
      <c r="C641" s="116">
        <v>52.554909863745202</v>
      </c>
      <c r="D641" s="116">
        <v>52.259550508093298</v>
      </c>
      <c r="E641" s="116">
        <v>53.059879084698501</v>
      </c>
      <c r="F641" s="116">
        <v>551.6</v>
      </c>
      <c r="G641">
        <v>245983</v>
      </c>
      <c r="H641" s="116"/>
      <c r="I641" s="116"/>
      <c r="L641" s="170">
        <v>42944</v>
      </c>
      <c r="M641" s="116">
        <v>52.581557379781501</v>
      </c>
      <c r="N641" s="116">
        <v>53.429493347674303</v>
      </c>
      <c r="O641" s="116">
        <v>52.252863100092704</v>
      </c>
      <c r="P641" s="116">
        <v>53.429493347674303</v>
      </c>
      <c r="Q641" s="116">
        <v>551.9</v>
      </c>
      <c r="R641">
        <v>2411689</v>
      </c>
    </row>
    <row r="642" spans="1:18" x14ac:dyDescent="0.25">
      <c r="A642" s="170">
        <v>42947</v>
      </c>
      <c r="B642" s="116">
        <v>54.3985239062823</v>
      </c>
      <c r="C642" s="116">
        <v>54.074581387180203</v>
      </c>
      <c r="D642" s="116">
        <v>52.593020748345502</v>
      </c>
      <c r="E642" s="116">
        <v>52.593020748345502</v>
      </c>
      <c r="F642" s="116">
        <v>567.54999999999995</v>
      </c>
      <c r="G642">
        <v>515692</v>
      </c>
      <c r="H642" s="116"/>
      <c r="I642" s="116"/>
      <c r="L642" s="170">
        <v>42947</v>
      </c>
      <c r="M642" s="116">
        <v>54.0297176844973</v>
      </c>
      <c r="N642" s="116">
        <v>54.439394612805103</v>
      </c>
      <c r="O642" s="116">
        <v>52.710176880529197</v>
      </c>
      <c r="P642" s="116">
        <v>52.710176880529197</v>
      </c>
      <c r="Q642" s="116">
        <v>567.1</v>
      </c>
      <c r="R642">
        <v>5624650</v>
      </c>
    </row>
    <row r="643" spans="1:18" x14ac:dyDescent="0.25">
      <c r="A643" s="170">
        <v>42948</v>
      </c>
      <c r="B643" s="116">
        <v>54.784396612859801</v>
      </c>
      <c r="C643" s="116">
        <v>54.498564978357997</v>
      </c>
      <c r="D643" s="116">
        <v>54.169858598680797</v>
      </c>
      <c r="E643" s="116">
        <v>54.222261065006201</v>
      </c>
      <c r="F643" s="116">
        <v>572</v>
      </c>
      <c r="G643">
        <v>1061067</v>
      </c>
      <c r="H643" s="116"/>
      <c r="I643" s="116"/>
      <c r="L643" s="170">
        <v>42948</v>
      </c>
      <c r="M643" s="116">
        <v>54.534668317062703</v>
      </c>
      <c r="N643" s="116">
        <v>54.806198374196903</v>
      </c>
      <c r="O643" s="116">
        <v>54.172628240883697</v>
      </c>
      <c r="P643" s="116">
        <v>54.277429315567097</v>
      </c>
      <c r="Q643" s="116">
        <v>572.4</v>
      </c>
      <c r="R643">
        <v>5091142</v>
      </c>
    </row>
    <row r="644" spans="1:18" x14ac:dyDescent="0.25">
      <c r="A644" s="170">
        <v>42949</v>
      </c>
      <c r="B644" s="116">
        <v>54.784396612859801</v>
      </c>
      <c r="C644" s="116">
        <v>54.112692271780404</v>
      </c>
      <c r="D644" s="116">
        <v>53.831624497853603</v>
      </c>
      <c r="E644" s="116">
        <v>54.765341170559701</v>
      </c>
      <c r="F644" s="116">
        <v>567.95000000000005</v>
      </c>
      <c r="G644">
        <v>326305</v>
      </c>
      <c r="H644" s="116"/>
      <c r="I644" s="116"/>
      <c r="L644" s="170">
        <v>42949</v>
      </c>
      <c r="M644" s="116">
        <v>54.234556148651201</v>
      </c>
      <c r="N644" s="116">
        <v>54.668051503023399</v>
      </c>
      <c r="O644" s="116">
        <v>53.877279757685102</v>
      </c>
      <c r="P644" s="116">
        <v>54.5918325396173</v>
      </c>
      <c r="Q644" s="116">
        <v>569.25</v>
      </c>
      <c r="R644">
        <v>2987644</v>
      </c>
    </row>
    <row r="645" spans="1:18" x14ac:dyDescent="0.25">
      <c r="A645" s="170">
        <v>42950</v>
      </c>
      <c r="B645" s="116">
        <v>54.160330877530697</v>
      </c>
      <c r="C645" s="116">
        <v>53.3123636951752</v>
      </c>
      <c r="D645" s="116">
        <v>53.164684017349202</v>
      </c>
      <c r="E645" s="116">
        <v>53.941193291079301</v>
      </c>
      <c r="F645" s="116">
        <v>559.54999999999995</v>
      </c>
      <c r="G645">
        <v>246194</v>
      </c>
      <c r="H645" s="116"/>
      <c r="I645" s="116"/>
      <c r="L645" s="170">
        <v>42950</v>
      </c>
      <c r="M645" s="116">
        <v>53.286582791287799</v>
      </c>
      <c r="N645" s="116">
        <v>54.148809814819302</v>
      </c>
      <c r="O645" s="116">
        <v>53.119853808837</v>
      </c>
      <c r="P645" s="116">
        <v>54.020190314071499</v>
      </c>
      <c r="Q645" s="116">
        <v>559.29999999999995</v>
      </c>
      <c r="R645">
        <v>3286455</v>
      </c>
    </row>
    <row r="646" spans="1:18" x14ac:dyDescent="0.25">
      <c r="A646" s="170">
        <v>42951</v>
      </c>
      <c r="B646" s="116">
        <v>55.213144064612699</v>
      </c>
      <c r="C646" s="116">
        <v>54.832035218610201</v>
      </c>
      <c r="D646" s="116">
        <v>53.2647250894249</v>
      </c>
      <c r="E646" s="116">
        <v>53.350474579775401</v>
      </c>
      <c r="F646" s="116">
        <v>575.5</v>
      </c>
      <c r="G646">
        <v>489521</v>
      </c>
      <c r="H646" s="116"/>
      <c r="I646" s="116"/>
      <c r="L646" s="170">
        <v>42951</v>
      </c>
      <c r="M646" s="116">
        <v>54.8633625967515</v>
      </c>
      <c r="N646" s="116">
        <v>55.334967432826701</v>
      </c>
      <c r="O646" s="116">
        <v>53.286582791287799</v>
      </c>
      <c r="P646" s="116">
        <v>53.296110161713599</v>
      </c>
      <c r="Q646" s="116">
        <v>575.85</v>
      </c>
      <c r="R646">
        <v>3363291</v>
      </c>
    </row>
    <row r="647" spans="1:18" x14ac:dyDescent="0.25">
      <c r="A647" s="170">
        <v>42954</v>
      </c>
      <c r="B647" s="116">
        <v>57.309242717626397</v>
      </c>
      <c r="C647" s="116">
        <v>57.166326900375502</v>
      </c>
      <c r="D647" s="116">
        <v>55.594252910615197</v>
      </c>
      <c r="E647" s="116">
        <v>55.641891516365497</v>
      </c>
      <c r="F647" s="116">
        <v>600</v>
      </c>
      <c r="G647">
        <v>1177889</v>
      </c>
      <c r="H647" s="116"/>
      <c r="I647" s="116"/>
      <c r="L647" s="170">
        <v>42954</v>
      </c>
      <c r="M647" s="116">
        <v>57.168986239785902</v>
      </c>
      <c r="N647" s="116">
        <v>57.321424166598099</v>
      </c>
      <c r="O647" s="116">
        <v>55.639843286451097</v>
      </c>
      <c r="P647" s="116">
        <v>55.735116990708697</v>
      </c>
      <c r="Q647" s="116">
        <v>600.04999999999995</v>
      </c>
      <c r="R647">
        <v>11012930</v>
      </c>
    </row>
    <row r="648" spans="1:18" x14ac:dyDescent="0.25">
      <c r="A648" s="170">
        <v>42955</v>
      </c>
      <c r="B648" s="116">
        <v>59.543493327316099</v>
      </c>
      <c r="C648" s="116">
        <v>58.666942981510303</v>
      </c>
      <c r="D648" s="116">
        <v>57.690351563628901</v>
      </c>
      <c r="E648" s="116">
        <v>58.214376226882401</v>
      </c>
      <c r="F648" s="116">
        <v>615.75</v>
      </c>
      <c r="G648">
        <v>1474285</v>
      </c>
      <c r="H648" s="116"/>
      <c r="I648" s="116"/>
      <c r="L648" s="170">
        <v>42955</v>
      </c>
      <c r="M648" s="116">
        <v>58.731474989610902</v>
      </c>
      <c r="N648" s="116">
        <v>59.593702013142398</v>
      </c>
      <c r="O648" s="116">
        <v>57.735864780118803</v>
      </c>
      <c r="P648" s="116">
        <v>58.140778023213699</v>
      </c>
      <c r="Q648" s="116">
        <v>616.45000000000005</v>
      </c>
      <c r="R648">
        <v>20046119</v>
      </c>
    </row>
    <row r="649" spans="1:18" x14ac:dyDescent="0.25">
      <c r="A649" s="170">
        <v>42956</v>
      </c>
      <c r="B649" s="116">
        <v>59.062343409237897</v>
      </c>
      <c r="C649" s="116">
        <v>57.642712957878601</v>
      </c>
      <c r="D649" s="116">
        <v>57.418811510852102</v>
      </c>
      <c r="E649" s="116">
        <v>58.671706842085399</v>
      </c>
      <c r="F649" s="116">
        <v>605</v>
      </c>
      <c r="G649">
        <v>600042</v>
      </c>
      <c r="H649" s="116"/>
      <c r="I649" s="116"/>
      <c r="L649" s="170">
        <v>42956</v>
      </c>
      <c r="M649" s="116">
        <v>57.645354761074003</v>
      </c>
      <c r="N649" s="116">
        <v>59.107806121428503</v>
      </c>
      <c r="O649" s="116">
        <v>57.402406815217098</v>
      </c>
      <c r="P649" s="116">
        <v>58.688601822694999</v>
      </c>
      <c r="Q649" s="116">
        <v>605.04999999999995</v>
      </c>
      <c r="R649">
        <v>5202611</v>
      </c>
    </row>
    <row r="650" spans="1:18" x14ac:dyDescent="0.25">
      <c r="A650" s="170">
        <v>42957</v>
      </c>
      <c r="B650" s="116">
        <v>58.538318745984498</v>
      </c>
      <c r="C650" s="116">
        <v>57.599838212703297</v>
      </c>
      <c r="D650" s="116">
        <v>56.9757724773742</v>
      </c>
      <c r="E650" s="116">
        <v>57.390228347402001</v>
      </c>
      <c r="F650" s="116">
        <v>604.54999999999995</v>
      </c>
      <c r="G650">
        <v>647892</v>
      </c>
      <c r="H650" s="116"/>
      <c r="I650" s="116"/>
      <c r="L650" s="170">
        <v>42957</v>
      </c>
      <c r="M650" s="116">
        <v>57.578663168093698</v>
      </c>
      <c r="N650" s="116">
        <v>58.564746007160103</v>
      </c>
      <c r="O650" s="116">
        <v>56.978438831270701</v>
      </c>
      <c r="P650" s="116">
        <v>57.621536335009601</v>
      </c>
      <c r="Q650" s="116">
        <v>604.35</v>
      </c>
      <c r="R650">
        <v>7684041</v>
      </c>
    </row>
    <row r="651" spans="1:18" x14ac:dyDescent="0.25">
      <c r="A651" s="170">
        <v>42958</v>
      </c>
      <c r="B651" s="116">
        <v>57.642712957878601</v>
      </c>
      <c r="C651" s="116">
        <v>56.799509636098101</v>
      </c>
      <c r="D651" s="116">
        <v>56.175443900768997</v>
      </c>
      <c r="E651" s="116">
        <v>57.166326900375502</v>
      </c>
      <c r="F651" s="116">
        <v>596.15</v>
      </c>
      <c r="G651">
        <v>704953</v>
      </c>
      <c r="H651" s="116"/>
      <c r="I651" s="116"/>
      <c r="L651" s="170">
        <v>42958</v>
      </c>
      <c r="M651" s="116">
        <v>56.854583015735798</v>
      </c>
      <c r="N651" s="116">
        <v>57.731101094905902</v>
      </c>
      <c r="O651" s="116">
        <v>56.3305776423189</v>
      </c>
      <c r="P651" s="116">
        <v>57.164222554573101</v>
      </c>
      <c r="Q651" s="116">
        <v>596.75</v>
      </c>
      <c r="R651">
        <v>8579300</v>
      </c>
    </row>
    <row r="652" spans="1:18" x14ac:dyDescent="0.25">
      <c r="A652" s="170">
        <v>42961</v>
      </c>
      <c r="B652" s="116">
        <v>59.391049788915097</v>
      </c>
      <c r="C652" s="116">
        <v>59.190967644763802</v>
      </c>
      <c r="D652" s="116">
        <v>57.795156496279603</v>
      </c>
      <c r="E652" s="116">
        <v>58.023821803881098</v>
      </c>
      <c r="F652" s="116">
        <v>621.25</v>
      </c>
      <c r="G652">
        <v>720675</v>
      </c>
      <c r="H652" s="116"/>
      <c r="I652" s="116"/>
      <c r="L652" s="170">
        <v>42961</v>
      </c>
      <c r="M652" s="116">
        <v>59.426973030691599</v>
      </c>
      <c r="N652" s="116">
        <v>59.603229383568198</v>
      </c>
      <c r="O652" s="116">
        <v>57.640591075861202</v>
      </c>
      <c r="P652" s="116">
        <v>57.869247966079499</v>
      </c>
      <c r="Q652" s="116">
        <v>623.75</v>
      </c>
      <c r="R652">
        <v>8555920</v>
      </c>
    </row>
    <row r="653" spans="1:18" x14ac:dyDescent="0.25">
      <c r="A653" s="170">
        <v>42963</v>
      </c>
      <c r="B653" s="116">
        <v>60.100865014594802</v>
      </c>
      <c r="C653" s="116">
        <v>60.000823942519098</v>
      </c>
      <c r="D653" s="116">
        <v>59.100454293838197</v>
      </c>
      <c r="E653" s="116">
        <v>59.5625487696162</v>
      </c>
      <c r="F653" s="116">
        <v>629.75</v>
      </c>
      <c r="G653">
        <v>471902</v>
      </c>
      <c r="H653" s="116"/>
      <c r="I653" s="116"/>
      <c r="L653" s="170">
        <v>42963</v>
      </c>
      <c r="M653" s="116">
        <v>60.136762127410897</v>
      </c>
      <c r="N653" s="116">
        <v>60.274908998584401</v>
      </c>
      <c r="O653" s="116">
        <v>59.112569806641403</v>
      </c>
      <c r="P653" s="116">
        <v>59.546065161013601</v>
      </c>
      <c r="Q653" s="116">
        <v>631.20000000000005</v>
      </c>
      <c r="R653">
        <v>7330341</v>
      </c>
    </row>
    <row r="654" spans="1:18" x14ac:dyDescent="0.25">
      <c r="A654" s="170">
        <v>42964</v>
      </c>
      <c r="B654" s="116">
        <v>60.596306514398002</v>
      </c>
      <c r="C654" s="116">
        <v>59.6292428176667</v>
      </c>
      <c r="D654" s="116">
        <v>59.472035418690602</v>
      </c>
      <c r="E654" s="116">
        <v>60.186614504945297</v>
      </c>
      <c r="F654" s="116">
        <v>625.85</v>
      </c>
      <c r="G654">
        <v>391687</v>
      </c>
      <c r="H654" s="116"/>
      <c r="I654" s="116"/>
      <c r="L654" s="170">
        <v>42964</v>
      </c>
      <c r="M654" s="116">
        <v>59.584174642716697</v>
      </c>
      <c r="N654" s="116">
        <v>60.689349612105097</v>
      </c>
      <c r="O654" s="116">
        <v>59.460318827181702</v>
      </c>
      <c r="P654" s="116">
        <v>60.031961052727503</v>
      </c>
      <c r="Q654" s="116">
        <v>625.4</v>
      </c>
      <c r="R654">
        <v>4616610</v>
      </c>
    </row>
    <row r="655" spans="1:18" x14ac:dyDescent="0.25">
      <c r="A655" s="170">
        <v>42965</v>
      </c>
      <c r="B655" s="116">
        <v>59.929366033893601</v>
      </c>
      <c r="C655" s="116">
        <v>59.586368072491403</v>
      </c>
      <c r="D655" s="116">
        <v>59.076634990963001</v>
      </c>
      <c r="E655" s="116">
        <v>59.36723048604</v>
      </c>
      <c r="F655" s="116">
        <v>625.4</v>
      </c>
      <c r="G655">
        <v>243176</v>
      </c>
      <c r="H655" s="116"/>
      <c r="I655" s="116"/>
      <c r="L655" s="170">
        <v>42965</v>
      </c>
      <c r="M655" s="116">
        <v>59.607993068781099</v>
      </c>
      <c r="N655" s="116">
        <v>59.9033415519797</v>
      </c>
      <c r="O655" s="116">
        <v>59.0792240101513</v>
      </c>
      <c r="P655" s="116">
        <v>59.303117215156703</v>
      </c>
      <c r="Q655" s="116">
        <v>625.65</v>
      </c>
      <c r="R655">
        <v>3386205</v>
      </c>
    </row>
    <row r="656" spans="1:18" x14ac:dyDescent="0.25">
      <c r="A656" s="170">
        <v>42968</v>
      </c>
      <c r="B656" s="116">
        <v>60.839263403724601</v>
      </c>
      <c r="C656" s="116">
        <v>59.257661692814203</v>
      </c>
      <c r="D656" s="116">
        <v>59.086162712113101</v>
      </c>
      <c r="E656" s="116">
        <v>60.029407105969298</v>
      </c>
      <c r="F656" s="116">
        <v>621.95000000000005</v>
      </c>
      <c r="G656">
        <v>414833</v>
      </c>
      <c r="H656" s="116"/>
      <c r="I656" s="116"/>
      <c r="L656" s="170">
        <v>42968</v>
      </c>
      <c r="M656" s="116">
        <v>59.217370881324797</v>
      </c>
      <c r="N656" s="116">
        <v>60.846551224130103</v>
      </c>
      <c r="O656" s="116">
        <v>58.9839503058936</v>
      </c>
      <c r="P656" s="116">
        <v>60.298727424648803</v>
      </c>
      <c r="Q656" s="116">
        <v>621.54999999999995</v>
      </c>
      <c r="R656">
        <v>4175647</v>
      </c>
    </row>
    <row r="657" spans="1:18" x14ac:dyDescent="0.25">
      <c r="A657" s="170">
        <v>42969</v>
      </c>
      <c r="B657" s="116">
        <v>60.310474879896098</v>
      </c>
      <c r="C657" s="116">
        <v>59.005177082337603</v>
      </c>
      <c r="D657" s="116">
        <v>58.566901909434698</v>
      </c>
      <c r="E657" s="116">
        <v>60.034170966544302</v>
      </c>
      <c r="F657" s="116">
        <v>619.29999999999995</v>
      </c>
      <c r="G657">
        <v>394520</v>
      </c>
      <c r="H657" s="116"/>
      <c r="I657" s="116"/>
      <c r="L657" s="170">
        <v>42969</v>
      </c>
      <c r="M657" s="116">
        <v>59.031587158022397</v>
      </c>
      <c r="N657" s="116">
        <v>60.017669997088802</v>
      </c>
      <c r="O657" s="116">
        <v>58.536163895882801</v>
      </c>
      <c r="P657" s="116">
        <v>60.017669997088802</v>
      </c>
      <c r="Q657" s="116">
        <v>619.6</v>
      </c>
      <c r="R657">
        <v>3690708</v>
      </c>
    </row>
    <row r="658" spans="1:18" x14ac:dyDescent="0.25">
      <c r="A658" s="170">
        <v>42970</v>
      </c>
      <c r="B658" s="116">
        <v>60.5010293028974</v>
      </c>
      <c r="C658" s="116">
        <v>60.348585764496399</v>
      </c>
      <c r="D658" s="116">
        <v>58.7098177266856</v>
      </c>
      <c r="E658" s="116">
        <v>59.3100641591396</v>
      </c>
      <c r="F658" s="116">
        <v>633.4</v>
      </c>
      <c r="G658">
        <v>369673</v>
      </c>
      <c r="H658" s="116"/>
      <c r="I658" s="116"/>
      <c r="L658" s="170">
        <v>42970</v>
      </c>
      <c r="M658" s="116">
        <v>60.460692721886801</v>
      </c>
      <c r="N658" s="116">
        <v>60.6369490747634</v>
      </c>
      <c r="O658" s="116">
        <v>58.736238674823802</v>
      </c>
      <c r="P658" s="116">
        <v>59.450791456756001</v>
      </c>
      <c r="Q658" s="116">
        <v>634.6</v>
      </c>
      <c r="R658">
        <v>3918843</v>
      </c>
    </row>
    <row r="659" spans="1:18" x14ac:dyDescent="0.25">
      <c r="A659" s="170">
        <v>42971</v>
      </c>
      <c r="B659" s="116">
        <v>60.977415360400499</v>
      </c>
      <c r="C659" s="116">
        <v>60.877374288324901</v>
      </c>
      <c r="D659" s="116">
        <v>60.119920456894903</v>
      </c>
      <c r="E659" s="116">
        <v>60.596306514398002</v>
      </c>
      <c r="F659" s="116">
        <v>638.95000000000005</v>
      </c>
      <c r="G659">
        <v>379001</v>
      </c>
      <c r="H659" s="116"/>
      <c r="I659" s="116"/>
      <c r="L659" s="170">
        <v>42971</v>
      </c>
      <c r="M659" s="116">
        <v>60.879897020620298</v>
      </c>
      <c r="N659" s="116">
        <v>61.027571262219602</v>
      </c>
      <c r="O659" s="116">
        <v>60.0795979048563</v>
      </c>
      <c r="P659" s="116">
        <v>60.594075907847397</v>
      </c>
      <c r="Q659" s="116">
        <v>639</v>
      </c>
      <c r="R659">
        <v>4909312</v>
      </c>
    </row>
    <row r="660" spans="1:18" x14ac:dyDescent="0.25">
      <c r="A660" s="170">
        <v>42975</v>
      </c>
      <c r="B660" s="116">
        <v>61.206080668002002</v>
      </c>
      <c r="C660" s="116">
        <v>60.663000562448502</v>
      </c>
      <c r="D660" s="116">
        <v>60.234253110695597</v>
      </c>
      <c r="E660" s="116">
        <v>60.886902009474902</v>
      </c>
      <c r="F660" s="116">
        <v>636.70000000000005</v>
      </c>
      <c r="G660">
        <v>478896</v>
      </c>
      <c r="H660" s="116"/>
      <c r="I660" s="116"/>
      <c r="L660" s="170">
        <v>42975</v>
      </c>
      <c r="M660" s="116">
        <v>60.579784852208803</v>
      </c>
      <c r="N660" s="116">
        <v>61.251464467224999</v>
      </c>
      <c r="O660" s="116">
        <v>60.193926349965402</v>
      </c>
      <c r="P660" s="116">
        <v>60.989461780516599</v>
      </c>
      <c r="Q660" s="116">
        <v>635.85</v>
      </c>
      <c r="R660">
        <v>3565779</v>
      </c>
    </row>
    <row r="661" spans="1:18" x14ac:dyDescent="0.25">
      <c r="A661" s="170">
        <v>42976</v>
      </c>
      <c r="B661" s="116">
        <v>61.010762384425703</v>
      </c>
      <c r="C661" s="116">
        <v>60.038934827119398</v>
      </c>
      <c r="D661" s="116">
        <v>59.8626719858432</v>
      </c>
      <c r="E661" s="116">
        <v>60.053226408844402</v>
      </c>
      <c r="F661" s="116">
        <v>630.15</v>
      </c>
      <c r="G661">
        <v>237754</v>
      </c>
      <c r="H661" s="116"/>
      <c r="I661" s="116"/>
      <c r="L661" s="170">
        <v>42976</v>
      </c>
      <c r="M661" s="116">
        <v>60.041488423153197</v>
      </c>
      <c r="N661" s="116">
        <v>61.018043891793901</v>
      </c>
      <c r="O661" s="116">
        <v>59.827122588573602</v>
      </c>
      <c r="P661" s="116">
        <v>60.546439055718601</v>
      </c>
      <c r="Q661" s="116">
        <v>630.20000000000005</v>
      </c>
      <c r="R661">
        <v>3443278</v>
      </c>
    </row>
    <row r="662" spans="1:18" x14ac:dyDescent="0.25">
      <c r="A662" s="170">
        <v>42977</v>
      </c>
      <c r="B662" s="116">
        <v>61.096511874776297</v>
      </c>
      <c r="C662" s="116">
        <v>60.848791124874701</v>
      </c>
      <c r="D662" s="116">
        <v>60.143739759770099</v>
      </c>
      <c r="E662" s="116">
        <v>60.143739759770099</v>
      </c>
      <c r="F662" s="116">
        <v>638.65</v>
      </c>
      <c r="G662">
        <v>373019</v>
      </c>
      <c r="H662" s="116"/>
      <c r="I662" s="116"/>
      <c r="L662" s="170">
        <v>42977</v>
      </c>
      <c r="M662" s="116">
        <v>60.846551224130103</v>
      </c>
      <c r="N662" s="116">
        <v>61.108553910838602</v>
      </c>
      <c r="O662" s="116">
        <v>60.413055869757997</v>
      </c>
      <c r="P662" s="116">
        <v>60.498802203589797</v>
      </c>
      <c r="Q662" s="116">
        <v>638.65</v>
      </c>
      <c r="R662">
        <v>3524171</v>
      </c>
    </row>
    <row r="663" spans="1:18" x14ac:dyDescent="0.25">
      <c r="A663" s="170">
        <v>42978</v>
      </c>
      <c r="B663" s="116">
        <v>61.225136110302202</v>
      </c>
      <c r="C663" s="116">
        <v>60.786860937399297</v>
      </c>
      <c r="D663" s="116">
        <v>60.262836274145798</v>
      </c>
      <c r="E663" s="116">
        <v>60.872610427749798</v>
      </c>
      <c r="F663" s="116">
        <v>638</v>
      </c>
      <c r="G663">
        <v>343580</v>
      </c>
      <c r="H663" s="116"/>
      <c r="I663" s="116"/>
      <c r="L663" s="170">
        <v>42978</v>
      </c>
      <c r="M663" s="116">
        <v>60.789387001575598</v>
      </c>
      <c r="N663" s="116">
        <v>61.260991837650799</v>
      </c>
      <c r="O663" s="116">
        <v>60.232035831668497</v>
      </c>
      <c r="P663" s="116">
        <v>60.684585926892197</v>
      </c>
      <c r="Q663" s="116">
        <v>638.04999999999995</v>
      </c>
      <c r="R663">
        <v>6514220</v>
      </c>
    </row>
    <row r="664" spans="1:18" x14ac:dyDescent="0.25">
      <c r="A664" s="170">
        <v>42979</v>
      </c>
      <c r="B664" s="116">
        <v>62.092158734957799</v>
      </c>
      <c r="C664" s="116">
        <v>61.920659754256697</v>
      </c>
      <c r="D664" s="116">
        <v>60.929776754650199</v>
      </c>
      <c r="E664" s="116">
        <v>61.0726925719012</v>
      </c>
      <c r="F664" s="116">
        <v>649.9</v>
      </c>
      <c r="G664">
        <v>459377</v>
      </c>
      <c r="H664" s="116"/>
      <c r="I664" s="116"/>
      <c r="L664" s="170">
        <v>42979</v>
      </c>
      <c r="M664" s="116">
        <v>62.042236212563303</v>
      </c>
      <c r="N664" s="116">
        <v>62.1899104541626</v>
      </c>
      <c r="O664" s="116">
        <v>60.884660705833198</v>
      </c>
      <c r="P664" s="116">
        <v>60.970407039665098</v>
      </c>
      <c r="Q664" s="116">
        <v>651.20000000000005</v>
      </c>
      <c r="R664">
        <v>6152375</v>
      </c>
    </row>
    <row r="665" spans="1:18" x14ac:dyDescent="0.25">
      <c r="A665" s="170">
        <v>42982</v>
      </c>
      <c r="B665" s="116">
        <v>62.058811710932602</v>
      </c>
      <c r="C665" s="116">
        <v>61.5586063505543</v>
      </c>
      <c r="D665" s="116">
        <v>61.148914341101602</v>
      </c>
      <c r="E665" s="116">
        <v>61.9158958936817</v>
      </c>
      <c r="F665" s="116">
        <v>646.1</v>
      </c>
      <c r="G665">
        <v>268394</v>
      </c>
      <c r="H665" s="116"/>
      <c r="I665" s="116"/>
      <c r="L665" s="170">
        <v>42982</v>
      </c>
      <c r="M665" s="116">
        <v>61.599213487765297</v>
      </c>
      <c r="N665" s="116">
        <v>62.0898730646921</v>
      </c>
      <c r="O665" s="116">
        <v>61.118081281264402</v>
      </c>
      <c r="P665" s="116">
        <v>62.023181471711801</v>
      </c>
      <c r="Q665" s="116">
        <v>646.54999999999995</v>
      </c>
      <c r="R665">
        <v>2411324</v>
      </c>
    </row>
    <row r="666" spans="1:18" x14ac:dyDescent="0.25">
      <c r="A666" s="170">
        <v>42983</v>
      </c>
      <c r="B666" s="116">
        <v>62.368462648309702</v>
      </c>
      <c r="C666" s="116">
        <v>62.030228547482402</v>
      </c>
      <c r="D666" s="116">
        <v>61.572897932279403</v>
      </c>
      <c r="E666" s="116">
        <v>61.6443558409049</v>
      </c>
      <c r="F666" s="116">
        <v>651.04999999999995</v>
      </c>
      <c r="G666">
        <v>470109</v>
      </c>
      <c r="H666" s="116"/>
      <c r="I666" s="116"/>
      <c r="L666" s="170">
        <v>42983</v>
      </c>
      <c r="M666" s="116">
        <v>62.127982546395202</v>
      </c>
      <c r="N666" s="116">
        <v>62.351875751400598</v>
      </c>
      <c r="O666" s="116">
        <v>61.665905080745702</v>
      </c>
      <c r="P666" s="116">
        <v>61.704014562448698</v>
      </c>
      <c r="Q666" s="116">
        <v>652.1</v>
      </c>
      <c r="R666">
        <v>3168850</v>
      </c>
    </row>
    <row r="667" spans="1:18" x14ac:dyDescent="0.25">
      <c r="A667" s="170">
        <v>42984</v>
      </c>
      <c r="B667" s="116">
        <v>62.339879484859502</v>
      </c>
      <c r="C667" s="116">
        <v>62.068339432082702</v>
      </c>
      <c r="D667" s="116">
        <v>61.506203884229002</v>
      </c>
      <c r="E667" s="116">
        <v>61.6443558409049</v>
      </c>
      <c r="F667" s="116">
        <v>651.45000000000005</v>
      </c>
      <c r="G667">
        <v>425008</v>
      </c>
      <c r="H667" s="116"/>
      <c r="I667" s="116"/>
      <c r="L667" s="170">
        <v>42984</v>
      </c>
      <c r="M667" s="116">
        <v>62.213728880227002</v>
      </c>
      <c r="N667" s="116">
        <v>62.509077363425597</v>
      </c>
      <c r="O667" s="116">
        <v>61.499176098294903</v>
      </c>
      <c r="P667" s="116">
        <v>61.651614025107101</v>
      </c>
      <c r="Q667" s="116">
        <v>653</v>
      </c>
      <c r="R667">
        <v>2726474</v>
      </c>
    </row>
    <row r="668" spans="1:18" x14ac:dyDescent="0.25">
      <c r="A668" s="170">
        <v>42985</v>
      </c>
      <c r="B668" s="116">
        <v>62.549489350160798</v>
      </c>
      <c r="C668" s="116">
        <v>62.363698787734599</v>
      </c>
      <c r="D668" s="116">
        <v>61.968298360006997</v>
      </c>
      <c r="E668" s="116">
        <v>62.492323023260496</v>
      </c>
      <c r="F668" s="116">
        <v>654.54999999999995</v>
      </c>
      <c r="G668">
        <v>492075</v>
      </c>
      <c r="H668" s="116"/>
      <c r="I668" s="116"/>
      <c r="L668" s="170">
        <v>42985</v>
      </c>
      <c r="M668" s="116">
        <v>62.1946741393755</v>
      </c>
      <c r="N668" s="116">
        <v>62.594823697257503</v>
      </c>
      <c r="O668" s="116">
        <v>61.956489878731396</v>
      </c>
      <c r="P668" s="116">
        <v>62.594823697257503</v>
      </c>
      <c r="Q668" s="116">
        <v>652.79999999999995</v>
      </c>
      <c r="R668">
        <v>2504395</v>
      </c>
    </row>
    <row r="669" spans="1:18" x14ac:dyDescent="0.25">
      <c r="A669" s="170">
        <v>42986</v>
      </c>
      <c r="B669" s="116">
        <v>63.216429830665199</v>
      </c>
      <c r="C669" s="116">
        <v>62.454212138660203</v>
      </c>
      <c r="D669" s="116">
        <v>62.025464686907398</v>
      </c>
      <c r="E669" s="116">
        <v>62.406573532909903</v>
      </c>
      <c r="F669" s="116">
        <v>655.5</v>
      </c>
      <c r="G669">
        <v>813302</v>
      </c>
      <c r="H669" s="116"/>
      <c r="I669" s="116"/>
      <c r="L669" s="170">
        <v>42986</v>
      </c>
      <c r="M669" s="116">
        <v>62.442385770445298</v>
      </c>
      <c r="N669" s="116">
        <v>63.233157515783603</v>
      </c>
      <c r="O669" s="116">
        <v>62.1041641203308</v>
      </c>
      <c r="P669" s="116">
        <v>62.318529954910403</v>
      </c>
      <c r="Q669" s="116">
        <v>655.4</v>
      </c>
      <c r="R669">
        <v>4712247</v>
      </c>
    </row>
    <row r="670" spans="1:18" x14ac:dyDescent="0.25">
      <c r="A670" s="170">
        <v>42989</v>
      </c>
      <c r="B670" s="116">
        <v>63.121152619164597</v>
      </c>
      <c r="C670" s="116">
        <v>63.006819965363803</v>
      </c>
      <c r="D670" s="116">
        <v>62.225546831058701</v>
      </c>
      <c r="E670" s="116">
        <v>62.501850744410497</v>
      </c>
      <c r="F670" s="116">
        <v>661.3</v>
      </c>
      <c r="G670">
        <v>540909</v>
      </c>
      <c r="H670" s="116"/>
      <c r="I670" s="116"/>
      <c r="L670" s="170">
        <v>42989</v>
      </c>
      <c r="M670" s="116">
        <v>63.128356441100202</v>
      </c>
      <c r="N670" s="116">
        <v>63.247448571422197</v>
      </c>
      <c r="O670" s="116">
        <v>62.175619398523999</v>
      </c>
      <c r="P670" s="116">
        <v>62.594823697257503</v>
      </c>
      <c r="Q670" s="116">
        <v>662.6</v>
      </c>
      <c r="R670">
        <v>3208849</v>
      </c>
    </row>
    <row r="671" spans="1:18" x14ac:dyDescent="0.25">
      <c r="A671" s="170">
        <v>42990</v>
      </c>
      <c r="B671" s="116">
        <v>65.931830358433103</v>
      </c>
      <c r="C671" s="116">
        <v>65.088627036652497</v>
      </c>
      <c r="D671" s="116">
        <v>64.216840551421797</v>
      </c>
      <c r="E671" s="116">
        <v>64.312117762922398</v>
      </c>
      <c r="F671" s="116">
        <v>683.15</v>
      </c>
      <c r="G671">
        <v>620095</v>
      </c>
      <c r="H671" s="116"/>
      <c r="I671" s="116"/>
      <c r="L671" s="170">
        <v>42990</v>
      </c>
      <c r="M671" s="116">
        <v>65.062412637529903</v>
      </c>
      <c r="N671" s="116">
        <v>66.024677050531906</v>
      </c>
      <c r="O671" s="116">
        <v>64.262113521765897</v>
      </c>
      <c r="P671" s="116">
        <v>64.309750373894701</v>
      </c>
      <c r="Q671" s="116">
        <v>682.9</v>
      </c>
      <c r="R671">
        <v>10312267</v>
      </c>
    </row>
    <row r="672" spans="1:18" x14ac:dyDescent="0.25">
      <c r="A672" s="170">
        <v>42991</v>
      </c>
      <c r="B672" s="116">
        <v>65.126737921252797</v>
      </c>
      <c r="C672" s="116">
        <v>64.759920656975396</v>
      </c>
      <c r="D672" s="116">
        <v>64.407394974423099</v>
      </c>
      <c r="E672" s="116">
        <v>64.883781031926205</v>
      </c>
      <c r="F672" s="116">
        <v>679.7</v>
      </c>
      <c r="G672">
        <v>254648</v>
      </c>
      <c r="H672" s="116"/>
      <c r="I672" s="116"/>
      <c r="L672" s="170">
        <v>42991</v>
      </c>
      <c r="M672" s="116">
        <v>64.7527730986926</v>
      </c>
      <c r="N672" s="116">
        <v>65.148158971361795</v>
      </c>
      <c r="O672" s="116">
        <v>64.371678281662099</v>
      </c>
      <c r="P672" s="116">
        <v>64.952847877633602</v>
      </c>
      <c r="Q672" s="116">
        <v>679.65</v>
      </c>
      <c r="R672">
        <v>2353272</v>
      </c>
    </row>
    <row r="673" spans="1:18" x14ac:dyDescent="0.25">
      <c r="A673" s="170">
        <v>42992</v>
      </c>
      <c r="B673" s="116">
        <v>65.145793363552897</v>
      </c>
      <c r="C673" s="116">
        <v>64.564602373399097</v>
      </c>
      <c r="D673" s="116">
        <v>64.078688594745898</v>
      </c>
      <c r="E673" s="116">
        <v>64.602713257999298</v>
      </c>
      <c r="F673" s="116">
        <v>677.65</v>
      </c>
      <c r="G673">
        <v>217976</v>
      </c>
      <c r="H673" s="116"/>
      <c r="I673" s="116"/>
      <c r="L673" s="170">
        <v>42992</v>
      </c>
      <c r="M673" s="116">
        <v>64.566989375390307</v>
      </c>
      <c r="N673" s="116">
        <v>65.133867915723101</v>
      </c>
      <c r="O673" s="116">
        <v>64.033456631547594</v>
      </c>
      <c r="P673" s="116">
        <v>64.738482043054006</v>
      </c>
      <c r="Q673" s="116">
        <v>677.7</v>
      </c>
      <c r="R673">
        <v>1906013</v>
      </c>
    </row>
    <row r="674" spans="1:18" x14ac:dyDescent="0.25">
      <c r="A674" s="170">
        <v>42993</v>
      </c>
      <c r="B674" s="116">
        <v>64.926655777101502</v>
      </c>
      <c r="C674" s="116">
        <v>64.721809772375096</v>
      </c>
      <c r="D674" s="116">
        <v>64.002466825545397</v>
      </c>
      <c r="E674" s="116">
        <v>64.131091061071203</v>
      </c>
      <c r="F674" s="116">
        <v>679.3</v>
      </c>
      <c r="G674">
        <v>240818</v>
      </c>
      <c r="H674" s="116"/>
      <c r="I674" s="116"/>
      <c r="L674" s="170">
        <v>42993</v>
      </c>
      <c r="M674" s="116">
        <v>64.686081505712295</v>
      </c>
      <c r="N674" s="116">
        <v>64.919502081143506</v>
      </c>
      <c r="O674" s="116">
        <v>63.981056094205897</v>
      </c>
      <c r="P674" s="116">
        <v>64.405024078152294</v>
      </c>
      <c r="Q674" s="116">
        <v>678.95</v>
      </c>
      <c r="R674">
        <v>3241869</v>
      </c>
    </row>
    <row r="675" spans="1:18" x14ac:dyDescent="0.25">
      <c r="A675" s="170">
        <v>42996</v>
      </c>
      <c r="B675" s="116">
        <v>64.7551567964003</v>
      </c>
      <c r="C675" s="116">
        <v>64.126327200496206</v>
      </c>
      <c r="D675" s="116">
        <v>63.9119534746198</v>
      </c>
      <c r="E675" s="116">
        <v>64.1739658062465</v>
      </c>
      <c r="F675" s="116">
        <v>673.05</v>
      </c>
      <c r="G675">
        <v>290398</v>
      </c>
      <c r="H675" s="116"/>
      <c r="I675" s="116"/>
      <c r="L675" s="170">
        <v>42996</v>
      </c>
      <c r="M675" s="116">
        <v>64.1096755949537</v>
      </c>
      <c r="N675" s="116">
        <v>65.071940007955703</v>
      </c>
      <c r="O675" s="116">
        <v>63.938182927290001</v>
      </c>
      <c r="P675" s="116">
        <v>64.405024078152294</v>
      </c>
      <c r="Q675" s="116">
        <v>672.9</v>
      </c>
      <c r="R675">
        <v>2293247</v>
      </c>
    </row>
    <row r="676" spans="1:18" x14ac:dyDescent="0.25">
      <c r="A676" s="170">
        <v>42997</v>
      </c>
      <c r="B676" s="116">
        <v>64.931419637676498</v>
      </c>
      <c r="C676" s="116">
        <v>64.459797440748403</v>
      </c>
      <c r="D676" s="116">
        <v>63.835731705419299</v>
      </c>
      <c r="E676" s="116">
        <v>63.835731705419299</v>
      </c>
      <c r="F676" s="116">
        <v>676.55</v>
      </c>
      <c r="G676">
        <v>226954</v>
      </c>
      <c r="H676" s="116"/>
      <c r="I676" s="116"/>
      <c r="L676" s="170">
        <v>42997</v>
      </c>
      <c r="M676" s="116">
        <v>64.443133559855397</v>
      </c>
      <c r="N676" s="116">
        <v>64.914738395930598</v>
      </c>
      <c r="O676" s="116">
        <v>64.119202965379401</v>
      </c>
      <c r="P676" s="116">
        <v>64.185894558359806</v>
      </c>
      <c r="Q676" s="116">
        <v>676.4</v>
      </c>
      <c r="R676">
        <v>3708821</v>
      </c>
    </row>
    <row r="677" spans="1:18" x14ac:dyDescent="0.25">
      <c r="A677" s="170">
        <v>42998</v>
      </c>
      <c r="B677" s="116">
        <v>65.841317007507499</v>
      </c>
      <c r="C677" s="116">
        <v>65.517374488405295</v>
      </c>
      <c r="D677" s="116">
        <v>64.245423714872004</v>
      </c>
      <c r="E677" s="116">
        <v>64.588421676274194</v>
      </c>
      <c r="F677" s="116">
        <v>687.65</v>
      </c>
      <c r="G677">
        <v>649972</v>
      </c>
      <c r="H677" s="116"/>
      <c r="I677" s="116"/>
      <c r="L677" s="170">
        <v>42998</v>
      </c>
      <c r="M677" s="116">
        <v>65.514962732753602</v>
      </c>
      <c r="N677" s="116">
        <v>65.910348605422698</v>
      </c>
      <c r="O677" s="116">
        <v>64.257349836553004</v>
      </c>
      <c r="P677" s="116">
        <v>64.424078819003796</v>
      </c>
      <c r="Q677" s="116">
        <v>687.65</v>
      </c>
      <c r="R677">
        <v>8780970</v>
      </c>
    </row>
    <row r="678" spans="1:18" x14ac:dyDescent="0.25">
      <c r="A678" s="170">
        <v>42999</v>
      </c>
      <c r="B678" s="116">
        <v>66.365341670760898</v>
      </c>
      <c r="C678" s="116">
        <v>65.441152719204894</v>
      </c>
      <c r="D678" s="116">
        <v>64.931419637676498</v>
      </c>
      <c r="E678" s="116">
        <v>66.198606550634807</v>
      </c>
      <c r="F678" s="116">
        <v>686.85</v>
      </c>
      <c r="G678">
        <v>470807</v>
      </c>
      <c r="H678" s="116"/>
      <c r="I678" s="116"/>
      <c r="L678" s="170">
        <v>42999</v>
      </c>
      <c r="M678" s="116">
        <v>65.462562195411905</v>
      </c>
      <c r="N678" s="116">
        <v>66.334316589369195</v>
      </c>
      <c r="O678" s="116">
        <v>64.900447340291905</v>
      </c>
      <c r="P678" s="116">
        <v>66.100896013937998</v>
      </c>
      <c r="Q678" s="116">
        <v>687.1</v>
      </c>
      <c r="R678">
        <v>6132440</v>
      </c>
    </row>
    <row r="679" spans="1:18" x14ac:dyDescent="0.25">
      <c r="A679" s="170">
        <v>43000</v>
      </c>
      <c r="B679" s="116">
        <v>65.312528483679003</v>
      </c>
      <c r="C679" s="116">
        <v>62.363698787734599</v>
      </c>
      <c r="D679" s="116">
        <v>62.139797340708199</v>
      </c>
      <c r="E679" s="116">
        <v>65.312528483679003</v>
      </c>
      <c r="F679" s="116">
        <v>654.54999999999995</v>
      </c>
      <c r="G679">
        <v>373434</v>
      </c>
      <c r="H679" s="116"/>
      <c r="I679" s="116"/>
      <c r="L679" s="170">
        <v>43000</v>
      </c>
      <c r="M679" s="116">
        <v>62.309002584484602</v>
      </c>
      <c r="N679" s="116">
        <v>65.167213712213297</v>
      </c>
      <c r="O679" s="116">
        <v>62.023181471711801</v>
      </c>
      <c r="P679" s="116">
        <v>65.167213712213297</v>
      </c>
      <c r="Q679" s="116">
        <v>654</v>
      </c>
      <c r="R679">
        <v>4418928</v>
      </c>
    </row>
    <row r="680" spans="1:18" x14ac:dyDescent="0.25">
      <c r="A680" s="170">
        <v>43003</v>
      </c>
      <c r="B680" s="116">
        <v>62.358934927159602</v>
      </c>
      <c r="C680" s="116">
        <v>60.991706942125603</v>
      </c>
      <c r="D680" s="116">
        <v>59.3577027648899</v>
      </c>
      <c r="E680" s="116">
        <v>62.358934927159602</v>
      </c>
      <c r="F680" s="116">
        <v>640.15</v>
      </c>
      <c r="G680">
        <v>618351</v>
      </c>
      <c r="H680" s="116"/>
      <c r="I680" s="116"/>
      <c r="L680" s="170">
        <v>43003</v>
      </c>
      <c r="M680" s="116">
        <v>60.951352298813497</v>
      </c>
      <c r="N680" s="116">
        <v>62.423331029593797</v>
      </c>
      <c r="O680" s="116">
        <v>59.365045122924101</v>
      </c>
      <c r="P680" s="116">
        <v>62.404276288742302</v>
      </c>
      <c r="Q680" s="116">
        <v>639.75</v>
      </c>
      <c r="R680">
        <v>7063975</v>
      </c>
    </row>
    <row r="681" spans="1:18" x14ac:dyDescent="0.25">
      <c r="A681" s="170">
        <v>43004</v>
      </c>
      <c r="B681" s="116">
        <v>62.597127955911198</v>
      </c>
      <c r="C681" s="116">
        <v>62.325587903134398</v>
      </c>
      <c r="D681" s="116">
        <v>60.929776754650199</v>
      </c>
      <c r="E681" s="116">
        <v>60.991706942125603</v>
      </c>
      <c r="F681" s="116">
        <v>654.15</v>
      </c>
      <c r="G681">
        <v>584752</v>
      </c>
      <c r="H681" s="116"/>
      <c r="I681" s="116"/>
      <c r="L681" s="170">
        <v>43004</v>
      </c>
      <c r="M681" s="116">
        <v>62.318529954910403</v>
      </c>
      <c r="N681" s="116">
        <v>62.594823697257503</v>
      </c>
      <c r="O681" s="116">
        <v>60.865605964981697</v>
      </c>
      <c r="P681" s="116">
        <v>61.213354985522002</v>
      </c>
      <c r="Q681" s="116">
        <v>654.1</v>
      </c>
      <c r="R681">
        <v>3948737</v>
      </c>
    </row>
    <row r="682" spans="1:18" x14ac:dyDescent="0.25">
      <c r="A682" s="170">
        <v>43005</v>
      </c>
      <c r="B682" s="116">
        <v>62.978236801913702</v>
      </c>
      <c r="C682" s="116">
        <v>61.772980076430699</v>
      </c>
      <c r="D682" s="116">
        <v>61.3156494612277</v>
      </c>
      <c r="E682" s="116">
        <v>62.863904148112901</v>
      </c>
      <c r="F682" s="116">
        <v>648.35</v>
      </c>
      <c r="G682">
        <v>395096</v>
      </c>
      <c r="H682" s="116"/>
      <c r="I682" s="116"/>
      <c r="L682" s="170">
        <v>43005</v>
      </c>
      <c r="M682" s="116">
        <v>61.865979859686703</v>
      </c>
      <c r="N682" s="116">
        <v>62.880644810030397</v>
      </c>
      <c r="O682" s="116">
        <v>61.265755522863699</v>
      </c>
      <c r="P682" s="116">
        <v>62.880644810030397</v>
      </c>
      <c r="Q682" s="116">
        <v>649.35</v>
      </c>
      <c r="R682">
        <v>4959812</v>
      </c>
    </row>
    <row r="683" spans="1:18" x14ac:dyDescent="0.25">
      <c r="A683" s="170">
        <v>43006</v>
      </c>
      <c r="B683" s="116">
        <v>62.539961629010797</v>
      </c>
      <c r="C683" s="116">
        <v>61.9254236148318</v>
      </c>
      <c r="D683" s="116">
        <v>61.287066297777599</v>
      </c>
      <c r="E683" s="116">
        <v>61.963534499432001</v>
      </c>
      <c r="F683" s="116">
        <v>649.95000000000005</v>
      </c>
      <c r="G683">
        <v>281597</v>
      </c>
      <c r="H683" s="116"/>
      <c r="I683" s="116"/>
      <c r="L683" s="170">
        <v>43006</v>
      </c>
      <c r="M683" s="116">
        <v>61.899325656176899</v>
      </c>
      <c r="N683" s="116">
        <v>62.547186845128699</v>
      </c>
      <c r="O683" s="116">
        <v>61.227646041160597</v>
      </c>
      <c r="P683" s="116">
        <v>62.204201509801301</v>
      </c>
      <c r="Q683" s="116">
        <v>649.70000000000005</v>
      </c>
      <c r="R683">
        <v>6579011</v>
      </c>
    </row>
    <row r="684" spans="1:18" x14ac:dyDescent="0.25">
      <c r="A684" s="170">
        <v>43007</v>
      </c>
      <c r="B684" s="116">
        <v>62.549489350160798</v>
      </c>
      <c r="C684" s="116">
        <v>62.030228547482402</v>
      </c>
      <c r="D684" s="116">
        <v>61.825382542756103</v>
      </c>
      <c r="E684" s="116">
        <v>62.025464686907398</v>
      </c>
      <c r="F684" s="116">
        <v>651.04999999999995</v>
      </c>
      <c r="G684">
        <v>147656</v>
      </c>
      <c r="H684" s="116"/>
      <c r="I684" s="116"/>
      <c r="L684" s="170">
        <v>43007</v>
      </c>
      <c r="M684" s="116">
        <v>62.170855713311099</v>
      </c>
      <c r="N684" s="116">
        <v>62.594823697257503</v>
      </c>
      <c r="O684" s="116">
        <v>61.932671452667002</v>
      </c>
      <c r="P684" s="116">
        <v>62.385221547890701</v>
      </c>
      <c r="Q684" s="116">
        <v>652.54999999999995</v>
      </c>
      <c r="R684">
        <v>2838861</v>
      </c>
    </row>
    <row r="685" spans="1:18" x14ac:dyDescent="0.25">
      <c r="A685" s="170">
        <v>43011</v>
      </c>
      <c r="B685" s="116">
        <v>63.3593456479162</v>
      </c>
      <c r="C685" s="116">
        <v>62.944889777888399</v>
      </c>
      <c r="D685" s="116">
        <v>62.411337393484899</v>
      </c>
      <c r="E685" s="116">
        <v>62.411337393484899</v>
      </c>
      <c r="F685" s="116">
        <v>660.65</v>
      </c>
      <c r="G685">
        <v>160962</v>
      </c>
      <c r="H685" s="116"/>
      <c r="I685" s="116"/>
      <c r="L685" s="170">
        <v>43011</v>
      </c>
      <c r="M685" s="116">
        <v>62.956863773436503</v>
      </c>
      <c r="N685" s="116">
        <v>63.442759665150298</v>
      </c>
      <c r="O685" s="116">
        <v>62.547186845128699</v>
      </c>
      <c r="P685" s="116">
        <v>62.547186845128699</v>
      </c>
      <c r="Q685" s="116">
        <v>660.8</v>
      </c>
      <c r="R685">
        <v>2849961</v>
      </c>
    </row>
    <row r="686" spans="1:18" x14ac:dyDescent="0.25">
      <c r="A686" s="170">
        <v>43012</v>
      </c>
      <c r="B686" s="116">
        <v>63.121152619164597</v>
      </c>
      <c r="C686" s="116">
        <v>62.7590992154622</v>
      </c>
      <c r="D686" s="116">
        <v>62.335115624284398</v>
      </c>
      <c r="E686" s="116">
        <v>62.611419537636301</v>
      </c>
      <c r="F686" s="116">
        <v>658.7</v>
      </c>
      <c r="G686">
        <v>272720</v>
      </c>
      <c r="H686" s="116"/>
      <c r="I686" s="116"/>
      <c r="L686" s="170">
        <v>43012</v>
      </c>
      <c r="M686" s="116">
        <v>62.785371105772697</v>
      </c>
      <c r="N686" s="116">
        <v>63.123592755887302</v>
      </c>
      <c r="O686" s="116">
        <v>62.351875751400598</v>
      </c>
      <c r="P686" s="116">
        <v>62.9187542917334</v>
      </c>
      <c r="Q686" s="116">
        <v>659</v>
      </c>
      <c r="R686">
        <v>2784555</v>
      </c>
    </row>
    <row r="687" spans="1:18" x14ac:dyDescent="0.25">
      <c r="A687" s="170">
        <v>43013</v>
      </c>
      <c r="B687" s="116">
        <v>63.335526345041004</v>
      </c>
      <c r="C687" s="116">
        <v>62.902015032713201</v>
      </c>
      <c r="D687" s="116">
        <v>62.601891816486201</v>
      </c>
      <c r="E687" s="116">
        <v>62.7876823789124</v>
      </c>
      <c r="F687" s="116">
        <v>660.2</v>
      </c>
      <c r="G687">
        <v>147127</v>
      </c>
      <c r="H687" s="116"/>
      <c r="I687" s="116"/>
      <c r="L687" s="170">
        <v>43013</v>
      </c>
      <c r="M687" s="116">
        <v>62.975918514287997</v>
      </c>
      <c r="N687" s="116">
        <v>63.390359127808601</v>
      </c>
      <c r="O687" s="116">
        <v>62.6376968641734</v>
      </c>
      <c r="P687" s="116">
        <v>62.690097401515096</v>
      </c>
      <c r="Q687" s="116">
        <v>661</v>
      </c>
      <c r="R687">
        <v>1552614</v>
      </c>
    </row>
    <row r="688" spans="1:18" x14ac:dyDescent="0.25">
      <c r="A688" s="170">
        <v>43014</v>
      </c>
      <c r="B688" s="116">
        <v>66.112857060284298</v>
      </c>
      <c r="C688" s="116">
        <v>65.874664031532703</v>
      </c>
      <c r="D688" s="116">
        <v>63.268832296990603</v>
      </c>
      <c r="E688" s="116">
        <v>63.3498179267661</v>
      </c>
      <c r="F688" s="116">
        <v>691.4</v>
      </c>
      <c r="G688">
        <v>629841</v>
      </c>
      <c r="H688" s="116"/>
      <c r="I688" s="116"/>
      <c r="L688" s="170">
        <v>43014</v>
      </c>
      <c r="M688" s="116">
        <v>65.877002808932602</v>
      </c>
      <c r="N688" s="116">
        <v>66.100896013937998</v>
      </c>
      <c r="O688" s="116">
        <v>63.361777016531299</v>
      </c>
      <c r="P688" s="116">
        <v>63.3808317573829</v>
      </c>
      <c r="Q688" s="116">
        <v>691.45</v>
      </c>
      <c r="R688">
        <v>9464812</v>
      </c>
    </row>
    <row r="689" spans="1:18" x14ac:dyDescent="0.25">
      <c r="A689" s="170">
        <v>43017</v>
      </c>
      <c r="B689" s="116">
        <v>67.0608653147155</v>
      </c>
      <c r="C689" s="116">
        <v>66.422507997661299</v>
      </c>
      <c r="D689" s="116">
        <v>65.931830358433103</v>
      </c>
      <c r="E689" s="116">
        <v>65.950885800733204</v>
      </c>
      <c r="F689" s="116">
        <v>697.15</v>
      </c>
      <c r="G689">
        <v>305136</v>
      </c>
      <c r="H689" s="116"/>
      <c r="I689" s="116"/>
      <c r="L689" s="170">
        <v>43017</v>
      </c>
      <c r="M689" s="116">
        <v>66.429590293626802</v>
      </c>
      <c r="N689" s="116">
        <v>67.110797279068805</v>
      </c>
      <c r="O689" s="116">
        <v>65.891293864571196</v>
      </c>
      <c r="P689" s="116">
        <v>66.024677050531906</v>
      </c>
      <c r="Q689" s="116">
        <v>697.25</v>
      </c>
      <c r="R689">
        <v>5619102</v>
      </c>
    </row>
    <row r="690" spans="1:18" x14ac:dyDescent="0.25">
      <c r="A690" s="170">
        <v>43018</v>
      </c>
      <c r="B690" s="116">
        <v>67.0608653147155</v>
      </c>
      <c r="C690" s="116">
        <v>65.803206122907199</v>
      </c>
      <c r="D690" s="116">
        <v>65.269653738503706</v>
      </c>
      <c r="E690" s="116">
        <v>66.655937165837798</v>
      </c>
      <c r="F690" s="116">
        <v>690.65</v>
      </c>
      <c r="G690">
        <v>733235</v>
      </c>
      <c r="H690" s="116"/>
      <c r="I690" s="116"/>
      <c r="L690" s="170">
        <v>43018</v>
      </c>
      <c r="M690" s="116">
        <v>65.815074901165104</v>
      </c>
      <c r="N690" s="116">
        <v>67.086978853004396</v>
      </c>
      <c r="O690" s="116">
        <v>65.272014786896705</v>
      </c>
      <c r="P690" s="116">
        <v>66.782102999380001</v>
      </c>
      <c r="Q690" s="116">
        <v>690.8</v>
      </c>
      <c r="R690">
        <v>4197902</v>
      </c>
    </row>
    <row r="691" spans="1:18" x14ac:dyDescent="0.25">
      <c r="A691" s="170">
        <v>43019</v>
      </c>
      <c r="B691" s="116">
        <v>66.513021348586904</v>
      </c>
      <c r="C691" s="116">
        <v>64.883781031926205</v>
      </c>
      <c r="D691" s="116">
        <v>64.183493527396607</v>
      </c>
      <c r="E691" s="116">
        <v>66.217661992935007</v>
      </c>
      <c r="F691" s="116">
        <v>681</v>
      </c>
      <c r="G691">
        <v>258911</v>
      </c>
      <c r="H691" s="116"/>
      <c r="I691" s="116"/>
      <c r="L691" s="170">
        <v>43019</v>
      </c>
      <c r="M691" s="116">
        <v>65.005248414975298</v>
      </c>
      <c r="N691" s="116">
        <v>66.577264535226107</v>
      </c>
      <c r="O691" s="116">
        <v>64.147785076656703</v>
      </c>
      <c r="P691" s="116">
        <v>66.167587606918303</v>
      </c>
      <c r="Q691" s="116">
        <v>682.3</v>
      </c>
      <c r="R691">
        <v>4191994</v>
      </c>
    </row>
    <row r="692" spans="1:18" x14ac:dyDescent="0.25">
      <c r="A692" s="170">
        <v>43020</v>
      </c>
      <c r="B692" s="116">
        <v>65.988996685333404</v>
      </c>
      <c r="C692" s="116">
        <v>65.822261565207299</v>
      </c>
      <c r="D692" s="116">
        <v>64.917128055951395</v>
      </c>
      <c r="E692" s="116">
        <v>65.260126017353699</v>
      </c>
      <c r="F692" s="116">
        <v>690.85</v>
      </c>
      <c r="G692">
        <v>379286</v>
      </c>
      <c r="H692" s="116"/>
      <c r="I692" s="116"/>
      <c r="L692" s="170">
        <v>43020</v>
      </c>
      <c r="M692" s="116">
        <v>65.891293864571196</v>
      </c>
      <c r="N692" s="116">
        <v>66.100896013937998</v>
      </c>
      <c r="O692" s="116">
        <v>64.919502081143506</v>
      </c>
      <c r="P692" s="116">
        <v>65.548308529243798</v>
      </c>
      <c r="Q692" s="116">
        <v>691.6</v>
      </c>
      <c r="R692">
        <v>4524341</v>
      </c>
    </row>
    <row r="693" spans="1:18" x14ac:dyDescent="0.25">
      <c r="A693" s="170">
        <v>43021</v>
      </c>
      <c r="B693" s="116">
        <v>68.208955713297996</v>
      </c>
      <c r="C693" s="116">
        <v>67.703986492344697</v>
      </c>
      <c r="D693" s="116">
        <v>66.217661992935007</v>
      </c>
      <c r="E693" s="116">
        <v>66.217661992935007</v>
      </c>
      <c r="F693" s="116">
        <v>710.6</v>
      </c>
      <c r="G693">
        <v>936225</v>
      </c>
      <c r="H693" s="116"/>
      <c r="I693" s="116"/>
      <c r="L693" s="170">
        <v>43021</v>
      </c>
      <c r="M693" s="116">
        <v>67.725312671530403</v>
      </c>
      <c r="N693" s="116">
        <v>68.354119119630695</v>
      </c>
      <c r="O693" s="116">
        <v>66.215224459047107</v>
      </c>
      <c r="P693" s="116">
        <v>66.458172404904104</v>
      </c>
      <c r="Q693" s="116">
        <v>710.85</v>
      </c>
      <c r="R693">
        <v>9628769</v>
      </c>
    </row>
    <row r="694" spans="1:18" x14ac:dyDescent="0.25">
      <c r="A694" s="170">
        <v>43024</v>
      </c>
      <c r="B694" s="116">
        <v>68.547189814125204</v>
      </c>
      <c r="C694" s="116">
        <v>68.161317107547703</v>
      </c>
      <c r="D694" s="116">
        <v>67.823083006720495</v>
      </c>
      <c r="E694" s="116">
        <v>67.846902309595606</v>
      </c>
      <c r="F694" s="116">
        <v>715.4</v>
      </c>
      <c r="G694">
        <v>227371</v>
      </c>
      <c r="H694" s="116"/>
      <c r="I694" s="116"/>
      <c r="L694" s="170">
        <v>43024</v>
      </c>
      <c r="M694" s="116">
        <v>68.115934858986705</v>
      </c>
      <c r="N694" s="116">
        <v>68.549430213358903</v>
      </c>
      <c r="O694" s="116">
        <v>67.801531634936495</v>
      </c>
      <c r="P694" s="116">
        <v>67.9492058765358</v>
      </c>
      <c r="Q694" s="116">
        <v>714.95</v>
      </c>
      <c r="R694">
        <v>4213048</v>
      </c>
    </row>
    <row r="695" spans="1:18" x14ac:dyDescent="0.25">
      <c r="A695" s="170">
        <v>43025</v>
      </c>
      <c r="B695" s="116">
        <v>68.356635391124001</v>
      </c>
      <c r="C695" s="116">
        <v>67.880249333620895</v>
      </c>
      <c r="D695" s="116">
        <v>67.494376627043295</v>
      </c>
      <c r="E695" s="116">
        <v>67.9898181268466</v>
      </c>
      <c r="F695" s="116">
        <v>712.45</v>
      </c>
      <c r="G695">
        <v>311977</v>
      </c>
      <c r="H695" s="116"/>
      <c r="I695" s="116"/>
      <c r="L695" s="170">
        <v>43025</v>
      </c>
      <c r="M695" s="116">
        <v>67.882514283555494</v>
      </c>
      <c r="N695" s="116">
        <v>68.425574397823993</v>
      </c>
      <c r="O695" s="116">
        <v>67.4966557813121</v>
      </c>
      <c r="P695" s="116">
        <v>68.115934858986705</v>
      </c>
      <c r="Q695" s="116">
        <v>712.5</v>
      </c>
      <c r="R695">
        <v>2801245</v>
      </c>
    </row>
    <row r="696" spans="1:18" x14ac:dyDescent="0.25">
      <c r="A696" s="170">
        <v>43026</v>
      </c>
      <c r="B696" s="116">
        <v>68.399510136299298</v>
      </c>
      <c r="C696" s="116">
        <v>67.584889977968899</v>
      </c>
      <c r="D696" s="116">
        <v>67.3705162520925</v>
      </c>
      <c r="E696" s="116">
        <v>68.027929011446801</v>
      </c>
      <c r="F696" s="116">
        <v>709.35</v>
      </c>
      <c r="G696">
        <v>216386</v>
      </c>
      <c r="H696" s="116"/>
      <c r="I696" s="116"/>
      <c r="L696" s="170">
        <v>43026</v>
      </c>
      <c r="M696" s="116">
        <v>67.606220541208401</v>
      </c>
      <c r="N696" s="116">
        <v>68.387464916120905</v>
      </c>
      <c r="O696" s="116">
        <v>67.368036280564397</v>
      </c>
      <c r="P696" s="116">
        <v>68.201681192818498</v>
      </c>
      <c r="Q696" s="116">
        <v>709.6</v>
      </c>
      <c r="R696">
        <v>3401417</v>
      </c>
    </row>
    <row r="697" spans="1:18" x14ac:dyDescent="0.25">
      <c r="A697" s="170">
        <v>43027</v>
      </c>
      <c r="B697" s="116">
        <v>67.784972122120195</v>
      </c>
      <c r="C697" s="116">
        <v>67.113267781040804</v>
      </c>
      <c r="D697" s="116">
        <v>66.817908425388893</v>
      </c>
      <c r="E697" s="116">
        <v>67.503904348193402</v>
      </c>
      <c r="F697" s="116">
        <v>704.4</v>
      </c>
      <c r="G697">
        <v>54977</v>
      </c>
      <c r="H697" s="116"/>
      <c r="I697" s="116"/>
      <c r="L697" s="170">
        <v>43027</v>
      </c>
      <c r="M697" s="116">
        <v>67.215598353752199</v>
      </c>
      <c r="N697" s="116">
        <v>67.739603727169097</v>
      </c>
      <c r="O697" s="116">
        <v>66.967886722682294</v>
      </c>
      <c r="P697" s="116">
        <v>67.534765263015203</v>
      </c>
      <c r="Q697" s="116">
        <v>705.5</v>
      </c>
      <c r="R697">
        <v>410438</v>
      </c>
    </row>
    <row r="698" spans="1:18" x14ac:dyDescent="0.25">
      <c r="A698" s="170">
        <v>43031</v>
      </c>
      <c r="B698" s="116">
        <v>67.980290405696493</v>
      </c>
      <c r="C698" s="116">
        <v>67.775444400970201</v>
      </c>
      <c r="D698" s="116">
        <v>67.075156896440603</v>
      </c>
      <c r="E698" s="116">
        <v>67.475321184743194</v>
      </c>
      <c r="F698" s="116">
        <v>711.35</v>
      </c>
      <c r="G698">
        <v>203775</v>
      </c>
      <c r="H698" s="116"/>
      <c r="I698" s="116"/>
      <c r="L698" s="170">
        <v>43031</v>
      </c>
      <c r="M698" s="116">
        <v>67.834877431426705</v>
      </c>
      <c r="N698" s="116">
        <v>68.058770636432101</v>
      </c>
      <c r="O698" s="116">
        <v>67.234653094603701</v>
      </c>
      <c r="P698" s="116">
        <v>67.320399428435493</v>
      </c>
      <c r="Q698" s="116">
        <v>712</v>
      </c>
      <c r="R698">
        <v>2719954</v>
      </c>
    </row>
    <row r="699" spans="1:18" x14ac:dyDescent="0.25">
      <c r="A699" s="170">
        <v>43032</v>
      </c>
      <c r="B699" s="116">
        <v>69.361809972455603</v>
      </c>
      <c r="C699" s="116">
        <v>68.542425953550193</v>
      </c>
      <c r="D699" s="116">
        <v>68.085095338347202</v>
      </c>
      <c r="E699" s="116">
        <v>68.123206222947502</v>
      </c>
      <c r="F699" s="116">
        <v>719.4</v>
      </c>
      <c r="G699">
        <v>274776</v>
      </c>
      <c r="H699" s="116"/>
      <c r="I699" s="116"/>
      <c r="L699" s="170">
        <v>43032</v>
      </c>
      <c r="M699" s="116">
        <v>68.530375472507302</v>
      </c>
      <c r="N699" s="116">
        <v>69.387838810825897</v>
      </c>
      <c r="O699" s="116">
        <v>68.030188525154799</v>
      </c>
      <c r="P699" s="116">
        <v>68.282663841437497</v>
      </c>
      <c r="Q699" s="116">
        <v>719.3</v>
      </c>
      <c r="R699">
        <v>4555003</v>
      </c>
    </row>
    <row r="700" spans="1:18" x14ac:dyDescent="0.25">
      <c r="A700" s="170">
        <v>43033</v>
      </c>
      <c r="B700" s="116">
        <v>69.204602573479605</v>
      </c>
      <c r="C700" s="116">
        <v>68.323288367098797</v>
      </c>
      <c r="D700" s="116">
        <v>67.670639468319493</v>
      </c>
      <c r="E700" s="116">
        <v>68.599592280450594</v>
      </c>
      <c r="F700" s="116">
        <v>717.1</v>
      </c>
      <c r="G700">
        <v>238702</v>
      </c>
      <c r="H700" s="116"/>
      <c r="I700" s="116"/>
      <c r="L700" s="170">
        <v>43033</v>
      </c>
      <c r="M700" s="116">
        <v>68.368410175269403</v>
      </c>
      <c r="N700" s="116">
        <v>69.2354008840137</v>
      </c>
      <c r="O700" s="116">
        <v>67.596693170782601</v>
      </c>
      <c r="P700" s="116">
        <v>68.792378159215801</v>
      </c>
      <c r="Q700" s="116">
        <v>717.6</v>
      </c>
      <c r="R700">
        <v>3164905</v>
      </c>
    </row>
    <row r="701" spans="1:18" x14ac:dyDescent="0.25">
      <c r="A701" s="170">
        <v>43034</v>
      </c>
      <c r="B701" s="116">
        <v>69.823904448233606</v>
      </c>
      <c r="C701" s="116">
        <v>69.499961929131501</v>
      </c>
      <c r="D701" s="116">
        <v>68.137497804672506</v>
      </c>
      <c r="E701" s="116">
        <v>68.313760645948705</v>
      </c>
      <c r="F701" s="116">
        <v>729.45</v>
      </c>
      <c r="G701">
        <v>277968</v>
      </c>
      <c r="H701" s="116"/>
      <c r="I701" s="116"/>
      <c r="L701" s="170">
        <v>43034</v>
      </c>
      <c r="M701" s="116">
        <v>69.473585144657804</v>
      </c>
      <c r="N701" s="116">
        <v>69.816570479985202</v>
      </c>
      <c r="O701" s="116">
        <v>68.196917507605704</v>
      </c>
      <c r="P701" s="116">
        <v>68.377937545695104</v>
      </c>
      <c r="Q701" s="116">
        <v>729.2</v>
      </c>
      <c r="R701">
        <v>5666479</v>
      </c>
    </row>
    <row r="702" spans="1:18" x14ac:dyDescent="0.25">
      <c r="A702" s="170">
        <v>43035</v>
      </c>
      <c r="B702" s="116">
        <v>69.971584126059597</v>
      </c>
      <c r="C702" s="116">
        <v>69.195074852329498</v>
      </c>
      <c r="D702" s="116">
        <v>68.909243217827594</v>
      </c>
      <c r="E702" s="116">
        <v>69.557128256031902</v>
      </c>
      <c r="F702" s="116">
        <v>726.25</v>
      </c>
      <c r="G702">
        <v>340133</v>
      </c>
      <c r="H702" s="116"/>
      <c r="I702" s="116"/>
      <c r="L702" s="170">
        <v>43035</v>
      </c>
      <c r="M702" s="116">
        <v>69.2449282544395</v>
      </c>
      <c r="N702" s="116">
        <v>70.002354203287595</v>
      </c>
      <c r="O702" s="116">
        <v>68.844778696557498</v>
      </c>
      <c r="P702" s="116">
        <v>69.826097850411003</v>
      </c>
      <c r="Q702" s="116">
        <v>726.8</v>
      </c>
      <c r="R702">
        <v>2777068</v>
      </c>
    </row>
    <row r="703" spans="1:18" x14ac:dyDescent="0.25">
      <c r="A703" s="170">
        <v>43038</v>
      </c>
      <c r="B703" s="116">
        <v>70.019222731809904</v>
      </c>
      <c r="C703" s="116">
        <v>68.485259626649807</v>
      </c>
      <c r="D703" s="116">
        <v>68.027929011446801</v>
      </c>
      <c r="E703" s="116">
        <v>69.552364395456806</v>
      </c>
      <c r="F703" s="116">
        <v>718.8</v>
      </c>
      <c r="G703">
        <v>437508</v>
      </c>
      <c r="H703" s="116"/>
      <c r="I703" s="116"/>
      <c r="L703" s="170">
        <v>43038</v>
      </c>
      <c r="M703" s="116">
        <v>68.430338083036801</v>
      </c>
      <c r="N703" s="116">
        <v>70.026172629352004</v>
      </c>
      <c r="O703" s="116">
        <v>67.944442191323006</v>
      </c>
      <c r="P703" s="116">
        <v>69.540276737638095</v>
      </c>
      <c r="Q703" s="116">
        <v>718.25</v>
      </c>
      <c r="R703">
        <v>5046825</v>
      </c>
    </row>
    <row r="704" spans="1:18" x14ac:dyDescent="0.25">
      <c r="A704" s="170">
        <v>43039</v>
      </c>
      <c r="B704" s="116">
        <v>69.542836674306798</v>
      </c>
      <c r="C704" s="116">
        <v>67.041809872415399</v>
      </c>
      <c r="D704" s="116">
        <v>66.408216415936195</v>
      </c>
      <c r="E704" s="116">
        <v>69.0759783379537</v>
      </c>
      <c r="F704" s="116">
        <v>703.65</v>
      </c>
      <c r="G704">
        <v>1096301</v>
      </c>
      <c r="H704" s="116"/>
      <c r="I704" s="116"/>
      <c r="L704" s="170">
        <v>43039</v>
      </c>
      <c r="M704" s="116">
        <v>67.053633056514201</v>
      </c>
      <c r="N704" s="116">
        <v>69.530749367212394</v>
      </c>
      <c r="O704" s="116">
        <v>66.424826608413895</v>
      </c>
      <c r="P704" s="116">
        <v>68.978161882518194</v>
      </c>
      <c r="Q704" s="116">
        <v>703.8</v>
      </c>
      <c r="R704">
        <v>13545468</v>
      </c>
    </row>
    <row r="705" spans="1:18" x14ac:dyDescent="0.25">
      <c r="A705" s="170">
        <v>43040</v>
      </c>
      <c r="B705" s="116">
        <v>68.323288367098797</v>
      </c>
      <c r="C705" s="116">
        <v>67.365752391517503</v>
      </c>
      <c r="D705" s="116">
        <v>67.041809872415399</v>
      </c>
      <c r="E705" s="116">
        <v>67.360988530942507</v>
      </c>
      <c r="F705" s="116">
        <v>707.05</v>
      </c>
      <c r="G705">
        <v>477416</v>
      </c>
      <c r="H705" s="116"/>
      <c r="I705" s="116"/>
      <c r="L705" s="170">
        <v>43040</v>
      </c>
      <c r="M705" s="116">
        <v>67.387091021415898</v>
      </c>
      <c r="N705" s="116">
        <v>68.311245952714799</v>
      </c>
      <c r="O705" s="116">
        <v>67.034578315662699</v>
      </c>
      <c r="P705" s="116">
        <v>67.982551673025995</v>
      </c>
      <c r="Q705" s="116">
        <v>707.3</v>
      </c>
      <c r="R705">
        <v>5458694</v>
      </c>
    </row>
    <row r="706" spans="1:18" x14ac:dyDescent="0.25">
      <c r="A706" s="170">
        <v>43041</v>
      </c>
      <c r="B706" s="116">
        <v>67.618237001994103</v>
      </c>
      <c r="C706" s="116">
        <v>67.265711319441806</v>
      </c>
      <c r="D706" s="116">
        <v>66.503493627436796</v>
      </c>
      <c r="E706" s="116">
        <v>67.618237001994103</v>
      </c>
      <c r="F706" s="116">
        <v>706</v>
      </c>
      <c r="G706">
        <v>366133</v>
      </c>
      <c r="H706" s="116"/>
      <c r="I706" s="116"/>
      <c r="L706" s="170">
        <v>43041</v>
      </c>
      <c r="M706" s="116">
        <v>67.272762576306704</v>
      </c>
      <c r="N706" s="116">
        <v>67.544292633441003</v>
      </c>
      <c r="O706" s="116">
        <v>66.453408719691197</v>
      </c>
      <c r="P706" s="116">
        <v>67.544292633441003</v>
      </c>
      <c r="Q706" s="116">
        <v>706.1</v>
      </c>
      <c r="R706">
        <v>3183542</v>
      </c>
    </row>
    <row r="707" spans="1:18" x14ac:dyDescent="0.25">
      <c r="A707" s="170">
        <v>43042</v>
      </c>
      <c r="B707" s="116">
        <v>67.913596357646099</v>
      </c>
      <c r="C707" s="116">
        <v>67.542015232793602</v>
      </c>
      <c r="D707" s="116">
        <v>67.103740059890796</v>
      </c>
      <c r="E707" s="116">
        <v>67.265711319441806</v>
      </c>
      <c r="F707" s="116">
        <v>708.9</v>
      </c>
      <c r="G707">
        <v>247076</v>
      </c>
      <c r="H707" s="116"/>
      <c r="I707" s="116"/>
      <c r="L707" s="170">
        <v>43042</v>
      </c>
      <c r="M707" s="116">
        <v>67.539528948228096</v>
      </c>
      <c r="N707" s="116">
        <v>67.934914820897205</v>
      </c>
      <c r="O707" s="116">
        <v>67.039342000875607</v>
      </c>
      <c r="P707" s="116">
        <v>67.453782614396204</v>
      </c>
      <c r="Q707" s="116">
        <v>708.9</v>
      </c>
      <c r="R707">
        <v>3287588</v>
      </c>
    </row>
    <row r="708" spans="1:18" x14ac:dyDescent="0.25">
      <c r="A708" s="170">
        <v>43045</v>
      </c>
      <c r="B708" s="116">
        <v>68.218483434448103</v>
      </c>
      <c r="C708" s="116">
        <v>67.527723651068499</v>
      </c>
      <c r="D708" s="116">
        <v>66.665464886987905</v>
      </c>
      <c r="E708" s="116">
        <v>67.313349925192099</v>
      </c>
      <c r="F708" s="116">
        <v>708.75</v>
      </c>
      <c r="G708">
        <v>803653</v>
      </c>
      <c r="H708" s="116"/>
      <c r="I708" s="116"/>
      <c r="L708" s="170">
        <v>43045</v>
      </c>
      <c r="M708" s="116">
        <v>67.339454169287094</v>
      </c>
      <c r="N708" s="116">
        <v>68.211208563244298</v>
      </c>
      <c r="O708" s="116">
        <v>66.624901387354896</v>
      </c>
      <c r="P708" s="116">
        <v>67.163197816410502</v>
      </c>
      <c r="Q708" s="116">
        <v>706.8</v>
      </c>
      <c r="R708">
        <v>3942823</v>
      </c>
    </row>
    <row r="709" spans="1:18" x14ac:dyDescent="0.25">
      <c r="A709" s="170">
        <v>43046</v>
      </c>
      <c r="B709" s="116">
        <v>67.980290405696493</v>
      </c>
      <c r="C709" s="116">
        <v>65.984232824758394</v>
      </c>
      <c r="D709" s="116">
        <v>65.441152719204894</v>
      </c>
      <c r="E709" s="116">
        <v>67.646820165444296</v>
      </c>
      <c r="F709" s="116">
        <v>692.55</v>
      </c>
      <c r="G709">
        <v>331811</v>
      </c>
      <c r="H709" s="116"/>
      <c r="I709" s="116"/>
      <c r="L709" s="170">
        <v>43046</v>
      </c>
      <c r="M709" s="116">
        <v>66.043731791383394</v>
      </c>
      <c r="N709" s="116">
        <v>67.944442191323006</v>
      </c>
      <c r="O709" s="116">
        <v>65.391106917218707</v>
      </c>
      <c r="P709" s="116">
        <v>67.634802652485703</v>
      </c>
      <c r="Q709" s="116">
        <v>693.2</v>
      </c>
      <c r="R709">
        <v>4457296</v>
      </c>
    </row>
    <row r="710" spans="1:18" x14ac:dyDescent="0.25">
      <c r="A710" s="170">
        <v>43047</v>
      </c>
      <c r="B710" s="116">
        <v>66.741686656188406</v>
      </c>
      <c r="C710" s="116">
        <v>65.912774916132904</v>
      </c>
      <c r="D710" s="116">
        <v>65.264889877928695</v>
      </c>
      <c r="E710" s="116">
        <v>66.198606550634807</v>
      </c>
      <c r="F710" s="116">
        <v>691.8</v>
      </c>
      <c r="G710">
        <v>277104</v>
      </c>
      <c r="H710" s="116"/>
      <c r="I710" s="116"/>
      <c r="L710" s="170">
        <v>43047</v>
      </c>
      <c r="M710" s="116">
        <v>66.038968106170501</v>
      </c>
      <c r="N710" s="116">
        <v>66.739229832464005</v>
      </c>
      <c r="O710" s="116">
        <v>65.171977397426204</v>
      </c>
      <c r="P710" s="116">
        <v>66.234279199898694</v>
      </c>
      <c r="Q710" s="116">
        <v>693.15</v>
      </c>
      <c r="R710">
        <v>3590520</v>
      </c>
    </row>
    <row r="711" spans="1:18" x14ac:dyDescent="0.25">
      <c r="A711" s="170">
        <v>43048</v>
      </c>
      <c r="B711" s="116">
        <v>67.170434107941205</v>
      </c>
      <c r="C711" s="116">
        <v>67.008462848390096</v>
      </c>
      <c r="D711" s="116">
        <v>66.093801617984099</v>
      </c>
      <c r="E711" s="116">
        <v>66.503493627436796</v>
      </c>
      <c r="F711" s="116">
        <v>703.3</v>
      </c>
      <c r="G711">
        <v>217402</v>
      </c>
      <c r="H711" s="116"/>
      <c r="I711" s="116"/>
      <c r="L711" s="170">
        <v>43048</v>
      </c>
      <c r="M711" s="116">
        <v>67.015523574811198</v>
      </c>
      <c r="N711" s="116">
        <v>67.172725186836203</v>
      </c>
      <c r="O711" s="116">
        <v>66.072313902660696</v>
      </c>
      <c r="P711" s="116">
        <v>66.596319276077594</v>
      </c>
      <c r="Q711" s="116">
        <v>703.4</v>
      </c>
      <c r="R711">
        <v>2542062</v>
      </c>
    </row>
    <row r="712" spans="1:18" x14ac:dyDescent="0.25">
      <c r="A712" s="170">
        <v>43049</v>
      </c>
      <c r="B712" s="116">
        <v>67.422918718417904</v>
      </c>
      <c r="C712" s="116">
        <v>66.832200007113997</v>
      </c>
      <c r="D712" s="116">
        <v>66.241481295810104</v>
      </c>
      <c r="E712" s="116">
        <v>66.960824242639802</v>
      </c>
      <c r="F712" s="116">
        <v>701.45</v>
      </c>
      <c r="G712">
        <v>205591</v>
      </c>
      <c r="H712" s="116"/>
      <c r="I712" s="116"/>
      <c r="L712" s="170">
        <v>43049</v>
      </c>
      <c r="M712" s="116">
        <v>66.905958814914896</v>
      </c>
      <c r="N712" s="116">
        <v>67.520474207376594</v>
      </c>
      <c r="O712" s="116">
        <v>66.281916052027498</v>
      </c>
      <c r="P712" s="116">
        <v>66.748757202889806</v>
      </c>
      <c r="Q712" s="116">
        <v>702.25</v>
      </c>
      <c r="R712">
        <v>2893175</v>
      </c>
    </row>
    <row r="713" spans="1:18" x14ac:dyDescent="0.25">
      <c r="A713" s="170">
        <v>43052</v>
      </c>
      <c r="B713" s="116">
        <v>67.360988530942507</v>
      </c>
      <c r="C713" s="116">
        <v>65.822261565207299</v>
      </c>
      <c r="D713" s="116">
        <v>65.455444300929898</v>
      </c>
      <c r="E713" s="116">
        <v>67.360988530942507</v>
      </c>
      <c r="F713" s="116">
        <v>690.85</v>
      </c>
      <c r="G713">
        <v>318143</v>
      </c>
      <c r="H713" s="116"/>
      <c r="I713" s="116"/>
      <c r="L713" s="170">
        <v>43052</v>
      </c>
      <c r="M713" s="116">
        <v>65.838893327229499</v>
      </c>
      <c r="N713" s="116">
        <v>67.115560964281698</v>
      </c>
      <c r="O713" s="116">
        <v>65.462562195411905</v>
      </c>
      <c r="P713" s="116">
        <v>67.025050945236899</v>
      </c>
      <c r="Q713" s="116">
        <v>691.05</v>
      </c>
      <c r="R713">
        <v>3238473</v>
      </c>
    </row>
    <row r="714" spans="1:18" x14ac:dyDescent="0.25">
      <c r="A714" s="170">
        <v>43053</v>
      </c>
      <c r="B714" s="116">
        <v>66.217661992935007</v>
      </c>
      <c r="C714" s="116">
        <v>65.283945320228796</v>
      </c>
      <c r="D714" s="116">
        <v>64.921891916526405</v>
      </c>
      <c r="E714" s="116">
        <v>65.741275935431801</v>
      </c>
      <c r="F714" s="116">
        <v>685.2</v>
      </c>
      <c r="G714">
        <v>205596</v>
      </c>
      <c r="H714" s="116"/>
      <c r="I714" s="116"/>
      <c r="L714" s="170">
        <v>43053</v>
      </c>
      <c r="M714" s="116">
        <v>65.310124268599694</v>
      </c>
      <c r="N714" s="116">
        <v>66.224751829472893</v>
      </c>
      <c r="O714" s="116">
        <v>64.948084192420794</v>
      </c>
      <c r="P714" s="116">
        <v>65.691219085630195</v>
      </c>
      <c r="Q714" s="116">
        <v>685.5</v>
      </c>
      <c r="R714">
        <v>3691525</v>
      </c>
    </row>
    <row r="715" spans="1:18" x14ac:dyDescent="0.25">
      <c r="A715" s="170">
        <v>43054</v>
      </c>
      <c r="B715" s="116">
        <v>64.969530522276699</v>
      </c>
      <c r="C715" s="116">
        <v>64.602713257999298</v>
      </c>
      <c r="D715" s="116">
        <v>63.807148541969099</v>
      </c>
      <c r="E715" s="116">
        <v>64.817086983875697</v>
      </c>
      <c r="F715" s="116">
        <v>678.05</v>
      </c>
      <c r="G715">
        <v>647884</v>
      </c>
      <c r="H715" s="116"/>
      <c r="I715" s="116"/>
      <c r="L715" s="170">
        <v>43054</v>
      </c>
      <c r="M715" s="116">
        <v>64.5717530606032</v>
      </c>
      <c r="N715" s="116">
        <v>64.929029451569207</v>
      </c>
      <c r="O715" s="116">
        <v>63.761926574413401</v>
      </c>
      <c r="P715" s="116">
        <v>64.690845190925202</v>
      </c>
      <c r="Q715" s="116">
        <v>677.75</v>
      </c>
      <c r="R715">
        <v>4298026</v>
      </c>
    </row>
    <row r="716" spans="1:18" x14ac:dyDescent="0.25">
      <c r="A716" s="170">
        <v>43055</v>
      </c>
      <c r="B716" s="116">
        <v>65.731748214281794</v>
      </c>
      <c r="C716" s="116">
        <v>65.422097276904694</v>
      </c>
      <c r="D716" s="116">
        <v>64.4645613013234</v>
      </c>
      <c r="E716" s="116">
        <v>64.902836474226305</v>
      </c>
      <c r="F716" s="116">
        <v>686.65</v>
      </c>
      <c r="G716">
        <v>297330</v>
      </c>
      <c r="H716" s="116"/>
      <c r="I716" s="116"/>
      <c r="L716" s="170">
        <v>43055</v>
      </c>
      <c r="M716" s="116">
        <v>65.391106917218707</v>
      </c>
      <c r="N716" s="116">
        <v>65.691219085630195</v>
      </c>
      <c r="O716" s="116">
        <v>64.424078819003796</v>
      </c>
      <c r="P716" s="116">
        <v>65.062412637529903</v>
      </c>
      <c r="Q716" s="116">
        <v>686.35</v>
      </c>
      <c r="R716">
        <v>2465499</v>
      </c>
    </row>
    <row r="717" spans="1:18" x14ac:dyDescent="0.25">
      <c r="A717" s="170">
        <v>43056</v>
      </c>
      <c r="B717" s="116">
        <v>67.503904348193402</v>
      </c>
      <c r="C717" s="116">
        <v>66.822672285963904</v>
      </c>
      <c r="D717" s="116">
        <v>65.931830358433103</v>
      </c>
      <c r="E717" s="116">
        <v>65.931830358433103</v>
      </c>
      <c r="F717" s="116">
        <v>701.35</v>
      </c>
      <c r="G717">
        <v>461785</v>
      </c>
      <c r="H717" s="116"/>
      <c r="I717" s="116"/>
      <c r="L717" s="170">
        <v>43056</v>
      </c>
      <c r="M717" s="116">
        <v>66.805921425444396</v>
      </c>
      <c r="N717" s="116">
        <v>67.577638429931099</v>
      </c>
      <c r="O717" s="116">
        <v>66.1199507547895</v>
      </c>
      <c r="P717" s="116">
        <v>66.1199507547895</v>
      </c>
      <c r="Q717" s="116">
        <v>701.2</v>
      </c>
      <c r="R717">
        <v>4032997</v>
      </c>
    </row>
    <row r="718" spans="1:18" x14ac:dyDescent="0.25">
      <c r="A718" s="170">
        <v>43059</v>
      </c>
      <c r="B718" s="116">
        <v>67.341933088642307</v>
      </c>
      <c r="C718" s="116">
        <v>66.760742098488507</v>
      </c>
      <c r="D718" s="116">
        <v>65.793678401757106</v>
      </c>
      <c r="E718" s="116">
        <v>66.674992608137899</v>
      </c>
      <c r="F718" s="116">
        <v>700.7</v>
      </c>
      <c r="G718">
        <v>225825</v>
      </c>
      <c r="H718" s="116"/>
      <c r="I718" s="116"/>
      <c r="L718" s="170">
        <v>43059</v>
      </c>
      <c r="M718" s="116">
        <v>66.896431444489096</v>
      </c>
      <c r="N718" s="116">
        <v>67.444255243970403</v>
      </c>
      <c r="O718" s="116">
        <v>65.753146993397706</v>
      </c>
      <c r="P718" s="116">
        <v>66.4915182013942</v>
      </c>
      <c r="Q718" s="116">
        <v>702.15</v>
      </c>
      <c r="R718">
        <v>3289271</v>
      </c>
    </row>
    <row r="719" spans="1:18" x14ac:dyDescent="0.25">
      <c r="A719" s="170">
        <v>43060</v>
      </c>
      <c r="B719" s="116">
        <v>68.404273996874295</v>
      </c>
      <c r="C719" s="116">
        <v>67.765916679820094</v>
      </c>
      <c r="D719" s="116">
        <v>66.903657915739501</v>
      </c>
      <c r="E719" s="116">
        <v>66.903657915739501</v>
      </c>
      <c r="F719" s="116">
        <v>711.25</v>
      </c>
      <c r="G719">
        <v>445191</v>
      </c>
      <c r="H719" s="116"/>
      <c r="I719" s="116"/>
      <c r="L719" s="170">
        <v>43060</v>
      </c>
      <c r="M719" s="116">
        <v>67.772949523659307</v>
      </c>
      <c r="N719" s="116">
        <v>68.454156509101196</v>
      </c>
      <c r="O719" s="116">
        <v>66.882140388850502</v>
      </c>
      <c r="P719" s="116">
        <v>67.063160426940001</v>
      </c>
      <c r="Q719" s="116">
        <v>711.35</v>
      </c>
      <c r="R719">
        <v>3657310</v>
      </c>
    </row>
    <row r="720" spans="1:18" x14ac:dyDescent="0.25">
      <c r="A720" s="170">
        <v>43061</v>
      </c>
      <c r="B720" s="116">
        <v>68.299469064223601</v>
      </c>
      <c r="C720" s="116">
        <v>67.799263703845298</v>
      </c>
      <c r="D720" s="116">
        <v>67.322877646342207</v>
      </c>
      <c r="E720" s="116">
        <v>68.123206222947502</v>
      </c>
      <c r="F720" s="116">
        <v>711.6</v>
      </c>
      <c r="G720">
        <v>261488</v>
      </c>
      <c r="H720" s="116"/>
      <c r="I720" s="116"/>
      <c r="L720" s="170">
        <v>43061</v>
      </c>
      <c r="M720" s="116">
        <v>67.744367412381905</v>
      </c>
      <c r="N720" s="116">
        <v>68.311245952714799</v>
      </c>
      <c r="O720" s="116">
        <v>67.291817317158205</v>
      </c>
      <c r="P720" s="116">
        <v>67.973024302600294</v>
      </c>
      <c r="Q720" s="116">
        <v>711.05</v>
      </c>
      <c r="R720">
        <v>2272083</v>
      </c>
    </row>
    <row r="721" spans="1:18" x14ac:dyDescent="0.25">
      <c r="A721" s="170">
        <v>43062</v>
      </c>
      <c r="B721" s="116">
        <v>68.189900270997896</v>
      </c>
      <c r="C721" s="116">
        <v>67.765916679820094</v>
      </c>
      <c r="D721" s="116">
        <v>67.337169228067296</v>
      </c>
      <c r="E721" s="116">
        <v>68.027929011446801</v>
      </c>
      <c r="F721" s="116">
        <v>711.25</v>
      </c>
      <c r="G721">
        <v>170509</v>
      </c>
      <c r="H721" s="116"/>
      <c r="I721" s="116"/>
      <c r="L721" s="170">
        <v>43062</v>
      </c>
      <c r="M721" s="116">
        <v>67.901569024406996</v>
      </c>
      <c r="N721" s="116">
        <v>68.263609100585995</v>
      </c>
      <c r="O721" s="116">
        <v>67.372799965777205</v>
      </c>
      <c r="P721" s="116">
        <v>67.968260617387401</v>
      </c>
      <c r="Q721" s="116">
        <v>712.7</v>
      </c>
      <c r="R721">
        <v>3683121</v>
      </c>
    </row>
    <row r="722" spans="1:18" x14ac:dyDescent="0.25">
      <c r="A722" s="170">
        <v>43063</v>
      </c>
      <c r="B722" s="116">
        <v>67.913596357646099</v>
      </c>
      <c r="C722" s="116">
        <v>67.432446439567897</v>
      </c>
      <c r="D722" s="116">
        <v>67.0608653147155</v>
      </c>
      <c r="E722" s="116">
        <v>67.742097376944997</v>
      </c>
      <c r="F722" s="116">
        <v>707.75</v>
      </c>
      <c r="G722">
        <v>156437</v>
      </c>
      <c r="H722" s="116"/>
      <c r="I722" s="116"/>
      <c r="L722" s="170">
        <v>43063</v>
      </c>
      <c r="M722" s="116">
        <v>67.4966557813121</v>
      </c>
      <c r="N722" s="116">
        <v>67.911096394832796</v>
      </c>
      <c r="O722" s="116">
        <v>67.001232519172504</v>
      </c>
      <c r="P722" s="116">
        <v>67.839641116639598</v>
      </c>
      <c r="Q722" s="116">
        <v>708.45</v>
      </c>
      <c r="R722">
        <v>1925192</v>
      </c>
    </row>
    <row r="723" spans="1:18" x14ac:dyDescent="0.25">
      <c r="A723" s="170">
        <v>43066</v>
      </c>
      <c r="B723" s="116">
        <v>67.503904348193402</v>
      </c>
      <c r="C723" s="116">
        <v>66.870310891714198</v>
      </c>
      <c r="D723" s="116">
        <v>66.594006978362401</v>
      </c>
      <c r="E723" s="116">
        <v>67.360988530942507</v>
      </c>
      <c r="F723" s="116">
        <v>701.85</v>
      </c>
      <c r="G723">
        <v>131119</v>
      </c>
      <c r="H723" s="116"/>
      <c r="I723" s="116"/>
      <c r="L723" s="170">
        <v>43066</v>
      </c>
      <c r="M723" s="116">
        <v>66.934540926192199</v>
      </c>
      <c r="N723" s="116">
        <v>67.549056318653797</v>
      </c>
      <c r="O723" s="116">
        <v>66.601082961290501</v>
      </c>
      <c r="P723" s="116">
        <v>67.549056318653797</v>
      </c>
      <c r="Q723" s="116">
        <v>702.55</v>
      </c>
      <c r="R723">
        <v>1865394</v>
      </c>
    </row>
    <row r="724" spans="1:18" x14ac:dyDescent="0.25">
      <c r="A724" s="170">
        <v>43067</v>
      </c>
      <c r="B724" s="116">
        <v>67.827846867295506</v>
      </c>
      <c r="C724" s="116">
        <v>67.0989761993157</v>
      </c>
      <c r="D724" s="116">
        <v>66.484438185136696</v>
      </c>
      <c r="E724" s="116">
        <v>66.884602473439301</v>
      </c>
      <c r="F724" s="116">
        <v>704.25</v>
      </c>
      <c r="G724">
        <v>219892</v>
      </c>
      <c r="H724" s="116"/>
      <c r="I724" s="116"/>
      <c r="L724" s="170">
        <v>43067</v>
      </c>
      <c r="M724" s="116">
        <v>67.058396741727094</v>
      </c>
      <c r="N724" s="116">
        <v>67.920623765258597</v>
      </c>
      <c r="O724" s="116">
        <v>66.420062923201002</v>
      </c>
      <c r="P724" s="116">
        <v>66.863085647999</v>
      </c>
      <c r="Q724" s="116">
        <v>703.85</v>
      </c>
      <c r="R724">
        <v>2544179</v>
      </c>
    </row>
    <row r="725" spans="1:18" x14ac:dyDescent="0.25">
      <c r="A725" s="170">
        <v>43068</v>
      </c>
      <c r="B725" s="116">
        <v>67.703986492344697</v>
      </c>
      <c r="C725" s="116">
        <v>67.580126117393903</v>
      </c>
      <c r="D725" s="116">
        <v>66.979879684939903</v>
      </c>
      <c r="E725" s="116">
        <v>67.075156896440603</v>
      </c>
      <c r="F725" s="116">
        <v>709.3</v>
      </c>
      <c r="G725">
        <v>237426</v>
      </c>
      <c r="H725" s="116"/>
      <c r="I725" s="116"/>
      <c r="L725" s="170">
        <v>43068</v>
      </c>
      <c r="M725" s="116">
        <v>67.577638429931099</v>
      </c>
      <c r="N725" s="116">
        <v>67.739603727169097</v>
      </c>
      <c r="O725" s="116">
        <v>66.901195129702003</v>
      </c>
      <c r="P725" s="116">
        <v>66.901195129702003</v>
      </c>
      <c r="Q725" s="116">
        <v>709.3</v>
      </c>
      <c r="R725">
        <v>3056846</v>
      </c>
    </row>
    <row r="726" spans="1:18" x14ac:dyDescent="0.25">
      <c r="A726" s="170">
        <v>43069</v>
      </c>
      <c r="B726" s="116">
        <v>67.360988530942507</v>
      </c>
      <c r="C726" s="116">
        <v>66.231953574659997</v>
      </c>
      <c r="D726" s="116">
        <v>65.874664031532703</v>
      </c>
      <c r="E726" s="116">
        <v>67.318113785767196</v>
      </c>
      <c r="F726" s="116">
        <v>695.15</v>
      </c>
      <c r="G726">
        <v>148415</v>
      </c>
      <c r="H726" s="116"/>
      <c r="I726" s="116"/>
      <c r="L726" s="170">
        <v>43069</v>
      </c>
      <c r="M726" s="116">
        <v>66.134241810428193</v>
      </c>
      <c r="N726" s="116">
        <v>67.358508910138596</v>
      </c>
      <c r="O726" s="116">
        <v>65.738855937758998</v>
      </c>
      <c r="P726" s="116">
        <v>67.167961501623395</v>
      </c>
      <c r="Q726" s="116">
        <v>694.15</v>
      </c>
      <c r="R726">
        <v>3990140</v>
      </c>
    </row>
    <row r="727" spans="1:18" x14ac:dyDescent="0.25">
      <c r="A727" s="170">
        <v>43070</v>
      </c>
      <c r="B727" s="116">
        <v>66.503493627436796</v>
      </c>
      <c r="C727" s="116">
        <v>64.855197868475997</v>
      </c>
      <c r="D727" s="116">
        <v>64.550310791673994</v>
      </c>
      <c r="E727" s="116">
        <v>66.312939204435594</v>
      </c>
      <c r="F727" s="116">
        <v>680.7</v>
      </c>
      <c r="G727">
        <v>295726</v>
      </c>
      <c r="H727" s="116"/>
      <c r="I727" s="116"/>
      <c r="L727" s="170">
        <v>43070</v>
      </c>
      <c r="M727" s="116">
        <v>64.871865229014702</v>
      </c>
      <c r="N727" s="116">
        <v>66.4915182013942</v>
      </c>
      <c r="O727" s="116">
        <v>64.500297782409902</v>
      </c>
      <c r="P727" s="116">
        <v>66.205697088621406</v>
      </c>
      <c r="Q727" s="116">
        <v>680.9</v>
      </c>
      <c r="R727">
        <v>3941877</v>
      </c>
    </row>
    <row r="728" spans="1:18" x14ac:dyDescent="0.25">
      <c r="A728" s="170">
        <v>43073</v>
      </c>
      <c r="B728" s="116">
        <v>65.941358079583097</v>
      </c>
      <c r="C728" s="116">
        <v>65.522138348980405</v>
      </c>
      <c r="D728" s="116">
        <v>64.883781031926205</v>
      </c>
      <c r="E728" s="116">
        <v>65.074335454927393</v>
      </c>
      <c r="F728" s="116">
        <v>687.7</v>
      </c>
      <c r="G728">
        <v>224749</v>
      </c>
      <c r="H728" s="116"/>
      <c r="I728" s="116"/>
      <c r="L728" s="170">
        <v>43073</v>
      </c>
      <c r="M728" s="116">
        <v>65.529253788392296</v>
      </c>
      <c r="N728" s="116">
        <v>66.015149680106106</v>
      </c>
      <c r="O728" s="116">
        <v>64.833755747311599</v>
      </c>
      <c r="P728" s="116">
        <v>65.272014786896705</v>
      </c>
      <c r="Q728" s="116">
        <v>687.8</v>
      </c>
      <c r="R728">
        <v>2322372</v>
      </c>
    </row>
    <row r="729" spans="1:18" x14ac:dyDescent="0.25">
      <c r="A729" s="170">
        <v>43074</v>
      </c>
      <c r="B729" s="116">
        <v>65.426861137479705</v>
      </c>
      <c r="C729" s="116">
        <v>64.402631113848003</v>
      </c>
      <c r="D729" s="116">
        <v>63.9500643592201</v>
      </c>
      <c r="E729" s="116">
        <v>65.264889877928695</v>
      </c>
      <c r="F729" s="116">
        <v>675.95</v>
      </c>
      <c r="G729">
        <v>165417</v>
      </c>
      <c r="H729" s="116"/>
      <c r="I729" s="116"/>
      <c r="L729" s="170">
        <v>43074</v>
      </c>
      <c r="M729" s="116">
        <v>64.376441966875007</v>
      </c>
      <c r="N729" s="116">
        <v>65.314887953812601</v>
      </c>
      <c r="O729" s="116">
        <v>63.9286555568642</v>
      </c>
      <c r="P729" s="116">
        <v>65.262487416470904</v>
      </c>
      <c r="Q729" s="116">
        <v>675.7</v>
      </c>
      <c r="R729">
        <v>3329151</v>
      </c>
    </row>
    <row r="730" spans="1:18" x14ac:dyDescent="0.25">
      <c r="A730" s="170">
        <v>43075</v>
      </c>
      <c r="B730" s="116">
        <v>63.835731705419299</v>
      </c>
      <c r="C730" s="116">
        <v>63.6499411429931</v>
      </c>
      <c r="D730" s="116">
        <v>62.940125917313402</v>
      </c>
      <c r="E730" s="116">
        <v>63.635649561268004</v>
      </c>
      <c r="F730" s="116">
        <v>668.05</v>
      </c>
      <c r="G730">
        <v>323882</v>
      </c>
      <c r="H730" s="116"/>
      <c r="I730" s="116"/>
      <c r="L730" s="170">
        <v>43075</v>
      </c>
      <c r="M730" s="116">
        <v>63.604724962388303</v>
      </c>
      <c r="N730" s="116">
        <v>63.971528723780096</v>
      </c>
      <c r="O730" s="116">
        <v>62.947336403010702</v>
      </c>
      <c r="P730" s="116">
        <v>63.547560739833699</v>
      </c>
      <c r="Q730" s="116">
        <v>667.6</v>
      </c>
      <c r="R730">
        <v>4266074</v>
      </c>
    </row>
    <row r="731" spans="1:18" x14ac:dyDescent="0.25">
      <c r="A731" s="170">
        <v>43076</v>
      </c>
      <c r="B731" s="116">
        <v>65.703165050831601</v>
      </c>
      <c r="C731" s="116">
        <v>65.541193791280506</v>
      </c>
      <c r="D731" s="116">
        <v>63.740454493918698</v>
      </c>
      <c r="E731" s="116">
        <v>63.740454493918698</v>
      </c>
      <c r="F731" s="116">
        <v>687.9</v>
      </c>
      <c r="G731">
        <v>295130</v>
      </c>
      <c r="H731" s="116"/>
      <c r="I731" s="116"/>
      <c r="L731" s="170">
        <v>43076</v>
      </c>
      <c r="M731" s="116">
        <v>65.548308529243798</v>
      </c>
      <c r="N731" s="116">
        <v>65.738855937758998</v>
      </c>
      <c r="O731" s="116">
        <v>63.8333818526066</v>
      </c>
      <c r="P731" s="116">
        <v>63.8333818526066</v>
      </c>
      <c r="Q731" s="116">
        <v>688</v>
      </c>
      <c r="R731">
        <v>4021709</v>
      </c>
    </row>
    <row r="732" spans="1:18" x14ac:dyDescent="0.25">
      <c r="A732" s="170">
        <v>43077</v>
      </c>
      <c r="B732" s="116">
        <v>67.9326517999462</v>
      </c>
      <c r="C732" s="116">
        <v>66.393924834211106</v>
      </c>
      <c r="D732" s="116">
        <v>65.288709180803806</v>
      </c>
      <c r="E732" s="116">
        <v>65.731748214281794</v>
      </c>
      <c r="F732" s="116">
        <v>696.85</v>
      </c>
      <c r="G732">
        <v>526914</v>
      </c>
      <c r="H732" s="116"/>
      <c r="I732" s="116"/>
      <c r="L732" s="170">
        <v>43077</v>
      </c>
      <c r="M732" s="116">
        <v>66.481990830968499</v>
      </c>
      <c r="N732" s="116">
        <v>68.011133784303297</v>
      </c>
      <c r="O732" s="116">
        <v>65.276778472109598</v>
      </c>
      <c r="P732" s="116">
        <v>65.653109603927206</v>
      </c>
      <c r="Q732" s="116">
        <v>697.8</v>
      </c>
      <c r="R732">
        <v>7508259</v>
      </c>
    </row>
    <row r="733" spans="1:18" x14ac:dyDescent="0.25">
      <c r="A733" s="170">
        <v>43080</v>
      </c>
      <c r="B733" s="116">
        <v>67.299058343467095</v>
      </c>
      <c r="C733" s="116">
        <v>66.694048050438099</v>
      </c>
      <c r="D733" s="116">
        <v>66.255772877535193</v>
      </c>
      <c r="E733" s="116">
        <v>66.875074752289294</v>
      </c>
      <c r="F733" s="116">
        <v>700</v>
      </c>
      <c r="G733">
        <v>248445</v>
      </c>
      <c r="H733" s="116"/>
      <c r="I733" s="116"/>
      <c r="L733" s="170">
        <v>43080</v>
      </c>
      <c r="M733" s="116">
        <v>66.648719813419305</v>
      </c>
      <c r="N733" s="116">
        <v>67.3156357432227</v>
      </c>
      <c r="O733" s="116">
        <v>66.181878662556997</v>
      </c>
      <c r="P733" s="116">
        <v>66.572500850013199</v>
      </c>
      <c r="Q733" s="116">
        <v>699.55</v>
      </c>
      <c r="R733">
        <v>2207461</v>
      </c>
    </row>
    <row r="734" spans="1:18" x14ac:dyDescent="0.25">
      <c r="A734" s="170">
        <v>43081</v>
      </c>
      <c r="B734" s="116">
        <v>67.480085045318205</v>
      </c>
      <c r="C734" s="116">
        <v>65.6650541662313</v>
      </c>
      <c r="D734" s="116">
        <v>65.431624998054801</v>
      </c>
      <c r="E734" s="116">
        <v>66.775033680213596</v>
      </c>
      <c r="F734" s="116">
        <v>689.2</v>
      </c>
      <c r="G734">
        <v>356715</v>
      </c>
      <c r="H734" s="116"/>
      <c r="I734" s="116"/>
      <c r="L734" s="170">
        <v>43081</v>
      </c>
      <c r="M734" s="116">
        <v>65.724564882120404</v>
      </c>
      <c r="N734" s="116">
        <v>67.463309984822004</v>
      </c>
      <c r="O734" s="116">
        <v>65.367288491154298</v>
      </c>
      <c r="P734" s="116">
        <v>66.577264535226107</v>
      </c>
      <c r="Q734" s="116">
        <v>689.85</v>
      </c>
      <c r="R734">
        <v>3980084</v>
      </c>
    </row>
    <row r="735" spans="1:18" x14ac:dyDescent="0.25">
      <c r="A735" s="170">
        <v>43082</v>
      </c>
      <c r="B735" s="116">
        <v>66.098565478559195</v>
      </c>
      <c r="C735" s="116">
        <v>64.988585964576899</v>
      </c>
      <c r="D735" s="116">
        <v>64.474089022473507</v>
      </c>
      <c r="E735" s="116">
        <v>65.741275935431801</v>
      </c>
      <c r="F735" s="116">
        <v>682.1</v>
      </c>
      <c r="G735">
        <v>314562</v>
      </c>
      <c r="H735" s="116"/>
      <c r="I735" s="116"/>
      <c r="L735" s="170">
        <v>43082</v>
      </c>
      <c r="M735" s="116">
        <v>64.867101543801795</v>
      </c>
      <c r="N735" s="116">
        <v>66.038968106170501</v>
      </c>
      <c r="O735" s="116">
        <v>64.3907330225137</v>
      </c>
      <c r="P735" s="116">
        <v>65.919875975848498</v>
      </c>
      <c r="Q735" s="116">
        <v>680.85</v>
      </c>
      <c r="R735">
        <v>3661881</v>
      </c>
    </row>
    <row r="736" spans="1:18" x14ac:dyDescent="0.25">
      <c r="A736" s="170">
        <v>43083</v>
      </c>
      <c r="B736" s="116">
        <v>65.6459987239312</v>
      </c>
      <c r="C736" s="116">
        <v>65.345875507704207</v>
      </c>
      <c r="D736" s="116">
        <v>63.935772777495004</v>
      </c>
      <c r="E736" s="116">
        <v>65.169612666428094</v>
      </c>
      <c r="F736" s="116">
        <v>685.85</v>
      </c>
      <c r="G736">
        <v>212978</v>
      </c>
      <c r="H736" s="116"/>
      <c r="I736" s="116"/>
      <c r="L736" s="170">
        <v>43083</v>
      </c>
      <c r="M736" s="116">
        <v>65.333942694664103</v>
      </c>
      <c r="N736" s="116">
        <v>65.619763807436996</v>
      </c>
      <c r="O736" s="116">
        <v>63.938182927290001</v>
      </c>
      <c r="P736" s="116">
        <v>65.262487416470904</v>
      </c>
      <c r="Q736" s="116">
        <v>685.75</v>
      </c>
      <c r="R736">
        <v>3143882</v>
      </c>
    </row>
    <row r="737" spans="1:18" x14ac:dyDescent="0.25">
      <c r="A737" s="170">
        <v>43084</v>
      </c>
      <c r="B737" s="116">
        <v>66.665464886987905</v>
      </c>
      <c r="C737" s="116">
        <v>66.212898132359896</v>
      </c>
      <c r="D737" s="116">
        <v>65.931830358433103</v>
      </c>
      <c r="E737" s="116">
        <v>65.950885800733204</v>
      </c>
      <c r="F737" s="116">
        <v>694.95</v>
      </c>
      <c r="G737">
        <v>207809</v>
      </c>
      <c r="H737" s="116"/>
      <c r="I737" s="116"/>
      <c r="L737" s="170">
        <v>43084</v>
      </c>
      <c r="M737" s="116">
        <v>66.186642347769805</v>
      </c>
      <c r="N737" s="116">
        <v>66.772575628954201</v>
      </c>
      <c r="O737" s="116">
        <v>65.838893327229499</v>
      </c>
      <c r="P737" s="116">
        <v>66.3104981633048</v>
      </c>
      <c r="Q737" s="116">
        <v>694.7</v>
      </c>
      <c r="R737">
        <v>3158329</v>
      </c>
    </row>
    <row r="738" spans="1:18" x14ac:dyDescent="0.25">
      <c r="A738" s="170">
        <v>43087</v>
      </c>
      <c r="B738" s="116">
        <v>68.075567617197194</v>
      </c>
      <c r="C738" s="116">
        <v>67.141850944490997</v>
      </c>
      <c r="D738" s="116">
        <v>64.312117762922398</v>
      </c>
      <c r="E738" s="116">
        <v>66.027107569933705</v>
      </c>
      <c r="F738" s="116">
        <v>704.7</v>
      </c>
      <c r="G738">
        <v>368151</v>
      </c>
      <c r="H738" s="116"/>
      <c r="I738" s="116"/>
      <c r="L738" s="170">
        <v>43087</v>
      </c>
      <c r="M738" s="116">
        <v>67.139379390346093</v>
      </c>
      <c r="N738" s="116">
        <v>68.101643803347997</v>
      </c>
      <c r="O738" s="116">
        <v>64.214476669637094</v>
      </c>
      <c r="P738" s="116">
        <v>65.653109603927206</v>
      </c>
      <c r="Q738" s="116">
        <v>704.7</v>
      </c>
      <c r="R738">
        <v>5093828</v>
      </c>
    </row>
    <row r="739" spans="1:18" x14ac:dyDescent="0.25">
      <c r="A739" s="170">
        <v>43088</v>
      </c>
      <c r="B739" s="116">
        <v>67.837374588445599</v>
      </c>
      <c r="C739" s="116">
        <v>67.675403328894504</v>
      </c>
      <c r="D739" s="116">
        <v>67.194253410816401</v>
      </c>
      <c r="E739" s="116">
        <v>67.551542953943695</v>
      </c>
      <c r="F739" s="116">
        <v>710.3</v>
      </c>
      <c r="G739">
        <v>204464</v>
      </c>
      <c r="H739" s="116"/>
      <c r="I739" s="116"/>
      <c r="L739" s="170">
        <v>43088</v>
      </c>
      <c r="M739" s="116">
        <v>67.663384763763005</v>
      </c>
      <c r="N739" s="116">
        <v>67.834877431426705</v>
      </c>
      <c r="O739" s="116">
        <v>67.187016242474897</v>
      </c>
      <c r="P739" s="116">
        <v>67.549056318653797</v>
      </c>
      <c r="Q739" s="116">
        <v>710.2</v>
      </c>
      <c r="R739">
        <v>2035138</v>
      </c>
    </row>
    <row r="740" spans="1:18" x14ac:dyDescent="0.25">
      <c r="A740" s="170">
        <v>43089</v>
      </c>
      <c r="B740" s="116">
        <v>68.409037857449306</v>
      </c>
      <c r="C740" s="116">
        <v>66.937004939764705</v>
      </c>
      <c r="D740" s="116">
        <v>65.993760545908501</v>
      </c>
      <c r="E740" s="116">
        <v>68.409037857449306</v>
      </c>
      <c r="F740" s="116">
        <v>702.55</v>
      </c>
      <c r="G740">
        <v>418341</v>
      </c>
      <c r="H740" s="116"/>
      <c r="I740" s="116"/>
      <c r="L740" s="170">
        <v>43089</v>
      </c>
      <c r="M740" s="116">
        <v>66.958359352256593</v>
      </c>
      <c r="N740" s="116">
        <v>68.301718582288999</v>
      </c>
      <c r="O740" s="116">
        <v>65.924639661061406</v>
      </c>
      <c r="P740" s="116">
        <v>68.301718582288999</v>
      </c>
      <c r="Q740" s="116">
        <v>702.8</v>
      </c>
      <c r="R740">
        <v>7388281</v>
      </c>
    </row>
    <row r="741" spans="1:18" x14ac:dyDescent="0.25">
      <c r="A741" s="170">
        <v>43090</v>
      </c>
      <c r="B741" s="116">
        <v>68.389982415149206</v>
      </c>
      <c r="C741" s="116">
        <v>68.170844828697795</v>
      </c>
      <c r="D741" s="116">
        <v>66.884602473439301</v>
      </c>
      <c r="E741" s="116">
        <v>66.884602473439301</v>
      </c>
      <c r="F741" s="116">
        <v>715.5</v>
      </c>
      <c r="G741">
        <v>321405</v>
      </c>
      <c r="H741" s="116"/>
      <c r="I741" s="116"/>
      <c r="L741" s="170">
        <v>43090</v>
      </c>
      <c r="M741" s="116">
        <v>68.082589062496496</v>
      </c>
      <c r="N741" s="116">
        <v>68.335064378779194</v>
      </c>
      <c r="O741" s="116">
        <v>66.786866684592894</v>
      </c>
      <c r="P741" s="116">
        <v>66.958359352256593</v>
      </c>
      <c r="Q741" s="116">
        <v>714.6</v>
      </c>
      <c r="R741">
        <v>4801665</v>
      </c>
    </row>
    <row r="742" spans="1:18" x14ac:dyDescent="0.25">
      <c r="A742" s="170">
        <v>43091</v>
      </c>
      <c r="B742" s="116">
        <v>68.351871530549005</v>
      </c>
      <c r="C742" s="116">
        <v>67.703986492344697</v>
      </c>
      <c r="D742" s="116">
        <v>67.380043973242607</v>
      </c>
      <c r="E742" s="116">
        <v>68.351871530549005</v>
      </c>
      <c r="F742" s="116">
        <v>710.6</v>
      </c>
      <c r="G742">
        <v>180330</v>
      </c>
      <c r="H742" s="116"/>
      <c r="I742" s="116"/>
      <c r="L742" s="170">
        <v>43091</v>
      </c>
      <c r="M742" s="116">
        <v>67.758658468020599</v>
      </c>
      <c r="N742" s="116">
        <v>68.292191211863297</v>
      </c>
      <c r="O742" s="116">
        <v>67.368036280564397</v>
      </c>
      <c r="P742" s="116">
        <v>68.292191211863297</v>
      </c>
      <c r="Q742" s="116">
        <v>711.2</v>
      </c>
      <c r="R742">
        <v>3322839</v>
      </c>
    </row>
    <row r="743" spans="1:18" x14ac:dyDescent="0.25">
      <c r="A743" s="170">
        <v>43095</v>
      </c>
      <c r="B743" s="116">
        <v>68.980701126453098</v>
      </c>
      <c r="C743" s="116">
        <v>68.732980376551495</v>
      </c>
      <c r="D743" s="116">
        <v>67.908832497071003</v>
      </c>
      <c r="E743" s="116">
        <v>68.027929011446801</v>
      </c>
      <c r="F743" s="116">
        <v>721.4</v>
      </c>
      <c r="G743">
        <v>265233</v>
      </c>
      <c r="H743" s="116"/>
      <c r="I743" s="116"/>
      <c r="L743" s="170">
        <v>43095</v>
      </c>
      <c r="M743" s="116">
        <v>68.754268677512698</v>
      </c>
      <c r="N743" s="116">
        <v>69.073435586775801</v>
      </c>
      <c r="O743" s="116">
        <v>67.834877431426705</v>
      </c>
      <c r="P743" s="116">
        <v>68.025424839941905</v>
      </c>
      <c r="Q743" s="116">
        <v>721.65</v>
      </c>
      <c r="R743">
        <v>6011430</v>
      </c>
    </row>
    <row r="744" spans="1:18" x14ac:dyDescent="0.25">
      <c r="A744" s="170">
        <v>43096</v>
      </c>
      <c r="B744" s="116">
        <v>69.438031741656104</v>
      </c>
      <c r="C744" s="116">
        <v>68.771091261151696</v>
      </c>
      <c r="D744" s="116">
        <v>68.366163112274094</v>
      </c>
      <c r="E744" s="116">
        <v>68.980701126453098</v>
      </c>
      <c r="F744" s="116">
        <v>721.8</v>
      </c>
      <c r="G744">
        <v>221809</v>
      </c>
      <c r="H744" s="116"/>
      <c r="I744" s="116"/>
      <c r="L744" s="170">
        <v>43096</v>
      </c>
      <c r="M744" s="116">
        <v>68.925761345176497</v>
      </c>
      <c r="N744" s="116">
        <v>69.511694626360907</v>
      </c>
      <c r="O744" s="116">
        <v>68.396992286546705</v>
      </c>
      <c r="P744" s="116">
        <v>68.763796047938499</v>
      </c>
      <c r="Q744" s="116">
        <v>723.45</v>
      </c>
      <c r="R744">
        <v>3611513</v>
      </c>
    </row>
    <row r="745" spans="1:18" x14ac:dyDescent="0.25">
      <c r="A745" s="170">
        <v>43097</v>
      </c>
      <c r="B745" s="116">
        <v>70.309818226886804</v>
      </c>
      <c r="C745" s="116">
        <v>69.995403428934793</v>
      </c>
      <c r="D745" s="116">
        <v>68.885423914952497</v>
      </c>
      <c r="E745" s="116">
        <v>68.885423914952497</v>
      </c>
      <c r="F745" s="116">
        <v>734.65</v>
      </c>
      <c r="G745">
        <v>682479</v>
      </c>
      <c r="H745" s="116"/>
      <c r="I745" s="116"/>
      <c r="L745" s="170">
        <v>43097</v>
      </c>
      <c r="M745" s="116">
        <v>70.145264759674006</v>
      </c>
      <c r="N745" s="116">
        <v>70.454904298511295</v>
      </c>
      <c r="O745" s="116">
        <v>69.035326105072699</v>
      </c>
      <c r="P745" s="116">
        <v>69.078199271988694</v>
      </c>
      <c r="Q745" s="116">
        <v>736.25</v>
      </c>
      <c r="R745">
        <v>11572648</v>
      </c>
    </row>
    <row r="746" spans="1:18" x14ac:dyDescent="0.25">
      <c r="A746" s="170">
        <v>43098</v>
      </c>
      <c r="B746" s="116">
        <v>70.919592380490798</v>
      </c>
      <c r="C746" s="116">
        <v>69.785793563633405</v>
      </c>
      <c r="D746" s="116">
        <v>69.552364395456806</v>
      </c>
      <c r="E746" s="116">
        <v>70.124027664460598</v>
      </c>
      <c r="F746" s="116">
        <v>732.45</v>
      </c>
      <c r="G746">
        <v>196766</v>
      </c>
      <c r="H746" s="116"/>
      <c r="I746" s="116"/>
      <c r="L746" s="170">
        <v>43098</v>
      </c>
      <c r="M746" s="116">
        <v>69.778460998282199</v>
      </c>
      <c r="N746" s="116">
        <v>70.964618616289599</v>
      </c>
      <c r="O746" s="116">
        <v>69.549804108063896</v>
      </c>
      <c r="P746" s="116">
        <v>70.311993742124898</v>
      </c>
      <c r="Q746" s="116">
        <v>732.4</v>
      </c>
      <c r="R746">
        <v>2816505</v>
      </c>
    </row>
    <row r="747" spans="1:18" x14ac:dyDescent="0.25">
      <c r="A747" s="170">
        <v>43101</v>
      </c>
      <c r="B747" s="116">
        <v>70.095444501010405</v>
      </c>
      <c r="C747" s="116">
        <v>68.952117963002905</v>
      </c>
      <c r="D747" s="116">
        <v>68.713924934251295</v>
      </c>
      <c r="E747" s="116">
        <v>69.790557424208401</v>
      </c>
      <c r="F747" s="116">
        <v>723.7</v>
      </c>
      <c r="G747">
        <v>234152</v>
      </c>
      <c r="H747" s="116"/>
      <c r="I747" s="116"/>
      <c r="L747" s="170">
        <v>43101</v>
      </c>
      <c r="M747" s="116">
        <v>68.806669214854494</v>
      </c>
      <c r="N747" s="116">
        <v>70.064282111055107</v>
      </c>
      <c r="O747" s="116">
        <v>68.549430213358903</v>
      </c>
      <c r="P747" s="116">
        <v>69.7879883687079</v>
      </c>
      <c r="Q747" s="116">
        <v>722.2</v>
      </c>
      <c r="R747">
        <v>1833942</v>
      </c>
    </row>
    <row r="748" spans="1:18" x14ac:dyDescent="0.25">
      <c r="A748" s="170">
        <v>43102</v>
      </c>
      <c r="B748" s="116">
        <v>69.623822304082296</v>
      </c>
      <c r="C748" s="116">
        <v>69.466614905106297</v>
      </c>
      <c r="D748" s="116">
        <v>68.175608689272806</v>
      </c>
      <c r="E748" s="116">
        <v>68.914007078402605</v>
      </c>
      <c r="F748" s="116">
        <v>729.1</v>
      </c>
      <c r="G748">
        <v>242884</v>
      </c>
      <c r="H748" s="116"/>
      <c r="I748" s="116"/>
      <c r="L748" s="170">
        <v>43102</v>
      </c>
      <c r="M748" s="116">
        <v>69.483112515083505</v>
      </c>
      <c r="N748" s="116">
        <v>69.668896238385898</v>
      </c>
      <c r="O748" s="116">
        <v>68.144516970263993</v>
      </c>
      <c r="P748" s="116">
        <v>68.978161882518194</v>
      </c>
      <c r="Q748" s="116">
        <v>729.3</v>
      </c>
      <c r="R748">
        <v>2467294</v>
      </c>
    </row>
    <row r="749" spans="1:18" x14ac:dyDescent="0.25">
      <c r="A749" s="170">
        <v>43103</v>
      </c>
      <c r="B749" s="116">
        <v>70.195485573086103</v>
      </c>
      <c r="C749" s="116">
        <v>69.866779193408902</v>
      </c>
      <c r="D749" s="116">
        <v>69.633350025232403</v>
      </c>
      <c r="E749" s="116">
        <v>69.800085145358494</v>
      </c>
      <c r="F749" s="116">
        <v>733.3</v>
      </c>
      <c r="G749">
        <v>148624</v>
      </c>
      <c r="H749" s="116"/>
      <c r="I749" s="116"/>
      <c r="L749" s="170">
        <v>43103</v>
      </c>
      <c r="M749" s="116">
        <v>70.021408944139097</v>
      </c>
      <c r="N749" s="116">
        <v>70.264356889996094</v>
      </c>
      <c r="O749" s="116">
        <v>69.668896238385898</v>
      </c>
      <c r="P749" s="116">
        <v>69.740351516579096</v>
      </c>
      <c r="Q749" s="116">
        <v>734.95</v>
      </c>
      <c r="R749">
        <v>2634779</v>
      </c>
    </row>
    <row r="750" spans="1:18" x14ac:dyDescent="0.25">
      <c r="A750" s="170">
        <v>43104</v>
      </c>
      <c r="B750" s="116">
        <v>72.791789586478103</v>
      </c>
      <c r="C750" s="116">
        <v>72.482138649101103</v>
      </c>
      <c r="D750" s="116">
        <v>69.738154957883097</v>
      </c>
      <c r="E750" s="116">
        <v>70.076389058710305</v>
      </c>
      <c r="F750" s="116">
        <v>760.75</v>
      </c>
      <c r="G750">
        <v>809719</v>
      </c>
      <c r="H750" s="116"/>
      <c r="I750" s="116"/>
      <c r="L750" s="170">
        <v>43104</v>
      </c>
      <c r="M750" s="116">
        <v>72.431833661856899</v>
      </c>
      <c r="N750" s="116">
        <v>72.736709515481294</v>
      </c>
      <c r="O750" s="116">
        <v>69.740351516579096</v>
      </c>
      <c r="P750" s="116">
        <v>70.169083185738401</v>
      </c>
      <c r="Q750" s="116">
        <v>760.25</v>
      </c>
      <c r="R750">
        <v>8082986</v>
      </c>
    </row>
    <row r="751" spans="1:18" x14ac:dyDescent="0.25">
      <c r="A751" s="170">
        <v>43105</v>
      </c>
      <c r="B751" s="116">
        <v>73.935116124485603</v>
      </c>
      <c r="C751" s="116">
        <v>73.392036018932103</v>
      </c>
      <c r="D751" s="116">
        <v>72.410680740475598</v>
      </c>
      <c r="E751" s="116">
        <v>72.410680740475598</v>
      </c>
      <c r="F751" s="116">
        <v>770.3</v>
      </c>
      <c r="G751">
        <v>437287</v>
      </c>
      <c r="H751" s="116"/>
      <c r="I751" s="116"/>
      <c r="L751" s="170">
        <v>43105</v>
      </c>
      <c r="M751" s="116">
        <v>73.427443871349098</v>
      </c>
      <c r="N751" s="116">
        <v>74.018140837746301</v>
      </c>
      <c r="O751" s="116">
        <v>72.646199496436594</v>
      </c>
      <c r="P751" s="116">
        <v>72.789110052823006</v>
      </c>
      <c r="Q751" s="116">
        <v>770.7</v>
      </c>
      <c r="R751">
        <v>7136203</v>
      </c>
    </row>
    <row r="752" spans="1:18" x14ac:dyDescent="0.25">
      <c r="A752" s="170">
        <v>43108</v>
      </c>
      <c r="B752" s="116">
        <v>74.316224970488094</v>
      </c>
      <c r="C752" s="116">
        <v>73.263411783406198</v>
      </c>
      <c r="D752" s="116">
        <v>72.896594519128797</v>
      </c>
      <c r="E752" s="116">
        <v>73.854130494710105</v>
      </c>
      <c r="F752" s="116">
        <v>768.95</v>
      </c>
      <c r="G752">
        <v>415404</v>
      </c>
      <c r="H752" s="116"/>
      <c r="I752" s="116"/>
      <c r="L752" s="170">
        <v>43108</v>
      </c>
      <c r="M752" s="116">
        <v>73.241660148046705</v>
      </c>
      <c r="N752" s="116">
        <v>74.108650856791101</v>
      </c>
      <c r="O752" s="116">
        <v>72.884383757080698</v>
      </c>
      <c r="P752" s="116">
        <v>74.099123486365301</v>
      </c>
      <c r="Q752" s="116">
        <v>768.75</v>
      </c>
      <c r="R752">
        <v>2584335</v>
      </c>
    </row>
    <row r="753" spans="1:18" x14ac:dyDescent="0.25">
      <c r="A753" s="170">
        <v>43109</v>
      </c>
      <c r="B753" s="116">
        <v>74.325752691638201</v>
      </c>
      <c r="C753" s="116">
        <v>73.582590441933306</v>
      </c>
      <c r="D753" s="116">
        <v>73.172898432480594</v>
      </c>
      <c r="E753" s="116">
        <v>73.268175643981294</v>
      </c>
      <c r="F753" s="116">
        <v>772.3</v>
      </c>
      <c r="G753">
        <v>252677</v>
      </c>
      <c r="H753" s="116"/>
      <c r="I753" s="116"/>
      <c r="L753" s="170">
        <v>43109</v>
      </c>
      <c r="M753" s="116">
        <v>73.579881798161296</v>
      </c>
      <c r="N753" s="116">
        <v>74.394471969563995</v>
      </c>
      <c r="O753" s="116">
        <v>73.074931165595899</v>
      </c>
      <c r="P753" s="116">
        <v>73.360752278368807</v>
      </c>
      <c r="Q753" s="116">
        <v>772.3</v>
      </c>
      <c r="R753">
        <v>3197787</v>
      </c>
    </row>
    <row r="754" spans="1:18" x14ac:dyDescent="0.25">
      <c r="A754" s="170">
        <v>43110</v>
      </c>
      <c r="B754" s="116">
        <v>73.839838912985002</v>
      </c>
      <c r="C754" s="116">
        <v>73.539715696757995</v>
      </c>
      <c r="D754" s="116">
        <v>72.667929211527294</v>
      </c>
      <c r="E754" s="116">
        <v>73.554007278483098</v>
      </c>
      <c r="F754" s="116">
        <v>771.85</v>
      </c>
      <c r="G754">
        <v>563323</v>
      </c>
      <c r="H754" s="116"/>
      <c r="I754" s="116"/>
      <c r="L754" s="170">
        <v>43110</v>
      </c>
      <c r="M754" s="116">
        <v>73.632282335503007</v>
      </c>
      <c r="N754" s="116">
        <v>74.027668208172102</v>
      </c>
      <c r="O754" s="116">
        <v>72.684308978139597</v>
      </c>
      <c r="P754" s="116">
        <v>73.479844408690795</v>
      </c>
      <c r="Q754" s="116">
        <v>772.85</v>
      </c>
      <c r="R754">
        <v>2990882</v>
      </c>
    </row>
    <row r="755" spans="1:18" x14ac:dyDescent="0.25">
      <c r="A755" s="170">
        <v>43111</v>
      </c>
      <c r="B755" s="116">
        <v>74.087559662886605</v>
      </c>
      <c r="C755" s="116">
        <v>73.515896393882898</v>
      </c>
      <c r="D755" s="116">
        <v>73.191953874780793</v>
      </c>
      <c r="E755" s="116">
        <v>73.511132533307801</v>
      </c>
      <c r="F755" s="116">
        <v>771.6</v>
      </c>
      <c r="G755">
        <v>306637</v>
      </c>
      <c r="H755" s="116"/>
      <c r="I755" s="116"/>
      <c r="L755" s="170">
        <v>43111</v>
      </c>
      <c r="M755" s="116">
        <v>73.451262297413507</v>
      </c>
      <c r="N755" s="116">
        <v>74.113414542003994</v>
      </c>
      <c r="O755" s="116">
        <v>73.203550666343702</v>
      </c>
      <c r="P755" s="116">
        <v>73.632282335503007</v>
      </c>
      <c r="Q755" s="116">
        <v>770.95</v>
      </c>
      <c r="R755">
        <v>1934937</v>
      </c>
    </row>
    <row r="756" spans="1:18" x14ac:dyDescent="0.25">
      <c r="A756" s="170">
        <v>43112</v>
      </c>
      <c r="B756" s="116">
        <v>73.9779908696609</v>
      </c>
      <c r="C756" s="116">
        <v>73.463493927557494</v>
      </c>
      <c r="D756" s="116">
        <v>72.410680740475598</v>
      </c>
      <c r="E756" s="116">
        <v>73.477785509282597</v>
      </c>
      <c r="F756" s="116">
        <v>771.05</v>
      </c>
      <c r="G756">
        <v>205116</v>
      </c>
      <c r="H756" s="116"/>
      <c r="I756" s="116"/>
      <c r="L756" s="170">
        <v>43112</v>
      </c>
      <c r="M756" s="116">
        <v>73.384570704433202</v>
      </c>
      <c r="N756" s="116">
        <v>74.0086134673206</v>
      </c>
      <c r="O756" s="116">
        <v>72.412778921005398</v>
      </c>
      <c r="P756" s="116">
        <v>73.475080723477902</v>
      </c>
      <c r="Q756" s="116">
        <v>770.25</v>
      </c>
      <c r="R756">
        <v>2169940</v>
      </c>
    </row>
    <row r="757" spans="1:18" x14ac:dyDescent="0.25">
      <c r="A757" s="170">
        <v>43115</v>
      </c>
      <c r="B757" s="116">
        <v>75.511953974820997</v>
      </c>
      <c r="C757" s="116">
        <v>74.621112047290097</v>
      </c>
      <c r="D757" s="116">
        <v>73.506368672732805</v>
      </c>
      <c r="E757" s="116">
        <v>73.7445617014844</v>
      </c>
      <c r="F757" s="116">
        <v>783.2</v>
      </c>
      <c r="G757">
        <v>301747</v>
      </c>
      <c r="H757" s="116"/>
      <c r="I757" s="116"/>
      <c r="L757" s="170">
        <v>43115</v>
      </c>
      <c r="M757" s="116">
        <v>74.646947285846693</v>
      </c>
      <c r="N757" s="116">
        <v>75.552047476294106</v>
      </c>
      <c r="O757" s="116">
        <v>73.4560259826264</v>
      </c>
      <c r="P757" s="116">
        <v>73.551299686883993</v>
      </c>
      <c r="Q757" s="116">
        <v>783.5</v>
      </c>
      <c r="R757">
        <v>4171663</v>
      </c>
    </row>
    <row r="758" spans="1:18" x14ac:dyDescent="0.25">
      <c r="A758" s="170">
        <v>43116</v>
      </c>
      <c r="B758" s="116">
        <v>74.602056604989997</v>
      </c>
      <c r="C758" s="116">
        <v>73.010927172929598</v>
      </c>
      <c r="D758" s="116">
        <v>72.482138649101103</v>
      </c>
      <c r="E758" s="116">
        <v>74.506779393489396</v>
      </c>
      <c r="F758" s="116">
        <v>766.3</v>
      </c>
      <c r="G758">
        <v>208847</v>
      </c>
      <c r="H758" s="116"/>
      <c r="I758" s="116"/>
      <c r="L758" s="170">
        <v>43116</v>
      </c>
      <c r="M758" s="116">
        <v>72.955839035273897</v>
      </c>
      <c r="N758" s="116">
        <v>74.575492007653395</v>
      </c>
      <c r="O758" s="116">
        <v>72.417542606218305</v>
      </c>
      <c r="P758" s="116">
        <v>74.575492007653395</v>
      </c>
      <c r="Q758" s="116">
        <v>765.75</v>
      </c>
      <c r="R758">
        <v>2791328</v>
      </c>
    </row>
    <row r="759" spans="1:18" x14ac:dyDescent="0.25">
      <c r="A759" s="170">
        <v>43117</v>
      </c>
      <c r="B759" s="116">
        <v>74.044684917711393</v>
      </c>
      <c r="C759" s="116">
        <v>73.768381004359497</v>
      </c>
      <c r="D759" s="116">
        <v>72.124849105973695</v>
      </c>
      <c r="E759" s="116">
        <v>73.182426153630701</v>
      </c>
      <c r="F759" s="116">
        <v>774.25</v>
      </c>
      <c r="G759">
        <v>179286</v>
      </c>
      <c r="H759" s="116"/>
      <c r="I759" s="116"/>
      <c r="L759" s="170">
        <v>43117</v>
      </c>
      <c r="M759" s="116">
        <v>73.741847095399294</v>
      </c>
      <c r="N759" s="116">
        <v>74.118178227216902</v>
      </c>
      <c r="O759" s="116">
        <v>72.122194123019696</v>
      </c>
      <c r="P759" s="116">
        <v>73.170204869853507</v>
      </c>
      <c r="Q759" s="116">
        <v>774</v>
      </c>
      <c r="R759">
        <v>2988170</v>
      </c>
    </row>
    <row r="760" spans="1:18" x14ac:dyDescent="0.25">
      <c r="A760" s="170">
        <v>43118</v>
      </c>
      <c r="B760" s="116">
        <v>74.292405667612996</v>
      </c>
      <c r="C760" s="116">
        <v>71.634171466745499</v>
      </c>
      <c r="D760" s="116">
        <v>71.138729966942293</v>
      </c>
      <c r="E760" s="116">
        <v>74.030393335986304</v>
      </c>
      <c r="F760" s="116">
        <v>751.85</v>
      </c>
      <c r="G760">
        <v>347558</v>
      </c>
      <c r="H760" s="116"/>
      <c r="I760" s="116"/>
      <c r="L760" s="170">
        <v>43118</v>
      </c>
      <c r="M760" s="116">
        <v>71.622007175667207</v>
      </c>
      <c r="N760" s="116">
        <v>74.299198265306302</v>
      </c>
      <c r="O760" s="116">
        <v>71.093238117037401</v>
      </c>
      <c r="P760" s="116">
        <v>73.837120799656901</v>
      </c>
      <c r="Q760" s="116">
        <v>751.75</v>
      </c>
      <c r="R760">
        <v>4616814</v>
      </c>
    </row>
    <row r="761" spans="1:18" x14ac:dyDescent="0.25">
      <c r="A761" s="170">
        <v>43119</v>
      </c>
      <c r="B761" s="116">
        <v>72.6012351634769</v>
      </c>
      <c r="C761" s="116">
        <v>71.615116024445399</v>
      </c>
      <c r="D761" s="116">
        <v>70.762384981514799</v>
      </c>
      <c r="E761" s="116">
        <v>71.648463048470603</v>
      </c>
      <c r="F761" s="116">
        <v>751.65</v>
      </c>
      <c r="G761">
        <v>453539</v>
      </c>
      <c r="H761" s="116"/>
      <c r="I761" s="116"/>
      <c r="L761" s="170">
        <v>43119</v>
      </c>
      <c r="M761" s="116">
        <v>71.741099305989195</v>
      </c>
      <c r="N761" s="116">
        <v>72.598562644307805</v>
      </c>
      <c r="O761" s="116">
        <v>70.740725411284203</v>
      </c>
      <c r="P761" s="116">
        <v>71.693462453860406</v>
      </c>
      <c r="Q761" s="116">
        <v>753</v>
      </c>
      <c r="R761">
        <v>3217972</v>
      </c>
    </row>
    <row r="762" spans="1:18" x14ac:dyDescent="0.25">
      <c r="A762" s="170">
        <v>43122</v>
      </c>
      <c r="B762" s="116">
        <v>72.053391197348304</v>
      </c>
      <c r="C762" s="116">
        <v>71.657990769620696</v>
      </c>
      <c r="D762" s="116">
        <v>71.257826481318006</v>
      </c>
      <c r="E762" s="116">
        <v>71.772323423421398</v>
      </c>
      <c r="F762" s="116">
        <v>752.1</v>
      </c>
      <c r="G762">
        <v>242486</v>
      </c>
      <c r="H762" s="116"/>
      <c r="I762" s="116"/>
      <c r="L762" s="170">
        <v>43122</v>
      </c>
      <c r="M762" s="116">
        <v>71.664880342583103</v>
      </c>
      <c r="N762" s="116">
        <v>72.065029900465106</v>
      </c>
      <c r="O762" s="116">
        <v>71.202802876933603</v>
      </c>
      <c r="P762" s="116">
        <v>71.645825601731602</v>
      </c>
      <c r="Q762" s="116">
        <v>752.2</v>
      </c>
      <c r="R762">
        <v>3605727</v>
      </c>
    </row>
    <row r="763" spans="1:18" x14ac:dyDescent="0.25">
      <c r="A763" s="170">
        <v>43123</v>
      </c>
      <c r="B763" s="116">
        <v>74.968873869267398</v>
      </c>
      <c r="C763" s="116">
        <v>74.320988831063204</v>
      </c>
      <c r="D763" s="116">
        <v>71.734212538821197</v>
      </c>
      <c r="E763" s="116">
        <v>71.819962029171705</v>
      </c>
      <c r="F763" s="116">
        <v>780.05</v>
      </c>
      <c r="G763">
        <v>566258</v>
      </c>
      <c r="H763" s="116"/>
      <c r="I763" s="116"/>
      <c r="L763" s="170">
        <v>43123</v>
      </c>
      <c r="M763" s="116">
        <v>74.289670894880601</v>
      </c>
      <c r="N763" s="116">
        <v>74.989932621174106</v>
      </c>
      <c r="O763" s="116">
        <v>71.645825601731602</v>
      </c>
      <c r="P763" s="116">
        <v>71.645825601731602</v>
      </c>
      <c r="Q763" s="116">
        <v>779.75</v>
      </c>
      <c r="R763">
        <v>8036841</v>
      </c>
    </row>
    <row r="764" spans="1:18" x14ac:dyDescent="0.25">
      <c r="A764" s="170">
        <v>43124</v>
      </c>
      <c r="B764" s="116">
        <v>74.406738321413698</v>
      </c>
      <c r="C764" s="116">
        <v>72.734623259577702</v>
      </c>
      <c r="D764" s="116">
        <v>71.920003101247403</v>
      </c>
      <c r="E764" s="116">
        <v>74.316224970488094</v>
      </c>
      <c r="F764" s="116">
        <v>763.4</v>
      </c>
      <c r="G764">
        <v>310271</v>
      </c>
      <c r="H764" s="116"/>
      <c r="I764" s="116"/>
      <c r="L764" s="170">
        <v>43124</v>
      </c>
      <c r="M764" s="116">
        <v>72.608090014733506</v>
      </c>
      <c r="N764" s="116">
        <v>74.3706535434996</v>
      </c>
      <c r="O764" s="116">
        <v>72.136485178658305</v>
      </c>
      <c r="P764" s="116">
        <v>74.361126173073799</v>
      </c>
      <c r="Q764" s="116">
        <v>762.1</v>
      </c>
      <c r="R764">
        <v>4935129</v>
      </c>
    </row>
    <row r="765" spans="1:18" x14ac:dyDescent="0.25">
      <c r="A765" s="170">
        <v>43125</v>
      </c>
      <c r="B765" s="116">
        <v>73.673103792858896</v>
      </c>
      <c r="C765" s="116">
        <v>73.268175643981294</v>
      </c>
      <c r="D765" s="116">
        <v>72.329695110700101</v>
      </c>
      <c r="E765" s="116">
        <v>73.077621220980006</v>
      </c>
      <c r="F765" s="116">
        <v>769</v>
      </c>
      <c r="G765">
        <v>280572</v>
      </c>
      <c r="H765" s="116"/>
      <c r="I765" s="116"/>
      <c r="L765" s="170">
        <v>43125</v>
      </c>
      <c r="M765" s="116">
        <v>73.279769629749794</v>
      </c>
      <c r="N765" s="116">
        <v>73.656100761567401</v>
      </c>
      <c r="O765" s="116">
        <v>72.241286253341698</v>
      </c>
      <c r="P765" s="116">
        <v>72.884383757080698</v>
      </c>
      <c r="Q765" s="116">
        <v>769.15</v>
      </c>
      <c r="R765">
        <v>8397681</v>
      </c>
    </row>
    <row r="766" spans="1:18" x14ac:dyDescent="0.25">
      <c r="A766" s="170">
        <v>43129</v>
      </c>
      <c r="B766" s="116">
        <v>75.326163412394806</v>
      </c>
      <c r="C766" s="116">
        <v>74.5782373021149</v>
      </c>
      <c r="D766" s="116">
        <v>73.363452855481896</v>
      </c>
      <c r="E766" s="116">
        <v>73.363452855481896</v>
      </c>
      <c r="F766" s="116">
        <v>782.75</v>
      </c>
      <c r="G766">
        <v>469505</v>
      </c>
      <c r="H766" s="116"/>
      <c r="I766" s="116"/>
      <c r="L766" s="170">
        <v>43129</v>
      </c>
      <c r="M766" s="116">
        <v>74.613601489356498</v>
      </c>
      <c r="N766" s="116">
        <v>75.437719031184898</v>
      </c>
      <c r="O766" s="116">
        <v>73.375043334007401</v>
      </c>
      <c r="P766" s="116">
        <v>73.4560259826264</v>
      </c>
      <c r="Q766" s="116">
        <v>783.15</v>
      </c>
      <c r="R766">
        <v>6508012</v>
      </c>
    </row>
    <row r="767" spans="1:18" x14ac:dyDescent="0.25">
      <c r="A767" s="170">
        <v>43130</v>
      </c>
      <c r="B767" s="116">
        <v>74.663986792465394</v>
      </c>
      <c r="C767" s="116">
        <v>73.892241379310306</v>
      </c>
      <c r="D767" s="116">
        <v>73.530187975608001</v>
      </c>
      <c r="E767" s="116">
        <v>74.225711619562503</v>
      </c>
      <c r="F767" s="116">
        <v>775.55</v>
      </c>
      <c r="G767">
        <v>346749</v>
      </c>
      <c r="H767" s="116"/>
      <c r="I767" s="116"/>
      <c r="L767" s="170">
        <v>43130</v>
      </c>
      <c r="M767" s="116">
        <v>73.918103448275801</v>
      </c>
      <c r="N767" s="116">
        <v>74.685056767549696</v>
      </c>
      <c r="O767" s="116">
        <v>73.479844408690795</v>
      </c>
      <c r="P767" s="116">
        <v>74.3706535434996</v>
      </c>
      <c r="Q767" s="116">
        <v>775.85</v>
      </c>
      <c r="R767">
        <v>6019374</v>
      </c>
    </row>
    <row r="768" spans="1:18" x14ac:dyDescent="0.25">
      <c r="A768" s="170">
        <v>43131</v>
      </c>
      <c r="B768" s="116">
        <v>74.724999999999994</v>
      </c>
      <c r="C768" s="116">
        <v>70.504999999999995</v>
      </c>
      <c r="D768" s="116">
        <v>70.204999999999998</v>
      </c>
      <c r="E768" s="116">
        <v>73.25</v>
      </c>
      <c r="F768" s="116">
        <v>705.05</v>
      </c>
      <c r="G768">
        <v>981772</v>
      </c>
      <c r="H768" s="116"/>
      <c r="I768" s="116"/>
      <c r="L768" s="170">
        <v>43131</v>
      </c>
      <c r="M768" s="116">
        <v>70.504999999999995</v>
      </c>
      <c r="N768" s="116">
        <v>74.790000000000006</v>
      </c>
      <c r="O768" s="116">
        <v>70.17</v>
      </c>
      <c r="P768" s="116">
        <v>73.55</v>
      </c>
      <c r="Q768" s="116">
        <v>705.05</v>
      </c>
      <c r="R768">
        <v>12958902</v>
      </c>
    </row>
    <row r="769" spans="1:18" x14ac:dyDescent="0.25">
      <c r="A769" s="170">
        <v>43132</v>
      </c>
      <c r="B769" s="116">
        <v>71.265000000000001</v>
      </c>
      <c r="C769" s="116">
        <v>69.63</v>
      </c>
      <c r="D769" s="116">
        <v>68.22</v>
      </c>
      <c r="E769" s="116">
        <v>70.625</v>
      </c>
      <c r="F769" s="116">
        <v>696.3</v>
      </c>
      <c r="G769">
        <v>666215</v>
      </c>
      <c r="H769" s="116"/>
      <c r="I769" s="116"/>
      <c r="L769" s="170">
        <v>43132</v>
      </c>
      <c r="M769" s="116">
        <v>69.674999999999997</v>
      </c>
      <c r="N769" s="116">
        <v>71.275000000000006</v>
      </c>
      <c r="O769" s="116">
        <v>68.16</v>
      </c>
      <c r="P769" s="116">
        <v>70.8</v>
      </c>
      <c r="Q769" s="116">
        <v>696.75</v>
      </c>
      <c r="R769">
        <v>7403931</v>
      </c>
    </row>
    <row r="770" spans="1:18" x14ac:dyDescent="0.25">
      <c r="A770" s="170">
        <v>43133</v>
      </c>
      <c r="B770" s="116">
        <v>69.25</v>
      </c>
      <c r="C770" s="116">
        <v>66.97</v>
      </c>
      <c r="D770" s="116">
        <v>66.599999999999994</v>
      </c>
      <c r="E770" s="116">
        <v>69</v>
      </c>
      <c r="F770" s="116">
        <v>669.7</v>
      </c>
      <c r="G770">
        <v>468418</v>
      </c>
      <c r="H770" s="116"/>
      <c r="I770" s="116"/>
      <c r="L770" s="170">
        <v>43133</v>
      </c>
      <c r="M770" s="116">
        <v>67.045000000000002</v>
      </c>
      <c r="N770" s="116">
        <v>69.3</v>
      </c>
      <c r="O770" s="116">
        <v>66.605000000000004</v>
      </c>
      <c r="P770" s="116">
        <v>69.2</v>
      </c>
      <c r="Q770" s="116">
        <v>670.45</v>
      </c>
      <c r="R770">
        <v>6500926</v>
      </c>
    </row>
    <row r="771" spans="1:18" x14ac:dyDescent="0.25">
      <c r="A771" s="170">
        <v>43136</v>
      </c>
      <c r="B771" s="116">
        <v>67.38</v>
      </c>
      <c r="C771" s="116">
        <v>66.454999999999998</v>
      </c>
      <c r="D771" s="116">
        <v>65.08</v>
      </c>
      <c r="E771" s="116">
        <v>66.400000000000006</v>
      </c>
      <c r="F771" s="116">
        <v>664.55</v>
      </c>
      <c r="G771">
        <v>335030</v>
      </c>
      <c r="H771" s="116"/>
      <c r="I771" s="116"/>
      <c r="L771" s="170">
        <v>43136</v>
      </c>
      <c r="M771" s="116">
        <v>66.405000000000001</v>
      </c>
      <c r="N771" s="116">
        <v>67.45</v>
      </c>
      <c r="O771" s="116">
        <v>65.05</v>
      </c>
      <c r="P771" s="116">
        <v>66.099999999999994</v>
      </c>
      <c r="Q771" s="116">
        <v>664.05</v>
      </c>
      <c r="R771">
        <v>4698722</v>
      </c>
    </row>
    <row r="772" spans="1:18" x14ac:dyDescent="0.25">
      <c r="A772" s="170">
        <v>43137</v>
      </c>
      <c r="B772" s="116">
        <v>67.924999999999997</v>
      </c>
      <c r="C772" s="116">
        <v>66.495000000000005</v>
      </c>
      <c r="D772" s="116">
        <v>63.44</v>
      </c>
      <c r="E772" s="116">
        <v>63.905000000000001</v>
      </c>
      <c r="F772" s="116">
        <v>664.95</v>
      </c>
      <c r="G772">
        <v>909156</v>
      </c>
      <c r="H772" s="116"/>
      <c r="I772" s="116"/>
      <c r="L772" s="170">
        <v>43137</v>
      </c>
      <c r="M772" s="116">
        <v>66.45</v>
      </c>
      <c r="N772" s="116">
        <v>67.900000000000006</v>
      </c>
      <c r="O772" s="116">
        <v>63.255000000000003</v>
      </c>
      <c r="P772" s="116">
        <v>64.099999999999994</v>
      </c>
      <c r="Q772" s="116">
        <v>664.5</v>
      </c>
      <c r="R772">
        <v>6704557</v>
      </c>
    </row>
    <row r="773" spans="1:18" x14ac:dyDescent="0.25">
      <c r="A773" s="170">
        <v>43138</v>
      </c>
      <c r="B773" s="116">
        <v>68.204999999999998</v>
      </c>
      <c r="C773" s="116">
        <v>66.055000000000007</v>
      </c>
      <c r="D773" s="116">
        <v>65.694999999999993</v>
      </c>
      <c r="E773" s="116">
        <v>66.650000000000006</v>
      </c>
      <c r="F773" s="116">
        <v>660.55</v>
      </c>
      <c r="G773">
        <v>445348</v>
      </c>
      <c r="H773" s="116"/>
      <c r="I773" s="116"/>
      <c r="L773" s="170">
        <v>43138</v>
      </c>
      <c r="M773" s="116">
        <v>66.180000000000007</v>
      </c>
      <c r="N773" s="116">
        <v>68.22</v>
      </c>
      <c r="O773" s="116">
        <v>65.7</v>
      </c>
      <c r="P773" s="116">
        <v>66.8</v>
      </c>
      <c r="Q773" s="116">
        <v>661.8</v>
      </c>
      <c r="R773">
        <v>6789521</v>
      </c>
    </row>
    <row r="774" spans="1:18" x14ac:dyDescent="0.25">
      <c r="A774" s="170">
        <v>43139</v>
      </c>
      <c r="B774" s="116">
        <v>67.69</v>
      </c>
      <c r="C774" s="116">
        <v>67.135000000000005</v>
      </c>
      <c r="D774" s="116">
        <v>65.400000000000006</v>
      </c>
      <c r="E774" s="116">
        <v>66.09</v>
      </c>
      <c r="F774" s="116">
        <v>671.35</v>
      </c>
      <c r="G774">
        <v>756043</v>
      </c>
      <c r="H774" s="116"/>
      <c r="I774" s="116"/>
      <c r="L774" s="170">
        <v>43139</v>
      </c>
      <c r="M774" s="116">
        <v>67.144999999999996</v>
      </c>
      <c r="N774" s="116">
        <v>67.7</v>
      </c>
      <c r="O774" s="116">
        <v>65.400000000000006</v>
      </c>
      <c r="P774" s="116">
        <v>66.004999999999995</v>
      </c>
      <c r="Q774" s="116">
        <v>671.45</v>
      </c>
      <c r="R774">
        <v>5845590</v>
      </c>
    </row>
    <row r="775" spans="1:18" x14ac:dyDescent="0.25">
      <c r="A775" s="170">
        <v>43140</v>
      </c>
      <c r="B775" s="116">
        <v>68.834999999999994</v>
      </c>
      <c r="C775" s="116">
        <v>68.364999999999995</v>
      </c>
      <c r="D775" s="116">
        <v>66.099999999999994</v>
      </c>
      <c r="E775" s="116">
        <v>66.540000000000006</v>
      </c>
      <c r="F775" s="116">
        <v>683.65</v>
      </c>
      <c r="G775">
        <v>1148843</v>
      </c>
      <c r="H775" s="116"/>
      <c r="I775" s="116"/>
      <c r="L775" s="170">
        <v>43140</v>
      </c>
      <c r="M775" s="116">
        <v>68.53</v>
      </c>
      <c r="N775" s="116">
        <v>69</v>
      </c>
      <c r="O775" s="116">
        <v>66.015000000000001</v>
      </c>
      <c r="P775" s="116">
        <v>66.37</v>
      </c>
      <c r="Q775" s="116">
        <v>685.3</v>
      </c>
      <c r="R775">
        <v>9140288</v>
      </c>
    </row>
    <row r="776" spans="1:18" x14ac:dyDescent="0.25">
      <c r="A776" s="170">
        <v>43143</v>
      </c>
      <c r="B776" s="116">
        <v>71.8</v>
      </c>
      <c r="C776" s="116">
        <v>71.25</v>
      </c>
      <c r="D776" s="116">
        <v>69.78</v>
      </c>
      <c r="E776" s="116">
        <v>71.8</v>
      </c>
      <c r="F776" s="116">
        <v>712.5</v>
      </c>
      <c r="G776">
        <v>1335158</v>
      </c>
      <c r="H776" s="116"/>
      <c r="I776" s="116"/>
      <c r="L776" s="170">
        <v>43143</v>
      </c>
      <c r="M776" s="116">
        <v>71.31</v>
      </c>
      <c r="N776" s="116">
        <v>71.69</v>
      </c>
      <c r="O776" s="116">
        <v>69.739999999999995</v>
      </c>
      <c r="P776" s="116">
        <v>71.599999999999994</v>
      </c>
      <c r="Q776" s="116">
        <v>713.1</v>
      </c>
      <c r="R776">
        <v>12036307</v>
      </c>
    </row>
    <row r="777" spans="1:18" x14ac:dyDescent="0.25">
      <c r="A777" s="170">
        <v>43145</v>
      </c>
      <c r="B777" s="116">
        <v>72.06</v>
      </c>
      <c r="C777" s="116">
        <v>70.834999999999994</v>
      </c>
      <c r="D777" s="116">
        <v>70.525000000000006</v>
      </c>
      <c r="E777" s="116">
        <v>71.8</v>
      </c>
      <c r="F777" s="116">
        <v>708.35</v>
      </c>
      <c r="G777">
        <v>1244926</v>
      </c>
      <c r="H777" s="116"/>
      <c r="I777" s="116"/>
      <c r="L777" s="170">
        <v>43145</v>
      </c>
      <c r="M777" s="116">
        <v>70.8</v>
      </c>
      <c r="N777" s="116">
        <v>72.05</v>
      </c>
      <c r="O777" s="116">
        <v>70.454999999999998</v>
      </c>
      <c r="P777" s="116">
        <v>71.930000000000007</v>
      </c>
      <c r="Q777" s="116">
        <v>708</v>
      </c>
      <c r="R777">
        <v>4885951</v>
      </c>
    </row>
    <row r="778" spans="1:18" x14ac:dyDescent="0.25">
      <c r="A778" s="170">
        <v>43146</v>
      </c>
      <c r="B778" s="116">
        <v>71.84</v>
      </c>
      <c r="C778" s="116">
        <v>69.984999999999999</v>
      </c>
      <c r="D778" s="116">
        <v>69.605000000000004</v>
      </c>
      <c r="E778" s="116">
        <v>71.180000000000007</v>
      </c>
      <c r="F778" s="116">
        <v>699.85</v>
      </c>
      <c r="G778">
        <v>555352</v>
      </c>
      <c r="H778" s="116"/>
      <c r="I778" s="116"/>
      <c r="L778" s="170">
        <v>43146</v>
      </c>
      <c r="M778" s="116">
        <v>70.055000000000007</v>
      </c>
      <c r="N778" s="116">
        <v>71.915000000000006</v>
      </c>
      <c r="O778" s="116">
        <v>69.724999999999994</v>
      </c>
      <c r="P778" s="116">
        <v>71.135000000000005</v>
      </c>
      <c r="Q778" s="116">
        <v>700.55</v>
      </c>
      <c r="R778">
        <v>5131245</v>
      </c>
    </row>
    <row r="779" spans="1:18" x14ac:dyDescent="0.25">
      <c r="A779" s="170">
        <v>43147</v>
      </c>
      <c r="B779" s="116">
        <v>70.935000000000002</v>
      </c>
      <c r="C779" s="116">
        <v>68.83</v>
      </c>
      <c r="D779" s="116">
        <v>68.385000000000005</v>
      </c>
      <c r="E779" s="116">
        <v>70.540000000000006</v>
      </c>
      <c r="F779" s="116">
        <v>688.3</v>
      </c>
      <c r="G779">
        <v>447367</v>
      </c>
      <c r="H779" s="116"/>
      <c r="I779" s="116"/>
      <c r="L779" s="170">
        <v>43147</v>
      </c>
      <c r="M779" s="116">
        <v>68.974999999999994</v>
      </c>
      <c r="N779" s="116">
        <v>70.95</v>
      </c>
      <c r="O779" s="116">
        <v>68.36</v>
      </c>
      <c r="P779" s="116">
        <v>70.8</v>
      </c>
      <c r="Q779" s="116">
        <v>689.75</v>
      </c>
      <c r="R779">
        <v>5012760</v>
      </c>
    </row>
    <row r="780" spans="1:18" x14ac:dyDescent="0.25">
      <c r="A780" s="170">
        <v>43150</v>
      </c>
      <c r="B780" s="116">
        <v>69.2</v>
      </c>
      <c r="C780" s="116">
        <v>64.825000000000003</v>
      </c>
      <c r="D780" s="116">
        <v>63.9</v>
      </c>
      <c r="E780" s="116">
        <v>69.08</v>
      </c>
      <c r="F780" s="116">
        <v>648.25</v>
      </c>
      <c r="G780">
        <v>1296260</v>
      </c>
      <c r="H780" s="116"/>
      <c r="I780" s="116"/>
      <c r="L780" s="170">
        <v>43150</v>
      </c>
      <c r="M780" s="116">
        <v>64.885000000000005</v>
      </c>
      <c r="N780" s="116">
        <v>69.34</v>
      </c>
      <c r="O780" s="116">
        <v>63.9</v>
      </c>
      <c r="P780" s="116">
        <v>69.34</v>
      </c>
      <c r="Q780" s="116">
        <v>648.85</v>
      </c>
      <c r="R780">
        <v>17658708</v>
      </c>
    </row>
    <row r="781" spans="1:18" x14ac:dyDescent="0.25">
      <c r="A781" s="170">
        <v>43151</v>
      </c>
      <c r="B781" s="116">
        <v>66.135000000000005</v>
      </c>
      <c r="C781" s="116">
        <v>65.075000000000003</v>
      </c>
      <c r="D781" s="116">
        <v>64.819999999999993</v>
      </c>
      <c r="E781" s="116">
        <v>65.400000000000006</v>
      </c>
      <c r="F781" s="116">
        <v>650.75</v>
      </c>
      <c r="G781">
        <v>654844</v>
      </c>
      <c r="H781" s="116"/>
      <c r="I781" s="116"/>
      <c r="L781" s="170">
        <v>43151</v>
      </c>
      <c r="M781" s="116">
        <v>65.13</v>
      </c>
      <c r="N781" s="116">
        <v>66.150000000000006</v>
      </c>
      <c r="O781" s="116">
        <v>64.814999999999998</v>
      </c>
      <c r="P781" s="116">
        <v>65.48</v>
      </c>
      <c r="Q781" s="116">
        <v>651.29999999999995</v>
      </c>
      <c r="R781">
        <v>10214478</v>
      </c>
    </row>
    <row r="782" spans="1:18" x14ac:dyDescent="0.25">
      <c r="A782" s="170">
        <v>43152</v>
      </c>
      <c r="B782" s="116">
        <v>65.540000000000006</v>
      </c>
      <c r="C782" s="116">
        <v>64.055000000000007</v>
      </c>
      <c r="D782" s="116">
        <v>63.3</v>
      </c>
      <c r="E782" s="116">
        <v>65.540000000000006</v>
      </c>
      <c r="F782" s="116">
        <v>640.54999999999995</v>
      </c>
      <c r="G782">
        <v>698248</v>
      </c>
      <c r="H782" s="116"/>
      <c r="I782" s="116"/>
      <c r="L782" s="170">
        <v>43152</v>
      </c>
      <c r="M782" s="116">
        <v>64.094999999999999</v>
      </c>
      <c r="N782" s="116">
        <v>65.555000000000007</v>
      </c>
      <c r="O782" s="116">
        <v>63.3</v>
      </c>
      <c r="P782" s="116">
        <v>65.489999999999995</v>
      </c>
      <c r="Q782" s="116">
        <v>640.95000000000005</v>
      </c>
      <c r="R782">
        <v>10307539</v>
      </c>
    </row>
    <row r="783" spans="1:18" x14ac:dyDescent="0.25">
      <c r="A783" s="170">
        <v>43153</v>
      </c>
      <c r="B783" s="116">
        <v>64.75</v>
      </c>
      <c r="C783" s="116">
        <v>63.784999999999997</v>
      </c>
      <c r="D783" s="116">
        <v>63.4</v>
      </c>
      <c r="E783" s="116">
        <v>63.99</v>
      </c>
      <c r="F783" s="116">
        <v>637.85</v>
      </c>
      <c r="G783">
        <v>514675</v>
      </c>
      <c r="H783" s="116"/>
      <c r="I783" s="116"/>
      <c r="L783" s="170">
        <v>43153</v>
      </c>
      <c r="M783" s="116">
        <v>63.755000000000003</v>
      </c>
      <c r="N783" s="116">
        <v>64.78</v>
      </c>
      <c r="O783" s="116">
        <v>63.284999999999997</v>
      </c>
      <c r="P783" s="116">
        <v>64.034999999999997</v>
      </c>
      <c r="Q783" s="116">
        <v>637.54999999999995</v>
      </c>
      <c r="R783">
        <v>8950631</v>
      </c>
    </row>
    <row r="784" spans="1:18" x14ac:dyDescent="0.25">
      <c r="A784" s="170">
        <v>43154</v>
      </c>
      <c r="B784" s="116">
        <v>68.435000000000002</v>
      </c>
      <c r="C784" s="116">
        <v>67.78</v>
      </c>
      <c r="D784" s="116">
        <v>64</v>
      </c>
      <c r="E784" s="116">
        <v>64.010000000000005</v>
      </c>
      <c r="F784" s="116">
        <v>677.8</v>
      </c>
      <c r="G784">
        <v>1415713</v>
      </c>
      <c r="H784" s="116"/>
      <c r="I784" s="116"/>
      <c r="L784" s="170">
        <v>43154</v>
      </c>
      <c r="M784" s="116">
        <v>67.775000000000006</v>
      </c>
      <c r="N784" s="116">
        <v>68.64</v>
      </c>
      <c r="O784" s="116">
        <v>63.9</v>
      </c>
      <c r="P784" s="116">
        <v>64.084999999999994</v>
      </c>
      <c r="Q784" s="116">
        <v>677.75</v>
      </c>
      <c r="R784">
        <v>21866214</v>
      </c>
    </row>
    <row r="785" spans="1:18" x14ac:dyDescent="0.25">
      <c r="A785" s="170">
        <v>43157</v>
      </c>
      <c r="B785" s="116">
        <v>69.2</v>
      </c>
      <c r="C785" s="116">
        <v>68.025000000000006</v>
      </c>
      <c r="D785" s="116">
        <v>67.254999999999995</v>
      </c>
      <c r="E785" s="116">
        <v>67.87</v>
      </c>
      <c r="F785" s="116">
        <v>680.25</v>
      </c>
      <c r="G785">
        <v>769146</v>
      </c>
      <c r="H785" s="116"/>
      <c r="I785" s="116"/>
      <c r="L785" s="170">
        <v>43157</v>
      </c>
      <c r="M785" s="116">
        <v>68.02</v>
      </c>
      <c r="N785" s="116">
        <v>69.265000000000001</v>
      </c>
      <c r="O785" s="116">
        <v>67.319999999999993</v>
      </c>
      <c r="P785" s="116">
        <v>68</v>
      </c>
      <c r="Q785" s="116">
        <v>680.2</v>
      </c>
      <c r="R785">
        <v>9199775</v>
      </c>
    </row>
    <row r="786" spans="1:18" x14ac:dyDescent="0.25">
      <c r="A786" s="170">
        <v>43158</v>
      </c>
      <c r="B786" s="116">
        <v>68.674999999999997</v>
      </c>
      <c r="C786" s="116">
        <v>67.185000000000002</v>
      </c>
      <c r="D786" s="116">
        <v>67.010000000000005</v>
      </c>
      <c r="E786" s="116">
        <v>68.3</v>
      </c>
      <c r="F786" s="116">
        <v>671.85</v>
      </c>
      <c r="G786">
        <v>655450</v>
      </c>
      <c r="H786" s="116"/>
      <c r="I786" s="116"/>
      <c r="L786" s="170">
        <v>43158</v>
      </c>
      <c r="M786" s="116">
        <v>67.174999999999997</v>
      </c>
      <c r="N786" s="116">
        <v>68.69</v>
      </c>
      <c r="O786" s="116">
        <v>66.92</v>
      </c>
      <c r="P786" s="116">
        <v>68.14</v>
      </c>
      <c r="Q786" s="116">
        <v>671.75</v>
      </c>
      <c r="R786">
        <v>6805376</v>
      </c>
    </row>
    <row r="787" spans="1:18" x14ac:dyDescent="0.25">
      <c r="A787" s="170">
        <v>43159</v>
      </c>
      <c r="B787" s="116">
        <v>67.48</v>
      </c>
      <c r="C787" s="116">
        <v>67.17</v>
      </c>
      <c r="D787" s="116">
        <v>66.045000000000002</v>
      </c>
      <c r="E787" s="116">
        <v>66.650000000000006</v>
      </c>
      <c r="F787" s="116">
        <v>671.7</v>
      </c>
      <c r="G787">
        <v>432433</v>
      </c>
      <c r="H787" s="116"/>
      <c r="I787" s="116"/>
      <c r="L787" s="170">
        <v>43159</v>
      </c>
      <c r="M787" s="116">
        <v>67.16</v>
      </c>
      <c r="N787" s="116">
        <v>67.5</v>
      </c>
      <c r="O787" s="116">
        <v>66</v>
      </c>
      <c r="P787" s="116">
        <v>66.385000000000005</v>
      </c>
      <c r="Q787" s="116">
        <v>671.6</v>
      </c>
      <c r="R787">
        <v>7112650</v>
      </c>
    </row>
    <row r="788" spans="1:18" x14ac:dyDescent="0.25">
      <c r="A788" s="170">
        <v>43160</v>
      </c>
      <c r="B788" s="116">
        <v>68.48</v>
      </c>
      <c r="C788" s="116">
        <v>67.53</v>
      </c>
      <c r="D788" s="116">
        <v>67.069999999999993</v>
      </c>
      <c r="E788" s="116">
        <v>67.099999999999994</v>
      </c>
      <c r="F788" s="116">
        <v>675.3</v>
      </c>
      <c r="G788">
        <v>353207</v>
      </c>
      <c r="H788" s="116"/>
      <c r="I788" s="116"/>
      <c r="L788" s="170">
        <v>43160</v>
      </c>
      <c r="M788" s="116">
        <v>67.504999999999995</v>
      </c>
      <c r="N788" s="116">
        <v>68.5</v>
      </c>
      <c r="O788" s="116">
        <v>67.004999999999995</v>
      </c>
      <c r="P788" s="116">
        <v>67.135000000000005</v>
      </c>
      <c r="Q788" s="116">
        <v>675.05</v>
      </c>
      <c r="R788">
        <v>7128399</v>
      </c>
    </row>
    <row r="789" spans="1:18" x14ac:dyDescent="0.25">
      <c r="A789" s="170">
        <v>43164</v>
      </c>
      <c r="B789" s="116">
        <v>66.900000000000006</v>
      </c>
      <c r="C789" s="116">
        <v>65.534999999999997</v>
      </c>
      <c r="D789" s="116">
        <v>65.204999999999998</v>
      </c>
      <c r="E789" s="116">
        <v>66.855000000000004</v>
      </c>
      <c r="F789" s="116">
        <v>655.35</v>
      </c>
      <c r="G789">
        <v>785954</v>
      </c>
      <c r="H789" s="116"/>
      <c r="I789" s="116"/>
      <c r="L789" s="170">
        <v>43164</v>
      </c>
      <c r="M789" s="116">
        <v>65.59</v>
      </c>
      <c r="N789" s="116">
        <v>66.930000000000007</v>
      </c>
      <c r="O789" s="116">
        <v>65.180000000000007</v>
      </c>
      <c r="P789" s="116">
        <v>66.924999999999997</v>
      </c>
      <c r="Q789" s="116">
        <v>655.9</v>
      </c>
      <c r="R789">
        <v>9785466</v>
      </c>
    </row>
    <row r="790" spans="1:18" x14ac:dyDescent="0.25">
      <c r="A790" s="170">
        <v>43165</v>
      </c>
      <c r="B790" s="116">
        <v>67.349999999999994</v>
      </c>
      <c r="C790" s="116">
        <v>66.05</v>
      </c>
      <c r="D790" s="116">
        <v>65.72</v>
      </c>
      <c r="E790" s="116">
        <v>66.295000000000002</v>
      </c>
      <c r="F790" s="116">
        <v>660.5</v>
      </c>
      <c r="G790">
        <v>898574</v>
      </c>
      <c r="H790" s="116"/>
      <c r="I790" s="116"/>
      <c r="L790" s="170">
        <v>43165</v>
      </c>
      <c r="M790" s="116">
        <v>65.974999999999994</v>
      </c>
      <c r="N790" s="116">
        <v>67.400000000000006</v>
      </c>
      <c r="O790" s="116">
        <v>65.655000000000001</v>
      </c>
      <c r="P790" s="116">
        <v>66.484999999999999</v>
      </c>
      <c r="Q790" s="116">
        <v>659.75</v>
      </c>
      <c r="R790">
        <v>8414960</v>
      </c>
    </row>
    <row r="791" spans="1:18" x14ac:dyDescent="0.25">
      <c r="A791" s="170">
        <v>43166</v>
      </c>
      <c r="B791" s="116">
        <v>66.105000000000004</v>
      </c>
      <c r="C791" s="116">
        <v>64.8</v>
      </c>
      <c r="D791" s="116">
        <v>64.52</v>
      </c>
      <c r="E791" s="116">
        <v>65.510000000000005</v>
      </c>
      <c r="F791" s="116">
        <v>648</v>
      </c>
      <c r="G791">
        <v>728907</v>
      </c>
      <c r="H791" s="116"/>
      <c r="I791" s="116"/>
      <c r="L791" s="170">
        <v>43166</v>
      </c>
      <c r="M791" s="116">
        <v>64.77</v>
      </c>
      <c r="N791" s="116">
        <v>66.14</v>
      </c>
      <c r="O791" s="116">
        <v>64.465000000000003</v>
      </c>
      <c r="P791" s="116">
        <v>65.7</v>
      </c>
      <c r="Q791" s="116">
        <v>647.70000000000005</v>
      </c>
      <c r="R791">
        <v>5130577</v>
      </c>
    </row>
    <row r="792" spans="1:18" x14ac:dyDescent="0.25">
      <c r="A792" s="170">
        <v>43167</v>
      </c>
      <c r="B792" s="116">
        <v>66.040000000000006</v>
      </c>
      <c r="C792" s="116">
        <v>63.52</v>
      </c>
      <c r="D792" s="116">
        <v>63.24</v>
      </c>
      <c r="E792" s="116">
        <v>65.454999999999998</v>
      </c>
      <c r="F792" s="116">
        <v>635.20000000000005</v>
      </c>
      <c r="G792">
        <v>621853</v>
      </c>
      <c r="H792" s="116"/>
      <c r="I792" s="116"/>
      <c r="L792" s="170">
        <v>43167</v>
      </c>
      <c r="M792" s="116">
        <v>63.59</v>
      </c>
      <c r="N792" s="116">
        <v>66.094999999999999</v>
      </c>
      <c r="O792" s="116">
        <v>63.27</v>
      </c>
      <c r="P792" s="116">
        <v>65.69</v>
      </c>
      <c r="Q792" s="116">
        <v>635.9</v>
      </c>
      <c r="R792">
        <v>7126105</v>
      </c>
    </row>
    <row r="793" spans="1:18" x14ac:dyDescent="0.25">
      <c r="A793" s="170">
        <v>43168</v>
      </c>
      <c r="B793" s="116">
        <v>64.644999999999996</v>
      </c>
      <c r="C793" s="116">
        <v>60.56</v>
      </c>
      <c r="D793" s="116">
        <v>60.1</v>
      </c>
      <c r="E793" s="116">
        <v>64.010000000000005</v>
      </c>
      <c r="F793" s="116">
        <v>605.6</v>
      </c>
      <c r="G793">
        <v>1228986</v>
      </c>
      <c r="H793" s="116"/>
      <c r="I793" s="116"/>
      <c r="L793" s="170">
        <v>43168</v>
      </c>
      <c r="M793" s="116">
        <v>60.674999999999997</v>
      </c>
      <c r="N793" s="116">
        <v>64.674999999999997</v>
      </c>
      <c r="O793" s="116">
        <v>60.15</v>
      </c>
      <c r="P793" s="116">
        <v>64.004999999999995</v>
      </c>
      <c r="Q793" s="116">
        <v>606.75</v>
      </c>
      <c r="R793">
        <v>18096367</v>
      </c>
    </row>
    <row r="794" spans="1:18" x14ac:dyDescent="0.25">
      <c r="A794" s="170">
        <v>43171</v>
      </c>
      <c r="B794" s="116">
        <v>62.6</v>
      </c>
      <c r="C794" s="116">
        <v>62.27</v>
      </c>
      <c r="D794" s="116">
        <v>60.66</v>
      </c>
      <c r="E794" s="116">
        <v>61.5</v>
      </c>
      <c r="F794" s="116">
        <v>622.70000000000005</v>
      </c>
      <c r="G794">
        <v>1110106</v>
      </c>
      <c r="H794" s="116"/>
      <c r="I794" s="116"/>
      <c r="L794" s="170">
        <v>43171</v>
      </c>
      <c r="M794" s="116">
        <v>62.29</v>
      </c>
      <c r="N794" s="116">
        <v>62.64</v>
      </c>
      <c r="O794" s="116">
        <v>60.64</v>
      </c>
      <c r="P794" s="116">
        <v>61.445</v>
      </c>
      <c r="Q794" s="116">
        <v>622.9</v>
      </c>
      <c r="R794">
        <v>12193581</v>
      </c>
    </row>
    <row r="795" spans="1:18" x14ac:dyDescent="0.25">
      <c r="A795" s="170">
        <v>43172</v>
      </c>
      <c r="B795" s="116">
        <v>63.22</v>
      </c>
      <c r="C795" s="116">
        <v>62.83</v>
      </c>
      <c r="D795" s="116">
        <v>61.44</v>
      </c>
      <c r="E795" s="116">
        <v>62.1</v>
      </c>
      <c r="F795" s="116">
        <v>628.29999999999995</v>
      </c>
      <c r="G795">
        <v>1575104</v>
      </c>
      <c r="H795" s="116"/>
      <c r="I795" s="116"/>
      <c r="L795" s="170">
        <v>43172</v>
      </c>
      <c r="M795" s="116">
        <v>62.884999999999998</v>
      </c>
      <c r="N795" s="116">
        <v>63.32</v>
      </c>
      <c r="O795" s="116">
        <v>61.435000000000002</v>
      </c>
      <c r="P795" s="116">
        <v>62.3</v>
      </c>
      <c r="Q795" s="116">
        <v>628.85</v>
      </c>
      <c r="R795">
        <v>10490405</v>
      </c>
    </row>
    <row r="796" spans="1:18" x14ac:dyDescent="0.25">
      <c r="A796" s="170">
        <v>43173</v>
      </c>
      <c r="B796" s="116">
        <v>63.03</v>
      </c>
      <c r="C796" s="116">
        <v>62.045000000000002</v>
      </c>
      <c r="D796" s="116">
        <v>61.84</v>
      </c>
      <c r="E796" s="116">
        <v>62.48</v>
      </c>
      <c r="F796" s="116">
        <v>620.45000000000005</v>
      </c>
      <c r="G796">
        <v>829614</v>
      </c>
      <c r="H796" s="116"/>
      <c r="I796" s="116"/>
      <c r="L796" s="170">
        <v>43173</v>
      </c>
      <c r="M796" s="116">
        <v>62.055</v>
      </c>
      <c r="N796" s="116">
        <v>63.09</v>
      </c>
      <c r="O796" s="116">
        <v>61.86</v>
      </c>
      <c r="P796" s="116">
        <v>62.4</v>
      </c>
      <c r="Q796" s="116">
        <v>620.54999999999995</v>
      </c>
      <c r="R796">
        <v>8655181</v>
      </c>
    </row>
    <row r="797" spans="1:18" x14ac:dyDescent="0.25">
      <c r="A797" s="170">
        <v>43174</v>
      </c>
      <c r="B797" s="116">
        <v>62.24</v>
      </c>
      <c r="C797" s="116">
        <v>61.14</v>
      </c>
      <c r="D797" s="116">
        <v>60.96</v>
      </c>
      <c r="E797" s="116">
        <v>62.09</v>
      </c>
      <c r="F797" s="116">
        <v>611.4</v>
      </c>
      <c r="G797">
        <v>819447</v>
      </c>
      <c r="H797" s="116"/>
      <c r="I797" s="116"/>
      <c r="L797" s="170">
        <v>43174</v>
      </c>
      <c r="M797" s="116">
        <v>61.174999999999997</v>
      </c>
      <c r="N797" s="116">
        <v>62.26</v>
      </c>
      <c r="O797" s="116">
        <v>60.96</v>
      </c>
      <c r="P797" s="116">
        <v>62</v>
      </c>
      <c r="Q797" s="116">
        <v>611.75</v>
      </c>
      <c r="R797">
        <v>7510951</v>
      </c>
    </row>
    <row r="798" spans="1:18" x14ac:dyDescent="0.25">
      <c r="A798" s="170">
        <v>43175</v>
      </c>
      <c r="B798" s="116">
        <v>61.4</v>
      </c>
      <c r="C798" s="116">
        <v>60.05</v>
      </c>
      <c r="D798" s="116">
        <v>59.445</v>
      </c>
      <c r="E798" s="116">
        <v>61.2</v>
      </c>
      <c r="F798" s="116">
        <v>600.5</v>
      </c>
      <c r="G798">
        <v>969280</v>
      </c>
      <c r="H798" s="116"/>
      <c r="I798" s="116"/>
      <c r="L798" s="170">
        <v>43175</v>
      </c>
      <c r="M798" s="116">
        <v>60.02</v>
      </c>
      <c r="N798" s="116">
        <v>61.39</v>
      </c>
      <c r="O798" s="116">
        <v>59.44</v>
      </c>
      <c r="P798" s="116">
        <v>61.174999999999997</v>
      </c>
      <c r="Q798" s="116">
        <v>600.20000000000005</v>
      </c>
      <c r="R798">
        <v>11739582</v>
      </c>
    </row>
    <row r="799" spans="1:18" x14ac:dyDescent="0.25">
      <c r="A799" s="170">
        <v>43178</v>
      </c>
      <c r="B799" s="116">
        <v>60.2</v>
      </c>
      <c r="C799" s="116">
        <v>57.505000000000003</v>
      </c>
      <c r="D799" s="116">
        <v>57.31</v>
      </c>
      <c r="E799" s="116">
        <v>60.2</v>
      </c>
      <c r="F799" s="116">
        <v>575.04999999999995</v>
      </c>
      <c r="G799">
        <v>1040011</v>
      </c>
      <c r="H799" s="116"/>
      <c r="I799" s="116"/>
      <c r="L799" s="170">
        <v>43178</v>
      </c>
      <c r="M799" s="116">
        <v>57.494999999999997</v>
      </c>
      <c r="N799" s="116">
        <v>60.19</v>
      </c>
      <c r="O799" s="116">
        <v>57.284999999999997</v>
      </c>
      <c r="P799" s="116">
        <v>60</v>
      </c>
      <c r="Q799" s="116">
        <v>574.95000000000005</v>
      </c>
      <c r="R799">
        <v>12542317</v>
      </c>
    </row>
    <row r="800" spans="1:18" x14ac:dyDescent="0.25">
      <c r="A800" s="170">
        <v>43179</v>
      </c>
      <c r="B800" s="116">
        <v>60.12</v>
      </c>
      <c r="C800" s="116">
        <v>59.33</v>
      </c>
      <c r="D800" s="116">
        <v>56.854999999999997</v>
      </c>
      <c r="E800" s="116">
        <v>57.25</v>
      </c>
      <c r="F800" s="116">
        <v>593.29999999999995</v>
      </c>
      <c r="G800">
        <v>1376082</v>
      </c>
      <c r="H800" s="116"/>
      <c r="I800" s="116"/>
      <c r="L800" s="170">
        <v>43179</v>
      </c>
      <c r="M800" s="116">
        <v>59.3</v>
      </c>
      <c r="N800" s="116">
        <v>60.09</v>
      </c>
      <c r="O800" s="116">
        <v>56.844999999999999</v>
      </c>
      <c r="P800" s="116">
        <v>57.1</v>
      </c>
      <c r="Q800" s="116">
        <v>593</v>
      </c>
      <c r="R800">
        <v>17645035</v>
      </c>
    </row>
    <row r="801" spans="1:18" x14ac:dyDescent="0.25">
      <c r="A801" s="170">
        <v>43180</v>
      </c>
      <c r="B801" s="116">
        <v>60.225000000000001</v>
      </c>
      <c r="C801" s="116">
        <v>58.234999999999999</v>
      </c>
      <c r="D801" s="116">
        <v>58.11</v>
      </c>
      <c r="E801" s="116">
        <v>59.73</v>
      </c>
      <c r="F801" s="116">
        <v>582.35</v>
      </c>
      <c r="G801">
        <v>758190</v>
      </c>
      <c r="H801" s="116"/>
      <c r="I801" s="116"/>
      <c r="L801" s="170">
        <v>43180</v>
      </c>
      <c r="M801" s="116">
        <v>58.225000000000001</v>
      </c>
      <c r="N801" s="116">
        <v>60.17</v>
      </c>
      <c r="O801" s="116">
        <v>58.05</v>
      </c>
      <c r="P801" s="116">
        <v>59.895000000000003</v>
      </c>
      <c r="Q801" s="116">
        <v>582.25</v>
      </c>
      <c r="R801">
        <v>11939451</v>
      </c>
    </row>
    <row r="802" spans="1:18" x14ac:dyDescent="0.25">
      <c r="A802" s="170">
        <v>43181</v>
      </c>
      <c r="B802" s="116">
        <v>58.75</v>
      </c>
      <c r="C802" s="116">
        <v>58.055</v>
      </c>
      <c r="D802" s="116">
        <v>57.23</v>
      </c>
      <c r="E802" s="116">
        <v>58.29</v>
      </c>
      <c r="F802" s="116">
        <v>580.54999999999995</v>
      </c>
      <c r="G802">
        <v>1026343</v>
      </c>
      <c r="H802" s="116"/>
      <c r="I802" s="116"/>
      <c r="L802" s="170">
        <v>43181</v>
      </c>
      <c r="M802" s="116">
        <v>58.09</v>
      </c>
      <c r="N802" s="116">
        <v>58.744999999999997</v>
      </c>
      <c r="O802" s="116">
        <v>57.2</v>
      </c>
      <c r="P802" s="116">
        <v>58.27</v>
      </c>
      <c r="Q802" s="116">
        <v>580.9</v>
      </c>
      <c r="R802">
        <v>11486245</v>
      </c>
    </row>
    <row r="803" spans="1:18" x14ac:dyDescent="0.25">
      <c r="A803" s="170">
        <v>43182</v>
      </c>
      <c r="B803" s="116">
        <v>56.924999999999997</v>
      </c>
      <c r="C803" s="116">
        <v>56.66</v>
      </c>
      <c r="D803" s="116">
        <v>55.41</v>
      </c>
      <c r="E803" s="116">
        <v>56.1</v>
      </c>
      <c r="F803" s="116">
        <v>566.6</v>
      </c>
      <c r="G803">
        <v>942198</v>
      </c>
      <c r="H803" s="116"/>
      <c r="I803" s="116"/>
      <c r="L803" s="170">
        <v>43182</v>
      </c>
      <c r="M803" s="116">
        <v>56.65</v>
      </c>
      <c r="N803" s="116">
        <v>56.88</v>
      </c>
      <c r="O803" s="116">
        <v>55.35</v>
      </c>
      <c r="P803" s="116">
        <v>56.005000000000003</v>
      </c>
      <c r="Q803" s="116">
        <v>566.5</v>
      </c>
      <c r="R803">
        <v>14133550</v>
      </c>
    </row>
    <row r="804" spans="1:18" x14ac:dyDescent="0.25">
      <c r="A804" s="170">
        <v>43185</v>
      </c>
      <c r="B804" s="116">
        <v>58.87</v>
      </c>
      <c r="C804" s="116">
        <v>58.244999999999997</v>
      </c>
      <c r="D804" s="116">
        <v>56.134999999999998</v>
      </c>
      <c r="E804" s="116">
        <v>56.734999999999999</v>
      </c>
      <c r="F804" s="116">
        <v>582.45000000000005</v>
      </c>
      <c r="G804">
        <v>675460</v>
      </c>
      <c r="H804" s="116"/>
      <c r="I804" s="116"/>
      <c r="L804" s="170">
        <v>43185</v>
      </c>
      <c r="M804" s="116">
        <v>58.155000000000001</v>
      </c>
      <c r="N804" s="116">
        <v>58.835000000000001</v>
      </c>
      <c r="O804" s="116">
        <v>56.08</v>
      </c>
      <c r="P804" s="116">
        <v>56.89</v>
      </c>
      <c r="Q804" s="116">
        <v>581.54999999999995</v>
      </c>
      <c r="R804">
        <v>10929998</v>
      </c>
    </row>
    <row r="805" spans="1:18" x14ac:dyDescent="0.25">
      <c r="A805" s="170">
        <v>43186</v>
      </c>
      <c r="B805" s="116">
        <v>59.884999999999998</v>
      </c>
      <c r="C805" s="116">
        <v>59.005000000000003</v>
      </c>
      <c r="D805" s="116">
        <v>58.78</v>
      </c>
      <c r="E805" s="116">
        <v>59</v>
      </c>
      <c r="F805" s="116">
        <v>590.04999999999995</v>
      </c>
      <c r="G805">
        <v>555877</v>
      </c>
      <c r="H805" s="116"/>
      <c r="I805" s="116"/>
      <c r="L805" s="170">
        <v>43186</v>
      </c>
      <c r="M805" s="116">
        <v>59</v>
      </c>
      <c r="N805" s="116">
        <v>59.9</v>
      </c>
      <c r="O805" s="116">
        <v>58.755000000000003</v>
      </c>
      <c r="P805" s="116">
        <v>59.045000000000002</v>
      </c>
      <c r="Q805" s="116">
        <v>590</v>
      </c>
      <c r="R805">
        <v>10038168</v>
      </c>
    </row>
    <row r="806" spans="1:18" x14ac:dyDescent="0.25">
      <c r="A806" s="170">
        <v>43187</v>
      </c>
      <c r="B806" s="116">
        <v>58.375</v>
      </c>
      <c r="C806" s="116">
        <v>57.09</v>
      </c>
      <c r="D806" s="116">
        <v>56.55</v>
      </c>
      <c r="E806" s="116">
        <v>58.06</v>
      </c>
      <c r="F806" s="116">
        <v>570.9</v>
      </c>
      <c r="G806">
        <v>642572</v>
      </c>
      <c r="H806" s="116"/>
      <c r="I806" s="116"/>
      <c r="L806" s="170">
        <v>43187</v>
      </c>
      <c r="M806" s="116">
        <v>57.104999999999997</v>
      </c>
      <c r="N806" s="116">
        <v>58.3</v>
      </c>
      <c r="O806" s="116">
        <v>56.53</v>
      </c>
      <c r="P806" s="116">
        <v>58.104999999999997</v>
      </c>
      <c r="Q806" s="116">
        <v>571.04999999999995</v>
      </c>
      <c r="R806">
        <v>18655057</v>
      </c>
    </row>
    <row r="807" spans="1:18" x14ac:dyDescent="0.25">
      <c r="A807" s="170">
        <v>43192</v>
      </c>
      <c r="B807" s="116">
        <v>58.02</v>
      </c>
      <c r="C807" s="116">
        <v>57.854999999999997</v>
      </c>
      <c r="D807" s="116">
        <v>56.89</v>
      </c>
      <c r="E807" s="116">
        <v>57.494999999999997</v>
      </c>
      <c r="F807" s="116">
        <v>578.54999999999995</v>
      </c>
      <c r="G807">
        <v>525873</v>
      </c>
      <c r="H807" s="116"/>
      <c r="I807" s="116"/>
      <c r="L807" s="170">
        <v>43192</v>
      </c>
      <c r="M807" s="116">
        <v>57.88</v>
      </c>
      <c r="N807" s="116">
        <v>58.03</v>
      </c>
      <c r="O807" s="116">
        <v>56.81</v>
      </c>
      <c r="P807" s="116">
        <v>57.31</v>
      </c>
      <c r="Q807" s="116">
        <v>578.79999999999995</v>
      </c>
      <c r="R807">
        <v>6889345</v>
      </c>
    </row>
    <row r="808" spans="1:18" x14ac:dyDescent="0.25">
      <c r="A808" s="170">
        <v>43193</v>
      </c>
      <c r="B808" s="116">
        <v>58.545000000000002</v>
      </c>
      <c r="C808" s="116">
        <v>57.95</v>
      </c>
      <c r="D808" s="116">
        <v>56.9</v>
      </c>
      <c r="E808" s="116">
        <v>57.5</v>
      </c>
      <c r="F808" s="116">
        <v>579.5</v>
      </c>
      <c r="G808">
        <v>844122</v>
      </c>
      <c r="H808" s="116"/>
      <c r="I808" s="116"/>
      <c r="L808" s="170">
        <v>43193</v>
      </c>
      <c r="M808" s="116">
        <v>57.97</v>
      </c>
      <c r="N808" s="116">
        <v>58.545000000000002</v>
      </c>
      <c r="O808" s="116">
        <v>56.835000000000001</v>
      </c>
      <c r="P808" s="116">
        <v>57.02</v>
      </c>
      <c r="Q808" s="116">
        <v>579.70000000000005</v>
      </c>
      <c r="R808">
        <v>10508317</v>
      </c>
    </row>
    <row r="809" spans="1:18" x14ac:dyDescent="0.25">
      <c r="A809" s="170">
        <v>43194</v>
      </c>
      <c r="B809" s="116">
        <v>58.99</v>
      </c>
      <c r="C809" s="116">
        <v>56.045000000000002</v>
      </c>
      <c r="D809" s="116">
        <v>55.8</v>
      </c>
      <c r="E809" s="116">
        <v>58.255000000000003</v>
      </c>
      <c r="F809" s="116">
        <v>560.45000000000005</v>
      </c>
      <c r="G809">
        <v>1114867</v>
      </c>
      <c r="H809" s="116"/>
      <c r="I809" s="116"/>
      <c r="L809" s="170">
        <v>43194</v>
      </c>
      <c r="M809" s="116">
        <v>56.055</v>
      </c>
      <c r="N809" s="116">
        <v>59.05</v>
      </c>
      <c r="O809" s="116">
        <v>55.755000000000003</v>
      </c>
      <c r="P809" s="116">
        <v>58.31</v>
      </c>
      <c r="Q809" s="116">
        <v>560.54999999999995</v>
      </c>
      <c r="R809">
        <v>13909893</v>
      </c>
    </row>
    <row r="810" spans="1:18" x14ac:dyDescent="0.25">
      <c r="A810" s="170">
        <v>43195</v>
      </c>
      <c r="B810" s="116">
        <v>58.3</v>
      </c>
      <c r="C810" s="116">
        <v>58.1</v>
      </c>
      <c r="D810" s="116">
        <v>56.954999999999998</v>
      </c>
      <c r="E810" s="116">
        <v>57.234999999999999</v>
      </c>
      <c r="F810" s="116">
        <v>581</v>
      </c>
      <c r="G810">
        <v>636353</v>
      </c>
      <c r="H810" s="116"/>
      <c r="I810" s="116"/>
      <c r="L810" s="170">
        <v>43195</v>
      </c>
      <c r="M810" s="116">
        <v>58.045000000000002</v>
      </c>
      <c r="N810" s="116">
        <v>58.36</v>
      </c>
      <c r="O810" s="116">
        <v>56.95</v>
      </c>
      <c r="P810" s="116">
        <v>57.384999999999998</v>
      </c>
      <c r="Q810" s="116">
        <v>580.45000000000005</v>
      </c>
      <c r="R810">
        <v>13262168</v>
      </c>
    </row>
    <row r="811" spans="1:18" x14ac:dyDescent="0.25">
      <c r="A811" s="170">
        <v>43196</v>
      </c>
      <c r="B811" s="116">
        <v>58.905000000000001</v>
      </c>
      <c r="C811" s="116">
        <v>58.634999999999998</v>
      </c>
      <c r="D811" s="116">
        <v>57.3</v>
      </c>
      <c r="E811" s="116">
        <v>57.6</v>
      </c>
      <c r="F811" s="116">
        <v>586.35</v>
      </c>
      <c r="G811">
        <v>466182</v>
      </c>
      <c r="H811" s="116"/>
      <c r="I811" s="116"/>
      <c r="L811" s="170">
        <v>43196</v>
      </c>
      <c r="M811" s="116">
        <v>58.72</v>
      </c>
      <c r="N811" s="116">
        <v>58.99</v>
      </c>
      <c r="O811" s="116">
        <v>57.3</v>
      </c>
      <c r="P811" s="116">
        <v>57.484999999999999</v>
      </c>
      <c r="Q811" s="116">
        <v>587.20000000000005</v>
      </c>
      <c r="R811">
        <v>8520201</v>
      </c>
    </row>
    <row r="812" spans="1:18" x14ac:dyDescent="0.25">
      <c r="A812" s="170">
        <v>43199</v>
      </c>
      <c r="B812" s="116">
        <v>59.5</v>
      </c>
      <c r="C812" s="116">
        <v>58.655000000000001</v>
      </c>
      <c r="D812" s="116">
        <v>58.4</v>
      </c>
      <c r="E812" s="116">
        <v>58.875</v>
      </c>
      <c r="F812" s="116">
        <v>586.54999999999995</v>
      </c>
      <c r="G812">
        <v>478889</v>
      </c>
      <c r="H812" s="116"/>
      <c r="I812" s="116"/>
      <c r="L812" s="170">
        <v>43199</v>
      </c>
      <c r="M812" s="116">
        <v>58.615000000000002</v>
      </c>
      <c r="N812" s="116">
        <v>59.575000000000003</v>
      </c>
      <c r="O812" s="116">
        <v>58.34</v>
      </c>
      <c r="P812" s="116">
        <v>58.95</v>
      </c>
      <c r="Q812" s="116">
        <v>586.15</v>
      </c>
      <c r="R812">
        <v>9489221</v>
      </c>
    </row>
    <row r="813" spans="1:18" x14ac:dyDescent="0.25">
      <c r="A813" s="170">
        <v>43200</v>
      </c>
      <c r="B813" s="116">
        <v>60.39</v>
      </c>
      <c r="C813" s="116">
        <v>60.17</v>
      </c>
      <c r="D813" s="116">
        <v>59.134999999999998</v>
      </c>
      <c r="E813" s="116">
        <v>59.134999999999998</v>
      </c>
      <c r="F813" s="116">
        <v>601.70000000000005</v>
      </c>
      <c r="G813">
        <v>612509</v>
      </c>
      <c r="H813" s="116"/>
      <c r="I813" s="116"/>
      <c r="L813" s="170">
        <v>43200</v>
      </c>
      <c r="M813" s="116">
        <v>60.19</v>
      </c>
      <c r="N813" s="116">
        <v>60.46</v>
      </c>
      <c r="O813" s="116">
        <v>59.23</v>
      </c>
      <c r="P813" s="116">
        <v>59.3</v>
      </c>
      <c r="Q813" s="116">
        <v>601.9</v>
      </c>
      <c r="R813">
        <v>10850710</v>
      </c>
    </row>
    <row r="814" spans="1:18" x14ac:dyDescent="0.25">
      <c r="A814" s="170">
        <v>43201</v>
      </c>
      <c r="B814" s="116">
        <v>61</v>
      </c>
      <c r="C814" s="116">
        <v>60.77</v>
      </c>
      <c r="D814" s="116">
        <v>60.05</v>
      </c>
      <c r="E814" s="116">
        <v>60.9</v>
      </c>
      <c r="F814" s="116">
        <v>607.70000000000005</v>
      </c>
      <c r="G814">
        <v>514667</v>
      </c>
      <c r="H814" s="116"/>
      <c r="I814" s="116"/>
      <c r="L814" s="170">
        <v>43201</v>
      </c>
      <c r="M814" s="116">
        <v>60.805</v>
      </c>
      <c r="N814" s="116">
        <v>61.09</v>
      </c>
      <c r="O814" s="116">
        <v>60.034999999999997</v>
      </c>
      <c r="P814" s="116">
        <v>60.8</v>
      </c>
      <c r="Q814" s="116">
        <v>608.04999999999995</v>
      </c>
      <c r="R814">
        <v>8724716</v>
      </c>
    </row>
    <row r="815" spans="1:18" x14ac:dyDescent="0.25">
      <c r="A815" s="170">
        <v>43202</v>
      </c>
      <c r="B815" s="116">
        <v>60.85</v>
      </c>
      <c r="C815" s="116">
        <v>59.854999999999997</v>
      </c>
      <c r="D815" s="116">
        <v>59.6</v>
      </c>
      <c r="E815" s="116">
        <v>60.67</v>
      </c>
      <c r="F815" s="116">
        <v>598.54999999999995</v>
      </c>
      <c r="G815">
        <v>283733</v>
      </c>
      <c r="H815" s="116"/>
      <c r="I815" s="116"/>
      <c r="L815" s="170">
        <v>43202</v>
      </c>
      <c r="M815" s="116">
        <v>59.84</v>
      </c>
      <c r="N815" s="116">
        <v>60.875</v>
      </c>
      <c r="O815" s="116">
        <v>59.67</v>
      </c>
      <c r="P815" s="116">
        <v>60.69</v>
      </c>
      <c r="Q815" s="116">
        <v>598.4</v>
      </c>
      <c r="R815">
        <v>6628499</v>
      </c>
    </row>
    <row r="816" spans="1:18" x14ac:dyDescent="0.25">
      <c r="A816" s="170">
        <v>43203</v>
      </c>
      <c r="B816" s="116">
        <v>60.48</v>
      </c>
      <c r="C816" s="116">
        <v>59.53</v>
      </c>
      <c r="D816" s="116">
        <v>59.2</v>
      </c>
      <c r="E816" s="116">
        <v>59.9</v>
      </c>
      <c r="F816" s="116">
        <v>595.29999999999995</v>
      </c>
      <c r="G816">
        <v>453641</v>
      </c>
      <c r="H816" s="116"/>
      <c r="I816" s="116"/>
      <c r="L816" s="170">
        <v>43203</v>
      </c>
      <c r="M816" s="116">
        <v>59.405000000000001</v>
      </c>
      <c r="N816" s="116">
        <v>60.47</v>
      </c>
      <c r="O816" s="116">
        <v>59.04</v>
      </c>
      <c r="P816" s="116">
        <v>60</v>
      </c>
      <c r="Q816" s="116">
        <v>594.04999999999995</v>
      </c>
      <c r="R816">
        <v>6716146</v>
      </c>
    </row>
    <row r="817" spans="1:18" x14ac:dyDescent="0.25">
      <c r="A817" s="170">
        <v>43206</v>
      </c>
      <c r="B817" s="116">
        <v>59.65</v>
      </c>
      <c r="C817" s="116">
        <v>59.24</v>
      </c>
      <c r="D817" s="116">
        <v>58.56</v>
      </c>
      <c r="E817" s="116">
        <v>59.28</v>
      </c>
      <c r="F817" s="116">
        <v>592.4</v>
      </c>
      <c r="G817">
        <v>309131</v>
      </c>
      <c r="H817" s="116"/>
      <c r="I817" s="116"/>
      <c r="L817" s="170">
        <v>43206</v>
      </c>
      <c r="M817" s="116">
        <v>59.16</v>
      </c>
      <c r="N817" s="116">
        <v>59.68</v>
      </c>
      <c r="O817" s="116">
        <v>58.515000000000001</v>
      </c>
      <c r="P817" s="116">
        <v>59.1</v>
      </c>
      <c r="Q817" s="116">
        <v>591.6</v>
      </c>
      <c r="R817">
        <v>5145813</v>
      </c>
    </row>
    <row r="818" spans="1:18" x14ac:dyDescent="0.25">
      <c r="A818" s="170">
        <v>43207</v>
      </c>
      <c r="B818" s="116">
        <v>60.46</v>
      </c>
      <c r="C818" s="116">
        <v>59.585000000000001</v>
      </c>
      <c r="D818" s="116">
        <v>59.255000000000003</v>
      </c>
      <c r="E818" s="116">
        <v>59.45</v>
      </c>
      <c r="F818" s="116">
        <v>595.85</v>
      </c>
      <c r="G818">
        <v>404432</v>
      </c>
      <c r="H818" s="116"/>
      <c r="I818" s="116"/>
      <c r="L818" s="170">
        <v>43207</v>
      </c>
      <c r="M818" s="116">
        <v>59.604999999999997</v>
      </c>
      <c r="N818" s="116">
        <v>60.46</v>
      </c>
      <c r="O818" s="116">
        <v>59.195</v>
      </c>
      <c r="P818" s="116">
        <v>59.5</v>
      </c>
      <c r="Q818" s="116">
        <v>596.04999999999995</v>
      </c>
      <c r="R818">
        <v>6400378</v>
      </c>
    </row>
    <row r="819" spans="1:18" x14ac:dyDescent="0.25">
      <c r="A819" s="170">
        <v>43208</v>
      </c>
      <c r="B819" s="116">
        <v>60.47</v>
      </c>
      <c r="C819" s="116">
        <v>60.15</v>
      </c>
      <c r="D819" s="116">
        <v>59.49</v>
      </c>
      <c r="E819" s="116">
        <v>60.05</v>
      </c>
      <c r="F819" s="116">
        <v>601.5</v>
      </c>
      <c r="G819">
        <v>260734</v>
      </c>
      <c r="H819" s="116"/>
      <c r="I819" s="116"/>
      <c r="L819" s="170">
        <v>43208</v>
      </c>
      <c r="M819" s="116">
        <v>60.16</v>
      </c>
      <c r="N819" s="116">
        <v>60.49</v>
      </c>
      <c r="O819" s="116">
        <v>59.46</v>
      </c>
      <c r="P819" s="116">
        <v>60.094999999999999</v>
      </c>
      <c r="Q819" s="116">
        <v>601.6</v>
      </c>
      <c r="R819">
        <v>4259135</v>
      </c>
    </row>
    <row r="820" spans="1:18" x14ac:dyDescent="0.25">
      <c r="A820" s="170">
        <v>43209</v>
      </c>
      <c r="B820" s="116">
        <v>62.39</v>
      </c>
      <c r="C820" s="116">
        <v>62.055</v>
      </c>
      <c r="D820" s="116">
        <v>60.6</v>
      </c>
      <c r="E820" s="116">
        <v>60.97</v>
      </c>
      <c r="F820" s="116">
        <v>620.54999999999995</v>
      </c>
      <c r="G820">
        <v>682670</v>
      </c>
      <c r="H820" s="116"/>
      <c r="I820" s="116"/>
      <c r="L820" s="170">
        <v>43209</v>
      </c>
      <c r="M820" s="116">
        <v>62.195</v>
      </c>
      <c r="N820" s="116">
        <v>62.45</v>
      </c>
      <c r="O820" s="116">
        <v>60.604999999999997</v>
      </c>
      <c r="P820" s="116">
        <v>60.604999999999997</v>
      </c>
      <c r="Q820" s="116">
        <v>621.95000000000005</v>
      </c>
      <c r="R820">
        <v>10817008</v>
      </c>
    </row>
    <row r="821" spans="1:18" x14ac:dyDescent="0.25">
      <c r="A821" s="170">
        <v>43210</v>
      </c>
      <c r="B821" s="116">
        <v>61.994999999999997</v>
      </c>
      <c r="C821" s="116">
        <v>60.634999999999998</v>
      </c>
      <c r="D821" s="116">
        <v>60.38</v>
      </c>
      <c r="E821" s="116">
        <v>61.994999999999997</v>
      </c>
      <c r="F821" s="116">
        <v>606.35</v>
      </c>
      <c r="G821">
        <v>452581</v>
      </c>
      <c r="H821" s="116"/>
      <c r="I821" s="116"/>
      <c r="L821" s="170">
        <v>43210</v>
      </c>
      <c r="M821" s="116">
        <v>60.62</v>
      </c>
      <c r="N821" s="116">
        <v>61.895000000000003</v>
      </c>
      <c r="O821" s="116">
        <v>60.26</v>
      </c>
      <c r="P821" s="116">
        <v>61.895000000000003</v>
      </c>
      <c r="Q821" s="116">
        <v>606.20000000000005</v>
      </c>
      <c r="R821">
        <v>6346274</v>
      </c>
    </row>
    <row r="822" spans="1:18" x14ac:dyDescent="0.25">
      <c r="A822" s="170">
        <v>43213</v>
      </c>
      <c r="B822" s="116">
        <v>61.04</v>
      </c>
      <c r="C822" s="116">
        <v>60.57</v>
      </c>
      <c r="D822" s="116">
        <v>60.05</v>
      </c>
      <c r="E822" s="116">
        <v>60.8</v>
      </c>
      <c r="F822" s="116">
        <v>605.70000000000005</v>
      </c>
      <c r="G822">
        <v>242075</v>
      </c>
      <c r="H822" s="116"/>
      <c r="I822" s="116"/>
      <c r="L822" s="170">
        <v>43213</v>
      </c>
      <c r="M822" s="116">
        <v>60.66</v>
      </c>
      <c r="N822" s="116">
        <v>61.1</v>
      </c>
      <c r="O822" s="116">
        <v>60.01</v>
      </c>
      <c r="P822" s="116">
        <v>60.83</v>
      </c>
      <c r="Q822" s="116">
        <v>606.6</v>
      </c>
      <c r="R822">
        <v>4591161</v>
      </c>
    </row>
    <row r="823" spans="1:18" x14ac:dyDescent="0.25">
      <c r="A823" s="170">
        <v>43214</v>
      </c>
      <c r="B823" s="116">
        <v>60.21</v>
      </c>
      <c r="C823" s="116">
        <v>59.825000000000003</v>
      </c>
      <c r="D823" s="116">
        <v>59.034999999999997</v>
      </c>
      <c r="E823" s="116">
        <v>59.5</v>
      </c>
      <c r="F823" s="116">
        <v>598.25</v>
      </c>
      <c r="G823">
        <v>345126</v>
      </c>
      <c r="H823" s="116"/>
      <c r="I823" s="116"/>
      <c r="L823" s="170">
        <v>43214</v>
      </c>
      <c r="M823" s="116">
        <v>59.755000000000003</v>
      </c>
      <c r="N823" s="116">
        <v>60.18</v>
      </c>
      <c r="O823" s="116">
        <v>58.94</v>
      </c>
      <c r="P823" s="116">
        <v>59.445</v>
      </c>
      <c r="Q823" s="116">
        <v>597.54999999999995</v>
      </c>
      <c r="R823">
        <v>5953046</v>
      </c>
    </row>
    <row r="824" spans="1:18" x14ac:dyDescent="0.25">
      <c r="A824" s="170">
        <v>43215</v>
      </c>
      <c r="B824" s="116">
        <v>59.825000000000003</v>
      </c>
      <c r="C824" s="116">
        <v>58.62</v>
      </c>
      <c r="D824" s="116">
        <v>58.5</v>
      </c>
      <c r="E824" s="116">
        <v>59.66</v>
      </c>
      <c r="F824" s="116">
        <v>586.20000000000005</v>
      </c>
      <c r="G824">
        <v>262441</v>
      </c>
      <c r="H824" s="116"/>
      <c r="I824" s="116"/>
      <c r="L824" s="170">
        <v>43215</v>
      </c>
      <c r="M824" s="116">
        <v>58.62</v>
      </c>
      <c r="N824" s="116">
        <v>59.85</v>
      </c>
      <c r="O824" s="116">
        <v>58.43</v>
      </c>
      <c r="P824" s="116">
        <v>59.8</v>
      </c>
      <c r="Q824" s="116">
        <v>586.20000000000005</v>
      </c>
      <c r="R824">
        <v>4122443</v>
      </c>
    </row>
    <row r="825" spans="1:18" x14ac:dyDescent="0.25">
      <c r="A825" s="170">
        <v>43216</v>
      </c>
      <c r="B825" s="116">
        <v>59.15</v>
      </c>
      <c r="C825" s="116">
        <v>57.905000000000001</v>
      </c>
      <c r="D825" s="116">
        <v>57.8</v>
      </c>
      <c r="E825" s="116">
        <v>58.7</v>
      </c>
      <c r="F825" s="116">
        <v>579.04999999999995</v>
      </c>
      <c r="G825">
        <v>380079</v>
      </c>
      <c r="H825" s="116"/>
      <c r="I825" s="116"/>
      <c r="L825" s="170">
        <v>43216</v>
      </c>
      <c r="M825" s="116">
        <v>57.82</v>
      </c>
      <c r="N825" s="116">
        <v>59.155000000000001</v>
      </c>
      <c r="O825" s="116">
        <v>57.67</v>
      </c>
      <c r="P825" s="116">
        <v>58.8</v>
      </c>
      <c r="Q825" s="116">
        <v>578.20000000000005</v>
      </c>
      <c r="R825">
        <v>7463062</v>
      </c>
    </row>
    <row r="826" spans="1:18" x14ac:dyDescent="0.25">
      <c r="A826" s="170">
        <v>43217</v>
      </c>
      <c r="B826" s="116">
        <v>59.43</v>
      </c>
      <c r="C826" s="116">
        <v>58.965000000000003</v>
      </c>
      <c r="D826" s="116">
        <v>58.094999999999999</v>
      </c>
      <c r="E826" s="116">
        <v>58.094999999999999</v>
      </c>
      <c r="F826" s="116">
        <v>589.65</v>
      </c>
      <c r="G826">
        <v>298602</v>
      </c>
      <c r="H826" s="116"/>
      <c r="I826" s="116"/>
      <c r="L826" s="170">
        <v>43217</v>
      </c>
      <c r="M826" s="116">
        <v>58.98</v>
      </c>
      <c r="N826" s="116">
        <v>59.475000000000001</v>
      </c>
      <c r="O826" s="116">
        <v>58.125</v>
      </c>
      <c r="P826" s="116">
        <v>58.295000000000002</v>
      </c>
      <c r="Q826" s="116">
        <v>589.79999999999995</v>
      </c>
      <c r="R826">
        <v>4717405</v>
      </c>
    </row>
    <row r="827" spans="1:18" x14ac:dyDescent="0.25">
      <c r="A827" s="170">
        <v>43220</v>
      </c>
      <c r="B827" s="116">
        <v>59.96</v>
      </c>
      <c r="C827" s="116">
        <v>59.47</v>
      </c>
      <c r="D827" s="116">
        <v>58.615000000000002</v>
      </c>
      <c r="E827" s="116">
        <v>58.9</v>
      </c>
      <c r="F827" s="116">
        <v>594.70000000000005</v>
      </c>
      <c r="G827">
        <v>258118</v>
      </c>
      <c r="H827" s="116"/>
      <c r="I827" s="116"/>
      <c r="L827" s="170">
        <v>43220</v>
      </c>
      <c r="M827" s="116">
        <v>59.494999999999997</v>
      </c>
      <c r="N827" s="116">
        <v>59.99</v>
      </c>
      <c r="O827" s="116">
        <v>58.6</v>
      </c>
      <c r="P827" s="116">
        <v>59.164999999999999</v>
      </c>
      <c r="Q827" s="116">
        <v>594.95000000000005</v>
      </c>
      <c r="R827">
        <v>3658754</v>
      </c>
    </row>
    <row r="828" spans="1:18" x14ac:dyDescent="0.25">
      <c r="A828" s="170">
        <v>43222</v>
      </c>
      <c r="B828" s="116">
        <v>59.67</v>
      </c>
      <c r="C828" s="116">
        <v>57.505000000000003</v>
      </c>
      <c r="D828" s="116">
        <v>57.335000000000001</v>
      </c>
      <c r="E828" s="116">
        <v>59.67</v>
      </c>
      <c r="F828" s="116">
        <v>575.04999999999995</v>
      </c>
      <c r="G828">
        <v>290878</v>
      </c>
      <c r="H828" s="116"/>
      <c r="I828" s="116"/>
      <c r="L828" s="170">
        <v>43222</v>
      </c>
      <c r="M828" s="116">
        <v>57.45</v>
      </c>
      <c r="N828" s="116">
        <v>59.74</v>
      </c>
      <c r="O828" s="116">
        <v>57.295000000000002</v>
      </c>
      <c r="P828" s="116">
        <v>59.71</v>
      </c>
      <c r="Q828" s="116">
        <v>574.5</v>
      </c>
      <c r="R828">
        <v>4241068</v>
      </c>
    </row>
    <row r="829" spans="1:18" x14ac:dyDescent="0.25">
      <c r="A829" s="170">
        <v>43223</v>
      </c>
      <c r="B829" s="116">
        <v>58.8</v>
      </c>
      <c r="C829" s="116">
        <v>58.564999999999998</v>
      </c>
      <c r="D829" s="116">
        <v>56.85</v>
      </c>
      <c r="E829" s="116">
        <v>57.48</v>
      </c>
      <c r="F829" s="116">
        <v>585.65</v>
      </c>
      <c r="G829">
        <v>395225</v>
      </c>
      <c r="H829" s="116"/>
      <c r="I829" s="116"/>
      <c r="L829" s="170">
        <v>43223</v>
      </c>
      <c r="M829" s="116">
        <v>58.545000000000002</v>
      </c>
      <c r="N829" s="116">
        <v>58.74</v>
      </c>
      <c r="O829" s="116">
        <v>56.81</v>
      </c>
      <c r="P829" s="116">
        <v>57.4</v>
      </c>
      <c r="Q829" s="116">
        <v>585.45000000000005</v>
      </c>
      <c r="R829">
        <v>6778904</v>
      </c>
    </row>
    <row r="830" spans="1:18" x14ac:dyDescent="0.25">
      <c r="A830" s="170">
        <v>43224</v>
      </c>
      <c r="B830" s="116">
        <v>58.945</v>
      </c>
      <c r="C830" s="116">
        <v>58.13</v>
      </c>
      <c r="D830" s="116">
        <v>57.984999999999999</v>
      </c>
      <c r="E830" s="116">
        <v>58.604999999999997</v>
      </c>
      <c r="F830" s="116">
        <v>581.29999999999995</v>
      </c>
      <c r="G830">
        <v>225609</v>
      </c>
      <c r="H830" s="116"/>
      <c r="I830" s="116"/>
      <c r="L830" s="170">
        <v>43224</v>
      </c>
      <c r="M830" s="116">
        <v>58.075000000000003</v>
      </c>
      <c r="N830" s="116">
        <v>58.98</v>
      </c>
      <c r="O830" s="116">
        <v>57.924999999999997</v>
      </c>
      <c r="P830" s="116">
        <v>58.67</v>
      </c>
      <c r="Q830" s="116">
        <v>580.75</v>
      </c>
      <c r="R830">
        <v>3881632</v>
      </c>
    </row>
    <row r="831" spans="1:18" x14ac:dyDescent="0.25">
      <c r="A831" s="170">
        <v>43227</v>
      </c>
      <c r="B831" s="116">
        <v>59.73</v>
      </c>
      <c r="C831" s="116">
        <v>59.594999999999999</v>
      </c>
      <c r="D831" s="116">
        <v>58.155000000000001</v>
      </c>
      <c r="E831" s="116">
        <v>58.555</v>
      </c>
      <c r="F831" s="116">
        <v>595.95000000000005</v>
      </c>
      <c r="G831">
        <v>340717</v>
      </c>
      <c r="H831" s="116"/>
      <c r="I831" s="116"/>
      <c r="L831" s="170">
        <v>43227</v>
      </c>
      <c r="M831" s="116">
        <v>59.645000000000003</v>
      </c>
      <c r="N831" s="116">
        <v>59.795000000000002</v>
      </c>
      <c r="O831" s="116">
        <v>58.1</v>
      </c>
      <c r="P831" s="116">
        <v>58.594999999999999</v>
      </c>
      <c r="Q831" s="116">
        <v>596.45000000000005</v>
      </c>
      <c r="R831">
        <v>4553509</v>
      </c>
    </row>
    <row r="832" spans="1:18" x14ac:dyDescent="0.25">
      <c r="A832" s="170">
        <v>43228</v>
      </c>
      <c r="B832" s="116">
        <v>60.375</v>
      </c>
      <c r="C832" s="116">
        <v>59.615000000000002</v>
      </c>
      <c r="D832" s="116">
        <v>59.05</v>
      </c>
      <c r="E832" s="116">
        <v>59.8</v>
      </c>
      <c r="F832" s="116">
        <v>596.15</v>
      </c>
      <c r="G832">
        <v>338587</v>
      </c>
      <c r="H832" s="116"/>
      <c r="I832" s="116"/>
      <c r="L832" s="170">
        <v>43228</v>
      </c>
      <c r="M832" s="116">
        <v>59.634999999999998</v>
      </c>
      <c r="N832" s="116">
        <v>60.42</v>
      </c>
      <c r="O832" s="116">
        <v>59.05</v>
      </c>
      <c r="P832" s="116">
        <v>60</v>
      </c>
      <c r="Q832" s="116">
        <v>596.35</v>
      </c>
      <c r="R832">
        <v>4125958</v>
      </c>
    </row>
    <row r="833" spans="1:18" x14ac:dyDescent="0.25">
      <c r="A833" s="170">
        <v>43229</v>
      </c>
      <c r="B833" s="116">
        <v>60.784999999999997</v>
      </c>
      <c r="C833" s="116">
        <v>60.244999999999997</v>
      </c>
      <c r="D833" s="116">
        <v>59.255000000000003</v>
      </c>
      <c r="E833" s="116">
        <v>59.255000000000003</v>
      </c>
      <c r="F833" s="116">
        <v>602.45000000000005</v>
      </c>
      <c r="G833">
        <v>402919</v>
      </c>
      <c r="H833" s="116"/>
      <c r="I833" s="116"/>
      <c r="L833" s="170">
        <v>43229</v>
      </c>
      <c r="M833" s="116">
        <v>60.314999999999998</v>
      </c>
      <c r="N833" s="116">
        <v>60.884999999999998</v>
      </c>
      <c r="O833" s="116">
        <v>59.255000000000003</v>
      </c>
      <c r="P833" s="116">
        <v>59.34</v>
      </c>
      <c r="Q833" s="116">
        <v>603.15</v>
      </c>
      <c r="R833">
        <v>6238211</v>
      </c>
    </row>
    <row r="834" spans="1:18" x14ac:dyDescent="0.25">
      <c r="A834" s="170">
        <v>43230</v>
      </c>
      <c r="B834" s="116">
        <v>60.7</v>
      </c>
      <c r="C834" s="116">
        <v>59.375</v>
      </c>
      <c r="D834" s="116">
        <v>59.125</v>
      </c>
      <c r="E834" s="116">
        <v>60.384999999999998</v>
      </c>
      <c r="F834" s="116">
        <v>593.75</v>
      </c>
      <c r="G834">
        <v>233898</v>
      </c>
      <c r="H834" s="116"/>
      <c r="I834" s="116"/>
      <c r="L834" s="170">
        <v>43230</v>
      </c>
      <c r="M834" s="116">
        <v>59.414999999999999</v>
      </c>
      <c r="N834" s="116">
        <v>60.68</v>
      </c>
      <c r="O834" s="116">
        <v>59.115000000000002</v>
      </c>
      <c r="P834" s="116">
        <v>60.39</v>
      </c>
      <c r="Q834" s="116">
        <v>594.15</v>
      </c>
      <c r="R834">
        <v>4001269</v>
      </c>
    </row>
    <row r="835" spans="1:18" x14ac:dyDescent="0.25">
      <c r="A835" s="170">
        <v>43231</v>
      </c>
      <c r="B835" s="116">
        <v>61.05</v>
      </c>
      <c r="C835" s="116">
        <v>60.664999999999999</v>
      </c>
      <c r="D835" s="116">
        <v>59.1</v>
      </c>
      <c r="E835" s="116">
        <v>60</v>
      </c>
      <c r="F835" s="116">
        <v>606.65</v>
      </c>
      <c r="G835">
        <v>455985</v>
      </c>
      <c r="H835" s="116"/>
      <c r="I835" s="116"/>
      <c r="L835" s="170">
        <v>43231</v>
      </c>
      <c r="M835" s="116">
        <v>60.725000000000001</v>
      </c>
      <c r="N835" s="116">
        <v>61.055</v>
      </c>
      <c r="O835" s="116">
        <v>59.12</v>
      </c>
      <c r="P835" s="116">
        <v>59.7</v>
      </c>
      <c r="Q835" s="116">
        <v>607.25</v>
      </c>
      <c r="R835">
        <v>6155537</v>
      </c>
    </row>
    <row r="836" spans="1:18" x14ac:dyDescent="0.25">
      <c r="A836" s="170">
        <v>43234</v>
      </c>
      <c r="B836" s="116">
        <v>61.435000000000002</v>
      </c>
      <c r="C836" s="116">
        <v>61.01</v>
      </c>
      <c r="D836" s="116">
        <v>60.21</v>
      </c>
      <c r="E836" s="116">
        <v>60.655000000000001</v>
      </c>
      <c r="F836" s="116">
        <v>610.1</v>
      </c>
      <c r="G836">
        <v>322585</v>
      </c>
      <c r="H836" s="116"/>
      <c r="I836" s="116"/>
      <c r="L836" s="170">
        <v>43234</v>
      </c>
      <c r="M836" s="116">
        <v>61.034999999999997</v>
      </c>
      <c r="N836" s="116">
        <v>61.494999999999997</v>
      </c>
      <c r="O836" s="116">
        <v>60.23</v>
      </c>
      <c r="P836" s="116">
        <v>60.82</v>
      </c>
      <c r="Q836" s="116">
        <v>610.35</v>
      </c>
      <c r="R836">
        <v>5173139</v>
      </c>
    </row>
    <row r="837" spans="1:18" x14ac:dyDescent="0.25">
      <c r="A837" s="170">
        <v>43235</v>
      </c>
      <c r="B837" s="116">
        <v>63.63</v>
      </c>
      <c r="C837" s="116">
        <v>62.405000000000001</v>
      </c>
      <c r="D837" s="116">
        <v>60.63</v>
      </c>
      <c r="E837" s="116">
        <v>60.93</v>
      </c>
      <c r="F837" s="116">
        <v>624.04999999999995</v>
      </c>
      <c r="G837">
        <v>1785170</v>
      </c>
      <c r="H837" s="116"/>
      <c r="I837" s="116"/>
      <c r="L837" s="170">
        <v>43235</v>
      </c>
      <c r="M837" s="116">
        <v>62.594999999999999</v>
      </c>
      <c r="N837" s="116">
        <v>63.68</v>
      </c>
      <c r="O837" s="116">
        <v>60.55</v>
      </c>
      <c r="P837" s="116">
        <v>60.9</v>
      </c>
      <c r="Q837" s="116">
        <v>625.95000000000005</v>
      </c>
      <c r="R837">
        <v>12818436</v>
      </c>
    </row>
    <row r="838" spans="1:18" x14ac:dyDescent="0.25">
      <c r="A838" s="170">
        <v>43236</v>
      </c>
      <c r="B838" s="116">
        <v>63.25</v>
      </c>
      <c r="C838" s="116">
        <v>62.204999999999998</v>
      </c>
      <c r="D838" s="116">
        <v>61.72</v>
      </c>
      <c r="E838" s="116">
        <v>62.7</v>
      </c>
      <c r="F838" s="116">
        <v>622.04999999999995</v>
      </c>
      <c r="G838">
        <v>569273</v>
      </c>
      <c r="H838" s="116"/>
      <c r="I838" s="116"/>
      <c r="L838" s="170">
        <v>43236</v>
      </c>
      <c r="M838" s="116">
        <v>62.125</v>
      </c>
      <c r="N838" s="116">
        <v>63.25</v>
      </c>
      <c r="O838" s="116">
        <v>61.695</v>
      </c>
      <c r="P838" s="116">
        <v>62.6</v>
      </c>
      <c r="Q838" s="116">
        <v>621.25</v>
      </c>
      <c r="R838">
        <v>8426301</v>
      </c>
    </row>
    <row r="839" spans="1:18" x14ac:dyDescent="0.25">
      <c r="A839" s="170">
        <v>43237</v>
      </c>
      <c r="B839" s="116">
        <v>63.2</v>
      </c>
      <c r="C839" s="116">
        <v>61.005000000000003</v>
      </c>
      <c r="D839" s="116">
        <v>60.24</v>
      </c>
      <c r="E839" s="116">
        <v>63.07</v>
      </c>
      <c r="F839" s="116">
        <v>610.04999999999995</v>
      </c>
      <c r="G839">
        <v>1402932</v>
      </c>
      <c r="H839" s="116"/>
      <c r="I839" s="116"/>
      <c r="L839" s="170">
        <v>43237</v>
      </c>
      <c r="M839" s="116">
        <v>61.03</v>
      </c>
      <c r="N839" s="116">
        <v>63.08</v>
      </c>
      <c r="O839" s="116">
        <v>60.215000000000003</v>
      </c>
      <c r="P839" s="116">
        <v>62.994999999999997</v>
      </c>
      <c r="Q839" s="116">
        <v>610.29999999999995</v>
      </c>
      <c r="R839">
        <v>16037341</v>
      </c>
    </row>
    <row r="840" spans="1:18" x14ac:dyDescent="0.25">
      <c r="A840" s="170">
        <v>43238</v>
      </c>
      <c r="B840" s="116">
        <v>61.68</v>
      </c>
      <c r="C840" s="116">
        <v>59.15</v>
      </c>
      <c r="D840" s="116">
        <v>59.024999999999999</v>
      </c>
      <c r="E840" s="116">
        <v>61.11</v>
      </c>
      <c r="F840" s="116">
        <v>591.5</v>
      </c>
      <c r="G840">
        <v>450253</v>
      </c>
      <c r="H840" s="116"/>
      <c r="I840" s="116"/>
      <c r="L840" s="170">
        <v>43238</v>
      </c>
      <c r="M840" s="116">
        <v>59.14</v>
      </c>
      <c r="N840" s="116">
        <v>61.67</v>
      </c>
      <c r="O840" s="116">
        <v>59.034999999999997</v>
      </c>
      <c r="P840" s="116">
        <v>61.5</v>
      </c>
      <c r="Q840" s="116">
        <v>591.4</v>
      </c>
      <c r="R840">
        <v>8216629</v>
      </c>
    </row>
    <row r="841" spans="1:18" x14ac:dyDescent="0.25">
      <c r="A841" s="170">
        <v>43241</v>
      </c>
      <c r="B841" s="116">
        <v>60.05</v>
      </c>
      <c r="C841" s="116">
        <v>57.69</v>
      </c>
      <c r="D841" s="116">
        <v>57.51</v>
      </c>
      <c r="E841" s="116">
        <v>59.55</v>
      </c>
      <c r="F841" s="116">
        <v>576.9</v>
      </c>
      <c r="G841">
        <v>482713</v>
      </c>
      <c r="H841" s="116"/>
      <c r="I841" s="116"/>
      <c r="L841" s="170">
        <v>43241</v>
      </c>
      <c r="M841" s="116">
        <v>57.7</v>
      </c>
      <c r="N841" s="116">
        <v>60.075000000000003</v>
      </c>
      <c r="O841" s="116">
        <v>57.475000000000001</v>
      </c>
      <c r="P841" s="116">
        <v>59.25</v>
      </c>
      <c r="Q841" s="116">
        <v>577</v>
      </c>
      <c r="R841">
        <v>7162233</v>
      </c>
    </row>
    <row r="842" spans="1:18" x14ac:dyDescent="0.25">
      <c r="A842" s="170">
        <v>43242</v>
      </c>
      <c r="B842" s="116">
        <v>58.335000000000001</v>
      </c>
      <c r="C842" s="116">
        <v>57.72</v>
      </c>
      <c r="D842" s="116">
        <v>57.005000000000003</v>
      </c>
      <c r="E842" s="116">
        <v>57.75</v>
      </c>
      <c r="F842" s="116">
        <v>577.20000000000005</v>
      </c>
      <c r="G842">
        <v>420719</v>
      </c>
      <c r="H842" s="116"/>
      <c r="I842" s="116"/>
      <c r="L842" s="170">
        <v>43242</v>
      </c>
      <c r="M842" s="116">
        <v>57.68</v>
      </c>
      <c r="N842" s="116">
        <v>58.35</v>
      </c>
      <c r="O842" s="116">
        <v>56.95</v>
      </c>
      <c r="P842" s="116">
        <v>57.81</v>
      </c>
      <c r="Q842" s="116">
        <v>576.79999999999995</v>
      </c>
      <c r="R842">
        <v>6096646</v>
      </c>
    </row>
    <row r="843" spans="1:18" x14ac:dyDescent="0.25">
      <c r="A843" s="170">
        <v>43243</v>
      </c>
      <c r="B843" s="116">
        <v>57.69</v>
      </c>
      <c r="C843" s="116">
        <v>53.924999999999997</v>
      </c>
      <c r="D843" s="116">
        <v>53.66</v>
      </c>
      <c r="E843" s="116">
        <v>57.69</v>
      </c>
      <c r="F843" s="116">
        <v>539.25</v>
      </c>
      <c r="G843">
        <v>1211033</v>
      </c>
      <c r="H843" s="116"/>
      <c r="I843" s="116"/>
      <c r="L843" s="170">
        <v>43243</v>
      </c>
      <c r="M843" s="116">
        <v>54.005000000000003</v>
      </c>
      <c r="N843" s="116">
        <v>57.6</v>
      </c>
      <c r="O843" s="116">
        <v>53.74</v>
      </c>
      <c r="P843" s="116">
        <v>57.6</v>
      </c>
      <c r="Q843" s="116">
        <v>540.04999999999995</v>
      </c>
      <c r="R843">
        <v>17148386</v>
      </c>
    </row>
    <row r="844" spans="1:18" x14ac:dyDescent="0.25">
      <c r="A844" s="170">
        <v>43244</v>
      </c>
      <c r="B844" s="116">
        <v>55.384999999999998</v>
      </c>
      <c r="C844" s="116">
        <v>54.84</v>
      </c>
      <c r="D844" s="116">
        <v>53.7</v>
      </c>
      <c r="E844" s="116">
        <v>54.305</v>
      </c>
      <c r="F844" s="116">
        <v>548.4</v>
      </c>
      <c r="G844">
        <v>759045</v>
      </c>
      <c r="H844" s="116"/>
      <c r="I844" s="116"/>
      <c r="L844" s="170">
        <v>43244</v>
      </c>
      <c r="M844" s="116">
        <v>54.82</v>
      </c>
      <c r="N844" s="116">
        <v>55.39</v>
      </c>
      <c r="O844" s="116">
        <v>53.655000000000001</v>
      </c>
      <c r="P844" s="116">
        <v>54.39</v>
      </c>
      <c r="Q844" s="116">
        <v>548.20000000000005</v>
      </c>
      <c r="R844">
        <v>8700822</v>
      </c>
    </row>
    <row r="845" spans="1:18" x14ac:dyDescent="0.25">
      <c r="A845" s="170">
        <v>43245</v>
      </c>
      <c r="B845" s="116">
        <v>57.02</v>
      </c>
      <c r="C845" s="116">
        <v>56.72</v>
      </c>
      <c r="D845" s="116">
        <v>55.15</v>
      </c>
      <c r="E845" s="116">
        <v>55.15</v>
      </c>
      <c r="F845" s="116">
        <v>567.20000000000005</v>
      </c>
      <c r="G845">
        <v>617806</v>
      </c>
      <c r="H845" s="116"/>
      <c r="I845" s="116"/>
      <c r="L845" s="170">
        <v>43245</v>
      </c>
      <c r="M845" s="116">
        <v>56.825000000000003</v>
      </c>
      <c r="N845" s="116">
        <v>57.08</v>
      </c>
      <c r="O845" s="116">
        <v>55.2</v>
      </c>
      <c r="P845" s="116">
        <v>55.4</v>
      </c>
      <c r="Q845" s="116">
        <v>568.25</v>
      </c>
      <c r="R845">
        <v>8895619</v>
      </c>
    </row>
    <row r="846" spans="1:18" x14ac:dyDescent="0.25">
      <c r="A846" s="170">
        <v>43248</v>
      </c>
      <c r="B846" s="116">
        <v>57.924999999999997</v>
      </c>
      <c r="C846" s="116">
        <v>57.56</v>
      </c>
      <c r="D846" s="116">
        <v>56.52</v>
      </c>
      <c r="E846" s="116">
        <v>57.29</v>
      </c>
      <c r="F846" s="116">
        <v>575.6</v>
      </c>
      <c r="G846">
        <v>409206</v>
      </c>
      <c r="H846" s="116"/>
      <c r="I846" s="116"/>
      <c r="L846" s="170">
        <v>43248</v>
      </c>
      <c r="M846" s="116">
        <v>57.664999999999999</v>
      </c>
      <c r="N846" s="116">
        <v>57.945</v>
      </c>
      <c r="O846" s="116">
        <v>56.51</v>
      </c>
      <c r="P846" s="116">
        <v>57.1</v>
      </c>
      <c r="Q846" s="116">
        <v>576.65</v>
      </c>
      <c r="R846">
        <v>5235667</v>
      </c>
    </row>
    <row r="847" spans="1:18" x14ac:dyDescent="0.25">
      <c r="A847" s="170">
        <v>43249</v>
      </c>
      <c r="B847" s="116">
        <v>58.784999999999997</v>
      </c>
      <c r="C847" s="116">
        <v>57.524999999999999</v>
      </c>
      <c r="D847" s="116">
        <v>56.92</v>
      </c>
      <c r="E847" s="116">
        <v>57.1</v>
      </c>
      <c r="F847" s="116">
        <v>575.25</v>
      </c>
      <c r="G847">
        <v>471734</v>
      </c>
      <c r="H847" s="116"/>
      <c r="I847" s="116"/>
      <c r="L847" s="170">
        <v>43249</v>
      </c>
      <c r="M847" s="116">
        <v>57.534999999999997</v>
      </c>
      <c r="N847" s="116">
        <v>58.8</v>
      </c>
      <c r="O847" s="116">
        <v>56.935000000000002</v>
      </c>
      <c r="P847" s="116">
        <v>57.494999999999997</v>
      </c>
      <c r="Q847" s="116">
        <v>575.35</v>
      </c>
      <c r="R847">
        <v>6477911</v>
      </c>
    </row>
    <row r="848" spans="1:18" x14ac:dyDescent="0.25">
      <c r="A848" s="170">
        <v>43250</v>
      </c>
      <c r="B848" s="116">
        <v>58.145000000000003</v>
      </c>
      <c r="C848" s="116">
        <v>57.81</v>
      </c>
      <c r="D848" s="116">
        <v>56.77</v>
      </c>
      <c r="E848" s="116">
        <v>56.93</v>
      </c>
      <c r="F848" s="116">
        <v>578.1</v>
      </c>
      <c r="G848">
        <v>459864</v>
      </c>
      <c r="H848" s="116"/>
      <c r="I848" s="116"/>
      <c r="L848" s="170">
        <v>43250</v>
      </c>
      <c r="M848" s="116">
        <v>57.79</v>
      </c>
      <c r="N848" s="116">
        <v>58.15</v>
      </c>
      <c r="O848" s="116">
        <v>56.755000000000003</v>
      </c>
      <c r="P848" s="116">
        <v>56.805</v>
      </c>
      <c r="Q848" s="116">
        <v>577.9</v>
      </c>
      <c r="R848">
        <v>6201888</v>
      </c>
    </row>
    <row r="849" spans="1:18" x14ac:dyDescent="0.25">
      <c r="A849" s="170">
        <v>43251</v>
      </c>
      <c r="B849" s="116">
        <v>59</v>
      </c>
      <c r="C849" s="116">
        <v>57.545000000000002</v>
      </c>
      <c r="D849" s="116">
        <v>57.21</v>
      </c>
      <c r="E849" s="116">
        <v>58.255000000000003</v>
      </c>
      <c r="F849" s="116">
        <v>575.45000000000005</v>
      </c>
      <c r="G849">
        <v>370462</v>
      </c>
      <c r="H849" s="116"/>
      <c r="I849" s="116"/>
      <c r="L849" s="170">
        <v>43251</v>
      </c>
      <c r="M849" s="116">
        <v>57.564999999999998</v>
      </c>
      <c r="N849" s="116">
        <v>58.73</v>
      </c>
      <c r="O849" s="116">
        <v>57.204999999999998</v>
      </c>
      <c r="P849" s="116">
        <v>58.4</v>
      </c>
      <c r="Q849" s="116">
        <v>575.65</v>
      </c>
      <c r="R849">
        <v>6652510</v>
      </c>
    </row>
    <row r="850" spans="1:18" x14ac:dyDescent="0.25">
      <c r="A850" s="170">
        <v>43252</v>
      </c>
      <c r="B850" s="116">
        <v>57.92</v>
      </c>
      <c r="C850" s="116">
        <v>56.034999999999997</v>
      </c>
      <c r="D850" s="116">
        <v>55.655000000000001</v>
      </c>
      <c r="E850" s="116">
        <v>57.09</v>
      </c>
      <c r="F850" s="116">
        <v>560.35</v>
      </c>
      <c r="G850">
        <v>480541</v>
      </c>
      <c r="H850" s="116"/>
      <c r="I850" s="116"/>
      <c r="L850" s="170">
        <v>43252</v>
      </c>
      <c r="M850" s="116">
        <v>56.064999999999998</v>
      </c>
      <c r="N850" s="116">
        <v>57.96</v>
      </c>
      <c r="O850" s="116">
        <v>55.63</v>
      </c>
      <c r="P850" s="116">
        <v>57</v>
      </c>
      <c r="Q850" s="116">
        <v>560.65</v>
      </c>
      <c r="R850">
        <v>9249666</v>
      </c>
    </row>
    <row r="851" spans="1:18" x14ac:dyDescent="0.25">
      <c r="A851" s="170">
        <v>43255</v>
      </c>
      <c r="B851" s="116">
        <v>57.195</v>
      </c>
      <c r="C851" s="116">
        <v>56.695</v>
      </c>
      <c r="D851" s="116">
        <v>56.06</v>
      </c>
      <c r="E851" s="116">
        <v>56.4</v>
      </c>
      <c r="F851" s="116">
        <v>566.95000000000005</v>
      </c>
      <c r="G851">
        <v>533994</v>
      </c>
      <c r="H851" s="116"/>
      <c r="I851" s="116"/>
      <c r="L851" s="170">
        <v>43255</v>
      </c>
      <c r="M851" s="116">
        <v>56.615000000000002</v>
      </c>
      <c r="N851" s="116">
        <v>57.25</v>
      </c>
      <c r="O851" s="116">
        <v>56.03</v>
      </c>
      <c r="P851" s="116">
        <v>56.405000000000001</v>
      </c>
      <c r="Q851" s="116">
        <v>566.15</v>
      </c>
      <c r="R851">
        <v>8742527</v>
      </c>
    </row>
    <row r="852" spans="1:18" x14ac:dyDescent="0.25">
      <c r="A852" s="170">
        <v>43256</v>
      </c>
      <c r="B852" s="116">
        <v>57.4</v>
      </c>
      <c r="C852" s="116">
        <v>57.195</v>
      </c>
      <c r="D852" s="116">
        <v>56.1</v>
      </c>
      <c r="E852" s="116">
        <v>56.524999999999999</v>
      </c>
      <c r="F852" s="116">
        <v>571.95000000000005</v>
      </c>
      <c r="G852">
        <v>620811</v>
      </c>
      <c r="H852" s="116"/>
      <c r="I852" s="116"/>
      <c r="L852" s="170">
        <v>43256</v>
      </c>
      <c r="M852" s="116">
        <v>57.21</v>
      </c>
      <c r="N852" s="116">
        <v>57.49</v>
      </c>
      <c r="O852" s="116">
        <v>56.06</v>
      </c>
      <c r="P852" s="116">
        <v>56.68</v>
      </c>
      <c r="Q852" s="116">
        <v>572.1</v>
      </c>
      <c r="R852">
        <v>4688204</v>
      </c>
    </row>
    <row r="853" spans="1:18" x14ac:dyDescent="0.25">
      <c r="A853" s="170">
        <v>43257</v>
      </c>
      <c r="B853" s="116">
        <v>58.125</v>
      </c>
      <c r="C853" s="116">
        <v>57.97</v>
      </c>
      <c r="D853" s="116">
        <v>56.905000000000001</v>
      </c>
      <c r="E853" s="116">
        <v>57.35</v>
      </c>
      <c r="F853" s="116">
        <v>579.70000000000005</v>
      </c>
      <c r="G853">
        <v>298041</v>
      </c>
      <c r="H853" s="116"/>
      <c r="I853" s="116"/>
      <c r="L853" s="170">
        <v>43257</v>
      </c>
      <c r="M853" s="116">
        <v>57.975000000000001</v>
      </c>
      <c r="N853" s="116">
        <v>58.17</v>
      </c>
      <c r="O853" s="116">
        <v>56.92</v>
      </c>
      <c r="P853" s="116">
        <v>57.445</v>
      </c>
      <c r="Q853" s="116">
        <v>579.75</v>
      </c>
      <c r="R853">
        <v>4445305</v>
      </c>
    </row>
    <row r="854" spans="1:18" x14ac:dyDescent="0.25">
      <c r="A854" s="170">
        <v>43258</v>
      </c>
      <c r="B854" s="116">
        <v>60.48</v>
      </c>
      <c r="C854" s="116">
        <v>60.134999999999998</v>
      </c>
      <c r="D854" s="116">
        <v>58.14</v>
      </c>
      <c r="E854" s="116">
        <v>58.14</v>
      </c>
      <c r="F854" s="116">
        <v>601.35</v>
      </c>
      <c r="G854">
        <v>636497</v>
      </c>
      <c r="H854" s="116"/>
      <c r="I854" s="116"/>
      <c r="L854" s="170">
        <v>43258</v>
      </c>
      <c r="M854" s="116">
        <v>60.21</v>
      </c>
      <c r="N854" s="116">
        <v>60.39</v>
      </c>
      <c r="O854" s="116">
        <v>58.19</v>
      </c>
      <c r="P854" s="116">
        <v>58.21</v>
      </c>
      <c r="Q854" s="116">
        <v>602.1</v>
      </c>
      <c r="R854">
        <v>9279353</v>
      </c>
    </row>
    <row r="855" spans="1:18" x14ac:dyDescent="0.25">
      <c r="A855" s="170">
        <v>43259</v>
      </c>
      <c r="B855" s="116">
        <v>60.755000000000003</v>
      </c>
      <c r="C855" s="116">
        <v>59.95</v>
      </c>
      <c r="D855" s="116">
        <v>59.26</v>
      </c>
      <c r="E855" s="116">
        <v>59.7</v>
      </c>
      <c r="F855" s="116">
        <v>599.5</v>
      </c>
      <c r="G855">
        <v>569666</v>
      </c>
      <c r="H855" s="116"/>
      <c r="I855" s="116"/>
      <c r="L855" s="170">
        <v>43259</v>
      </c>
      <c r="M855" s="116">
        <v>60.05</v>
      </c>
      <c r="N855" s="116">
        <v>60.82</v>
      </c>
      <c r="O855" s="116">
        <v>59.2</v>
      </c>
      <c r="P855" s="116">
        <v>59.9</v>
      </c>
      <c r="Q855" s="116">
        <v>600.5</v>
      </c>
      <c r="R855">
        <v>8386078</v>
      </c>
    </row>
    <row r="856" spans="1:18" x14ac:dyDescent="0.25">
      <c r="A856" s="170">
        <v>43262</v>
      </c>
      <c r="B856" s="116">
        <v>60.54</v>
      </c>
      <c r="C856" s="116">
        <v>58.875</v>
      </c>
      <c r="D856" s="116">
        <v>58.625</v>
      </c>
      <c r="E856" s="116">
        <v>59.954999999999998</v>
      </c>
      <c r="F856" s="116">
        <v>588.75</v>
      </c>
      <c r="G856">
        <v>415114</v>
      </c>
      <c r="H856" s="116"/>
      <c r="I856" s="116"/>
      <c r="L856" s="170">
        <v>43262</v>
      </c>
      <c r="M856" s="116">
        <v>58.865000000000002</v>
      </c>
      <c r="N856" s="116">
        <v>60.55</v>
      </c>
      <c r="O856" s="116">
        <v>58.625</v>
      </c>
      <c r="P856" s="116">
        <v>60.104999999999997</v>
      </c>
      <c r="Q856" s="116">
        <v>588.65</v>
      </c>
      <c r="R856">
        <v>5151101</v>
      </c>
    </row>
    <row r="857" spans="1:18" x14ac:dyDescent="0.25">
      <c r="A857" s="170">
        <v>43263</v>
      </c>
      <c r="B857" s="116">
        <v>58.84</v>
      </c>
      <c r="C857" s="116">
        <v>57.98</v>
      </c>
      <c r="D857" s="116">
        <v>57.755000000000003</v>
      </c>
      <c r="E857" s="116">
        <v>58.795000000000002</v>
      </c>
      <c r="F857" s="116">
        <v>579.79999999999995</v>
      </c>
      <c r="G857">
        <v>531756</v>
      </c>
      <c r="H857" s="116"/>
      <c r="I857" s="116"/>
      <c r="L857" s="170">
        <v>43263</v>
      </c>
      <c r="M857" s="116">
        <v>58</v>
      </c>
      <c r="N857" s="116">
        <v>58.875</v>
      </c>
      <c r="O857" s="116">
        <v>57.72</v>
      </c>
      <c r="P857" s="116">
        <v>58.695</v>
      </c>
      <c r="Q857" s="116">
        <v>580</v>
      </c>
      <c r="R857">
        <v>8588935</v>
      </c>
    </row>
    <row r="858" spans="1:18" x14ac:dyDescent="0.25">
      <c r="A858" s="170">
        <v>43264</v>
      </c>
      <c r="B858" s="116">
        <v>58.4</v>
      </c>
      <c r="C858" s="116">
        <v>56.75</v>
      </c>
      <c r="D858" s="116">
        <v>56.62</v>
      </c>
      <c r="E858" s="116">
        <v>57.98</v>
      </c>
      <c r="F858" s="116">
        <v>567.5</v>
      </c>
      <c r="G858">
        <v>620946</v>
      </c>
      <c r="H858" s="116"/>
      <c r="I858" s="116"/>
      <c r="L858" s="170">
        <v>43264</v>
      </c>
      <c r="M858" s="116">
        <v>56.76</v>
      </c>
      <c r="N858" s="116">
        <v>58.38</v>
      </c>
      <c r="O858" s="116">
        <v>56.6</v>
      </c>
      <c r="P858" s="116">
        <v>57.96</v>
      </c>
      <c r="Q858" s="116">
        <v>567.6</v>
      </c>
      <c r="R858">
        <v>9060032</v>
      </c>
    </row>
    <row r="859" spans="1:18" x14ac:dyDescent="0.25">
      <c r="A859" s="170">
        <v>43265</v>
      </c>
      <c r="B859" s="116">
        <v>57.435000000000002</v>
      </c>
      <c r="C859" s="116">
        <v>56.94</v>
      </c>
      <c r="D859" s="116">
        <v>56.174999999999997</v>
      </c>
      <c r="E859" s="116">
        <v>56.71</v>
      </c>
      <c r="F859" s="116">
        <v>569.4</v>
      </c>
      <c r="G859">
        <v>408361</v>
      </c>
      <c r="H859" s="116"/>
      <c r="I859" s="116"/>
      <c r="L859" s="170">
        <v>43265</v>
      </c>
      <c r="M859" s="116">
        <v>56.954999999999998</v>
      </c>
      <c r="N859" s="116">
        <v>57.48</v>
      </c>
      <c r="O859" s="116">
        <v>56.1</v>
      </c>
      <c r="P859" s="116">
        <v>56.7</v>
      </c>
      <c r="Q859" s="116">
        <v>569.54999999999995</v>
      </c>
      <c r="R859">
        <v>7482514</v>
      </c>
    </row>
    <row r="860" spans="1:18" x14ac:dyDescent="0.25">
      <c r="A860" s="170">
        <v>43266</v>
      </c>
      <c r="B860" s="116">
        <v>57.484999999999999</v>
      </c>
      <c r="C860" s="116">
        <v>56.594999999999999</v>
      </c>
      <c r="D860" s="116">
        <v>56.2</v>
      </c>
      <c r="E860" s="116">
        <v>57.4</v>
      </c>
      <c r="F860" s="116">
        <v>565.95000000000005</v>
      </c>
      <c r="G860">
        <v>633902</v>
      </c>
      <c r="H860" s="116"/>
      <c r="I860" s="116"/>
      <c r="L860" s="170">
        <v>43266</v>
      </c>
      <c r="M860" s="116">
        <v>56.6</v>
      </c>
      <c r="N860" s="116">
        <v>57.48</v>
      </c>
      <c r="O860" s="116">
        <v>56.2</v>
      </c>
      <c r="P860" s="116">
        <v>57.12</v>
      </c>
      <c r="Q860" s="116">
        <v>566</v>
      </c>
      <c r="R860">
        <v>6208764</v>
      </c>
    </row>
    <row r="861" spans="1:18" x14ac:dyDescent="0.25">
      <c r="A861" s="170">
        <v>43269</v>
      </c>
      <c r="B861" s="116">
        <v>56.43</v>
      </c>
      <c r="C861" s="116">
        <v>55.87</v>
      </c>
      <c r="D861" s="116">
        <v>54.744999999999997</v>
      </c>
      <c r="E861" s="116">
        <v>56.4</v>
      </c>
      <c r="F861" s="116">
        <v>558.70000000000005</v>
      </c>
      <c r="G861">
        <v>828094</v>
      </c>
      <c r="H861" s="116"/>
      <c r="I861" s="116"/>
      <c r="L861" s="170">
        <v>43269</v>
      </c>
      <c r="M861" s="116">
        <v>55.85</v>
      </c>
      <c r="N861" s="116">
        <v>56.344999999999999</v>
      </c>
      <c r="O861" s="116">
        <v>54.73</v>
      </c>
      <c r="P861" s="116">
        <v>56.3</v>
      </c>
      <c r="Q861" s="116">
        <v>558.5</v>
      </c>
      <c r="R861">
        <v>10566965</v>
      </c>
    </row>
    <row r="862" spans="1:18" x14ac:dyDescent="0.25">
      <c r="A862" s="170">
        <v>43270</v>
      </c>
      <c r="B862" s="116">
        <v>56.545000000000002</v>
      </c>
      <c r="C862" s="116">
        <v>55.484999999999999</v>
      </c>
      <c r="D862" s="116">
        <v>55</v>
      </c>
      <c r="E862" s="116">
        <v>55.8</v>
      </c>
      <c r="F862" s="116">
        <v>554.85</v>
      </c>
      <c r="G862">
        <v>696672</v>
      </c>
      <c r="H862" s="116"/>
      <c r="I862" s="116"/>
      <c r="L862" s="170">
        <v>43270</v>
      </c>
      <c r="M862" s="116">
        <v>55.5</v>
      </c>
      <c r="N862" s="116">
        <v>56.56</v>
      </c>
      <c r="O862" s="116">
        <v>54.945</v>
      </c>
      <c r="P862" s="116">
        <v>55.8</v>
      </c>
      <c r="Q862" s="116">
        <v>555</v>
      </c>
      <c r="R862">
        <v>9452190</v>
      </c>
    </row>
    <row r="863" spans="1:18" x14ac:dyDescent="0.25">
      <c r="A863" s="170">
        <v>43271</v>
      </c>
      <c r="B863" s="116">
        <v>56.68</v>
      </c>
      <c r="C863" s="116">
        <v>56.33</v>
      </c>
      <c r="D863" s="116">
        <v>55.33</v>
      </c>
      <c r="E863" s="116">
        <v>55.75</v>
      </c>
      <c r="F863" s="116">
        <v>563.29999999999995</v>
      </c>
      <c r="G863">
        <v>504125</v>
      </c>
      <c r="H863" s="116"/>
      <c r="I863" s="116"/>
      <c r="L863" s="170">
        <v>43271</v>
      </c>
      <c r="M863" s="116">
        <v>56.325000000000003</v>
      </c>
      <c r="N863" s="116">
        <v>56.59</v>
      </c>
      <c r="O863" s="116">
        <v>55.33</v>
      </c>
      <c r="P863" s="116">
        <v>55.625</v>
      </c>
      <c r="Q863" s="116">
        <v>563.25</v>
      </c>
      <c r="R863">
        <v>6610703</v>
      </c>
    </row>
    <row r="864" spans="1:18" x14ac:dyDescent="0.25">
      <c r="A864" s="170">
        <v>43272</v>
      </c>
      <c r="B864" s="116">
        <v>56.9</v>
      </c>
      <c r="C864" s="116">
        <v>55.82</v>
      </c>
      <c r="D864" s="116">
        <v>55.62</v>
      </c>
      <c r="E864" s="116">
        <v>56.9</v>
      </c>
      <c r="F864" s="116">
        <v>558.20000000000005</v>
      </c>
      <c r="G864">
        <v>556603</v>
      </c>
      <c r="H864" s="116"/>
      <c r="I864" s="116"/>
      <c r="L864" s="170">
        <v>43272</v>
      </c>
      <c r="M864" s="116">
        <v>55.774999999999999</v>
      </c>
      <c r="N864" s="116">
        <v>56.895000000000003</v>
      </c>
      <c r="O864" s="116">
        <v>55.61</v>
      </c>
      <c r="P864" s="116">
        <v>56.895000000000003</v>
      </c>
      <c r="Q864" s="116">
        <v>557.75</v>
      </c>
      <c r="R864">
        <v>8465198</v>
      </c>
    </row>
    <row r="865" spans="1:18" x14ac:dyDescent="0.25">
      <c r="A865" s="170">
        <v>43273</v>
      </c>
      <c r="B865" s="116">
        <v>56.445</v>
      </c>
      <c r="C865" s="116">
        <v>56.045000000000002</v>
      </c>
      <c r="D865" s="116">
        <v>55.64</v>
      </c>
      <c r="E865" s="116">
        <v>56.02</v>
      </c>
      <c r="F865" s="116">
        <v>560.45000000000005</v>
      </c>
      <c r="G865">
        <v>1386814</v>
      </c>
      <c r="H865" s="116"/>
      <c r="I865" s="116"/>
      <c r="L865" s="170">
        <v>43273</v>
      </c>
      <c r="M865" s="116">
        <v>56.185000000000002</v>
      </c>
      <c r="N865" s="116">
        <v>56.46</v>
      </c>
      <c r="O865" s="116">
        <v>55.61</v>
      </c>
      <c r="P865" s="116">
        <v>56.04</v>
      </c>
      <c r="Q865" s="116">
        <v>561.85</v>
      </c>
      <c r="R865">
        <v>6247845</v>
      </c>
    </row>
    <row r="866" spans="1:18" x14ac:dyDescent="0.25">
      <c r="A866" s="170">
        <v>43276</v>
      </c>
      <c r="B866" s="116">
        <v>56.46</v>
      </c>
      <c r="C866" s="116">
        <v>55.85</v>
      </c>
      <c r="D866" s="116">
        <v>55.6</v>
      </c>
      <c r="E866" s="116">
        <v>56</v>
      </c>
      <c r="F866" s="116">
        <v>558.5</v>
      </c>
      <c r="G866">
        <v>270534</v>
      </c>
      <c r="H866" s="116"/>
      <c r="I866" s="116"/>
      <c r="L866" s="170">
        <v>43276</v>
      </c>
      <c r="M866" s="116">
        <v>55.86</v>
      </c>
      <c r="N866" s="116">
        <v>56.48</v>
      </c>
      <c r="O866" s="116">
        <v>55.634999999999998</v>
      </c>
      <c r="P866" s="116">
        <v>55.98</v>
      </c>
      <c r="Q866" s="116">
        <v>558.6</v>
      </c>
      <c r="R866">
        <v>3899261</v>
      </c>
    </row>
    <row r="867" spans="1:18" x14ac:dyDescent="0.25">
      <c r="A867" s="170">
        <v>43277</v>
      </c>
      <c r="B867" s="116">
        <v>56</v>
      </c>
      <c r="C867" s="116">
        <v>54.935000000000002</v>
      </c>
      <c r="D867" s="116">
        <v>53.835000000000001</v>
      </c>
      <c r="E867" s="116">
        <v>55.89</v>
      </c>
      <c r="F867" s="116">
        <v>549.35</v>
      </c>
      <c r="G867">
        <v>783882</v>
      </c>
      <c r="H867" s="116"/>
      <c r="I867" s="116"/>
      <c r="L867" s="170">
        <v>43277</v>
      </c>
      <c r="M867" s="116">
        <v>54.95</v>
      </c>
      <c r="N867" s="116">
        <v>55.99</v>
      </c>
      <c r="O867" s="116">
        <v>53.825000000000003</v>
      </c>
      <c r="P867" s="116">
        <v>55.835000000000001</v>
      </c>
      <c r="Q867" s="116">
        <v>549.5</v>
      </c>
      <c r="R867">
        <v>10207582</v>
      </c>
    </row>
    <row r="868" spans="1:18" x14ac:dyDescent="0.25">
      <c r="A868" s="170">
        <v>43278</v>
      </c>
      <c r="B868" s="116">
        <v>55.284999999999997</v>
      </c>
      <c r="C868" s="116">
        <v>54.325000000000003</v>
      </c>
      <c r="D868" s="116">
        <v>53.924999999999997</v>
      </c>
      <c r="E868" s="116">
        <v>55</v>
      </c>
      <c r="F868" s="116">
        <v>543.25</v>
      </c>
      <c r="G868">
        <v>611847</v>
      </c>
      <c r="H868" s="116"/>
      <c r="I868" s="116"/>
      <c r="L868" s="170">
        <v>43278</v>
      </c>
      <c r="M868" s="116">
        <v>54.32</v>
      </c>
      <c r="N868" s="116">
        <v>55.25</v>
      </c>
      <c r="O868" s="116">
        <v>53.91</v>
      </c>
      <c r="P868" s="116">
        <v>55.17</v>
      </c>
      <c r="Q868" s="116">
        <v>543.20000000000005</v>
      </c>
      <c r="R868">
        <v>5654150</v>
      </c>
    </row>
    <row r="869" spans="1:18" x14ac:dyDescent="0.25">
      <c r="A869" s="170">
        <v>43279</v>
      </c>
      <c r="B869" s="116">
        <v>55.62</v>
      </c>
      <c r="C869" s="116">
        <v>54.805</v>
      </c>
      <c r="D869" s="116">
        <v>54.4</v>
      </c>
      <c r="E869" s="116">
        <v>54.4</v>
      </c>
      <c r="F869" s="116">
        <v>548.04999999999995</v>
      </c>
      <c r="G869">
        <v>554968</v>
      </c>
      <c r="H869" s="116"/>
      <c r="I869" s="116"/>
      <c r="L869" s="170">
        <v>43279</v>
      </c>
      <c r="M869" s="116">
        <v>54.844999999999999</v>
      </c>
      <c r="N869" s="116">
        <v>55.65</v>
      </c>
      <c r="O869" s="116">
        <v>54.4</v>
      </c>
      <c r="P869" s="116">
        <v>54.5</v>
      </c>
      <c r="Q869" s="116">
        <v>548.45000000000005</v>
      </c>
      <c r="R869">
        <v>8655978</v>
      </c>
    </row>
    <row r="870" spans="1:18" x14ac:dyDescent="0.25">
      <c r="A870" s="170">
        <v>43280</v>
      </c>
      <c r="B870" s="116">
        <v>56.984999999999999</v>
      </c>
      <c r="C870" s="116">
        <v>56.784999999999997</v>
      </c>
      <c r="D870" s="116">
        <v>55.17</v>
      </c>
      <c r="E870" s="116">
        <v>55.2</v>
      </c>
      <c r="F870" s="116">
        <v>567.85</v>
      </c>
      <c r="G870">
        <v>689752</v>
      </c>
      <c r="H870" s="116"/>
      <c r="I870" s="116"/>
      <c r="L870" s="170">
        <v>43280</v>
      </c>
      <c r="M870" s="116">
        <v>56.774999999999999</v>
      </c>
      <c r="N870" s="116">
        <v>56.98</v>
      </c>
      <c r="O870" s="116">
        <v>55.104999999999997</v>
      </c>
      <c r="P870" s="116">
        <v>55.195</v>
      </c>
      <c r="Q870" s="116">
        <v>567.75</v>
      </c>
      <c r="R870">
        <v>9477384</v>
      </c>
    </row>
    <row r="871" spans="1:18" x14ac:dyDescent="0.25">
      <c r="A871" s="170">
        <v>43283</v>
      </c>
      <c r="B871" s="116">
        <v>58.65</v>
      </c>
      <c r="C871" s="116">
        <v>56.094999999999999</v>
      </c>
      <c r="D871" s="116">
        <v>55.625</v>
      </c>
      <c r="E871" s="116">
        <v>57.52</v>
      </c>
      <c r="F871" s="116">
        <v>560.95000000000005</v>
      </c>
      <c r="G871">
        <v>987804</v>
      </c>
      <c r="H871" s="116"/>
      <c r="I871" s="116"/>
      <c r="L871" s="170">
        <v>43283</v>
      </c>
      <c r="M871" s="116">
        <v>56.05</v>
      </c>
      <c r="N871" s="116">
        <v>58.65</v>
      </c>
      <c r="O871" s="116">
        <v>55.625</v>
      </c>
      <c r="P871" s="116">
        <v>57.594999999999999</v>
      </c>
      <c r="Q871" s="116">
        <v>560.5</v>
      </c>
      <c r="R871">
        <v>15763048</v>
      </c>
    </row>
    <row r="872" spans="1:18" x14ac:dyDescent="0.25">
      <c r="A872" s="170">
        <v>43284</v>
      </c>
      <c r="B872" s="116">
        <v>57.234999999999999</v>
      </c>
      <c r="C872" s="116">
        <v>56.65</v>
      </c>
      <c r="D872" s="116">
        <v>55.4</v>
      </c>
      <c r="E872" s="116">
        <v>56.104999999999997</v>
      </c>
      <c r="F872" s="116">
        <v>566.5</v>
      </c>
      <c r="G872">
        <v>662179</v>
      </c>
      <c r="H872" s="116"/>
      <c r="I872" s="116"/>
      <c r="L872" s="170">
        <v>43284</v>
      </c>
      <c r="M872" s="116">
        <v>56.6</v>
      </c>
      <c r="N872" s="116">
        <v>57.24</v>
      </c>
      <c r="O872" s="116">
        <v>55.344999999999999</v>
      </c>
      <c r="P872" s="116">
        <v>56.195</v>
      </c>
      <c r="Q872" s="116">
        <v>566</v>
      </c>
      <c r="R872">
        <v>11236177</v>
      </c>
    </row>
    <row r="873" spans="1:18" x14ac:dyDescent="0.25">
      <c r="A873" s="170">
        <v>43285</v>
      </c>
      <c r="B873" s="116">
        <v>57.295000000000002</v>
      </c>
      <c r="C873" s="116">
        <v>56.89</v>
      </c>
      <c r="D873" s="116">
        <v>56.01</v>
      </c>
      <c r="E873" s="116">
        <v>56.7</v>
      </c>
      <c r="F873" s="116">
        <v>568.9</v>
      </c>
      <c r="G873">
        <v>986798</v>
      </c>
      <c r="H873" s="116"/>
      <c r="I873" s="116"/>
      <c r="L873" s="170">
        <v>43285</v>
      </c>
      <c r="M873" s="116">
        <v>57.11</v>
      </c>
      <c r="N873" s="116">
        <v>57.34</v>
      </c>
      <c r="O873" s="116">
        <v>55.954999999999998</v>
      </c>
      <c r="P873" s="116">
        <v>56.74</v>
      </c>
      <c r="Q873" s="116">
        <v>571.1</v>
      </c>
      <c r="R873">
        <v>6862947</v>
      </c>
    </row>
    <row r="874" spans="1:18" x14ac:dyDescent="0.25">
      <c r="A874" s="170">
        <v>43286</v>
      </c>
      <c r="B874" s="116">
        <v>56.5</v>
      </c>
      <c r="C874" s="116">
        <v>55.35</v>
      </c>
      <c r="D874" s="116">
        <v>55.174999999999997</v>
      </c>
      <c r="E874" s="116">
        <v>56.5</v>
      </c>
      <c r="F874" s="116">
        <v>553.5</v>
      </c>
      <c r="G874">
        <v>542949</v>
      </c>
      <c r="H874" s="116"/>
      <c r="I874" s="116"/>
      <c r="L874" s="170">
        <v>43286</v>
      </c>
      <c r="M874" s="116">
        <v>55.33</v>
      </c>
      <c r="N874" s="116">
        <v>56.5</v>
      </c>
      <c r="O874" s="116">
        <v>55.2</v>
      </c>
      <c r="P874" s="116">
        <v>56.5</v>
      </c>
      <c r="Q874" s="116">
        <v>553.29999999999995</v>
      </c>
      <c r="R874">
        <v>6013653</v>
      </c>
    </row>
    <row r="875" spans="1:18" x14ac:dyDescent="0.25">
      <c r="A875" s="170">
        <v>43287</v>
      </c>
      <c r="B875" s="116">
        <v>56.4</v>
      </c>
      <c r="C875" s="116">
        <v>55.414999999999999</v>
      </c>
      <c r="D875" s="116">
        <v>54.704999999999998</v>
      </c>
      <c r="E875" s="116">
        <v>55.74</v>
      </c>
      <c r="F875" s="116">
        <v>554.15</v>
      </c>
      <c r="G875">
        <v>436980</v>
      </c>
      <c r="H875" s="116"/>
      <c r="I875" s="116"/>
      <c r="L875" s="170">
        <v>43287</v>
      </c>
      <c r="M875" s="116">
        <v>55.35</v>
      </c>
      <c r="N875" s="116">
        <v>56.424999999999997</v>
      </c>
      <c r="O875" s="116">
        <v>54.634999999999998</v>
      </c>
      <c r="P875" s="116">
        <v>55</v>
      </c>
      <c r="Q875" s="116">
        <v>553.5</v>
      </c>
      <c r="R875">
        <v>6614783</v>
      </c>
    </row>
    <row r="876" spans="1:18" x14ac:dyDescent="0.25">
      <c r="A876" s="170">
        <v>43290</v>
      </c>
      <c r="B876" s="116">
        <v>56.58</v>
      </c>
      <c r="C876" s="116">
        <v>55.685000000000002</v>
      </c>
      <c r="D876" s="116">
        <v>55.57</v>
      </c>
      <c r="E876" s="116">
        <v>56.424999999999997</v>
      </c>
      <c r="F876" s="116">
        <v>556.85</v>
      </c>
      <c r="G876">
        <v>423204</v>
      </c>
      <c r="H876" s="116"/>
      <c r="I876" s="116"/>
      <c r="L876" s="170">
        <v>43290</v>
      </c>
      <c r="M876" s="116">
        <v>55.56</v>
      </c>
      <c r="N876" s="116">
        <v>56.575000000000003</v>
      </c>
      <c r="O876" s="116">
        <v>55.475000000000001</v>
      </c>
      <c r="P876" s="116">
        <v>56.37</v>
      </c>
      <c r="Q876" s="116">
        <v>555.6</v>
      </c>
      <c r="R876">
        <v>7443751</v>
      </c>
    </row>
    <row r="877" spans="1:18" x14ac:dyDescent="0.25">
      <c r="A877" s="170">
        <v>43291</v>
      </c>
      <c r="B877" s="116">
        <v>57.08</v>
      </c>
      <c r="C877" s="116">
        <v>56.86</v>
      </c>
      <c r="D877" s="116">
        <v>55.73</v>
      </c>
      <c r="E877" s="116">
        <v>55.805</v>
      </c>
      <c r="F877" s="116">
        <v>568.6</v>
      </c>
      <c r="G877">
        <v>719490</v>
      </c>
      <c r="H877" s="116"/>
      <c r="I877" s="116"/>
      <c r="L877" s="170">
        <v>43291</v>
      </c>
      <c r="M877" s="116">
        <v>56.865000000000002</v>
      </c>
      <c r="N877" s="116">
        <v>57.1</v>
      </c>
      <c r="O877" s="116">
        <v>55.69</v>
      </c>
      <c r="P877" s="116">
        <v>55.9</v>
      </c>
      <c r="Q877" s="116">
        <v>568.65</v>
      </c>
      <c r="R877">
        <v>10004905</v>
      </c>
    </row>
    <row r="878" spans="1:18" x14ac:dyDescent="0.25">
      <c r="A878" s="170">
        <v>43292</v>
      </c>
      <c r="B878" s="116">
        <v>56.64</v>
      </c>
      <c r="C878" s="116">
        <v>55.585000000000001</v>
      </c>
      <c r="D878" s="116">
        <v>55.44</v>
      </c>
      <c r="E878" s="116">
        <v>56.64</v>
      </c>
      <c r="F878" s="116">
        <v>555.85</v>
      </c>
      <c r="G878">
        <v>404766</v>
      </c>
      <c r="H878" s="116"/>
      <c r="I878" s="116"/>
      <c r="L878" s="170">
        <v>43292</v>
      </c>
      <c r="M878" s="116">
        <v>55.57</v>
      </c>
      <c r="N878" s="116">
        <v>56.57</v>
      </c>
      <c r="O878" s="116">
        <v>55.414999999999999</v>
      </c>
      <c r="P878" s="116">
        <v>56.57</v>
      </c>
      <c r="Q878" s="116">
        <v>555.70000000000005</v>
      </c>
      <c r="R878">
        <v>6111245</v>
      </c>
    </row>
    <row r="879" spans="1:18" x14ac:dyDescent="0.25">
      <c r="A879" s="170">
        <v>43293</v>
      </c>
      <c r="B879" s="116">
        <v>56.795000000000002</v>
      </c>
      <c r="C879" s="116">
        <v>55.63</v>
      </c>
      <c r="D879" s="116">
        <v>55.435000000000002</v>
      </c>
      <c r="E879" s="116">
        <v>55.914999999999999</v>
      </c>
      <c r="F879" s="116">
        <v>556.29999999999995</v>
      </c>
      <c r="G879">
        <v>555853</v>
      </c>
      <c r="H879" s="116"/>
      <c r="I879" s="116"/>
      <c r="L879" s="170">
        <v>43293</v>
      </c>
      <c r="M879" s="116">
        <v>55.52</v>
      </c>
      <c r="N879" s="116">
        <v>56.79</v>
      </c>
      <c r="O879" s="116">
        <v>55.314999999999998</v>
      </c>
      <c r="P879" s="116">
        <v>56</v>
      </c>
      <c r="Q879" s="116">
        <v>555.20000000000005</v>
      </c>
      <c r="R879">
        <v>8443988</v>
      </c>
    </row>
    <row r="880" spans="1:18" x14ac:dyDescent="0.25">
      <c r="A880" s="170">
        <v>43294</v>
      </c>
      <c r="B880" s="116">
        <v>56.185000000000002</v>
      </c>
      <c r="C880" s="116">
        <v>55.814999999999998</v>
      </c>
      <c r="D880" s="116">
        <v>55.305</v>
      </c>
      <c r="E880" s="116">
        <v>55.95</v>
      </c>
      <c r="F880" s="116">
        <v>558.15</v>
      </c>
      <c r="G880">
        <v>470245</v>
      </c>
      <c r="H880" s="116"/>
      <c r="I880" s="116"/>
      <c r="L880" s="170">
        <v>43294</v>
      </c>
      <c r="M880" s="116">
        <v>55.86</v>
      </c>
      <c r="N880" s="116">
        <v>56.2</v>
      </c>
      <c r="O880" s="116">
        <v>55.3</v>
      </c>
      <c r="P880" s="116">
        <v>55.935000000000002</v>
      </c>
      <c r="Q880" s="116">
        <v>558.6</v>
      </c>
      <c r="R880">
        <v>5579129</v>
      </c>
    </row>
    <row r="881" spans="1:18" x14ac:dyDescent="0.25">
      <c r="A881" s="170">
        <v>43297</v>
      </c>
      <c r="B881" s="116">
        <v>55.935000000000002</v>
      </c>
      <c r="C881" s="116">
        <v>51.93</v>
      </c>
      <c r="D881" s="116">
        <v>51.625</v>
      </c>
      <c r="E881" s="116">
        <v>55.83</v>
      </c>
      <c r="F881" s="116">
        <v>519.29999999999995</v>
      </c>
      <c r="G881">
        <v>1131212</v>
      </c>
      <c r="H881" s="116"/>
      <c r="I881" s="116"/>
      <c r="L881" s="170">
        <v>43297</v>
      </c>
      <c r="M881" s="116">
        <v>51.924999999999997</v>
      </c>
      <c r="N881" s="116">
        <v>55.99</v>
      </c>
      <c r="O881" s="116">
        <v>51.704999999999998</v>
      </c>
      <c r="P881" s="116">
        <v>55.97</v>
      </c>
      <c r="Q881" s="116">
        <v>519.25</v>
      </c>
      <c r="R881">
        <v>11159885</v>
      </c>
    </row>
    <row r="882" spans="1:18" x14ac:dyDescent="0.25">
      <c r="A882" s="170">
        <v>43298</v>
      </c>
      <c r="B882" s="116">
        <v>53.564999999999998</v>
      </c>
      <c r="C882" s="116">
        <v>53.25</v>
      </c>
      <c r="D882" s="116">
        <v>51.255000000000003</v>
      </c>
      <c r="E882" s="116">
        <v>52.17</v>
      </c>
      <c r="F882" s="116">
        <v>532.5</v>
      </c>
      <c r="G882">
        <v>680866</v>
      </c>
      <c r="H882" s="116"/>
      <c r="I882" s="116"/>
      <c r="L882" s="170">
        <v>43298</v>
      </c>
      <c r="M882" s="116">
        <v>53.234999999999999</v>
      </c>
      <c r="N882" s="116">
        <v>53.57</v>
      </c>
      <c r="O882" s="116">
        <v>51.3</v>
      </c>
      <c r="P882" s="116">
        <v>52.2</v>
      </c>
      <c r="Q882" s="116">
        <v>532.35</v>
      </c>
      <c r="R882">
        <v>10792706</v>
      </c>
    </row>
    <row r="883" spans="1:18" x14ac:dyDescent="0.25">
      <c r="A883" s="170">
        <v>43299</v>
      </c>
      <c r="B883" s="116">
        <v>53.77</v>
      </c>
      <c r="C883" s="116">
        <v>50.47</v>
      </c>
      <c r="D883" s="116">
        <v>50.115000000000002</v>
      </c>
      <c r="E883" s="116">
        <v>53.77</v>
      </c>
      <c r="F883" s="116">
        <v>504.7</v>
      </c>
      <c r="G883">
        <v>1210431</v>
      </c>
      <c r="H883" s="116"/>
      <c r="I883" s="116"/>
      <c r="L883" s="170">
        <v>43299</v>
      </c>
      <c r="M883" s="116">
        <v>50.424999999999997</v>
      </c>
      <c r="N883" s="116">
        <v>53.695</v>
      </c>
      <c r="O883" s="116">
        <v>50.1</v>
      </c>
      <c r="P883" s="116">
        <v>53.6</v>
      </c>
      <c r="Q883" s="116">
        <v>504.25</v>
      </c>
      <c r="R883">
        <v>16451209</v>
      </c>
    </row>
    <row r="884" spans="1:18" x14ac:dyDescent="0.25">
      <c r="A884" s="170">
        <v>43300</v>
      </c>
      <c r="B884" s="116">
        <v>51.325000000000003</v>
      </c>
      <c r="C884" s="116">
        <v>49.975000000000001</v>
      </c>
      <c r="D884" s="116">
        <v>49.35</v>
      </c>
      <c r="E884" s="116">
        <v>50.914999999999999</v>
      </c>
      <c r="F884" s="116">
        <v>499.75</v>
      </c>
      <c r="G884">
        <v>1557845</v>
      </c>
      <c r="H884" s="116"/>
      <c r="I884" s="116"/>
      <c r="L884" s="170">
        <v>43300</v>
      </c>
      <c r="M884" s="116">
        <v>49.865000000000002</v>
      </c>
      <c r="N884" s="116">
        <v>51.34</v>
      </c>
      <c r="O884" s="116">
        <v>49.3</v>
      </c>
      <c r="P884" s="116">
        <v>50.8</v>
      </c>
      <c r="Q884" s="116">
        <v>498.65</v>
      </c>
      <c r="R884">
        <v>16808651</v>
      </c>
    </row>
    <row r="885" spans="1:18" x14ac:dyDescent="0.25">
      <c r="A885" s="170">
        <v>43301</v>
      </c>
      <c r="B885" s="116">
        <v>50.585000000000001</v>
      </c>
      <c r="C885" s="116">
        <v>50.344999999999999</v>
      </c>
      <c r="D885" s="116">
        <v>49.545000000000002</v>
      </c>
      <c r="E885" s="116">
        <v>49.93</v>
      </c>
      <c r="F885" s="116">
        <v>503.45</v>
      </c>
      <c r="G885">
        <v>504508</v>
      </c>
      <c r="H885" s="116"/>
      <c r="I885" s="116"/>
      <c r="L885" s="170">
        <v>43301</v>
      </c>
      <c r="M885" s="116">
        <v>50.32</v>
      </c>
      <c r="N885" s="116">
        <v>50.575000000000003</v>
      </c>
      <c r="O885" s="116">
        <v>49.5</v>
      </c>
      <c r="P885" s="116">
        <v>49.9</v>
      </c>
      <c r="Q885" s="116">
        <v>503.2</v>
      </c>
      <c r="R885">
        <v>7261409</v>
      </c>
    </row>
    <row r="886" spans="1:18" x14ac:dyDescent="0.25">
      <c r="A886" s="170">
        <v>43304</v>
      </c>
      <c r="B886" s="116">
        <v>51.945</v>
      </c>
      <c r="C886" s="116">
        <v>51.685000000000002</v>
      </c>
      <c r="D886" s="116">
        <v>49.87</v>
      </c>
      <c r="E886" s="116">
        <v>50.524999999999999</v>
      </c>
      <c r="F886" s="116">
        <v>516.85</v>
      </c>
      <c r="G886">
        <v>526356</v>
      </c>
      <c r="H886" s="116"/>
      <c r="I886" s="116"/>
      <c r="L886" s="170">
        <v>43304</v>
      </c>
      <c r="M886" s="116">
        <v>51.69</v>
      </c>
      <c r="N886" s="116">
        <v>51.95</v>
      </c>
      <c r="O886" s="116">
        <v>49.83</v>
      </c>
      <c r="P886" s="116">
        <v>50.6</v>
      </c>
      <c r="Q886" s="116">
        <v>516.9</v>
      </c>
      <c r="R886">
        <v>6878134</v>
      </c>
    </row>
    <row r="887" spans="1:18" x14ac:dyDescent="0.25">
      <c r="A887" s="170">
        <v>43305</v>
      </c>
      <c r="B887" s="116">
        <v>52.9</v>
      </c>
      <c r="C887" s="116">
        <v>52.67</v>
      </c>
      <c r="D887" s="116">
        <v>51.73</v>
      </c>
      <c r="E887" s="116">
        <v>51.74</v>
      </c>
      <c r="F887" s="116">
        <v>526.70000000000005</v>
      </c>
      <c r="G887">
        <v>507298</v>
      </c>
      <c r="H887" s="116"/>
      <c r="I887" s="116"/>
      <c r="L887" s="170">
        <v>43305</v>
      </c>
      <c r="M887" s="116">
        <v>52.74</v>
      </c>
      <c r="N887" s="116">
        <v>52.96</v>
      </c>
      <c r="O887" s="116">
        <v>51.6</v>
      </c>
      <c r="P887" s="116">
        <v>51.6</v>
      </c>
      <c r="Q887" s="116">
        <v>527.4</v>
      </c>
      <c r="R887">
        <v>8398369</v>
      </c>
    </row>
    <row r="888" spans="1:18" x14ac:dyDescent="0.25">
      <c r="A888" s="170">
        <v>43306</v>
      </c>
      <c r="B888" s="116">
        <v>53.64</v>
      </c>
      <c r="C888" s="116">
        <v>53.454999999999998</v>
      </c>
      <c r="D888" s="116">
        <v>52.92</v>
      </c>
      <c r="E888" s="116">
        <v>52.975000000000001</v>
      </c>
      <c r="F888" s="116">
        <v>534.54999999999995</v>
      </c>
      <c r="G888">
        <v>452176</v>
      </c>
      <c r="H888" s="116"/>
      <c r="I888" s="116"/>
      <c r="L888" s="170">
        <v>43306</v>
      </c>
      <c r="M888" s="116">
        <v>53.6</v>
      </c>
      <c r="N888" s="116">
        <v>53.8</v>
      </c>
      <c r="O888" s="116">
        <v>52.9</v>
      </c>
      <c r="P888" s="116">
        <v>53.1</v>
      </c>
      <c r="Q888" s="116">
        <v>536</v>
      </c>
      <c r="R888">
        <v>6782638</v>
      </c>
    </row>
    <row r="889" spans="1:18" x14ac:dyDescent="0.25">
      <c r="A889" s="170">
        <v>43307</v>
      </c>
      <c r="B889" s="116">
        <v>53.99</v>
      </c>
      <c r="C889" s="116">
        <v>53.494999999999997</v>
      </c>
      <c r="D889" s="116">
        <v>53.15</v>
      </c>
      <c r="E889" s="116">
        <v>53.6</v>
      </c>
      <c r="F889" s="116">
        <v>534.95000000000005</v>
      </c>
      <c r="G889">
        <v>296780</v>
      </c>
      <c r="H889" s="116"/>
      <c r="I889" s="116"/>
      <c r="L889" s="170">
        <v>43307</v>
      </c>
      <c r="M889" s="116">
        <v>53.484999999999999</v>
      </c>
      <c r="N889" s="116">
        <v>53.994999999999997</v>
      </c>
      <c r="O889" s="116">
        <v>53.134999999999998</v>
      </c>
      <c r="P889" s="116">
        <v>53.695</v>
      </c>
      <c r="Q889" s="116">
        <v>534.85</v>
      </c>
      <c r="R889">
        <v>7481191</v>
      </c>
    </row>
    <row r="890" spans="1:18" x14ac:dyDescent="0.25">
      <c r="A890" s="170">
        <v>43308</v>
      </c>
      <c r="B890" s="116">
        <v>55.36</v>
      </c>
      <c r="C890" s="116">
        <v>54.945</v>
      </c>
      <c r="D890" s="116">
        <v>53.52</v>
      </c>
      <c r="E890" s="116">
        <v>53.52</v>
      </c>
      <c r="F890" s="116">
        <v>549.45000000000005</v>
      </c>
      <c r="G890">
        <v>569232</v>
      </c>
      <c r="H890" s="116"/>
      <c r="I890" s="116"/>
      <c r="L890" s="170">
        <v>43308</v>
      </c>
      <c r="M890" s="116">
        <v>55.02</v>
      </c>
      <c r="N890" s="116">
        <v>55.354999999999997</v>
      </c>
      <c r="O890" s="116">
        <v>53.63</v>
      </c>
      <c r="P890" s="116">
        <v>53.8</v>
      </c>
      <c r="Q890" s="116">
        <v>550.20000000000005</v>
      </c>
      <c r="R890">
        <v>6462885</v>
      </c>
    </row>
    <row r="891" spans="1:18" x14ac:dyDescent="0.25">
      <c r="A891" s="170">
        <v>43311</v>
      </c>
      <c r="B891" s="116">
        <v>55.83</v>
      </c>
      <c r="C891" s="116">
        <v>55.26</v>
      </c>
      <c r="D891" s="116">
        <v>54.8</v>
      </c>
      <c r="E891" s="116">
        <v>55.1</v>
      </c>
      <c r="F891" s="116">
        <v>552.6</v>
      </c>
      <c r="G891">
        <v>326389</v>
      </c>
      <c r="H891" s="116"/>
      <c r="I891" s="116"/>
      <c r="L891" s="170">
        <v>43311</v>
      </c>
      <c r="M891" s="116">
        <v>55.3</v>
      </c>
      <c r="N891" s="116">
        <v>55.85</v>
      </c>
      <c r="O891" s="116">
        <v>54.734999999999999</v>
      </c>
      <c r="P891" s="116">
        <v>54.945</v>
      </c>
      <c r="Q891" s="116">
        <v>553</v>
      </c>
      <c r="R891">
        <v>4787707</v>
      </c>
    </row>
    <row r="892" spans="1:18" x14ac:dyDescent="0.25">
      <c r="A892" s="170">
        <v>43312</v>
      </c>
      <c r="B892" s="116">
        <v>56.45</v>
      </c>
      <c r="C892" s="116">
        <v>56.284999999999997</v>
      </c>
      <c r="D892" s="116">
        <v>54.34</v>
      </c>
      <c r="E892" s="116">
        <v>55.39</v>
      </c>
      <c r="F892" s="116">
        <v>562.85</v>
      </c>
      <c r="G892">
        <v>493363</v>
      </c>
      <c r="H892" s="116"/>
      <c r="I892" s="116"/>
      <c r="L892" s="170">
        <v>43312</v>
      </c>
      <c r="M892" s="116">
        <v>56.305</v>
      </c>
      <c r="N892" s="116">
        <v>56.49</v>
      </c>
      <c r="O892" s="116">
        <v>54.354999999999997</v>
      </c>
      <c r="P892" s="116">
        <v>55.195</v>
      </c>
      <c r="Q892" s="116">
        <v>563.04999999999995</v>
      </c>
      <c r="R892">
        <v>6373966</v>
      </c>
    </row>
    <row r="893" spans="1:18" x14ac:dyDescent="0.25">
      <c r="A893" s="170">
        <v>43313</v>
      </c>
      <c r="B893" s="116">
        <v>56.75</v>
      </c>
      <c r="C893" s="116">
        <v>55.465000000000003</v>
      </c>
      <c r="D893" s="116">
        <v>55.13</v>
      </c>
      <c r="E893" s="116">
        <v>56.5</v>
      </c>
      <c r="F893" s="116">
        <v>554.65</v>
      </c>
      <c r="G893">
        <v>403507</v>
      </c>
      <c r="H893" s="116"/>
      <c r="I893" s="116"/>
      <c r="L893" s="170">
        <v>43313</v>
      </c>
      <c r="M893" s="116">
        <v>55.58</v>
      </c>
      <c r="N893" s="116">
        <v>56.76</v>
      </c>
      <c r="O893" s="116">
        <v>55.13</v>
      </c>
      <c r="P893" s="116">
        <v>56.284999999999997</v>
      </c>
      <c r="Q893" s="116">
        <v>555.79999999999995</v>
      </c>
      <c r="R893">
        <v>6067992</v>
      </c>
    </row>
    <row r="894" spans="1:18" x14ac:dyDescent="0.25">
      <c r="A894" s="170">
        <v>43314</v>
      </c>
      <c r="B894" s="116">
        <v>56.115000000000002</v>
      </c>
      <c r="C894" s="116">
        <v>55.45</v>
      </c>
      <c r="D894" s="116">
        <v>54.055</v>
      </c>
      <c r="E894" s="116">
        <v>55.39</v>
      </c>
      <c r="F894" s="116">
        <v>554.5</v>
      </c>
      <c r="G894">
        <v>696212</v>
      </c>
      <c r="H894" s="116"/>
      <c r="I894" s="116"/>
      <c r="L894" s="170">
        <v>43314</v>
      </c>
      <c r="M894" s="116">
        <v>55.43</v>
      </c>
      <c r="N894" s="116">
        <v>56.09</v>
      </c>
      <c r="O894" s="116">
        <v>54.06</v>
      </c>
      <c r="P894" s="116">
        <v>55.27</v>
      </c>
      <c r="Q894" s="116">
        <v>554.29999999999995</v>
      </c>
      <c r="R894">
        <v>9493099</v>
      </c>
    </row>
    <row r="895" spans="1:18" x14ac:dyDescent="0.25">
      <c r="A895" s="170">
        <v>43315</v>
      </c>
      <c r="B895" s="116">
        <v>56.024999999999999</v>
      </c>
      <c r="C895" s="116">
        <v>55.51</v>
      </c>
      <c r="D895" s="116">
        <v>55.125</v>
      </c>
      <c r="E895" s="116">
        <v>55.68</v>
      </c>
      <c r="F895" s="116">
        <v>555.1</v>
      </c>
      <c r="G895">
        <v>504491</v>
      </c>
      <c r="H895" s="116"/>
      <c r="I895" s="116"/>
      <c r="L895" s="170">
        <v>43315</v>
      </c>
      <c r="M895" s="116">
        <v>55.445</v>
      </c>
      <c r="N895" s="116">
        <v>56</v>
      </c>
      <c r="O895" s="116">
        <v>55.064999999999998</v>
      </c>
      <c r="P895" s="116">
        <v>55.64</v>
      </c>
      <c r="Q895" s="116">
        <v>554.45000000000005</v>
      </c>
      <c r="R895">
        <v>5570690</v>
      </c>
    </row>
    <row r="896" spans="1:18" x14ac:dyDescent="0.25">
      <c r="A896" s="170">
        <v>43318</v>
      </c>
      <c r="B896" s="116">
        <v>56.454999999999998</v>
      </c>
      <c r="C896" s="116">
        <v>55.34</v>
      </c>
      <c r="D896" s="116">
        <v>55.1</v>
      </c>
      <c r="E896" s="116">
        <v>55.95</v>
      </c>
      <c r="F896" s="116">
        <v>553.4</v>
      </c>
      <c r="G896">
        <v>351220</v>
      </c>
      <c r="H896" s="116"/>
      <c r="I896" s="116"/>
      <c r="L896" s="170">
        <v>43318</v>
      </c>
      <c r="M896" s="116">
        <v>55.325000000000003</v>
      </c>
      <c r="N896" s="116">
        <v>56.49</v>
      </c>
      <c r="O896" s="116">
        <v>55.125</v>
      </c>
      <c r="P896" s="116">
        <v>55.9</v>
      </c>
      <c r="Q896" s="116">
        <v>553.25</v>
      </c>
      <c r="R896">
        <v>5543881</v>
      </c>
    </row>
    <row r="897" spans="1:18" x14ac:dyDescent="0.25">
      <c r="A897" s="170">
        <v>43319</v>
      </c>
      <c r="B897" s="116">
        <v>57.7</v>
      </c>
      <c r="C897" s="116">
        <v>57.34</v>
      </c>
      <c r="D897" s="116">
        <v>55.39</v>
      </c>
      <c r="E897" s="116">
        <v>55.44</v>
      </c>
      <c r="F897" s="116">
        <v>573.4</v>
      </c>
      <c r="G897">
        <v>791155</v>
      </c>
      <c r="H897" s="116"/>
      <c r="I897" s="116"/>
      <c r="L897" s="170">
        <v>43319</v>
      </c>
      <c r="M897" s="116">
        <v>57.314999999999998</v>
      </c>
      <c r="N897" s="116">
        <v>57.67</v>
      </c>
      <c r="O897" s="116">
        <v>55.365000000000002</v>
      </c>
      <c r="P897" s="116">
        <v>55.734999999999999</v>
      </c>
      <c r="Q897" s="116">
        <v>573.15</v>
      </c>
      <c r="R897">
        <v>9285854</v>
      </c>
    </row>
    <row r="898" spans="1:18" x14ac:dyDescent="0.25">
      <c r="A898" s="170">
        <v>43320</v>
      </c>
      <c r="B898" s="116">
        <v>58.3</v>
      </c>
      <c r="C898" s="116">
        <v>57.765000000000001</v>
      </c>
      <c r="D898" s="116">
        <v>57.41</v>
      </c>
      <c r="E898" s="116">
        <v>57.8</v>
      </c>
      <c r="F898" s="116">
        <v>577.65</v>
      </c>
      <c r="G898">
        <v>702929</v>
      </c>
      <c r="H898" s="116"/>
      <c r="I898" s="116"/>
      <c r="L898" s="170">
        <v>43320</v>
      </c>
      <c r="M898" s="116">
        <v>57.75</v>
      </c>
      <c r="N898" s="116">
        <v>58.375</v>
      </c>
      <c r="O898" s="116">
        <v>57.354999999999997</v>
      </c>
      <c r="P898" s="116">
        <v>57.825000000000003</v>
      </c>
      <c r="Q898" s="116">
        <v>577.5</v>
      </c>
      <c r="R898">
        <v>9008431</v>
      </c>
    </row>
    <row r="899" spans="1:18" x14ac:dyDescent="0.25">
      <c r="A899" s="170">
        <v>43321</v>
      </c>
      <c r="B899" s="116">
        <v>58.7</v>
      </c>
      <c r="C899" s="116">
        <v>58.51</v>
      </c>
      <c r="D899" s="116">
        <v>57.625</v>
      </c>
      <c r="E899" s="116">
        <v>58</v>
      </c>
      <c r="F899" s="116">
        <v>585.1</v>
      </c>
      <c r="G899">
        <v>435822</v>
      </c>
      <c r="H899" s="116"/>
      <c r="I899" s="116"/>
      <c r="L899" s="170">
        <v>43321</v>
      </c>
      <c r="M899" s="116">
        <v>58.594999999999999</v>
      </c>
      <c r="N899" s="116">
        <v>58.77</v>
      </c>
      <c r="O899" s="116">
        <v>57.58</v>
      </c>
      <c r="P899" s="116">
        <v>58</v>
      </c>
      <c r="Q899" s="116">
        <v>585.95000000000005</v>
      </c>
      <c r="R899">
        <v>5757687</v>
      </c>
    </row>
    <row r="900" spans="1:18" x14ac:dyDescent="0.25">
      <c r="A900" s="170">
        <v>43322</v>
      </c>
      <c r="B900" s="116">
        <v>58.65</v>
      </c>
      <c r="C900" s="116">
        <v>57.555</v>
      </c>
      <c r="D900" s="116">
        <v>57.314999999999998</v>
      </c>
      <c r="E900" s="116">
        <v>58.6</v>
      </c>
      <c r="F900" s="116">
        <v>575.54999999999995</v>
      </c>
      <c r="G900">
        <v>366268</v>
      </c>
      <c r="H900" s="116"/>
      <c r="I900" s="116"/>
      <c r="L900" s="170">
        <v>43322</v>
      </c>
      <c r="M900" s="116">
        <v>57.67</v>
      </c>
      <c r="N900" s="116">
        <v>58.6</v>
      </c>
      <c r="O900" s="116">
        <v>57.27</v>
      </c>
      <c r="P900" s="116">
        <v>58.594999999999999</v>
      </c>
      <c r="Q900" s="116">
        <v>576.70000000000005</v>
      </c>
      <c r="R900">
        <v>5725493</v>
      </c>
    </row>
    <row r="901" spans="1:18" x14ac:dyDescent="0.25">
      <c r="A901" s="170">
        <v>43325</v>
      </c>
      <c r="B901" s="116">
        <v>58.19</v>
      </c>
      <c r="C901" s="116">
        <v>56.92</v>
      </c>
      <c r="D901" s="116">
        <v>56.645000000000003</v>
      </c>
      <c r="E901" s="116">
        <v>57.494999999999997</v>
      </c>
      <c r="F901" s="116">
        <v>569.20000000000005</v>
      </c>
      <c r="G901">
        <v>540442</v>
      </c>
      <c r="H901" s="116"/>
      <c r="I901" s="116"/>
      <c r="L901" s="170">
        <v>43325</v>
      </c>
      <c r="M901" s="116">
        <v>56.88</v>
      </c>
      <c r="N901" s="116">
        <v>58.215000000000003</v>
      </c>
      <c r="O901" s="116">
        <v>56.6</v>
      </c>
      <c r="P901" s="116">
        <v>57.494999999999997</v>
      </c>
      <c r="Q901" s="116">
        <v>568.79999999999995</v>
      </c>
      <c r="R901">
        <v>7856831</v>
      </c>
    </row>
    <row r="902" spans="1:18" x14ac:dyDescent="0.25">
      <c r="A902" s="170">
        <v>43326</v>
      </c>
      <c r="B902" s="116">
        <v>58.7</v>
      </c>
      <c r="C902" s="116">
        <v>57.89</v>
      </c>
      <c r="D902" s="116">
        <v>56.244999999999997</v>
      </c>
      <c r="E902" s="116">
        <v>58.4</v>
      </c>
      <c r="F902" s="116">
        <v>578.9</v>
      </c>
      <c r="G902">
        <v>2062590</v>
      </c>
      <c r="H902" s="116"/>
      <c r="I902" s="116"/>
      <c r="L902" s="170">
        <v>43326</v>
      </c>
      <c r="M902" s="116">
        <v>57.895000000000003</v>
      </c>
      <c r="N902" s="116">
        <v>58.7</v>
      </c>
      <c r="O902" s="116">
        <v>56.255000000000003</v>
      </c>
      <c r="P902" s="116">
        <v>58.7</v>
      </c>
      <c r="Q902" s="116">
        <v>578.95000000000005</v>
      </c>
      <c r="R902">
        <v>24030560</v>
      </c>
    </row>
    <row r="903" spans="1:18" x14ac:dyDescent="0.25">
      <c r="A903" s="170">
        <v>43328</v>
      </c>
      <c r="B903" s="116">
        <v>57.68</v>
      </c>
      <c r="C903" s="116">
        <v>56.81</v>
      </c>
      <c r="D903" s="116">
        <v>56.4</v>
      </c>
      <c r="E903" s="116">
        <v>57</v>
      </c>
      <c r="F903" s="116">
        <v>568.1</v>
      </c>
      <c r="G903">
        <v>502447</v>
      </c>
      <c r="H903" s="116"/>
      <c r="I903" s="116"/>
      <c r="L903" s="170">
        <v>43328</v>
      </c>
      <c r="M903" s="116">
        <v>56.755000000000003</v>
      </c>
      <c r="N903" s="116">
        <v>57.67</v>
      </c>
      <c r="O903" s="116">
        <v>56.325000000000003</v>
      </c>
      <c r="P903" s="116">
        <v>57</v>
      </c>
      <c r="Q903" s="116">
        <v>567.54999999999995</v>
      </c>
      <c r="R903">
        <v>7907171</v>
      </c>
    </row>
    <row r="904" spans="1:18" x14ac:dyDescent="0.25">
      <c r="A904" s="170">
        <v>43329</v>
      </c>
      <c r="B904" s="116">
        <v>58.51</v>
      </c>
      <c r="C904" s="116">
        <v>58.06</v>
      </c>
      <c r="D904" s="116">
        <v>57.1</v>
      </c>
      <c r="E904" s="116">
        <v>57.12</v>
      </c>
      <c r="F904" s="116">
        <v>580.6</v>
      </c>
      <c r="G904">
        <v>711842</v>
      </c>
      <c r="H904" s="116"/>
      <c r="I904" s="116"/>
      <c r="L904" s="170">
        <v>43329</v>
      </c>
      <c r="M904" s="116">
        <v>58.015000000000001</v>
      </c>
      <c r="N904" s="116">
        <v>58.52</v>
      </c>
      <c r="O904" s="116">
        <v>57.18</v>
      </c>
      <c r="P904" s="116">
        <v>57.195</v>
      </c>
      <c r="Q904" s="116">
        <v>580.15</v>
      </c>
      <c r="R904">
        <v>8743214</v>
      </c>
    </row>
    <row r="905" spans="1:18" x14ac:dyDescent="0.25">
      <c r="A905" s="170">
        <v>43332</v>
      </c>
      <c r="B905" s="116">
        <v>60.16</v>
      </c>
      <c r="C905" s="116">
        <v>59.94</v>
      </c>
      <c r="D905" s="116">
        <v>58.32</v>
      </c>
      <c r="E905" s="116">
        <v>58.424999999999997</v>
      </c>
      <c r="F905" s="116">
        <v>599.4</v>
      </c>
      <c r="G905">
        <v>774049</v>
      </c>
      <c r="H905" s="116"/>
      <c r="I905" s="116"/>
      <c r="L905" s="170">
        <v>43332</v>
      </c>
      <c r="M905" s="116">
        <v>59.94</v>
      </c>
      <c r="N905" s="116">
        <v>60.18</v>
      </c>
      <c r="O905" s="116">
        <v>58.29</v>
      </c>
      <c r="P905" s="116">
        <v>58.3</v>
      </c>
      <c r="Q905" s="116">
        <v>599.4</v>
      </c>
      <c r="R905">
        <v>11662318</v>
      </c>
    </row>
    <row r="906" spans="1:18" x14ac:dyDescent="0.25">
      <c r="A906" s="170">
        <v>43333</v>
      </c>
      <c r="B906" s="116">
        <v>60.35</v>
      </c>
      <c r="C906" s="116">
        <v>58.225000000000001</v>
      </c>
      <c r="D906" s="116">
        <v>58.015000000000001</v>
      </c>
      <c r="E906" s="116">
        <v>60.2</v>
      </c>
      <c r="F906" s="116">
        <v>582.25</v>
      </c>
      <c r="G906">
        <v>813190</v>
      </c>
      <c r="H906" s="116"/>
      <c r="I906" s="116"/>
      <c r="L906" s="170">
        <v>43333</v>
      </c>
      <c r="M906" s="116">
        <v>58.215000000000003</v>
      </c>
      <c r="N906" s="116">
        <v>60.244999999999997</v>
      </c>
      <c r="O906" s="116">
        <v>58.055</v>
      </c>
      <c r="P906" s="116">
        <v>60.225000000000001</v>
      </c>
      <c r="Q906" s="116">
        <v>582.15</v>
      </c>
      <c r="R906">
        <v>10873707</v>
      </c>
    </row>
    <row r="907" spans="1:18" x14ac:dyDescent="0.25">
      <c r="A907" s="170">
        <v>43335</v>
      </c>
      <c r="B907" s="116">
        <v>58.6</v>
      </c>
      <c r="C907" s="116">
        <v>57.15</v>
      </c>
      <c r="D907" s="116">
        <v>57.03</v>
      </c>
      <c r="E907" s="116">
        <v>58.59</v>
      </c>
      <c r="F907" s="116">
        <v>571.5</v>
      </c>
      <c r="G907">
        <v>508455</v>
      </c>
      <c r="H907" s="116"/>
      <c r="I907" s="116"/>
      <c r="L907" s="170">
        <v>43335</v>
      </c>
      <c r="M907" s="116">
        <v>57.164999999999999</v>
      </c>
      <c r="N907" s="116">
        <v>58.49</v>
      </c>
      <c r="O907" s="116">
        <v>57.015000000000001</v>
      </c>
      <c r="P907" s="116">
        <v>58.49</v>
      </c>
      <c r="Q907" s="116">
        <v>571.65</v>
      </c>
      <c r="R907">
        <v>6676830</v>
      </c>
    </row>
    <row r="908" spans="1:18" x14ac:dyDescent="0.25">
      <c r="A908" s="170">
        <v>43336</v>
      </c>
      <c r="B908" s="116">
        <v>57.9</v>
      </c>
      <c r="C908" s="116">
        <v>57.545000000000002</v>
      </c>
      <c r="D908" s="116">
        <v>56.8</v>
      </c>
      <c r="E908" s="116">
        <v>57.05</v>
      </c>
      <c r="F908" s="116">
        <v>575.45000000000005</v>
      </c>
      <c r="G908">
        <v>398503</v>
      </c>
      <c r="H908" s="116"/>
      <c r="I908" s="116"/>
      <c r="L908" s="170">
        <v>43336</v>
      </c>
      <c r="M908" s="116">
        <v>57.56</v>
      </c>
      <c r="N908" s="116">
        <v>57.935000000000002</v>
      </c>
      <c r="O908" s="116">
        <v>56.825000000000003</v>
      </c>
      <c r="P908" s="116">
        <v>57.034999999999997</v>
      </c>
      <c r="Q908" s="116">
        <v>575.6</v>
      </c>
      <c r="R908">
        <v>6060269</v>
      </c>
    </row>
    <row r="909" spans="1:18" x14ac:dyDescent="0.25">
      <c r="A909" s="170">
        <v>43339</v>
      </c>
      <c r="B909" s="116">
        <v>58.68</v>
      </c>
      <c r="C909" s="116">
        <v>58.104999999999997</v>
      </c>
      <c r="D909" s="116">
        <v>57.905000000000001</v>
      </c>
      <c r="E909" s="116">
        <v>58.1</v>
      </c>
      <c r="F909" s="116">
        <v>581.04999999999995</v>
      </c>
      <c r="G909">
        <v>379822</v>
      </c>
      <c r="H909" s="116"/>
      <c r="I909" s="116"/>
      <c r="L909" s="170">
        <v>43339</v>
      </c>
      <c r="M909" s="116">
        <v>58.12</v>
      </c>
      <c r="N909" s="116">
        <v>58.7</v>
      </c>
      <c r="O909" s="116">
        <v>57.9</v>
      </c>
      <c r="P909" s="116">
        <v>58.19</v>
      </c>
      <c r="Q909" s="116">
        <v>581.20000000000005</v>
      </c>
      <c r="R909">
        <v>5391946</v>
      </c>
    </row>
    <row r="910" spans="1:18" x14ac:dyDescent="0.25">
      <c r="A910" s="170">
        <v>43340</v>
      </c>
      <c r="B910" s="116">
        <v>59.3</v>
      </c>
      <c r="C910" s="116">
        <v>58.935000000000002</v>
      </c>
      <c r="D910" s="116">
        <v>57.825000000000003</v>
      </c>
      <c r="E910" s="116">
        <v>58.2</v>
      </c>
      <c r="F910" s="116">
        <v>589.35</v>
      </c>
      <c r="G910">
        <v>613751</v>
      </c>
      <c r="H910" s="116"/>
      <c r="I910" s="116"/>
      <c r="L910" s="170">
        <v>43340</v>
      </c>
      <c r="M910" s="116">
        <v>59.034999999999997</v>
      </c>
      <c r="N910" s="116">
        <v>59.39</v>
      </c>
      <c r="O910" s="116">
        <v>57.81</v>
      </c>
      <c r="P910" s="116">
        <v>58.25</v>
      </c>
      <c r="Q910" s="116">
        <v>590.35</v>
      </c>
      <c r="R910">
        <v>9021297</v>
      </c>
    </row>
    <row r="911" spans="1:18" x14ac:dyDescent="0.25">
      <c r="A911" s="170">
        <v>43341</v>
      </c>
      <c r="B911" s="116">
        <v>60.28</v>
      </c>
      <c r="C911" s="116">
        <v>59.405000000000001</v>
      </c>
      <c r="D911" s="116">
        <v>58.56</v>
      </c>
      <c r="E911" s="116">
        <v>59.1</v>
      </c>
      <c r="F911" s="116">
        <v>594.04999999999995</v>
      </c>
      <c r="G911">
        <v>1348873</v>
      </c>
      <c r="H911" s="116"/>
      <c r="I911" s="116"/>
      <c r="L911" s="170">
        <v>43341</v>
      </c>
      <c r="M911" s="116">
        <v>59.42</v>
      </c>
      <c r="N911" s="116">
        <v>60.185000000000002</v>
      </c>
      <c r="O911" s="116">
        <v>58.555</v>
      </c>
      <c r="P911" s="116">
        <v>59.03</v>
      </c>
      <c r="Q911" s="116">
        <v>594.20000000000005</v>
      </c>
      <c r="R911">
        <v>9885532</v>
      </c>
    </row>
    <row r="912" spans="1:18" x14ac:dyDescent="0.25">
      <c r="A912" s="170">
        <v>43342</v>
      </c>
      <c r="B912" s="116">
        <v>61</v>
      </c>
      <c r="C912" s="116">
        <v>60.83</v>
      </c>
      <c r="D912" s="116">
        <v>59.07</v>
      </c>
      <c r="E912" s="116">
        <v>59.37</v>
      </c>
      <c r="F912" s="116">
        <v>608.29999999999995</v>
      </c>
      <c r="G912">
        <v>732633</v>
      </c>
      <c r="H912" s="116"/>
      <c r="I912" s="116"/>
      <c r="L912" s="170">
        <v>43342</v>
      </c>
      <c r="M912" s="116">
        <v>60.835000000000001</v>
      </c>
      <c r="N912" s="116">
        <v>61</v>
      </c>
      <c r="O912" s="116">
        <v>59.104999999999997</v>
      </c>
      <c r="P912" s="116">
        <v>59.23</v>
      </c>
      <c r="Q912" s="116">
        <v>608.35</v>
      </c>
      <c r="R912">
        <v>10283657</v>
      </c>
    </row>
    <row r="913" spans="1:18" x14ac:dyDescent="0.25">
      <c r="A913" s="170">
        <v>43343</v>
      </c>
      <c r="B913" s="116">
        <v>61.43</v>
      </c>
      <c r="C913" s="116">
        <v>60.164999999999999</v>
      </c>
      <c r="D913" s="116">
        <v>60</v>
      </c>
      <c r="E913" s="116">
        <v>60.9</v>
      </c>
      <c r="F913" s="116">
        <v>601.65</v>
      </c>
      <c r="G913">
        <v>561356</v>
      </c>
      <c r="H913" s="116"/>
      <c r="I913" s="116"/>
      <c r="L913" s="170">
        <v>43343</v>
      </c>
      <c r="M913" s="116">
        <v>60.05</v>
      </c>
      <c r="N913" s="116">
        <v>61.45</v>
      </c>
      <c r="O913" s="116">
        <v>59.91</v>
      </c>
      <c r="P913" s="116">
        <v>60.82</v>
      </c>
      <c r="Q913" s="116">
        <v>600.5</v>
      </c>
      <c r="R913">
        <v>8633354</v>
      </c>
    </row>
    <row r="914" spans="1:18" x14ac:dyDescent="0.25">
      <c r="A914" s="170">
        <v>43346</v>
      </c>
      <c r="B914" s="116">
        <v>61</v>
      </c>
      <c r="C914" s="116">
        <v>60.05</v>
      </c>
      <c r="D914" s="116">
        <v>59.825000000000003</v>
      </c>
      <c r="E914" s="116">
        <v>60.2</v>
      </c>
      <c r="F914" s="116">
        <v>600.5</v>
      </c>
      <c r="G914">
        <v>391306</v>
      </c>
      <c r="H914" s="116"/>
      <c r="I914" s="116"/>
      <c r="L914" s="170">
        <v>43346</v>
      </c>
      <c r="M914" s="116">
        <v>60.075000000000003</v>
      </c>
      <c r="N914" s="116">
        <v>60.994999999999997</v>
      </c>
      <c r="O914" s="116">
        <v>59.8</v>
      </c>
      <c r="P914" s="116">
        <v>60.3</v>
      </c>
      <c r="Q914" s="116">
        <v>600.75</v>
      </c>
      <c r="R914">
        <v>5479133</v>
      </c>
    </row>
    <row r="915" spans="1:18" x14ac:dyDescent="0.25">
      <c r="A915" s="170">
        <v>43347</v>
      </c>
      <c r="B915" s="116">
        <v>60.46</v>
      </c>
      <c r="C915" s="116">
        <v>59.305</v>
      </c>
      <c r="D915" s="116">
        <v>59.104999999999997</v>
      </c>
      <c r="E915" s="116">
        <v>60.3</v>
      </c>
      <c r="F915" s="116">
        <v>593.04999999999995</v>
      </c>
      <c r="G915">
        <v>380640</v>
      </c>
      <c r="H915" s="116"/>
      <c r="I915" s="116"/>
      <c r="L915" s="170">
        <v>43347</v>
      </c>
      <c r="M915" s="116">
        <v>59.305</v>
      </c>
      <c r="N915" s="116">
        <v>60.45</v>
      </c>
      <c r="O915" s="116">
        <v>59.06</v>
      </c>
      <c r="P915" s="116">
        <v>60.09</v>
      </c>
      <c r="Q915" s="116">
        <v>593.04999999999995</v>
      </c>
      <c r="R915">
        <v>6099572</v>
      </c>
    </row>
    <row r="916" spans="1:18" x14ac:dyDescent="0.25">
      <c r="A916" s="170">
        <v>43348</v>
      </c>
      <c r="B916" s="116">
        <v>59.725000000000001</v>
      </c>
      <c r="C916" s="116">
        <v>59.39</v>
      </c>
      <c r="D916" s="116">
        <v>58.125</v>
      </c>
      <c r="E916" s="116">
        <v>58.99</v>
      </c>
      <c r="F916" s="116">
        <v>593.9</v>
      </c>
      <c r="G916">
        <v>553843</v>
      </c>
      <c r="H916" s="116"/>
      <c r="I916" s="116"/>
      <c r="L916" s="170">
        <v>43348</v>
      </c>
      <c r="M916" s="116">
        <v>59.44</v>
      </c>
      <c r="N916" s="116">
        <v>59.7</v>
      </c>
      <c r="O916" s="116">
        <v>58.12</v>
      </c>
      <c r="P916" s="116">
        <v>59</v>
      </c>
      <c r="Q916" s="116">
        <v>594.4</v>
      </c>
      <c r="R916">
        <v>5791157</v>
      </c>
    </row>
    <row r="917" spans="1:18" x14ac:dyDescent="0.25">
      <c r="A917" s="170">
        <v>43349</v>
      </c>
      <c r="B917" s="116">
        <v>60.73</v>
      </c>
      <c r="C917" s="116">
        <v>60.045000000000002</v>
      </c>
      <c r="D917" s="116">
        <v>59.42</v>
      </c>
      <c r="E917" s="116">
        <v>59.87</v>
      </c>
      <c r="F917" s="116">
        <v>600.45000000000005</v>
      </c>
      <c r="G917">
        <v>432247</v>
      </c>
      <c r="H917" s="116"/>
      <c r="I917" s="116"/>
      <c r="L917" s="170">
        <v>43349</v>
      </c>
      <c r="M917" s="116">
        <v>60.03</v>
      </c>
      <c r="N917" s="116">
        <v>60.78</v>
      </c>
      <c r="O917" s="116">
        <v>59.45</v>
      </c>
      <c r="P917" s="116">
        <v>59.8</v>
      </c>
      <c r="Q917" s="116">
        <v>600.29999999999995</v>
      </c>
      <c r="R917">
        <v>6689716</v>
      </c>
    </row>
    <row r="918" spans="1:18" x14ac:dyDescent="0.25">
      <c r="A918" s="170">
        <v>43350</v>
      </c>
      <c r="B918" s="116">
        <v>62.1</v>
      </c>
      <c r="C918" s="116">
        <v>61.9</v>
      </c>
      <c r="D918" s="116">
        <v>59.73</v>
      </c>
      <c r="E918" s="116">
        <v>60.2</v>
      </c>
      <c r="F918" s="116">
        <v>619</v>
      </c>
      <c r="G918">
        <v>981485</v>
      </c>
      <c r="H918" s="116"/>
      <c r="I918" s="116"/>
      <c r="L918" s="170">
        <v>43350</v>
      </c>
      <c r="M918" s="116">
        <v>61.914999999999999</v>
      </c>
      <c r="N918" s="116">
        <v>62.2</v>
      </c>
      <c r="O918" s="116">
        <v>59.704999999999998</v>
      </c>
      <c r="P918" s="116">
        <v>60.23</v>
      </c>
      <c r="Q918" s="116">
        <v>619.15</v>
      </c>
      <c r="R918">
        <v>9445836</v>
      </c>
    </row>
    <row r="919" spans="1:18" x14ac:dyDescent="0.25">
      <c r="A919" s="170">
        <v>43353</v>
      </c>
      <c r="B919" s="116">
        <v>62.59</v>
      </c>
      <c r="C919" s="116">
        <v>61.35</v>
      </c>
      <c r="D919" s="116">
        <v>61.145000000000003</v>
      </c>
      <c r="E919" s="116">
        <v>62</v>
      </c>
      <c r="F919" s="116">
        <v>613.5</v>
      </c>
      <c r="G919">
        <v>470594</v>
      </c>
      <c r="H919" s="116"/>
      <c r="I919" s="116"/>
      <c r="L919" s="170">
        <v>43353</v>
      </c>
      <c r="M919" s="116">
        <v>61.365000000000002</v>
      </c>
      <c r="N919" s="116">
        <v>62.5</v>
      </c>
      <c r="O919" s="116">
        <v>61.125</v>
      </c>
      <c r="P919" s="116">
        <v>61.994999999999997</v>
      </c>
      <c r="Q919" s="116">
        <v>613.65</v>
      </c>
      <c r="R919">
        <v>6284258</v>
      </c>
    </row>
    <row r="920" spans="1:18" x14ac:dyDescent="0.25">
      <c r="A920" s="170">
        <v>43354</v>
      </c>
      <c r="B920" s="116">
        <v>61.715000000000003</v>
      </c>
      <c r="C920" s="116">
        <v>59.23</v>
      </c>
      <c r="D920" s="116">
        <v>58.91</v>
      </c>
      <c r="E920" s="116">
        <v>61.594999999999999</v>
      </c>
      <c r="F920" s="116">
        <v>592.29999999999995</v>
      </c>
      <c r="G920">
        <v>443924</v>
      </c>
      <c r="H920" s="116"/>
      <c r="I920" s="116"/>
      <c r="L920" s="170">
        <v>43354</v>
      </c>
      <c r="M920" s="116">
        <v>59.21</v>
      </c>
      <c r="N920" s="116">
        <v>61.7</v>
      </c>
      <c r="O920" s="116">
        <v>58.835000000000001</v>
      </c>
      <c r="P920" s="116">
        <v>61.534999999999997</v>
      </c>
      <c r="Q920" s="116">
        <v>592.1</v>
      </c>
      <c r="R920">
        <v>8111172</v>
      </c>
    </row>
    <row r="921" spans="1:18" x14ac:dyDescent="0.25">
      <c r="A921" s="170">
        <v>43355</v>
      </c>
      <c r="B921" s="116">
        <v>60.685000000000002</v>
      </c>
      <c r="C921" s="116">
        <v>60.55</v>
      </c>
      <c r="D921" s="116">
        <v>58.335000000000001</v>
      </c>
      <c r="E921" s="116">
        <v>59.3</v>
      </c>
      <c r="F921" s="116">
        <v>605.5</v>
      </c>
      <c r="G921">
        <v>669883</v>
      </c>
      <c r="H921" s="116"/>
      <c r="I921" s="116"/>
      <c r="L921" s="170">
        <v>43355</v>
      </c>
      <c r="M921" s="116">
        <v>60.555</v>
      </c>
      <c r="N921" s="116">
        <v>60.72</v>
      </c>
      <c r="O921" s="116">
        <v>58.31</v>
      </c>
      <c r="P921" s="116">
        <v>59.25</v>
      </c>
      <c r="Q921" s="116">
        <v>605.54999999999995</v>
      </c>
      <c r="R921">
        <v>8566384</v>
      </c>
    </row>
    <row r="922" spans="1:18" x14ac:dyDescent="0.25">
      <c r="A922" s="170">
        <v>43357</v>
      </c>
      <c r="B922" s="116">
        <v>62</v>
      </c>
      <c r="C922" s="116">
        <v>61.534999999999997</v>
      </c>
      <c r="D922" s="116">
        <v>60.91</v>
      </c>
      <c r="E922" s="116">
        <v>60.91</v>
      </c>
      <c r="F922" s="116">
        <v>615.35</v>
      </c>
      <c r="G922">
        <v>461492</v>
      </c>
      <c r="H922" s="116"/>
      <c r="I922" s="116"/>
      <c r="L922" s="170">
        <v>43357</v>
      </c>
      <c r="M922" s="116">
        <v>61.5</v>
      </c>
      <c r="N922" s="116">
        <v>62.05</v>
      </c>
      <c r="O922" s="116">
        <v>61</v>
      </c>
      <c r="P922" s="116">
        <v>61.16</v>
      </c>
      <c r="Q922" s="116">
        <v>615</v>
      </c>
      <c r="R922">
        <v>7975559</v>
      </c>
    </row>
    <row r="923" spans="1:18" x14ac:dyDescent="0.25">
      <c r="A923" s="170">
        <v>43360</v>
      </c>
      <c r="B923" s="116">
        <v>62.41</v>
      </c>
      <c r="C923" s="116">
        <v>61.564999999999998</v>
      </c>
      <c r="D923" s="116">
        <v>60.6</v>
      </c>
      <c r="E923" s="116">
        <v>61.1</v>
      </c>
      <c r="F923" s="116">
        <v>615.65</v>
      </c>
      <c r="G923">
        <v>635779</v>
      </c>
      <c r="H923" s="116"/>
      <c r="I923" s="116"/>
      <c r="L923" s="170">
        <v>43360</v>
      </c>
      <c r="M923" s="116">
        <v>61.64</v>
      </c>
      <c r="N923" s="116">
        <v>62.44</v>
      </c>
      <c r="O923" s="116">
        <v>60.555</v>
      </c>
      <c r="P923" s="116">
        <v>61</v>
      </c>
      <c r="Q923" s="116">
        <v>616.4</v>
      </c>
      <c r="R923">
        <v>7183891</v>
      </c>
    </row>
    <row r="924" spans="1:18" x14ac:dyDescent="0.25">
      <c r="A924" s="170">
        <v>43361</v>
      </c>
      <c r="B924" s="116">
        <v>62.424999999999997</v>
      </c>
      <c r="C924" s="116">
        <v>61.244999999999997</v>
      </c>
      <c r="D924" s="116">
        <v>60.95</v>
      </c>
      <c r="E924" s="116">
        <v>61.9</v>
      </c>
      <c r="F924" s="116">
        <v>612.45000000000005</v>
      </c>
      <c r="G924">
        <v>488010</v>
      </c>
      <c r="H924" s="116"/>
      <c r="I924" s="116"/>
      <c r="L924" s="170">
        <v>43361</v>
      </c>
      <c r="M924" s="116">
        <v>61.274999999999999</v>
      </c>
      <c r="N924" s="116">
        <v>62.454999999999998</v>
      </c>
      <c r="O924" s="116">
        <v>60.93</v>
      </c>
      <c r="P924" s="116">
        <v>61.8</v>
      </c>
      <c r="Q924" s="116">
        <v>612.75</v>
      </c>
      <c r="R924">
        <v>7828063</v>
      </c>
    </row>
    <row r="925" spans="1:18" x14ac:dyDescent="0.25">
      <c r="A925" s="170">
        <v>43362</v>
      </c>
      <c r="B925" s="116">
        <v>63.055</v>
      </c>
      <c r="C925" s="116">
        <v>62.045000000000002</v>
      </c>
      <c r="D925" s="116">
        <v>61.765000000000001</v>
      </c>
      <c r="E925" s="116">
        <v>61.8</v>
      </c>
      <c r="F925" s="116">
        <v>620.45000000000005</v>
      </c>
      <c r="G925">
        <v>637753</v>
      </c>
      <c r="H925" s="116"/>
      <c r="I925" s="116"/>
      <c r="L925" s="170">
        <v>43362</v>
      </c>
      <c r="M925" s="116">
        <v>62.12</v>
      </c>
      <c r="N925" s="116">
        <v>63.08</v>
      </c>
      <c r="O925" s="116">
        <v>61.74</v>
      </c>
      <c r="P925" s="116">
        <v>61.8</v>
      </c>
      <c r="Q925" s="116">
        <v>621.20000000000005</v>
      </c>
      <c r="R925">
        <v>10134627</v>
      </c>
    </row>
    <row r="926" spans="1:18" x14ac:dyDescent="0.25">
      <c r="A926" s="170">
        <v>43364</v>
      </c>
      <c r="B926" s="116">
        <v>64.67</v>
      </c>
      <c r="C926" s="116">
        <v>62.454999999999998</v>
      </c>
      <c r="D926" s="116">
        <v>58.5</v>
      </c>
      <c r="E926" s="116">
        <v>63</v>
      </c>
      <c r="F926" s="116">
        <v>624.54999999999995</v>
      </c>
      <c r="G926">
        <v>1518085</v>
      </c>
      <c r="H926" s="116"/>
      <c r="I926" s="116"/>
      <c r="L926" s="170">
        <v>43364</v>
      </c>
      <c r="M926" s="116">
        <v>62.515000000000001</v>
      </c>
      <c r="N926" s="116">
        <v>64.760000000000005</v>
      </c>
      <c r="O926" s="116">
        <v>58.43</v>
      </c>
      <c r="P926" s="116">
        <v>63</v>
      </c>
      <c r="Q926" s="116">
        <v>625.15</v>
      </c>
      <c r="R926">
        <v>22977379</v>
      </c>
    </row>
    <row r="927" spans="1:18" x14ac:dyDescent="0.25">
      <c r="A927" s="170">
        <v>43367</v>
      </c>
      <c r="B927" s="116">
        <v>62.575000000000003</v>
      </c>
      <c r="C927" s="116">
        <v>60.66</v>
      </c>
      <c r="D927" s="116">
        <v>59.62</v>
      </c>
      <c r="E927" s="116">
        <v>61.825000000000003</v>
      </c>
      <c r="F927" s="116">
        <v>606.6</v>
      </c>
      <c r="G927">
        <v>855785</v>
      </c>
      <c r="H927" s="116"/>
      <c r="I927" s="116"/>
      <c r="L927" s="170">
        <v>43367</v>
      </c>
      <c r="M927" s="116">
        <v>60.77</v>
      </c>
      <c r="N927" s="116">
        <v>62.625</v>
      </c>
      <c r="O927" s="116">
        <v>59.564999999999998</v>
      </c>
      <c r="P927" s="116">
        <v>61.89</v>
      </c>
      <c r="Q927" s="116">
        <v>607.70000000000005</v>
      </c>
      <c r="R927">
        <v>11242914</v>
      </c>
    </row>
    <row r="928" spans="1:18" x14ac:dyDescent="0.25">
      <c r="A928" s="170">
        <v>43368</v>
      </c>
      <c r="B928" s="116">
        <v>60.96</v>
      </c>
      <c r="C928" s="116">
        <v>59.994999999999997</v>
      </c>
      <c r="D928" s="116">
        <v>57.45</v>
      </c>
      <c r="E928" s="116">
        <v>60.91</v>
      </c>
      <c r="F928" s="116">
        <v>599.95000000000005</v>
      </c>
      <c r="G928">
        <v>876186</v>
      </c>
      <c r="H928" s="116"/>
      <c r="I928" s="116"/>
      <c r="L928" s="170">
        <v>43368</v>
      </c>
      <c r="M928" s="116">
        <v>60.1</v>
      </c>
      <c r="N928" s="116">
        <v>60.9</v>
      </c>
      <c r="O928" s="116">
        <v>57.5</v>
      </c>
      <c r="P928" s="116">
        <v>60.9</v>
      </c>
      <c r="Q928" s="116">
        <v>601</v>
      </c>
      <c r="R928">
        <v>10985624</v>
      </c>
    </row>
    <row r="929" spans="1:18" x14ac:dyDescent="0.25">
      <c r="A929" s="170">
        <v>43369</v>
      </c>
      <c r="B929" s="116">
        <v>61.424999999999997</v>
      </c>
      <c r="C929" s="116">
        <v>60.905000000000001</v>
      </c>
      <c r="D929" s="116">
        <v>59.875</v>
      </c>
      <c r="E929" s="116">
        <v>60.564999999999998</v>
      </c>
      <c r="F929" s="116">
        <v>609.04999999999995</v>
      </c>
      <c r="G929">
        <v>612782</v>
      </c>
      <c r="H929" s="116"/>
      <c r="I929" s="116"/>
      <c r="L929" s="170">
        <v>43369</v>
      </c>
      <c r="M929" s="116">
        <v>60.89</v>
      </c>
      <c r="N929" s="116">
        <v>61.414999999999999</v>
      </c>
      <c r="O929" s="116">
        <v>59.8</v>
      </c>
      <c r="P929" s="116">
        <v>60.5</v>
      </c>
      <c r="Q929" s="116">
        <v>608.9</v>
      </c>
      <c r="R929">
        <v>8647720</v>
      </c>
    </row>
    <row r="930" spans="1:18" x14ac:dyDescent="0.25">
      <c r="A930" s="170">
        <v>43370</v>
      </c>
      <c r="B930" s="116">
        <v>61.975000000000001</v>
      </c>
      <c r="C930" s="116">
        <v>60.99</v>
      </c>
      <c r="D930" s="116">
        <v>60.484999999999999</v>
      </c>
      <c r="E930" s="116">
        <v>61.18</v>
      </c>
      <c r="F930" s="116">
        <v>609.9</v>
      </c>
      <c r="G930">
        <v>472687</v>
      </c>
      <c r="H930" s="116"/>
      <c r="I930" s="116"/>
      <c r="L930" s="170">
        <v>43370</v>
      </c>
      <c r="M930" s="116">
        <v>61.155000000000001</v>
      </c>
      <c r="N930" s="116">
        <v>62.075000000000003</v>
      </c>
      <c r="O930" s="116">
        <v>60.74</v>
      </c>
      <c r="P930" s="116">
        <v>61.12</v>
      </c>
      <c r="Q930" s="116">
        <v>611.54999999999995</v>
      </c>
      <c r="R930">
        <v>8239542</v>
      </c>
    </row>
    <row r="931" spans="1:18" x14ac:dyDescent="0.25">
      <c r="A931" s="170">
        <v>43371</v>
      </c>
      <c r="B931" s="116">
        <v>61.34</v>
      </c>
      <c r="C931" s="116">
        <v>58.034999999999997</v>
      </c>
      <c r="D931" s="116">
        <v>57.5</v>
      </c>
      <c r="E931" s="116">
        <v>61.34</v>
      </c>
      <c r="F931" s="116">
        <v>580.35</v>
      </c>
      <c r="G931">
        <v>832313</v>
      </c>
      <c r="H931" s="116"/>
      <c r="I931" s="116"/>
      <c r="L931" s="170">
        <v>43371</v>
      </c>
      <c r="M931" s="116">
        <v>58.125</v>
      </c>
      <c r="N931" s="116">
        <v>61.2</v>
      </c>
      <c r="O931" s="116">
        <v>57.5</v>
      </c>
      <c r="P931" s="116">
        <v>61.2</v>
      </c>
      <c r="Q931" s="116">
        <v>581.25</v>
      </c>
      <c r="R931">
        <v>13027007</v>
      </c>
    </row>
    <row r="932" spans="1:18" x14ac:dyDescent="0.25">
      <c r="A932" s="170">
        <v>43374</v>
      </c>
      <c r="B932" s="116">
        <v>58.545000000000002</v>
      </c>
      <c r="C932" s="116">
        <v>58.35</v>
      </c>
      <c r="D932" s="116">
        <v>55.79</v>
      </c>
      <c r="E932" s="116">
        <v>58.3</v>
      </c>
      <c r="F932" s="116">
        <v>583.5</v>
      </c>
      <c r="G932">
        <v>489388</v>
      </c>
      <c r="H932" s="116"/>
      <c r="I932" s="116"/>
      <c r="L932" s="170">
        <v>43374</v>
      </c>
      <c r="M932" s="116">
        <v>58.32</v>
      </c>
      <c r="N932" s="116">
        <v>58.58</v>
      </c>
      <c r="O932" s="116">
        <v>55.75</v>
      </c>
      <c r="P932" s="116">
        <v>58</v>
      </c>
      <c r="Q932" s="116">
        <v>583.20000000000005</v>
      </c>
      <c r="R932">
        <v>6972949</v>
      </c>
    </row>
    <row r="933" spans="1:18" x14ac:dyDescent="0.25">
      <c r="A933" s="170">
        <v>43376</v>
      </c>
      <c r="B933" s="116">
        <v>59.445</v>
      </c>
      <c r="C933" s="116">
        <v>57.97</v>
      </c>
      <c r="D933" s="116">
        <v>57.685000000000002</v>
      </c>
      <c r="E933" s="116">
        <v>58.35</v>
      </c>
      <c r="F933" s="116">
        <v>579.70000000000005</v>
      </c>
      <c r="G933">
        <v>459783</v>
      </c>
      <c r="H933" s="116"/>
      <c r="I933" s="116"/>
      <c r="L933" s="170">
        <v>43376</v>
      </c>
      <c r="M933" s="116">
        <v>57.96</v>
      </c>
      <c r="N933" s="116">
        <v>59.44</v>
      </c>
      <c r="O933" s="116">
        <v>57.62</v>
      </c>
      <c r="P933" s="116">
        <v>58.4</v>
      </c>
      <c r="Q933" s="116">
        <v>579.6</v>
      </c>
      <c r="R933">
        <v>7217063</v>
      </c>
    </row>
    <row r="934" spans="1:18" x14ac:dyDescent="0.25">
      <c r="A934" s="170">
        <v>43377</v>
      </c>
      <c r="B934" s="116">
        <v>58.75</v>
      </c>
      <c r="C934" s="116">
        <v>58.19</v>
      </c>
      <c r="D934" s="116">
        <v>57</v>
      </c>
      <c r="E934" s="116">
        <v>57.97</v>
      </c>
      <c r="F934" s="116">
        <v>581.9</v>
      </c>
      <c r="G934">
        <v>473155</v>
      </c>
      <c r="H934" s="116"/>
      <c r="I934" s="116"/>
      <c r="L934" s="170">
        <v>43377</v>
      </c>
      <c r="M934" s="116">
        <v>58.23</v>
      </c>
      <c r="N934" s="116">
        <v>58.774999999999999</v>
      </c>
      <c r="O934" s="116">
        <v>57</v>
      </c>
      <c r="P934" s="116">
        <v>57.674999999999997</v>
      </c>
      <c r="Q934" s="116">
        <v>582.29999999999995</v>
      </c>
      <c r="R934">
        <v>7629840</v>
      </c>
    </row>
    <row r="935" spans="1:18" x14ac:dyDescent="0.25">
      <c r="A935" s="170">
        <v>43378</v>
      </c>
      <c r="B935" s="116">
        <v>58.6</v>
      </c>
      <c r="C935" s="116">
        <v>56.954999999999998</v>
      </c>
      <c r="D935" s="116">
        <v>56.1</v>
      </c>
      <c r="E935" s="116">
        <v>58.19</v>
      </c>
      <c r="F935" s="116">
        <v>569.54999999999995</v>
      </c>
      <c r="G935">
        <v>1003321</v>
      </c>
      <c r="H935" s="116"/>
      <c r="I935" s="116"/>
      <c r="L935" s="170">
        <v>43378</v>
      </c>
      <c r="M935" s="116">
        <v>56.8</v>
      </c>
      <c r="N935" s="116">
        <v>58.6</v>
      </c>
      <c r="O935" s="116">
        <v>56.23</v>
      </c>
      <c r="P935" s="116">
        <v>58</v>
      </c>
      <c r="Q935" s="116">
        <v>568</v>
      </c>
      <c r="R935">
        <v>7868967</v>
      </c>
    </row>
    <row r="936" spans="1:18" x14ac:dyDescent="0.25">
      <c r="A936" s="170">
        <v>43381</v>
      </c>
      <c r="B936" s="116">
        <v>56.954999999999998</v>
      </c>
      <c r="C936" s="116">
        <v>55.98</v>
      </c>
      <c r="D936" s="116">
        <v>54.454999999999998</v>
      </c>
      <c r="E936" s="116">
        <v>56.795000000000002</v>
      </c>
      <c r="F936" s="116">
        <v>559.79999999999995</v>
      </c>
      <c r="G936">
        <v>750177</v>
      </c>
      <c r="H936" s="116"/>
      <c r="I936" s="116"/>
      <c r="L936" s="170">
        <v>43381</v>
      </c>
      <c r="M936" s="116">
        <v>55.98</v>
      </c>
      <c r="N936" s="116">
        <v>56.994999999999997</v>
      </c>
      <c r="O936" s="116">
        <v>54.4</v>
      </c>
      <c r="P936" s="116">
        <v>56.7</v>
      </c>
      <c r="Q936" s="116">
        <v>559.79999999999995</v>
      </c>
      <c r="R936">
        <v>9171048</v>
      </c>
    </row>
    <row r="937" spans="1:18" x14ac:dyDescent="0.25">
      <c r="A937" s="170">
        <v>43382</v>
      </c>
      <c r="B937" s="116">
        <v>58.3</v>
      </c>
      <c r="C937" s="116">
        <v>57.23</v>
      </c>
      <c r="D937" s="116">
        <v>55.54</v>
      </c>
      <c r="E937" s="116">
        <v>56.295000000000002</v>
      </c>
      <c r="F937" s="116">
        <v>572.29999999999995</v>
      </c>
      <c r="G937">
        <v>571364</v>
      </c>
      <c r="H937" s="116"/>
      <c r="I937" s="116"/>
      <c r="L937" s="170">
        <v>43382</v>
      </c>
      <c r="M937" s="116">
        <v>57.25</v>
      </c>
      <c r="N937" s="116">
        <v>58.39</v>
      </c>
      <c r="O937" s="116">
        <v>55.454999999999998</v>
      </c>
      <c r="P937" s="116">
        <v>56</v>
      </c>
      <c r="Q937" s="116">
        <v>572.5</v>
      </c>
      <c r="R937">
        <v>7734434</v>
      </c>
    </row>
    <row r="938" spans="1:18" x14ac:dyDescent="0.25">
      <c r="A938" s="170">
        <v>43383</v>
      </c>
      <c r="B938" s="116">
        <v>58.66</v>
      </c>
      <c r="C938" s="116">
        <v>58.305</v>
      </c>
      <c r="D938" s="116">
        <v>57.4</v>
      </c>
      <c r="E938" s="116">
        <v>57.49</v>
      </c>
      <c r="F938" s="116">
        <v>583.04999999999995</v>
      </c>
      <c r="G938">
        <v>421234</v>
      </c>
      <c r="H938" s="116"/>
      <c r="I938" s="116"/>
      <c r="L938" s="170">
        <v>43383</v>
      </c>
      <c r="M938" s="116">
        <v>58.365000000000002</v>
      </c>
      <c r="N938" s="116">
        <v>58.78</v>
      </c>
      <c r="O938" s="116">
        <v>57.314999999999998</v>
      </c>
      <c r="P938" s="116">
        <v>57.314999999999998</v>
      </c>
      <c r="Q938" s="116">
        <v>583.65</v>
      </c>
      <c r="R938">
        <v>7153314</v>
      </c>
    </row>
    <row r="939" spans="1:18" x14ac:dyDescent="0.25">
      <c r="A939" s="170">
        <v>43384</v>
      </c>
      <c r="B939" s="116">
        <v>56.45</v>
      </c>
      <c r="C939" s="116">
        <v>55.625</v>
      </c>
      <c r="D939" s="116">
        <v>54.954999999999998</v>
      </c>
      <c r="E939" s="116">
        <v>55.79</v>
      </c>
      <c r="F939" s="116">
        <v>556.25</v>
      </c>
      <c r="G939">
        <v>1296655</v>
      </c>
      <c r="H939" s="116"/>
      <c r="I939" s="116"/>
      <c r="L939" s="170">
        <v>43384</v>
      </c>
      <c r="M939" s="116">
        <v>55.515000000000001</v>
      </c>
      <c r="N939" s="116">
        <v>56.4</v>
      </c>
      <c r="O939" s="116">
        <v>54.905000000000001</v>
      </c>
      <c r="P939" s="116">
        <v>55.7</v>
      </c>
      <c r="Q939" s="116">
        <v>555.15</v>
      </c>
      <c r="R939">
        <v>10401643</v>
      </c>
    </row>
    <row r="940" spans="1:18" x14ac:dyDescent="0.25">
      <c r="A940" s="170">
        <v>43385</v>
      </c>
      <c r="B940" s="116">
        <v>57.74</v>
      </c>
      <c r="C940" s="116">
        <v>57.494999999999997</v>
      </c>
      <c r="D940" s="116">
        <v>56</v>
      </c>
      <c r="E940" s="116">
        <v>56.07</v>
      </c>
      <c r="F940" s="116">
        <v>574.95000000000005</v>
      </c>
      <c r="G940">
        <v>340420</v>
      </c>
      <c r="H940" s="116"/>
      <c r="I940" s="116"/>
      <c r="L940" s="170">
        <v>43385</v>
      </c>
      <c r="M940" s="116">
        <v>57.65</v>
      </c>
      <c r="N940" s="116">
        <v>57.88</v>
      </c>
      <c r="O940" s="116">
        <v>55.81</v>
      </c>
      <c r="P940" s="116">
        <v>56.08</v>
      </c>
      <c r="Q940" s="116">
        <v>576.5</v>
      </c>
      <c r="R940">
        <v>5733407</v>
      </c>
    </row>
    <row r="941" spans="1:18" x14ac:dyDescent="0.25">
      <c r="A941" s="170">
        <v>43388</v>
      </c>
      <c r="B941" s="116">
        <v>57.95</v>
      </c>
      <c r="C941" s="116">
        <v>57.1</v>
      </c>
      <c r="D941" s="116">
        <v>56.72</v>
      </c>
      <c r="E941" s="116">
        <v>57.95</v>
      </c>
      <c r="F941" s="116">
        <v>571</v>
      </c>
      <c r="G941">
        <v>257191</v>
      </c>
      <c r="H941" s="116"/>
      <c r="I941" s="116"/>
      <c r="L941" s="170">
        <v>43388</v>
      </c>
      <c r="M941" s="116">
        <v>57</v>
      </c>
      <c r="N941" s="116">
        <v>57.945</v>
      </c>
      <c r="O941" s="116">
        <v>56.65</v>
      </c>
      <c r="P941" s="116">
        <v>57.825000000000003</v>
      </c>
      <c r="Q941" s="116">
        <v>570</v>
      </c>
      <c r="R941">
        <v>4100183</v>
      </c>
    </row>
    <row r="942" spans="1:18" x14ac:dyDescent="0.25">
      <c r="A942" s="170">
        <v>43389</v>
      </c>
      <c r="B942" s="116">
        <v>58.395000000000003</v>
      </c>
      <c r="C942" s="116">
        <v>57.41</v>
      </c>
      <c r="D942" s="116">
        <v>57</v>
      </c>
      <c r="E942" s="116">
        <v>57.18</v>
      </c>
      <c r="F942" s="116">
        <v>574.1</v>
      </c>
      <c r="G942">
        <v>326802</v>
      </c>
      <c r="H942" s="116"/>
      <c r="I942" s="116"/>
      <c r="L942" s="170">
        <v>43389</v>
      </c>
      <c r="M942" s="116">
        <v>57.28</v>
      </c>
      <c r="N942" s="116">
        <v>58.4</v>
      </c>
      <c r="O942" s="116">
        <v>56.96</v>
      </c>
      <c r="P942" s="116">
        <v>57.11</v>
      </c>
      <c r="Q942" s="116">
        <v>572.79999999999995</v>
      </c>
      <c r="R942">
        <v>5660568</v>
      </c>
    </row>
    <row r="943" spans="1:18" x14ac:dyDescent="0.25">
      <c r="A943" s="170">
        <v>43390</v>
      </c>
      <c r="B943" s="116">
        <v>57.97</v>
      </c>
      <c r="C943" s="116">
        <v>55.465000000000003</v>
      </c>
      <c r="D943" s="116">
        <v>55.204999999999998</v>
      </c>
      <c r="E943" s="116">
        <v>57.9</v>
      </c>
      <c r="F943" s="116">
        <v>554.65</v>
      </c>
      <c r="G943">
        <v>381874</v>
      </c>
      <c r="H943" s="116"/>
      <c r="I943" s="116"/>
      <c r="L943" s="170">
        <v>43390</v>
      </c>
      <c r="M943" s="116">
        <v>55.465000000000003</v>
      </c>
      <c r="N943" s="116">
        <v>57.95</v>
      </c>
      <c r="O943" s="116">
        <v>55.21</v>
      </c>
      <c r="P943" s="116">
        <v>57.805</v>
      </c>
      <c r="Q943" s="116">
        <v>554.65</v>
      </c>
      <c r="R943">
        <v>5020576</v>
      </c>
    </row>
    <row r="944" spans="1:18" x14ac:dyDescent="0.25">
      <c r="A944" s="170">
        <v>43392</v>
      </c>
      <c r="B944" s="116">
        <v>56.23</v>
      </c>
      <c r="C944" s="116">
        <v>55.36</v>
      </c>
      <c r="D944" s="116">
        <v>54.54</v>
      </c>
      <c r="E944" s="116">
        <v>55</v>
      </c>
      <c r="F944" s="116">
        <v>553.6</v>
      </c>
      <c r="G944">
        <v>1330253</v>
      </c>
      <c r="H944" s="116"/>
      <c r="I944" s="116"/>
      <c r="L944" s="170">
        <v>43392</v>
      </c>
      <c r="M944" s="116">
        <v>55.494999999999997</v>
      </c>
      <c r="N944" s="116">
        <v>56.26</v>
      </c>
      <c r="O944" s="116">
        <v>54.5</v>
      </c>
      <c r="P944" s="116">
        <v>55.3</v>
      </c>
      <c r="Q944" s="116">
        <v>554.95000000000005</v>
      </c>
      <c r="R944">
        <v>7718196</v>
      </c>
    </row>
    <row r="945" spans="1:18" x14ac:dyDescent="0.25">
      <c r="A945" s="170">
        <v>43395</v>
      </c>
      <c r="B945" s="116">
        <v>56.2</v>
      </c>
      <c r="C945" s="116">
        <v>54.494999999999997</v>
      </c>
      <c r="D945" s="116">
        <v>54.3</v>
      </c>
      <c r="E945" s="116">
        <v>55.7</v>
      </c>
      <c r="F945" s="116">
        <v>544.95000000000005</v>
      </c>
      <c r="G945">
        <v>458746</v>
      </c>
      <c r="H945" s="116"/>
      <c r="I945" s="116"/>
      <c r="L945" s="170">
        <v>43395</v>
      </c>
      <c r="M945" s="116">
        <v>54.475000000000001</v>
      </c>
      <c r="N945" s="116">
        <v>56.12</v>
      </c>
      <c r="O945" s="116">
        <v>54.155000000000001</v>
      </c>
      <c r="P945" s="116">
        <v>55.9</v>
      </c>
      <c r="Q945" s="116">
        <v>544.75</v>
      </c>
      <c r="R945">
        <v>5101951</v>
      </c>
    </row>
    <row r="946" spans="1:18" x14ac:dyDescent="0.25">
      <c r="A946" s="170">
        <v>43396</v>
      </c>
      <c r="B946" s="116">
        <v>54.94</v>
      </c>
      <c r="C946" s="116">
        <v>54.61</v>
      </c>
      <c r="D946" s="116">
        <v>53.53</v>
      </c>
      <c r="E946" s="116">
        <v>53.924999999999997</v>
      </c>
      <c r="F946" s="116">
        <v>546.1</v>
      </c>
      <c r="G946">
        <v>354767</v>
      </c>
      <c r="H946" s="116"/>
      <c r="I946" s="116"/>
      <c r="L946" s="170">
        <v>43396</v>
      </c>
      <c r="M946" s="116">
        <v>54.56</v>
      </c>
      <c r="N946" s="116">
        <v>55</v>
      </c>
      <c r="O946" s="116">
        <v>53.515000000000001</v>
      </c>
      <c r="P946" s="116">
        <v>54</v>
      </c>
      <c r="Q946" s="116">
        <v>545.6</v>
      </c>
      <c r="R946">
        <v>4634688</v>
      </c>
    </row>
    <row r="947" spans="1:18" x14ac:dyDescent="0.25">
      <c r="A947" s="170">
        <v>43397</v>
      </c>
      <c r="B947" s="116">
        <v>55.5</v>
      </c>
      <c r="C947" s="116">
        <v>54.98</v>
      </c>
      <c r="D947" s="116">
        <v>54.18</v>
      </c>
      <c r="E947" s="116">
        <v>55.34</v>
      </c>
      <c r="F947" s="116">
        <v>549.79999999999995</v>
      </c>
      <c r="G947">
        <v>303453</v>
      </c>
      <c r="H947" s="116"/>
      <c r="I947" s="116"/>
      <c r="L947" s="170">
        <v>43397</v>
      </c>
      <c r="M947" s="116">
        <v>55.005000000000003</v>
      </c>
      <c r="N947" s="116">
        <v>55.46</v>
      </c>
      <c r="O947" s="116">
        <v>54.14</v>
      </c>
      <c r="P947" s="116">
        <v>55.2</v>
      </c>
      <c r="Q947" s="116">
        <v>550.04999999999995</v>
      </c>
      <c r="R947">
        <v>4219617</v>
      </c>
    </row>
    <row r="948" spans="1:18" x14ac:dyDescent="0.25">
      <c r="A948" s="170">
        <v>43398</v>
      </c>
      <c r="B948" s="116">
        <v>55.055</v>
      </c>
      <c r="C948" s="116">
        <v>54.655000000000001</v>
      </c>
      <c r="D948" s="116">
        <v>54</v>
      </c>
      <c r="E948" s="116">
        <v>54.3</v>
      </c>
      <c r="F948" s="116">
        <v>546.54999999999995</v>
      </c>
      <c r="G948">
        <v>345454</v>
      </c>
      <c r="H948" s="116"/>
      <c r="I948" s="116"/>
      <c r="L948" s="170">
        <v>43398</v>
      </c>
      <c r="M948" s="116">
        <v>54.575000000000003</v>
      </c>
      <c r="N948" s="116">
        <v>55.06</v>
      </c>
      <c r="O948" s="116">
        <v>54</v>
      </c>
      <c r="P948" s="116">
        <v>54.47</v>
      </c>
      <c r="Q948" s="116">
        <v>545.75</v>
      </c>
      <c r="R948">
        <v>4467859</v>
      </c>
    </row>
    <row r="949" spans="1:18" x14ac:dyDescent="0.25">
      <c r="A949" s="170">
        <v>43399</v>
      </c>
      <c r="B949" s="116">
        <v>56.16</v>
      </c>
      <c r="C949" s="116">
        <v>55.11</v>
      </c>
      <c r="D949" s="116">
        <v>54.1</v>
      </c>
      <c r="E949" s="116">
        <v>54.82</v>
      </c>
      <c r="F949" s="116">
        <v>551.1</v>
      </c>
      <c r="G949">
        <v>623248</v>
      </c>
      <c r="H949" s="116"/>
      <c r="I949" s="116"/>
      <c r="L949" s="170">
        <v>43399</v>
      </c>
      <c r="M949" s="116">
        <v>55.155000000000001</v>
      </c>
      <c r="N949" s="116">
        <v>56.16</v>
      </c>
      <c r="O949" s="116">
        <v>54.11</v>
      </c>
      <c r="P949" s="116">
        <v>54.76</v>
      </c>
      <c r="Q949" s="116">
        <v>551.54999999999995</v>
      </c>
      <c r="R949">
        <v>6099413</v>
      </c>
    </row>
    <row r="950" spans="1:18" x14ac:dyDescent="0.25">
      <c r="A950" s="170">
        <v>43402</v>
      </c>
      <c r="B950" s="116">
        <v>57.5</v>
      </c>
      <c r="C950" s="116">
        <v>57.36</v>
      </c>
      <c r="D950" s="116">
        <v>55.225000000000001</v>
      </c>
      <c r="E950" s="116">
        <v>55.64</v>
      </c>
      <c r="F950" s="116">
        <v>573.6</v>
      </c>
      <c r="G950">
        <v>571786</v>
      </c>
      <c r="H950" s="116"/>
      <c r="I950" s="116"/>
      <c r="L950" s="170">
        <v>43402</v>
      </c>
      <c r="M950" s="116">
        <v>57.37</v>
      </c>
      <c r="N950" s="116">
        <v>57.55</v>
      </c>
      <c r="O950" s="116">
        <v>55.23</v>
      </c>
      <c r="P950" s="116">
        <v>55.65</v>
      </c>
      <c r="Q950" s="116">
        <v>573.70000000000005</v>
      </c>
      <c r="R950">
        <v>5738313</v>
      </c>
    </row>
    <row r="951" spans="1:18" x14ac:dyDescent="0.25">
      <c r="A951" s="170">
        <v>43403</v>
      </c>
      <c r="B951" s="116">
        <v>57.34</v>
      </c>
      <c r="C951" s="116">
        <v>56.51</v>
      </c>
      <c r="D951" s="116">
        <v>56.36</v>
      </c>
      <c r="E951" s="116">
        <v>57.2</v>
      </c>
      <c r="F951" s="116">
        <v>565.1</v>
      </c>
      <c r="G951">
        <v>295701</v>
      </c>
      <c r="H951" s="116"/>
      <c r="I951" s="116"/>
      <c r="L951" s="170">
        <v>43403</v>
      </c>
      <c r="M951" s="116">
        <v>56.45</v>
      </c>
      <c r="N951" s="116">
        <v>57.2</v>
      </c>
      <c r="O951" s="116">
        <v>56.31</v>
      </c>
      <c r="P951" s="116">
        <v>57.125</v>
      </c>
      <c r="Q951" s="116">
        <v>564.5</v>
      </c>
      <c r="R951">
        <v>4015319</v>
      </c>
    </row>
    <row r="952" spans="1:18" x14ac:dyDescent="0.25">
      <c r="A952" s="170">
        <v>43404</v>
      </c>
      <c r="B952" s="116">
        <v>55.75</v>
      </c>
      <c r="C952" s="116">
        <v>55.24</v>
      </c>
      <c r="D952" s="116">
        <v>53.01</v>
      </c>
      <c r="E952" s="116">
        <v>55.68</v>
      </c>
      <c r="F952" s="116">
        <v>552.4</v>
      </c>
      <c r="G952">
        <v>1108425</v>
      </c>
      <c r="H952" s="116"/>
      <c r="I952" s="116"/>
      <c r="L952" s="170">
        <v>43404</v>
      </c>
      <c r="M952" s="116">
        <v>55.384999999999998</v>
      </c>
      <c r="N952" s="116">
        <v>55.78</v>
      </c>
      <c r="O952" s="116">
        <v>52.935000000000002</v>
      </c>
      <c r="P952" s="116">
        <v>55.494999999999997</v>
      </c>
      <c r="Q952" s="116">
        <v>553.85</v>
      </c>
      <c r="R952">
        <v>14070333</v>
      </c>
    </row>
    <row r="953" spans="1:18" x14ac:dyDescent="0.25">
      <c r="A953" s="170">
        <v>43405</v>
      </c>
      <c r="B953" s="116">
        <v>56.34</v>
      </c>
      <c r="C953" s="116">
        <v>55.664999999999999</v>
      </c>
      <c r="D953" s="116">
        <v>55.4</v>
      </c>
      <c r="E953" s="116">
        <v>55.695</v>
      </c>
      <c r="F953" s="116">
        <v>556.65</v>
      </c>
      <c r="G953">
        <v>339643</v>
      </c>
      <c r="H953" s="116"/>
      <c r="I953" s="116"/>
      <c r="L953" s="170">
        <v>43405</v>
      </c>
      <c r="M953" s="116">
        <v>55.66</v>
      </c>
      <c r="N953" s="116">
        <v>56.39</v>
      </c>
      <c r="O953" s="116">
        <v>55.4</v>
      </c>
      <c r="P953" s="116">
        <v>55.58</v>
      </c>
      <c r="Q953" s="116">
        <v>556.6</v>
      </c>
      <c r="R953">
        <v>5469057</v>
      </c>
    </row>
    <row r="954" spans="1:18" x14ac:dyDescent="0.25">
      <c r="A954" s="170">
        <v>43406</v>
      </c>
      <c r="B954" s="116">
        <v>58.2</v>
      </c>
      <c r="C954" s="116">
        <v>57.375</v>
      </c>
      <c r="D954" s="116">
        <v>56.1</v>
      </c>
      <c r="E954" s="116">
        <v>56.37</v>
      </c>
      <c r="F954" s="116">
        <v>573.75</v>
      </c>
      <c r="G954">
        <v>2347724</v>
      </c>
      <c r="H954" s="116"/>
      <c r="I954" s="116"/>
      <c r="L954" s="170">
        <v>43406</v>
      </c>
      <c r="M954" s="116">
        <v>57.405000000000001</v>
      </c>
      <c r="N954" s="116">
        <v>58.24</v>
      </c>
      <c r="O954" s="116">
        <v>56.064999999999998</v>
      </c>
      <c r="P954" s="116">
        <v>56.1</v>
      </c>
      <c r="Q954" s="116">
        <v>574.04999999999995</v>
      </c>
      <c r="R954">
        <v>7979457</v>
      </c>
    </row>
    <row r="955" spans="1:18" x14ac:dyDescent="0.25">
      <c r="A955" s="170">
        <v>43409</v>
      </c>
      <c r="B955" s="116">
        <v>58.39</v>
      </c>
      <c r="C955" s="116">
        <v>57.82</v>
      </c>
      <c r="D955" s="116">
        <v>56.744999999999997</v>
      </c>
      <c r="E955" s="116">
        <v>57.3</v>
      </c>
      <c r="F955" s="116">
        <v>578.20000000000005</v>
      </c>
      <c r="G955">
        <v>430444</v>
      </c>
      <c r="H955" s="116"/>
      <c r="I955" s="116"/>
      <c r="L955" s="170">
        <v>43409</v>
      </c>
      <c r="M955" s="116">
        <v>57.744999999999997</v>
      </c>
      <c r="N955" s="116">
        <v>58.36</v>
      </c>
      <c r="O955" s="116">
        <v>56.75</v>
      </c>
      <c r="P955" s="116">
        <v>57.4</v>
      </c>
      <c r="Q955" s="116">
        <v>577.45000000000005</v>
      </c>
      <c r="R955">
        <v>4535856</v>
      </c>
    </row>
    <row r="956" spans="1:18" x14ac:dyDescent="0.25">
      <c r="A956" s="170">
        <v>43410</v>
      </c>
      <c r="B956" s="116">
        <v>58.7</v>
      </c>
      <c r="C956" s="116">
        <v>57.7</v>
      </c>
      <c r="D956" s="116">
        <v>57.024999999999999</v>
      </c>
      <c r="E956" s="116">
        <v>58.7</v>
      </c>
      <c r="F956" s="116">
        <v>577</v>
      </c>
      <c r="G956">
        <v>359384</v>
      </c>
      <c r="H956" s="116"/>
      <c r="I956" s="116"/>
      <c r="L956" s="170">
        <v>43410</v>
      </c>
      <c r="M956" s="116">
        <v>57.575000000000003</v>
      </c>
      <c r="N956" s="116">
        <v>58.44</v>
      </c>
      <c r="O956" s="116">
        <v>57</v>
      </c>
      <c r="P956" s="116">
        <v>57.96</v>
      </c>
      <c r="Q956" s="116">
        <v>575.75</v>
      </c>
      <c r="R956">
        <v>3910274</v>
      </c>
    </row>
    <row r="957" spans="1:18" x14ac:dyDescent="0.25">
      <c r="A957" s="170">
        <v>43411</v>
      </c>
      <c r="B957" s="116">
        <v>58.2</v>
      </c>
      <c r="C957" s="116">
        <v>58.045000000000002</v>
      </c>
      <c r="D957" s="116">
        <v>57.91</v>
      </c>
      <c r="E957" s="116">
        <v>58.015000000000001</v>
      </c>
      <c r="F957" s="116">
        <v>580.45000000000005</v>
      </c>
      <c r="G957">
        <v>73031</v>
      </c>
      <c r="H957" s="116"/>
      <c r="I957" s="116"/>
      <c r="L957" s="170">
        <v>43411</v>
      </c>
      <c r="M957" s="116">
        <v>58.024999999999999</v>
      </c>
      <c r="N957" s="116">
        <v>58.225000000000001</v>
      </c>
      <c r="O957" s="116">
        <v>57.9</v>
      </c>
      <c r="P957" s="116">
        <v>58.1</v>
      </c>
      <c r="Q957" s="116">
        <v>580.25</v>
      </c>
      <c r="R957">
        <v>413871</v>
      </c>
    </row>
    <row r="958" spans="1:18" x14ac:dyDescent="0.25">
      <c r="A958" s="170">
        <v>43413</v>
      </c>
      <c r="B958" s="116">
        <v>58</v>
      </c>
      <c r="C958" s="116">
        <v>57.33</v>
      </c>
      <c r="D958" s="116">
        <v>56.9</v>
      </c>
      <c r="E958" s="116">
        <v>58</v>
      </c>
      <c r="F958" s="116">
        <v>573.29999999999995</v>
      </c>
      <c r="G958">
        <v>330523</v>
      </c>
      <c r="H958" s="116"/>
      <c r="I958" s="116"/>
      <c r="L958" s="170">
        <v>43413</v>
      </c>
      <c r="M958" s="116">
        <v>57.22</v>
      </c>
      <c r="N958" s="116">
        <v>57.935000000000002</v>
      </c>
      <c r="O958" s="116">
        <v>56.844999999999999</v>
      </c>
      <c r="P958" s="116">
        <v>57.935000000000002</v>
      </c>
      <c r="Q958" s="116">
        <v>572.20000000000005</v>
      </c>
      <c r="R958">
        <v>4348716</v>
      </c>
    </row>
    <row r="959" spans="1:18" x14ac:dyDescent="0.25">
      <c r="A959" s="170">
        <v>43416</v>
      </c>
      <c r="B959" s="116">
        <v>58.98</v>
      </c>
      <c r="C959" s="116">
        <v>58.29</v>
      </c>
      <c r="D959" s="116">
        <v>57.2</v>
      </c>
      <c r="E959" s="116">
        <v>57.395000000000003</v>
      </c>
      <c r="F959" s="116">
        <v>582.9</v>
      </c>
      <c r="G959">
        <v>2509947</v>
      </c>
      <c r="H959" s="116"/>
      <c r="I959" s="116"/>
      <c r="L959" s="170">
        <v>43416</v>
      </c>
      <c r="M959" s="116">
        <v>58.284999999999997</v>
      </c>
      <c r="N959" s="116">
        <v>58.97</v>
      </c>
      <c r="O959" s="116">
        <v>57.215000000000003</v>
      </c>
      <c r="P959" s="116">
        <v>57.354999999999997</v>
      </c>
      <c r="Q959" s="116">
        <v>582.85</v>
      </c>
      <c r="R959">
        <v>8120996</v>
      </c>
    </row>
    <row r="960" spans="1:18" x14ac:dyDescent="0.25">
      <c r="A960" s="170">
        <v>43417</v>
      </c>
      <c r="B960" s="116">
        <v>59.174999999999997</v>
      </c>
      <c r="C960" s="116">
        <v>58.914999999999999</v>
      </c>
      <c r="D960" s="116">
        <v>57.945</v>
      </c>
      <c r="E960" s="116">
        <v>58.29</v>
      </c>
      <c r="F960" s="116">
        <v>589.15</v>
      </c>
      <c r="G960">
        <v>686109</v>
      </c>
      <c r="H960" s="116"/>
      <c r="I960" s="116"/>
      <c r="L960" s="170">
        <v>43417</v>
      </c>
      <c r="M960" s="116">
        <v>58.92</v>
      </c>
      <c r="N960" s="116">
        <v>59.15</v>
      </c>
      <c r="O960" s="116">
        <v>57.91</v>
      </c>
      <c r="P960" s="116">
        <v>58.3</v>
      </c>
      <c r="Q960" s="116">
        <v>589.20000000000005</v>
      </c>
      <c r="R960">
        <v>7626487</v>
      </c>
    </row>
    <row r="961" spans="1:18" x14ac:dyDescent="0.25">
      <c r="A961" s="170">
        <v>43418</v>
      </c>
      <c r="B961" s="116">
        <v>61</v>
      </c>
      <c r="C961" s="116">
        <v>58.895000000000003</v>
      </c>
      <c r="D961" s="116">
        <v>58.505000000000003</v>
      </c>
      <c r="E961" s="116">
        <v>60.6</v>
      </c>
      <c r="F961" s="116">
        <v>588.95000000000005</v>
      </c>
      <c r="G961">
        <v>1499299</v>
      </c>
      <c r="H961" s="116"/>
      <c r="I961" s="116"/>
      <c r="L961" s="170">
        <v>43418</v>
      </c>
      <c r="M961" s="116">
        <v>58.91</v>
      </c>
      <c r="N961" s="116">
        <v>61.06</v>
      </c>
      <c r="O961" s="116">
        <v>58.43</v>
      </c>
      <c r="P961" s="116">
        <v>60.5</v>
      </c>
      <c r="Q961" s="116">
        <v>589.1</v>
      </c>
      <c r="R961">
        <v>21649289</v>
      </c>
    </row>
    <row r="962" spans="1:18" x14ac:dyDescent="0.25">
      <c r="A962" s="170">
        <v>43419</v>
      </c>
      <c r="B962" s="116">
        <v>59.64</v>
      </c>
      <c r="C962" s="116">
        <v>58.865000000000002</v>
      </c>
      <c r="D962" s="116">
        <v>58.155000000000001</v>
      </c>
      <c r="E962" s="116">
        <v>59.005000000000003</v>
      </c>
      <c r="F962" s="116">
        <v>588.65</v>
      </c>
      <c r="G962">
        <v>571068</v>
      </c>
      <c r="H962" s="116"/>
      <c r="I962" s="116"/>
      <c r="L962" s="170">
        <v>43419</v>
      </c>
      <c r="M962" s="116">
        <v>58.935000000000002</v>
      </c>
      <c r="N962" s="116">
        <v>59.69</v>
      </c>
      <c r="O962" s="116">
        <v>58.145000000000003</v>
      </c>
      <c r="P962" s="116">
        <v>59.03</v>
      </c>
      <c r="Q962" s="116">
        <v>589.35</v>
      </c>
      <c r="R962">
        <v>6389521</v>
      </c>
    </row>
    <row r="963" spans="1:18" x14ac:dyDescent="0.25">
      <c r="A963" s="170">
        <v>43420</v>
      </c>
      <c r="B963" s="116">
        <v>59.075000000000003</v>
      </c>
      <c r="C963" s="116">
        <v>57.41</v>
      </c>
      <c r="D963" s="116">
        <v>57.01</v>
      </c>
      <c r="E963" s="116">
        <v>58.98</v>
      </c>
      <c r="F963" s="116">
        <v>574.1</v>
      </c>
      <c r="G963">
        <v>511987</v>
      </c>
      <c r="H963" s="116"/>
      <c r="I963" s="116"/>
      <c r="L963" s="170">
        <v>43420</v>
      </c>
      <c r="M963" s="116">
        <v>57.41</v>
      </c>
      <c r="N963" s="116">
        <v>59.1</v>
      </c>
      <c r="O963" s="116">
        <v>56.954999999999998</v>
      </c>
      <c r="P963" s="116">
        <v>59</v>
      </c>
      <c r="Q963" s="116">
        <v>574.1</v>
      </c>
      <c r="R963">
        <v>7456927</v>
      </c>
    </row>
    <row r="964" spans="1:18" x14ac:dyDescent="0.25">
      <c r="A964" s="170">
        <v>43423</v>
      </c>
      <c r="B964" s="116">
        <v>58.35</v>
      </c>
      <c r="C964" s="116">
        <v>58.22</v>
      </c>
      <c r="D964" s="116">
        <v>57.445</v>
      </c>
      <c r="E964" s="116">
        <v>57.62</v>
      </c>
      <c r="F964" s="116">
        <v>582.20000000000005</v>
      </c>
      <c r="G964">
        <v>283314</v>
      </c>
      <c r="H964" s="116"/>
      <c r="I964" s="116"/>
      <c r="L964" s="170">
        <v>43423</v>
      </c>
      <c r="M964" s="116">
        <v>58.24</v>
      </c>
      <c r="N964" s="116">
        <v>58.38</v>
      </c>
      <c r="O964" s="116">
        <v>57.4</v>
      </c>
      <c r="P964" s="116">
        <v>57.744999999999997</v>
      </c>
      <c r="Q964" s="116">
        <v>582.4</v>
      </c>
      <c r="R964">
        <v>4889287</v>
      </c>
    </row>
    <row r="965" spans="1:18" x14ac:dyDescent="0.25">
      <c r="A965" s="170">
        <v>43424</v>
      </c>
      <c r="B965" s="116">
        <v>57.78</v>
      </c>
      <c r="C965" s="116">
        <v>56.35</v>
      </c>
      <c r="D965" s="116">
        <v>56.2</v>
      </c>
      <c r="E965" s="116">
        <v>57.78</v>
      </c>
      <c r="F965" s="116">
        <v>563.5</v>
      </c>
      <c r="G965">
        <v>582637</v>
      </c>
      <c r="H965" s="116"/>
      <c r="I965" s="116"/>
      <c r="L965" s="170">
        <v>43424</v>
      </c>
      <c r="M965" s="116">
        <v>56.33</v>
      </c>
      <c r="N965" s="116">
        <v>57.8</v>
      </c>
      <c r="O965" s="116">
        <v>56.2</v>
      </c>
      <c r="P965" s="116">
        <v>57.7</v>
      </c>
      <c r="Q965" s="116">
        <v>563.29999999999995</v>
      </c>
      <c r="R965">
        <v>7636368</v>
      </c>
    </row>
    <row r="966" spans="1:18" x14ac:dyDescent="0.25">
      <c r="A966" s="170">
        <v>43425</v>
      </c>
      <c r="B966" s="116">
        <v>56.35</v>
      </c>
      <c r="C966" s="116">
        <v>55.255000000000003</v>
      </c>
      <c r="D966" s="116">
        <v>55.07</v>
      </c>
      <c r="E966" s="116">
        <v>56.35</v>
      </c>
      <c r="F966" s="116">
        <v>552.54999999999995</v>
      </c>
      <c r="G966">
        <v>563393</v>
      </c>
      <c r="H966" s="116"/>
      <c r="I966" s="116"/>
      <c r="L966" s="170">
        <v>43425</v>
      </c>
      <c r="M966" s="116">
        <v>55.14</v>
      </c>
      <c r="N966" s="116">
        <v>56.2</v>
      </c>
      <c r="O966" s="116">
        <v>55</v>
      </c>
      <c r="P966" s="116">
        <v>56.2</v>
      </c>
      <c r="Q966" s="116">
        <v>551.4</v>
      </c>
      <c r="R966">
        <v>11242898</v>
      </c>
    </row>
    <row r="967" spans="1:18" x14ac:dyDescent="0.25">
      <c r="A967" s="170">
        <v>43426</v>
      </c>
      <c r="B967" s="116">
        <v>55.47</v>
      </c>
      <c r="C967" s="116">
        <v>53.994999999999997</v>
      </c>
      <c r="D967" s="116">
        <v>53.9</v>
      </c>
      <c r="E967" s="116">
        <v>55.3</v>
      </c>
      <c r="F967" s="116">
        <v>539.95000000000005</v>
      </c>
      <c r="G967">
        <v>726302</v>
      </c>
      <c r="H967" s="116"/>
      <c r="I967" s="116"/>
      <c r="L967" s="170">
        <v>43426</v>
      </c>
      <c r="M967" s="116">
        <v>53.965000000000003</v>
      </c>
      <c r="N967" s="116">
        <v>55.36</v>
      </c>
      <c r="O967" s="116">
        <v>53.814999999999998</v>
      </c>
      <c r="P967" s="116">
        <v>55.2</v>
      </c>
      <c r="Q967" s="116">
        <v>539.65</v>
      </c>
      <c r="R967">
        <v>8541612</v>
      </c>
    </row>
    <row r="968" spans="1:18" x14ac:dyDescent="0.25">
      <c r="A968" s="170">
        <v>43430</v>
      </c>
      <c r="B968" s="116">
        <v>54.494999999999997</v>
      </c>
      <c r="C968" s="116">
        <v>53.11</v>
      </c>
      <c r="D968" s="116">
        <v>52.21</v>
      </c>
      <c r="E968" s="116">
        <v>54.32</v>
      </c>
      <c r="F968" s="116">
        <v>531.1</v>
      </c>
      <c r="G968">
        <v>818063</v>
      </c>
      <c r="H968" s="116"/>
      <c r="I968" s="116"/>
      <c r="L968" s="170">
        <v>43430</v>
      </c>
      <c r="M968" s="116">
        <v>53.07</v>
      </c>
      <c r="N968" s="116">
        <v>54.4</v>
      </c>
      <c r="O968" s="116">
        <v>52.164999999999999</v>
      </c>
      <c r="P968" s="116">
        <v>54.4</v>
      </c>
      <c r="Q968" s="116">
        <v>530.70000000000005</v>
      </c>
      <c r="R968">
        <v>10003787</v>
      </c>
    </row>
    <row r="969" spans="1:18" x14ac:dyDescent="0.25">
      <c r="A969" s="170">
        <v>43431</v>
      </c>
      <c r="B969" s="116">
        <v>53.085000000000001</v>
      </c>
      <c r="C969" s="116">
        <v>52.21</v>
      </c>
      <c r="D969" s="116">
        <v>51.325000000000003</v>
      </c>
      <c r="E969" s="116">
        <v>53.07</v>
      </c>
      <c r="F969" s="116">
        <v>522.1</v>
      </c>
      <c r="G969">
        <v>1578427</v>
      </c>
      <c r="H969" s="116"/>
      <c r="I969" s="116"/>
      <c r="L969" s="170">
        <v>43431</v>
      </c>
      <c r="M969" s="116">
        <v>52.23</v>
      </c>
      <c r="N969" s="116">
        <v>52.99</v>
      </c>
      <c r="O969" s="116">
        <v>51.25</v>
      </c>
      <c r="P969" s="116">
        <v>52.97</v>
      </c>
      <c r="Q969" s="116">
        <v>522.29999999999995</v>
      </c>
      <c r="R969">
        <v>15790907</v>
      </c>
    </row>
    <row r="970" spans="1:18" x14ac:dyDescent="0.25">
      <c r="A970" s="170">
        <v>43432</v>
      </c>
      <c r="B970" s="116">
        <v>52.88</v>
      </c>
      <c r="C970" s="116">
        <v>52.4</v>
      </c>
      <c r="D970" s="116">
        <v>51.91</v>
      </c>
      <c r="E970" s="116">
        <v>52.44</v>
      </c>
      <c r="F970" s="116">
        <v>524</v>
      </c>
      <c r="G970">
        <v>734699</v>
      </c>
      <c r="H970" s="116"/>
      <c r="I970" s="116"/>
      <c r="L970" s="170">
        <v>43432</v>
      </c>
      <c r="M970" s="116">
        <v>52.395000000000003</v>
      </c>
      <c r="N970" s="116">
        <v>52.89</v>
      </c>
      <c r="O970" s="116">
        <v>51.865000000000002</v>
      </c>
      <c r="P970" s="116">
        <v>52.23</v>
      </c>
      <c r="Q970" s="116">
        <v>523.95000000000005</v>
      </c>
      <c r="R970">
        <v>11352466</v>
      </c>
    </row>
    <row r="971" spans="1:18" x14ac:dyDescent="0.25">
      <c r="A971" s="170">
        <v>43433</v>
      </c>
      <c r="B971" s="116">
        <v>53.9</v>
      </c>
      <c r="C971" s="116">
        <v>53.344999999999999</v>
      </c>
      <c r="D971" s="116">
        <v>52.94</v>
      </c>
      <c r="E971" s="116">
        <v>53.28</v>
      </c>
      <c r="F971" s="116">
        <v>533.45000000000005</v>
      </c>
      <c r="G971">
        <v>695893</v>
      </c>
      <c r="H971" s="116"/>
      <c r="I971" s="116"/>
      <c r="L971" s="170">
        <v>43433</v>
      </c>
      <c r="M971" s="116">
        <v>53.354999999999997</v>
      </c>
      <c r="N971" s="116">
        <v>53.884999999999998</v>
      </c>
      <c r="O971" s="116">
        <v>52.914999999999999</v>
      </c>
      <c r="P971" s="116">
        <v>53.2</v>
      </c>
      <c r="Q971" s="116">
        <v>533.54999999999995</v>
      </c>
      <c r="R971">
        <v>13929332</v>
      </c>
    </row>
    <row r="972" spans="1:18" x14ac:dyDescent="0.25">
      <c r="A972" s="170">
        <v>43434</v>
      </c>
      <c r="B972" s="116">
        <v>53.65</v>
      </c>
      <c r="C972" s="116">
        <v>53.024999999999999</v>
      </c>
      <c r="D972" s="116">
        <v>52.585000000000001</v>
      </c>
      <c r="E972" s="116">
        <v>53.64</v>
      </c>
      <c r="F972" s="116">
        <v>530.25</v>
      </c>
      <c r="G972">
        <v>744136</v>
      </c>
      <c r="H972" s="116"/>
      <c r="I972" s="116"/>
      <c r="L972" s="170">
        <v>43434</v>
      </c>
      <c r="M972" s="116">
        <v>52.95</v>
      </c>
      <c r="N972" s="116">
        <v>53.68</v>
      </c>
      <c r="O972" s="116">
        <v>52.55</v>
      </c>
      <c r="P972" s="116">
        <v>53.5</v>
      </c>
      <c r="Q972" s="116">
        <v>529.5</v>
      </c>
      <c r="R972">
        <v>7854071</v>
      </c>
    </row>
    <row r="973" spans="1:18" x14ac:dyDescent="0.25">
      <c r="A973" s="170">
        <v>43437</v>
      </c>
      <c r="B973" s="116">
        <v>55.25</v>
      </c>
      <c r="C973" s="116">
        <v>53.72</v>
      </c>
      <c r="D973" s="116">
        <v>53.604999999999997</v>
      </c>
      <c r="E973" s="116">
        <v>54.1</v>
      </c>
      <c r="F973" s="116">
        <v>537.20000000000005</v>
      </c>
      <c r="G973">
        <v>883233</v>
      </c>
      <c r="H973" s="116"/>
      <c r="I973" s="116"/>
      <c r="L973" s="170">
        <v>43437</v>
      </c>
      <c r="M973" s="116">
        <v>53.81</v>
      </c>
      <c r="N973" s="116">
        <v>55.27</v>
      </c>
      <c r="O973" s="116">
        <v>53.575000000000003</v>
      </c>
      <c r="P973" s="116">
        <v>54.12</v>
      </c>
      <c r="Q973" s="116">
        <v>538.1</v>
      </c>
      <c r="R973">
        <v>12092365</v>
      </c>
    </row>
    <row r="974" spans="1:18" x14ac:dyDescent="0.25">
      <c r="A974" s="170">
        <v>43438</v>
      </c>
      <c r="B974" s="116">
        <v>54.045000000000002</v>
      </c>
      <c r="C974" s="116">
        <v>53.83</v>
      </c>
      <c r="D974" s="116">
        <v>53.174999999999997</v>
      </c>
      <c r="E974" s="116">
        <v>53.39</v>
      </c>
      <c r="F974" s="116">
        <v>538.29999999999995</v>
      </c>
      <c r="G974">
        <v>453636</v>
      </c>
      <c r="H974" s="116"/>
      <c r="I974" s="116"/>
      <c r="L974" s="170">
        <v>43438</v>
      </c>
      <c r="M974" s="116">
        <v>53.82</v>
      </c>
      <c r="N974" s="116">
        <v>54.05</v>
      </c>
      <c r="O974" s="116">
        <v>53.215000000000003</v>
      </c>
      <c r="P974" s="116">
        <v>53.27</v>
      </c>
      <c r="Q974" s="116">
        <v>538.20000000000005</v>
      </c>
      <c r="R974">
        <v>6153810</v>
      </c>
    </row>
    <row r="975" spans="1:18" x14ac:dyDescent="0.25">
      <c r="A975" s="170">
        <v>43439</v>
      </c>
      <c r="B975" s="116">
        <v>53.344999999999999</v>
      </c>
      <c r="C975" s="116">
        <v>51.53</v>
      </c>
      <c r="D975" s="116">
        <v>50.31</v>
      </c>
      <c r="E975" s="116">
        <v>53.344999999999999</v>
      </c>
      <c r="F975" s="116">
        <v>515.29999999999995</v>
      </c>
      <c r="G975">
        <v>818980</v>
      </c>
      <c r="H975" s="116"/>
      <c r="I975" s="116"/>
      <c r="L975" s="170">
        <v>43439</v>
      </c>
      <c r="M975" s="116">
        <v>51.77</v>
      </c>
      <c r="N975" s="116">
        <v>53.3</v>
      </c>
      <c r="O975" s="116">
        <v>51.5</v>
      </c>
      <c r="P975" s="116">
        <v>53.3</v>
      </c>
      <c r="Q975" s="116">
        <v>517.70000000000005</v>
      </c>
      <c r="R975">
        <v>7078082</v>
      </c>
    </row>
    <row r="976" spans="1:18" x14ac:dyDescent="0.25">
      <c r="A976" s="170">
        <v>43440</v>
      </c>
      <c r="B976" s="116">
        <v>52.16</v>
      </c>
      <c r="C976" s="116">
        <v>51.104999999999997</v>
      </c>
      <c r="D976" s="116">
        <v>50.15</v>
      </c>
      <c r="E976" s="116">
        <v>51.395000000000003</v>
      </c>
      <c r="F976" s="116">
        <v>511.05</v>
      </c>
      <c r="G976">
        <v>1288468</v>
      </c>
      <c r="H976" s="116"/>
      <c r="I976" s="116"/>
      <c r="L976" s="170">
        <v>43440</v>
      </c>
      <c r="M976" s="116">
        <v>51.02</v>
      </c>
      <c r="N976" s="116">
        <v>52.17</v>
      </c>
      <c r="O976" s="116">
        <v>50.1</v>
      </c>
      <c r="P976" s="116">
        <v>51.325000000000003</v>
      </c>
      <c r="Q976" s="116">
        <v>510.2</v>
      </c>
      <c r="R976">
        <v>12966714</v>
      </c>
    </row>
    <row r="977" spans="1:18" x14ac:dyDescent="0.25">
      <c r="A977" s="170">
        <v>43441</v>
      </c>
      <c r="B977" s="116">
        <v>51.484999999999999</v>
      </c>
      <c r="C977" s="116">
        <v>50.79</v>
      </c>
      <c r="D977" s="116">
        <v>50.1</v>
      </c>
      <c r="E977" s="116">
        <v>51.174999999999997</v>
      </c>
      <c r="F977" s="116">
        <v>507.9</v>
      </c>
      <c r="G977">
        <v>745256</v>
      </c>
      <c r="H977" s="116"/>
      <c r="I977" s="116"/>
      <c r="L977" s="170">
        <v>43441</v>
      </c>
      <c r="M977" s="116">
        <v>50.93</v>
      </c>
      <c r="N977" s="116">
        <v>51.49</v>
      </c>
      <c r="O977" s="116">
        <v>50.32</v>
      </c>
      <c r="P977" s="116">
        <v>51.07</v>
      </c>
      <c r="Q977" s="116">
        <v>509.3</v>
      </c>
      <c r="R977">
        <v>8252927</v>
      </c>
    </row>
    <row r="978" spans="1:18" x14ac:dyDescent="0.25">
      <c r="A978" s="170">
        <v>43444</v>
      </c>
      <c r="B978" s="116">
        <v>50.89</v>
      </c>
      <c r="C978" s="116">
        <v>50.204999999999998</v>
      </c>
      <c r="D978" s="116">
        <v>49.725000000000001</v>
      </c>
      <c r="E978" s="116">
        <v>50.08</v>
      </c>
      <c r="F978" s="116">
        <v>502.05</v>
      </c>
      <c r="G978">
        <v>433796</v>
      </c>
      <c r="H978" s="116"/>
      <c r="I978" s="116"/>
      <c r="L978" s="170">
        <v>43444</v>
      </c>
      <c r="M978" s="116">
        <v>50.284999999999997</v>
      </c>
      <c r="N978" s="116">
        <v>50.95</v>
      </c>
      <c r="O978" s="116">
        <v>49.7</v>
      </c>
      <c r="P978" s="116">
        <v>49.94</v>
      </c>
      <c r="Q978" s="116">
        <v>502.85</v>
      </c>
      <c r="R978">
        <v>5414705</v>
      </c>
    </row>
    <row r="979" spans="1:18" x14ac:dyDescent="0.25">
      <c r="A979" s="170">
        <v>43445</v>
      </c>
      <c r="B979" s="116">
        <v>50.42</v>
      </c>
      <c r="C979" s="116">
        <v>50.16</v>
      </c>
      <c r="D979" s="116">
        <v>48.69</v>
      </c>
      <c r="E979" s="116">
        <v>49.68</v>
      </c>
      <c r="F979" s="116">
        <v>501.6</v>
      </c>
      <c r="G979">
        <v>1234970</v>
      </c>
      <c r="H979" s="116"/>
      <c r="I979" s="116"/>
      <c r="L979" s="170">
        <v>43445</v>
      </c>
      <c r="M979" s="116">
        <v>50.075000000000003</v>
      </c>
      <c r="N979" s="116">
        <v>50.37</v>
      </c>
      <c r="O979" s="116">
        <v>48.615000000000002</v>
      </c>
      <c r="P979" s="116">
        <v>49.56</v>
      </c>
      <c r="Q979" s="116">
        <v>500.75</v>
      </c>
      <c r="R979">
        <v>11242572</v>
      </c>
    </row>
    <row r="980" spans="1:18" x14ac:dyDescent="0.25">
      <c r="A980" s="170">
        <v>43446</v>
      </c>
      <c r="B980" s="116">
        <v>52.24</v>
      </c>
      <c r="C980" s="116">
        <v>52.04</v>
      </c>
      <c r="D980" s="116">
        <v>50.555</v>
      </c>
      <c r="E980" s="116">
        <v>50.58</v>
      </c>
      <c r="F980" s="116">
        <v>520.4</v>
      </c>
      <c r="G980">
        <v>741843</v>
      </c>
      <c r="H980" s="116"/>
      <c r="I980" s="116"/>
      <c r="L980" s="170">
        <v>43446</v>
      </c>
      <c r="M980" s="116">
        <v>52.024999999999999</v>
      </c>
      <c r="N980" s="116">
        <v>52.25</v>
      </c>
      <c r="O980" s="116">
        <v>50.55</v>
      </c>
      <c r="P980" s="116">
        <v>50.6</v>
      </c>
      <c r="Q980" s="116">
        <v>520.25</v>
      </c>
      <c r="R980">
        <v>8141983</v>
      </c>
    </row>
    <row r="981" spans="1:18" x14ac:dyDescent="0.25">
      <c r="A981" s="170">
        <v>43447</v>
      </c>
      <c r="B981" s="116">
        <v>52.8</v>
      </c>
      <c r="C981" s="116">
        <v>51.225000000000001</v>
      </c>
      <c r="D981" s="116">
        <v>50.81</v>
      </c>
      <c r="E981" s="116">
        <v>52.755000000000003</v>
      </c>
      <c r="F981" s="116">
        <v>512.25</v>
      </c>
      <c r="G981">
        <v>707062</v>
      </c>
      <c r="H981" s="116"/>
      <c r="I981" s="116"/>
      <c r="L981" s="170">
        <v>43447</v>
      </c>
      <c r="M981" s="116">
        <v>51.225000000000001</v>
      </c>
      <c r="N981" s="116">
        <v>52.805</v>
      </c>
      <c r="O981" s="116">
        <v>50.8</v>
      </c>
      <c r="P981" s="116">
        <v>52.805</v>
      </c>
      <c r="Q981" s="116">
        <v>512.25</v>
      </c>
      <c r="R981">
        <v>6810095</v>
      </c>
    </row>
    <row r="982" spans="1:18" x14ac:dyDescent="0.25">
      <c r="A982" s="170">
        <v>43448</v>
      </c>
      <c r="B982" s="116">
        <v>51.79</v>
      </c>
      <c r="C982" s="116">
        <v>51.34</v>
      </c>
      <c r="D982" s="116">
        <v>50.655000000000001</v>
      </c>
      <c r="E982" s="116">
        <v>51.09</v>
      </c>
      <c r="F982" s="116">
        <v>513.4</v>
      </c>
      <c r="G982">
        <v>371953</v>
      </c>
      <c r="H982" s="116"/>
      <c r="I982" s="116"/>
      <c r="L982" s="170">
        <v>43448</v>
      </c>
      <c r="M982" s="116">
        <v>51.354999999999997</v>
      </c>
      <c r="N982" s="116">
        <v>51.78</v>
      </c>
      <c r="O982" s="116">
        <v>50.65</v>
      </c>
      <c r="P982" s="116">
        <v>51.1</v>
      </c>
      <c r="Q982" s="116">
        <v>513.54999999999995</v>
      </c>
      <c r="R982">
        <v>5155980</v>
      </c>
    </row>
    <row r="983" spans="1:18" x14ac:dyDescent="0.25">
      <c r="A983" s="170">
        <v>43451</v>
      </c>
      <c r="B983" s="116">
        <v>52.41</v>
      </c>
      <c r="C983" s="116">
        <v>52.305</v>
      </c>
      <c r="D983" s="116">
        <v>51.59</v>
      </c>
      <c r="E983" s="116">
        <v>51.59</v>
      </c>
      <c r="F983" s="116">
        <v>523.04999999999995</v>
      </c>
      <c r="G983">
        <v>389153</v>
      </c>
      <c r="H983" s="116"/>
      <c r="I983" s="116"/>
      <c r="L983" s="170">
        <v>43451</v>
      </c>
      <c r="M983" s="116">
        <v>52.4</v>
      </c>
      <c r="N983" s="116">
        <v>52.524999999999999</v>
      </c>
      <c r="O983" s="116">
        <v>51.64</v>
      </c>
      <c r="P983" s="116">
        <v>51.8</v>
      </c>
      <c r="Q983" s="116">
        <v>524</v>
      </c>
      <c r="R983">
        <v>4804854</v>
      </c>
    </row>
    <row r="984" spans="1:18" x14ac:dyDescent="0.25">
      <c r="A984" s="170">
        <v>43452</v>
      </c>
      <c r="B984" s="116">
        <v>52.9</v>
      </c>
      <c r="C984" s="116">
        <v>52.7</v>
      </c>
      <c r="D984" s="116">
        <v>52.01</v>
      </c>
      <c r="E984" s="116">
        <v>52.39</v>
      </c>
      <c r="F984" s="116">
        <v>527</v>
      </c>
      <c r="G984">
        <v>394559</v>
      </c>
      <c r="H984" s="116"/>
      <c r="I984" s="116"/>
      <c r="L984" s="170">
        <v>43452</v>
      </c>
      <c r="M984" s="116">
        <v>52.7</v>
      </c>
      <c r="N984" s="116">
        <v>52.84</v>
      </c>
      <c r="O984" s="116">
        <v>51.96</v>
      </c>
      <c r="P984" s="116">
        <v>52.3</v>
      </c>
      <c r="Q984" s="116">
        <v>527</v>
      </c>
      <c r="R984">
        <v>5673527</v>
      </c>
    </row>
    <row r="985" spans="1:18" x14ac:dyDescent="0.25">
      <c r="A985" s="170">
        <v>43453</v>
      </c>
      <c r="B985" s="116">
        <v>53.2</v>
      </c>
      <c r="C985" s="116">
        <v>52.68</v>
      </c>
      <c r="D985" s="116">
        <v>52.5</v>
      </c>
      <c r="E985" s="116">
        <v>52.6</v>
      </c>
      <c r="F985" s="116">
        <v>526.79999999999995</v>
      </c>
      <c r="G985">
        <v>394245</v>
      </c>
      <c r="H985" s="116"/>
      <c r="I985" s="116"/>
      <c r="L985" s="170">
        <v>43453</v>
      </c>
      <c r="M985" s="116">
        <v>52.74</v>
      </c>
      <c r="N985" s="116">
        <v>53.244999999999997</v>
      </c>
      <c r="O985" s="116">
        <v>52.46</v>
      </c>
      <c r="P985" s="116">
        <v>52.79</v>
      </c>
      <c r="Q985" s="116">
        <v>527.4</v>
      </c>
      <c r="R985">
        <v>4928043</v>
      </c>
    </row>
    <row r="986" spans="1:18" x14ac:dyDescent="0.25">
      <c r="A986" s="170">
        <v>43454</v>
      </c>
      <c r="B986" s="116">
        <v>52.69</v>
      </c>
      <c r="C986" s="116">
        <v>52.344999999999999</v>
      </c>
      <c r="D986" s="116">
        <v>52</v>
      </c>
      <c r="E986" s="116">
        <v>52.08</v>
      </c>
      <c r="F986" s="116">
        <v>523.45000000000005</v>
      </c>
      <c r="G986">
        <v>250192</v>
      </c>
      <c r="H986" s="116"/>
      <c r="I986" s="116"/>
      <c r="L986" s="170">
        <v>43454</v>
      </c>
      <c r="M986" s="116">
        <v>52.335000000000001</v>
      </c>
      <c r="N986" s="116">
        <v>52.7</v>
      </c>
      <c r="O986" s="116">
        <v>52</v>
      </c>
      <c r="P986" s="116">
        <v>52</v>
      </c>
      <c r="Q986" s="116">
        <v>523.35</v>
      </c>
      <c r="R986">
        <v>3517335</v>
      </c>
    </row>
    <row r="987" spans="1:18" x14ac:dyDescent="0.25">
      <c r="A987" s="170">
        <v>43455</v>
      </c>
      <c r="B987" s="116">
        <v>53.2</v>
      </c>
      <c r="C987" s="116">
        <v>52.01</v>
      </c>
      <c r="D987" s="116">
        <v>51.84</v>
      </c>
      <c r="E987" s="116">
        <v>52.38</v>
      </c>
      <c r="F987" s="116">
        <v>520.1</v>
      </c>
      <c r="G987">
        <v>505317</v>
      </c>
      <c r="H987" s="116"/>
      <c r="I987" s="116"/>
      <c r="L987" s="170">
        <v>43455</v>
      </c>
      <c r="M987" s="116">
        <v>52.02</v>
      </c>
      <c r="N987" s="116">
        <v>53.2</v>
      </c>
      <c r="O987" s="116">
        <v>51.83</v>
      </c>
      <c r="P987" s="116">
        <v>52.414999999999999</v>
      </c>
      <c r="Q987" s="116">
        <v>520.20000000000005</v>
      </c>
      <c r="R987">
        <v>5969670</v>
      </c>
    </row>
    <row r="988" spans="1:18" x14ac:dyDescent="0.25">
      <c r="A988" s="170">
        <v>43458</v>
      </c>
      <c r="B988" s="116">
        <v>52.07</v>
      </c>
      <c r="C988" s="116">
        <v>51.44</v>
      </c>
      <c r="D988" s="116">
        <v>51.22</v>
      </c>
      <c r="E988" s="116">
        <v>51.99</v>
      </c>
      <c r="F988" s="116">
        <v>514.4</v>
      </c>
      <c r="G988">
        <v>610910</v>
      </c>
      <c r="H988" s="116"/>
      <c r="I988" s="116"/>
      <c r="L988" s="170">
        <v>43458</v>
      </c>
      <c r="M988" s="116">
        <v>51.37</v>
      </c>
      <c r="N988" s="116">
        <v>52.07</v>
      </c>
      <c r="O988" s="116">
        <v>51.2</v>
      </c>
      <c r="P988" s="116">
        <v>51.8</v>
      </c>
      <c r="Q988" s="116">
        <v>513.70000000000005</v>
      </c>
      <c r="R988">
        <v>4329440</v>
      </c>
    </row>
    <row r="989" spans="1:18" x14ac:dyDescent="0.25">
      <c r="A989" s="170">
        <v>43460</v>
      </c>
      <c r="B989" s="116">
        <v>51.79</v>
      </c>
      <c r="C989" s="116">
        <v>51.365000000000002</v>
      </c>
      <c r="D989" s="116">
        <v>50.515000000000001</v>
      </c>
      <c r="E989" s="116">
        <v>50.98</v>
      </c>
      <c r="F989" s="116">
        <v>513.65</v>
      </c>
      <c r="G989">
        <v>466618</v>
      </c>
      <c r="H989" s="116"/>
      <c r="I989" s="116"/>
      <c r="L989" s="170">
        <v>43460</v>
      </c>
      <c r="M989" s="116">
        <v>51.344999999999999</v>
      </c>
      <c r="N989" s="116">
        <v>51.73</v>
      </c>
      <c r="O989" s="116">
        <v>50.44</v>
      </c>
      <c r="P989" s="116">
        <v>50.9</v>
      </c>
      <c r="Q989" s="116">
        <v>513.45000000000005</v>
      </c>
      <c r="R989">
        <v>4953741</v>
      </c>
    </row>
    <row r="990" spans="1:18" x14ac:dyDescent="0.25">
      <c r="A990" s="170">
        <v>43461</v>
      </c>
      <c r="B990" s="116">
        <v>52.05</v>
      </c>
      <c r="C990" s="116">
        <v>50.78</v>
      </c>
      <c r="D990" s="116">
        <v>50.65</v>
      </c>
      <c r="E990" s="116">
        <v>51.9</v>
      </c>
      <c r="F990" s="116">
        <v>507.8</v>
      </c>
      <c r="G990">
        <v>267675</v>
      </c>
      <c r="H990" s="116"/>
      <c r="I990" s="116"/>
      <c r="L990" s="170">
        <v>43461</v>
      </c>
      <c r="M990" s="116">
        <v>50.65</v>
      </c>
      <c r="N990" s="116">
        <v>51.98</v>
      </c>
      <c r="O990" s="116">
        <v>50.494999999999997</v>
      </c>
      <c r="P990" s="116">
        <v>51.8</v>
      </c>
      <c r="Q990" s="116">
        <v>506.5</v>
      </c>
      <c r="R990">
        <v>5016931</v>
      </c>
    </row>
    <row r="991" spans="1:18" x14ac:dyDescent="0.25">
      <c r="A991" s="170">
        <v>43462</v>
      </c>
      <c r="B991" s="116">
        <v>51.66</v>
      </c>
      <c r="C991" s="116">
        <v>51.37</v>
      </c>
      <c r="D991" s="116">
        <v>50.78</v>
      </c>
      <c r="E991" s="116">
        <v>50.78</v>
      </c>
      <c r="F991" s="116">
        <v>513.70000000000005</v>
      </c>
      <c r="G991">
        <v>350721</v>
      </c>
      <c r="H991" s="116"/>
      <c r="I991" s="116"/>
      <c r="L991" s="170">
        <v>43462</v>
      </c>
      <c r="M991" s="116">
        <v>51.284999999999997</v>
      </c>
      <c r="N991" s="116">
        <v>51.645000000000003</v>
      </c>
      <c r="O991" s="116">
        <v>50.805</v>
      </c>
      <c r="P991" s="116">
        <v>50.82</v>
      </c>
      <c r="Q991" s="116">
        <v>512.85</v>
      </c>
      <c r="R991">
        <v>6307408</v>
      </c>
    </row>
    <row r="992" spans="1:18" x14ac:dyDescent="0.25">
      <c r="A992" s="170">
        <v>43465</v>
      </c>
      <c r="B992" s="116">
        <v>52.52</v>
      </c>
      <c r="C992" s="116">
        <v>52.185000000000002</v>
      </c>
      <c r="D992" s="116">
        <v>51.6</v>
      </c>
      <c r="E992" s="116">
        <v>51.85</v>
      </c>
      <c r="F992" s="116">
        <v>521.85</v>
      </c>
      <c r="G992">
        <v>471997</v>
      </c>
      <c r="H992" s="116"/>
      <c r="I992" s="116"/>
      <c r="L992" s="170">
        <v>43465</v>
      </c>
      <c r="M992" s="116">
        <v>52.104999999999997</v>
      </c>
      <c r="N992" s="116">
        <v>52.5</v>
      </c>
      <c r="O992" s="116">
        <v>51.62</v>
      </c>
      <c r="P992" s="116">
        <v>52</v>
      </c>
      <c r="Q992" s="116">
        <v>521.04999999999995</v>
      </c>
      <c r="R992">
        <v>7965812</v>
      </c>
    </row>
    <row r="993" spans="1:18" x14ac:dyDescent="0.25">
      <c r="A993" s="170">
        <v>43466</v>
      </c>
      <c r="B993" s="116">
        <v>52.405000000000001</v>
      </c>
      <c r="C993" s="116">
        <v>51.555</v>
      </c>
      <c r="D993" s="116">
        <v>51.38</v>
      </c>
      <c r="E993" s="116">
        <v>52.204999999999998</v>
      </c>
      <c r="F993" s="116">
        <v>515.54999999999995</v>
      </c>
      <c r="G993">
        <v>404962</v>
      </c>
      <c r="H993" s="116"/>
      <c r="I993" s="116"/>
      <c r="L993" s="170">
        <v>43466</v>
      </c>
      <c r="M993" s="116">
        <v>51.575000000000003</v>
      </c>
      <c r="N993" s="116">
        <v>52.45</v>
      </c>
      <c r="O993" s="116">
        <v>51.354999999999997</v>
      </c>
      <c r="P993" s="116">
        <v>52.4</v>
      </c>
      <c r="Q993" s="116">
        <v>515.75</v>
      </c>
      <c r="R993">
        <v>4128173</v>
      </c>
    </row>
    <row r="994" spans="1:18" x14ac:dyDescent="0.25">
      <c r="A994" s="170">
        <v>43467</v>
      </c>
      <c r="B994" s="116">
        <v>50.7</v>
      </c>
      <c r="C994" s="116">
        <v>49.384999999999998</v>
      </c>
      <c r="D994" s="116">
        <v>49.155000000000001</v>
      </c>
      <c r="E994" s="116">
        <v>50.695</v>
      </c>
      <c r="F994" s="116">
        <v>493.85</v>
      </c>
      <c r="G994">
        <v>977729</v>
      </c>
      <c r="H994" s="116"/>
      <c r="I994" s="116"/>
      <c r="L994" s="170">
        <v>43467</v>
      </c>
      <c r="M994" s="116">
        <v>49.365000000000002</v>
      </c>
      <c r="N994" s="116">
        <v>50.68</v>
      </c>
      <c r="O994" s="116">
        <v>49.2</v>
      </c>
      <c r="P994" s="116">
        <v>50.6</v>
      </c>
      <c r="Q994" s="116">
        <v>493.65</v>
      </c>
      <c r="R994">
        <v>11747350</v>
      </c>
    </row>
    <row r="995" spans="1:18" x14ac:dyDescent="0.25">
      <c r="A995" s="170">
        <v>43468</v>
      </c>
      <c r="B995" s="116">
        <v>49.384999999999998</v>
      </c>
      <c r="C995" s="116">
        <v>48.104999999999997</v>
      </c>
      <c r="D995" s="116">
        <v>48.01</v>
      </c>
      <c r="E995" s="116">
        <v>49.384999999999998</v>
      </c>
      <c r="F995" s="116">
        <v>481.05</v>
      </c>
      <c r="G995">
        <v>1050414</v>
      </c>
      <c r="H995" s="116"/>
      <c r="I995" s="116"/>
      <c r="L995" s="170">
        <v>43468</v>
      </c>
      <c r="M995" s="116">
        <v>48.125</v>
      </c>
      <c r="N995" s="116">
        <v>49.314999999999998</v>
      </c>
      <c r="O995" s="116">
        <v>48.024999999999999</v>
      </c>
      <c r="P995" s="116">
        <v>49.3</v>
      </c>
      <c r="Q995" s="116">
        <v>481.25</v>
      </c>
      <c r="R995">
        <v>13532944</v>
      </c>
    </row>
    <row r="996" spans="1:18" x14ac:dyDescent="0.25">
      <c r="A996" s="170">
        <v>43469</v>
      </c>
      <c r="B996" s="116">
        <v>49.284999999999997</v>
      </c>
      <c r="C996" s="116">
        <v>48.77</v>
      </c>
      <c r="D996" s="116">
        <v>47.93</v>
      </c>
      <c r="E996" s="116">
        <v>48.104999999999997</v>
      </c>
      <c r="F996" s="116">
        <v>487.7</v>
      </c>
      <c r="G996">
        <v>965265</v>
      </c>
      <c r="H996" s="116"/>
      <c r="I996" s="116"/>
      <c r="L996" s="170">
        <v>43469</v>
      </c>
      <c r="M996" s="116">
        <v>48.765000000000001</v>
      </c>
      <c r="N996" s="116">
        <v>49.284999999999997</v>
      </c>
      <c r="O996" s="116">
        <v>47.954999999999998</v>
      </c>
      <c r="P996" s="116">
        <v>48.1</v>
      </c>
      <c r="Q996" s="116">
        <v>487.65</v>
      </c>
      <c r="R996">
        <v>10480072</v>
      </c>
    </row>
    <row r="997" spans="1:18" x14ac:dyDescent="0.25">
      <c r="A997" s="170">
        <v>43472</v>
      </c>
      <c r="B997" s="116">
        <v>50.09</v>
      </c>
      <c r="C997" s="116">
        <v>48.594999999999999</v>
      </c>
      <c r="D997" s="116">
        <v>48.435000000000002</v>
      </c>
      <c r="E997" s="116">
        <v>49.53</v>
      </c>
      <c r="F997" s="116">
        <v>485.95</v>
      </c>
      <c r="G997">
        <v>613711</v>
      </c>
      <c r="H997" s="116"/>
      <c r="I997" s="116"/>
      <c r="L997" s="170">
        <v>43472</v>
      </c>
      <c r="M997" s="116">
        <v>48.55</v>
      </c>
      <c r="N997" s="116">
        <v>50.1</v>
      </c>
      <c r="O997" s="116">
        <v>48.39</v>
      </c>
      <c r="P997" s="116">
        <v>49.54</v>
      </c>
      <c r="Q997" s="116">
        <v>485.5</v>
      </c>
      <c r="R997">
        <v>8406787</v>
      </c>
    </row>
    <row r="998" spans="1:18" x14ac:dyDescent="0.25">
      <c r="A998" s="170">
        <v>43473</v>
      </c>
      <c r="B998" s="116">
        <v>49.34</v>
      </c>
      <c r="C998" s="116">
        <v>49.134999999999998</v>
      </c>
      <c r="D998" s="116">
        <v>48.41</v>
      </c>
      <c r="E998" s="116">
        <v>48.6</v>
      </c>
      <c r="F998" s="116">
        <v>491.35</v>
      </c>
      <c r="G998">
        <v>490342</v>
      </c>
      <c r="H998" s="116"/>
      <c r="I998" s="116"/>
      <c r="L998" s="170">
        <v>43473</v>
      </c>
      <c r="M998" s="116">
        <v>49.134999999999998</v>
      </c>
      <c r="N998" s="116">
        <v>49.335000000000001</v>
      </c>
      <c r="O998" s="116">
        <v>48.38</v>
      </c>
      <c r="P998" s="116">
        <v>48.564999999999998</v>
      </c>
      <c r="Q998" s="116">
        <v>491.35</v>
      </c>
      <c r="R998">
        <v>6269706</v>
      </c>
    </row>
    <row r="999" spans="1:18" x14ac:dyDescent="0.25">
      <c r="A999" s="170">
        <v>43474</v>
      </c>
      <c r="B999" s="116">
        <v>49.715000000000003</v>
      </c>
      <c r="C999" s="116">
        <v>47.935000000000002</v>
      </c>
      <c r="D999" s="116">
        <v>47.55</v>
      </c>
      <c r="E999" s="116">
        <v>48.85</v>
      </c>
      <c r="F999" s="116">
        <v>479.35</v>
      </c>
      <c r="G999">
        <v>989646</v>
      </c>
      <c r="H999" s="116"/>
      <c r="I999" s="116"/>
      <c r="L999" s="170">
        <v>43474</v>
      </c>
      <c r="M999" s="116">
        <v>47.92</v>
      </c>
      <c r="N999" s="116">
        <v>49.73</v>
      </c>
      <c r="O999" s="116">
        <v>47.524999999999999</v>
      </c>
      <c r="P999" s="116">
        <v>48.895000000000003</v>
      </c>
      <c r="Q999" s="116">
        <v>479.2</v>
      </c>
      <c r="R999">
        <v>12696660</v>
      </c>
    </row>
    <row r="1000" spans="1:18" x14ac:dyDescent="0.25">
      <c r="A1000" s="170">
        <v>43475</v>
      </c>
      <c r="B1000" s="116">
        <v>48.365000000000002</v>
      </c>
      <c r="C1000" s="116">
        <v>48.03</v>
      </c>
      <c r="D1000" s="116">
        <v>47.75</v>
      </c>
      <c r="E1000" s="116">
        <v>47.96</v>
      </c>
      <c r="F1000" s="116">
        <v>480.3</v>
      </c>
      <c r="G1000">
        <v>585358</v>
      </c>
      <c r="H1000" s="116"/>
      <c r="I1000" s="116"/>
      <c r="L1000" s="170">
        <v>43475</v>
      </c>
      <c r="M1000" s="116">
        <v>48.04</v>
      </c>
      <c r="N1000" s="116">
        <v>48.414999999999999</v>
      </c>
      <c r="O1000" s="116">
        <v>47.75</v>
      </c>
      <c r="P1000" s="116">
        <v>48</v>
      </c>
      <c r="Q1000" s="116">
        <v>480.4</v>
      </c>
      <c r="R1000">
        <v>7081000</v>
      </c>
    </row>
    <row r="1001" spans="1:18" x14ac:dyDescent="0.25">
      <c r="A1001" s="170">
        <v>43476</v>
      </c>
      <c r="B1001" s="116">
        <v>48.6</v>
      </c>
      <c r="C1001" s="116">
        <v>47.47</v>
      </c>
      <c r="D1001" s="116">
        <v>47.25</v>
      </c>
      <c r="E1001" s="116">
        <v>48.3</v>
      </c>
      <c r="F1001" s="116">
        <v>474.7</v>
      </c>
      <c r="G1001">
        <v>688724</v>
      </c>
      <c r="H1001" s="116"/>
      <c r="I1001" s="116"/>
      <c r="L1001" s="170">
        <v>43476</v>
      </c>
      <c r="M1001" s="116">
        <v>47.42</v>
      </c>
      <c r="N1001" s="116">
        <v>48.424999999999997</v>
      </c>
      <c r="O1001" s="116">
        <v>47.2</v>
      </c>
      <c r="P1001" s="116">
        <v>48.395000000000003</v>
      </c>
      <c r="Q1001" s="116">
        <v>474.2</v>
      </c>
      <c r="R1001">
        <v>7540824</v>
      </c>
    </row>
    <row r="1002" spans="1:18" x14ac:dyDescent="0.25">
      <c r="A1002" s="170">
        <v>43479</v>
      </c>
      <c r="B1002" s="116">
        <v>47.494999999999997</v>
      </c>
      <c r="C1002" s="116">
        <v>47.07</v>
      </c>
      <c r="D1002" s="116">
        <v>46.66</v>
      </c>
      <c r="E1002" s="116">
        <v>47.494999999999997</v>
      </c>
      <c r="F1002" s="116">
        <v>470.7</v>
      </c>
      <c r="G1002">
        <v>545129</v>
      </c>
      <c r="H1002" s="116"/>
      <c r="I1002" s="116"/>
      <c r="L1002" s="170">
        <v>43479</v>
      </c>
      <c r="M1002" s="116">
        <v>47.085000000000001</v>
      </c>
      <c r="N1002" s="116">
        <v>47.44</v>
      </c>
      <c r="O1002" s="116">
        <v>46.68</v>
      </c>
      <c r="P1002" s="116">
        <v>47.42</v>
      </c>
      <c r="Q1002" s="116">
        <v>470.85</v>
      </c>
      <c r="R1002">
        <v>5889917</v>
      </c>
    </row>
    <row r="1003" spans="1:18" x14ac:dyDescent="0.25">
      <c r="A1003" s="170">
        <v>43480</v>
      </c>
      <c r="B1003" s="116">
        <v>47.65</v>
      </c>
      <c r="C1003" s="116">
        <v>47.515000000000001</v>
      </c>
      <c r="D1003" s="116">
        <v>46.94</v>
      </c>
      <c r="E1003" s="116">
        <v>47.22</v>
      </c>
      <c r="F1003" s="116">
        <v>475.15</v>
      </c>
      <c r="G1003">
        <v>587448</v>
      </c>
      <c r="H1003" s="116"/>
      <c r="I1003" s="116"/>
      <c r="L1003" s="170">
        <v>43480</v>
      </c>
      <c r="M1003" s="116">
        <v>47.505000000000003</v>
      </c>
      <c r="N1003" s="116">
        <v>47.65</v>
      </c>
      <c r="O1003" s="116">
        <v>46.9</v>
      </c>
      <c r="P1003" s="116">
        <v>47.3</v>
      </c>
      <c r="Q1003" s="116">
        <v>475.05</v>
      </c>
      <c r="R1003">
        <v>7603181</v>
      </c>
    </row>
    <row r="1004" spans="1:18" x14ac:dyDescent="0.25">
      <c r="A1004" s="170">
        <v>43481</v>
      </c>
      <c r="B1004" s="116">
        <v>47.984999999999999</v>
      </c>
      <c r="C1004" s="116">
        <v>47.445</v>
      </c>
      <c r="D1004" s="116">
        <v>47.31</v>
      </c>
      <c r="E1004" s="116">
        <v>47.7</v>
      </c>
      <c r="F1004" s="116">
        <v>474.45</v>
      </c>
      <c r="G1004">
        <v>373243</v>
      </c>
      <c r="H1004" s="116"/>
      <c r="I1004" s="116"/>
      <c r="L1004" s="170">
        <v>43481</v>
      </c>
      <c r="M1004" s="116">
        <v>47.454999999999998</v>
      </c>
      <c r="N1004" s="116">
        <v>47.99</v>
      </c>
      <c r="O1004" s="116">
        <v>47.27</v>
      </c>
      <c r="P1004" s="116">
        <v>47.61</v>
      </c>
      <c r="Q1004" s="116">
        <v>474.55</v>
      </c>
      <c r="R1004">
        <v>5280293</v>
      </c>
    </row>
    <row r="1005" spans="1:18" x14ac:dyDescent="0.25">
      <c r="A1005" s="170">
        <v>43482</v>
      </c>
      <c r="B1005" s="116">
        <v>47.83</v>
      </c>
      <c r="C1005" s="116">
        <v>47.25</v>
      </c>
      <c r="D1005" s="116">
        <v>47</v>
      </c>
      <c r="E1005" s="116">
        <v>47.505000000000003</v>
      </c>
      <c r="F1005" s="116">
        <v>472.5</v>
      </c>
      <c r="G1005">
        <v>426791</v>
      </c>
      <c r="H1005" s="116"/>
      <c r="I1005" s="116"/>
      <c r="L1005" s="170">
        <v>43482</v>
      </c>
      <c r="M1005" s="116">
        <v>47.314999999999998</v>
      </c>
      <c r="N1005" s="116">
        <v>47.825000000000003</v>
      </c>
      <c r="O1005" s="116">
        <v>47.05</v>
      </c>
      <c r="P1005" s="116">
        <v>47.63</v>
      </c>
      <c r="Q1005" s="116">
        <v>473.15</v>
      </c>
      <c r="R1005">
        <v>4281935</v>
      </c>
    </row>
    <row r="1006" spans="1:18" x14ac:dyDescent="0.25">
      <c r="A1006" s="170">
        <v>43483</v>
      </c>
      <c r="B1006" s="116">
        <v>47.744999999999997</v>
      </c>
      <c r="C1006" s="116">
        <v>47.05</v>
      </c>
      <c r="D1006" s="116">
        <v>46.81</v>
      </c>
      <c r="E1006" s="116">
        <v>47.4</v>
      </c>
      <c r="F1006" s="116">
        <v>470.5</v>
      </c>
      <c r="G1006">
        <v>418487</v>
      </c>
      <c r="H1006" s="116"/>
      <c r="I1006" s="116"/>
      <c r="L1006" s="170">
        <v>43483</v>
      </c>
      <c r="M1006" s="116">
        <v>47.064999999999998</v>
      </c>
      <c r="N1006" s="116">
        <v>47.77</v>
      </c>
      <c r="O1006" s="116">
        <v>46.8</v>
      </c>
      <c r="P1006" s="116">
        <v>47.354999999999997</v>
      </c>
      <c r="Q1006" s="116">
        <v>470.65</v>
      </c>
      <c r="R1006">
        <v>4914849</v>
      </c>
    </row>
    <row r="1007" spans="1:18" x14ac:dyDescent="0.25">
      <c r="A1007" s="170">
        <v>43486</v>
      </c>
      <c r="B1007" s="116">
        <v>47.74</v>
      </c>
      <c r="C1007" s="116">
        <v>47.155000000000001</v>
      </c>
      <c r="D1007" s="116">
        <v>47.01</v>
      </c>
      <c r="E1007" s="116">
        <v>47.22</v>
      </c>
      <c r="F1007" s="116">
        <v>471.55</v>
      </c>
      <c r="G1007">
        <v>415402</v>
      </c>
      <c r="H1007" s="116"/>
      <c r="I1007" s="116"/>
      <c r="L1007" s="170">
        <v>43486</v>
      </c>
      <c r="M1007" s="116">
        <v>47.17</v>
      </c>
      <c r="N1007" s="116">
        <v>47.75</v>
      </c>
      <c r="O1007" s="116">
        <v>47.01</v>
      </c>
      <c r="P1007" s="116">
        <v>47.3</v>
      </c>
      <c r="Q1007" s="116">
        <v>471.7</v>
      </c>
      <c r="R1007">
        <v>4613690</v>
      </c>
    </row>
    <row r="1008" spans="1:18" x14ac:dyDescent="0.25">
      <c r="A1008" s="170">
        <v>43487</v>
      </c>
      <c r="B1008" s="116">
        <v>47.1</v>
      </c>
      <c r="C1008" s="116">
        <v>45.68</v>
      </c>
      <c r="D1008" s="116">
        <v>45.59</v>
      </c>
      <c r="E1008" s="116">
        <v>47.1</v>
      </c>
      <c r="F1008" s="116">
        <v>456.8</v>
      </c>
      <c r="G1008">
        <v>726984</v>
      </c>
      <c r="H1008" s="116"/>
      <c r="I1008" s="116"/>
      <c r="L1008" s="170">
        <v>43487</v>
      </c>
      <c r="M1008" s="116">
        <v>45.655000000000001</v>
      </c>
      <c r="N1008" s="116">
        <v>47.07</v>
      </c>
      <c r="O1008" s="116">
        <v>45.5</v>
      </c>
      <c r="P1008" s="116">
        <v>47.07</v>
      </c>
      <c r="Q1008" s="116">
        <v>456.55</v>
      </c>
      <c r="R1008">
        <v>8957766</v>
      </c>
    </row>
    <row r="1009" spans="1:18" x14ac:dyDescent="0.25">
      <c r="A1009" s="170">
        <v>43488</v>
      </c>
      <c r="B1009" s="116">
        <v>46.75</v>
      </c>
      <c r="C1009" s="116">
        <v>46.38</v>
      </c>
      <c r="D1009" s="116">
        <v>45.7</v>
      </c>
      <c r="E1009" s="116">
        <v>45.795000000000002</v>
      </c>
      <c r="F1009" s="116">
        <v>463.8</v>
      </c>
      <c r="G1009">
        <v>568821</v>
      </c>
      <c r="H1009" s="116"/>
      <c r="I1009" s="116"/>
      <c r="L1009" s="170">
        <v>43488</v>
      </c>
      <c r="M1009" s="116">
        <v>46.46</v>
      </c>
      <c r="N1009" s="116">
        <v>46.784999999999997</v>
      </c>
      <c r="O1009" s="116">
        <v>45.7</v>
      </c>
      <c r="P1009" s="116">
        <v>45.7</v>
      </c>
      <c r="Q1009" s="116">
        <v>464.6</v>
      </c>
      <c r="R1009">
        <v>7259386</v>
      </c>
    </row>
    <row r="1010" spans="1:18" x14ac:dyDescent="0.25">
      <c r="A1010" s="170">
        <v>43489</v>
      </c>
      <c r="B1010" s="116">
        <v>46.55</v>
      </c>
      <c r="C1010" s="116">
        <v>46.08</v>
      </c>
      <c r="D1010" s="116">
        <v>45.72</v>
      </c>
      <c r="E1010" s="116">
        <v>46.545000000000002</v>
      </c>
      <c r="F1010" s="116">
        <v>460.8</v>
      </c>
      <c r="G1010">
        <v>436767</v>
      </c>
      <c r="H1010" s="116"/>
      <c r="I1010" s="116"/>
      <c r="L1010" s="170">
        <v>43489</v>
      </c>
      <c r="M1010" s="116">
        <v>46.075000000000003</v>
      </c>
      <c r="N1010" s="116">
        <v>46.45</v>
      </c>
      <c r="O1010" s="116">
        <v>45.72</v>
      </c>
      <c r="P1010" s="116">
        <v>46.45</v>
      </c>
      <c r="Q1010" s="116">
        <v>460.75</v>
      </c>
      <c r="R1010">
        <v>4790846</v>
      </c>
    </row>
    <row r="1011" spans="1:18" x14ac:dyDescent="0.25">
      <c r="A1011" s="170">
        <v>43490</v>
      </c>
      <c r="B1011" s="116">
        <v>46.57</v>
      </c>
      <c r="C1011" s="116">
        <v>45.265000000000001</v>
      </c>
      <c r="D1011" s="116">
        <v>45.134999999999998</v>
      </c>
      <c r="E1011" s="116">
        <v>46.1</v>
      </c>
      <c r="F1011" s="116">
        <v>452.65</v>
      </c>
      <c r="G1011">
        <v>400481</v>
      </c>
      <c r="H1011" s="116"/>
      <c r="I1011" s="116"/>
      <c r="L1011" s="170">
        <v>43490</v>
      </c>
      <c r="M1011" s="116">
        <v>45.29</v>
      </c>
      <c r="N1011" s="116">
        <v>46.58</v>
      </c>
      <c r="O1011" s="116">
        <v>45.12</v>
      </c>
      <c r="P1011" s="116">
        <v>46.22</v>
      </c>
      <c r="Q1011" s="116">
        <v>452.9</v>
      </c>
      <c r="R1011">
        <v>4157967</v>
      </c>
    </row>
    <row r="1012" spans="1:18" x14ac:dyDescent="0.25">
      <c r="A1012" s="170">
        <v>43493</v>
      </c>
      <c r="B1012" s="116">
        <v>45.38</v>
      </c>
      <c r="C1012" s="116">
        <v>44.564999999999998</v>
      </c>
      <c r="D1012" s="116">
        <v>44.314999999999998</v>
      </c>
      <c r="E1012" s="116">
        <v>45.3</v>
      </c>
      <c r="F1012" s="116">
        <v>445.65</v>
      </c>
      <c r="G1012">
        <v>356515</v>
      </c>
      <c r="H1012" s="116"/>
      <c r="I1012" s="116"/>
      <c r="L1012" s="170">
        <v>43493</v>
      </c>
      <c r="M1012" s="116">
        <v>44.57</v>
      </c>
      <c r="N1012" s="116">
        <v>45.395000000000003</v>
      </c>
      <c r="O1012" s="116">
        <v>44.33</v>
      </c>
      <c r="P1012" s="116">
        <v>45.29</v>
      </c>
      <c r="Q1012" s="116">
        <v>445.7</v>
      </c>
      <c r="R1012">
        <v>4335147</v>
      </c>
    </row>
    <row r="1013" spans="1:18" x14ac:dyDescent="0.25">
      <c r="A1013" s="170">
        <v>43494</v>
      </c>
      <c r="B1013" s="116">
        <v>45.204999999999998</v>
      </c>
      <c r="C1013" s="116">
        <v>44.475000000000001</v>
      </c>
      <c r="D1013" s="116">
        <v>44.21</v>
      </c>
      <c r="E1013" s="116">
        <v>44.45</v>
      </c>
      <c r="F1013" s="116">
        <v>444.75</v>
      </c>
      <c r="G1013">
        <v>351231</v>
      </c>
      <c r="H1013" s="116"/>
      <c r="I1013" s="116"/>
      <c r="L1013" s="170">
        <v>43494</v>
      </c>
      <c r="M1013" s="116">
        <v>44.38</v>
      </c>
      <c r="N1013" s="116">
        <v>45.215000000000003</v>
      </c>
      <c r="O1013" s="116">
        <v>44.134999999999998</v>
      </c>
      <c r="P1013" s="116">
        <v>44.4</v>
      </c>
      <c r="Q1013" s="116">
        <v>443.8</v>
      </c>
      <c r="R1013">
        <v>5225724</v>
      </c>
    </row>
    <row r="1014" spans="1:18" x14ac:dyDescent="0.25">
      <c r="A1014" s="170">
        <v>43495</v>
      </c>
      <c r="B1014" s="116">
        <v>47.12</v>
      </c>
      <c r="C1014" s="116">
        <v>46.76</v>
      </c>
      <c r="D1014" s="116">
        <v>44.5</v>
      </c>
      <c r="E1014" s="116">
        <v>44.5</v>
      </c>
      <c r="F1014" s="116">
        <v>467.6</v>
      </c>
      <c r="G1014">
        <v>824928</v>
      </c>
      <c r="H1014" s="116"/>
      <c r="I1014" s="116"/>
      <c r="L1014" s="170">
        <v>43495</v>
      </c>
      <c r="M1014" s="116">
        <v>46.744999999999997</v>
      </c>
      <c r="N1014" s="116">
        <v>47.14</v>
      </c>
      <c r="O1014" s="116">
        <v>44.67</v>
      </c>
      <c r="P1014" s="116">
        <v>44.67</v>
      </c>
      <c r="Q1014" s="116">
        <v>467.45</v>
      </c>
      <c r="R1014">
        <v>10857925</v>
      </c>
    </row>
    <row r="1015" spans="1:18" x14ac:dyDescent="0.25">
      <c r="A1015" s="170">
        <v>43496</v>
      </c>
      <c r="B1015" s="116">
        <v>47.81</v>
      </c>
      <c r="C1015" s="116">
        <v>47.594999999999999</v>
      </c>
      <c r="D1015" s="116">
        <v>46.755000000000003</v>
      </c>
      <c r="E1015" s="116">
        <v>47.25</v>
      </c>
      <c r="F1015" s="116">
        <v>475.95</v>
      </c>
      <c r="G1015">
        <v>579799</v>
      </c>
      <c r="H1015" s="116"/>
      <c r="I1015" s="116"/>
      <c r="L1015" s="170">
        <v>43496</v>
      </c>
      <c r="M1015" s="116">
        <v>47.67</v>
      </c>
      <c r="N1015" s="116">
        <v>47.89</v>
      </c>
      <c r="O1015" s="116">
        <v>46.765000000000001</v>
      </c>
      <c r="P1015" s="116">
        <v>47.204999999999998</v>
      </c>
      <c r="Q1015" s="116">
        <v>476.7</v>
      </c>
      <c r="R1015">
        <v>9243729</v>
      </c>
    </row>
    <row r="1016" spans="1:18" x14ac:dyDescent="0.25">
      <c r="A1016" s="170">
        <v>43497</v>
      </c>
      <c r="B1016" s="116">
        <v>48.16</v>
      </c>
      <c r="C1016" s="116">
        <v>47.34</v>
      </c>
      <c r="D1016" s="116">
        <v>46.95</v>
      </c>
      <c r="E1016" s="116">
        <v>47.7</v>
      </c>
      <c r="F1016" s="116">
        <v>473.4</v>
      </c>
      <c r="G1016">
        <v>475747</v>
      </c>
      <c r="H1016" s="116"/>
      <c r="I1016" s="116"/>
      <c r="L1016" s="170">
        <v>43497</v>
      </c>
      <c r="M1016" s="116">
        <v>47.47</v>
      </c>
      <c r="N1016" s="116">
        <v>48.2</v>
      </c>
      <c r="O1016" s="116">
        <v>47</v>
      </c>
      <c r="P1016" s="116">
        <v>47.7</v>
      </c>
      <c r="Q1016" s="116">
        <v>474.7</v>
      </c>
      <c r="R1016">
        <v>5015994</v>
      </c>
    </row>
    <row r="1017" spans="1:18" x14ac:dyDescent="0.25">
      <c r="A1017" s="170">
        <v>43500</v>
      </c>
      <c r="B1017" s="116">
        <v>47.81</v>
      </c>
      <c r="C1017" s="116">
        <v>47.58</v>
      </c>
      <c r="D1017" s="116">
        <v>45.23</v>
      </c>
      <c r="E1017" s="116">
        <v>47.4</v>
      </c>
      <c r="F1017" s="116">
        <v>475.8</v>
      </c>
      <c r="G1017">
        <v>966871</v>
      </c>
      <c r="H1017" s="116"/>
      <c r="I1017" s="116"/>
      <c r="L1017" s="170">
        <v>43500</v>
      </c>
      <c r="M1017" s="116">
        <v>47.604999999999997</v>
      </c>
      <c r="N1017" s="116">
        <v>47.86</v>
      </c>
      <c r="O1017" s="116">
        <v>45.2</v>
      </c>
      <c r="P1017" s="116">
        <v>47.49</v>
      </c>
      <c r="Q1017" s="116">
        <v>476.05</v>
      </c>
      <c r="R1017">
        <v>10972029</v>
      </c>
    </row>
    <row r="1018" spans="1:18" x14ac:dyDescent="0.25">
      <c r="A1018" s="170">
        <v>43501</v>
      </c>
      <c r="B1018" s="116">
        <v>47.75</v>
      </c>
      <c r="C1018" s="116">
        <v>46.475000000000001</v>
      </c>
      <c r="D1018" s="116">
        <v>45.954999999999998</v>
      </c>
      <c r="E1018" s="116">
        <v>47.625</v>
      </c>
      <c r="F1018" s="116">
        <v>464.75</v>
      </c>
      <c r="G1018">
        <v>481207</v>
      </c>
      <c r="H1018" s="116"/>
      <c r="I1018" s="116"/>
      <c r="L1018" s="170">
        <v>43501</v>
      </c>
      <c r="M1018" s="116">
        <v>46.47</v>
      </c>
      <c r="N1018" s="116">
        <v>47.7</v>
      </c>
      <c r="O1018" s="116">
        <v>45.945</v>
      </c>
      <c r="P1018" s="116">
        <v>47.7</v>
      </c>
      <c r="Q1018" s="116">
        <v>464.7</v>
      </c>
      <c r="R1018">
        <v>7281927</v>
      </c>
    </row>
    <row r="1019" spans="1:18" x14ac:dyDescent="0.25">
      <c r="A1019" s="170">
        <v>43502</v>
      </c>
      <c r="B1019" s="116">
        <v>48.69</v>
      </c>
      <c r="C1019" s="116">
        <v>48.44</v>
      </c>
      <c r="D1019" s="116">
        <v>46.384999999999998</v>
      </c>
      <c r="E1019" s="116">
        <v>46.59</v>
      </c>
      <c r="F1019" s="116">
        <v>484.4</v>
      </c>
      <c r="G1019">
        <v>619649</v>
      </c>
      <c r="H1019" s="116"/>
      <c r="I1019" s="116"/>
      <c r="L1019" s="170">
        <v>43502</v>
      </c>
      <c r="M1019" s="116">
        <v>48.51</v>
      </c>
      <c r="N1019" s="116">
        <v>48.67</v>
      </c>
      <c r="O1019" s="116">
        <v>46.38</v>
      </c>
      <c r="P1019" s="116">
        <v>46.6</v>
      </c>
      <c r="Q1019" s="116">
        <v>485.1</v>
      </c>
      <c r="R1019">
        <v>10999265</v>
      </c>
    </row>
    <row r="1020" spans="1:18" x14ac:dyDescent="0.25">
      <c r="A1020" s="170">
        <v>43503</v>
      </c>
      <c r="B1020" s="116">
        <v>49.1</v>
      </c>
      <c r="C1020" s="116">
        <v>48.76</v>
      </c>
      <c r="D1020" s="116">
        <v>47.8</v>
      </c>
      <c r="E1020" s="116">
        <v>48.4</v>
      </c>
      <c r="F1020" s="116">
        <v>487.6</v>
      </c>
      <c r="G1020">
        <v>636340</v>
      </c>
      <c r="H1020" s="116"/>
      <c r="I1020" s="116"/>
      <c r="L1020" s="170">
        <v>43503</v>
      </c>
      <c r="M1020" s="116">
        <v>48.905000000000001</v>
      </c>
      <c r="N1020" s="116">
        <v>49.14</v>
      </c>
      <c r="O1020" s="116">
        <v>47.81</v>
      </c>
      <c r="P1020" s="116">
        <v>48.344999999999999</v>
      </c>
      <c r="Q1020" s="116">
        <v>489.05</v>
      </c>
      <c r="R1020">
        <v>7857338</v>
      </c>
    </row>
    <row r="1021" spans="1:18" x14ac:dyDescent="0.25">
      <c r="A1021" s="170">
        <v>43504</v>
      </c>
      <c r="B1021" s="116">
        <v>48.7</v>
      </c>
      <c r="C1021" s="116">
        <v>46.954999999999998</v>
      </c>
      <c r="D1021" s="116">
        <v>46.68</v>
      </c>
      <c r="E1021" s="116">
        <v>48.225000000000001</v>
      </c>
      <c r="F1021" s="116">
        <v>469.55</v>
      </c>
      <c r="G1021">
        <v>527954</v>
      </c>
      <c r="H1021" s="116"/>
      <c r="I1021" s="116"/>
      <c r="L1021" s="170">
        <v>43504</v>
      </c>
      <c r="M1021" s="116">
        <v>46.875</v>
      </c>
      <c r="N1021" s="116">
        <v>48.774999999999999</v>
      </c>
      <c r="O1021" s="116">
        <v>46.594999999999999</v>
      </c>
      <c r="P1021" s="116">
        <v>48.3</v>
      </c>
      <c r="Q1021" s="116">
        <v>468.75</v>
      </c>
      <c r="R1021">
        <v>8414514</v>
      </c>
    </row>
    <row r="1022" spans="1:18" x14ac:dyDescent="0.25">
      <c r="A1022" s="170">
        <v>43507</v>
      </c>
      <c r="B1022" s="116">
        <v>48.58</v>
      </c>
      <c r="C1022" s="116">
        <v>48.04</v>
      </c>
      <c r="D1022" s="116">
        <v>46.05</v>
      </c>
      <c r="E1022" s="116">
        <v>47.265000000000001</v>
      </c>
      <c r="F1022" s="116">
        <v>480.4</v>
      </c>
      <c r="G1022">
        <v>1753942</v>
      </c>
      <c r="H1022" s="116"/>
      <c r="I1022" s="116"/>
      <c r="L1022" s="170">
        <v>43507</v>
      </c>
      <c r="M1022" s="116">
        <v>48.07</v>
      </c>
      <c r="N1022" s="116">
        <v>48.7</v>
      </c>
      <c r="O1022" s="116">
        <v>46.03</v>
      </c>
      <c r="P1022" s="116">
        <v>47.5</v>
      </c>
      <c r="Q1022" s="116">
        <v>480.7</v>
      </c>
      <c r="R1022">
        <v>23262314</v>
      </c>
    </row>
    <row r="1023" spans="1:18" x14ac:dyDescent="0.25">
      <c r="A1023" s="170">
        <v>43508</v>
      </c>
      <c r="B1023" s="116">
        <v>49.695</v>
      </c>
      <c r="C1023" s="116">
        <v>48.795000000000002</v>
      </c>
      <c r="D1023" s="116">
        <v>47.66</v>
      </c>
      <c r="E1023" s="116">
        <v>47.9</v>
      </c>
      <c r="F1023" s="116">
        <v>487.95</v>
      </c>
      <c r="G1023">
        <v>1281351</v>
      </c>
      <c r="H1023" s="116"/>
      <c r="I1023" s="116"/>
      <c r="L1023" s="170">
        <v>43508</v>
      </c>
      <c r="M1023" s="116">
        <v>48.74</v>
      </c>
      <c r="N1023" s="116">
        <v>49.72</v>
      </c>
      <c r="O1023" s="116">
        <v>47.67</v>
      </c>
      <c r="P1023" s="116">
        <v>47.84</v>
      </c>
      <c r="Q1023" s="116">
        <v>487.4</v>
      </c>
      <c r="R1023">
        <v>18836111</v>
      </c>
    </row>
    <row r="1024" spans="1:18" x14ac:dyDescent="0.25">
      <c r="A1024" s="170">
        <v>43509</v>
      </c>
      <c r="B1024" s="116">
        <v>49.3</v>
      </c>
      <c r="C1024" s="116">
        <v>48.34</v>
      </c>
      <c r="D1024" s="116">
        <v>48.1</v>
      </c>
      <c r="E1024" s="116">
        <v>49</v>
      </c>
      <c r="F1024" s="116">
        <v>483.4</v>
      </c>
      <c r="G1024">
        <v>496678</v>
      </c>
      <c r="H1024" s="116"/>
      <c r="I1024" s="116"/>
      <c r="L1024" s="170">
        <v>43509</v>
      </c>
      <c r="M1024" s="116">
        <v>48.4</v>
      </c>
      <c r="N1024" s="116">
        <v>49.335000000000001</v>
      </c>
      <c r="O1024" s="116">
        <v>48.195</v>
      </c>
      <c r="P1024" s="116">
        <v>49</v>
      </c>
      <c r="Q1024" s="116">
        <v>484</v>
      </c>
      <c r="R1024">
        <v>8403265</v>
      </c>
    </row>
    <row r="1025" spans="1:18" x14ac:dyDescent="0.25">
      <c r="A1025" s="170">
        <v>43510</v>
      </c>
      <c r="B1025" s="116">
        <v>48.594999999999999</v>
      </c>
      <c r="C1025" s="116">
        <v>48.25</v>
      </c>
      <c r="D1025" s="116">
        <v>47.55</v>
      </c>
      <c r="E1025" s="116">
        <v>48.125</v>
      </c>
      <c r="F1025" s="116">
        <v>482.5</v>
      </c>
      <c r="G1025">
        <v>463672</v>
      </c>
      <c r="H1025" s="116"/>
      <c r="I1025" s="116"/>
      <c r="L1025" s="170">
        <v>43510</v>
      </c>
      <c r="M1025" s="116">
        <v>48.255000000000003</v>
      </c>
      <c r="N1025" s="116">
        <v>48.634999999999998</v>
      </c>
      <c r="O1025" s="116">
        <v>47.54</v>
      </c>
      <c r="P1025" s="116">
        <v>48.2</v>
      </c>
      <c r="Q1025" s="116">
        <v>482.55</v>
      </c>
      <c r="R1025">
        <v>6185042</v>
      </c>
    </row>
    <row r="1026" spans="1:18" x14ac:dyDescent="0.25">
      <c r="A1026" s="170">
        <v>43511</v>
      </c>
      <c r="B1026" s="116">
        <v>48.25</v>
      </c>
      <c r="C1026" s="116">
        <v>46.744999999999997</v>
      </c>
      <c r="D1026" s="116">
        <v>46.34</v>
      </c>
      <c r="E1026" s="116">
        <v>48.115000000000002</v>
      </c>
      <c r="F1026" s="116">
        <v>467.45</v>
      </c>
      <c r="G1026">
        <v>562792</v>
      </c>
      <c r="H1026" s="116"/>
      <c r="I1026" s="116"/>
      <c r="L1026" s="170">
        <v>43511</v>
      </c>
      <c r="M1026" s="116">
        <v>46.75</v>
      </c>
      <c r="N1026" s="116">
        <v>48.34</v>
      </c>
      <c r="O1026" s="116">
        <v>46.265000000000001</v>
      </c>
      <c r="P1026" s="116">
        <v>48.3</v>
      </c>
      <c r="Q1026" s="116">
        <v>467.5</v>
      </c>
      <c r="R1026">
        <v>7499240</v>
      </c>
    </row>
    <row r="1027" spans="1:18" x14ac:dyDescent="0.25">
      <c r="A1027" s="170">
        <v>43514</v>
      </c>
      <c r="B1027" s="116">
        <v>47.674999999999997</v>
      </c>
      <c r="C1027" s="116">
        <v>46.575000000000003</v>
      </c>
      <c r="D1027" s="116">
        <v>46.46</v>
      </c>
      <c r="E1027" s="116">
        <v>46.85</v>
      </c>
      <c r="F1027" s="116">
        <v>465.75</v>
      </c>
      <c r="G1027">
        <v>888610</v>
      </c>
      <c r="H1027" s="116"/>
      <c r="I1027" s="116"/>
      <c r="L1027" s="170">
        <v>43514</v>
      </c>
      <c r="M1027" s="116">
        <v>46.555</v>
      </c>
      <c r="N1027" s="116">
        <v>47.7</v>
      </c>
      <c r="O1027" s="116">
        <v>46.44</v>
      </c>
      <c r="P1027" s="116">
        <v>46.89</v>
      </c>
      <c r="Q1027" s="116">
        <v>465.55</v>
      </c>
      <c r="R1027">
        <v>6253514</v>
      </c>
    </row>
    <row r="1028" spans="1:18" x14ac:dyDescent="0.25">
      <c r="A1028" s="170">
        <v>43515</v>
      </c>
      <c r="B1028" s="116">
        <v>48.055</v>
      </c>
      <c r="C1028" s="116">
        <v>47.115000000000002</v>
      </c>
      <c r="D1028" s="116">
        <v>46.524999999999999</v>
      </c>
      <c r="E1028" s="116">
        <v>46.8</v>
      </c>
      <c r="F1028" s="116">
        <v>471.15</v>
      </c>
      <c r="G1028">
        <v>453604</v>
      </c>
      <c r="H1028" s="116"/>
      <c r="I1028" s="116"/>
      <c r="L1028" s="170">
        <v>43515</v>
      </c>
      <c r="M1028" s="116">
        <v>47.094999999999999</v>
      </c>
      <c r="N1028" s="116">
        <v>48.06</v>
      </c>
      <c r="O1028" s="116">
        <v>46.54</v>
      </c>
      <c r="P1028" s="116">
        <v>46.54</v>
      </c>
      <c r="Q1028" s="116">
        <v>470.95</v>
      </c>
      <c r="R1028">
        <v>8224545</v>
      </c>
    </row>
    <row r="1029" spans="1:18" x14ac:dyDescent="0.25">
      <c r="A1029" s="170">
        <v>43516</v>
      </c>
      <c r="B1029" s="116">
        <v>49.365000000000002</v>
      </c>
      <c r="C1029" s="116">
        <v>49.06</v>
      </c>
      <c r="D1029" s="116">
        <v>47.28</v>
      </c>
      <c r="E1029" s="116">
        <v>47.64</v>
      </c>
      <c r="F1029" s="116">
        <v>490.6</v>
      </c>
      <c r="G1029">
        <v>1082361</v>
      </c>
      <c r="H1029" s="116"/>
      <c r="I1029" s="116"/>
      <c r="L1029" s="170">
        <v>43516</v>
      </c>
      <c r="M1029" s="116">
        <v>49.115000000000002</v>
      </c>
      <c r="N1029" s="116">
        <v>49.384999999999998</v>
      </c>
      <c r="O1029" s="116">
        <v>47.25</v>
      </c>
      <c r="P1029" s="116">
        <v>47.25</v>
      </c>
      <c r="Q1029" s="116">
        <v>491.15</v>
      </c>
      <c r="R1029">
        <v>15487251</v>
      </c>
    </row>
    <row r="1030" spans="1:18" x14ac:dyDescent="0.25">
      <c r="A1030" s="170">
        <v>43517</v>
      </c>
      <c r="B1030" s="116">
        <v>50.195</v>
      </c>
      <c r="C1030" s="116">
        <v>49.79</v>
      </c>
      <c r="D1030" s="116">
        <v>49.06</v>
      </c>
      <c r="E1030" s="116">
        <v>49.26</v>
      </c>
      <c r="F1030" s="116">
        <v>497.9</v>
      </c>
      <c r="G1030">
        <v>881928</v>
      </c>
      <c r="H1030" s="116"/>
      <c r="I1030" s="116"/>
      <c r="L1030" s="170">
        <v>43517</v>
      </c>
      <c r="M1030" s="116">
        <v>49.884999999999998</v>
      </c>
      <c r="N1030" s="116">
        <v>50.29</v>
      </c>
      <c r="O1030" s="116">
        <v>49.034999999999997</v>
      </c>
      <c r="P1030" s="116">
        <v>49.255000000000003</v>
      </c>
      <c r="Q1030" s="116">
        <v>498.85</v>
      </c>
      <c r="R1030">
        <v>11782714</v>
      </c>
    </row>
    <row r="1031" spans="1:18" x14ac:dyDescent="0.25">
      <c r="A1031" s="170">
        <v>43518</v>
      </c>
      <c r="B1031" s="116">
        <v>50.37</v>
      </c>
      <c r="C1031" s="116">
        <v>50.195</v>
      </c>
      <c r="D1031" s="116">
        <v>49.24</v>
      </c>
      <c r="E1031" s="116">
        <v>49.62</v>
      </c>
      <c r="F1031" s="116">
        <v>501.95</v>
      </c>
      <c r="G1031">
        <v>577714</v>
      </c>
      <c r="H1031" s="116"/>
      <c r="I1031" s="116"/>
      <c r="L1031" s="170">
        <v>43518</v>
      </c>
      <c r="M1031" s="116">
        <v>50.23</v>
      </c>
      <c r="N1031" s="116">
        <v>50.4</v>
      </c>
      <c r="O1031" s="116">
        <v>49.21</v>
      </c>
      <c r="P1031" s="116">
        <v>49.7</v>
      </c>
      <c r="Q1031" s="116">
        <v>502.3</v>
      </c>
      <c r="R1031">
        <v>10005723</v>
      </c>
    </row>
    <row r="1032" spans="1:18" x14ac:dyDescent="0.25">
      <c r="A1032" s="170">
        <v>43521</v>
      </c>
      <c r="B1032" s="116">
        <v>50.95</v>
      </c>
      <c r="C1032" s="116">
        <v>50.484999999999999</v>
      </c>
      <c r="D1032" s="116">
        <v>49.854999999999997</v>
      </c>
      <c r="E1032" s="116">
        <v>50.4</v>
      </c>
      <c r="F1032" s="116">
        <v>504.85</v>
      </c>
      <c r="G1032">
        <v>701854</v>
      </c>
      <c r="H1032" s="116"/>
      <c r="I1032" s="116"/>
      <c r="L1032" s="170">
        <v>43521</v>
      </c>
      <c r="M1032" s="116">
        <v>50.51</v>
      </c>
      <c r="N1032" s="116">
        <v>50.95</v>
      </c>
      <c r="O1032" s="116">
        <v>49.825000000000003</v>
      </c>
      <c r="P1032" s="116">
        <v>50.4</v>
      </c>
      <c r="Q1032" s="116">
        <v>505.1</v>
      </c>
      <c r="R1032">
        <v>10357604</v>
      </c>
    </row>
    <row r="1033" spans="1:18" x14ac:dyDescent="0.25">
      <c r="A1033" s="170">
        <v>43522</v>
      </c>
      <c r="B1033" s="116">
        <v>50.784999999999997</v>
      </c>
      <c r="C1033" s="116">
        <v>50.414999999999999</v>
      </c>
      <c r="D1033" s="116">
        <v>49.17</v>
      </c>
      <c r="E1033" s="116">
        <v>49.6</v>
      </c>
      <c r="F1033" s="116">
        <v>504.15</v>
      </c>
      <c r="G1033">
        <v>812378</v>
      </c>
      <c r="H1033" s="116"/>
      <c r="I1033" s="116"/>
      <c r="L1033" s="170">
        <v>43522</v>
      </c>
      <c r="M1033" s="116">
        <v>50.36</v>
      </c>
      <c r="N1033" s="116">
        <v>50.86</v>
      </c>
      <c r="O1033" s="116">
        <v>49.17</v>
      </c>
      <c r="P1033" s="116">
        <v>49.8</v>
      </c>
      <c r="Q1033" s="116">
        <v>503.6</v>
      </c>
      <c r="R1033">
        <v>9856299</v>
      </c>
    </row>
    <row r="1034" spans="1:18" x14ac:dyDescent="0.25">
      <c r="A1034" s="170">
        <v>43523</v>
      </c>
      <c r="B1034" s="116">
        <v>51.195</v>
      </c>
      <c r="C1034" s="116">
        <v>50.585000000000001</v>
      </c>
      <c r="D1034" s="116">
        <v>49.89</v>
      </c>
      <c r="E1034" s="116">
        <v>50.6</v>
      </c>
      <c r="F1034" s="116">
        <v>505.85</v>
      </c>
      <c r="G1034">
        <v>489246</v>
      </c>
      <c r="H1034" s="116"/>
      <c r="I1034" s="116"/>
      <c r="L1034" s="170">
        <v>43523</v>
      </c>
      <c r="M1034" s="116">
        <v>50.71</v>
      </c>
      <c r="N1034" s="116">
        <v>51.23</v>
      </c>
      <c r="O1034" s="116">
        <v>49.795000000000002</v>
      </c>
      <c r="P1034" s="116">
        <v>50.7</v>
      </c>
      <c r="Q1034" s="116">
        <v>507.1</v>
      </c>
      <c r="R1034">
        <v>9444346</v>
      </c>
    </row>
    <row r="1035" spans="1:18" x14ac:dyDescent="0.25">
      <c r="A1035" s="170">
        <v>43524</v>
      </c>
      <c r="B1035" s="116">
        <v>51.05</v>
      </c>
      <c r="C1035" s="116">
        <v>50.13</v>
      </c>
      <c r="D1035" s="116">
        <v>49.94</v>
      </c>
      <c r="E1035" s="116">
        <v>50.58</v>
      </c>
      <c r="F1035" s="116">
        <v>501.3</v>
      </c>
      <c r="G1035">
        <v>601222</v>
      </c>
      <c r="H1035" s="116"/>
      <c r="I1035" s="116"/>
      <c r="L1035" s="170">
        <v>43524</v>
      </c>
      <c r="M1035" s="116">
        <v>50.045000000000002</v>
      </c>
      <c r="N1035" s="116">
        <v>51.1</v>
      </c>
      <c r="O1035" s="116">
        <v>49.83</v>
      </c>
      <c r="P1035" s="116">
        <v>50.66</v>
      </c>
      <c r="Q1035" s="116">
        <v>500.45</v>
      </c>
      <c r="R1035">
        <v>7485418</v>
      </c>
    </row>
    <row r="1036" spans="1:18" x14ac:dyDescent="0.25">
      <c r="A1036" s="170">
        <v>43525</v>
      </c>
      <c r="B1036" s="116">
        <v>50.975000000000001</v>
      </c>
      <c r="C1036" s="116">
        <v>50.715000000000003</v>
      </c>
      <c r="D1036" s="116">
        <v>50.274999999999999</v>
      </c>
      <c r="E1036" s="116">
        <v>50.39</v>
      </c>
      <c r="F1036" s="116">
        <v>507.15</v>
      </c>
      <c r="G1036">
        <v>428002</v>
      </c>
      <c r="H1036" s="116"/>
      <c r="I1036" s="116"/>
      <c r="L1036" s="170">
        <v>43525</v>
      </c>
      <c r="M1036" s="116">
        <v>50.76</v>
      </c>
      <c r="N1036" s="116">
        <v>50.97</v>
      </c>
      <c r="O1036" s="116">
        <v>50.2</v>
      </c>
      <c r="P1036" s="116">
        <v>50.35</v>
      </c>
      <c r="Q1036" s="116">
        <v>507.6</v>
      </c>
      <c r="R1036">
        <v>6672569</v>
      </c>
    </row>
    <row r="1037" spans="1:18" x14ac:dyDescent="0.25">
      <c r="A1037" s="170">
        <v>43529</v>
      </c>
      <c r="B1037" s="116">
        <v>52.28</v>
      </c>
      <c r="C1037" s="116">
        <v>52.15</v>
      </c>
      <c r="D1037" s="116">
        <v>50.52</v>
      </c>
      <c r="E1037" s="116">
        <v>50.9</v>
      </c>
      <c r="F1037" s="116">
        <v>521.5</v>
      </c>
      <c r="G1037">
        <v>537823</v>
      </c>
      <c r="H1037" s="116"/>
      <c r="I1037" s="116"/>
      <c r="L1037" s="170">
        <v>43529</v>
      </c>
      <c r="M1037" s="116">
        <v>52.174999999999997</v>
      </c>
      <c r="N1037" s="116">
        <v>52.29</v>
      </c>
      <c r="O1037" s="116">
        <v>50.52</v>
      </c>
      <c r="P1037" s="116">
        <v>50.84</v>
      </c>
      <c r="Q1037" s="116">
        <v>521.75</v>
      </c>
      <c r="R1037">
        <v>9118037</v>
      </c>
    </row>
    <row r="1038" spans="1:18" x14ac:dyDescent="0.25">
      <c r="A1038" s="170">
        <v>43530</v>
      </c>
      <c r="B1038" s="116">
        <v>52.65</v>
      </c>
      <c r="C1038" s="116">
        <v>51.88</v>
      </c>
      <c r="D1038" s="116">
        <v>51.604999999999997</v>
      </c>
      <c r="E1038" s="116">
        <v>52.65</v>
      </c>
      <c r="F1038" s="116">
        <v>518.79999999999995</v>
      </c>
      <c r="G1038">
        <v>531577</v>
      </c>
      <c r="H1038" s="116"/>
      <c r="I1038" s="116"/>
      <c r="L1038" s="170">
        <v>43530</v>
      </c>
      <c r="M1038" s="116">
        <v>52.085000000000001</v>
      </c>
      <c r="N1038" s="116">
        <v>52.534999999999997</v>
      </c>
      <c r="O1038" s="116">
        <v>51.545000000000002</v>
      </c>
      <c r="P1038" s="116">
        <v>52.29</v>
      </c>
      <c r="Q1038" s="116">
        <v>520.85</v>
      </c>
      <c r="R1038">
        <v>6311227</v>
      </c>
    </row>
    <row r="1039" spans="1:18" x14ac:dyDescent="0.25">
      <c r="A1039" s="170">
        <v>43531</v>
      </c>
      <c r="B1039" s="116">
        <v>52.325000000000003</v>
      </c>
      <c r="C1039" s="116">
        <v>52.07</v>
      </c>
      <c r="D1039" s="116">
        <v>51.375</v>
      </c>
      <c r="E1039" s="116">
        <v>52.2</v>
      </c>
      <c r="F1039" s="116">
        <v>520.70000000000005</v>
      </c>
      <c r="G1039">
        <v>489117</v>
      </c>
      <c r="H1039" s="116"/>
      <c r="I1039" s="116"/>
      <c r="L1039" s="170">
        <v>43531</v>
      </c>
      <c r="M1039" s="116">
        <v>52.115000000000002</v>
      </c>
      <c r="N1039" s="116">
        <v>52.32</v>
      </c>
      <c r="O1039" s="116">
        <v>51.354999999999997</v>
      </c>
      <c r="P1039" s="116">
        <v>51.984999999999999</v>
      </c>
      <c r="Q1039" s="116">
        <v>521.15</v>
      </c>
      <c r="R1039">
        <v>6153631</v>
      </c>
    </row>
    <row r="1040" spans="1:18" x14ac:dyDescent="0.25">
      <c r="A1040" s="170">
        <v>43532</v>
      </c>
      <c r="B1040" s="116">
        <v>51.9</v>
      </c>
      <c r="C1040" s="116">
        <v>50.805</v>
      </c>
      <c r="D1040" s="116">
        <v>50.63</v>
      </c>
      <c r="E1040" s="116">
        <v>51.9</v>
      </c>
      <c r="F1040" s="116">
        <v>508.05</v>
      </c>
      <c r="G1040">
        <v>361557</v>
      </c>
      <c r="H1040" s="116"/>
      <c r="I1040" s="116"/>
      <c r="L1040" s="170">
        <v>43532</v>
      </c>
      <c r="M1040" s="116">
        <v>50.784999999999997</v>
      </c>
      <c r="N1040" s="116">
        <v>51.86</v>
      </c>
      <c r="O1040" s="116">
        <v>50.63</v>
      </c>
      <c r="P1040" s="116">
        <v>51.68</v>
      </c>
      <c r="Q1040" s="116">
        <v>507.85</v>
      </c>
      <c r="R1040">
        <v>6504847</v>
      </c>
    </row>
    <row r="1041" spans="1:18" x14ac:dyDescent="0.25">
      <c r="A1041" s="170">
        <v>43535</v>
      </c>
      <c r="B1041" s="116">
        <v>52.24</v>
      </c>
      <c r="C1041" s="116">
        <v>52.08</v>
      </c>
      <c r="D1041" s="116">
        <v>50.85</v>
      </c>
      <c r="E1041" s="116">
        <v>50.9</v>
      </c>
      <c r="F1041" s="116">
        <v>520.79999999999995</v>
      </c>
      <c r="G1041">
        <v>1160503</v>
      </c>
      <c r="H1041" s="116"/>
      <c r="I1041" s="116"/>
      <c r="L1041" s="170">
        <v>43535</v>
      </c>
      <c r="M1041" s="116">
        <v>52.064999999999998</v>
      </c>
      <c r="N1041" s="116">
        <v>52.24</v>
      </c>
      <c r="O1041" s="116">
        <v>50.95</v>
      </c>
      <c r="P1041" s="116">
        <v>51</v>
      </c>
      <c r="Q1041" s="116">
        <v>520.65</v>
      </c>
      <c r="R1041">
        <v>5908275</v>
      </c>
    </row>
    <row r="1042" spans="1:18" x14ac:dyDescent="0.25">
      <c r="A1042" s="170">
        <v>43536</v>
      </c>
      <c r="B1042" s="116">
        <v>53</v>
      </c>
      <c r="C1042" s="116">
        <v>52.414999999999999</v>
      </c>
      <c r="D1042" s="116">
        <v>51.994999999999997</v>
      </c>
      <c r="E1042" s="116">
        <v>52.33</v>
      </c>
      <c r="F1042" s="116">
        <v>524.15</v>
      </c>
      <c r="G1042">
        <v>592066</v>
      </c>
      <c r="H1042" s="116"/>
      <c r="I1042" s="116"/>
      <c r="L1042" s="170">
        <v>43536</v>
      </c>
      <c r="M1042" s="116">
        <v>52.515000000000001</v>
      </c>
      <c r="N1042" s="116">
        <v>53.05</v>
      </c>
      <c r="O1042" s="116">
        <v>52.1</v>
      </c>
      <c r="P1042" s="116">
        <v>52.44</v>
      </c>
      <c r="Q1042" s="116">
        <v>525.15</v>
      </c>
      <c r="R1042">
        <v>8298275</v>
      </c>
    </row>
    <row r="1043" spans="1:18" x14ac:dyDescent="0.25">
      <c r="A1043" s="170">
        <v>43537</v>
      </c>
      <c r="B1043" s="116">
        <v>52.414999999999999</v>
      </c>
      <c r="C1043" s="116">
        <v>51.36</v>
      </c>
      <c r="D1043" s="116">
        <v>51.234999999999999</v>
      </c>
      <c r="E1043" s="116">
        <v>52.41</v>
      </c>
      <c r="F1043" s="116">
        <v>513.6</v>
      </c>
      <c r="G1043">
        <v>493482</v>
      </c>
      <c r="H1043" s="116"/>
      <c r="I1043" s="116"/>
      <c r="L1043" s="170">
        <v>43537</v>
      </c>
      <c r="M1043" s="116">
        <v>51.375</v>
      </c>
      <c r="N1043" s="116">
        <v>52.5</v>
      </c>
      <c r="O1043" s="116">
        <v>51.26</v>
      </c>
      <c r="P1043" s="116">
        <v>52.5</v>
      </c>
      <c r="Q1043" s="116">
        <v>513.75</v>
      </c>
      <c r="R1043">
        <v>6409153</v>
      </c>
    </row>
    <row r="1044" spans="1:18" x14ac:dyDescent="0.25">
      <c r="A1044" s="170">
        <v>43538</v>
      </c>
      <c r="B1044" s="116">
        <v>52.2</v>
      </c>
      <c r="C1044" s="116">
        <v>51.78</v>
      </c>
      <c r="D1044" s="116">
        <v>51.344999999999999</v>
      </c>
      <c r="E1044" s="116">
        <v>51.405000000000001</v>
      </c>
      <c r="F1044" s="116">
        <v>517.79999999999995</v>
      </c>
      <c r="G1044">
        <v>544876</v>
      </c>
      <c r="H1044" s="116"/>
      <c r="I1044" s="116"/>
      <c r="L1044" s="170">
        <v>43538</v>
      </c>
      <c r="M1044" s="116">
        <v>51.765000000000001</v>
      </c>
      <c r="N1044" s="116">
        <v>52.18</v>
      </c>
      <c r="O1044" s="116">
        <v>51.35</v>
      </c>
      <c r="P1044" s="116">
        <v>51.395000000000003</v>
      </c>
      <c r="Q1044" s="116">
        <v>517.65</v>
      </c>
      <c r="R1044">
        <v>4496642</v>
      </c>
    </row>
    <row r="1045" spans="1:18" x14ac:dyDescent="0.25">
      <c r="A1045" s="170">
        <v>43539</v>
      </c>
      <c r="B1045" s="116">
        <v>52.075000000000003</v>
      </c>
      <c r="C1045" s="116">
        <v>51.555</v>
      </c>
      <c r="D1045" s="116">
        <v>51.25</v>
      </c>
      <c r="E1045" s="116">
        <v>51.89</v>
      </c>
      <c r="F1045" s="116">
        <v>515.54999999999995</v>
      </c>
      <c r="G1045">
        <v>348058</v>
      </c>
      <c r="H1045" s="116"/>
      <c r="I1045" s="116"/>
      <c r="L1045" s="170">
        <v>43539</v>
      </c>
      <c r="M1045" s="116">
        <v>51.545000000000002</v>
      </c>
      <c r="N1045" s="116">
        <v>52.094999999999999</v>
      </c>
      <c r="O1045" s="116">
        <v>51.244999999999997</v>
      </c>
      <c r="P1045" s="116">
        <v>51.8</v>
      </c>
      <c r="Q1045" s="116">
        <v>515.45000000000005</v>
      </c>
      <c r="R1045">
        <v>4233938</v>
      </c>
    </row>
    <row r="1046" spans="1:18" x14ac:dyDescent="0.25">
      <c r="A1046" s="170">
        <v>43542</v>
      </c>
      <c r="B1046" s="116">
        <v>52.6</v>
      </c>
      <c r="C1046" s="116">
        <v>52.465000000000003</v>
      </c>
      <c r="D1046" s="116">
        <v>51.56</v>
      </c>
      <c r="E1046" s="116">
        <v>52.09</v>
      </c>
      <c r="F1046" s="116">
        <v>524.65</v>
      </c>
      <c r="G1046">
        <v>460072</v>
      </c>
      <c r="H1046" s="116"/>
      <c r="I1046" s="116"/>
      <c r="L1046" s="170">
        <v>43542</v>
      </c>
      <c r="M1046" s="116">
        <v>52.52</v>
      </c>
      <c r="N1046" s="116">
        <v>52.674999999999997</v>
      </c>
      <c r="O1046" s="116">
        <v>51.524999999999999</v>
      </c>
      <c r="P1046" s="116">
        <v>51.95</v>
      </c>
      <c r="Q1046" s="116">
        <v>525.20000000000005</v>
      </c>
      <c r="R1046">
        <v>6317605</v>
      </c>
    </row>
    <row r="1047" spans="1:18" x14ac:dyDescent="0.25">
      <c r="A1047" s="170">
        <v>43543</v>
      </c>
      <c r="B1047" s="116">
        <v>53.18</v>
      </c>
      <c r="C1047" s="116">
        <v>52.625</v>
      </c>
      <c r="D1047" s="116">
        <v>52.064999999999998</v>
      </c>
      <c r="E1047" s="116">
        <v>52.66</v>
      </c>
      <c r="F1047" s="116">
        <v>526.25</v>
      </c>
      <c r="G1047">
        <v>599382</v>
      </c>
      <c r="H1047" s="116"/>
      <c r="I1047" s="116"/>
      <c r="L1047" s="170">
        <v>43543</v>
      </c>
      <c r="M1047" s="116">
        <v>52.75</v>
      </c>
      <c r="N1047" s="116">
        <v>53.19</v>
      </c>
      <c r="O1047" s="116">
        <v>52.064999999999998</v>
      </c>
      <c r="P1047" s="116">
        <v>52.78</v>
      </c>
      <c r="Q1047" s="116">
        <v>527.5</v>
      </c>
      <c r="R1047">
        <v>6329840</v>
      </c>
    </row>
    <row r="1048" spans="1:18" x14ac:dyDescent="0.25">
      <c r="A1048" s="170">
        <v>43544</v>
      </c>
      <c r="B1048" s="116">
        <v>52.6</v>
      </c>
      <c r="C1048" s="116">
        <v>51.354999999999997</v>
      </c>
      <c r="D1048" s="116">
        <v>51.13</v>
      </c>
      <c r="E1048" s="116">
        <v>52.524999999999999</v>
      </c>
      <c r="F1048" s="116">
        <v>513.54999999999995</v>
      </c>
      <c r="G1048">
        <v>447074</v>
      </c>
      <c r="H1048" s="116"/>
      <c r="I1048" s="116"/>
      <c r="L1048" s="170">
        <v>43544</v>
      </c>
      <c r="M1048" s="116">
        <v>51.36</v>
      </c>
      <c r="N1048" s="116">
        <v>52.625</v>
      </c>
      <c r="O1048" s="116">
        <v>51.104999999999997</v>
      </c>
      <c r="P1048" s="116">
        <v>52.604999999999997</v>
      </c>
      <c r="Q1048" s="116">
        <v>513.6</v>
      </c>
      <c r="R1048">
        <v>8702307</v>
      </c>
    </row>
    <row r="1049" spans="1:18" x14ac:dyDescent="0.25">
      <c r="A1049" s="170">
        <v>43546</v>
      </c>
      <c r="B1049" s="116">
        <v>52.4</v>
      </c>
      <c r="C1049" s="116">
        <v>51.814999999999998</v>
      </c>
      <c r="D1049" s="116">
        <v>51.53</v>
      </c>
      <c r="E1049" s="116">
        <v>51.53</v>
      </c>
      <c r="F1049" s="116">
        <v>518.15</v>
      </c>
      <c r="G1049">
        <v>298127</v>
      </c>
      <c r="H1049" s="116"/>
      <c r="I1049" s="116"/>
      <c r="L1049" s="170">
        <v>43546</v>
      </c>
      <c r="M1049" s="116">
        <v>51.84</v>
      </c>
      <c r="N1049" s="116">
        <v>52.4</v>
      </c>
      <c r="O1049" s="116">
        <v>51.56</v>
      </c>
      <c r="P1049" s="116">
        <v>51.7</v>
      </c>
      <c r="Q1049" s="116">
        <v>518.4</v>
      </c>
      <c r="R1049">
        <v>5233446</v>
      </c>
    </row>
    <row r="1050" spans="1:18" x14ac:dyDescent="0.25">
      <c r="A1050" s="170">
        <v>43549</v>
      </c>
      <c r="B1050" s="116">
        <v>51.8</v>
      </c>
      <c r="C1050" s="116">
        <v>51.564999999999998</v>
      </c>
      <c r="D1050" s="116">
        <v>50.7</v>
      </c>
      <c r="E1050" s="116">
        <v>51.354999999999997</v>
      </c>
      <c r="F1050" s="116">
        <v>515.65</v>
      </c>
      <c r="G1050">
        <v>320796</v>
      </c>
      <c r="H1050" s="116"/>
      <c r="I1050" s="116"/>
      <c r="L1050" s="170">
        <v>43549</v>
      </c>
      <c r="M1050" s="116">
        <v>51.515000000000001</v>
      </c>
      <c r="N1050" s="116">
        <v>51.77</v>
      </c>
      <c r="O1050" s="116">
        <v>50.704999999999998</v>
      </c>
      <c r="P1050" s="116">
        <v>51.28</v>
      </c>
      <c r="Q1050" s="116">
        <v>515.15</v>
      </c>
      <c r="R1050">
        <v>5036887</v>
      </c>
    </row>
    <row r="1051" spans="1:18" x14ac:dyDescent="0.25">
      <c r="A1051" s="170">
        <v>43550</v>
      </c>
      <c r="B1051" s="116">
        <v>52.05</v>
      </c>
      <c r="C1051" s="116">
        <v>51.935000000000002</v>
      </c>
      <c r="D1051" s="116">
        <v>51.43</v>
      </c>
      <c r="E1051" s="116">
        <v>51.57</v>
      </c>
      <c r="F1051" s="116">
        <v>519.35</v>
      </c>
      <c r="G1051">
        <v>231601</v>
      </c>
      <c r="H1051" s="116"/>
      <c r="I1051" s="116"/>
      <c r="L1051" s="170">
        <v>43550</v>
      </c>
      <c r="M1051" s="116">
        <v>51.935000000000002</v>
      </c>
      <c r="N1051" s="116">
        <v>52.094999999999999</v>
      </c>
      <c r="O1051" s="116">
        <v>51.414999999999999</v>
      </c>
      <c r="P1051" s="116">
        <v>51.6</v>
      </c>
      <c r="Q1051" s="116">
        <v>519.35</v>
      </c>
      <c r="R1051">
        <v>3329825</v>
      </c>
    </row>
    <row r="1052" spans="1:18" x14ac:dyDescent="0.25">
      <c r="A1052" s="170">
        <v>43551</v>
      </c>
      <c r="B1052" s="116">
        <v>52.3</v>
      </c>
      <c r="C1052" s="116">
        <v>51.59</v>
      </c>
      <c r="D1052" s="116">
        <v>51.31</v>
      </c>
      <c r="E1052" s="116">
        <v>51.935000000000002</v>
      </c>
      <c r="F1052" s="116">
        <v>515.9</v>
      </c>
      <c r="G1052">
        <v>258943</v>
      </c>
      <c r="H1052" s="116"/>
      <c r="I1052" s="116"/>
      <c r="L1052" s="170">
        <v>43551</v>
      </c>
      <c r="M1052" s="116">
        <v>51.58</v>
      </c>
      <c r="N1052" s="116">
        <v>52.3</v>
      </c>
      <c r="O1052" s="116">
        <v>51.305</v>
      </c>
      <c r="P1052" s="116">
        <v>52</v>
      </c>
      <c r="Q1052" s="116">
        <v>515.79999999999995</v>
      </c>
      <c r="R1052">
        <v>5239158</v>
      </c>
    </row>
    <row r="1053" spans="1:18" x14ac:dyDescent="0.25">
      <c r="A1053" s="170">
        <v>43552</v>
      </c>
      <c r="B1053" s="116">
        <v>51.65</v>
      </c>
      <c r="C1053" s="116">
        <v>50.7</v>
      </c>
      <c r="D1053" s="116">
        <v>50.56</v>
      </c>
      <c r="E1053" s="116">
        <v>51.484999999999999</v>
      </c>
      <c r="F1053" s="116">
        <v>507</v>
      </c>
      <c r="G1053">
        <v>253344</v>
      </c>
      <c r="H1053" s="116"/>
      <c r="I1053" s="116"/>
      <c r="L1053" s="170">
        <v>43552</v>
      </c>
      <c r="M1053" s="116">
        <v>50.63</v>
      </c>
      <c r="N1053" s="116">
        <v>51.645000000000003</v>
      </c>
      <c r="O1053" s="116">
        <v>50.48</v>
      </c>
      <c r="P1053" s="116">
        <v>51.44</v>
      </c>
      <c r="Q1053" s="116">
        <v>506.3</v>
      </c>
      <c r="R1053">
        <v>8965093</v>
      </c>
    </row>
    <row r="1054" spans="1:18" x14ac:dyDescent="0.25">
      <c r="A1054" s="170">
        <v>43553</v>
      </c>
      <c r="B1054" s="116">
        <v>52.494999999999997</v>
      </c>
      <c r="C1054" s="116">
        <v>52.085000000000001</v>
      </c>
      <c r="D1054" s="116">
        <v>50.9</v>
      </c>
      <c r="E1054" s="116">
        <v>51.1</v>
      </c>
      <c r="F1054" s="116">
        <v>520.85</v>
      </c>
      <c r="G1054">
        <v>492125</v>
      </c>
      <c r="H1054" s="116"/>
      <c r="I1054" s="116"/>
      <c r="L1054" s="170">
        <v>43553</v>
      </c>
      <c r="M1054" s="116">
        <v>52.1</v>
      </c>
      <c r="N1054" s="116">
        <v>52.5</v>
      </c>
      <c r="O1054" s="116">
        <v>50.805</v>
      </c>
      <c r="P1054" s="116">
        <v>51</v>
      </c>
      <c r="Q1054" s="116">
        <v>521</v>
      </c>
      <c r="R1054">
        <v>11965611</v>
      </c>
    </row>
    <row r="1055" spans="1:18" x14ac:dyDescent="0.25">
      <c r="A1055" s="170">
        <v>43556</v>
      </c>
      <c r="B1055" s="116">
        <v>54.395000000000003</v>
      </c>
      <c r="C1055" s="116">
        <v>53.47</v>
      </c>
      <c r="D1055" s="116">
        <v>52.7</v>
      </c>
      <c r="E1055" s="116">
        <v>52.7</v>
      </c>
      <c r="F1055" s="116">
        <v>534.70000000000005</v>
      </c>
      <c r="G1055">
        <v>891718</v>
      </c>
      <c r="H1055" s="116"/>
      <c r="I1055" s="116"/>
      <c r="L1055" s="170">
        <v>43556</v>
      </c>
      <c r="M1055" s="116">
        <v>53.515000000000001</v>
      </c>
      <c r="N1055" s="116">
        <v>54.4</v>
      </c>
      <c r="O1055" s="116">
        <v>52.81</v>
      </c>
      <c r="P1055" s="116">
        <v>53</v>
      </c>
      <c r="Q1055" s="116">
        <v>535.15</v>
      </c>
      <c r="R1055">
        <v>13523554</v>
      </c>
    </row>
    <row r="1056" spans="1:18" x14ac:dyDescent="0.25">
      <c r="A1056" s="170">
        <v>43557</v>
      </c>
      <c r="B1056" s="116">
        <v>53.93</v>
      </c>
      <c r="C1056" s="116">
        <v>53.11</v>
      </c>
      <c r="D1056" s="116">
        <v>52.63</v>
      </c>
      <c r="E1056" s="116">
        <v>53.93</v>
      </c>
      <c r="F1056" s="116">
        <v>531.1</v>
      </c>
      <c r="G1056">
        <v>249778</v>
      </c>
      <c r="H1056" s="116"/>
      <c r="I1056" s="116"/>
      <c r="L1056" s="170">
        <v>43557</v>
      </c>
      <c r="M1056" s="116">
        <v>53.064999999999998</v>
      </c>
      <c r="N1056" s="116">
        <v>53.8</v>
      </c>
      <c r="O1056" s="116">
        <v>52.604999999999997</v>
      </c>
      <c r="P1056" s="116">
        <v>53.8</v>
      </c>
      <c r="Q1056" s="116">
        <v>530.65</v>
      </c>
      <c r="R1056">
        <v>5086818</v>
      </c>
    </row>
    <row r="1057" spans="1:18" x14ac:dyDescent="0.25">
      <c r="A1057" s="170">
        <v>43558</v>
      </c>
      <c r="B1057" s="116">
        <v>54.67</v>
      </c>
      <c r="C1057" s="116">
        <v>53.54</v>
      </c>
      <c r="D1057" s="116">
        <v>53.325000000000003</v>
      </c>
      <c r="E1057" s="116">
        <v>53.524999999999999</v>
      </c>
      <c r="F1057" s="116">
        <v>535.4</v>
      </c>
      <c r="G1057">
        <v>689723</v>
      </c>
      <c r="H1057" s="116"/>
      <c r="I1057" s="116"/>
      <c r="L1057" s="170">
        <v>43558</v>
      </c>
      <c r="M1057" s="116">
        <v>53.545000000000002</v>
      </c>
      <c r="N1057" s="116">
        <v>54.76</v>
      </c>
      <c r="O1057" s="116">
        <v>53.344999999999999</v>
      </c>
      <c r="P1057" s="116">
        <v>53.69</v>
      </c>
      <c r="Q1057" s="116">
        <v>535.45000000000005</v>
      </c>
      <c r="R1057">
        <v>11489680</v>
      </c>
    </row>
    <row r="1058" spans="1:18" x14ac:dyDescent="0.25">
      <c r="A1058" s="170">
        <v>43559</v>
      </c>
      <c r="B1058" s="116">
        <v>53.7</v>
      </c>
      <c r="C1058" s="116">
        <v>53.055</v>
      </c>
      <c r="D1058" s="116">
        <v>52.71</v>
      </c>
      <c r="E1058" s="116">
        <v>53.7</v>
      </c>
      <c r="F1058" s="116">
        <v>530.54999999999995</v>
      </c>
      <c r="G1058">
        <v>321442</v>
      </c>
      <c r="H1058" s="116"/>
      <c r="I1058" s="116"/>
      <c r="L1058" s="170">
        <v>43559</v>
      </c>
      <c r="M1058" s="116">
        <v>53.064999999999998</v>
      </c>
      <c r="N1058" s="116">
        <v>53.74</v>
      </c>
      <c r="O1058" s="116">
        <v>52.65</v>
      </c>
      <c r="P1058" s="116">
        <v>53.274999999999999</v>
      </c>
      <c r="Q1058" s="116">
        <v>530.65</v>
      </c>
      <c r="R1058">
        <v>5259917</v>
      </c>
    </row>
    <row r="1059" spans="1:18" x14ac:dyDescent="0.25">
      <c r="A1059" s="170">
        <v>43560</v>
      </c>
      <c r="B1059" s="116">
        <v>55</v>
      </c>
      <c r="C1059" s="116">
        <v>54.835000000000001</v>
      </c>
      <c r="D1059" s="116">
        <v>53.2</v>
      </c>
      <c r="E1059" s="116">
        <v>53.2</v>
      </c>
      <c r="F1059" s="116">
        <v>548.35</v>
      </c>
      <c r="G1059">
        <v>584260</v>
      </c>
      <c r="H1059" s="116"/>
      <c r="I1059" s="116"/>
      <c r="L1059" s="170">
        <v>43560</v>
      </c>
      <c r="M1059" s="116">
        <v>54.93</v>
      </c>
      <c r="N1059" s="116">
        <v>55.1</v>
      </c>
      <c r="O1059" s="116">
        <v>53.12</v>
      </c>
      <c r="P1059" s="116">
        <v>53.12</v>
      </c>
      <c r="Q1059" s="116">
        <v>549.29999999999995</v>
      </c>
      <c r="R1059">
        <v>10037713</v>
      </c>
    </row>
    <row r="1060" spans="1:18" x14ac:dyDescent="0.25">
      <c r="A1060" s="170">
        <v>43563</v>
      </c>
      <c r="B1060" s="116">
        <v>55.744999999999997</v>
      </c>
      <c r="C1060" s="116">
        <v>54.905000000000001</v>
      </c>
      <c r="D1060" s="116">
        <v>54.66</v>
      </c>
      <c r="E1060" s="116">
        <v>55.274999999999999</v>
      </c>
      <c r="F1060" s="116">
        <v>549.04999999999995</v>
      </c>
      <c r="G1060">
        <v>498688</v>
      </c>
      <c r="H1060" s="116"/>
      <c r="I1060" s="116"/>
      <c r="L1060" s="170">
        <v>43563</v>
      </c>
      <c r="M1060" s="116">
        <v>54.905000000000001</v>
      </c>
      <c r="N1060" s="116">
        <v>55.7</v>
      </c>
      <c r="O1060" s="116">
        <v>54.58</v>
      </c>
      <c r="P1060" s="116">
        <v>55.32</v>
      </c>
      <c r="Q1060" s="116">
        <v>549.04999999999995</v>
      </c>
      <c r="R1060">
        <v>10600901</v>
      </c>
    </row>
    <row r="1061" spans="1:18" x14ac:dyDescent="0.25">
      <c r="A1061" s="170">
        <v>43564</v>
      </c>
      <c r="B1061" s="116">
        <v>55.39</v>
      </c>
      <c r="C1061" s="116">
        <v>55.18</v>
      </c>
      <c r="D1061" s="116">
        <v>54.05</v>
      </c>
      <c r="E1061" s="116">
        <v>55.005000000000003</v>
      </c>
      <c r="F1061" s="116">
        <v>551.79999999999995</v>
      </c>
      <c r="G1061">
        <v>316205</v>
      </c>
      <c r="H1061" s="116"/>
      <c r="I1061" s="116"/>
      <c r="L1061" s="170">
        <v>43564</v>
      </c>
      <c r="M1061" s="116">
        <v>55.305</v>
      </c>
      <c r="N1061" s="116">
        <v>55.5</v>
      </c>
      <c r="O1061" s="116">
        <v>54.024999999999999</v>
      </c>
      <c r="P1061" s="116">
        <v>55.1</v>
      </c>
      <c r="Q1061" s="116">
        <v>553.04999999999995</v>
      </c>
      <c r="R1061">
        <v>6618936</v>
      </c>
    </row>
    <row r="1062" spans="1:18" x14ac:dyDescent="0.25">
      <c r="A1062" s="170">
        <v>43565</v>
      </c>
      <c r="B1062" s="116">
        <v>55.875</v>
      </c>
      <c r="C1062" s="116">
        <v>54.42</v>
      </c>
      <c r="D1062" s="116">
        <v>54.18</v>
      </c>
      <c r="E1062" s="116">
        <v>55.3</v>
      </c>
      <c r="F1062" s="116">
        <v>544.20000000000005</v>
      </c>
      <c r="G1062">
        <v>442829</v>
      </c>
      <c r="H1062" s="116"/>
      <c r="I1062" s="116"/>
      <c r="L1062" s="170">
        <v>43565</v>
      </c>
      <c r="M1062" s="116">
        <v>54.44</v>
      </c>
      <c r="N1062" s="116">
        <v>55.94</v>
      </c>
      <c r="O1062" s="116">
        <v>54.17</v>
      </c>
      <c r="P1062" s="116">
        <v>55.164999999999999</v>
      </c>
      <c r="Q1062" s="116">
        <v>544.4</v>
      </c>
      <c r="R1062">
        <v>7889153</v>
      </c>
    </row>
    <row r="1063" spans="1:18" x14ac:dyDescent="0.25">
      <c r="A1063" s="170">
        <v>43566</v>
      </c>
      <c r="B1063" s="116">
        <v>54.64</v>
      </c>
      <c r="C1063" s="116">
        <v>53.715000000000003</v>
      </c>
      <c r="D1063" s="116">
        <v>53.48</v>
      </c>
      <c r="E1063" s="116">
        <v>54.16</v>
      </c>
      <c r="F1063" s="116">
        <v>537.15</v>
      </c>
      <c r="G1063">
        <v>356694</v>
      </c>
      <c r="H1063" s="116"/>
      <c r="I1063" s="116"/>
      <c r="L1063" s="170">
        <v>43566</v>
      </c>
      <c r="M1063" s="116">
        <v>53.57</v>
      </c>
      <c r="N1063" s="116">
        <v>54.64</v>
      </c>
      <c r="O1063" s="116">
        <v>53.35</v>
      </c>
      <c r="P1063" s="116">
        <v>54.1</v>
      </c>
      <c r="Q1063" s="116">
        <v>535.70000000000005</v>
      </c>
      <c r="R1063">
        <v>6082398</v>
      </c>
    </row>
    <row r="1064" spans="1:18" x14ac:dyDescent="0.25">
      <c r="A1064" s="170">
        <v>43567</v>
      </c>
      <c r="B1064" s="116">
        <v>54.29</v>
      </c>
      <c r="C1064" s="116">
        <v>53.375</v>
      </c>
      <c r="D1064" s="116">
        <v>53.24</v>
      </c>
      <c r="E1064" s="116">
        <v>53.87</v>
      </c>
      <c r="F1064" s="116">
        <v>533.75</v>
      </c>
      <c r="G1064">
        <v>286684</v>
      </c>
      <c r="H1064" s="116"/>
      <c r="I1064" s="116"/>
      <c r="L1064" s="170">
        <v>43567</v>
      </c>
      <c r="M1064" s="116">
        <v>53.365000000000002</v>
      </c>
      <c r="N1064" s="116">
        <v>54.27</v>
      </c>
      <c r="O1064" s="116">
        <v>53.22</v>
      </c>
      <c r="P1064" s="116">
        <v>53.7</v>
      </c>
      <c r="Q1064" s="116">
        <v>533.65</v>
      </c>
      <c r="R1064">
        <v>6274016</v>
      </c>
    </row>
    <row r="1065" spans="1:18" x14ac:dyDescent="0.25">
      <c r="A1065" s="170">
        <v>43570</v>
      </c>
      <c r="B1065" s="116">
        <v>55.445</v>
      </c>
      <c r="C1065" s="116">
        <v>55.2</v>
      </c>
      <c r="D1065" s="116">
        <v>53.604999999999997</v>
      </c>
      <c r="E1065" s="116">
        <v>53.604999999999997</v>
      </c>
      <c r="F1065" s="116">
        <v>552</v>
      </c>
      <c r="G1065">
        <v>660491</v>
      </c>
      <c r="H1065" s="116"/>
      <c r="I1065" s="116"/>
      <c r="L1065" s="170">
        <v>43570</v>
      </c>
      <c r="M1065" s="116">
        <v>55.314999999999998</v>
      </c>
      <c r="N1065" s="116">
        <v>55.5</v>
      </c>
      <c r="O1065" s="116">
        <v>53.604999999999997</v>
      </c>
      <c r="P1065" s="116">
        <v>53.69</v>
      </c>
      <c r="Q1065" s="116">
        <v>553.15</v>
      </c>
      <c r="R1065">
        <v>10390317</v>
      </c>
    </row>
    <row r="1066" spans="1:18" x14ac:dyDescent="0.25">
      <c r="A1066" s="170">
        <v>43571</v>
      </c>
      <c r="B1066" s="116">
        <v>55.674999999999997</v>
      </c>
      <c r="C1066" s="116">
        <v>55.265000000000001</v>
      </c>
      <c r="D1066" s="116">
        <v>54.94</v>
      </c>
      <c r="E1066" s="116">
        <v>55.244999999999997</v>
      </c>
      <c r="F1066" s="116">
        <v>552.65</v>
      </c>
      <c r="G1066">
        <v>365592</v>
      </c>
      <c r="H1066" s="116"/>
      <c r="I1066" s="116"/>
      <c r="L1066" s="170">
        <v>43571</v>
      </c>
      <c r="M1066" s="116">
        <v>55.325000000000003</v>
      </c>
      <c r="N1066" s="116">
        <v>55.69</v>
      </c>
      <c r="O1066" s="116">
        <v>54.914999999999999</v>
      </c>
      <c r="P1066" s="116">
        <v>55.354999999999997</v>
      </c>
      <c r="Q1066" s="116">
        <v>553.25</v>
      </c>
      <c r="R1066">
        <v>6323654</v>
      </c>
    </row>
    <row r="1067" spans="1:18" x14ac:dyDescent="0.25">
      <c r="A1067" s="170">
        <v>43573</v>
      </c>
      <c r="B1067" s="116">
        <v>55.5</v>
      </c>
      <c r="C1067" s="116">
        <v>54.284999999999997</v>
      </c>
      <c r="D1067" s="116">
        <v>53.715000000000003</v>
      </c>
      <c r="E1067" s="116">
        <v>55.3</v>
      </c>
      <c r="F1067" s="116">
        <v>542.85</v>
      </c>
      <c r="G1067">
        <v>282811</v>
      </c>
      <c r="H1067" s="116"/>
      <c r="I1067" s="116"/>
      <c r="L1067" s="170">
        <v>43573</v>
      </c>
      <c r="M1067" s="116">
        <v>54.31</v>
      </c>
      <c r="N1067" s="116">
        <v>55.45</v>
      </c>
      <c r="O1067" s="116">
        <v>53.67</v>
      </c>
      <c r="P1067" s="116">
        <v>55.35</v>
      </c>
      <c r="Q1067" s="116">
        <v>543.1</v>
      </c>
      <c r="R1067">
        <v>6660522</v>
      </c>
    </row>
    <row r="1068" spans="1:18" x14ac:dyDescent="0.25">
      <c r="A1068" s="170">
        <v>43577</v>
      </c>
      <c r="B1068" s="116">
        <v>54.56</v>
      </c>
      <c r="C1068" s="116">
        <v>53.53</v>
      </c>
      <c r="D1068" s="116">
        <v>53.445</v>
      </c>
      <c r="E1068" s="116">
        <v>54.204999999999998</v>
      </c>
      <c r="F1068" s="116">
        <v>535.29999999999995</v>
      </c>
      <c r="G1068">
        <v>187730</v>
      </c>
      <c r="H1068" s="116"/>
      <c r="I1068" s="116"/>
      <c r="L1068" s="170">
        <v>43577</v>
      </c>
      <c r="M1068" s="116">
        <v>53.42</v>
      </c>
      <c r="N1068" s="116">
        <v>54.575000000000003</v>
      </c>
      <c r="O1068" s="116">
        <v>53.31</v>
      </c>
      <c r="P1068" s="116">
        <v>54</v>
      </c>
      <c r="Q1068" s="116">
        <v>534.20000000000005</v>
      </c>
      <c r="R1068">
        <v>3697686</v>
      </c>
    </row>
    <row r="1069" spans="1:18" x14ac:dyDescent="0.25">
      <c r="A1069" s="170">
        <v>43578</v>
      </c>
      <c r="B1069" s="116">
        <v>53.91</v>
      </c>
      <c r="C1069" s="116">
        <v>52.38</v>
      </c>
      <c r="D1069" s="116">
        <v>52.17</v>
      </c>
      <c r="E1069" s="116">
        <v>53.56</v>
      </c>
      <c r="F1069" s="116">
        <v>523.79999999999995</v>
      </c>
      <c r="G1069">
        <v>280131</v>
      </c>
      <c r="H1069" s="116"/>
      <c r="I1069" s="116"/>
      <c r="L1069" s="170">
        <v>43578</v>
      </c>
      <c r="M1069" s="116">
        <v>52.335000000000001</v>
      </c>
      <c r="N1069" s="116">
        <v>53.85</v>
      </c>
      <c r="O1069" s="116">
        <v>52.15</v>
      </c>
      <c r="P1069" s="116">
        <v>53.494999999999997</v>
      </c>
      <c r="Q1069" s="116">
        <v>523.35</v>
      </c>
      <c r="R1069">
        <v>5119376</v>
      </c>
    </row>
    <row r="1070" spans="1:18" x14ac:dyDescent="0.25">
      <c r="A1070" s="170">
        <v>43579</v>
      </c>
      <c r="B1070" s="116">
        <v>52.784999999999997</v>
      </c>
      <c r="C1070" s="116">
        <v>52.53</v>
      </c>
      <c r="D1070" s="116">
        <v>51.32</v>
      </c>
      <c r="E1070" s="116">
        <v>52.784999999999997</v>
      </c>
      <c r="F1070" s="116">
        <v>525.29999999999995</v>
      </c>
      <c r="G1070">
        <v>450661</v>
      </c>
      <c r="H1070" s="116"/>
      <c r="I1070" s="116"/>
      <c r="L1070" s="170">
        <v>43579</v>
      </c>
      <c r="M1070" s="116">
        <v>52.524999999999999</v>
      </c>
      <c r="N1070" s="116">
        <v>52.784999999999997</v>
      </c>
      <c r="O1070" s="116">
        <v>51.27</v>
      </c>
      <c r="P1070" s="116">
        <v>52.69</v>
      </c>
      <c r="Q1070" s="116">
        <v>525.25</v>
      </c>
      <c r="R1070">
        <v>8376835</v>
      </c>
    </row>
    <row r="1071" spans="1:18" x14ac:dyDescent="0.25">
      <c r="A1071" s="170">
        <v>43580</v>
      </c>
      <c r="B1071" s="116">
        <v>52.935000000000002</v>
      </c>
      <c r="C1071" s="116">
        <v>51.09</v>
      </c>
      <c r="D1071" s="116">
        <v>50.9</v>
      </c>
      <c r="E1071" s="116">
        <v>52.33</v>
      </c>
      <c r="F1071" s="116">
        <v>510.9</v>
      </c>
      <c r="G1071">
        <v>479496</v>
      </c>
      <c r="H1071" s="116"/>
      <c r="I1071" s="116"/>
      <c r="L1071" s="170">
        <v>43580</v>
      </c>
      <c r="M1071" s="116">
        <v>51.075000000000003</v>
      </c>
      <c r="N1071" s="116">
        <v>52.93</v>
      </c>
      <c r="O1071" s="116">
        <v>50.9</v>
      </c>
      <c r="P1071" s="116">
        <v>52.2</v>
      </c>
      <c r="Q1071" s="116">
        <v>510.75</v>
      </c>
      <c r="R1071">
        <v>8359418</v>
      </c>
    </row>
    <row r="1072" spans="1:18" x14ac:dyDescent="0.25">
      <c r="A1072" s="170">
        <v>43581</v>
      </c>
      <c r="B1072" s="116">
        <v>54.8</v>
      </c>
      <c r="C1072" s="116">
        <v>54.5</v>
      </c>
      <c r="D1072" s="116">
        <v>51.6</v>
      </c>
      <c r="E1072" s="116">
        <v>52</v>
      </c>
      <c r="F1072" s="116">
        <v>545</v>
      </c>
      <c r="G1072">
        <v>1974391</v>
      </c>
      <c r="H1072" s="116"/>
      <c r="I1072" s="116"/>
      <c r="L1072" s="170">
        <v>43581</v>
      </c>
      <c r="M1072" s="116">
        <v>54.524999999999999</v>
      </c>
      <c r="N1072" s="116">
        <v>54.774999999999999</v>
      </c>
      <c r="O1072" s="116">
        <v>51.555</v>
      </c>
      <c r="P1072" s="116">
        <v>52.085000000000001</v>
      </c>
      <c r="Q1072" s="116">
        <v>545.25</v>
      </c>
      <c r="R1072">
        <v>38181011</v>
      </c>
    </row>
    <row r="1073" spans="1:18" x14ac:dyDescent="0.25">
      <c r="A1073" s="170">
        <v>43585</v>
      </c>
      <c r="B1073" s="116">
        <v>55.9</v>
      </c>
      <c r="C1073" s="116">
        <v>55.645000000000003</v>
      </c>
      <c r="D1073" s="116">
        <v>53.585000000000001</v>
      </c>
      <c r="E1073" s="116">
        <v>54.58</v>
      </c>
      <c r="F1073" s="116">
        <v>556.45000000000005</v>
      </c>
      <c r="G1073">
        <v>914647</v>
      </c>
      <c r="H1073" s="116"/>
      <c r="I1073" s="116"/>
      <c r="L1073" s="170">
        <v>43585</v>
      </c>
      <c r="M1073" s="116">
        <v>55.72</v>
      </c>
      <c r="N1073" s="116">
        <v>56.08</v>
      </c>
      <c r="O1073" s="116">
        <v>53.57</v>
      </c>
      <c r="P1073" s="116">
        <v>54.305</v>
      </c>
      <c r="Q1073" s="116">
        <v>557.20000000000005</v>
      </c>
      <c r="R1073">
        <v>14258161</v>
      </c>
    </row>
    <row r="1074" spans="1:18" x14ac:dyDescent="0.25">
      <c r="A1074" s="170">
        <v>43587</v>
      </c>
      <c r="B1074" s="116">
        <v>56.034999999999997</v>
      </c>
      <c r="C1074" s="116">
        <v>55.484999999999999</v>
      </c>
      <c r="D1074" s="116">
        <v>54.93</v>
      </c>
      <c r="E1074" s="116">
        <v>55.6</v>
      </c>
      <c r="F1074" s="116">
        <v>554.85</v>
      </c>
      <c r="G1074">
        <v>560900</v>
      </c>
      <c r="H1074" s="116"/>
      <c r="I1074" s="116"/>
      <c r="L1074" s="170">
        <v>43587</v>
      </c>
      <c r="M1074" s="116">
        <v>55.494999999999997</v>
      </c>
      <c r="N1074" s="116">
        <v>56.164999999999999</v>
      </c>
      <c r="O1074" s="116">
        <v>54.945</v>
      </c>
      <c r="P1074" s="116">
        <v>55.41</v>
      </c>
      <c r="Q1074" s="116">
        <v>554.95000000000005</v>
      </c>
      <c r="R1074">
        <v>9010030</v>
      </c>
    </row>
    <row r="1075" spans="1:18" x14ac:dyDescent="0.25">
      <c r="A1075" s="170">
        <v>43588</v>
      </c>
      <c r="B1075" s="116">
        <v>55.53</v>
      </c>
      <c r="C1075" s="116">
        <v>54.76</v>
      </c>
      <c r="D1075" s="116">
        <v>54.585000000000001</v>
      </c>
      <c r="E1075" s="116">
        <v>55.25</v>
      </c>
      <c r="F1075" s="116">
        <v>547.6</v>
      </c>
      <c r="G1075">
        <v>287658</v>
      </c>
      <c r="H1075" s="116"/>
      <c r="I1075" s="116"/>
      <c r="L1075" s="170">
        <v>43588</v>
      </c>
      <c r="M1075" s="116">
        <v>54.78</v>
      </c>
      <c r="N1075" s="116">
        <v>55.6</v>
      </c>
      <c r="O1075" s="116">
        <v>54.66</v>
      </c>
      <c r="P1075" s="116">
        <v>55.4</v>
      </c>
      <c r="Q1075" s="116">
        <v>547.79999999999995</v>
      </c>
      <c r="R1075">
        <v>5879636</v>
      </c>
    </row>
    <row r="1076" spans="1:18" x14ac:dyDescent="0.25">
      <c r="A1076" s="170">
        <v>43591</v>
      </c>
      <c r="B1076" s="116">
        <v>54.28</v>
      </c>
      <c r="C1076" s="116">
        <v>53.555</v>
      </c>
      <c r="D1076" s="116">
        <v>52.774999999999999</v>
      </c>
      <c r="E1076" s="116">
        <v>53.295000000000002</v>
      </c>
      <c r="F1076" s="116">
        <v>535.54999999999995</v>
      </c>
      <c r="G1076">
        <v>491250</v>
      </c>
      <c r="H1076" s="116"/>
      <c r="I1076" s="116"/>
      <c r="L1076" s="170">
        <v>43591</v>
      </c>
      <c r="M1076" s="116">
        <v>53.594999999999999</v>
      </c>
      <c r="N1076" s="116">
        <v>54.35</v>
      </c>
      <c r="O1076" s="116">
        <v>52.744999999999997</v>
      </c>
      <c r="P1076" s="116">
        <v>53.424999999999997</v>
      </c>
      <c r="Q1076" s="116">
        <v>535.95000000000005</v>
      </c>
      <c r="R1076">
        <v>9964839</v>
      </c>
    </row>
    <row r="1077" spans="1:18" x14ac:dyDescent="0.25">
      <c r="A1077" s="170">
        <v>43592</v>
      </c>
      <c r="B1077" s="116">
        <v>54.395000000000003</v>
      </c>
      <c r="C1077" s="116">
        <v>53.064999999999998</v>
      </c>
      <c r="D1077" s="116">
        <v>52.93</v>
      </c>
      <c r="E1077" s="116">
        <v>54</v>
      </c>
      <c r="F1077" s="116">
        <v>530.65</v>
      </c>
      <c r="G1077">
        <v>264387</v>
      </c>
      <c r="H1077" s="116"/>
      <c r="I1077" s="116"/>
      <c r="L1077" s="170">
        <v>43592</v>
      </c>
      <c r="M1077" s="116">
        <v>53.06</v>
      </c>
      <c r="N1077" s="116">
        <v>54.494999999999997</v>
      </c>
      <c r="O1077" s="116">
        <v>52.9</v>
      </c>
      <c r="P1077" s="116">
        <v>54.494999999999997</v>
      </c>
      <c r="Q1077" s="116">
        <v>530.6</v>
      </c>
      <c r="R1077">
        <v>6541498</v>
      </c>
    </row>
    <row r="1078" spans="1:18" x14ac:dyDescent="0.25">
      <c r="A1078" s="170">
        <v>43593</v>
      </c>
      <c r="B1078" s="116">
        <v>53.265000000000001</v>
      </c>
      <c r="C1078" s="116">
        <v>52.35</v>
      </c>
      <c r="D1078" s="116">
        <v>52.11</v>
      </c>
      <c r="E1078" s="116">
        <v>53.2</v>
      </c>
      <c r="F1078" s="116">
        <v>523.5</v>
      </c>
      <c r="G1078">
        <v>288376</v>
      </c>
      <c r="H1078" s="116"/>
      <c r="I1078" s="116"/>
      <c r="L1078" s="170">
        <v>43593</v>
      </c>
      <c r="M1078" s="116">
        <v>52.265000000000001</v>
      </c>
      <c r="N1078" s="116">
        <v>53.24</v>
      </c>
      <c r="O1078" s="116">
        <v>52.16</v>
      </c>
      <c r="P1078" s="116">
        <v>53.125</v>
      </c>
      <c r="Q1078" s="116">
        <v>522.65</v>
      </c>
      <c r="R1078">
        <v>6478432</v>
      </c>
    </row>
    <row r="1079" spans="1:18" x14ac:dyDescent="0.25">
      <c r="A1079" s="170">
        <v>43594</v>
      </c>
      <c r="B1079" s="116">
        <v>52.68</v>
      </c>
      <c r="C1079" s="116">
        <v>51.895000000000003</v>
      </c>
      <c r="D1079" s="116">
        <v>51.634999999999998</v>
      </c>
      <c r="E1079" s="116">
        <v>52.15</v>
      </c>
      <c r="F1079" s="116">
        <v>518.95000000000005</v>
      </c>
      <c r="G1079">
        <v>268591</v>
      </c>
      <c r="H1079" s="116"/>
      <c r="I1079" s="116"/>
      <c r="L1079" s="170">
        <v>43594</v>
      </c>
      <c r="M1079" s="116">
        <v>51.914999999999999</v>
      </c>
      <c r="N1079" s="116">
        <v>52.64</v>
      </c>
      <c r="O1079" s="116">
        <v>51.634999999999998</v>
      </c>
      <c r="P1079" s="116">
        <v>52.255000000000003</v>
      </c>
      <c r="Q1079" s="116">
        <v>519.15</v>
      </c>
      <c r="R1079">
        <v>5105597</v>
      </c>
    </row>
    <row r="1080" spans="1:18" x14ac:dyDescent="0.25">
      <c r="A1080" s="170">
        <v>43595</v>
      </c>
      <c r="B1080" s="116">
        <v>52.6</v>
      </c>
      <c r="C1080" s="116">
        <v>48.73</v>
      </c>
      <c r="D1080" s="116">
        <v>47.975000000000001</v>
      </c>
      <c r="E1080" s="116">
        <v>52.244999999999997</v>
      </c>
      <c r="F1080" s="116">
        <v>487.3</v>
      </c>
      <c r="G1080">
        <v>2639835</v>
      </c>
      <c r="H1080" s="116"/>
      <c r="I1080" s="116"/>
      <c r="L1080" s="170">
        <v>43595</v>
      </c>
      <c r="M1080" s="116">
        <v>48.68</v>
      </c>
      <c r="N1080" s="116">
        <v>52.575000000000003</v>
      </c>
      <c r="O1080" s="116">
        <v>47.905000000000001</v>
      </c>
      <c r="P1080" s="116">
        <v>52.2</v>
      </c>
      <c r="Q1080" s="116">
        <v>486.8</v>
      </c>
      <c r="R1080">
        <v>37240921</v>
      </c>
    </row>
    <row r="1081" spans="1:18" x14ac:dyDescent="0.25">
      <c r="A1081" s="170">
        <v>43598</v>
      </c>
      <c r="B1081" s="116">
        <v>48.655000000000001</v>
      </c>
      <c r="C1081" s="116">
        <v>47.16</v>
      </c>
      <c r="D1081" s="116">
        <v>46.31</v>
      </c>
      <c r="E1081" s="116">
        <v>48.195</v>
      </c>
      <c r="F1081" s="116">
        <v>471.6</v>
      </c>
      <c r="G1081">
        <v>1122315</v>
      </c>
      <c r="H1081" s="116"/>
      <c r="I1081" s="116"/>
      <c r="L1081" s="170">
        <v>43598</v>
      </c>
      <c r="M1081" s="116">
        <v>47.23</v>
      </c>
      <c r="N1081" s="116">
        <v>48.8</v>
      </c>
      <c r="O1081" s="116">
        <v>46.34</v>
      </c>
      <c r="P1081" s="116">
        <v>48.01</v>
      </c>
      <c r="Q1081" s="116">
        <v>472.3</v>
      </c>
      <c r="R1081">
        <v>15956920</v>
      </c>
    </row>
    <row r="1082" spans="1:18" x14ac:dyDescent="0.25">
      <c r="A1082" s="170">
        <v>43599</v>
      </c>
      <c r="B1082" s="116">
        <v>47.84</v>
      </c>
      <c r="C1082" s="116">
        <v>46.975000000000001</v>
      </c>
      <c r="D1082" s="116">
        <v>45.66</v>
      </c>
      <c r="E1082" s="116">
        <v>46.77</v>
      </c>
      <c r="F1082" s="116">
        <v>469.75</v>
      </c>
      <c r="G1082">
        <v>1054606</v>
      </c>
      <c r="H1082" s="116"/>
      <c r="I1082" s="116"/>
      <c r="L1082" s="170">
        <v>43599</v>
      </c>
      <c r="M1082" s="116">
        <v>46.954999999999998</v>
      </c>
      <c r="N1082" s="116">
        <v>47.76</v>
      </c>
      <c r="O1082" s="116">
        <v>45.63</v>
      </c>
      <c r="P1082" s="116">
        <v>46.695</v>
      </c>
      <c r="Q1082" s="116">
        <v>469.55</v>
      </c>
      <c r="R1082">
        <v>21128606</v>
      </c>
    </row>
    <row r="1083" spans="1:18" x14ac:dyDescent="0.25">
      <c r="A1083" s="170">
        <v>43600</v>
      </c>
      <c r="B1083" s="116">
        <v>48.07</v>
      </c>
      <c r="C1083" s="116">
        <v>46.32</v>
      </c>
      <c r="D1083" s="116">
        <v>46.1</v>
      </c>
      <c r="E1083" s="116">
        <v>47.37</v>
      </c>
      <c r="F1083" s="116">
        <v>463.2</v>
      </c>
      <c r="G1083">
        <v>621864</v>
      </c>
      <c r="H1083" s="116"/>
      <c r="I1083" s="116"/>
      <c r="L1083" s="170">
        <v>43600</v>
      </c>
      <c r="M1083" s="116">
        <v>46.295000000000002</v>
      </c>
      <c r="N1083" s="116">
        <v>48.094999999999999</v>
      </c>
      <c r="O1083" s="116">
        <v>46.064999999999998</v>
      </c>
      <c r="P1083" s="116">
        <v>47.305</v>
      </c>
      <c r="Q1083" s="116">
        <v>462.95</v>
      </c>
      <c r="R1083">
        <v>12665057</v>
      </c>
    </row>
    <row r="1084" spans="1:18" x14ac:dyDescent="0.25">
      <c r="A1084" s="170">
        <v>43601</v>
      </c>
      <c r="B1084" s="116">
        <v>47.15</v>
      </c>
      <c r="C1084" s="116">
        <v>46.924999999999997</v>
      </c>
      <c r="D1084" s="116">
        <v>45.55</v>
      </c>
      <c r="E1084" s="116">
        <v>46.484999999999999</v>
      </c>
      <c r="F1084" s="116">
        <v>469.25</v>
      </c>
      <c r="G1084">
        <v>738774</v>
      </c>
      <c r="H1084" s="116"/>
      <c r="I1084" s="116"/>
      <c r="L1084" s="170">
        <v>43601</v>
      </c>
      <c r="M1084" s="116">
        <v>46.924999999999997</v>
      </c>
      <c r="N1084" s="116">
        <v>47.13</v>
      </c>
      <c r="O1084" s="116">
        <v>45.515000000000001</v>
      </c>
      <c r="P1084" s="116">
        <v>46.395000000000003</v>
      </c>
      <c r="Q1084" s="116">
        <v>469.25</v>
      </c>
      <c r="R1084">
        <v>11254731</v>
      </c>
    </row>
    <row r="1085" spans="1:18" x14ac:dyDescent="0.25">
      <c r="A1085" s="170">
        <v>43602</v>
      </c>
      <c r="B1085" s="116">
        <v>47.145000000000003</v>
      </c>
      <c r="C1085" s="116">
        <v>46.954999999999998</v>
      </c>
      <c r="D1085" s="116">
        <v>46.1</v>
      </c>
      <c r="E1085" s="116">
        <v>46.59</v>
      </c>
      <c r="F1085" s="116">
        <v>469.55</v>
      </c>
      <c r="G1085">
        <v>344685</v>
      </c>
      <c r="H1085" s="116"/>
      <c r="I1085" s="116"/>
      <c r="L1085" s="170">
        <v>43602</v>
      </c>
      <c r="M1085" s="116">
        <v>46.945</v>
      </c>
      <c r="N1085" s="116">
        <v>47.15</v>
      </c>
      <c r="O1085" s="116">
        <v>46.1</v>
      </c>
      <c r="P1085" s="116">
        <v>46.505000000000003</v>
      </c>
      <c r="Q1085" s="116">
        <v>469.45</v>
      </c>
      <c r="R1085">
        <v>7088486</v>
      </c>
    </row>
    <row r="1086" spans="1:18" x14ac:dyDescent="0.25">
      <c r="A1086" s="170">
        <v>43605</v>
      </c>
      <c r="B1086" s="116">
        <v>49.42</v>
      </c>
      <c r="C1086" s="116">
        <v>48.314999999999998</v>
      </c>
      <c r="D1086" s="116">
        <v>47.7</v>
      </c>
      <c r="E1086" s="116">
        <v>47.945</v>
      </c>
      <c r="F1086" s="116">
        <v>483.15</v>
      </c>
      <c r="G1086">
        <v>567259</v>
      </c>
      <c r="H1086" s="116"/>
      <c r="I1086" s="116"/>
      <c r="L1086" s="170">
        <v>43605</v>
      </c>
      <c r="M1086" s="116">
        <v>48.38</v>
      </c>
      <c r="N1086" s="116">
        <v>49.475000000000001</v>
      </c>
      <c r="O1086" s="116">
        <v>47.664999999999999</v>
      </c>
      <c r="P1086" s="116">
        <v>47.8</v>
      </c>
      <c r="Q1086" s="116">
        <v>483.8</v>
      </c>
      <c r="R1086">
        <v>8457583</v>
      </c>
    </row>
    <row r="1087" spans="1:18" x14ac:dyDescent="0.25">
      <c r="A1087" s="170">
        <v>43606</v>
      </c>
      <c r="B1087" s="116">
        <v>48.5</v>
      </c>
      <c r="C1087" s="116">
        <v>47.35</v>
      </c>
      <c r="D1087" s="116">
        <v>46.98</v>
      </c>
      <c r="E1087" s="116">
        <v>48.48</v>
      </c>
      <c r="F1087" s="116">
        <v>473.5</v>
      </c>
      <c r="G1087">
        <v>401161</v>
      </c>
      <c r="H1087" s="116"/>
      <c r="I1087" s="116"/>
      <c r="L1087" s="170">
        <v>43606</v>
      </c>
      <c r="M1087" s="116">
        <v>47.255000000000003</v>
      </c>
      <c r="N1087" s="116">
        <v>48.49</v>
      </c>
      <c r="O1087" s="116">
        <v>46.875</v>
      </c>
      <c r="P1087" s="116">
        <v>48.484999999999999</v>
      </c>
      <c r="Q1087" s="116">
        <v>472.55</v>
      </c>
      <c r="R1087">
        <v>6337058</v>
      </c>
    </row>
    <row r="1088" spans="1:18" x14ac:dyDescent="0.25">
      <c r="A1088" s="170">
        <v>43607</v>
      </c>
      <c r="B1088" s="116">
        <v>48</v>
      </c>
      <c r="C1088" s="116">
        <v>47.37</v>
      </c>
      <c r="D1088" s="116">
        <v>46.73</v>
      </c>
      <c r="E1088" s="116">
        <v>47.284999999999997</v>
      </c>
      <c r="F1088" s="116">
        <v>473.7</v>
      </c>
      <c r="G1088">
        <v>375597</v>
      </c>
      <c r="H1088" s="116"/>
      <c r="I1088" s="116"/>
      <c r="L1088" s="170">
        <v>43607</v>
      </c>
      <c r="M1088" s="116">
        <v>47.3</v>
      </c>
      <c r="N1088" s="116">
        <v>48.055</v>
      </c>
      <c r="O1088" s="116">
        <v>46.74</v>
      </c>
      <c r="P1088" s="116">
        <v>47.2</v>
      </c>
      <c r="Q1088" s="116">
        <v>473</v>
      </c>
      <c r="R1088">
        <v>8364224</v>
      </c>
    </row>
    <row r="1089" spans="1:18" x14ac:dyDescent="0.25">
      <c r="A1089" s="170">
        <v>43608</v>
      </c>
      <c r="B1089" s="116">
        <v>48.65</v>
      </c>
      <c r="C1089" s="116">
        <v>46.59</v>
      </c>
      <c r="D1089" s="116">
        <v>46.3</v>
      </c>
      <c r="E1089" s="116">
        <v>47.89</v>
      </c>
      <c r="F1089" s="116">
        <v>465.9</v>
      </c>
      <c r="G1089">
        <v>575452</v>
      </c>
      <c r="H1089" s="116"/>
      <c r="I1089" s="116"/>
      <c r="L1089" s="170">
        <v>43608</v>
      </c>
      <c r="M1089" s="116">
        <v>46.47</v>
      </c>
      <c r="N1089" s="116">
        <v>48.65</v>
      </c>
      <c r="O1089" s="116">
        <v>46.204999999999998</v>
      </c>
      <c r="P1089" s="116">
        <v>47.76</v>
      </c>
      <c r="Q1089" s="116">
        <v>464.7</v>
      </c>
      <c r="R1089">
        <v>9340376</v>
      </c>
    </row>
    <row r="1090" spans="1:18" x14ac:dyDescent="0.25">
      <c r="A1090" s="170">
        <v>43609</v>
      </c>
      <c r="B1090" s="116">
        <v>48.6</v>
      </c>
      <c r="C1090" s="116">
        <v>48.35</v>
      </c>
      <c r="D1090" s="116">
        <v>45.87</v>
      </c>
      <c r="E1090" s="116">
        <v>46.59</v>
      </c>
      <c r="F1090" s="116">
        <v>483.5</v>
      </c>
      <c r="G1090">
        <v>645052</v>
      </c>
      <c r="H1090" s="116"/>
      <c r="I1090" s="116"/>
      <c r="L1090" s="170">
        <v>43609</v>
      </c>
      <c r="M1090" s="116">
        <v>48.414999999999999</v>
      </c>
      <c r="N1090" s="116">
        <v>48.63</v>
      </c>
      <c r="O1090" s="116">
        <v>45.84</v>
      </c>
      <c r="P1090" s="116">
        <v>46.5</v>
      </c>
      <c r="Q1090" s="116">
        <v>484.15</v>
      </c>
      <c r="R1090">
        <v>10882481</v>
      </c>
    </row>
    <row r="1091" spans="1:18" x14ac:dyDescent="0.25">
      <c r="A1091" s="170">
        <v>43612</v>
      </c>
      <c r="B1091" s="116">
        <v>51.32</v>
      </c>
      <c r="C1091" s="116">
        <v>51.145000000000003</v>
      </c>
      <c r="D1091" s="116">
        <v>48.305</v>
      </c>
      <c r="E1091" s="116">
        <v>48.32</v>
      </c>
      <c r="F1091" s="116">
        <v>511.45</v>
      </c>
      <c r="G1091">
        <v>972189</v>
      </c>
      <c r="H1091" s="116"/>
      <c r="I1091" s="116"/>
      <c r="L1091" s="170">
        <v>43612</v>
      </c>
      <c r="M1091" s="116">
        <v>51.255000000000003</v>
      </c>
      <c r="N1091" s="116">
        <v>51.43</v>
      </c>
      <c r="O1091" s="116">
        <v>48.354999999999997</v>
      </c>
      <c r="P1091" s="116">
        <v>48.45</v>
      </c>
      <c r="Q1091" s="116">
        <v>512.54999999999995</v>
      </c>
      <c r="R1091">
        <v>18207705</v>
      </c>
    </row>
    <row r="1092" spans="1:18" x14ac:dyDescent="0.25">
      <c r="A1092" s="170">
        <v>43613</v>
      </c>
      <c r="B1092" s="116">
        <v>51.81</v>
      </c>
      <c r="C1092" s="116">
        <v>50.73</v>
      </c>
      <c r="D1092" s="116">
        <v>50.555</v>
      </c>
      <c r="E1092" s="116">
        <v>51.3</v>
      </c>
      <c r="F1092" s="116">
        <v>507.3</v>
      </c>
      <c r="G1092">
        <v>601829</v>
      </c>
      <c r="H1092" s="116"/>
      <c r="I1092" s="116"/>
      <c r="L1092" s="170">
        <v>43613</v>
      </c>
      <c r="M1092" s="116">
        <v>50.704999999999998</v>
      </c>
      <c r="N1092" s="116">
        <v>51.86</v>
      </c>
      <c r="O1092" s="116">
        <v>50.52</v>
      </c>
      <c r="P1092" s="116">
        <v>51.41</v>
      </c>
      <c r="Q1092" s="116">
        <v>507.05</v>
      </c>
      <c r="R1092">
        <v>9960613</v>
      </c>
    </row>
    <row r="1093" spans="1:18" x14ac:dyDescent="0.25">
      <c r="A1093" s="170">
        <v>43614</v>
      </c>
      <c r="B1093" s="116">
        <v>51.174999999999997</v>
      </c>
      <c r="C1093" s="116">
        <v>49.33</v>
      </c>
      <c r="D1093" s="116">
        <v>49.134999999999998</v>
      </c>
      <c r="E1093" s="116">
        <v>50.62</v>
      </c>
      <c r="F1093" s="116">
        <v>493.3</v>
      </c>
      <c r="G1093">
        <v>536739</v>
      </c>
      <c r="H1093" s="116"/>
      <c r="I1093" s="116"/>
      <c r="L1093" s="170">
        <v>43614</v>
      </c>
      <c r="M1093" s="116">
        <v>49.33</v>
      </c>
      <c r="N1093" s="116">
        <v>51.174999999999997</v>
      </c>
      <c r="O1093" s="116">
        <v>49.185000000000002</v>
      </c>
      <c r="P1093" s="116">
        <v>50.57</v>
      </c>
      <c r="Q1093" s="116">
        <v>493.3</v>
      </c>
      <c r="R1093">
        <v>8523687</v>
      </c>
    </row>
    <row r="1094" spans="1:18" x14ac:dyDescent="0.25">
      <c r="A1094" s="170">
        <v>43615</v>
      </c>
      <c r="B1094" s="116">
        <v>49.604999999999997</v>
      </c>
      <c r="C1094" s="116">
        <v>48.91</v>
      </c>
      <c r="D1094" s="116">
        <v>48.664999999999999</v>
      </c>
      <c r="E1094" s="116">
        <v>49.4</v>
      </c>
      <c r="F1094" s="116">
        <v>489.1</v>
      </c>
      <c r="G1094">
        <v>349808</v>
      </c>
      <c r="H1094" s="116"/>
      <c r="I1094" s="116"/>
      <c r="L1094" s="170">
        <v>43615</v>
      </c>
      <c r="M1094" s="116">
        <v>48.795000000000002</v>
      </c>
      <c r="N1094" s="116">
        <v>49.645000000000003</v>
      </c>
      <c r="O1094" s="116">
        <v>48.6</v>
      </c>
      <c r="P1094" s="116">
        <v>49.3</v>
      </c>
      <c r="Q1094" s="116">
        <v>487.95</v>
      </c>
      <c r="R1094">
        <v>7204363</v>
      </c>
    </row>
    <row r="1095" spans="1:18" x14ac:dyDescent="0.25">
      <c r="A1095" s="170">
        <v>43616</v>
      </c>
      <c r="B1095" s="116">
        <v>49.49</v>
      </c>
      <c r="C1095" s="116">
        <v>48.79</v>
      </c>
      <c r="D1095" s="116">
        <v>48.14</v>
      </c>
      <c r="E1095" s="116">
        <v>49.29</v>
      </c>
      <c r="F1095" s="116">
        <v>487.9</v>
      </c>
      <c r="G1095">
        <v>591762</v>
      </c>
      <c r="H1095" s="116"/>
      <c r="I1095" s="116"/>
      <c r="L1095" s="170">
        <v>43616</v>
      </c>
      <c r="M1095" s="116">
        <v>48.83</v>
      </c>
      <c r="N1095" s="116">
        <v>49.475000000000001</v>
      </c>
      <c r="O1095" s="116">
        <v>48.104999999999997</v>
      </c>
      <c r="P1095" s="116">
        <v>49.08</v>
      </c>
      <c r="Q1095" s="116">
        <v>488.3</v>
      </c>
      <c r="R1095">
        <v>10276991</v>
      </c>
    </row>
    <row r="1096" spans="1:18" x14ac:dyDescent="0.25">
      <c r="A1096" s="170">
        <v>43619</v>
      </c>
      <c r="B1096" s="116">
        <v>50.12</v>
      </c>
      <c r="C1096" s="116">
        <v>49.65</v>
      </c>
      <c r="D1096" s="116">
        <v>48.534999999999997</v>
      </c>
      <c r="E1096" s="116">
        <v>48.7</v>
      </c>
      <c r="F1096" s="116">
        <v>496.5</v>
      </c>
      <c r="G1096">
        <v>449047</v>
      </c>
      <c r="H1096" s="116"/>
      <c r="I1096" s="116"/>
      <c r="L1096" s="170">
        <v>43619</v>
      </c>
      <c r="M1096" s="116">
        <v>49.765000000000001</v>
      </c>
      <c r="N1096" s="116">
        <v>50.185000000000002</v>
      </c>
      <c r="O1096" s="116">
        <v>48.51</v>
      </c>
      <c r="P1096" s="116">
        <v>48.895000000000003</v>
      </c>
      <c r="Q1096" s="116">
        <v>497.65</v>
      </c>
      <c r="R1096">
        <v>8505392</v>
      </c>
    </row>
    <row r="1097" spans="1:18" x14ac:dyDescent="0.25">
      <c r="A1097" s="170">
        <v>43620</v>
      </c>
      <c r="B1097" s="116">
        <v>50.274999999999999</v>
      </c>
      <c r="C1097" s="116">
        <v>49.715000000000003</v>
      </c>
      <c r="D1097" s="116">
        <v>49.265000000000001</v>
      </c>
      <c r="E1097" s="116">
        <v>49.884999999999998</v>
      </c>
      <c r="F1097" s="116">
        <v>497.15</v>
      </c>
      <c r="G1097">
        <v>296679</v>
      </c>
      <c r="H1097" s="116"/>
      <c r="I1097" s="116"/>
      <c r="L1097" s="170">
        <v>43620</v>
      </c>
      <c r="M1097" s="116">
        <v>49.765000000000001</v>
      </c>
      <c r="N1097" s="116">
        <v>50.274999999999999</v>
      </c>
      <c r="O1097" s="116">
        <v>49.19</v>
      </c>
      <c r="P1097" s="116">
        <v>49.6</v>
      </c>
      <c r="Q1097" s="116">
        <v>497.65</v>
      </c>
      <c r="R1097">
        <v>6212566</v>
      </c>
    </row>
    <row r="1098" spans="1:18" x14ac:dyDescent="0.25">
      <c r="A1098" s="170">
        <v>43622</v>
      </c>
      <c r="B1098" s="116">
        <v>50.215000000000003</v>
      </c>
      <c r="C1098" s="116">
        <v>48.45</v>
      </c>
      <c r="D1098" s="116">
        <v>48.21</v>
      </c>
      <c r="E1098" s="116">
        <v>49.8</v>
      </c>
      <c r="F1098" s="116">
        <v>484.5</v>
      </c>
      <c r="G1098">
        <v>397357</v>
      </c>
      <c r="H1098" s="116"/>
      <c r="I1098" s="116"/>
      <c r="L1098" s="170">
        <v>43622</v>
      </c>
      <c r="M1098" s="116">
        <v>48.46</v>
      </c>
      <c r="N1098" s="116">
        <v>50.255000000000003</v>
      </c>
      <c r="O1098" s="116">
        <v>48.3</v>
      </c>
      <c r="P1098" s="116">
        <v>49.765000000000001</v>
      </c>
      <c r="Q1098" s="116">
        <v>484.6</v>
      </c>
      <c r="R1098">
        <v>7222799</v>
      </c>
    </row>
    <row r="1099" spans="1:18" x14ac:dyDescent="0.25">
      <c r="A1099" s="170">
        <v>43623</v>
      </c>
      <c r="B1099" s="116">
        <v>48.98</v>
      </c>
      <c r="C1099" s="116">
        <v>48.215000000000003</v>
      </c>
      <c r="D1099" s="116">
        <v>47.6</v>
      </c>
      <c r="E1099" s="116">
        <v>48.365000000000002</v>
      </c>
      <c r="F1099" s="116">
        <v>482.15</v>
      </c>
      <c r="G1099">
        <v>436884</v>
      </c>
      <c r="H1099" s="116"/>
      <c r="I1099" s="116"/>
      <c r="L1099" s="170">
        <v>43623</v>
      </c>
      <c r="M1099" s="116">
        <v>48.21</v>
      </c>
      <c r="N1099" s="116">
        <v>48.99</v>
      </c>
      <c r="O1099" s="116">
        <v>47.58</v>
      </c>
      <c r="P1099" s="116">
        <v>48.3</v>
      </c>
      <c r="Q1099" s="116">
        <v>482.1</v>
      </c>
      <c r="R1099">
        <v>6811104</v>
      </c>
    </row>
    <row r="1100" spans="1:18" x14ac:dyDescent="0.25">
      <c r="A1100" s="170">
        <v>43626</v>
      </c>
      <c r="B1100" s="116">
        <v>49.45</v>
      </c>
      <c r="C1100" s="116">
        <v>48.67</v>
      </c>
      <c r="D1100" s="116">
        <v>48.35</v>
      </c>
      <c r="E1100" s="116">
        <v>48.88</v>
      </c>
      <c r="F1100" s="116">
        <v>486.7</v>
      </c>
      <c r="G1100">
        <v>348233</v>
      </c>
      <c r="H1100" s="116"/>
      <c r="I1100" s="116"/>
      <c r="L1100" s="170">
        <v>43626</v>
      </c>
      <c r="M1100" s="116">
        <v>48.604999999999997</v>
      </c>
      <c r="N1100" s="116">
        <v>49.48</v>
      </c>
      <c r="O1100" s="116">
        <v>48.31</v>
      </c>
      <c r="P1100" s="116">
        <v>48.9</v>
      </c>
      <c r="Q1100" s="116">
        <v>486.05</v>
      </c>
      <c r="R1100">
        <v>6850917</v>
      </c>
    </row>
    <row r="1101" spans="1:18" x14ac:dyDescent="0.25">
      <c r="A1101" s="170">
        <v>43627</v>
      </c>
      <c r="B1101" s="116">
        <v>49.384999999999998</v>
      </c>
      <c r="C1101" s="116">
        <v>49.28</v>
      </c>
      <c r="D1101" s="116">
        <v>48.73</v>
      </c>
      <c r="E1101" s="116">
        <v>48.984999999999999</v>
      </c>
      <c r="F1101" s="116">
        <v>492.8</v>
      </c>
      <c r="G1101">
        <v>270881</v>
      </c>
      <c r="H1101" s="116"/>
      <c r="I1101" s="116"/>
      <c r="L1101" s="170">
        <v>43627</v>
      </c>
      <c r="M1101" s="116">
        <v>49.25</v>
      </c>
      <c r="N1101" s="116">
        <v>49.414999999999999</v>
      </c>
      <c r="O1101" s="116">
        <v>48.7</v>
      </c>
      <c r="P1101" s="116">
        <v>48.99</v>
      </c>
      <c r="Q1101" s="116">
        <v>492.5</v>
      </c>
      <c r="R1101">
        <v>6534548</v>
      </c>
    </row>
    <row r="1102" spans="1:18" x14ac:dyDescent="0.25">
      <c r="A1102" s="170">
        <v>43628</v>
      </c>
      <c r="B1102" s="116">
        <v>50.8</v>
      </c>
      <c r="C1102" s="116">
        <v>50.56</v>
      </c>
      <c r="D1102" s="116">
        <v>49.1</v>
      </c>
      <c r="E1102" s="116">
        <v>49.3</v>
      </c>
      <c r="F1102" s="116">
        <v>505.6</v>
      </c>
      <c r="G1102">
        <v>678523</v>
      </c>
      <c r="H1102" s="116"/>
      <c r="I1102" s="116"/>
      <c r="L1102" s="170">
        <v>43628</v>
      </c>
      <c r="M1102" s="116">
        <v>50.585000000000001</v>
      </c>
      <c r="N1102" s="116">
        <v>50.8</v>
      </c>
      <c r="O1102" s="116">
        <v>49.005000000000003</v>
      </c>
      <c r="P1102" s="116">
        <v>49.274999999999999</v>
      </c>
      <c r="Q1102" s="116">
        <v>505.85</v>
      </c>
      <c r="R1102">
        <v>12755525</v>
      </c>
    </row>
    <row r="1103" spans="1:18" x14ac:dyDescent="0.25">
      <c r="A1103" s="170">
        <v>43629</v>
      </c>
      <c r="B1103" s="116">
        <v>50.58</v>
      </c>
      <c r="C1103" s="116">
        <v>50.284999999999997</v>
      </c>
      <c r="D1103" s="116">
        <v>49.7</v>
      </c>
      <c r="E1103" s="116">
        <v>50.48</v>
      </c>
      <c r="F1103" s="116">
        <v>502.85</v>
      </c>
      <c r="G1103">
        <v>278628</v>
      </c>
      <c r="H1103" s="116"/>
      <c r="I1103" s="116"/>
      <c r="L1103" s="170">
        <v>43629</v>
      </c>
      <c r="M1103" s="116">
        <v>50.255000000000003</v>
      </c>
      <c r="N1103" s="116">
        <v>50.585000000000001</v>
      </c>
      <c r="O1103" s="116">
        <v>49.655000000000001</v>
      </c>
      <c r="P1103" s="116">
        <v>50.4</v>
      </c>
      <c r="Q1103" s="116">
        <v>502.55</v>
      </c>
      <c r="R1103">
        <v>7224857</v>
      </c>
    </row>
    <row r="1104" spans="1:18" x14ac:dyDescent="0.25">
      <c r="A1104" s="170">
        <v>43630</v>
      </c>
      <c r="B1104" s="116">
        <v>50.82</v>
      </c>
      <c r="C1104" s="116">
        <v>50.145000000000003</v>
      </c>
      <c r="D1104" s="116">
        <v>49.715000000000003</v>
      </c>
      <c r="E1104" s="116">
        <v>50.05</v>
      </c>
      <c r="F1104" s="116">
        <v>501.45</v>
      </c>
      <c r="G1104">
        <v>344438</v>
      </c>
      <c r="H1104" s="116"/>
      <c r="I1104" s="116"/>
      <c r="L1104" s="170">
        <v>43630</v>
      </c>
      <c r="M1104" s="116">
        <v>50.18</v>
      </c>
      <c r="N1104" s="116">
        <v>50.85</v>
      </c>
      <c r="O1104" s="116">
        <v>49.704999999999998</v>
      </c>
      <c r="P1104" s="116">
        <v>49.905000000000001</v>
      </c>
      <c r="Q1104" s="116">
        <v>501.8</v>
      </c>
      <c r="R1104">
        <v>6605896</v>
      </c>
    </row>
    <row r="1105" spans="1:18" x14ac:dyDescent="0.25">
      <c r="A1105" s="170">
        <v>43633</v>
      </c>
      <c r="B1105" s="116">
        <v>50.1</v>
      </c>
      <c r="C1105" s="116">
        <v>47.305</v>
      </c>
      <c r="D1105" s="116">
        <v>47.17</v>
      </c>
      <c r="E1105" s="116">
        <v>49.9</v>
      </c>
      <c r="F1105" s="116">
        <v>473.05</v>
      </c>
      <c r="G1105">
        <v>747901</v>
      </c>
      <c r="H1105" s="116"/>
      <c r="I1105" s="116"/>
      <c r="L1105" s="170">
        <v>43633</v>
      </c>
      <c r="M1105" s="116">
        <v>47.31</v>
      </c>
      <c r="N1105" s="116">
        <v>50.085000000000001</v>
      </c>
      <c r="O1105" s="116">
        <v>47.204999999999998</v>
      </c>
      <c r="P1105" s="116">
        <v>50.01</v>
      </c>
      <c r="Q1105" s="116">
        <v>473.1</v>
      </c>
      <c r="R1105">
        <v>11938286</v>
      </c>
    </row>
    <row r="1106" spans="1:18" x14ac:dyDescent="0.25">
      <c r="A1106" s="170">
        <v>43634</v>
      </c>
      <c r="B1106" s="116">
        <v>47.84</v>
      </c>
      <c r="C1106" s="116">
        <v>47.274999999999999</v>
      </c>
      <c r="D1106" s="116">
        <v>46.365000000000002</v>
      </c>
      <c r="E1106" s="116">
        <v>47.44</v>
      </c>
      <c r="F1106" s="116">
        <v>472.75</v>
      </c>
      <c r="G1106">
        <v>629407</v>
      </c>
      <c r="H1106" s="116"/>
      <c r="I1106" s="116"/>
      <c r="L1106" s="170">
        <v>43634</v>
      </c>
      <c r="M1106" s="116">
        <v>47.23</v>
      </c>
      <c r="N1106" s="116">
        <v>47.85</v>
      </c>
      <c r="O1106" s="116">
        <v>46.365000000000002</v>
      </c>
      <c r="P1106" s="116">
        <v>47.325000000000003</v>
      </c>
      <c r="Q1106" s="116">
        <v>472.3</v>
      </c>
      <c r="R1106">
        <v>10639454</v>
      </c>
    </row>
    <row r="1107" spans="1:18" x14ac:dyDescent="0.25">
      <c r="A1107" s="170">
        <v>43635</v>
      </c>
      <c r="B1107" s="116">
        <v>49.8</v>
      </c>
      <c r="C1107" s="116">
        <v>49.45</v>
      </c>
      <c r="D1107" s="116">
        <v>48.02</v>
      </c>
      <c r="E1107" s="116">
        <v>48.02</v>
      </c>
      <c r="F1107" s="116">
        <v>494.5</v>
      </c>
      <c r="G1107">
        <v>725647</v>
      </c>
      <c r="H1107" s="116"/>
      <c r="I1107" s="116"/>
      <c r="L1107" s="170">
        <v>43635</v>
      </c>
      <c r="M1107" s="116">
        <v>49.41</v>
      </c>
      <c r="N1107" s="116">
        <v>49.84</v>
      </c>
      <c r="O1107" s="116">
        <v>48.21</v>
      </c>
      <c r="P1107" s="116">
        <v>48.21</v>
      </c>
      <c r="Q1107" s="116">
        <v>494.1</v>
      </c>
      <c r="R1107">
        <v>18837523</v>
      </c>
    </row>
    <row r="1108" spans="1:18" x14ac:dyDescent="0.25">
      <c r="A1108" s="170">
        <v>43636</v>
      </c>
      <c r="B1108" s="116">
        <v>50.255000000000003</v>
      </c>
      <c r="C1108" s="116">
        <v>50.085000000000001</v>
      </c>
      <c r="D1108" s="116">
        <v>48.97</v>
      </c>
      <c r="E1108" s="116">
        <v>49.49</v>
      </c>
      <c r="F1108" s="116">
        <v>500.85</v>
      </c>
      <c r="G1108">
        <v>434154</v>
      </c>
      <c r="H1108" s="116"/>
      <c r="I1108" s="116"/>
      <c r="L1108" s="170">
        <v>43636</v>
      </c>
      <c r="M1108" s="116">
        <v>50.1</v>
      </c>
      <c r="N1108" s="116">
        <v>50.28</v>
      </c>
      <c r="O1108" s="116">
        <v>48.984999999999999</v>
      </c>
      <c r="P1108" s="116">
        <v>49.41</v>
      </c>
      <c r="Q1108" s="116">
        <v>501</v>
      </c>
      <c r="R1108">
        <v>7826356</v>
      </c>
    </row>
    <row r="1109" spans="1:18" x14ac:dyDescent="0.25">
      <c r="A1109" s="170">
        <v>43637</v>
      </c>
      <c r="B1109" s="116">
        <v>50.075000000000003</v>
      </c>
      <c r="C1109" s="116">
        <v>49.774999999999999</v>
      </c>
      <c r="D1109" s="116">
        <v>49.44</v>
      </c>
      <c r="E1109" s="116">
        <v>49.935000000000002</v>
      </c>
      <c r="F1109" s="116">
        <v>497.75</v>
      </c>
      <c r="G1109">
        <v>292331</v>
      </c>
      <c r="H1109" s="116"/>
      <c r="I1109" s="116"/>
      <c r="L1109" s="170">
        <v>43637</v>
      </c>
      <c r="M1109" s="116">
        <v>49.765000000000001</v>
      </c>
      <c r="N1109" s="116">
        <v>50.09</v>
      </c>
      <c r="O1109" s="116">
        <v>49.445</v>
      </c>
      <c r="P1109" s="116">
        <v>50</v>
      </c>
      <c r="Q1109" s="116">
        <v>497.65</v>
      </c>
      <c r="R1109">
        <v>6126246</v>
      </c>
    </row>
    <row r="1110" spans="1:18" x14ac:dyDescent="0.25">
      <c r="A1110" s="170">
        <v>43640</v>
      </c>
      <c r="B1110" s="116">
        <v>49.984999999999999</v>
      </c>
      <c r="C1110" s="116">
        <v>48.615000000000002</v>
      </c>
      <c r="D1110" s="116">
        <v>48.185000000000002</v>
      </c>
      <c r="E1110" s="116">
        <v>49.7</v>
      </c>
      <c r="F1110" s="116">
        <v>486.15</v>
      </c>
      <c r="G1110">
        <v>452177</v>
      </c>
      <c r="H1110" s="116"/>
      <c r="I1110" s="116"/>
      <c r="L1110" s="170">
        <v>43640</v>
      </c>
      <c r="M1110" s="116">
        <v>48.625</v>
      </c>
      <c r="N1110" s="116">
        <v>49.98</v>
      </c>
      <c r="O1110" s="116">
        <v>48.185000000000002</v>
      </c>
      <c r="P1110" s="116">
        <v>49.72</v>
      </c>
      <c r="Q1110" s="116">
        <v>486.25</v>
      </c>
      <c r="R1110">
        <v>7262000</v>
      </c>
    </row>
    <row r="1111" spans="1:18" x14ac:dyDescent="0.25">
      <c r="A1111" s="170">
        <v>43641</v>
      </c>
      <c r="B1111" s="116">
        <v>49.965000000000003</v>
      </c>
      <c r="C1111" s="116">
        <v>49.76</v>
      </c>
      <c r="D1111" s="116">
        <v>47.414999999999999</v>
      </c>
      <c r="E1111" s="116">
        <v>47.95</v>
      </c>
      <c r="F1111" s="116">
        <v>497.6</v>
      </c>
      <c r="G1111">
        <v>720692</v>
      </c>
      <c r="H1111" s="116"/>
      <c r="I1111" s="116"/>
      <c r="L1111" s="170">
        <v>43641</v>
      </c>
      <c r="M1111" s="116">
        <v>49.8</v>
      </c>
      <c r="N1111" s="116">
        <v>49.98</v>
      </c>
      <c r="O1111" s="116">
        <v>47.395000000000003</v>
      </c>
      <c r="P1111" s="116">
        <v>47.4</v>
      </c>
      <c r="Q1111" s="116">
        <v>498</v>
      </c>
      <c r="R1111">
        <v>13649119</v>
      </c>
    </row>
    <row r="1112" spans="1:18" x14ac:dyDescent="0.25">
      <c r="A1112" s="170">
        <v>43642</v>
      </c>
      <c r="B1112" s="116">
        <v>51.225000000000001</v>
      </c>
      <c r="C1112" s="116">
        <v>51.05</v>
      </c>
      <c r="D1112" s="116">
        <v>49.26</v>
      </c>
      <c r="E1112" s="116">
        <v>49.524999999999999</v>
      </c>
      <c r="F1112" s="116">
        <v>510.5</v>
      </c>
      <c r="G1112">
        <v>597758</v>
      </c>
      <c r="H1112" s="116"/>
      <c r="I1112" s="116"/>
      <c r="L1112" s="170">
        <v>43642</v>
      </c>
      <c r="M1112" s="116">
        <v>51.06</v>
      </c>
      <c r="N1112" s="116">
        <v>51.23</v>
      </c>
      <c r="O1112" s="116">
        <v>49.03</v>
      </c>
      <c r="P1112" s="116">
        <v>49.5</v>
      </c>
      <c r="Q1112" s="116">
        <v>510.6</v>
      </c>
      <c r="R1112">
        <v>12960084</v>
      </c>
    </row>
    <row r="1113" spans="1:18" x14ac:dyDescent="0.25">
      <c r="A1113" s="170">
        <v>43643</v>
      </c>
      <c r="B1113" s="116">
        <v>51.64</v>
      </c>
      <c r="C1113" s="116">
        <v>51.07</v>
      </c>
      <c r="D1113" s="116">
        <v>50.7</v>
      </c>
      <c r="E1113" s="116">
        <v>51.195</v>
      </c>
      <c r="F1113" s="116">
        <v>510.7</v>
      </c>
      <c r="G1113">
        <v>568359</v>
      </c>
      <c r="H1113" s="116"/>
      <c r="I1113" s="116"/>
      <c r="L1113" s="170">
        <v>43643</v>
      </c>
      <c r="M1113" s="116">
        <v>51.07</v>
      </c>
      <c r="N1113" s="116">
        <v>51.645000000000003</v>
      </c>
      <c r="O1113" s="116">
        <v>50.664999999999999</v>
      </c>
      <c r="P1113" s="116">
        <v>51.15</v>
      </c>
      <c r="Q1113" s="116">
        <v>510.7</v>
      </c>
      <c r="R1113">
        <v>11946714</v>
      </c>
    </row>
    <row r="1114" spans="1:18" x14ac:dyDescent="0.25">
      <c r="A1114" s="170">
        <v>43644</v>
      </c>
      <c r="B1114" s="116">
        <v>51.53</v>
      </c>
      <c r="C1114" s="116">
        <v>50.44</v>
      </c>
      <c r="D1114" s="116">
        <v>49.93</v>
      </c>
      <c r="E1114" s="116">
        <v>51.1</v>
      </c>
      <c r="F1114" s="116">
        <v>504.4</v>
      </c>
      <c r="G1114">
        <v>468600</v>
      </c>
      <c r="H1114" s="116"/>
      <c r="I1114" s="116"/>
      <c r="L1114" s="170">
        <v>43644</v>
      </c>
      <c r="M1114" s="116">
        <v>50.44</v>
      </c>
      <c r="N1114" s="116">
        <v>51.564999999999998</v>
      </c>
      <c r="O1114" s="116">
        <v>49.91</v>
      </c>
      <c r="P1114" s="116">
        <v>51.15</v>
      </c>
      <c r="Q1114" s="116">
        <v>504.4</v>
      </c>
      <c r="R1114">
        <v>8760034</v>
      </c>
    </row>
    <row r="1115" spans="1:18" x14ac:dyDescent="0.25">
      <c r="A1115" s="170">
        <v>43647</v>
      </c>
      <c r="B1115" s="116">
        <v>51.475000000000001</v>
      </c>
      <c r="C1115" s="116">
        <v>50.685000000000002</v>
      </c>
      <c r="D1115" s="116">
        <v>50.365000000000002</v>
      </c>
      <c r="E1115" s="116">
        <v>50.91</v>
      </c>
      <c r="F1115" s="116">
        <v>506.85</v>
      </c>
      <c r="G1115">
        <v>323672</v>
      </c>
      <c r="H1115" s="116"/>
      <c r="I1115" s="116"/>
      <c r="L1115" s="170">
        <v>43647</v>
      </c>
      <c r="M1115" s="116">
        <v>50.695</v>
      </c>
      <c r="N1115" s="116">
        <v>51.484999999999999</v>
      </c>
      <c r="O1115" s="116">
        <v>50.314999999999998</v>
      </c>
      <c r="P1115" s="116">
        <v>50.984999999999999</v>
      </c>
      <c r="Q1115" s="116">
        <v>506.95</v>
      </c>
      <c r="R1115">
        <v>8544375</v>
      </c>
    </row>
    <row r="1116" spans="1:18" x14ac:dyDescent="0.25">
      <c r="A1116" s="170">
        <v>43648</v>
      </c>
      <c r="B1116" s="116">
        <v>51.085000000000001</v>
      </c>
      <c r="C1116" s="116">
        <v>50.835000000000001</v>
      </c>
      <c r="D1116" s="116">
        <v>50.195</v>
      </c>
      <c r="E1116" s="116">
        <v>50.99</v>
      </c>
      <c r="F1116" s="116">
        <v>508.35</v>
      </c>
      <c r="G1116">
        <v>308028</v>
      </c>
      <c r="H1116" s="116"/>
      <c r="I1116" s="116"/>
      <c r="L1116" s="170">
        <v>43648</v>
      </c>
      <c r="M1116" s="116">
        <v>50.88</v>
      </c>
      <c r="N1116" s="116">
        <v>51.09</v>
      </c>
      <c r="O1116" s="116">
        <v>50.21</v>
      </c>
      <c r="P1116" s="116">
        <v>50.854999999999997</v>
      </c>
      <c r="Q1116" s="116">
        <v>508.8</v>
      </c>
      <c r="R1116">
        <v>5724004</v>
      </c>
    </row>
    <row r="1117" spans="1:18" x14ac:dyDescent="0.25">
      <c r="A1117" s="170">
        <v>43649</v>
      </c>
      <c r="B1117" s="116">
        <v>51.47</v>
      </c>
      <c r="C1117" s="116">
        <v>51.05</v>
      </c>
      <c r="D1117" s="116">
        <v>50.46</v>
      </c>
      <c r="E1117" s="116">
        <v>50.99</v>
      </c>
      <c r="F1117" s="116">
        <v>510.5</v>
      </c>
      <c r="G1117">
        <v>475209</v>
      </c>
      <c r="H1117" s="116"/>
      <c r="I1117" s="116"/>
      <c r="L1117" s="170">
        <v>43649</v>
      </c>
      <c r="M1117" s="116">
        <v>51.03</v>
      </c>
      <c r="N1117" s="116">
        <v>51.48</v>
      </c>
      <c r="O1117" s="116">
        <v>50.46</v>
      </c>
      <c r="P1117" s="116">
        <v>50.79</v>
      </c>
      <c r="Q1117" s="116">
        <v>510.3</v>
      </c>
      <c r="R1117">
        <v>6946409</v>
      </c>
    </row>
    <row r="1118" spans="1:18" x14ac:dyDescent="0.25">
      <c r="A1118" s="170">
        <v>43650</v>
      </c>
      <c r="B1118" s="116">
        <v>50.25</v>
      </c>
      <c r="C1118" s="116">
        <v>49.534999999999997</v>
      </c>
      <c r="D1118" s="116">
        <v>49.39</v>
      </c>
      <c r="E1118" s="116">
        <v>50.07</v>
      </c>
      <c r="F1118" s="116">
        <v>495.35</v>
      </c>
      <c r="G1118">
        <v>437318</v>
      </c>
      <c r="H1118" s="116"/>
      <c r="I1118" s="116"/>
      <c r="L1118" s="170">
        <v>43650</v>
      </c>
      <c r="M1118" s="116">
        <v>49.53</v>
      </c>
      <c r="N1118" s="116">
        <v>50.265000000000001</v>
      </c>
      <c r="O1118" s="116">
        <v>49.375</v>
      </c>
      <c r="P1118" s="116">
        <v>50</v>
      </c>
      <c r="Q1118" s="116">
        <v>495.3</v>
      </c>
      <c r="R1118">
        <v>7263059</v>
      </c>
    </row>
    <row r="1119" spans="1:18" x14ac:dyDescent="0.25">
      <c r="A1119" s="170">
        <v>43651</v>
      </c>
      <c r="B1119" s="116">
        <v>49.82</v>
      </c>
      <c r="C1119" s="116">
        <v>47.814999999999998</v>
      </c>
      <c r="D1119" s="116">
        <v>47.454999999999998</v>
      </c>
      <c r="E1119" s="116">
        <v>49.81</v>
      </c>
      <c r="F1119" s="116">
        <v>478.15</v>
      </c>
      <c r="G1119">
        <v>646525</v>
      </c>
      <c r="H1119" s="116"/>
      <c r="I1119" s="116"/>
      <c r="L1119" s="170">
        <v>43651</v>
      </c>
      <c r="M1119" s="116">
        <v>47.835000000000001</v>
      </c>
      <c r="N1119" s="116">
        <v>49.85</v>
      </c>
      <c r="O1119" s="116">
        <v>47.53</v>
      </c>
      <c r="P1119" s="116">
        <v>49.65</v>
      </c>
      <c r="Q1119" s="116">
        <v>478.35</v>
      </c>
      <c r="R1119">
        <v>7616348</v>
      </c>
    </row>
    <row r="1120" spans="1:18" x14ac:dyDescent="0.25">
      <c r="A1120" s="170">
        <v>43654</v>
      </c>
      <c r="B1120" s="116">
        <v>47.92</v>
      </c>
      <c r="C1120" s="116">
        <v>46.8</v>
      </c>
      <c r="D1120" s="116">
        <v>46.55</v>
      </c>
      <c r="E1120" s="116">
        <v>47.5</v>
      </c>
      <c r="F1120" s="116">
        <v>468</v>
      </c>
      <c r="G1120">
        <v>631233</v>
      </c>
      <c r="H1120" s="116"/>
      <c r="I1120" s="116"/>
      <c r="L1120" s="170">
        <v>43654</v>
      </c>
      <c r="M1120" s="116">
        <v>46.805</v>
      </c>
      <c r="N1120" s="116">
        <v>47.95</v>
      </c>
      <c r="O1120" s="116">
        <v>46.52</v>
      </c>
      <c r="P1120" s="116">
        <v>47.5</v>
      </c>
      <c r="Q1120" s="116">
        <v>468.05</v>
      </c>
      <c r="R1120">
        <v>8082591</v>
      </c>
    </row>
    <row r="1121" spans="1:18" x14ac:dyDescent="0.25">
      <c r="A1121" s="170">
        <v>43655</v>
      </c>
      <c r="B1121" s="116">
        <v>47.21</v>
      </c>
      <c r="C1121" s="116">
        <v>46.835000000000001</v>
      </c>
      <c r="D1121" s="116">
        <v>46.27</v>
      </c>
      <c r="E1121" s="116">
        <v>46.9</v>
      </c>
      <c r="F1121" s="116">
        <v>468.35</v>
      </c>
      <c r="G1121">
        <v>483876</v>
      </c>
      <c r="H1121" s="116"/>
      <c r="I1121" s="116"/>
      <c r="L1121" s="170">
        <v>43655</v>
      </c>
      <c r="M1121" s="116">
        <v>46.844999999999999</v>
      </c>
      <c r="N1121" s="116">
        <v>47.2</v>
      </c>
      <c r="O1121" s="116">
        <v>46.255000000000003</v>
      </c>
      <c r="P1121" s="116">
        <v>46.9</v>
      </c>
      <c r="Q1121" s="116">
        <v>468.45</v>
      </c>
      <c r="R1121">
        <v>6858580</v>
      </c>
    </row>
    <row r="1122" spans="1:18" x14ac:dyDescent="0.25">
      <c r="A1122" s="170">
        <v>43656</v>
      </c>
      <c r="B1122" s="116">
        <v>47.405000000000001</v>
      </c>
      <c r="C1122" s="116">
        <v>45.46</v>
      </c>
      <c r="D1122" s="116">
        <v>44.81</v>
      </c>
      <c r="E1122" s="116">
        <v>47.02</v>
      </c>
      <c r="F1122" s="116">
        <v>454.6</v>
      </c>
      <c r="G1122">
        <v>794634</v>
      </c>
      <c r="H1122" s="116"/>
      <c r="I1122" s="116"/>
      <c r="L1122" s="170">
        <v>43656</v>
      </c>
      <c r="M1122" s="116">
        <v>45.48</v>
      </c>
      <c r="N1122" s="116">
        <v>47.435000000000002</v>
      </c>
      <c r="O1122" s="116">
        <v>44.805</v>
      </c>
      <c r="P1122" s="116">
        <v>46.95</v>
      </c>
      <c r="Q1122" s="116">
        <v>454.8</v>
      </c>
      <c r="R1122">
        <v>13481344</v>
      </c>
    </row>
    <row r="1123" spans="1:18" x14ac:dyDescent="0.25">
      <c r="A1123" s="170">
        <v>43657</v>
      </c>
      <c r="B1123" s="116">
        <v>46.65</v>
      </c>
      <c r="C1123" s="116">
        <v>46.18</v>
      </c>
      <c r="D1123" s="116">
        <v>45.4</v>
      </c>
      <c r="E1123" s="116">
        <v>46.034999999999997</v>
      </c>
      <c r="F1123" s="116">
        <v>461.8</v>
      </c>
      <c r="G1123">
        <v>690210</v>
      </c>
      <c r="H1123" s="116"/>
      <c r="I1123" s="116"/>
      <c r="L1123" s="170">
        <v>43657</v>
      </c>
      <c r="M1123" s="116">
        <v>46.2</v>
      </c>
      <c r="N1123" s="116">
        <v>46.65</v>
      </c>
      <c r="O1123" s="116">
        <v>45.37</v>
      </c>
      <c r="P1123" s="116">
        <v>46.13</v>
      </c>
      <c r="Q1123" s="116">
        <v>462</v>
      </c>
      <c r="R1123">
        <v>9987038</v>
      </c>
    </row>
    <row r="1124" spans="1:18" x14ac:dyDescent="0.25">
      <c r="A1124" s="170">
        <v>43658</v>
      </c>
      <c r="B1124" s="116">
        <v>47.96</v>
      </c>
      <c r="C1124" s="116">
        <v>47.26</v>
      </c>
      <c r="D1124" s="116">
        <v>46.055</v>
      </c>
      <c r="E1124" s="116">
        <v>46.4</v>
      </c>
      <c r="F1124" s="116">
        <v>472.6</v>
      </c>
      <c r="G1124">
        <v>918850</v>
      </c>
      <c r="H1124" s="116"/>
      <c r="I1124" s="116"/>
      <c r="L1124" s="170">
        <v>43658</v>
      </c>
      <c r="M1124" s="116">
        <v>47.29</v>
      </c>
      <c r="N1124" s="116">
        <v>47.945</v>
      </c>
      <c r="O1124" s="116">
        <v>46.024999999999999</v>
      </c>
      <c r="P1124" s="116">
        <v>46.43</v>
      </c>
      <c r="Q1124" s="116">
        <v>472.9</v>
      </c>
      <c r="R1124">
        <v>13244118</v>
      </c>
    </row>
    <row r="1125" spans="1:18" x14ac:dyDescent="0.25">
      <c r="A1125" s="170">
        <v>43661</v>
      </c>
      <c r="B1125" s="116">
        <v>47.8</v>
      </c>
      <c r="C1125" s="116">
        <v>46.82</v>
      </c>
      <c r="D1125" s="116">
        <v>46.335000000000001</v>
      </c>
      <c r="E1125" s="116">
        <v>47.68</v>
      </c>
      <c r="F1125" s="116">
        <v>468.2</v>
      </c>
      <c r="G1125">
        <v>569009</v>
      </c>
      <c r="H1125" s="116"/>
      <c r="I1125" s="116"/>
      <c r="L1125" s="170">
        <v>43661</v>
      </c>
      <c r="M1125" s="116">
        <v>46.83</v>
      </c>
      <c r="N1125" s="116">
        <v>47.825000000000003</v>
      </c>
      <c r="O1125" s="116">
        <v>46.335000000000001</v>
      </c>
      <c r="P1125" s="116">
        <v>47.8</v>
      </c>
      <c r="Q1125" s="116">
        <v>468.3</v>
      </c>
      <c r="R1125">
        <v>7806079</v>
      </c>
    </row>
    <row r="1126" spans="1:18" x14ac:dyDescent="0.25">
      <c r="A1126" s="170">
        <v>43662</v>
      </c>
      <c r="B1126" s="116">
        <v>47.86</v>
      </c>
      <c r="C1126" s="116">
        <v>47.65</v>
      </c>
      <c r="D1126" s="116">
        <v>46.41</v>
      </c>
      <c r="E1126" s="116">
        <v>46.594999999999999</v>
      </c>
      <c r="F1126" s="116">
        <v>476.5</v>
      </c>
      <c r="G1126">
        <v>344785</v>
      </c>
      <c r="H1126" s="116"/>
      <c r="I1126" s="116"/>
      <c r="L1126" s="170">
        <v>43662</v>
      </c>
      <c r="M1126" s="116">
        <v>47.67</v>
      </c>
      <c r="N1126" s="116">
        <v>47.86</v>
      </c>
      <c r="O1126" s="116">
        <v>46.41</v>
      </c>
      <c r="P1126" s="116">
        <v>46.51</v>
      </c>
      <c r="Q1126" s="116">
        <v>476.7</v>
      </c>
      <c r="R1126">
        <v>6435210</v>
      </c>
    </row>
    <row r="1127" spans="1:18" x14ac:dyDescent="0.25">
      <c r="A1127" s="170">
        <v>43663</v>
      </c>
      <c r="B1127" s="116">
        <v>47.97</v>
      </c>
      <c r="C1127" s="116">
        <v>47.57</v>
      </c>
      <c r="D1127" s="116">
        <v>46.9</v>
      </c>
      <c r="E1127" s="116">
        <v>47.52</v>
      </c>
      <c r="F1127" s="116">
        <v>475.7</v>
      </c>
      <c r="G1127">
        <v>371591</v>
      </c>
      <c r="H1127" s="116"/>
      <c r="I1127" s="116"/>
      <c r="L1127" s="170">
        <v>43663</v>
      </c>
      <c r="M1127" s="116">
        <v>47.57</v>
      </c>
      <c r="N1127" s="116">
        <v>47.98</v>
      </c>
      <c r="O1127" s="116">
        <v>46.85</v>
      </c>
      <c r="P1127" s="116">
        <v>47.6</v>
      </c>
      <c r="Q1127" s="116">
        <v>475.7</v>
      </c>
      <c r="R1127">
        <v>5479322</v>
      </c>
    </row>
    <row r="1128" spans="1:18" x14ac:dyDescent="0.25">
      <c r="A1128" s="170">
        <v>43664</v>
      </c>
      <c r="B1128" s="116">
        <v>47.5</v>
      </c>
      <c r="C1128" s="116">
        <v>46.655000000000001</v>
      </c>
      <c r="D1128" s="116">
        <v>46.4</v>
      </c>
      <c r="E1128" s="116">
        <v>47.5</v>
      </c>
      <c r="F1128" s="116">
        <v>466.55</v>
      </c>
      <c r="G1128">
        <v>264259</v>
      </c>
      <c r="H1128" s="116"/>
      <c r="I1128" s="116"/>
      <c r="L1128" s="170">
        <v>43664</v>
      </c>
      <c r="M1128" s="116">
        <v>46.66</v>
      </c>
      <c r="N1128" s="116">
        <v>47.534999999999997</v>
      </c>
      <c r="O1128" s="116">
        <v>46.384999999999998</v>
      </c>
      <c r="P1128" s="116">
        <v>47.3</v>
      </c>
      <c r="Q1128" s="116">
        <v>466.6</v>
      </c>
      <c r="R1128">
        <v>5233173</v>
      </c>
    </row>
    <row r="1129" spans="1:18" x14ac:dyDescent="0.25">
      <c r="A1129" s="170">
        <v>43665</v>
      </c>
      <c r="B1129" s="116">
        <v>47.29</v>
      </c>
      <c r="C1129" s="116">
        <v>45.81</v>
      </c>
      <c r="D1129" s="116">
        <v>45.36</v>
      </c>
      <c r="E1129" s="116">
        <v>46.93</v>
      </c>
      <c r="F1129" s="116">
        <v>458.1</v>
      </c>
      <c r="G1129">
        <v>520972</v>
      </c>
      <c r="H1129" s="116"/>
      <c r="I1129" s="116"/>
      <c r="L1129" s="170">
        <v>43665</v>
      </c>
      <c r="M1129" s="116">
        <v>45.805</v>
      </c>
      <c r="N1129" s="116">
        <v>47.3</v>
      </c>
      <c r="O1129" s="116">
        <v>45.325000000000003</v>
      </c>
      <c r="P1129" s="116">
        <v>47</v>
      </c>
      <c r="Q1129" s="116">
        <v>458.05</v>
      </c>
      <c r="R1129">
        <v>7284885</v>
      </c>
    </row>
    <row r="1130" spans="1:18" x14ac:dyDescent="0.25">
      <c r="A1130" s="170">
        <v>43668</v>
      </c>
      <c r="B1130" s="116">
        <v>46.7</v>
      </c>
      <c r="C1130" s="116">
        <v>46.524999999999999</v>
      </c>
      <c r="D1130" s="116">
        <v>45.12</v>
      </c>
      <c r="E1130" s="116">
        <v>45.81</v>
      </c>
      <c r="F1130" s="116">
        <v>465.25</v>
      </c>
      <c r="G1130">
        <v>504566</v>
      </c>
      <c r="H1130" s="116"/>
      <c r="I1130" s="116"/>
      <c r="L1130" s="170">
        <v>43668</v>
      </c>
      <c r="M1130" s="116">
        <v>46.555</v>
      </c>
      <c r="N1130" s="116">
        <v>46.73</v>
      </c>
      <c r="O1130" s="116">
        <v>45.12</v>
      </c>
      <c r="P1130" s="116">
        <v>45.805</v>
      </c>
      <c r="Q1130" s="116">
        <v>465.55</v>
      </c>
      <c r="R1130">
        <v>6954452</v>
      </c>
    </row>
    <row r="1131" spans="1:18" x14ac:dyDescent="0.25">
      <c r="A1131" s="170">
        <v>43669</v>
      </c>
      <c r="B1131" s="116">
        <v>46.78</v>
      </c>
      <c r="C1131" s="116">
        <v>46.015000000000001</v>
      </c>
      <c r="D1131" s="116">
        <v>45.7</v>
      </c>
      <c r="E1131" s="116">
        <v>46.674999999999997</v>
      </c>
      <c r="F1131" s="116">
        <v>460.15</v>
      </c>
      <c r="G1131">
        <v>355344</v>
      </c>
      <c r="H1131" s="116"/>
      <c r="I1131" s="116"/>
      <c r="L1131" s="170">
        <v>43669</v>
      </c>
      <c r="M1131" s="116">
        <v>45.984999999999999</v>
      </c>
      <c r="N1131" s="116">
        <v>46.79</v>
      </c>
      <c r="O1131" s="116">
        <v>45.674999999999997</v>
      </c>
      <c r="P1131" s="116">
        <v>46.62</v>
      </c>
      <c r="Q1131" s="116">
        <v>459.85</v>
      </c>
      <c r="R1131">
        <v>5529284</v>
      </c>
    </row>
    <row r="1132" spans="1:18" x14ac:dyDescent="0.25">
      <c r="A1132" s="170">
        <v>43670</v>
      </c>
      <c r="B1132" s="116">
        <v>46.29</v>
      </c>
      <c r="C1132" s="116">
        <v>44.604999999999997</v>
      </c>
      <c r="D1132" s="116">
        <v>44.325000000000003</v>
      </c>
      <c r="E1132" s="116">
        <v>45.9</v>
      </c>
      <c r="F1132" s="116">
        <v>446.05</v>
      </c>
      <c r="G1132">
        <v>512005</v>
      </c>
      <c r="H1132" s="116"/>
      <c r="I1132" s="116"/>
      <c r="L1132" s="170">
        <v>43670</v>
      </c>
      <c r="M1132" s="116">
        <v>44.6</v>
      </c>
      <c r="N1132" s="116">
        <v>46.3</v>
      </c>
      <c r="O1132" s="116">
        <v>44.31</v>
      </c>
      <c r="P1132" s="116">
        <v>46.094999999999999</v>
      </c>
      <c r="Q1132" s="116">
        <v>446</v>
      </c>
      <c r="R1132">
        <v>8342001</v>
      </c>
    </row>
    <row r="1133" spans="1:18" x14ac:dyDescent="0.25">
      <c r="A1133" s="170">
        <v>43671</v>
      </c>
      <c r="B1133" s="116">
        <v>45.185000000000002</v>
      </c>
      <c r="C1133" s="116">
        <v>44.034999999999997</v>
      </c>
      <c r="D1133" s="116">
        <v>43.844999999999999</v>
      </c>
      <c r="E1133" s="116">
        <v>44.8</v>
      </c>
      <c r="F1133" s="116">
        <v>440.35</v>
      </c>
      <c r="G1133">
        <v>473056</v>
      </c>
      <c r="H1133" s="116"/>
      <c r="I1133" s="116"/>
      <c r="L1133" s="170">
        <v>43671</v>
      </c>
      <c r="M1133" s="116">
        <v>44.034999999999997</v>
      </c>
      <c r="N1133" s="116">
        <v>45.195</v>
      </c>
      <c r="O1133" s="116">
        <v>43.83</v>
      </c>
      <c r="P1133" s="116">
        <v>44.8</v>
      </c>
      <c r="Q1133" s="116">
        <v>440.35</v>
      </c>
      <c r="R1133">
        <v>7528091</v>
      </c>
    </row>
    <row r="1134" spans="1:18" x14ac:dyDescent="0.25">
      <c r="A1134" s="170">
        <v>43672</v>
      </c>
      <c r="B1134" s="116">
        <v>44.795000000000002</v>
      </c>
      <c r="C1134" s="116">
        <v>44.524999999999999</v>
      </c>
      <c r="D1134" s="116">
        <v>43.575000000000003</v>
      </c>
      <c r="E1134" s="116">
        <v>44.15</v>
      </c>
      <c r="F1134" s="116">
        <v>445.25</v>
      </c>
      <c r="G1134">
        <v>385382</v>
      </c>
      <c r="H1134" s="116"/>
      <c r="I1134" s="116"/>
      <c r="L1134" s="170">
        <v>43672</v>
      </c>
      <c r="M1134" s="116">
        <v>44.55</v>
      </c>
      <c r="N1134" s="116">
        <v>44.82</v>
      </c>
      <c r="O1134" s="116">
        <v>43.564999999999998</v>
      </c>
      <c r="P1134" s="116">
        <v>43.9</v>
      </c>
      <c r="Q1134" s="116">
        <v>445.5</v>
      </c>
      <c r="R1134">
        <v>6585786</v>
      </c>
    </row>
    <row r="1135" spans="1:18" x14ac:dyDescent="0.25">
      <c r="A1135" s="170">
        <v>43675</v>
      </c>
      <c r="B1135" s="116">
        <v>44.634999999999998</v>
      </c>
      <c r="C1135" s="116">
        <v>43.344999999999999</v>
      </c>
      <c r="D1135" s="116">
        <v>43.12</v>
      </c>
      <c r="E1135" s="116">
        <v>44.524999999999999</v>
      </c>
      <c r="F1135" s="116">
        <v>433.45</v>
      </c>
      <c r="G1135">
        <v>465379</v>
      </c>
      <c r="H1135" s="116"/>
      <c r="I1135" s="116"/>
      <c r="L1135" s="170">
        <v>43675</v>
      </c>
      <c r="M1135" s="116">
        <v>43.344999999999999</v>
      </c>
      <c r="N1135" s="116">
        <v>44.59</v>
      </c>
      <c r="O1135" s="116">
        <v>43.1</v>
      </c>
      <c r="P1135" s="116">
        <v>44.555</v>
      </c>
      <c r="Q1135" s="116">
        <v>433.45</v>
      </c>
      <c r="R1135">
        <v>7872723</v>
      </c>
    </row>
    <row r="1136" spans="1:18" x14ac:dyDescent="0.25">
      <c r="A1136" s="170">
        <v>43676</v>
      </c>
      <c r="B1136" s="116">
        <v>44.195</v>
      </c>
      <c r="C1136" s="116">
        <v>41.47</v>
      </c>
      <c r="D1136" s="116">
        <v>40.625</v>
      </c>
      <c r="E1136" s="116">
        <v>43.47</v>
      </c>
      <c r="F1136" s="116">
        <v>414.7</v>
      </c>
      <c r="G1136">
        <v>734348</v>
      </c>
      <c r="H1136" s="116"/>
      <c r="I1136" s="116"/>
      <c r="L1136" s="170">
        <v>43676</v>
      </c>
      <c r="M1136" s="116">
        <v>41.505000000000003</v>
      </c>
      <c r="N1136" s="116">
        <v>44.19</v>
      </c>
      <c r="O1136" s="116">
        <v>40.619999999999997</v>
      </c>
      <c r="P1136" s="116">
        <v>43.49</v>
      </c>
      <c r="Q1136" s="116">
        <v>415.05</v>
      </c>
      <c r="R1136">
        <v>9462921</v>
      </c>
    </row>
    <row r="1137" spans="1:18" x14ac:dyDescent="0.25">
      <c r="A1137" s="170">
        <v>43677</v>
      </c>
      <c r="B1137" s="116">
        <v>43.34</v>
      </c>
      <c r="C1137" s="116">
        <v>43.19</v>
      </c>
      <c r="D1137" s="116">
        <v>40.935000000000002</v>
      </c>
      <c r="E1137" s="116">
        <v>41.445</v>
      </c>
      <c r="F1137" s="116">
        <v>431.9</v>
      </c>
      <c r="G1137">
        <v>599291</v>
      </c>
      <c r="H1137" s="116"/>
      <c r="I1137" s="116"/>
      <c r="L1137" s="170">
        <v>43677</v>
      </c>
      <c r="M1137" s="116">
        <v>43.204999999999998</v>
      </c>
      <c r="N1137" s="116">
        <v>43.36</v>
      </c>
      <c r="O1137" s="116">
        <v>40.950000000000003</v>
      </c>
      <c r="P1137" s="116">
        <v>41.3</v>
      </c>
      <c r="Q1137" s="116">
        <v>432.05</v>
      </c>
      <c r="R1137">
        <v>11541800</v>
      </c>
    </row>
    <row r="1138" spans="1:18" x14ac:dyDescent="0.25">
      <c r="A1138" s="170">
        <v>43678</v>
      </c>
      <c r="B1138" s="116">
        <v>43.164999999999999</v>
      </c>
      <c r="C1138" s="116">
        <v>41.954999999999998</v>
      </c>
      <c r="D1138" s="116">
        <v>41.5</v>
      </c>
      <c r="E1138" s="116">
        <v>42.8</v>
      </c>
      <c r="F1138" s="116">
        <v>419.55</v>
      </c>
      <c r="G1138">
        <v>582710</v>
      </c>
      <c r="H1138" s="116"/>
      <c r="I1138" s="116"/>
      <c r="L1138" s="170">
        <v>43678</v>
      </c>
      <c r="M1138" s="116">
        <v>42</v>
      </c>
      <c r="N1138" s="116">
        <v>43.19</v>
      </c>
      <c r="O1138" s="116">
        <v>41.48</v>
      </c>
      <c r="P1138" s="116">
        <v>42.75</v>
      </c>
      <c r="Q1138" s="116">
        <v>420</v>
      </c>
      <c r="R1138">
        <v>9421985</v>
      </c>
    </row>
    <row r="1139" spans="1:18" x14ac:dyDescent="0.25">
      <c r="A1139" s="170">
        <v>43679</v>
      </c>
      <c r="B1139" s="116">
        <v>41.72</v>
      </c>
      <c r="C1139" s="116">
        <v>40.905000000000001</v>
      </c>
      <c r="D1139" s="116">
        <v>40.475000000000001</v>
      </c>
      <c r="E1139" s="116">
        <v>41.4</v>
      </c>
      <c r="F1139" s="116">
        <v>409.05</v>
      </c>
      <c r="G1139">
        <v>699861</v>
      </c>
      <c r="H1139" s="116"/>
      <c r="I1139" s="116"/>
      <c r="L1139" s="170">
        <v>43679</v>
      </c>
      <c r="M1139" s="116">
        <v>40.909999999999997</v>
      </c>
      <c r="N1139" s="116">
        <v>41.715000000000003</v>
      </c>
      <c r="O1139" s="116">
        <v>40.46</v>
      </c>
      <c r="P1139" s="116">
        <v>41.39</v>
      </c>
      <c r="Q1139" s="116">
        <v>409.1</v>
      </c>
      <c r="R1139">
        <v>13485952</v>
      </c>
    </row>
    <row r="1140" spans="1:18" x14ac:dyDescent="0.25">
      <c r="A1140" s="170">
        <v>43682</v>
      </c>
      <c r="B1140" s="116">
        <v>40.494999999999997</v>
      </c>
      <c r="C1140" s="116">
        <v>39.909999999999997</v>
      </c>
      <c r="D1140" s="116">
        <v>38.975000000000001</v>
      </c>
      <c r="E1140" s="116">
        <v>40.229999999999997</v>
      </c>
      <c r="F1140" s="116">
        <v>399.1</v>
      </c>
      <c r="G1140">
        <v>693692</v>
      </c>
      <c r="H1140" s="116"/>
      <c r="I1140" s="116"/>
      <c r="L1140" s="170">
        <v>43682</v>
      </c>
      <c r="M1140" s="116">
        <v>39.924999999999997</v>
      </c>
      <c r="N1140" s="116">
        <v>40.395000000000003</v>
      </c>
      <c r="O1140" s="116">
        <v>38.97</v>
      </c>
      <c r="P1140" s="116">
        <v>40.395000000000003</v>
      </c>
      <c r="Q1140" s="116">
        <v>399.25</v>
      </c>
      <c r="R1140">
        <v>11288854</v>
      </c>
    </row>
    <row r="1141" spans="1:18" x14ac:dyDescent="0.25">
      <c r="A1141" s="170">
        <v>43683</v>
      </c>
      <c r="B1141" s="116">
        <v>40.79</v>
      </c>
      <c r="C1141" s="116">
        <v>40.085000000000001</v>
      </c>
      <c r="D1141" s="116">
        <v>39.365000000000002</v>
      </c>
      <c r="E1141" s="116">
        <v>39.375</v>
      </c>
      <c r="F1141" s="116">
        <v>400.85</v>
      </c>
      <c r="G1141">
        <v>714068</v>
      </c>
      <c r="H1141" s="116"/>
      <c r="I1141" s="116"/>
      <c r="L1141" s="170">
        <v>43683</v>
      </c>
      <c r="M1141" s="116">
        <v>40.159999999999997</v>
      </c>
      <c r="N1141" s="116">
        <v>40.799999999999997</v>
      </c>
      <c r="O1141" s="116">
        <v>39.365000000000002</v>
      </c>
      <c r="P1141" s="116">
        <v>39.365000000000002</v>
      </c>
      <c r="Q1141" s="116">
        <v>401.6</v>
      </c>
      <c r="R1141">
        <v>10197585</v>
      </c>
    </row>
    <row r="1142" spans="1:18" x14ac:dyDescent="0.25">
      <c r="A1142" s="170">
        <v>43684</v>
      </c>
      <c r="B1142" s="116">
        <v>39.65</v>
      </c>
      <c r="C1142" s="116">
        <v>38.18</v>
      </c>
      <c r="D1142" s="116">
        <v>37.795000000000002</v>
      </c>
      <c r="E1142" s="116">
        <v>39.58</v>
      </c>
      <c r="F1142" s="116">
        <v>381.8</v>
      </c>
      <c r="G1142">
        <v>889498</v>
      </c>
      <c r="H1142" s="116"/>
      <c r="I1142" s="116"/>
      <c r="L1142" s="170">
        <v>43684</v>
      </c>
      <c r="M1142" s="116">
        <v>38.19</v>
      </c>
      <c r="N1142" s="116">
        <v>39.65</v>
      </c>
      <c r="O1142" s="116">
        <v>37.585000000000001</v>
      </c>
      <c r="P1142" s="116">
        <v>39.5</v>
      </c>
      <c r="Q1142" s="116">
        <v>381.9</v>
      </c>
      <c r="R1142">
        <v>13301609</v>
      </c>
    </row>
    <row r="1143" spans="1:18" x14ac:dyDescent="0.25">
      <c r="A1143" s="170">
        <v>43685</v>
      </c>
      <c r="B1143" s="116">
        <v>37.89</v>
      </c>
      <c r="C1143" s="116">
        <v>36.74</v>
      </c>
      <c r="D1143" s="116">
        <v>36.075000000000003</v>
      </c>
      <c r="E1143" s="116">
        <v>37.704999999999998</v>
      </c>
      <c r="F1143" s="116">
        <v>367.4</v>
      </c>
      <c r="G1143">
        <v>1269570</v>
      </c>
      <c r="H1143" s="116"/>
      <c r="I1143" s="116"/>
      <c r="L1143" s="170">
        <v>43685</v>
      </c>
      <c r="M1143" s="116">
        <v>36.74</v>
      </c>
      <c r="N1143" s="116">
        <v>37.950000000000003</v>
      </c>
      <c r="O1143" s="116">
        <v>36.06</v>
      </c>
      <c r="P1143" s="116">
        <v>37.9</v>
      </c>
      <c r="Q1143" s="116">
        <v>367.4</v>
      </c>
      <c r="R1143">
        <v>22826394</v>
      </c>
    </row>
    <row r="1144" spans="1:18" x14ac:dyDescent="0.25">
      <c r="A1144" s="170">
        <v>43686</v>
      </c>
      <c r="B1144" s="116">
        <v>37.369999999999997</v>
      </c>
      <c r="C1144" s="116">
        <v>36.234999999999999</v>
      </c>
      <c r="D1144" s="116">
        <v>36.11</v>
      </c>
      <c r="E1144" s="116">
        <v>37</v>
      </c>
      <c r="F1144" s="116">
        <v>362.35</v>
      </c>
      <c r="G1144">
        <v>739836</v>
      </c>
      <c r="H1144" s="116"/>
      <c r="I1144" s="116"/>
      <c r="L1144" s="170">
        <v>43686</v>
      </c>
      <c r="M1144" s="116">
        <v>36.234999999999999</v>
      </c>
      <c r="N1144" s="116">
        <v>37.365000000000002</v>
      </c>
      <c r="O1144" s="116">
        <v>36.085000000000001</v>
      </c>
      <c r="P1144" s="116">
        <v>37.049999999999997</v>
      </c>
      <c r="Q1144" s="116">
        <v>362.35</v>
      </c>
      <c r="R1144">
        <v>13352761</v>
      </c>
    </row>
    <row r="1145" spans="1:18" x14ac:dyDescent="0.25">
      <c r="A1145" s="170">
        <v>43690</v>
      </c>
      <c r="B1145" s="116">
        <v>36.76</v>
      </c>
      <c r="C1145" s="116">
        <v>34.840000000000003</v>
      </c>
      <c r="D1145" s="116">
        <v>34.549999999999997</v>
      </c>
      <c r="E1145" s="116">
        <v>36.29</v>
      </c>
      <c r="F1145" s="116">
        <v>348.4</v>
      </c>
      <c r="G1145">
        <v>1002092</v>
      </c>
      <c r="H1145" s="116"/>
      <c r="I1145" s="116"/>
      <c r="L1145" s="170">
        <v>43690</v>
      </c>
      <c r="M1145" s="116">
        <v>34.869999999999997</v>
      </c>
      <c r="N1145" s="116">
        <v>36.76</v>
      </c>
      <c r="O1145" s="116">
        <v>34.534999999999997</v>
      </c>
      <c r="P1145" s="116">
        <v>36.17</v>
      </c>
      <c r="Q1145" s="116">
        <v>348.7</v>
      </c>
      <c r="R1145">
        <v>14782051</v>
      </c>
    </row>
    <row r="1146" spans="1:18" x14ac:dyDescent="0.25">
      <c r="A1146" s="170">
        <v>43691</v>
      </c>
      <c r="B1146" s="116">
        <v>37.04</v>
      </c>
      <c r="C1146" s="116">
        <v>36.445</v>
      </c>
      <c r="D1146" s="116">
        <v>35.200000000000003</v>
      </c>
      <c r="E1146" s="116">
        <v>35.200000000000003</v>
      </c>
      <c r="F1146" s="116">
        <v>364.45</v>
      </c>
      <c r="G1146">
        <v>989871</v>
      </c>
      <c r="H1146" s="116"/>
      <c r="I1146" s="116"/>
      <c r="L1146" s="170">
        <v>43691</v>
      </c>
      <c r="M1146" s="116">
        <v>36.465000000000003</v>
      </c>
      <c r="N1146" s="116">
        <v>37.075000000000003</v>
      </c>
      <c r="O1146" s="116">
        <v>35.340000000000003</v>
      </c>
      <c r="P1146" s="116">
        <v>35.36</v>
      </c>
      <c r="Q1146" s="116">
        <v>364.65</v>
      </c>
      <c r="R1146">
        <v>18738769</v>
      </c>
    </row>
    <row r="1147" spans="1:18" x14ac:dyDescent="0.25">
      <c r="A1147" s="170">
        <v>43693</v>
      </c>
      <c r="B1147" s="116">
        <v>36.664999999999999</v>
      </c>
      <c r="C1147" s="116">
        <v>36.284999999999997</v>
      </c>
      <c r="D1147" s="116">
        <v>35.575000000000003</v>
      </c>
      <c r="E1147" s="116">
        <v>36</v>
      </c>
      <c r="F1147" s="116">
        <v>362.85</v>
      </c>
      <c r="G1147">
        <v>658600</v>
      </c>
      <c r="H1147" s="116"/>
      <c r="I1147" s="116"/>
      <c r="L1147" s="170">
        <v>43693</v>
      </c>
      <c r="M1147" s="116">
        <v>36.305</v>
      </c>
      <c r="N1147" s="116">
        <v>36.69</v>
      </c>
      <c r="O1147" s="116">
        <v>35.545000000000002</v>
      </c>
      <c r="P1147" s="116">
        <v>36</v>
      </c>
      <c r="Q1147" s="116">
        <v>363.05</v>
      </c>
      <c r="R1147">
        <v>11920211</v>
      </c>
    </row>
    <row r="1148" spans="1:18" x14ac:dyDescent="0.25">
      <c r="A1148" s="170">
        <v>43696</v>
      </c>
      <c r="B1148" s="116">
        <v>36.685000000000002</v>
      </c>
      <c r="C1148" s="116">
        <v>35.954999999999998</v>
      </c>
      <c r="D1148" s="116">
        <v>35.734999999999999</v>
      </c>
      <c r="E1148" s="116">
        <v>36.685000000000002</v>
      </c>
      <c r="F1148" s="116">
        <v>359.55</v>
      </c>
      <c r="G1148">
        <v>559504</v>
      </c>
      <c r="H1148" s="116"/>
      <c r="I1148" s="116"/>
      <c r="L1148" s="170">
        <v>43696</v>
      </c>
      <c r="M1148" s="116">
        <v>35.954999999999998</v>
      </c>
      <c r="N1148" s="116">
        <v>36.695</v>
      </c>
      <c r="O1148" s="116">
        <v>35.715000000000003</v>
      </c>
      <c r="P1148" s="116">
        <v>36.590000000000003</v>
      </c>
      <c r="Q1148" s="116">
        <v>359.55</v>
      </c>
      <c r="R1148">
        <v>9884966</v>
      </c>
    </row>
    <row r="1149" spans="1:18" x14ac:dyDescent="0.25">
      <c r="A1149" s="170">
        <v>43697</v>
      </c>
      <c r="B1149" s="116">
        <v>36.18</v>
      </c>
      <c r="C1149" s="116">
        <v>35.83</v>
      </c>
      <c r="D1149" s="116">
        <v>35.314999999999998</v>
      </c>
      <c r="E1149" s="116">
        <v>36</v>
      </c>
      <c r="F1149" s="116">
        <v>358.3</v>
      </c>
      <c r="G1149">
        <v>565156</v>
      </c>
      <c r="H1149" s="116"/>
      <c r="I1149" s="116"/>
      <c r="L1149" s="170">
        <v>43697</v>
      </c>
      <c r="M1149" s="116">
        <v>35.825000000000003</v>
      </c>
      <c r="N1149" s="116">
        <v>36.185000000000002</v>
      </c>
      <c r="O1149" s="116">
        <v>35.314999999999998</v>
      </c>
      <c r="P1149" s="116">
        <v>35.97</v>
      </c>
      <c r="Q1149" s="116">
        <v>358.25</v>
      </c>
      <c r="R1149">
        <v>9363734</v>
      </c>
    </row>
    <row r="1150" spans="1:18" x14ac:dyDescent="0.25">
      <c r="A1150" s="170">
        <v>43698</v>
      </c>
      <c r="B1150" s="116">
        <v>35.83</v>
      </c>
      <c r="C1150" s="116">
        <v>34.305</v>
      </c>
      <c r="D1150" s="116">
        <v>34.18</v>
      </c>
      <c r="E1150" s="116">
        <v>35.79</v>
      </c>
      <c r="F1150" s="116">
        <v>343.05</v>
      </c>
      <c r="G1150">
        <v>609402</v>
      </c>
      <c r="H1150" s="116"/>
      <c r="I1150" s="116"/>
      <c r="L1150" s="170">
        <v>43698</v>
      </c>
      <c r="M1150" s="116">
        <v>34.299999999999997</v>
      </c>
      <c r="N1150" s="116">
        <v>35.82</v>
      </c>
      <c r="O1150" s="116">
        <v>34.185000000000002</v>
      </c>
      <c r="P1150" s="116">
        <v>35.700000000000003</v>
      </c>
      <c r="Q1150" s="116">
        <v>343</v>
      </c>
      <c r="R1150">
        <v>11423378</v>
      </c>
    </row>
    <row r="1151" spans="1:18" x14ac:dyDescent="0.25">
      <c r="A1151" s="170">
        <v>43699</v>
      </c>
      <c r="B1151" s="116">
        <v>34.67</v>
      </c>
      <c r="C1151" s="116">
        <v>33.335000000000001</v>
      </c>
      <c r="D1151" s="116">
        <v>33.020000000000003</v>
      </c>
      <c r="E1151" s="116">
        <v>34</v>
      </c>
      <c r="F1151" s="116">
        <v>333.35</v>
      </c>
      <c r="G1151">
        <v>1910719</v>
      </c>
      <c r="H1151" s="116"/>
      <c r="I1151" s="116"/>
      <c r="L1151" s="170">
        <v>43699</v>
      </c>
      <c r="M1151" s="116">
        <v>33.369999999999997</v>
      </c>
      <c r="N1151" s="116">
        <v>34.695</v>
      </c>
      <c r="O1151" s="116">
        <v>33.04</v>
      </c>
      <c r="P1151" s="116">
        <v>33.99</v>
      </c>
      <c r="Q1151" s="116">
        <v>333.7</v>
      </c>
      <c r="R1151">
        <v>15459800</v>
      </c>
    </row>
    <row r="1152" spans="1:18" x14ac:dyDescent="0.25">
      <c r="A1152" s="170">
        <v>43700</v>
      </c>
      <c r="B1152" s="116">
        <v>34.880000000000003</v>
      </c>
      <c r="C1152" s="116">
        <v>34.479999999999997</v>
      </c>
      <c r="D1152" s="116">
        <v>33</v>
      </c>
      <c r="E1152" s="116">
        <v>33.314999999999998</v>
      </c>
      <c r="F1152" s="116">
        <v>344.8</v>
      </c>
      <c r="G1152">
        <v>871292</v>
      </c>
      <c r="H1152" s="116"/>
      <c r="I1152" s="116"/>
      <c r="L1152" s="170">
        <v>43700</v>
      </c>
      <c r="M1152" s="116">
        <v>34.524999999999999</v>
      </c>
      <c r="N1152" s="116">
        <v>34.895000000000003</v>
      </c>
      <c r="O1152" s="116">
        <v>33.034999999999997</v>
      </c>
      <c r="P1152" s="116">
        <v>33.299999999999997</v>
      </c>
      <c r="Q1152" s="116">
        <v>345.25</v>
      </c>
      <c r="R1152">
        <v>11210134</v>
      </c>
    </row>
    <row r="1153" spans="1:18" x14ac:dyDescent="0.25">
      <c r="A1153" s="170">
        <v>43703</v>
      </c>
      <c r="B1153" s="116">
        <v>34.799999999999997</v>
      </c>
      <c r="C1153" s="116">
        <v>33.79</v>
      </c>
      <c r="D1153" s="116">
        <v>32.244999999999997</v>
      </c>
      <c r="E1153" s="116">
        <v>34.700000000000003</v>
      </c>
      <c r="F1153" s="116">
        <v>337.9</v>
      </c>
      <c r="G1153">
        <v>1751660</v>
      </c>
      <c r="H1153" s="116"/>
      <c r="I1153" s="116"/>
      <c r="L1153" s="170">
        <v>43703</v>
      </c>
      <c r="M1153" s="116">
        <v>33.805</v>
      </c>
      <c r="N1153" s="116">
        <v>34.76</v>
      </c>
      <c r="O1153" s="116">
        <v>32.22</v>
      </c>
      <c r="P1153" s="116">
        <v>34.64</v>
      </c>
      <c r="Q1153" s="116">
        <v>338.05</v>
      </c>
      <c r="R1153">
        <v>23764999</v>
      </c>
    </row>
    <row r="1154" spans="1:18" x14ac:dyDescent="0.25">
      <c r="A1154" s="170">
        <v>43704</v>
      </c>
      <c r="B1154" s="116">
        <v>35.445</v>
      </c>
      <c r="C1154" s="116">
        <v>35.094999999999999</v>
      </c>
      <c r="D1154" s="116">
        <v>34.015000000000001</v>
      </c>
      <c r="E1154" s="116">
        <v>34.015000000000001</v>
      </c>
      <c r="F1154" s="116">
        <v>350.95</v>
      </c>
      <c r="G1154">
        <v>1065842</v>
      </c>
      <c r="H1154" s="116"/>
      <c r="I1154" s="116"/>
      <c r="L1154" s="170">
        <v>43704</v>
      </c>
      <c r="M1154" s="116">
        <v>35.090000000000003</v>
      </c>
      <c r="N1154" s="116">
        <v>35.47</v>
      </c>
      <c r="O1154" s="116">
        <v>34.015000000000001</v>
      </c>
      <c r="P1154" s="116">
        <v>34.094999999999999</v>
      </c>
      <c r="Q1154" s="116">
        <v>350.9</v>
      </c>
      <c r="R1154">
        <v>17375296</v>
      </c>
    </row>
    <row r="1155" spans="1:18" x14ac:dyDescent="0.25">
      <c r="A1155" s="170">
        <v>43705</v>
      </c>
      <c r="B1155" s="116">
        <v>35.06</v>
      </c>
      <c r="C1155" s="116">
        <v>33.685000000000002</v>
      </c>
      <c r="D1155" s="116">
        <v>33.36</v>
      </c>
      <c r="E1155" s="116">
        <v>35</v>
      </c>
      <c r="F1155" s="116">
        <v>336.85</v>
      </c>
      <c r="G1155">
        <v>809265</v>
      </c>
      <c r="H1155" s="116"/>
      <c r="I1155" s="116"/>
      <c r="L1155" s="170">
        <v>43705</v>
      </c>
      <c r="M1155" s="116">
        <v>33.695</v>
      </c>
      <c r="N1155" s="116">
        <v>35.090000000000003</v>
      </c>
      <c r="O1155" s="116">
        <v>33.340000000000003</v>
      </c>
      <c r="P1155" s="116">
        <v>35.090000000000003</v>
      </c>
      <c r="Q1155" s="116">
        <v>336.95</v>
      </c>
      <c r="R1155">
        <v>12641716</v>
      </c>
    </row>
    <row r="1156" spans="1:18" x14ac:dyDescent="0.25">
      <c r="A1156" s="170">
        <v>43706</v>
      </c>
      <c r="B1156" s="116">
        <v>34.234999999999999</v>
      </c>
      <c r="C1156" s="116">
        <v>33.555</v>
      </c>
      <c r="D1156" s="116">
        <v>32.854999999999997</v>
      </c>
      <c r="E1156" s="116">
        <v>33.44</v>
      </c>
      <c r="F1156" s="116">
        <v>335.55</v>
      </c>
      <c r="G1156">
        <v>880381</v>
      </c>
      <c r="H1156" s="116"/>
      <c r="I1156" s="116"/>
      <c r="L1156" s="170">
        <v>43706</v>
      </c>
      <c r="M1156" s="116">
        <v>33.555</v>
      </c>
      <c r="N1156" s="116">
        <v>34.265000000000001</v>
      </c>
      <c r="O1156" s="116">
        <v>32.86</v>
      </c>
      <c r="P1156" s="116">
        <v>33.4</v>
      </c>
      <c r="Q1156" s="116">
        <v>335.55</v>
      </c>
      <c r="R1156">
        <v>13481310</v>
      </c>
    </row>
    <row r="1157" spans="1:18" x14ac:dyDescent="0.25">
      <c r="A1157" s="170">
        <v>43707</v>
      </c>
      <c r="B1157" s="116">
        <v>34.700000000000003</v>
      </c>
      <c r="C1157" s="116">
        <v>34.494999999999997</v>
      </c>
      <c r="D1157" s="116">
        <v>33.715000000000003</v>
      </c>
      <c r="E1157" s="116">
        <v>34.17</v>
      </c>
      <c r="F1157" s="116">
        <v>344.95</v>
      </c>
      <c r="G1157">
        <v>946537</v>
      </c>
      <c r="H1157" s="116"/>
      <c r="I1157" s="116"/>
      <c r="L1157" s="170">
        <v>43707</v>
      </c>
      <c r="M1157" s="116">
        <v>34.49</v>
      </c>
      <c r="N1157" s="116">
        <v>34.75</v>
      </c>
      <c r="O1157" s="116">
        <v>33.72</v>
      </c>
      <c r="P1157" s="116">
        <v>34.200000000000003</v>
      </c>
      <c r="Q1157" s="116">
        <v>344.9</v>
      </c>
      <c r="R1157">
        <v>17972207</v>
      </c>
    </row>
    <row r="1158" spans="1:18" x14ac:dyDescent="0.25">
      <c r="A1158" s="170">
        <v>43711</v>
      </c>
      <c r="B1158" s="116">
        <v>34.159999999999997</v>
      </c>
      <c r="C1158" s="116">
        <v>33.14</v>
      </c>
      <c r="D1158" s="116">
        <v>32.92</v>
      </c>
      <c r="E1158" s="116">
        <v>34.159999999999997</v>
      </c>
      <c r="F1158" s="116">
        <v>331.4</v>
      </c>
      <c r="G1158">
        <v>523728</v>
      </c>
      <c r="H1158" s="116"/>
      <c r="I1158" s="116"/>
      <c r="L1158" s="170">
        <v>43711</v>
      </c>
      <c r="M1158" s="116">
        <v>33.14</v>
      </c>
      <c r="N1158" s="116">
        <v>34.115000000000002</v>
      </c>
      <c r="O1158" s="116">
        <v>32.9</v>
      </c>
      <c r="P1158" s="116">
        <v>34.1</v>
      </c>
      <c r="Q1158" s="116">
        <v>331.4</v>
      </c>
      <c r="R1158">
        <v>9220653</v>
      </c>
    </row>
    <row r="1159" spans="1:18" x14ac:dyDescent="0.25">
      <c r="A1159" s="170">
        <v>43712</v>
      </c>
      <c r="B1159" s="116">
        <v>34.1</v>
      </c>
      <c r="C1159" s="116">
        <v>33.935000000000002</v>
      </c>
      <c r="D1159" s="116">
        <v>32.734999999999999</v>
      </c>
      <c r="E1159" s="116">
        <v>32.99</v>
      </c>
      <c r="F1159" s="116">
        <v>339.35</v>
      </c>
      <c r="G1159">
        <v>919319</v>
      </c>
      <c r="H1159" s="116"/>
      <c r="I1159" s="116"/>
      <c r="L1159" s="170">
        <v>43712</v>
      </c>
      <c r="M1159" s="116">
        <v>33.924999999999997</v>
      </c>
      <c r="N1159" s="116">
        <v>34.094999999999999</v>
      </c>
      <c r="O1159" s="116">
        <v>32.729999999999997</v>
      </c>
      <c r="P1159" s="116">
        <v>33.14</v>
      </c>
      <c r="Q1159" s="116">
        <v>339.25</v>
      </c>
      <c r="R1159">
        <v>12904710</v>
      </c>
    </row>
    <row r="1160" spans="1:18" x14ac:dyDescent="0.25">
      <c r="A1160" s="170">
        <v>43713</v>
      </c>
      <c r="B1160" s="116">
        <v>35.200000000000003</v>
      </c>
      <c r="C1160" s="116">
        <v>34.5</v>
      </c>
      <c r="D1160" s="116">
        <v>34.25</v>
      </c>
      <c r="E1160" s="116">
        <v>34.520000000000003</v>
      </c>
      <c r="F1160" s="116">
        <v>345</v>
      </c>
      <c r="G1160">
        <v>931266</v>
      </c>
      <c r="H1160" s="116"/>
      <c r="I1160" s="116"/>
      <c r="L1160" s="170">
        <v>43713</v>
      </c>
      <c r="M1160" s="116">
        <v>34.515000000000001</v>
      </c>
      <c r="N1160" s="116">
        <v>35.200000000000003</v>
      </c>
      <c r="O1160" s="116">
        <v>34.225000000000001</v>
      </c>
      <c r="P1160" s="116">
        <v>34.6</v>
      </c>
      <c r="Q1160" s="116">
        <v>345.15</v>
      </c>
      <c r="R1160">
        <v>14250885</v>
      </c>
    </row>
    <row r="1161" spans="1:18" x14ac:dyDescent="0.25">
      <c r="A1161" s="170">
        <v>43714</v>
      </c>
      <c r="B1161" s="116">
        <v>35.78</v>
      </c>
      <c r="C1161" s="116">
        <v>35.53</v>
      </c>
      <c r="D1161" s="116">
        <v>34.284999999999997</v>
      </c>
      <c r="E1161" s="116">
        <v>34.695</v>
      </c>
      <c r="F1161" s="116">
        <v>355.3</v>
      </c>
      <c r="G1161">
        <v>619169</v>
      </c>
      <c r="H1161" s="116"/>
      <c r="I1161" s="116"/>
      <c r="L1161" s="170">
        <v>43714</v>
      </c>
      <c r="M1161" s="116">
        <v>35.54</v>
      </c>
      <c r="N1161" s="116">
        <v>35.784999999999997</v>
      </c>
      <c r="O1161" s="116">
        <v>34.284999999999997</v>
      </c>
      <c r="P1161" s="116">
        <v>34.700000000000003</v>
      </c>
      <c r="Q1161" s="116">
        <v>355.4</v>
      </c>
      <c r="R1161">
        <v>11555487</v>
      </c>
    </row>
    <row r="1162" spans="1:18" x14ac:dyDescent="0.25">
      <c r="A1162" s="170">
        <v>43717</v>
      </c>
      <c r="B1162" s="116">
        <v>36.06</v>
      </c>
      <c r="C1162" s="116">
        <v>35.35</v>
      </c>
      <c r="D1162" s="116">
        <v>34.835000000000001</v>
      </c>
      <c r="E1162" s="116">
        <v>35.6</v>
      </c>
      <c r="F1162" s="116">
        <v>353.5</v>
      </c>
      <c r="G1162">
        <v>964798</v>
      </c>
      <c r="H1162" s="116"/>
      <c r="I1162" s="116"/>
      <c r="L1162" s="170">
        <v>43717</v>
      </c>
      <c r="M1162" s="116">
        <v>35.380000000000003</v>
      </c>
      <c r="N1162" s="116">
        <v>36.06</v>
      </c>
      <c r="O1162" s="116">
        <v>34.814999999999998</v>
      </c>
      <c r="P1162" s="116">
        <v>35.54</v>
      </c>
      <c r="Q1162" s="116">
        <v>353.8</v>
      </c>
      <c r="R1162">
        <v>14329619</v>
      </c>
    </row>
    <row r="1163" spans="1:18" x14ac:dyDescent="0.25">
      <c r="A1163" s="170">
        <v>43719</v>
      </c>
      <c r="B1163" s="116">
        <v>36.835000000000001</v>
      </c>
      <c r="C1163" s="116">
        <v>36.71</v>
      </c>
      <c r="D1163" s="116">
        <v>35.549999999999997</v>
      </c>
      <c r="E1163" s="116">
        <v>35.61</v>
      </c>
      <c r="F1163" s="116">
        <v>367.1</v>
      </c>
      <c r="G1163">
        <v>808945</v>
      </c>
      <c r="H1163" s="116"/>
      <c r="I1163" s="116"/>
      <c r="L1163" s="170">
        <v>43719</v>
      </c>
      <c r="M1163" s="116">
        <v>36.704999999999998</v>
      </c>
      <c r="N1163" s="116">
        <v>36.869999999999997</v>
      </c>
      <c r="O1163" s="116">
        <v>35.520000000000003</v>
      </c>
      <c r="P1163" s="116">
        <v>35.53</v>
      </c>
      <c r="Q1163" s="116">
        <v>367.05</v>
      </c>
      <c r="R1163">
        <v>13650027</v>
      </c>
    </row>
    <row r="1164" spans="1:18" x14ac:dyDescent="0.25">
      <c r="A1164" s="170">
        <v>43720</v>
      </c>
      <c r="B1164" s="116">
        <v>37.99</v>
      </c>
      <c r="C1164" s="116">
        <v>36.450000000000003</v>
      </c>
      <c r="D1164" s="116">
        <v>36.29</v>
      </c>
      <c r="E1164" s="116">
        <v>36.700000000000003</v>
      </c>
      <c r="F1164" s="116">
        <v>364.5</v>
      </c>
      <c r="G1164">
        <v>1230534</v>
      </c>
      <c r="H1164" s="116"/>
      <c r="I1164" s="116"/>
      <c r="L1164" s="170">
        <v>43720</v>
      </c>
      <c r="M1164" s="116">
        <v>36.505000000000003</v>
      </c>
      <c r="N1164" s="116">
        <v>37.950000000000003</v>
      </c>
      <c r="O1164" s="116">
        <v>36.299999999999997</v>
      </c>
      <c r="P1164" s="116">
        <v>36.880000000000003</v>
      </c>
      <c r="Q1164" s="116">
        <v>365.05</v>
      </c>
      <c r="R1164">
        <v>18846820</v>
      </c>
    </row>
    <row r="1165" spans="1:18" x14ac:dyDescent="0.25">
      <c r="A1165" s="170">
        <v>43721</v>
      </c>
      <c r="B1165" s="116">
        <v>36.895000000000003</v>
      </c>
      <c r="C1165" s="116">
        <v>36.725000000000001</v>
      </c>
      <c r="D1165" s="116">
        <v>35.79</v>
      </c>
      <c r="E1165" s="116">
        <v>36.79</v>
      </c>
      <c r="F1165" s="116">
        <v>367.25</v>
      </c>
      <c r="G1165">
        <v>805990</v>
      </c>
      <c r="H1165" s="116"/>
      <c r="I1165" s="116"/>
      <c r="L1165" s="170">
        <v>43721</v>
      </c>
      <c r="M1165" s="116">
        <v>36.734999999999999</v>
      </c>
      <c r="N1165" s="116">
        <v>36.914999999999999</v>
      </c>
      <c r="O1165" s="116">
        <v>35.774999999999999</v>
      </c>
      <c r="P1165" s="116">
        <v>36.700000000000003</v>
      </c>
      <c r="Q1165" s="116">
        <v>367.35</v>
      </c>
      <c r="R1165">
        <v>11622249</v>
      </c>
    </row>
    <row r="1166" spans="1:18" x14ac:dyDescent="0.25">
      <c r="A1166" s="170">
        <v>43724</v>
      </c>
      <c r="B1166" s="116">
        <v>36.64</v>
      </c>
      <c r="C1166" s="116">
        <v>36.115000000000002</v>
      </c>
      <c r="D1166" s="116">
        <v>35.869999999999997</v>
      </c>
      <c r="E1166" s="116">
        <v>36.299999999999997</v>
      </c>
      <c r="F1166" s="116">
        <v>361.15</v>
      </c>
      <c r="G1166">
        <v>483728</v>
      </c>
      <c r="H1166" s="116"/>
      <c r="I1166" s="116"/>
      <c r="L1166" s="170">
        <v>43724</v>
      </c>
      <c r="M1166" s="116">
        <v>36.11</v>
      </c>
      <c r="N1166" s="116">
        <v>36.64</v>
      </c>
      <c r="O1166" s="116">
        <v>35.86</v>
      </c>
      <c r="P1166" s="116">
        <v>36.200000000000003</v>
      </c>
      <c r="Q1166" s="116">
        <v>361.1</v>
      </c>
      <c r="R1166">
        <v>8064319</v>
      </c>
    </row>
    <row r="1167" spans="1:18" x14ac:dyDescent="0.25">
      <c r="A1167" s="170">
        <v>43725</v>
      </c>
      <c r="B1167" s="116">
        <v>36.594999999999999</v>
      </c>
      <c r="C1167" s="116">
        <v>34.445</v>
      </c>
      <c r="D1167" s="116">
        <v>34.225000000000001</v>
      </c>
      <c r="E1167" s="116">
        <v>36.115000000000002</v>
      </c>
      <c r="F1167" s="116">
        <v>344.45</v>
      </c>
      <c r="G1167">
        <v>934610</v>
      </c>
      <c r="H1167" s="116"/>
      <c r="I1167" s="116"/>
      <c r="L1167" s="170">
        <v>43725</v>
      </c>
      <c r="M1167" s="116">
        <v>34.494999999999997</v>
      </c>
      <c r="N1167" s="116">
        <v>36.6</v>
      </c>
      <c r="O1167" s="116">
        <v>34.204999999999998</v>
      </c>
      <c r="P1167" s="116">
        <v>36.119999999999997</v>
      </c>
      <c r="Q1167" s="116">
        <v>344.95</v>
      </c>
      <c r="R1167">
        <v>13198400</v>
      </c>
    </row>
    <row r="1168" spans="1:18" x14ac:dyDescent="0.25">
      <c r="A1168" s="170">
        <v>43726</v>
      </c>
      <c r="B1168" s="116">
        <v>36.1</v>
      </c>
      <c r="C1168" s="116">
        <v>35.805</v>
      </c>
      <c r="D1168" s="116">
        <v>34.56</v>
      </c>
      <c r="E1168" s="116">
        <v>34.72</v>
      </c>
      <c r="F1168" s="116">
        <v>358.05</v>
      </c>
      <c r="G1168">
        <v>875266</v>
      </c>
      <c r="H1168" s="116"/>
      <c r="I1168" s="116"/>
      <c r="L1168" s="170">
        <v>43726</v>
      </c>
      <c r="M1168" s="116">
        <v>35.825000000000003</v>
      </c>
      <c r="N1168" s="116">
        <v>36.130000000000003</v>
      </c>
      <c r="O1168" s="116">
        <v>34.534999999999997</v>
      </c>
      <c r="P1168" s="116">
        <v>34.799999999999997</v>
      </c>
      <c r="Q1168" s="116">
        <v>358.25</v>
      </c>
      <c r="R1168">
        <v>16253184</v>
      </c>
    </row>
    <row r="1169" spans="1:18" x14ac:dyDescent="0.25">
      <c r="A1169" s="170">
        <v>43727</v>
      </c>
      <c r="B1169" s="116">
        <v>35.69</v>
      </c>
      <c r="C1169" s="116">
        <v>34.494999999999997</v>
      </c>
      <c r="D1169" s="116">
        <v>34.094999999999999</v>
      </c>
      <c r="E1169" s="116">
        <v>35.69</v>
      </c>
      <c r="F1169" s="116">
        <v>344.95</v>
      </c>
      <c r="G1169">
        <v>777418</v>
      </c>
      <c r="H1169" s="116"/>
      <c r="I1169" s="116"/>
      <c r="L1169" s="170">
        <v>43727</v>
      </c>
      <c r="M1169" s="116">
        <v>34.465000000000003</v>
      </c>
      <c r="N1169" s="116">
        <v>35.6</v>
      </c>
      <c r="O1169" s="116">
        <v>34.005000000000003</v>
      </c>
      <c r="P1169" s="116">
        <v>35.6</v>
      </c>
      <c r="Q1169" s="116">
        <v>344.65</v>
      </c>
      <c r="R1169">
        <v>13656495</v>
      </c>
    </row>
    <row r="1170" spans="1:18" x14ac:dyDescent="0.25">
      <c r="A1170" s="170">
        <v>43728</v>
      </c>
      <c r="B1170" s="116">
        <v>38.07</v>
      </c>
      <c r="C1170" s="116">
        <v>36.909999999999997</v>
      </c>
      <c r="D1170" s="116">
        <v>34.424999999999997</v>
      </c>
      <c r="E1170" s="116">
        <v>34.555</v>
      </c>
      <c r="F1170" s="116">
        <v>369.1</v>
      </c>
      <c r="G1170">
        <v>1655951</v>
      </c>
      <c r="H1170" s="116"/>
      <c r="I1170" s="116"/>
      <c r="L1170" s="170">
        <v>43728</v>
      </c>
      <c r="M1170" s="116">
        <v>36.854999999999997</v>
      </c>
      <c r="N1170" s="116">
        <v>38.1</v>
      </c>
      <c r="O1170" s="116">
        <v>34.409999999999997</v>
      </c>
      <c r="P1170" s="116">
        <v>34.79</v>
      </c>
      <c r="Q1170" s="116">
        <v>368.55</v>
      </c>
      <c r="R1170">
        <v>26764714</v>
      </c>
    </row>
    <row r="1171" spans="1:18" x14ac:dyDescent="0.25">
      <c r="A1171" s="170">
        <v>43731</v>
      </c>
      <c r="B1171" s="116">
        <v>38.799999999999997</v>
      </c>
      <c r="C1171" s="116">
        <v>37.75</v>
      </c>
      <c r="D1171" s="116">
        <v>36.909999999999997</v>
      </c>
      <c r="E1171" s="116">
        <v>37.6</v>
      </c>
      <c r="F1171" s="116">
        <v>377.5</v>
      </c>
      <c r="G1171">
        <v>1405467</v>
      </c>
      <c r="H1171" s="116"/>
      <c r="I1171" s="116"/>
      <c r="L1171" s="170">
        <v>43731</v>
      </c>
      <c r="M1171" s="116">
        <v>37.734999999999999</v>
      </c>
      <c r="N1171" s="116">
        <v>38.884999999999998</v>
      </c>
      <c r="O1171" s="116">
        <v>36.9</v>
      </c>
      <c r="P1171" s="116">
        <v>37.76</v>
      </c>
      <c r="Q1171" s="116">
        <v>377.35</v>
      </c>
      <c r="R1171">
        <v>16393164</v>
      </c>
    </row>
    <row r="1172" spans="1:18" x14ac:dyDescent="0.25">
      <c r="A1172" s="170">
        <v>43732</v>
      </c>
      <c r="B1172" s="116">
        <v>38.1</v>
      </c>
      <c r="C1172" s="116">
        <v>37.064999999999998</v>
      </c>
      <c r="D1172" s="116">
        <v>36.825000000000003</v>
      </c>
      <c r="E1172" s="116">
        <v>38.1</v>
      </c>
      <c r="F1172" s="116">
        <v>370.65</v>
      </c>
      <c r="G1172">
        <v>725561</v>
      </c>
      <c r="H1172" s="116"/>
      <c r="I1172" s="116"/>
      <c r="L1172" s="170">
        <v>43732</v>
      </c>
      <c r="M1172" s="116">
        <v>37.08</v>
      </c>
      <c r="N1172" s="116">
        <v>37.93</v>
      </c>
      <c r="O1172" s="116">
        <v>36.82</v>
      </c>
      <c r="P1172" s="116">
        <v>37.799999999999997</v>
      </c>
      <c r="Q1172" s="116">
        <v>370.8</v>
      </c>
      <c r="R1172">
        <v>9578989</v>
      </c>
    </row>
    <row r="1173" spans="1:18" x14ac:dyDescent="0.25">
      <c r="A1173" s="170">
        <v>43733</v>
      </c>
      <c r="B1173" s="116">
        <v>36.869999999999997</v>
      </c>
      <c r="C1173" s="116">
        <v>36.215000000000003</v>
      </c>
      <c r="D1173" s="116">
        <v>35.76</v>
      </c>
      <c r="E1173" s="116">
        <v>36.869999999999997</v>
      </c>
      <c r="F1173" s="116">
        <v>362.15</v>
      </c>
      <c r="G1173">
        <v>644656</v>
      </c>
      <c r="H1173" s="116"/>
      <c r="I1173" s="116"/>
      <c r="L1173" s="170">
        <v>43733</v>
      </c>
      <c r="M1173" s="116">
        <v>36.204999999999998</v>
      </c>
      <c r="N1173" s="116">
        <v>36.795000000000002</v>
      </c>
      <c r="O1173" s="116">
        <v>35.755000000000003</v>
      </c>
      <c r="P1173" s="116">
        <v>36.75</v>
      </c>
      <c r="Q1173" s="116">
        <v>362.05</v>
      </c>
      <c r="R1173">
        <v>9116985</v>
      </c>
    </row>
    <row r="1174" spans="1:18" x14ac:dyDescent="0.25">
      <c r="A1174" s="170">
        <v>43734</v>
      </c>
      <c r="B1174" s="116">
        <v>37.93</v>
      </c>
      <c r="C1174" s="116">
        <v>37.61</v>
      </c>
      <c r="D1174" s="116">
        <v>36.35</v>
      </c>
      <c r="E1174" s="116">
        <v>36.43</v>
      </c>
      <c r="F1174" s="116">
        <v>376.1</v>
      </c>
      <c r="G1174">
        <v>1129212</v>
      </c>
      <c r="H1174" s="116"/>
      <c r="I1174" s="116"/>
      <c r="L1174" s="170">
        <v>43734</v>
      </c>
      <c r="M1174" s="116">
        <v>37.575000000000003</v>
      </c>
      <c r="N1174" s="116">
        <v>37.935000000000002</v>
      </c>
      <c r="O1174" s="116">
        <v>36.335000000000001</v>
      </c>
      <c r="P1174" s="116">
        <v>36.5</v>
      </c>
      <c r="Q1174" s="116">
        <v>375.75</v>
      </c>
      <c r="R1174">
        <v>14066152</v>
      </c>
    </row>
    <row r="1175" spans="1:18" x14ac:dyDescent="0.25">
      <c r="A1175" s="170">
        <v>43735</v>
      </c>
      <c r="B1175" s="116">
        <v>37.405000000000001</v>
      </c>
      <c r="C1175" s="116">
        <v>35.954999999999998</v>
      </c>
      <c r="D1175" s="116">
        <v>35.799999999999997</v>
      </c>
      <c r="E1175" s="116">
        <v>37.4</v>
      </c>
      <c r="F1175" s="116">
        <v>359.55</v>
      </c>
      <c r="G1175">
        <v>738325</v>
      </c>
      <c r="H1175" s="116"/>
      <c r="I1175" s="116"/>
      <c r="L1175" s="170">
        <v>43735</v>
      </c>
      <c r="M1175" s="116">
        <v>35.965000000000003</v>
      </c>
      <c r="N1175" s="116">
        <v>37.35</v>
      </c>
      <c r="O1175" s="116">
        <v>35.799999999999997</v>
      </c>
      <c r="P1175" s="116">
        <v>37.299999999999997</v>
      </c>
      <c r="Q1175" s="116">
        <v>359.65</v>
      </c>
      <c r="R1175">
        <v>10568777</v>
      </c>
    </row>
    <row r="1176" spans="1:18" x14ac:dyDescent="0.25">
      <c r="A1176" s="170">
        <v>43738</v>
      </c>
      <c r="B1176" s="116">
        <v>36.35</v>
      </c>
      <c r="C1176" s="116">
        <v>35.979999999999997</v>
      </c>
      <c r="D1176" s="116">
        <v>34.58</v>
      </c>
      <c r="E1176" s="116">
        <v>35.590000000000003</v>
      </c>
      <c r="F1176" s="116">
        <v>359.8</v>
      </c>
      <c r="G1176">
        <v>741551</v>
      </c>
      <c r="H1176" s="116"/>
      <c r="I1176" s="116"/>
      <c r="L1176" s="170">
        <v>43738</v>
      </c>
      <c r="M1176" s="116">
        <v>36.049999999999997</v>
      </c>
      <c r="N1176" s="116">
        <v>36.369999999999997</v>
      </c>
      <c r="O1176" s="116">
        <v>34.56</v>
      </c>
      <c r="P1176" s="116">
        <v>35.5</v>
      </c>
      <c r="Q1176" s="116">
        <v>360.5</v>
      </c>
      <c r="R1176">
        <v>14719696</v>
      </c>
    </row>
    <row r="1177" spans="1:18" x14ac:dyDescent="0.25">
      <c r="A1177" s="170">
        <v>43739</v>
      </c>
      <c r="B1177" s="116">
        <v>36.479999999999997</v>
      </c>
      <c r="C1177" s="116">
        <v>35.14</v>
      </c>
      <c r="D1177" s="116">
        <v>34.424999999999997</v>
      </c>
      <c r="E1177" s="116">
        <v>36.479999999999997</v>
      </c>
      <c r="F1177" s="116">
        <v>351.4</v>
      </c>
      <c r="G1177">
        <v>731887</v>
      </c>
      <c r="H1177" s="116"/>
      <c r="I1177" s="116"/>
      <c r="L1177" s="170">
        <v>43739</v>
      </c>
      <c r="M1177" s="116">
        <v>35.155000000000001</v>
      </c>
      <c r="N1177" s="116">
        <v>36.47</v>
      </c>
      <c r="O1177" s="116">
        <v>34.409999999999997</v>
      </c>
      <c r="P1177" s="116">
        <v>36.200000000000003</v>
      </c>
      <c r="Q1177" s="116">
        <v>351.55</v>
      </c>
      <c r="R1177">
        <v>12564189</v>
      </c>
    </row>
    <row r="1178" spans="1:18" x14ac:dyDescent="0.25">
      <c r="A1178" s="170">
        <v>43741</v>
      </c>
      <c r="B1178" s="116">
        <v>34.895000000000003</v>
      </c>
      <c r="C1178" s="116">
        <v>33.96</v>
      </c>
      <c r="D1178" s="116">
        <v>33.86</v>
      </c>
      <c r="E1178" s="116">
        <v>34.880000000000003</v>
      </c>
      <c r="F1178" s="116">
        <v>339.6</v>
      </c>
      <c r="G1178">
        <v>735115</v>
      </c>
      <c r="H1178" s="116"/>
      <c r="I1178" s="116"/>
      <c r="L1178" s="170">
        <v>43741</v>
      </c>
      <c r="M1178" s="116">
        <v>33.96</v>
      </c>
      <c r="N1178" s="116">
        <v>34.89</v>
      </c>
      <c r="O1178" s="116">
        <v>33.844999999999999</v>
      </c>
      <c r="P1178" s="116">
        <v>34.65</v>
      </c>
      <c r="Q1178" s="116">
        <v>339.6</v>
      </c>
      <c r="R1178">
        <v>12130956</v>
      </c>
    </row>
    <row r="1179" spans="1:18" x14ac:dyDescent="0.25">
      <c r="A1179" s="170">
        <v>43742</v>
      </c>
      <c r="B1179" s="116">
        <v>34.49</v>
      </c>
      <c r="C1179" s="116">
        <v>33.31</v>
      </c>
      <c r="D1179" s="116">
        <v>33.125</v>
      </c>
      <c r="E1179" s="116">
        <v>34.215000000000003</v>
      </c>
      <c r="F1179" s="116">
        <v>333.1</v>
      </c>
      <c r="G1179">
        <v>714654</v>
      </c>
      <c r="H1179" s="116"/>
      <c r="I1179" s="116"/>
      <c r="L1179" s="170">
        <v>43742</v>
      </c>
      <c r="M1179" s="116">
        <v>33.31</v>
      </c>
      <c r="N1179" s="116">
        <v>34.479999999999997</v>
      </c>
      <c r="O1179" s="116">
        <v>33.11</v>
      </c>
      <c r="P1179" s="116">
        <v>34.475000000000001</v>
      </c>
      <c r="Q1179" s="116">
        <v>333.1</v>
      </c>
      <c r="R1179">
        <v>11445216</v>
      </c>
    </row>
    <row r="1180" spans="1:18" x14ac:dyDescent="0.25">
      <c r="A1180" s="170">
        <v>43745</v>
      </c>
      <c r="B1180" s="116">
        <v>33.825000000000003</v>
      </c>
      <c r="C1180" s="116">
        <v>32.479999999999997</v>
      </c>
      <c r="D1180" s="116">
        <v>32.33</v>
      </c>
      <c r="E1180" s="116">
        <v>33.68</v>
      </c>
      <c r="F1180" s="116">
        <v>324.8</v>
      </c>
      <c r="G1180">
        <v>801906</v>
      </c>
      <c r="H1180" s="116"/>
      <c r="I1180" s="116"/>
      <c r="L1180" s="170">
        <v>43745</v>
      </c>
      <c r="M1180" s="116">
        <v>32.479999999999997</v>
      </c>
      <c r="N1180" s="116">
        <v>33.825000000000003</v>
      </c>
      <c r="O1180" s="116">
        <v>32.35</v>
      </c>
      <c r="P1180" s="116">
        <v>33.484999999999999</v>
      </c>
      <c r="Q1180" s="116">
        <v>324.8</v>
      </c>
      <c r="R1180">
        <v>12415780</v>
      </c>
    </row>
    <row r="1181" spans="1:18" x14ac:dyDescent="0.25">
      <c r="A1181" s="170">
        <v>43747</v>
      </c>
      <c r="B1181" s="116">
        <v>33.799999999999997</v>
      </c>
      <c r="C1181" s="116">
        <v>33.634999999999998</v>
      </c>
      <c r="D1181" s="116">
        <v>32.03</v>
      </c>
      <c r="E1181" s="116">
        <v>32.380000000000003</v>
      </c>
      <c r="F1181" s="116">
        <v>336.35</v>
      </c>
      <c r="G1181">
        <v>784980</v>
      </c>
      <c r="H1181" s="116"/>
      <c r="I1181" s="116"/>
      <c r="L1181" s="170">
        <v>43747</v>
      </c>
      <c r="M1181" s="116">
        <v>33.645000000000003</v>
      </c>
      <c r="N1181" s="116">
        <v>33.799999999999997</v>
      </c>
      <c r="O1181" s="116">
        <v>32.034999999999997</v>
      </c>
      <c r="P1181" s="116">
        <v>32.335000000000001</v>
      </c>
      <c r="Q1181" s="116">
        <v>336.45</v>
      </c>
      <c r="R1181">
        <v>14776741</v>
      </c>
    </row>
    <row r="1182" spans="1:18" x14ac:dyDescent="0.25">
      <c r="A1182" s="170">
        <v>43748</v>
      </c>
      <c r="B1182" s="116">
        <v>33.450000000000003</v>
      </c>
      <c r="C1182" s="116">
        <v>32.97</v>
      </c>
      <c r="D1182" s="116">
        <v>32.799999999999997</v>
      </c>
      <c r="E1182" s="116">
        <v>33.26</v>
      </c>
      <c r="F1182" s="116">
        <v>329.7</v>
      </c>
      <c r="G1182">
        <v>602605</v>
      </c>
      <c r="H1182" s="116"/>
      <c r="I1182" s="116"/>
      <c r="L1182" s="170">
        <v>43748</v>
      </c>
      <c r="M1182" s="116">
        <v>32.994999999999997</v>
      </c>
      <c r="N1182" s="116">
        <v>33.454999999999998</v>
      </c>
      <c r="O1182" s="116">
        <v>32.799999999999997</v>
      </c>
      <c r="P1182" s="116">
        <v>33.29</v>
      </c>
      <c r="Q1182" s="116">
        <v>329.95</v>
      </c>
      <c r="R1182">
        <v>11507498</v>
      </c>
    </row>
    <row r="1183" spans="1:18" x14ac:dyDescent="0.25">
      <c r="A1183" s="170">
        <v>43749</v>
      </c>
      <c r="B1183" s="116">
        <v>34.25</v>
      </c>
      <c r="C1183" s="116">
        <v>33.94</v>
      </c>
      <c r="D1183" s="116">
        <v>33.204999999999998</v>
      </c>
      <c r="E1183" s="116">
        <v>33.325000000000003</v>
      </c>
      <c r="F1183" s="116">
        <v>339.4</v>
      </c>
      <c r="G1183">
        <v>1490561</v>
      </c>
      <c r="H1183" s="116"/>
      <c r="I1183" s="116"/>
      <c r="L1183" s="170">
        <v>43749</v>
      </c>
      <c r="M1183" s="116">
        <v>33.9</v>
      </c>
      <c r="N1183" s="116">
        <v>34.244999999999997</v>
      </c>
      <c r="O1183" s="116">
        <v>33.200000000000003</v>
      </c>
      <c r="P1183" s="116">
        <v>33.5</v>
      </c>
      <c r="Q1183" s="116">
        <v>339</v>
      </c>
      <c r="R1183">
        <v>17158849</v>
      </c>
    </row>
    <row r="1184" spans="1:18" x14ac:dyDescent="0.25">
      <c r="A1184" s="170">
        <v>43752</v>
      </c>
      <c r="B1184" s="116">
        <v>35.244999999999997</v>
      </c>
      <c r="C1184" s="116">
        <v>34.484999999999999</v>
      </c>
      <c r="D1184" s="116">
        <v>34.164999999999999</v>
      </c>
      <c r="E1184" s="116">
        <v>34.6</v>
      </c>
      <c r="F1184" s="116">
        <v>344.85</v>
      </c>
      <c r="G1184">
        <v>807968</v>
      </c>
      <c r="H1184" s="116"/>
      <c r="I1184" s="116"/>
      <c r="L1184" s="170">
        <v>43752</v>
      </c>
      <c r="M1184" s="116">
        <v>34.484999999999999</v>
      </c>
      <c r="N1184" s="116">
        <v>35.274999999999999</v>
      </c>
      <c r="O1184" s="116">
        <v>34.295000000000002</v>
      </c>
      <c r="P1184" s="116">
        <v>34.575000000000003</v>
      </c>
      <c r="Q1184" s="116">
        <v>344.85</v>
      </c>
      <c r="R1184">
        <v>16723963</v>
      </c>
    </row>
    <row r="1185" spans="1:18" x14ac:dyDescent="0.25">
      <c r="A1185" s="170">
        <v>43753</v>
      </c>
      <c r="B1185" s="116">
        <v>35.825000000000003</v>
      </c>
      <c r="C1185" s="116">
        <v>34.909999999999997</v>
      </c>
      <c r="D1185" s="116">
        <v>33.880000000000003</v>
      </c>
      <c r="E1185" s="116">
        <v>34.549999999999997</v>
      </c>
      <c r="F1185" s="116">
        <v>349.1</v>
      </c>
      <c r="G1185">
        <v>1591978</v>
      </c>
      <c r="H1185" s="116"/>
      <c r="I1185" s="116"/>
      <c r="L1185" s="170">
        <v>43753</v>
      </c>
      <c r="M1185" s="116">
        <v>34.92</v>
      </c>
      <c r="N1185" s="116">
        <v>35.835000000000001</v>
      </c>
      <c r="O1185" s="116">
        <v>33.869999999999997</v>
      </c>
      <c r="P1185" s="116">
        <v>34.505000000000003</v>
      </c>
      <c r="Q1185" s="116">
        <v>349.2</v>
      </c>
      <c r="R1185">
        <v>17972207</v>
      </c>
    </row>
    <row r="1186" spans="1:18" x14ac:dyDescent="0.25">
      <c r="A1186" s="170">
        <v>43754</v>
      </c>
      <c r="B1186" s="116">
        <v>35.47</v>
      </c>
      <c r="C1186" s="116">
        <v>34.744999999999997</v>
      </c>
      <c r="D1186" s="116">
        <v>34.54</v>
      </c>
      <c r="E1186" s="116">
        <v>35.44</v>
      </c>
      <c r="F1186" s="116">
        <v>347.45</v>
      </c>
      <c r="G1186">
        <v>773910</v>
      </c>
      <c r="H1186" s="116"/>
      <c r="I1186" s="116"/>
      <c r="L1186" s="170">
        <v>43754</v>
      </c>
      <c r="M1186" s="116">
        <v>34.74</v>
      </c>
      <c r="N1186" s="116">
        <v>35.380000000000003</v>
      </c>
      <c r="O1186" s="116">
        <v>34.524999999999999</v>
      </c>
      <c r="P1186" s="116">
        <v>35.380000000000003</v>
      </c>
      <c r="Q1186" s="116">
        <v>347.4</v>
      </c>
      <c r="R1186">
        <v>12814302</v>
      </c>
    </row>
    <row r="1187" spans="1:18" x14ac:dyDescent="0.25">
      <c r="A1187" s="170">
        <v>43755</v>
      </c>
      <c r="B1187" s="116">
        <v>36.125</v>
      </c>
      <c r="C1187" s="116">
        <v>35.564999999999998</v>
      </c>
      <c r="D1187" s="116">
        <v>34.04</v>
      </c>
      <c r="E1187" s="116">
        <v>34.695</v>
      </c>
      <c r="F1187" s="116">
        <v>355.65</v>
      </c>
      <c r="G1187">
        <v>992780</v>
      </c>
      <c r="H1187" s="116"/>
      <c r="I1187" s="116"/>
      <c r="L1187" s="170">
        <v>43755</v>
      </c>
      <c r="M1187" s="116">
        <v>35.61</v>
      </c>
      <c r="N1187" s="116">
        <v>36.134999999999998</v>
      </c>
      <c r="O1187" s="116">
        <v>34.034999999999997</v>
      </c>
      <c r="P1187" s="116">
        <v>34.6</v>
      </c>
      <c r="Q1187" s="116">
        <v>356.1</v>
      </c>
      <c r="R1187">
        <v>16695158</v>
      </c>
    </row>
    <row r="1188" spans="1:18" x14ac:dyDescent="0.25">
      <c r="A1188" s="170">
        <v>43756</v>
      </c>
      <c r="B1188" s="116">
        <v>36.26</v>
      </c>
      <c r="C1188" s="116">
        <v>35.99</v>
      </c>
      <c r="D1188" s="116">
        <v>35.18</v>
      </c>
      <c r="E1188" s="116">
        <v>35.564999999999998</v>
      </c>
      <c r="F1188" s="116">
        <v>359.9</v>
      </c>
      <c r="G1188">
        <v>949622</v>
      </c>
      <c r="H1188" s="116"/>
      <c r="I1188" s="116"/>
      <c r="L1188" s="170">
        <v>43756</v>
      </c>
      <c r="M1188" s="116">
        <v>35.96</v>
      </c>
      <c r="N1188" s="116">
        <v>36.28</v>
      </c>
      <c r="O1188" s="116">
        <v>35.174999999999997</v>
      </c>
      <c r="P1188" s="116">
        <v>35.594999999999999</v>
      </c>
      <c r="Q1188" s="116">
        <v>359.6</v>
      </c>
      <c r="R1188">
        <v>16568036</v>
      </c>
    </row>
    <row r="1189" spans="1:18" x14ac:dyDescent="0.25">
      <c r="A1189" s="170">
        <v>43760</v>
      </c>
      <c r="B1189" s="116">
        <v>36.365000000000002</v>
      </c>
      <c r="C1189" s="116">
        <v>35.424999999999997</v>
      </c>
      <c r="D1189" s="116">
        <v>35.299999999999997</v>
      </c>
      <c r="E1189" s="116">
        <v>35.695</v>
      </c>
      <c r="F1189" s="116">
        <v>354.25</v>
      </c>
      <c r="G1189">
        <v>763049</v>
      </c>
      <c r="H1189" s="116"/>
      <c r="I1189" s="116"/>
      <c r="L1189" s="170">
        <v>43760</v>
      </c>
      <c r="M1189" s="116">
        <v>35.450000000000003</v>
      </c>
      <c r="N1189" s="116">
        <v>36.380000000000003</v>
      </c>
      <c r="O1189" s="116">
        <v>35.299999999999997</v>
      </c>
      <c r="P1189" s="116">
        <v>35.75</v>
      </c>
      <c r="Q1189" s="116">
        <v>354.5</v>
      </c>
      <c r="R1189">
        <v>11944283</v>
      </c>
    </row>
    <row r="1190" spans="1:18" x14ac:dyDescent="0.25">
      <c r="A1190" s="170">
        <v>43761</v>
      </c>
      <c r="B1190" s="116">
        <v>35.869999999999997</v>
      </c>
      <c r="C1190" s="116">
        <v>35.61</v>
      </c>
      <c r="D1190" s="116">
        <v>34.94</v>
      </c>
      <c r="E1190" s="116">
        <v>35.4</v>
      </c>
      <c r="F1190" s="116">
        <v>356.1</v>
      </c>
      <c r="G1190">
        <v>460539</v>
      </c>
      <c r="H1190" s="116"/>
      <c r="I1190" s="116"/>
      <c r="L1190" s="170">
        <v>43761</v>
      </c>
      <c r="M1190" s="116">
        <v>35.619999999999997</v>
      </c>
      <c r="N1190" s="116">
        <v>35.875</v>
      </c>
      <c r="O1190" s="116">
        <v>34.924999999999997</v>
      </c>
      <c r="P1190" s="116">
        <v>35.200000000000003</v>
      </c>
      <c r="Q1190" s="116">
        <v>356.2</v>
      </c>
      <c r="R1190">
        <v>9318450</v>
      </c>
    </row>
    <row r="1191" spans="1:18" x14ac:dyDescent="0.25">
      <c r="A1191" s="170">
        <v>43762</v>
      </c>
      <c r="B1191" s="116">
        <v>36.204999999999998</v>
      </c>
      <c r="C1191" s="116">
        <v>35.984999999999999</v>
      </c>
      <c r="D1191" s="116">
        <v>35.384999999999998</v>
      </c>
      <c r="E1191" s="116">
        <v>35.6</v>
      </c>
      <c r="F1191" s="116">
        <v>359.85</v>
      </c>
      <c r="G1191">
        <v>728198</v>
      </c>
      <c r="H1191" s="116"/>
      <c r="I1191" s="116"/>
      <c r="L1191" s="170">
        <v>43762</v>
      </c>
      <c r="M1191" s="116">
        <v>35.99</v>
      </c>
      <c r="N1191" s="116">
        <v>36.200000000000003</v>
      </c>
      <c r="O1191" s="116">
        <v>35.380000000000003</v>
      </c>
      <c r="P1191" s="116">
        <v>35.604999999999997</v>
      </c>
      <c r="Q1191" s="116">
        <v>359.9</v>
      </c>
      <c r="R1191">
        <v>10973402</v>
      </c>
    </row>
    <row r="1192" spans="1:18" x14ac:dyDescent="0.25">
      <c r="A1192" s="170">
        <v>43763</v>
      </c>
      <c r="B1192" s="116">
        <v>36.880000000000003</v>
      </c>
      <c r="C1192" s="116">
        <v>36.145000000000003</v>
      </c>
      <c r="D1192" s="116">
        <v>35.5</v>
      </c>
      <c r="E1192" s="116">
        <v>35.5</v>
      </c>
      <c r="F1192" s="116">
        <v>361.45</v>
      </c>
      <c r="G1192">
        <v>1023563</v>
      </c>
      <c r="H1192" s="116"/>
      <c r="I1192" s="116"/>
      <c r="L1192" s="170">
        <v>43763</v>
      </c>
      <c r="M1192" s="116">
        <v>36.225000000000001</v>
      </c>
      <c r="N1192" s="116">
        <v>36.895000000000003</v>
      </c>
      <c r="O1192" s="116">
        <v>35.604999999999997</v>
      </c>
      <c r="P1192" s="116">
        <v>35.630000000000003</v>
      </c>
      <c r="Q1192" s="116">
        <v>362.25</v>
      </c>
      <c r="R1192">
        <v>14996692</v>
      </c>
    </row>
    <row r="1193" spans="1:18" x14ac:dyDescent="0.25">
      <c r="A1193" s="170">
        <v>43765</v>
      </c>
      <c r="B1193" s="116">
        <v>36.575000000000003</v>
      </c>
      <c r="C1193" s="116">
        <v>36.51</v>
      </c>
      <c r="D1193" s="116">
        <v>36.33</v>
      </c>
      <c r="E1193" s="116">
        <v>36.44</v>
      </c>
      <c r="F1193" s="116">
        <v>365.1</v>
      </c>
      <c r="G1193">
        <v>69164</v>
      </c>
      <c r="H1193" s="116"/>
      <c r="I1193" s="116"/>
      <c r="L1193" s="170">
        <v>43765</v>
      </c>
      <c r="M1193" s="116">
        <v>36.5</v>
      </c>
      <c r="N1193" s="116">
        <v>36.555</v>
      </c>
      <c r="O1193" s="116">
        <v>36.31</v>
      </c>
      <c r="P1193" s="116">
        <v>36.380000000000003</v>
      </c>
      <c r="Q1193" s="116">
        <v>365</v>
      </c>
      <c r="R1193">
        <v>1082016</v>
      </c>
    </row>
    <row r="1194" spans="1:18" x14ac:dyDescent="0.25">
      <c r="A1194" s="170">
        <v>43767</v>
      </c>
      <c r="B1194" s="116">
        <v>39.965000000000003</v>
      </c>
      <c r="C1194" s="116">
        <v>39.1</v>
      </c>
      <c r="D1194" s="116">
        <v>36.520000000000003</v>
      </c>
      <c r="E1194" s="116">
        <v>36.520000000000003</v>
      </c>
      <c r="F1194" s="116">
        <v>391</v>
      </c>
      <c r="G1194">
        <v>1492750</v>
      </c>
      <c r="H1194" s="116"/>
      <c r="I1194" s="116"/>
      <c r="L1194" s="170">
        <v>43767</v>
      </c>
      <c r="M1194" s="116">
        <v>39.020000000000003</v>
      </c>
      <c r="N1194" s="116">
        <v>39.97</v>
      </c>
      <c r="O1194" s="116">
        <v>36.555</v>
      </c>
      <c r="P1194" s="116">
        <v>36.555</v>
      </c>
      <c r="Q1194" s="116">
        <v>390.2</v>
      </c>
      <c r="R1194">
        <v>25155314</v>
      </c>
    </row>
    <row r="1195" spans="1:18" x14ac:dyDescent="0.25">
      <c r="A1195" s="170">
        <v>43768</v>
      </c>
      <c r="B1195" s="116">
        <v>39.42</v>
      </c>
      <c r="C1195" s="116">
        <v>38.805</v>
      </c>
      <c r="D1195" s="116">
        <v>38.43</v>
      </c>
      <c r="E1195" s="116">
        <v>39</v>
      </c>
      <c r="F1195" s="116">
        <v>388.05</v>
      </c>
      <c r="G1195">
        <v>990452</v>
      </c>
      <c r="H1195" s="116"/>
      <c r="I1195" s="116"/>
      <c r="L1195" s="170">
        <v>43768</v>
      </c>
      <c r="M1195" s="116">
        <v>38.799999999999997</v>
      </c>
      <c r="N1195" s="116">
        <v>39.369999999999997</v>
      </c>
      <c r="O1195" s="116">
        <v>38.43</v>
      </c>
      <c r="P1195" s="116">
        <v>38.99</v>
      </c>
      <c r="Q1195" s="116">
        <v>388</v>
      </c>
      <c r="R1195">
        <v>14371442</v>
      </c>
    </row>
    <row r="1196" spans="1:18" x14ac:dyDescent="0.25">
      <c r="A1196" s="170">
        <v>43769</v>
      </c>
      <c r="B1196" s="116">
        <v>39.024999999999999</v>
      </c>
      <c r="C1196" s="116">
        <v>38.049999999999997</v>
      </c>
      <c r="D1196" s="116">
        <v>37.630000000000003</v>
      </c>
      <c r="E1196" s="116">
        <v>38.86</v>
      </c>
      <c r="F1196" s="116">
        <v>380.5</v>
      </c>
      <c r="G1196">
        <v>1008502</v>
      </c>
      <c r="H1196" s="116"/>
      <c r="I1196" s="116"/>
      <c r="L1196" s="170">
        <v>43769</v>
      </c>
      <c r="M1196" s="116">
        <v>38.055</v>
      </c>
      <c r="N1196" s="116">
        <v>39.01</v>
      </c>
      <c r="O1196" s="116">
        <v>37.619999999999997</v>
      </c>
      <c r="P1196" s="116">
        <v>38.89</v>
      </c>
      <c r="Q1196" s="116">
        <v>380.55</v>
      </c>
      <c r="R1196">
        <v>21756023</v>
      </c>
    </row>
    <row r="1197" spans="1:18" x14ac:dyDescent="0.25">
      <c r="A1197" s="170">
        <v>43770</v>
      </c>
      <c r="B1197" s="116">
        <v>40.244999999999997</v>
      </c>
      <c r="C1197" s="116">
        <v>39.984999999999999</v>
      </c>
      <c r="D1197" s="116">
        <v>37.6</v>
      </c>
      <c r="E1197" s="116">
        <v>37.6</v>
      </c>
      <c r="F1197" s="116">
        <v>399.85</v>
      </c>
      <c r="G1197">
        <v>1117078</v>
      </c>
      <c r="H1197" s="116"/>
      <c r="I1197" s="116"/>
      <c r="L1197" s="170">
        <v>43770</v>
      </c>
      <c r="M1197" s="116">
        <v>39.950000000000003</v>
      </c>
      <c r="N1197" s="116">
        <v>40.29</v>
      </c>
      <c r="O1197" s="116">
        <v>37.799999999999997</v>
      </c>
      <c r="P1197" s="116">
        <v>38.005000000000003</v>
      </c>
      <c r="Q1197" s="116">
        <v>399.5</v>
      </c>
      <c r="R1197">
        <v>24111195</v>
      </c>
    </row>
    <row r="1198" spans="1:18" x14ac:dyDescent="0.25">
      <c r="A1198" s="170">
        <v>43773</v>
      </c>
      <c r="B1198" s="116">
        <v>42.164999999999999</v>
      </c>
      <c r="C1198" s="116">
        <v>40.914999999999999</v>
      </c>
      <c r="D1198" s="116">
        <v>40.200000000000003</v>
      </c>
      <c r="E1198" s="116">
        <v>40.200000000000003</v>
      </c>
      <c r="F1198" s="116">
        <v>409.15</v>
      </c>
      <c r="G1198">
        <v>1325037</v>
      </c>
      <c r="H1198" s="116"/>
      <c r="I1198" s="116"/>
      <c r="L1198" s="170">
        <v>43773</v>
      </c>
      <c r="M1198" s="116">
        <v>40.914999999999999</v>
      </c>
      <c r="N1198" s="116">
        <v>42.17</v>
      </c>
      <c r="O1198" s="116">
        <v>40.299999999999997</v>
      </c>
      <c r="P1198" s="116">
        <v>40.299999999999997</v>
      </c>
      <c r="Q1198" s="116">
        <v>409.15</v>
      </c>
      <c r="R1198">
        <v>28934434</v>
      </c>
    </row>
    <row r="1199" spans="1:18" x14ac:dyDescent="0.25">
      <c r="A1199" s="170">
        <v>43774</v>
      </c>
      <c r="B1199" s="116">
        <v>41.78</v>
      </c>
      <c r="C1199" s="116">
        <v>40.4</v>
      </c>
      <c r="D1199" s="116">
        <v>40.164999999999999</v>
      </c>
      <c r="E1199" s="116">
        <v>41.325000000000003</v>
      </c>
      <c r="F1199" s="116">
        <v>404</v>
      </c>
      <c r="G1199">
        <v>1370625</v>
      </c>
      <c r="H1199" s="116"/>
      <c r="I1199" s="116"/>
      <c r="L1199" s="170">
        <v>43774</v>
      </c>
      <c r="M1199" s="116">
        <v>40.395000000000003</v>
      </c>
      <c r="N1199" s="116">
        <v>41.79</v>
      </c>
      <c r="O1199" s="116">
        <v>40.159999999999997</v>
      </c>
      <c r="P1199" s="116">
        <v>41.4</v>
      </c>
      <c r="Q1199" s="116">
        <v>403.95</v>
      </c>
      <c r="R1199">
        <v>20874434</v>
      </c>
    </row>
    <row r="1200" spans="1:18" x14ac:dyDescent="0.25">
      <c r="A1200" s="170">
        <v>43775</v>
      </c>
      <c r="B1200" s="116">
        <v>40.875</v>
      </c>
      <c r="C1200" s="116">
        <v>40.435000000000002</v>
      </c>
      <c r="D1200" s="116">
        <v>39.89</v>
      </c>
      <c r="E1200" s="116">
        <v>40.064999999999998</v>
      </c>
      <c r="F1200" s="116">
        <v>404.35</v>
      </c>
      <c r="G1200">
        <v>1105481</v>
      </c>
      <c r="H1200" s="116"/>
      <c r="I1200" s="116"/>
      <c r="L1200" s="170">
        <v>43775</v>
      </c>
      <c r="M1200" s="116">
        <v>40.445</v>
      </c>
      <c r="N1200" s="116">
        <v>40.89</v>
      </c>
      <c r="O1200" s="116">
        <v>39.869999999999997</v>
      </c>
      <c r="P1200" s="116">
        <v>40.200000000000003</v>
      </c>
      <c r="Q1200" s="116">
        <v>404.45</v>
      </c>
      <c r="R1200">
        <v>17935147</v>
      </c>
    </row>
    <row r="1201" spans="1:18" x14ac:dyDescent="0.25">
      <c r="A1201" s="170">
        <v>43776</v>
      </c>
      <c r="B1201" s="116">
        <v>40.869999999999997</v>
      </c>
      <c r="C1201" s="116">
        <v>40.314999999999998</v>
      </c>
      <c r="D1201" s="116">
        <v>38.9</v>
      </c>
      <c r="E1201" s="116">
        <v>40.450000000000003</v>
      </c>
      <c r="F1201" s="116">
        <v>403.15</v>
      </c>
      <c r="G1201">
        <v>2434916</v>
      </c>
      <c r="H1201" s="116"/>
      <c r="I1201" s="116"/>
      <c r="L1201" s="170">
        <v>43776</v>
      </c>
      <c r="M1201" s="116">
        <v>40.31</v>
      </c>
      <c r="N1201" s="116">
        <v>40.884999999999998</v>
      </c>
      <c r="O1201" s="116">
        <v>38.880000000000003</v>
      </c>
      <c r="P1201" s="116">
        <v>40.4</v>
      </c>
      <c r="Q1201" s="116">
        <v>403.1</v>
      </c>
      <c r="R1201">
        <v>40700760</v>
      </c>
    </row>
    <row r="1202" spans="1:18" x14ac:dyDescent="0.25">
      <c r="A1202" s="170">
        <v>43777</v>
      </c>
      <c r="B1202" s="116">
        <v>40.6</v>
      </c>
      <c r="C1202" s="116">
        <v>39.78</v>
      </c>
      <c r="D1202" s="116">
        <v>39.524999999999999</v>
      </c>
      <c r="E1202" s="116">
        <v>40.25</v>
      </c>
      <c r="F1202" s="116">
        <v>397.8</v>
      </c>
      <c r="G1202">
        <v>1147199</v>
      </c>
      <c r="H1202" s="116"/>
      <c r="I1202" s="116"/>
      <c r="L1202" s="170">
        <v>43777</v>
      </c>
      <c r="M1202" s="116">
        <v>39.795000000000002</v>
      </c>
      <c r="N1202" s="116">
        <v>40.619999999999997</v>
      </c>
      <c r="O1202" s="116">
        <v>39.51</v>
      </c>
      <c r="P1202" s="116">
        <v>40.15</v>
      </c>
      <c r="Q1202" s="116">
        <v>397.95</v>
      </c>
      <c r="R1202">
        <v>21423520</v>
      </c>
    </row>
    <row r="1203" spans="1:18" x14ac:dyDescent="0.25">
      <c r="A1203" s="170">
        <v>43780</v>
      </c>
      <c r="B1203" s="116">
        <v>40.380000000000003</v>
      </c>
      <c r="C1203" s="116">
        <v>40.145000000000003</v>
      </c>
      <c r="D1203" s="116">
        <v>39.450000000000003</v>
      </c>
      <c r="E1203" s="116">
        <v>39.75</v>
      </c>
      <c r="F1203" s="116">
        <v>401.45</v>
      </c>
      <c r="G1203">
        <v>679851</v>
      </c>
      <c r="H1203" s="116"/>
      <c r="I1203" s="116"/>
      <c r="L1203" s="170">
        <v>43780</v>
      </c>
      <c r="M1203" s="116">
        <v>40.145000000000003</v>
      </c>
      <c r="N1203" s="116">
        <v>40.375</v>
      </c>
      <c r="O1203" s="116">
        <v>39.4</v>
      </c>
      <c r="P1203" s="116">
        <v>39.549999999999997</v>
      </c>
      <c r="Q1203" s="116">
        <v>401.45</v>
      </c>
      <c r="R1203">
        <v>13573974</v>
      </c>
    </row>
    <row r="1204" spans="1:18" x14ac:dyDescent="0.25">
      <c r="A1204" s="170">
        <v>43782</v>
      </c>
      <c r="B1204" s="116">
        <v>40.844999999999999</v>
      </c>
      <c r="C1204" s="116">
        <v>39.685000000000002</v>
      </c>
      <c r="D1204" s="116">
        <v>39.265000000000001</v>
      </c>
      <c r="E1204" s="116">
        <v>40.174999999999997</v>
      </c>
      <c r="F1204" s="116">
        <v>396.85</v>
      </c>
      <c r="G1204">
        <v>1043697</v>
      </c>
      <c r="H1204" s="116"/>
      <c r="I1204" s="116"/>
      <c r="L1204" s="170">
        <v>43782</v>
      </c>
      <c r="M1204" s="116">
        <v>39.79</v>
      </c>
      <c r="N1204" s="116">
        <v>40.884999999999998</v>
      </c>
      <c r="O1204" s="116">
        <v>39.270000000000003</v>
      </c>
      <c r="P1204" s="116">
        <v>40.090000000000003</v>
      </c>
      <c r="Q1204" s="116">
        <v>397.9</v>
      </c>
      <c r="R1204">
        <v>17511469</v>
      </c>
    </row>
    <row r="1205" spans="1:18" x14ac:dyDescent="0.25">
      <c r="A1205" s="170">
        <v>43783</v>
      </c>
      <c r="B1205" s="116">
        <v>39.86</v>
      </c>
      <c r="C1205" s="116">
        <v>39.195</v>
      </c>
      <c r="D1205" s="116">
        <v>38.94</v>
      </c>
      <c r="E1205" s="116">
        <v>39.6</v>
      </c>
      <c r="F1205" s="116">
        <v>391.95</v>
      </c>
      <c r="G1205">
        <v>583922</v>
      </c>
      <c r="H1205" s="116"/>
      <c r="I1205" s="116"/>
      <c r="L1205" s="170">
        <v>43783</v>
      </c>
      <c r="M1205" s="116">
        <v>39.195</v>
      </c>
      <c r="N1205" s="116">
        <v>39.869999999999997</v>
      </c>
      <c r="O1205" s="116">
        <v>38.94</v>
      </c>
      <c r="P1205" s="116">
        <v>39.61</v>
      </c>
      <c r="Q1205" s="116">
        <v>391.95</v>
      </c>
      <c r="R1205">
        <v>10869425</v>
      </c>
    </row>
    <row r="1206" spans="1:18" x14ac:dyDescent="0.25">
      <c r="A1206" s="170">
        <v>43784</v>
      </c>
      <c r="B1206" s="116">
        <v>40.299999999999997</v>
      </c>
      <c r="C1206" s="116">
        <v>39.44</v>
      </c>
      <c r="D1206" s="116">
        <v>39.064999999999998</v>
      </c>
      <c r="E1206" s="116">
        <v>39.25</v>
      </c>
      <c r="F1206" s="116">
        <v>394.4</v>
      </c>
      <c r="G1206">
        <v>679318</v>
      </c>
      <c r="H1206" s="116"/>
      <c r="I1206" s="116"/>
      <c r="L1206" s="170">
        <v>43784</v>
      </c>
      <c r="M1206" s="116">
        <v>39.450000000000003</v>
      </c>
      <c r="N1206" s="116">
        <v>40.299999999999997</v>
      </c>
      <c r="O1206" s="116">
        <v>39.06</v>
      </c>
      <c r="P1206" s="116">
        <v>39.200000000000003</v>
      </c>
      <c r="Q1206" s="116">
        <v>394.5</v>
      </c>
      <c r="R1206">
        <v>11813259</v>
      </c>
    </row>
    <row r="1207" spans="1:18" x14ac:dyDescent="0.25">
      <c r="A1207" s="170">
        <v>43787</v>
      </c>
      <c r="B1207" s="116">
        <v>41.255000000000003</v>
      </c>
      <c r="C1207" s="116">
        <v>41.02</v>
      </c>
      <c r="D1207" s="116">
        <v>39.61</v>
      </c>
      <c r="E1207" s="116">
        <v>39.74</v>
      </c>
      <c r="F1207" s="116">
        <v>410.2</v>
      </c>
      <c r="G1207">
        <v>1077292</v>
      </c>
      <c r="H1207" s="116"/>
      <c r="I1207" s="116"/>
      <c r="L1207" s="170">
        <v>43787</v>
      </c>
      <c r="M1207" s="116">
        <v>41.005000000000003</v>
      </c>
      <c r="N1207" s="116">
        <v>41.26</v>
      </c>
      <c r="O1207" s="116">
        <v>39.6</v>
      </c>
      <c r="P1207" s="116">
        <v>39.64</v>
      </c>
      <c r="Q1207" s="116">
        <v>410.05</v>
      </c>
      <c r="R1207">
        <v>18906528</v>
      </c>
    </row>
    <row r="1208" spans="1:18" x14ac:dyDescent="0.25">
      <c r="A1208" s="170">
        <v>43788</v>
      </c>
      <c r="B1208" s="116">
        <v>41.484999999999999</v>
      </c>
      <c r="C1208" s="116">
        <v>40.19</v>
      </c>
      <c r="D1208" s="116">
        <v>40.020000000000003</v>
      </c>
      <c r="E1208" s="116">
        <v>41.2</v>
      </c>
      <c r="F1208" s="116">
        <v>401.9</v>
      </c>
      <c r="G1208">
        <v>920381</v>
      </c>
      <c r="H1208" s="116"/>
      <c r="I1208" s="116"/>
      <c r="L1208" s="170">
        <v>43788</v>
      </c>
      <c r="M1208" s="116">
        <v>40.174999999999997</v>
      </c>
      <c r="N1208" s="116">
        <v>41.484999999999999</v>
      </c>
      <c r="O1208" s="116">
        <v>40</v>
      </c>
      <c r="P1208" s="116">
        <v>41.4</v>
      </c>
      <c r="Q1208" s="116">
        <v>401.75</v>
      </c>
      <c r="R1208">
        <v>14265083</v>
      </c>
    </row>
    <row r="1209" spans="1:18" x14ac:dyDescent="0.25">
      <c r="A1209" s="170">
        <v>43789</v>
      </c>
      <c r="B1209" s="116">
        <v>40.85</v>
      </c>
      <c r="C1209" s="116">
        <v>39.854999999999997</v>
      </c>
      <c r="D1209" s="116">
        <v>39.715000000000003</v>
      </c>
      <c r="E1209" s="116">
        <v>40.094999999999999</v>
      </c>
      <c r="F1209" s="116">
        <v>398.55</v>
      </c>
      <c r="G1209">
        <v>707241</v>
      </c>
      <c r="H1209" s="116"/>
      <c r="I1209" s="116"/>
      <c r="L1209" s="170">
        <v>43789</v>
      </c>
      <c r="M1209" s="116">
        <v>39.869999999999997</v>
      </c>
      <c r="N1209" s="116">
        <v>40.85</v>
      </c>
      <c r="O1209" s="116">
        <v>39.729999999999997</v>
      </c>
      <c r="P1209" s="116">
        <v>40.1</v>
      </c>
      <c r="Q1209" s="116">
        <v>398.7</v>
      </c>
      <c r="R1209">
        <v>12255602</v>
      </c>
    </row>
    <row r="1210" spans="1:18" x14ac:dyDescent="0.25">
      <c r="A1210" s="170">
        <v>43790</v>
      </c>
      <c r="B1210" s="116">
        <v>39.954999999999998</v>
      </c>
      <c r="C1210" s="116">
        <v>38.520000000000003</v>
      </c>
      <c r="D1210" s="116">
        <v>38.35</v>
      </c>
      <c r="E1210" s="116">
        <v>39.954999999999998</v>
      </c>
      <c r="F1210" s="116">
        <v>385.2</v>
      </c>
      <c r="G1210">
        <v>668329</v>
      </c>
      <c r="H1210" s="116"/>
      <c r="I1210" s="116"/>
      <c r="L1210" s="170">
        <v>43790</v>
      </c>
      <c r="M1210" s="116">
        <v>38.51</v>
      </c>
      <c r="N1210" s="116">
        <v>39.914999999999999</v>
      </c>
      <c r="O1210" s="116">
        <v>38.325000000000003</v>
      </c>
      <c r="P1210" s="116">
        <v>39.9</v>
      </c>
      <c r="Q1210" s="116">
        <v>385.1</v>
      </c>
      <c r="R1210">
        <v>10208554</v>
      </c>
    </row>
    <row r="1211" spans="1:18" x14ac:dyDescent="0.25">
      <c r="A1211" s="170">
        <v>43791</v>
      </c>
      <c r="B1211" s="116">
        <v>40.265000000000001</v>
      </c>
      <c r="C1211" s="116">
        <v>39.96</v>
      </c>
      <c r="D1211" s="116">
        <v>38.325000000000003</v>
      </c>
      <c r="E1211" s="116">
        <v>38.69</v>
      </c>
      <c r="F1211" s="116">
        <v>399.6</v>
      </c>
      <c r="G1211">
        <v>967246</v>
      </c>
      <c r="H1211" s="116"/>
      <c r="I1211" s="116"/>
      <c r="L1211" s="170">
        <v>43791</v>
      </c>
      <c r="M1211" s="116">
        <v>40</v>
      </c>
      <c r="N1211" s="116">
        <v>40.28</v>
      </c>
      <c r="O1211" s="116">
        <v>38.31</v>
      </c>
      <c r="P1211" s="116">
        <v>38.6</v>
      </c>
      <c r="Q1211" s="116">
        <v>400</v>
      </c>
      <c r="R1211">
        <v>17271949</v>
      </c>
    </row>
    <row r="1212" spans="1:18" x14ac:dyDescent="0.25">
      <c r="A1212" s="170">
        <v>43794</v>
      </c>
      <c r="B1212" s="116">
        <v>42.115000000000002</v>
      </c>
      <c r="C1212" s="116">
        <v>41.954999999999998</v>
      </c>
      <c r="D1212" s="116">
        <v>40.4</v>
      </c>
      <c r="E1212" s="116">
        <v>40.5</v>
      </c>
      <c r="F1212" s="116">
        <v>419.55</v>
      </c>
      <c r="G1212">
        <v>1345067</v>
      </c>
      <c r="H1212" s="116"/>
      <c r="I1212" s="116"/>
      <c r="L1212" s="170">
        <v>43794</v>
      </c>
      <c r="M1212" s="116">
        <v>41.95</v>
      </c>
      <c r="N1212" s="116">
        <v>42.1</v>
      </c>
      <c r="O1212" s="116">
        <v>40.299999999999997</v>
      </c>
      <c r="P1212" s="116">
        <v>40.524999999999999</v>
      </c>
      <c r="Q1212" s="116">
        <v>419.5</v>
      </c>
      <c r="R1212">
        <v>27612458</v>
      </c>
    </row>
    <row r="1213" spans="1:18" x14ac:dyDescent="0.25">
      <c r="A1213" s="170">
        <v>43795</v>
      </c>
      <c r="B1213" s="116">
        <v>42.91</v>
      </c>
      <c r="C1213" s="116">
        <v>42.445</v>
      </c>
      <c r="D1213" s="116">
        <v>41.7</v>
      </c>
      <c r="E1213" s="116">
        <v>42.41</v>
      </c>
      <c r="F1213" s="116">
        <v>424.45</v>
      </c>
      <c r="G1213">
        <v>1391057</v>
      </c>
      <c r="H1213" s="116"/>
      <c r="I1213" s="116"/>
      <c r="L1213" s="170">
        <v>43795</v>
      </c>
      <c r="M1213" s="116">
        <v>42.414999999999999</v>
      </c>
      <c r="N1213" s="116">
        <v>42.93</v>
      </c>
      <c r="O1213" s="116">
        <v>41.674999999999997</v>
      </c>
      <c r="P1213" s="116">
        <v>42.5</v>
      </c>
      <c r="Q1213" s="116">
        <v>424.15</v>
      </c>
      <c r="R1213">
        <v>28276312</v>
      </c>
    </row>
    <row r="1214" spans="1:18" x14ac:dyDescent="0.25">
      <c r="A1214" s="170">
        <v>43796</v>
      </c>
      <c r="B1214" s="116">
        <v>42.7</v>
      </c>
      <c r="C1214" s="116">
        <v>42.134999999999998</v>
      </c>
      <c r="D1214" s="116">
        <v>41.9</v>
      </c>
      <c r="E1214" s="116">
        <v>42.59</v>
      </c>
      <c r="F1214" s="116">
        <v>421.35</v>
      </c>
      <c r="G1214">
        <v>800728</v>
      </c>
      <c r="H1214" s="116"/>
      <c r="I1214" s="116"/>
      <c r="L1214" s="170">
        <v>43796</v>
      </c>
      <c r="M1214" s="116">
        <v>42.134999999999998</v>
      </c>
      <c r="N1214" s="116">
        <v>42.7</v>
      </c>
      <c r="O1214" s="116">
        <v>41.92</v>
      </c>
      <c r="P1214" s="116">
        <v>42.53</v>
      </c>
      <c r="Q1214" s="116">
        <v>421.35</v>
      </c>
      <c r="R1214">
        <v>10984679</v>
      </c>
    </row>
    <row r="1215" spans="1:18" x14ac:dyDescent="0.25">
      <c r="A1215" s="170">
        <v>43797</v>
      </c>
      <c r="B1215" s="116">
        <v>43.435000000000002</v>
      </c>
      <c r="C1215" s="116">
        <v>43.2</v>
      </c>
      <c r="D1215" s="116">
        <v>42.24</v>
      </c>
      <c r="E1215" s="116">
        <v>42.24</v>
      </c>
      <c r="F1215" s="116">
        <v>432</v>
      </c>
      <c r="G1215">
        <v>1069800</v>
      </c>
      <c r="H1215" s="116"/>
      <c r="I1215" s="116"/>
      <c r="L1215" s="170">
        <v>43797</v>
      </c>
      <c r="M1215" s="116">
        <v>43.21</v>
      </c>
      <c r="N1215" s="116">
        <v>43.43</v>
      </c>
      <c r="O1215" s="116">
        <v>42.215000000000003</v>
      </c>
      <c r="P1215" s="116">
        <v>42.22</v>
      </c>
      <c r="Q1215" s="116">
        <v>432.1</v>
      </c>
      <c r="R1215">
        <v>15766073</v>
      </c>
    </row>
    <row r="1216" spans="1:18" x14ac:dyDescent="0.25">
      <c r="A1216" s="170">
        <v>43798</v>
      </c>
      <c r="B1216" s="116">
        <v>42.95</v>
      </c>
      <c r="C1216" s="116">
        <v>42.74</v>
      </c>
      <c r="D1216" s="116">
        <v>42.125</v>
      </c>
      <c r="E1216" s="116">
        <v>42.5</v>
      </c>
      <c r="F1216" s="116">
        <v>427.4</v>
      </c>
      <c r="G1216">
        <v>726019</v>
      </c>
      <c r="H1216" s="116"/>
      <c r="I1216" s="116"/>
      <c r="L1216" s="170">
        <v>43798</v>
      </c>
      <c r="M1216" s="116">
        <v>42.75</v>
      </c>
      <c r="N1216" s="116">
        <v>42.95</v>
      </c>
      <c r="O1216" s="116">
        <v>42.11</v>
      </c>
      <c r="P1216" s="116">
        <v>42.744999999999997</v>
      </c>
      <c r="Q1216" s="116">
        <v>427.5</v>
      </c>
      <c r="R1216">
        <v>12631956</v>
      </c>
    </row>
    <row r="1217" spans="1:18" x14ac:dyDescent="0.25">
      <c r="A1217" s="170">
        <v>43801</v>
      </c>
      <c r="B1217" s="116">
        <v>42.7</v>
      </c>
      <c r="C1217" s="116">
        <v>42.08</v>
      </c>
      <c r="D1217" s="116">
        <v>41.9</v>
      </c>
      <c r="E1217" s="116">
        <v>42.47</v>
      </c>
      <c r="F1217" s="116">
        <v>420.8</v>
      </c>
      <c r="G1217">
        <v>528283</v>
      </c>
      <c r="H1217" s="116"/>
      <c r="I1217" s="116"/>
      <c r="L1217" s="170">
        <v>43801</v>
      </c>
      <c r="M1217" s="116">
        <v>42.085000000000001</v>
      </c>
      <c r="N1217" s="116">
        <v>42.695</v>
      </c>
      <c r="O1217" s="116">
        <v>41.9</v>
      </c>
      <c r="P1217" s="116">
        <v>42.494999999999997</v>
      </c>
      <c r="Q1217" s="116">
        <v>420.85</v>
      </c>
      <c r="R1217">
        <v>8337171</v>
      </c>
    </row>
    <row r="1218" spans="1:18" x14ac:dyDescent="0.25">
      <c r="A1218" s="170">
        <v>43802</v>
      </c>
      <c r="B1218" s="116">
        <v>41.94</v>
      </c>
      <c r="C1218" s="116">
        <v>39.945</v>
      </c>
      <c r="D1218" s="116">
        <v>39.67</v>
      </c>
      <c r="E1218" s="116">
        <v>41.89</v>
      </c>
      <c r="F1218" s="116">
        <v>399.45</v>
      </c>
      <c r="G1218">
        <v>809629</v>
      </c>
      <c r="H1218" s="116"/>
      <c r="I1218" s="116"/>
      <c r="L1218" s="170">
        <v>43802</v>
      </c>
      <c r="M1218" s="116">
        <v>39.965000000000003</v>
      </c>
      <c r="N1218" s="116">
        <v>41.854999999999997</v>
      </c>
      <c r="O1218" s="116">
        <v>39.64</v>
      </c>
      <c r="P1218" s="116">
        <v>41.8</v>
      </c>
      <c r="Q1218" s="116">
        <v>399.65</v>
      </c>
      <c r="R1218">
        <v>16870656</v>
      </c>
    </row>
    <row r="1219" spans="1:18" x14ac:dyDescent="0.25">
      <c r="A1219" s="170">
        <v>43803</v>
      </c>
      <c r="B1219" s="116">
        <v>41.145000000000003</v>
      </c>
      <c r="C1219" s="116">
        <v>40.909999999999997</v>
      </c>
      <c r="D1219" s="116">
        <v>38.905000000000001</v>
      </c>
      <c r="E1219" s="116">
        <v>39.299999999999997</v>
      </c>
      <c r="F1219" s="116">
        <v>409.1</v>
      </c>
      <c r="G1219">
        <v>1510707</v>
      </c>
      <c r="H1219" s="116"/>
      <c r="I1219" s="116"/>
      <c r="L1219" s="170">
        <v>43803</v>
      </c>
      <c r="M1219" s="116">
        <v>40.93</v>
      </c>
      <c r="N1219" s="116">
        <v>41.145000000000003</v>
      </c>
      <c r="O1219" s="116">
        <v>38.9</v>
      </c>
      <c r="P1219" s="116">
        <v>39.28</v>
      </c>
      <c r="Q1219" s="116">
        <v>409.3</v>
      </c>
      <c r="R1219">
        <v>26113249</v>
      </c>
    </row>
    <row r="1220" spans="1:18" x14ac:dyDescent="0.25">
      <c r="A1220" s="170">
        <v>43804</v>
      </c>
      <c r="B1220" s="116">
        <v>41.2</v>
      </c>
      <c r="C1220" s="116">
        <v>39.965000000000003</v>
      </c>
      <c r="D1220" s="116">
        <v>39.72</v>
      </c>
      <c r="E1220" s="116">
        <v>41.085000000000001</v>
      </c>
      <c r="F1220" s="116">
        <v>399.65</v>
      </c>
      <c r="G1220">
        <v>665024</v>
      </c>
      <c r="H1220" s="116"/>
      <c r="I1220" s="116"/>
      <c r="L1220" s="170">
        <v>43804</v>
      </c>
      <c r="M1220" s="116">
        <v>39.979999999999997</v>
      </c>
      <c r="N1220" s="116">
        <v>41.185000000000002</v>
      </c>
      <c r="O1220" s="116">
        <v>39.71</v>
      </c>
      <c r="P1220" s="116">
        <v>41.104999999999997</v>
      </c>
      <c r="Q1220" s="116">
        <v>399.8</v>
      </c>
      <c r="R1220">
        <v>11110884</v>
      </c>
    </row>
    <row r="1221" spans="1:18" x14ac:dyDescent="0.25">
      <c r="A1221" s="170">
        <v>43805</v>
      </c>
      <c r="B1221" s="116">
        <v>40.74</v>
      </c>
      <c r="C1221" s="116">
        <v>40.295000000000002</v>
      </c>
      <c r="D1221" s="116">
        <v>39.424999999999997</v>
      </c>
      <c r="E1221" s="116">
        <v>40.1</v>
      </c>
      <c r="F1221" s="116">
        <v>402.95</v>
      </c>
      <c r="G1221">
        <v>887527</v>
      </c>
      <c r="H1221" s="116"/>
      <c r="I1221" s="116"/>
      <c r="L1221" s="170">
        <v>43805</v>
      </c>
      <c r="M1221" s="116">
        <v>40.325000000000003</v>
      </c>
      <c r="N1221" s="116">
        <v>40.75</v>
      </c>
      <c r="O1221" s="116">
        <v>39.384999999999998</v>
      </c>
      <c r="P1221" s="116">
        <v>40.145000000000003</v>
      </c>
      <c r="Q1221" s="116">
        <v>403.25</v>
      </c>
      <c r="R1221">
        <v>16931082</v>
      </c>
    </row>
    <row r="1222" spans="1:18" x14ac:dyDescent="0.25">
      <c r="A1222" s="170">
        <v>43808</v>
      </c>
      <c r="B1222" s="116">
        <v>41.17</v>
      </c>
      <c r="C1222" s="116">
        <v>40.645000000000003</v>
      </c>
      <c r="D1222" s="116">
        <v>40.225000000000001</v>
      </c>
      <c r="E1222" s="116">
        <v>40.299999999999997</v>
      </c>
      <c r="F1222" s="116">
        <v>406.45</v>
      </c>
      <c r="G1222">
        <v>653821</v>
      </c>
      <c r="H1222" s="116"/>
      <c r="I1222" s="116"/>
      <c r="L1222" s="170">
        <v>43808</v>
      </c>
      <c r="M1222" s="116">
        <v>40.67</v>
      </c>
      <c r="N1222" s="116">
        <v>41.18</v>
      </c>
      <c r="O1222" s="116">
        <v>40.195</v>
      </c>
      <c r="P1222" s="116">
        <v>40.299999999999997</v>
      </c>
      <c r="Q1222" s="116">
        <v>406.7</v>
      </c>
      <c r="R1222">
        <v>12318452</v>
      </c>
    </row>
    <row r="1223" spans="1:18" x14ac:dyDescent="0.25">
      <c r="A1223" s="170">
        <v>43809</v>
      </c>
      <c r="B1223" s="116">
        <v>40.950000000000003</v>
      </c>
      <c r="C1223" s="116">
        <v>40.22</v>
      </c>
      <c r="D1223" s="116">
        <v>40.015000000000001</v>
      </c>
      <c r="E1223" s="116">
        <v>40.594999999999999</v>
      </c>
      <c r="F1223" s="116">
        <v>402.2</v>
      </c>
      <c r="G1223">
        <v>534643</v>
      </c>
      <c r="H1223" s="116"/>
      <c r="I1223" s="116"/>
      <c r="L1223" s="170">
        <v>43809</v>
      </c>
      <c r="M1223" s="116">
        <v>40.204999999999998</v>
      </c>
      <c r="N1223" s="116">
        <v>40.96</v>
      </c>
      <c r="O1223" s="116">
        <v>40.020000000000003</v>
      </c>
      <c r="P1223" s="116">
        <v>40.5</v>
      </c>
      <c r="Q1223" s="116">
        <v>402.05</v>
      </c>
      <c r="R1223">
        <v>9349585</v>
      </c>
    </row>
    <row r="1224" spans="1:18" x14ac:dyDescent="0.25">
      <c r="A1224" s="170">
        <v>43810</v>
      </c>
      <c r="B1224" s="116">
        <v>40.799999999999997</v>
      </c>
      <c r="C1224" s="116">
        <v>40.54</v>
      </c>
      <c r="D1224" s="116">
        <v>40.045000000000002</v>
      </c>
      <c r="E1224" s="116">
        <v>40.255000000000003</v>
      </c>
      <c r="F1224" s="116">
        <v>405.4</v>
      </c>
      <c r="G1224">
        <v>431665</v>
      </c>
      <c r="H1224" s="116"/>
      <c r="I1224" s="116"/>
      <c r="L1224" s="170">
        <v>43810</v>
      </c>
      <c r="M1224" s="116">
        <v>40.555</v>
      </c>
      <c r="N1224" s="116">
        <v>40.82</v>
      </c>
      <c r="O1224" s="116">
        <v>40.034999999999997</v>
      </c>
      <c r="P1224" s="116">
        <v>40.24</v>
      </c>
      <c r="Q1224" s="116">
        <v>405.55</v>
      </c>
      <c r="R1224">
        <v>8227863</v>
      </c>
    </row>
    <row r="1225" spans="1:18" x14ac:dyDescent="0.25">
      <c r="A1225" s="170">
        <v>43811</v>
      </c>
      <c r="B1225" s="116">
        <v>42.09</v>
      </c>
      <c r="C1225" s="116">
        <v>41.875</v>
      </c>
      <c r="D1225" s="116">
        <v>40.744999999999997</v>
      </c>
      <c r="E1225" s="116">
        <v>40.94</v>
      </c>
      <c r="F1225" s="116">
        <v>418.75</v>
      </c>
      <c r="G1225">
        <v>773736</v>
      </c>
      <c r="H1225" s="116"/>
      <c r="I1225" s="116"/>
      <c r="L1225" s="170">
        <v>43811</v>
      </c>
      <c r="M1225" s="116">
        <v>41.87</v>
      </c>
      <c r="N1225" s="116">
        <v>42.09</v>
      </c>
      <c r="O1225" s="116">
        <v>40.68</v>
      </c>
      <c r="P1225" s="116">
        <v>40.83</v>
      </c>
      <c r="Q1225" s="116">
        <v>418.7</v>
      </c>
      <c r="R1225">
        <v>14984671</v>
      </c>
    </row>
    <row r="1226" spans="1:18" x14ac:dyDescent="0.25">
      <c r="A1226" s="170">
        <v>43812</v>
      </c>
      <c r="B1226" s="116">
        <v>43.45</v>
      </c>
      <c r="C1226" s="116">
        <v>42.875</v>
      </c>
      <c r="D1226" s="116">
        <v>42.36</v>
      </c>
      <c r="E1226" s="116">
        <v>42.93</v>
      </c>
      <c r="F1226" s="116">
        <v>428.75</v>
      </c>
      <c r="G1226">
        <v>1017026</v>
      </c>
      <c r="H1226" s="116"/>
      <c r="I1226" s="116"/>
      <c r="L1226" s="170">
        <v>43812</v>
      </c>
      <c r="M1226" s="116">
        <v>42.84</v>
      </c>
      <c r="N1226" s="116">
        <v>43.46</v>
      </c>
      <c r="O1226" s="116">
        <v>42.344999999999999</v>
      </c>
      <c r="P1226" s="116">
        <v>43.024999999999999</v>
      </c>
      <c r="Q1226" s="116">
        <v>428.4</v>
      </c>
      <c r="R1226">
        <v>21628183</v>
      </c>
    </row>
    <row r="1227" spans="1:18" x14ac:dyDescent="0.25">
      <c r="A1227" s="170">
        <v>43815</v>
      </c>
      <c r="B1227" s="116">
        <v>43.22</v>
      </c>
      <c r="C1227" s="116">
        <v>42.104999999999997</v>
      </c>
      <c r="D1227" s="116">
        <v>42</v>
      </c>
      <c r="E1227" s="116">
        <v>43.19</v>
      </c>
      <c r="F1227" s="116">
        <v>421.05</v>
      </c>
      <c r="G1227">
        <v>506823</v>
      </c>
      <c r="H1227" s="116"/>
      <c r="I1227" s="116"/>
      <c r="L1227" s="170">
        <v>43815</v>
      </c>
      <c r="M1227" s="116">
        <v>42.1</v>
      </c>
      <c r="N1227" s="116">
        <v>43.2</v>
      </c>
      <c r="O1227" s="116">
        <v>42.015000000000001</v>
      </c>
      <c r="P1227" s="116">
        <v>43.2</v>
      </c>
      <c r="Q1227" s="116">
        <v>421</v>
      </c>
      <c r="R1227">
        <v>9565831</v>
      </c>
    </row>
    <row r="1228" spans="1:18" x14ac:dyDescent="0.25">
      <c r="A1228" s="170">
        <v>43816</v>
      </c>
      <c r="B1228" s="116">
        <v>44.174999999999997</v>
      </c>
      <c r="C1228" s="116">
        <v>43.95</v>
      </c>
      <c r="D1228" s="116">
        <v>42.33</v>
      </c>
      <c r="E1228" s="116">
        <v>42.395000000000003</v>
      </c>
      <c r="F1228" s="116">
        <v>439.5</v>
      </c>
      <c r="G1228">
        <v>1480241</v>
      </c>
      <c r="H1228" s="116"/>
      <c r="I1228" s="116"/>
      <c r="L1228" s="170">
        <v>43816</v>
      </c>
      <c r="M1228" s="116">
        <v>43.94</v>
      </c>
      <c r="N1228" s="116">
        <v>44.19</v>
      </c>
      <c r="O1228" s="116">
        <v>42.305</v>
      </c>
      <c r="P1228" s="116">
        <v>42.36</v>
      </c>
      <c r="Q1228" s="116">
        <v>439.4</v>
      </c>
      <c r="R1228">
        <v>30757738</v>
      </c>
    </row>
    <row r="1229" spans="1:18" x14ac:dyDescent="0.25">
      <c r="A1229" s="170">
        <v>43817</v>
      </c>
      <c r="B1229" s="116">
        <v>45.47</v>
      </c>
      <c r="C1229" s="116">
        <v>44.46</v>
      </c>
      <c r="D1229" s="116">
        <v>43.615000000000002</v>
      </c>
      <c r="E1229" s="116">
        <v>43.95</v>
      </c>
      <c r="F1229" s="116">
        <v>444.6</v>
      </c>
      <c r="G1229">
        <v>2273519</v>
      </c>
      <c r="H1229" s="116"/>
      <c r="I1229" s="116"/>
      <c r="L1229" s="170">
        <v>43817</v>
      </c>
      <c r="M1229" s="116">
        <v>44.475000000000001</v>
      </c>
      <c r="N1229" s="116">
        <v>45.48</v>
      </c>
      <c r="O1229" s="116">
        <v>43.604999999999997</v>
      </c>
      <c r="P1229" s="116">
        <v>43.94</v>
      </c>
      <c r="Q1229" s="116">
        <v>444.75</v>
      </c>
      <c r="R1229">
        <v>40028398</v>
      </c>
    </row>
    <row r="1230" spans="1:18" x14ac:dyDescent="0.25">
      <c r="A1230" s="170">
        <v>43818</v>
      </c>
      <c r="B1230" s="116">
        <v>44.93</v>
      </c>
      <c r="C1230" s="116">
        <v>44.674999999999997</v>
      </c>
      <c r="D1230" s="116">
        <v>43.82</v>
      </c>
      <c r="E1230" s="116">
        <v>44.06</v>
      </c>
      <c r="F1230" s="116">
        <v>446.75</v>
      </c>
      <c r="G1230">
        <v>1220819</v>
      </c>
      <c r="H1230" s="116"/>
      <c r="I1230" s="116"/>
      <c r="L1230" s="170">
        <v>43818</v>
      </c>
      <c r="M1230" s="116">
        <v>44.674999999999997</v>
      </c>
      <c r="N1230" s="116">
        <v>44.94</v>
      </c>
      <c r="O1230" s="116">
        <v>43.8</v>
      </c>
      <c r="P1230" s="116">
        <v>44</v>
      </c>
      <c r="Q1230" s="116">
        <v>446.75</v>
      </c>
      <c r="R1230">
        <v>20547286</v>
      </c>
    </row>
    <row r="1231" spans="1:18" x14ac:dyDescent="0.25">
      <c r="A1231" s="170">
        <v>43819</v>
      </c>
      <c r="B1231" s="116">
        <v>46.33</v>
      </c>
      <c r="C1231" s="116">
        <v>46.12</v>
      </c>
      <c r="D1231" s="116">
        <v>44.4</v>
      </c>
      <c r="E1231" s="116">
        <v>44.594999999999999</v>
      </c>
      <c r="F1231" s="116">
        <v>461.2</v>
      </c>
      <c r="G1231">
        <v>1694417</v>
      </c>
      <c r="H1231" s="116"/>
      <c r="I1231" s="116"/>
      <c r="L1231" s="170">
        <v>43819</v>
      </c>
      <c r="M1231" s="116">
        <v>46.1</v>
      </c>
      <c r="N1231" s="116">
        <v>46.34</v>
      </c>
      <c r="O1231" s="116">
        <v>44.31</v>
      </c>
      <c r="P1231" s="116">
        <v>44.6</v>
      </c>
      <c r="Q1231" s="116">
        <v>461</v>
      </c>
      <c r="R1231">
        <v>26931262</v>
      </c>
    </row>
    <row r="1232" spans="1:18" x14ac:dyDescent="0.25">
      <c r="A1232" s="170">
        <v>43822</v>
      </c>
      <c r="B1232" s="116">
        <v>46.755000000000003</v>
      </c>
      <c r="C1232" s="116">
        <v>46.204999999999998</v>
      </c>
      <c r="D1232" s="116">
        <v>45.715000000000003</v>
      </c>
      <c r="E1232" s="116">
        <v>46.15</v>
      </c>
      <c r="F1232" s="116">
        <v>462.05</v>
      </c>
      <c r="G1232">
        <v>856474</v>
      </c>
      <c r="H1232" s="116"/>
      <c r="I1232" s="116"/>
      <c r="L1232" s="170">
        <v>43822</v>
      </c>
      <c r="M1232" s="116">
        <v>46.215000000000003</v>
      </c>
      <c r="N1232" s="116">
        <v>46.75</v>
      </c>
      <c r="O1232" s="116">
        <v>45.704999999999998</v>
      </c>
      <c r="P1232" s="116">
        <v>46.1</v>
      </c>
      <c r="Q1232" s="116">
        <v>462.15</v>
      </c>
      <c r="R1232">
        <v>18631143</v>
      </c>
    </row>
    <row r="1233" spans="1:18" x14ac:dyDescent="0.25">
      <c r="A1233" s="170">
        <v>43823</v>
      </c>
      <c r="B1233" s="116">
        <v>46.454999999999998</v>
      </c>
      <c r="C1233" s="116">
        <v>46.29</v>
      </c>
      <c r="D1233" s="116">
        <v>45.94</v>
      </c>
      <c r="E1233" s="116">
        <v>46.21</v>
      </c>
      <c r="F1233" s="116">
        <v>462.9</v>
      </c>
      <c r="G1233">
        <v>563217</v>
      </c>
      <c r="H1233" s="116"/>
      <c r="I1233" s="116"/>
      <c r="L1233" s="170">
        <v>43823</v>
      </c>
      <c r="M1233" s="116">
        <v>46.3</v>
      </c>
      <c r="N1233" s="116">
        <v>46.47</v>
      </c>
      <c r="O1233" s="116">
        <v>45.94</v>
      </c>
      <c r="P1233" s="116">
        <v>46.22</v>
      </c>
      <c r="Q1233" s="116">
        <v>463</v>
      </c>
      <c r="R1233">
        <v>11235505</v>
      </c>
    </row>
    <row r="1234" spans="1:18" x14ac:dyDescent="0.25">
      <c r="A1234" s="170">
        <v>43825</v>
      </c>
      <c r="B1234" s="116">
        <v>47.164999999999999</v>
      </c>
      <c r="C1234" s="116">
        <v>46.78</v>
      </c>
      <c r="D1234" s="116">
        <v>46.35</v>
      </c>
      <c r="E1234" s="116">
        <v>46.35</v>
      </c>
      <c r="F1234" s="116">
        <v>467.8</v>
      </c>
      <c r="G1234">
        <v>837385</v>
      </c>
      <c r="H1234" s="116"/>
      <c r="I1234" s="116"/>
      <c r="L1234" s="170">
        <v>43825</v>
      </c>
      <c r="M1234" s="116">
        <v>46.79</v>
      </c>
      <c r="N1234" s="116">
        <v>47.2</v>
      </c>
      <c r="O1234" s="116">
        <v>46.3</v>
      </c>
      <c r="P1234" s="116">
        <v>46.3</v>
      </c>
      <c r="Q1234" s="116">
        <v>467.9</v>
      </c>
      <c r="R1234">
        <v>18255603</v>
      </c>
    </row>
    <row r="1235" spans="1:18" x14ac:dyDescent="0.25">
      <c r="A1235" s="170">
        <v>43826</v>
      </c>
      <c r="B1235" s="116">
        <v>47.164999999999999</v>
      </c>
      <c r="C1235" s="116">
        <v>46.975000000000001</v>
      </c>
      <c r="D1235" s="116">
        <v>46.32</v>
      </c>
      <c r="E1235" s="116">
        <v>46.875</v>
      </c>
      <c r="F1235" s="116">
        <v>469.75</v>
      </c>
      <c r="G1235">
        <v>634775</v>
      </c>
      <c r="H1235" s="116"/>
      <c r="I1235" s="116"/>
      <c r="L1235" s="170">
        <v>43826</v>
      </c>
      <c r="M1235" s="116">
        <v>46.95</v>
      </c>
      <c r="N1235" s="116">
        <v>47.18</v>
      </c>
      <c r="O1235" s="116">
        <v>46.32</v>
      </c>
      <c r="P1235" s="116">
        <v>46.924999999999997</v>
      </c>
      <c r="Q1235" s="116">
        <v>469.5</v>
      </c>
      <c r="R1235">
        <v>11144333</v>
      </c>
    </row>
    <row r="1236" spans="1:18" x14ac:dyDescent="0.25">
      <c r="A1236" s="170">
        <v>43829</v>
      </c>
      <c r="B1236" s="116">
        <v>47.6</v>
      </c>
      <c r="C1236" s="116">
        <v>47.47</v>
      </c>
      <c r="D1236" s="116">
        <v>46.505000000000003</v>
      </c>
      <c r="E1236" s="116">
        <v>47.09</v>
      </c>
      <c r="F1236" s="116">
        <v>474.7</v>
      </c>
      <c r="G1236">
        <v>523790</v>
      </c>
      <c r="H1236" s="116"/>
      <c r="I1236" s="116"/>
      <c r="L1236" s="170">
        <v>43829</v>
      </c>
      <c r="M1236" s="116">
        <v>47.475000000000001</v>
      </c>
      <c r="N1236" s="116">
        <v>47.63</v>
      </c>
      <c r="O1236" s="116">
        <v>46.51</v>
      </c>
      <c r="P1236" s="116">
        <v>47.01</v>
      </c>
      <c r="Q1236" s="116">
        <v>474.75</v>
      </c>
      <c r="R1236">
        <v>11462074</v>
      </c>
    </row>
    <row r="1237" spans="1:18" x14ac:dyDescent="0.25">
      <c r="A1237" s="170">
        <v>43830</v>
      </c>
      <c r="B1237" s="116">
        <v>47.524999999999999</v>
      </c>
      <c r="C1237" s="116">
        <v>47.2</v>
      </c>
      <c r="D1237" s="116">
        <v>47.02</v>
      </c>
      <c r="E1237" s="116">
        <v>47.3</v>
      </c>
      <c r="F1237" s="116">
        <v>472</v>
      </c>
      <c r="G1237">
        <v>406679</v>
      </c>
      <c r="H1237" s="116"/>
      <c r="I1237" s="116"/>
      <c r="L1237" s="170">
        <v>43830</v>
      </c>
      <c r="M1237" s="116">
        <v>47.204999999999998</v>
      </c>
      <c r="N1237" s="116">
        <v>47.53</v>
      </c>
      <c r="O1237" s="116">
        <v>46.95</v>
      </c>
      <c r="P1237" s="116">
        <v>47.265000000000001</v>
      </c>
      <c r="Q1237" s="116">
        <v>472.05</v>
      </c>
      <c r="R1237">
        <v>9644145</v>
      </c>
    </row>
    <row r="1238" spans="1:18" x14ac:dyDescent="0.25">
      <c r="A1238" s="170">
        <v>43831</v>
      </c>
      <c r="B1238" s="116">
        <v>47.645000000000003</v>
      </c>
      <c r="C1238" s="116">
        <v>46.774999999999999</v>
      </c>
      <c r="D1238" s="116">
        <v>46.5</v>
      </c>
      <c r="E1238" s="116">
        <v>47.31</v>
      </c>
      <c r="F1238" s="116">
        <v>467.75</v>
      </c>
      <c r="G1238">
        <v>608785</v>
      </c>
      <c r="H1238" s="116"/>
      <c r="I1238" s="116"/>
      <c r="L1238" s="170">
        <v>43831</v>
      </c>
      <c r="M1238" s="116">
        <v>46.774999999999999</v>
      </c>
      <c r="N1238" s="116">
        <v>47.65</v>
      </c>
      <c r="O1238" s="116">
        <v>46.48</v>
      </c>
      <c r="P1238" s="116">
        <v>47.3</v>
      </c>
      <c r="Q1238" s="116">
        <v>467.75</v>
      </c>
      <c r="R1238">
        <v>12100530</v>
      </c>
    </row>
    <row r="1239" spans="1:18" x14ac:dyDescent="0.25">
      <c r="A1239" s="170">
        <v>43832</v>
      </c>
      <c r="B1239" s="116">
        <v>48.774999999999999</v>
      </c>
      <c r="C1239" s="116">
        <v>48.494999999999997</v>
      </c>
      <c r="D1239" s="116">
        <v>47.215000000000003</v>
      </c>
      <c r="E1239" s="116">
        <v>47.274999999999999</v>
      </c>
      <c r="F1239" s="116">
        <v>484.95</v>
      </c>
      <c r="G1239">
        <v>861352</v>
      </c>
      <c r="H1239" s="116"/>
      <c r="I1239" s="116"/>
      <c r="L1239" s="170">
        <v>43832</v>
      </c>
      <c r="M1239" s="116">
        <v>48.484999999999999</v>
      </c>
      <c r="N1239" s="116">
        <v>48.78</v>
      </c>
      <c r="O1239" s="116">
        <v>47.2</v>
      </c>
      <c r="P1239" s="116">
        <v>47.2</v>
      </c>
      <c r="Q1239" s="116">
        <v>484.85</v>
      </c>
      <c r="R1239">
        <v>21674961</v>
      </c>
    </row>
    <row r="1240" spans="1:18" x14ac:dyDescent="0.25">
      <c r="A1240" s="170">
        <v>43833</v>
      </c>
      <c r="B1240" s="116">
        <v>48.615000000000002</v>
      </c>
      <c r="C1240" s="116">
        <v>48.375</v>
      </c>
      <c r="D1240" s="116">
        <v>47.95</v>
      </c>
      <c r="E1240" s="116">
        <v>48.3</v>
      </c>
      <c r="F1240" s="116">
        <v>483.75</v>
      </c>
      <c r="G1240">
        <v>597211</v>
      </c>
      <c r="H1240" s="116"/>
      <c r="I1240" s="116"/>
      <c r="L1240" s="170">
        <v>43833</v>
      </c>
      <c r="M1240" s="116">
        <v>48.37</v>
      </c>
      <c r="N1240" s="116">
        <v>48.62</v>
      </c>
      <c r="O1240" s="116">
        <v>47.945</v>
      </c>
      <c r="P1240" s="116">
        <v>48.3</v>
      </c>
      <c r="Q1240" s="116">
        <v>483.7</v>
      </c>
      <c r="R1240">
        <v>12956863</v>
      </c>
    </row>
    <row r="1241" spans="1:18" x14ac:dyDescent="0.25">
      <c r="A1241" s="170">
        <v>43836</v>
      </c>
      <c r="B1241" s="116">
        <v>48</v>
      </c>
      <c r="C1241" s="116">
        <v>47.32</v>
      </c>
      <c r="D1241" s="116">
        <v>47.064999999999998</v>
      </c>
      <c r="E1241" s="116">
        <v>48</v>
      </c>
      <c r="F1241" s="116">
        <v>473.2</v>
      </c>
      <c r="G1241">
        <v>463003</v>
      </c>
      <c r="H1241" s="116"/>
      <c r="I1241" s="116"/>
      <c r="L1241" s="170">
        <v>43836</v>
      </c>
      <c r="M1241" s="116">
        <v>47.325000000000003</v>
      </c>
      <c r="N1241" s="116">
        <v>48</v>
      </c>
      <c r="O1241" s="116">
        <v>47.055</v>
      </c>
      <c r="P1241" s="116">
        <v>48</v>
      </c>
      <c r="Q1241" s="116">
        <v>473.25</v>
      </c>
      <c r="R1241">
        <v>9601608</v>
      </c>
    </row>
    <row r="1242" spans="1:18" x14ac:dyDescent="0.25">
      <c r="A1242" s="170">
        <v>43837</v>
      </c>
      <c r="B1242" s="116">
        <v>48.46</v>
      </c>
      <c r="C1242" s="116">
        <v>47.564999999999998</v>
      </c>
      <c r="D1242" s="116">
        <v>47.36</v>
      </c>
      <c r="E1242" s="116">
        <v>47.74</v>
      </c>
      <c r="F1242" s="116">
        <v>475.65</v>
      </c>
      <c r="G1242">
        <v>465361</v>
      </c>
      <c r="H1242" s="116"/>
      <c r="I1242" s="116"/>
      <c r="L1242" s="170">
        <v>43837</v>
      </c>
      <c r="M1242" s="116">
        <v>47.61</v>
      </c>
      <c r="N1242" s="116">
        <v>48.46</v>
      </c>
      <c r="O1242" s="116">
        <v>47.354999999999997</v>
      </c>
      <c r="P1242" s="116">
        <v>47.55</v>
      </c>
      <c r="Q1242" s="116">
        <v>476.1</v>
      </c>
      <c r="R1242">
        <v>13195788</v>
      </c>
    </row>
    <row r="1243" spans="1:18" x14ac:dyDescent="0.25">
      <c r="A1243" s="170">
        <v>43838</v>
      </c>
      <c r="B1243" s="116">
        <v>47.795000000000002</v>
      </c>
      <c r="C1243" s="116">
        <v>47.555</v>
      </c>
      <c r="D1243" s="116">
        <v>46.7</v>
      </c>
      <c r="E1243" s="116">
        <v>47.15</v>
      </c>
      <c r="F1243" s="116">
        <v>475.55</v>
      </c>
      <c r="G1243">
        <v>522099</v>
      </c>
      <c r="H1243" s="116"/>
      <c r="I1243" s="116"/>
      <c r="L1243" s="170">
        <v>43838</v>
      </c>
      <c r="M1243" s="116">
        <v>47.524999999999999</v>
      </c>
      <c r="N1243" s="116">
        <v>47.814999999999998</v>
      </c>
      <c r="O1243" s="116">
        <v>46.7</v>
      </c>
      <c r="P1243" s="116">
        <v>47.164999999999999</v>
      </c>
      <c r="Q1243" s="116">
        <v>475.25</v>
      </c>
      <c r="R1243">
        <v>13304841</v>
      </c>
    </row>
    <row r="1244" spans="1:18" x14ac:dyDescent="0.25">
      <c r="A1244" s="170">
        <v>43839</v>
      </c>
      <c r="B1244" s="116">
        <v>48.62</v>
      </c>
      <c r="C1244" s="116">
        <v>48.3</v>
      </c>
      <c r="D1244" s="116">
        <v>47.94</v>
      </c>
      <c r="E1244" s="116">
        <v>48.4</v>
      </c>
      <c r="F1244" s="116">
        <v>483</v>
      </c>
      <c r="G1244">
        <v>359403</v>
      </c>
      <c r="H1244" s="116"/>
      <c r="I1244" s="116"/>
      <c r="L1244" s="170">
        <v>43839</v>
      </c>
      <c r="M1244" s="116">
        <v>48.314999999999998</v>
      </c>
      <c r="N1244" s="116">
        <v>48.6</v>
      </c>
      <c r="O1244" s="116">
        <v>47.91</v>
      </c>
      <c r="P1244" s="116">
        <v>48.5</v>
      </c>
      <c r="Q1244" s="116">
        <v>483.15</v>
      </c>
      <c r="R1244">
        <v>10131152</v>
      </c>
    </row>
    <row r="1245" spans="1:18" x14ac:dyDescent="0.25">
      <c r="A1245" s="170">
        <v>43840</v>
      </c>
      <c r="B1245" s="116">
        <v>49.39</v>
      </c>
      <c r="C1245" s="116">
        <v>48.655000000000001</v>
      </c>
      <c r="D1245" s="116">
        <v>47.994999999999997</v>
      </c>
      <c r="E1245" s="116">
        <v>48.43</v>
      </c>
      <c r="F1245" s="116">
        <v>486.55</v>
      </c>
      <c r="G1245">
        <v>854074</v>
      </c>
      <c r="H1245" s="116"/>
      <c r="I1245" s="116"/>
      <c r="L1245" s="170">
        <v>43840</v>
      </c>
      <c r="M1245" s="116">
        <v>48.62</v>
      </c>
      <c r="N1245" s="116">
        <v>49.384999999999998</v>
      </c>
      <c r="O1245" s="116">
        <v>48</v>
      </c>
      <c r="P1245" s="116">
        <v>48.55</v>
      </c>
      <c r="Q1245" s="116">
        <v>486.2</v>
      </c>
      <c r="R1245">
        <v>15927634</v>
      </c>
    </row>
    <row r="1246" spans="1:18" x14ac:dyDescent="0.25">
      <c r="A1246" s="170">
        <v>43843</v>
      </c>
      <c r="B1246" s="116">
        <v>49.69</v>
      </c>
      <c r="C1246" s="116">
        <v>49.555</v>
      </c>
      <c r="D1246" s="116">
        <v>48.805</v>
      </c>
      <c r="E1246" s="116">
        <v>49.02</v>
      </c>
      <c r="F1246" s="116">
        <v>495.55</v>
      </c>
      <c r="G1246">
        <v>435821</v>
      </c>
      <c r="H1246" s="116"/>
      <c r="I1246" s="116"/>
      <c r="L1246" s="170">
        <v>43843</v>
      </c>
      <c r="M1246" s="116">
        <v>49.575000000000003</v>
      </c>
      <c r="N1246" s="116">
        <v>49.7</v>
      </c>
      <c r="O1246" s="116">
        <v>48.774999999999999</v>
      </c>
      <c r="P1246" s="116">
        <v>49.11</v>
      </c>
      <c r="Q1246" s="116">
        <v>495.75</v>
      </c>
      <c r="R1246">
        <v>10942750</v>
      </c>
    </row>
    <row r="1247" spans="1:18" x14ac:dyDescent="0.25">
      <c r="A1247" s="170">
        <v>43844</v>
      </c>
      <c r="B1247" s="116">
        <v>50.594999999999999</v>
      </c>
      <c r="C1247" s="116">
        <v>49.844999999999999</v>
      </c>
      <c r="D1247" s="116">
        <v>49.585000000000001</v>
      </c>
      <c r="E1247" s="116">
        <v>49.7</v>
      </c>
      <c r="F1247" s="116">
        <v>498.45</v>
      </c>
      <c r="G1247">
        <v>692439</v>
      </c>
      <c r="H1247" s="116"/>
      <c r="I1247" s="116"/>
      <c r="L1247" s="170">
        <v>43844</v>
      </c>
      <c r="M1247" s="116">
        <v>49.86</v>
      </c>
      <c r="N1247" s="116">
        <v>50.6</v>
      </c>
      <c r="O1247" s="116">
        <v>49.575000000000003</v>
      </c>
      <c r="P1247" s="116">
        <v>49.645000000000003</v>
      </c>
      <c r="Q1247" s="116">
        <v>498.6</v>
      </c>
      <c r="R1247">
        <v>15660822</v>
      </c>
    </row>
    <row r="1248" spans="1:18" x14ac:dyDescent="0.25">
      <c r="A1248" s="170">
        <v>43845</v>
      </c>
      <c r="B1248" s="116">
        <v>50.36</v>
      </c>
      <c r="C1248" s="116">
        <v>50.195</v>
      </c>
      <c r="D1248" s="116">
        <v>48.935000000000002</v>
      </c>
      <c r="E1248" s="116">
        <v>49.25</v>
      </c>
      <c r="F1248" s="116">
        <v>501.95</v>
      </c>
      <c r="G1248">
        <v>643166</v>
      </c>
      <c r="H1248" s="116"/>
      <c r="I1248" s="116"/>
      <c r="L1248" s="170">
        <v>43845</v>
      </c>
      <c r="M1248" s="116">
        <v>50.21</v>
      </c>
      <c r="N1248" s="116">
        <v>50.354999999999997</v>
      </c>
      <c r="O1248" s="116">
        <v>48.914999999999999</v>
      </c>
      <c r="P1248" s="116">
        <v>49.19</v>
      </c>
      <c r="Q1248" s="116">
        <v>502.1</v>
      </c>
      <c r="R1248">
        <v>12117948</v>
      </c>
    </row>
    <row r="1249" spans="1:18" x14ac:dyDescent="0.25">
      <c r="A1249" s="170">
        <v>43846</v>
      </c>
      <c r="B1249" s="116">
        <v>50.435000000000002</v>
      </c>
      <c r="C1249" s="116">
        <v>49.42</v>
      </c>
      <c r="D1249" s="116">
        <v>49.22</v>
      </c>
      <c r="E1249" s="116">
        <v>50.29</v>
      </c>
      <c r="F1249" s="116">
        <v>494.2</v>
      </c>
      <c r="G1249">
        <v>397423</v>
      </c>
      <c r="H1249" s="116"/>
      <c r="I1249" s="116"/>
      <c r="L1249" s="170">
        <v>43846</v>
      </c>
      <c r="M1249" s="116">
        <v>49.44</v>
      </c>
      <c r="N1249" s="116">
        <v>50.405000000000001</v>
      </c>
      <c r="O1249" s="116">
        <v>49.21</v>
      </c>
      <c r="P1249" s="116">
        <v>50.2</v>
      </c>
      <c r="Q1249" s="116">
        <v>494.4</v>
      </c>
      <c r="R1249">
        <v>10438369</v>
      </c>
    </row>
    <row r="1250" spans="1:18" x14ac:dyDescent="0.25">
      <c r="A1250" s="170">
        <v>43847</v>
      </c>
      <c r="B1250" s="116">
        <v>49.89</v>
      </c>
      <c r="C1250" s="116">
        <v>49.53</v>
      </c>
      <c r="D1250" s="116">
        <v>49.24</v>
      </c>
      <c r="E1250" s="116">
        <v>49.4</v>
      </c>
      <c r="F1250" s="116">
        <v>495.3</v>
      </c>
      <c r="G1250">
        <v>264225</v>
      </c>
      <c r="H1250" s="116"/>
      <c r="I1250" s="116"/>
      <c r="L1250" s="170">
        <v>43847</v>
      </c>
      <c r="M1250" s="116">
        <v>49.524999999999999</v>
      </c>
      <c r="N1250" s="116">
        <v>49.89</v>
      </c>
      <c r="O1250" s="116">
        <v>49.19</v>
      </c>
      <c r="P1250" s="116">
        <v>49.33</v>
      </c>
      <c r="Q1250" s="116">
        <v>495.25</v>
      </c>
      <c r="R1250">
        <v>5682460</v>
      </c>
    </row>
    <row r="1251" spans="1:18" x14ac:dyDescent="0.25">
      <c r="A1251" s="170">
        <v>43850</v>
      </c>
      <c r="B1251" s="116">
        <v>49.95</v>
      </c>
      <c r="C1251" s="116">
        <v>49.064999999999998</v>
      </c>
      <c r="D1251" s="116">
        <v>48.914999999999999</v>
      </c>
      <c r="E1251" s="116">
        <v>49.84</v>
      </c>
      <c r="F1251" s="116">
        <v>490.65</v>
      </c>
      <c r="G1251">
        <v>519151</v>
      </c>
      <c r="H1251" s="116"/>
      <c r="I1251" s="116"/>
      <c r="L1251" s="170">
        <v>43850</v>
      </c>
      <c r="M1251" s="116">
        <v>49.064999999999998</v>
      </c>
      <c r="N1251" s="116">
        <v>49.98</v>
      </c>
      <c r="O1251" s="116">
        <v>48.914999999999999</v>
      </c>
      <c r="P1251" s="116">
        <v>49.7</v>
      </c>
      <c r="Q1251" s="116">
        <v>490.65</v>
      </c>
      <c r="R1251">
        <v>7291878</v>
      </c>
    </row>
    <row r="1252" spans="1:18" x14ac:dyDescent="0.25">
      <c r="A1252" s="170">
        <v>43851</v>
      </c>
      <c r="B1252" s="116">
        <v>48.86</v>
      </c>
      <c r="C1252" s="116">
        <v>47.59</v>
      </c>
      <c r="D1252" s="116">
        <v>47.37</v>
      </c>
      <c r="E1252" s="116">
        <v>48.71</v>
      </c>
      <c r="F1252" s="116">
        <v>475.9</v>
      </c>
      <c r="G1252">
        <v>535045</v>
      </c>
      <c r="H1252" s="116"/>
      <c r="I1252" s="116"/>
      <c r="L1252" s="170">
        <v>43851</v>
      </c>
      <c r="M1252" s="116">
        <v>47.615000000000002</v>
      </c>
      <c r="N1252" s="116">
        <v>48.78</v>
      </c>
      <c r="O1252" s="116">
        <v>47.35</v>
      </c>
      <c r="P1252" s="116">
        <v>48.78</v>
      </c>
      <c r="Q1252" s="116">
        <v>476.15</v>
      </c>
      <c r="R1252">
        <v>11315803</v>
      </c>
    </row>
    <row r="1253" spans="1:18" x14ac:dyDescent="0.25">
      <c r="A1253" s="170">
        <v>43852</v>
      </c>
      <c r="B1253" s="116">
        <v>47.98</v>
      </c>
      <c r="C1253" s="116">
        <v>47.48</v>
      </c>
      <c r="D1253" s="116">
        <v>47.305</v>
      </c>
      <c r="E1253" s="116">
        <v>47.81</v>
      </c>
      <c r="F1253" s="116">
        <v>474.8</v>
      </c>
      <c r="G1253">
        <v>675045</v>
      </c>
      <c r="H1253" s="116"/>
      <c r="I1253" s="116"/>
      <c r="L1253" s="170">
        <v>43852</v>
      </c>
      <c r="M1253" s="116">
        <v>47.505000000000003</v>
      </c>
      <c r="N1253" s="116">
        <v>47.984999999999999</v>
      </c>
      <c r="O1253" s="116">
        <v>47.32</v>
      </c>
      <c r="P1253" s="116">
        <v>47.865000000000002</v>
      </c>
      <c r="Q1253" s="116">
        <v>475.05</v>
      </c>
      <c r="R1253">
        <v>7662171</v>
      </c>
    </row>
    <row r="1254" spans="1:18" x14ac:dyDescent="0.25">
      <c r="A1254" s="170">
        <v>43853</v>
      </c>
      <c r="B1254" s="116">
        <v>48.2</v>
      </c>
      <c r="C1254" s="116">
        <v>48.034999999999997</v>
      </c>
      <c r="D1254" s="116">
        <v>47.34</v>
      </c>
      <c r="E1254" s="116">
        <v>47.7</v>
      </c>
      <c r="F1254" s="116">
        <v>480.35</v>
      </c>
      <c r="G1254">
        <v>663650</v>
      </c>
      <c r="H1254" s="116"/>
      <c r="I1254" s="116"/>
      <c r="L1254" s="170">
        <v>43853</v>
      </c>
      <c r="M1254" s="116">
        <v>48.024999999999999</v>
      </c>
      <c r="N1254" s="116">
        <v>48.185000000000002</v>
      </c>
      <c r="O1254" s="116">
        <v>47.314999999999998</v>
      </c>
      <c r="P1254" s="116">
        <v>47.59</v>
      </c>
      <c r="Q1254" s="116">
        <v>480.25</v>
      </c>
      <c r="R1254">
        <v>7200020</v>
      </c>
    </row>
    <row r="1255" spans="1:18" x14ac:dyDescent="0.25">
      <c r="A1255" s="170">
        <v>43854</v>
      </c>
      <c r="B1255" s="116">
        <v>48.49</v>
      </c>
      <c r="C1255" s="116">
        <v>48.325000000000003</v>
      </c>
      <c r="D1255" s="116">
        <v>47.66</v>
      </c>
      <c r="E1255" s="116">
        <v>48.034999999999997</v>
      </c>
      <c r="F1255" s="116">
        <v>483.25</v>
      </c>
      <c r="G1255">
        <v>556047</v>
      </c>
      <c r="H1255" s="116"/>
      <c r="I1255" s="116"/>
      <c r="L1255" s="170">
        <v>43854</v>
      </c>
      <c r="M1255" s="116">
        <v>48.34</v>
      </c>
      <c r="N1255" s="116">
        <v>48.51</v>
      </c>
      <c r="O1255" s="116">
        <v>47.645000000000003</v>
      </c>
      <c r="P1255" s="116">
        <v>48.03</v>
      </c>
      <c r="Q1255" s="116">
        <v>483.4</v>
      </c>
      <c r="R1255">
        <v>7481130</v>
      </c>
    </row>
    <row r="1256" spans="1:18" x14ac:dyDescent="0.25">
      <c r="A1256" s="170">
        <v>43857</v>
      </c>
      <c r="B1256" s="116">
        <v>47.76</v>
      </c>
      <c r="C1256" s="116">
        <v>46.24</v>
      </c>
      <c r="D1256" s="116">
        <v>46.024999999999999</v>
      </c>
      <c r="E1256" s="116">
        <v>47.76</v>
      </c>
      <c r="F1256" s="116">
        <v>462.4</v>
      </c>
      <c r="G1256">
        <v>651708</v>
      </c>
      <c r="H1256" s="116"/>
      <c r="I1256" s="116"/>
      <c r="L1256" s="170">
        <v>43857</v>
      </c>
      <c r="M1256" s="116">
        <v>46.244999999999997</v>
      </c>
      <c r="N1256" s="116">
        <v>47.774999999999999</v>
      </c>
      <c r="O1256" s="116">
        <v>46.01</v>
      </c>
      <c r="P1256" s="116">
        <v>47.774999999999999</v>
      </c>
      <c r="Q1256" s="116">
        <v>462.45</v>
      </c>
      <c r="R1256">
        <v>12963119</v>
      </c>
    </row>
    <row r="1257" spans="1:18" x14ac:dyDescent="0.25">
      <c r="A1257" s="170">
        <v>43858</v>
      </c>
      <c r="B1257" s="116">
        <v>46.164999999999999</v>
      </c>
      <c r="C1257" s="116">
        <v>44.625</v>
      </c>
      <c r="D1257" s="116">
        <v>44.195</v>
      </c>
      <c r="E1257" s="116">
        <v>46.05</v>
      </c>
      <c r="F1257" s="116">
        <v>446.25</v>
      </c>
      <c r="G1257">
        <v>676423</v>
      </c>
      <c r="H1257" s="116"/>
      <c r="I1257" s="116"/>
      <c r="L1257" s="170">
        <v>43858</v>
      </c>
      <c r="M1257" s="116">
        <v>44.625</v>
      </c>
      <c r="N1257" s="116">
        <v>46.2</v>
      </c>
      <c r="O1257" s="116">
        <v>44.2</v>
      </c>
      <c r="P1257" s="116">
        <v>46</v>
      </c>
      <c r="Q1257" s="116">
        <v>446.25</v>
      </c>
      <c r="R1257">
        <v>18015283</v>
      </c>
    </row>
    <row r="1258" spans="1:18" x14ac:dyDescent="0.25">
      <c r="A1258" s="170">
        <v>43859</v>
      </c>
      <c r="B1258" s="116">
        <v>45.945</v>
      </c>
      <c r="C1258" s="116">
        <v>45.21</v>
      </c>
      <c r="D1258" s="116">
        <v>44.975000000000001</v>
      </c>
      <c r="E1258" s="116">
        <v>45.32</v>
      </c>
      <c r="F1258" s="116">
        <v>452.1</v>
      </c>
      <c r="G1258">
        <v>709545</v>
      </c>
      <c r="H1258" s="116"/>
      <c r="I1258" s="116"/>
      <c r="L1258" s="170">
        <v>43859</v>
      </c>
      <c r="M1258" s="116">
        <v>45.22</v>
      </c>
      <c r="N1258" s="116">
        <v>45.97</v>
      </c>
      <c r="O1258" s="116">
        <v>44.96</v>
      </c>
      <c r="P1258" s="116">
        <v>45.28</v>
      </c>
      <c r="Q1258" s="116">
        <v>452.2</v>
      </c>
      <c r="R1258">
        <v>11081834</v>
      </c>
    </row>
    <row r="1259" spans="1:18" x14ac:dyDescent="0.25">
      <c r="A1259" s="170">
        <v>43860</v>
      </c>
      <c r="B1259" s="116">
        <v>45.424999999999997</v>
      </c>
      <c r="C1259" s="116">
        <v>44.84</v>
      </c>
      <c r="D1259" s="116">
        <v>44.164999999999999</v>
      </c>
      <c r="E1259" s="116">
        <v>45.21</v>
      </c>
      <c r="F1259" s="116">
        <v>448.4</v>
      </c>
      <c r="G1259">
        <v>565623</v>
      </c>
      <c r="H1259" s="116"/>
      <c r="I1259" s="116"/>
      <c r="L1259" s="170">
        <v>43860</v>
      </c>
      <c r="M1259" s="116">
        <v>44.854999999999997</v>
      </c>
      <c r="N1259" s="116">
        <v>45.445</v>
      </c>
      <c r="O1259" s="116">
        <v>44.14</v>
      </c>
      <c r="P1259" s="116">
        <v>45.19</v>
      </c>
      <c r="Q1259" s="116">
        <v>448.55</v>
      </c>
      <c r="R1259">
        <v>14652016</v>
      </c>
    </row>
    <row r="1260" spans="1:18" x14ac:dyDescent="0.25">
      <c r="A1260" s="170">
        <v>43861</v>
      </c>
      <c r="B1260" s="116">
        <v>45.435000000000002</v>
      </c>
      <c r="C1260" s="116">
        <v>43.875</v>
      </c>
      <c r="D1260" s="116">
        <v>43.65</v>
      </c>
      <c r="E1260" s="116">
        <v>45.1</v>
      </c>
      <c r="F1260" s="116">
        <v>438.75</v>
      </c>
      <c r="G1260">
        <v>439838</v>
      </c>
      <c r="H1260" s="116"/>
      <c r="I1260" s="116"/>
      <c r="L1260" s="170">
        <v>43861</v>
      </c>
      <c r="M1260" s="116">
        <v>43.87</v>
      </c>
      <c r="N1260" s="116">
        <v>45.424999999999997</v>
      </c>
      <c r="O1260" s="116">
        <v>43.645000000000003</v>
      </c>
      <c r="P1260" s="116">
        <v>45.3</v>
      </c>
      <c r="Q1260" s="116">
        <v>438.7</v>
      </c>
      <c r="R1260">
        <v>10738727</v>
      </c>
    </row>
    <row r="1261" spans="1:18" x14ac:dyDescent="0.25">
      <c r="A1261" s="170">
        <v>43862</v>
      </c>
      <c r="B1261" s="116">
        <v>43.98</v>
      </c>
      <c r="C1261" s="116">
        <v>42.36</v>
      </c>
      <c r="D1261" s="116">
        <v>42</v>
      </c>
      <c r="E1261" s="116">
        <v>43.2</v>
      </c>
      <c r="F1261" s="116">
        <v>423.6</v>
      </c>
      <c r="G1261">
        <v>791390</v>
      </c>
      <c r="H1261" s="116"/>
      <c r="I1261" s="116"/>
      <c r="L1261" s="170">
        <v>43862</v>
      </c>
      <c r="M1261" s="116">
        <v>42.38</v>
      </c>
      <c r="N1261" s="116">
        <v>44</v>
      </c>
      <c r="O1261" s="116">
        <v>42.01</v>
      </c>
      <c r="P1261" s="116">
        <v>43.15</v>
      </c>
      <c r="Q1261" s="116">
        <v>423.8</v>
      </c>
      <c r="R1261">
        <v>12915212</v>
      </c>
    </row>
    <row r="1262" spans="1:18" x14ac:dyDescent="0.25">
      <c r="A1262" s="170">
        <v>43864</v>
      </c>
      <c r="B1262" s="116">
        <v>43.85</v>
      </c>
      <c r="C1262" s="116">
        <v>43.655000000000001</v>
      </c>
      <c r="D1262" s="116">
        <v>41.69</v>
      </c>
      <c r="E1262" s="116">
        <v>42</v>
      </c>
      <c r="F1262" s="116">
        <v>436.55</v>
      </c>
      <c r="G1262">
        <v>999766</v>
      </c>
      <c r="H1262" s="116"/>
      <c r="I1262" s="116"/>
      <c r="L1262" s="170">
        <v>43864</v>
      </c>
      <c r="M1262" s="116">
        <v>43.604999999999997</v>
      </c>
      <c r="N1262" s="116">
        <v>43.9</v>
      </c>
      <c r="O1262" s="116">
        <v>41.66</v>
      </c>
      <c r="P1262" s="116">
        <v>41.8</v>
      </c>
      <c r="Q1262" s="116">
        <v>436.05</v>
      </c>
      <c r="R1262">
        <v>16237126</v>
      </c>
    </row>
    <row r="1263" spans="1:18" x14ac:dyDescent="0.25">
      <c r="A1263" s="170">
        <v>43865</v>
      </c>
      <c r="B1263" s="116">
        <v>45.32</v>
      </c>
      <c r="C1263" s="116">
        <v>45.204999999999998</v>
      </c>
      <c r="D1263" s="116">
        <v>43.38</v>
      </c>
      <c r="E1263" s="116">
        <v>44.11</v>
      </c>
      <c r="F1263" s="116">
        <v>452.05</v>
      </c>
      <c r="G1263">
        <v>578820</v>
      </c>
      <c r="H1263" s="116"/>
      <c r="I1263" s="116"/>
      <c r="L1263" s="170">
        <v>43865</v>
      </c>
      <c r="M1263" s="116">
        <v>45.19</v>
      </c>
      <c r="N1263" s="116">
        <v>45.34</v>
      </c>
      <c r="O1263" s="116">
        <v>43.344999999999999</v>
      </c>
      <c r="P1263" s="116">
        <v>44.2</v>
      </c>
      <c r="Q1263" s="116">
        <v>451.9</v>
      </c>
      <c r="R1263">
        <v>13336263</v>
      </c>
    </row>
    <row r="1264" spans="1:18" x14ac:dyDescent="0.25">
      <c r="A1264" s="170">
        <v>43866</v>
      </c>
      <c r="B1264" s="116">
        <v>47.9</v>
      </c>
      <c r="C1264" s="116">
        <v>47.53</v>
      </c>
      <c r="D1264" s="116">
        <v>44.805</v>
      </c>
      <c r="E1264" s="116">
        <v>45.204999999999998</v>
      </c>
      <c r="F1264" s="116">
        <v>475.3</v>
      </c>
      <c r="G1264">
        <v>1224343</v>
      </c>
      <c r="H1264" s="116"/>
      <c r="I1264" s="116"/>
      <c r="L1264" s="170">
        <v>43866</v>
      </c>
      <c r="M1264" s="116">
        <v>47.505000000000003</v>
      </c>
      <c r="N1264" s="116">
        <v>47.97</v>
      </c>
      <c r="O1264" s="116">
        <v>44.8</v>
      </c>
      <c r="P1264" s="116">
        <v>45.225000000000001</v>
      </c>
      <c r="Q1264" s="116">
        <v>475.05</v>
      </c>
      <c r="R1264">
        <v>16056765</v>
      </c>
    </row>
    <row r="1265" spans="1:18" x14ac:dyDescent="0.25">
      <c r="A1265" s="170">
        <v>43867</v>
      </c>
      <c r="B1265" s="116">
        <v>48.725000000000001</v>
      </c>
      <c r="C1265" s="116">
        <v>47.795000000000002</v>
      </c>
      <c r="D1265" s="116">
        <v>47.185000000000002</v>
      </c>
      <c r="E1265" s="116">
        <v>47.73</v>
      </c>
      <c r="F1265" s="116">
        <v>477.95</v>
      </c>
      <c r="G1265">
        <v>991967</v>
      </c>
      <c r="H1265" s="116"/>
      <c r="I1265" s="116"/>
      <c r="L1265" s="170">
        <v>43867</v>
      </c>
      <c r="M1265" s="116">
        <v>47.76</v>
      </c>
      <c r="N1265" s="116">
        <v>48.725000000000001</v>
      </c>
      <c r="O1265" s="116">
        <v>47.16</v>
      </c>
      <c r="P1265" s="116">
        <v>47.8</v>
      </c>
      <c r="Q1265" s="116">
        <v>477.6</v>
      </c>
      <c r="R1265">
        <v>16666074</v>
      </c>
    </row>
    <row r="1266" spans="1:18" x14ac:dyDescent="0.25">
      <c r="A1266" s="170">
        <v>43868</v>
      </c>
      <c r="B1266" s="116">
        <v>47.97</v>
      </c>
      <c r="C1266" s="116">
        <v>47.094999999999999</v>
      </c>
      <c r="D1266" s="116">
        <v>46.895000000000003</v>
      </c>
      <c r="E1266" s="116">
        <v>47.725000000000001</v>
      </c>
      <c r="F1266" s="116">
        <v>470.95</v>
      </c>
      <c r="G1266">
        <v>912074</v>
      </c>
      <c r="H1266" s="116"/>
      <c r="I1266" s="116"/>
      <c r="L1266" s="170">
        <v>43868</v>
      </c>
      <c r="M1266" s="116">
        <v>47.1</v>
      </c>
      <c r="N1266" s="116">
        <v>47.97</v>
      </c>
      <c r="O1266" s="116">
        <v>46.884999999999998</v>
      </c>
      <c r="P1266" s="116">
        <v>47.57</v>
      </c>
      <c r="Q1266" s="116">
        <v>471</v>
      </c>
      <c r="R1266">
        <v>11649909</v>
      </c>
    </row>
    <row r="1267" spans="1:18" x14ac:dyDescent="0.25">
      <c r="A1267" s="170">
        <v>43871</v>
      </c>
      <c r="B1267" s="116">
        <v>46.5</v>
      </c>
      <c r="C1267" s="116">
        <v>44.365000000000002</v>
      </c>
      <c r="D1267" s="116">
        <v>44.01</v>
      </c>
      <c r="E1267" s="116">
        <v>46.03</v>
      </c>
      <c r="F1267" s="116">
        <v>443.65</v>
      </c>
      <c r="G1267">
        <v>1079766</v>
      </c>
      <c r="H1267" s="116"/>
      <c r="I1267" s="116"/>
      <c r="L1267" s="170">
        <v>43871</v>
      </c>
      <c r="M1267" s="116">
        <v>44.38</v>
      </c>
      <c r="N1267" s="116">
        <v>46.325000000000003</v>
      </c>
      <c r="O1267" s="116">
        <v>44</v>
      </c>
      <c r="P1267" s="116">
        <v>46.024999999999999</v>
      </c>
      <c r="Q1267" s="116">
        <v>443.8</v>
      </c>
      <c r="R1267">
        <v>26796048</v>
      </c>
    </row>
    <row r="1268" spans="1:18" x14ac:dyDescent="0.25">
      <c r="A1268" s="170">
        <v>43872</v>
      </c>
      <c r="B1268" s="116">
        <v>45.715000000000003</v>
      </c>
      <c r="C1268" s="116">
        <v>44.424999999999997</v>
      </c>
      <c r="D1268" s="116">
        <v>44.284999999999997</v>
      </c>
      <c r="E1268" s="116">
        <v>44.625</v>
      </c>
      <c r="F1268" s="116">
        <v>444.25</v>
      </c>
      <c r="G1268">
        <v>745650</v>
      </c>
      <c r="H1268" s="116"/>
      <c r="I1268" s="116"/>
      <c r="L1268" s="170">
        <v>43872</v>
      </c>
      <c r="M1268" s="116">
        <v>44.41</v>
      </c>
      <c r="N1268" s="116">
        <v>45.77</v>
      </c>
      <c r="O1268" s="116">
        <v>44.27</v>
      </c>
      <c r="P1268" s="116">
        <v>44.835000000000001</v>
      </c>
      <c r="Q1268" s="116">
        <v>444.1</v>
      </c>
      <c r="R1268">
        <v>16824371</v>
      </c>
    </row>
    <row r="1269" spans="1:18" x14ac:dyDescent="0.25">
      <c r="A1269" s="170">
        <v>43873</v>
      </c>
      <c r="B1269" s="116">
        <v>45.44</v>
      </c>
      <c r="C1269" s="116">
        <v>44.795000000000002</v>
      </c>
      <c r="D1269" s="116">
        <v>44.27</v>
      </c>
      <c r="E1269" s="116">
        <v>45</v>
      </c>
      <c r="F1269" s="116">
        <v>447.95</v>
      </c>
      <c r="G1269">
        <v>460317</v>
      </c>
      <c r="H1269" s="116"/>
      <c r="I1269" s="116"/>
      <c r="L1269" s="170">
        <v>43873</v>
      </c>
      <c r="M1269" s="116">
        <v>44.795000000000002</v>
      </c>
      <c r="N1269" s="116">
        <v>45.45</v>
      </c>
      <c r="O1269" s="116">
        <v>44.255000000000003</v>
      </c>
      <c r="P1269" s="116">
        <v>45</v>
      </c>
      <c r="Q1269" s="116">
        <v>447.95</v>
      </c>
      <c r="R1269">
        <v>11785858</v>
      </c>
    </row>
    <row r="1270" spans="1:18" x14ac:dyDescent="0.25">
      <c r="A1270" s="170">
        <v>43874</v>
      </c>
      <c r="B1270" s="116">
        <v>45.155000000000001</v>
      </c>
      <c r="C1270" s="116">
        <v>44.09</v>
      </c>
      <c r="D1270" s="116">
        <v>43.954999999999998</v>
      </c>
      <c r="E1270" s="116">
        <v>44.924999999999997</v>
      </c>
      <c r="F1270" s="116">
        <v>440.9</v>
      </c>
      <c r="G1270">
        <v>502404</v>
      </c>
      <c r="H1270" s="116"/>
      <c r="I1270" s="116"/>
      <c r="L1270" s="170">
        <v>43874</v>
      </c>
      <c r="M1270" s="116">
        <v>44.125</v>
      </c>
      <c r="N1270" s="116">
        <v>45.17</v>
      </c>
      <c r="O1270" s="116">
        <v>43.935000000000002</v>
      </c>
      <c r="P1270" s="116">
        <v>44.875</v>
      </c>
      <c r="Q1270" s="116">
        <v>441.25</v>
      </c>
      <c r="R1270">
        <v>9965221</v>
      </c>
    </row>
    <row r="1271" spans="1:18" x14ac:dyDescent="0.25">
      <c r="A1271" s="170">
        <v>43875</v>
      </c>
      <c r="B1271" s="116">
        <v>44.54</v>
      </c>
      <c r="C1271" s="116">
        <v>43.405000000000001</v>
      </c>
      <c r="D1271" s="116">
        <v>43.25</v>
      </c>
      <c r="E1271" s="116">
        <v>44.2</v>
      </c>
      <c r="F1271" s="116">
        <v>434.05</v>
      </c>
      <c r="G1271">
        <v>511698</v>
      </c>
      <c r="H1271" s="116"/>
      <c r="I1271" s="116"/>
      <c r="L1271" s="170">
        <v>43875</v>
      </c>
      <c r="M1271" s="116">
        <v>43.454999999999998</v>
      </c>
      <c r="N1271" s="116">
        <v>44.555</v>
      </c>
      <c r="O1271" s="116">
        <v>43.335000000000001</v>
      </c>
      <c r="P1271" s="116">
        <v>44.1</v>
      </c>
      <c r="Q1271" s="116">
        <v>434.55</v>
      </c>
      <c r="R1271">
        <v>9484817</v>
      </c>
    </row>
    <row r="1272" spans="1:18" x14ac:dyDescent="0.25">
      <c r="A1272" s="170">
        <v>43878</v>
      </c>
      <c r="B1272" s="116">
        <v>44.08</v>
      </c>
      <c r="C1272" s="116">
        <v>43.685000000000002</v>
      </c>
      <c r="D1272" s="116">
        <v>43.3</v>
      </c>
      <c r="E1272" s="116">
        <v>43.63</v>
      </c>
      <c r="F1272" s="116">
        <v>436.85</v>
      </c>
      <c r="G1272">
        <v>520863</v>
      </c>
      <c r="H1272" s="116"/>
      <c r="I1272" s="116"/>
      <c r="L1272" s="170">
        <v>43878</v>
      </c>
      <c r="M1272" s="116">
        <v>43.685000000000002</v>
      </c>
      <c r="N1272" s="116">
        <v>44.09</v>
      </c>
      <c r="O1272" s="116">
        <v>43.3</v>
      </c>
      <c r="P1272" s="116">
        <v>43.55</v>
      </c>
      <c r="Q1272" s="116">
        <v>436.85</v>
      </c>
      <c r="R1272">
        <v>9724765</v>
      </c>
    </row>
    <row r="1273" spans="1:18" x14ac:dyDescent="0.25">
      <c r="A1273" s="170">
        <v>43879</v>
      </c>
      <c r="B1273" s="116">
        <v>43.475000000000001</v>
      </c>
      <c r="C1273" s="116">
        <v>43.164999999999999</v>
      </c>
      <c r="D1273" s="116">
        <v>42.134999999999998</v>
      </c>
      <c r="E1273" s="116">
        <v>43.46</v>
      </c>
      <c r="F1273" s="116">
        <v>431.65</v>
      </c>
      <c r="G1273">
        <v>940944</v>
      </c>
      <c r="H1273" s="116"/>
      <c r="I1273" s="116"/>
      <c r="L1273" s="170">
        <v>43879</v>
      </c>
      <c r="M1273" s="116">
        <v>43.14</v>
      </c>
      <c r="N1273" s="116">
        <v>43.515000000000001</v>
      </c>
      <c r="O1273" s="116">
        <v>42.13</v>
      </c>
      <c r="P1273" s="116">
        <v>43.4</v>
      </c>
      <c r="Q1273" s="116">
        <v>431.4</v>
      </c>
      <c r="R1273">
        <v>11502423</v>
      </c>
    </row>
    <row r="1274" spans="1:18" x14ac:dyDescent="0.25">
      <c r="A1274" s="170">
        <v>43880</v>
      </c>
      <c r="B1274" s="116">
        <v>43.844999999999999</v>
      </c>
      <c r="C1274" s="116">
        <v>43.295000000000002</v>
      </c>
      <c r="D1274" s="116">
        <v>42.835000000000001</v>
      </c>
      <c r="E1274" s="116">
        <v>43.61</v>
      </c>
      <c r="F1274" s="116">
        <v>432.95</v>
      </c>
      <c r="G1274">
        <v>477846</v>
      </c>
      <c r="H1274" s="116"/>
      <c r="I1274" s="116"/>
      <c r="L1274" s="170">
        <v>43880</v>
      </c>
      <c r="M1274" s="116">
        <v>43.32</v>
      </c>
      <c r="N1274" s="116">
        <v>43.85</v>
      </c>
      <c r="O1274" s="116">
        <v>42.814999999999998</v>
      </c>
      <c r="P1274" s="116">
        <v>43.645000000000003</v>
      </c>
      <c r="Q1274" s="116">
        <v>433.2</v>
      </c>
      <c r="R1274">
        <v>8465109</v>
      </c>
    </row>
    <row r="1275" spans="1:18" x14ac:dyDescent="0.25">
      <c r="A1275" s="170">
        <v>43881</v>
      </c>
      <c r="B1275" s="116">
        <v>44.75</v>
      </c>
      <c r="C1275" s="116">
        <v>44.37</v>
      </c>
      <c r="D1275" s="116">
        <v>42.825000000000003</v>
      </c>
      <c r="E1275" s="116">
        <v>42.984999999999999</v>
      </c>
      <c r="F1275" s="116">
        <v>443.7</v>
      </c>
      <c r="G1275">
        <v>715570</v>
      </c>
      <c r="H1275" s="116"/>
      <c r="I1275" s="116"/>
      <c r="L1275" s="170">
        <v>43881</v>
      </c>
      <c r="M1275" s="116">
        <v>44.354999999999997</v>
      </c>
      <c r="N1275" s="116">
        <v>44.77</v>
      </c>
      <c r="O1275" s="116">
        <v>42.8</v>
      </c>
      <c r="P1275" s="116">
        <v>42.9</v>
      </c>
      <c r="Q1275" s="116">
        <v>443.55</v>
      </c>
      <c r="R1275">
        <v>12980237</v>
      </c>
    </row>
    <row r="1276" spans="1:18" x14ac:dyDescent="0.25">
      <c r="A1276" s="170">
        <v>43885</v>
      </c>
      <c r="B1276" s="116">
        <v>43.6</v>
      </c>
      <c r="C1276" s="116">
        <v>41.534999999999997</v>
      </c>
      <c r="D1276" s="116">
        <v>41.33</v>
      </c>
      <c r="E1276" s="116">
        <v>43.6</v>
      </c>
      <c r="F1276" s="116">
        <v>415.35</v>
      </c>
      <c r="G1276">
        <v>816621</v>
      </c>
      <c r="H1276" s="116"/>
      <c r="I1276" s="116"/>
      <c r="L1276" s="170">
        <v>43885</v>
      </c>
      <c r="M1276" s="116">
        <v>41.545000000000002</v>
      </c>
      <c r="N1276" s="116">
        <v>43.484999999999999</v>
      </c>
      <c r="O1276" s="116">
        <v>41.335000000000001</v>
      </c>
      <c r="P1276" s="116">
        <v>43.484999999999999</v>
      </c>
      <c r="Q1276" s="116">
        <v>415.45</v>
      </c>
      <c r="R1276">
        <v>17523142</v>
      </c>
    </row>
    <row r="1277" spans="1:18" x14ac:dyDescent="0.25">
      <c r="A1277" s="170">
        <v>43886</v>
      </c>
      <c r="B1277" s="116">
        <v>42.54</v>
      </c>
      <c r="C1277" s="116">
        <v>42.134999999999998</v>
      </c>
      <c r="D1277" s="116">
        <v>41.435000000000002</v>
      </c>
      <c r="E1277" s="116">
        <v>41.994999999999997</v>
      </c>
      <c r="F1277" s="116">
        <v>421.35</v>
      </c>
      <c r="G1277">
        <v>619983</v>
      </c>
      <c r="H1277" s="116"/>
      <c r="I1277" s="116"/>
      <c r="L1277" s="170">
        <v>43886</v>
      </c>
      <c r="M1277" s="116">
        <v>42.13</v>
      </c>
      <c r="N1277" s="116">
        <v>42.555</v>
      </c>
      <c r="O1277" s="116">
        <v>41.44</v>
      </c>
      <c r="P1277" s="116">
        <v>41.9</v>
      </c>
      <c r="Q1277" s="116">
        <v>421.3</v>
      </c>
      <c r="R1277">
        <v>14558176</v>
      </c>
    </row>
    <row r="1278" spans="1:18" x14ac:dyDescent="0.25">
      <c r="A1278" s="170">
        <v>43887</v>
      </c>
      <c r="B1278" s="116">
        <v>41.945</v>
      </c>
      <c r="C1278" s="116">
        <v>41.625</v>
      </c>
      <c r="D1278" s="116">
        <v>41.195</v>
      </c>
      <c r="E1278" s="116">
        <v>41.225000000000001</v>
      </c>
      <c r="F1278" s="116">
        <v>416.25</v>
      </c>
      <c r="G1278">
        <v>881795</v>
      </c>
      <c r="H1278" s="116"/>
      <c r="I1278" s="116"/>
      <c r="L1278" s="170">
        <v>43887</v>
      </c>
      <c r="M1278" s="116">
        <v>41.63</v>
      </c>
      <c r="N1278" s="116">
        <v>41.94</v>
      </c>
      <c r="O1278" s="116">
        <v>41.13</v>
      </c>
      <c r="P1278" s="116">
        <v>41.13</v>
      </c>
      <c r="Q1278" s="116">
        <v>416.3</v>
      </c>
      <c r="R1278">
        <v>14270706</v>
      </c>
    </row>
    <row r="1279" spans="1:18" x14ac:dyDescent="0.25">
      <c r="A1279" s="170">
        <v>43888</v>
      </c>
      <c r="B1279" s="116">
        <v>41.59</v>
      </c>
      <c r="C1279" s="116">
        <v>41.28</v>
      </c>
      <c r="D1279" s="116">
        <v>40.729999999999997</v>
      </c>
      <c r="E1279" s="116">
        <v>41.59</v>
      </c>
      <c r="F1279" s="116">
        <v>412.8</v>
      </c>
      <c r="G1279">
        <v>540952</v>
      </c>
      <c r="H1279" s="116"/>
      <c r="I1279" s="116"/>
      <c r="L1279" s="170">
        <v>43888</v>
      </c>
      <c r="M1279" s="116">
        <v>41.28</v>
      </c>
      <c r="N1279" s="116">
        <v>41.59</v>
      </c>
      <c r="O1279" s="116">
        <v>40.704999999999998</v>
      </c>
      <c r="P1279" s="116">
        <v>41.49</v>
      </c>
      <c r="Q1279" s="116">
        <v>412.8</v>
      </c>
      <c r="R1279">
        <v>10226379</v>
      </c>
    </row>
    <row r="1280" spans="1:18" x14ac:dyDescent="0.25">
      <c r="A1280" s="170">
        <v>43889</v>
      </c>
      <c r="B1280" s="116">
        <v>40.19</v>
      </c>
      <c r="C1280" s="116">
        <v>38.155000000000001</v>
      </c>
      <c r="D1280" s="116">
        <v>37.344999999999999</v>
      </c>
      <c r="E1280" s="116">
        <v>40.19</v>
      </c>
      <c r="F1280" s="116">
        <v>381.55</v>
      </c>
      <c r="G1280">
        <v>1512233</v>
      </c>
      <c r="H1280" s="116"/>
      <c r="I1280" s="116"/>
      <c r="L1280" s="170">
        <v>43889</v>
      </c>
      <c r="M1280" s="116">
        <v>38.174999999999997</v>
      </c>
      <c r="N1280" s="116">
        <v>39.895000000000003</v>
      </c>
      <c r="O1280" s="116">
        <v>37.5</v>
      </c>
      <c r="P1280" s="116">
        <v>39.869999999999997</v>
      </c>
      <c r="Q1280" s="116">
        <v>381.75</v>
      </c>
      <c r="R1280">
        <v>24532833</v>
      </c>
    </row>
    <row r="1281" spans="1:18" x14ac:dyDescent="0.25">
      <c r="A1281" s="170">
        <v>43892</v>
      </c>
      <c r="B1281" s="116">
        <v>39.424999999999997</v>
      </c>
      <c r="C1281" s="116">
        <v>36.42</v>
      </c>
      <c r="D1281" s="116">
        <v>35.799999999999997</v>
      </c>
      <c r="E1281" s="116">
        <v>39</v>
      </c>
      <c r="F1281" s="116">
        <v>364.2</v>
      </c>
      <c r="G1281">
        <v>1127692</v>
      </c>
      <c r="H1281" s="116"/>
      <c r="I1281" s="116"/>
      <c r="L1281" s="170">
        <v>43892</v>
      </c>
      <c r="M1281" s="116">
        <v>36.405000000000001</v>
      </c>
      <c r="N1281" s="116">
        <v>39.4</v>
      </c>
      <c r="O1281" s="116">
        <v>35.799999999999997</v>
      </c>
      <c r="P1281" s="116">
        <v>39.369999999999997</v>
      </c>
      <c r="Q1281" s="116">
        <v>364.05</v>
      </c>
      <c r="R1281">
        <v>20220772</v>
      </c>
    </row>
    <row r="1282" spans="1:18" x14ac:dyDescent="0.25">
      <c r="A1282" s="170">
        <v>43893</v>
      </c>
      <c r="B1282" s="116">
        <v>39.14</v>
      </c>
      <c r="C1282" s="116">
        <v>38.76</v>
      </c>
      <c r="D1282" s="116">
        <v>37.024999999999999</v>
      </c>
      <c r="E1282" s="116">
        <v>37.204999999999998</v>
      </c>
      <c r="F1282" s="116">
        <v>387.6</v>
      </c>
      <c r="G1282">
        <v>883041</v>
      </c>
      <c r="H1282" s="116"/>
      <c r="I1282" s="116"/>
      <c r="L1282" s="170">
        <v>43893</v>
      </c>
      <c r="M1282" s="116">
        <v>38.755000000000003</v>
      </c>
      <c r="N1282" s="116">
        <v>39.1</v>
      </c>
      <c r="O1282" s="116">
        <v>37.01</v>
      </c>
      <c r="P1282" s="116">
        <v>37.35</v>
      </c>
      <c r="Q1282" s="116">
        <v>387.55</v>
      </c>
      <c r="R1282">
        <v>18648933</v>
      </c>
    </row>
    <row r="1283" spans="1:18" x14ac:dyDescent="0.25">
      <c r="A1283" s="170">
        <v>43894</v>
      </c>
      <c r="B1283" s="116">
        <v>38.984999999999999</v>
      </c>
      <c r="C1283" s="116">
        <v>37.700000000000003</v>
      </c>
      <c r="D1283" s="116">
        <v>36.524999999999999</v>
      </c>
      <c r="E1283" s="116">
        <v>38.984999999999999</v>
      </c>
      <c r="F1283" s="116">
        <v>377</v>
      </c>
      <c r="G1283">
        <v>1094300</v>
      </c>
      <c r="H1283" s="116"/>
      <c r="I1283" s="116"/>
      <c r="L1283" s="170">
        <v>43894</v>
      </c>
      <c r="M1283" s="116">
        <v>37.715000000000003</v>
      </c>
      <c r="N1283" s="116">
        <v>38.99</v>
      </c>
      <c r="O1283" s="116">
        <v>36.51</v>
      </c>
      <c r="P1283" s="116">
        <v>38.805</v>
      </c>
      <c r="Q1283" s="116">
        <v>377.15</v>
      </c>
      <c r="R1283">
        <v>22937148</v>
      </c>
    </row>
    <row r="1284" spans="1:18" x14ac:dyDescent="0.25">
      <c r="A1284" s="170">
        <v>43895</v>
      </c>
      <c r="B1284" s="116">
        <v>38.799999999999997</v>
      </c>
      <c r="C1284" s="116">
        <v>37.564999999999998</v>
      </c>
      <c r="D1284" s="116">
        <v>37.424999999999997</v>
      </c>
      <c r="E1284" s="116">
        <v>38.4</v>
      </c>
      <c r="F1284" s="116">
        <v>375.65</v>
      </c>
      <c r="G1284">
        <v>662743</v>
      </c>
      <c r="H1284" s="116"/>
      <c r="I1284" s="116"/>
      <c r="L1284" s="170">
        <v>43895</v>
      </c>
      <c r="M1284" s="116">
        <v>37.575000000000003</v>
      </c>
      <c r="N1284" s="116">
        <v>38.78</v>
      </c>
      <c r="O1284" s="116">
        <v>37.43</v>
      </c>
      <c r="P1284" s="116">
        <v>38.395000000000003</v>
      </c>
      <c r="Q1284" s="116">
        <v>375.75</v>
      </c>
      <c r="R1284">
        <v>14628468</v>
      </c>
    </row>
    <row r="1285" spans="1:18" x14ac:dyDescent="0.25">
      <c r="A1285" s="170">
        <v>43896</v>
      </c>
      <c r="B1285" s="116">
        <v>36</v>
      </c>
      <c r="C1285" s="116">
        <v>35.119999999999997</v>
      </c>
      <c r="D1285" s="116">
        <v>34.74</v>
      </c>
      <c r="E1285" s="116">
        <v>36</v>
      </c>
      <c r="F1285" s="116">
        <v>351.2</v>
      </c>
      <c r="G1285">
        <v>811795</v>
      </c>
      <c r="H1285" s="116"/>
      <c r="I1285" s="116"/>
      <c r="L1285" s="170">
        <v>43896</v>
      </c>
      <c r="M1285" s="116">
        <v>35.15</v>
      </c>
      <c r="N1285" s="116">
        <v>35.83</v>
      </c>
      <c r="O1285" s="116">
        <v>34.664999999999999</v>
      </c>
      <c r="P1285" s="116">
        <v>35.695</v>
      </c>
      <c r="Q1285" s="116">
        <v>351.5</v>
      </c>
      <c r="R1285">
        <v>14848188</v>
      </c>
    </row>
    <row r="1286" spans="1:18" x14ac:dyDescent="0.25">
      <c r="A1286" s="170">
        <v>43899</v>
      </c>
      <c r="B1286" s="116">
        <v>33.799999999999997</v>
      </c>
      <c r="C1286" s="116">
        <v>32.229999999999997</v>
      </c>
      <c r="D1286" s="116">
        <v>31.965</v>
      </c>
      <c r="E1286" s="116">
        <v>33.799999999999997</v>
      </c>
      <c r="F1286" s="116">
        <v>322.3</v>
      </c>
      <c r="G1286">
        <v>841056</v>
      </c>
      <c r="H1286" s="116"/>
      <c r="I1286" s="116"/>
      <c r="L1286" s="170">
        <v>43899</v>
      </c>
      <c r="M1286" s="116">
        <v>32.229999999999997</v>
      </c>
      <c r="N1286" s="116">
        <v>33.770000000000003</v>
      </c>
      <c r="O1286" s="116">
        <v>31.975000000000001</v>
      </c>
      <c r="P1286" s="116">
        <v>33.75</v>
      </c>
      <c r="Q1286" s="116">
        <v>322.3</v>
      </c>
      <c r="R1286">
        <v>20423826</v>
      </c>
    </row>
    <row r="1287" spans="1:18" x14ac:dyDescent="0.25">
      <c r="A1287" s="170">
        <v>43901</v>
      </c>
      <c r="B1287" s="116">
        <v>32.6</v>
      </c>
      <c r="C1287" s="116">
        <v>29.94</v>
      </c>
      <c r="D1287" s="116">
        <v>29.625</v>
      </c>
      <c r="E1287" s="116">
        <v>32.31</v>
      </c>
      <c r="F1287" s="116">
        <v>299.39999999999998</v>
      </c>
      <c r="G1287">
        <v>1153233</v>
      </c>
      <c r="H1287" s="116"/>
      <c r="I1287" s="116"/>
      <c r="L1287" s="170">
        <v>43901</v>
      </c>
      <c r="M1287" s="116">
        <v>29.975000000000001</v>
      </c>
      <c r="N1287" s="116">
        <v>32.604999999999997</v>
      </c>
      <c r="O1287" s="116">
        <v>29.61</v>
      </c>
      <c r="P1287" s="116">
        <v>32.4</v>
      </c>
      <c r="Q1287" s="116">
        <v>299.75</v>
      </c>
      <c r="R1287">
        <v>28693709</v>
      </c>
    </row>
    <row r="1288" spans="1:18" x14ac:dyDescent="0.25">
      <c r="A1288" s="170">
        <v>43902</v>
      </c>
      <c r="B1288" s="116">
        <v>29.18</v>
      </c>
      <c r="C1288" s="116">
        <v>28.68</v>
      </c>
      <c r="D1288" s="116">
        <v>26.734999999999999</v>
      </c>
      <c r="E1288" s="116">
        <v>27.69</v>
      </c>
      <c r="F1288" s="116">
        <v>286.8</v>
      </c>
      <c r="G1288">
        <v>1822756</v>
      </c>
      <c r="H1288" s="116"/>
      <c r="I1288" s="116"/>
      <c r="L1288" s="170">
        <v>43902</v>
      </c>
      <c r="M1288" s="116">
        <v>28.745000000000001</v>
      </c>
      <c r="N1288" s="116">
        <v>29.18</v>
      </c>
      <c r="O1288" s="116">
        <v>26.72</v>
      </c>
      <c r="P1288" s="116">
        <v>27.5</v>
      </c>
      <c r="Q1288" s="116">
        <v>287.45</v>
      </c>
      <c r="R1288">
        <v>43767763</v>
      </c>
    </row>
    <row r="1289" spans="1:18" x14ac:dyDescent="0.25">
      <c r="A1289" s="170">
        <v>43903</v>
      </c>
      <c r="B1289" s="116">
        <v>33.18</v>
      </c>
      <c r="C1289" s="116">
        <v>32.545000000000002</v>
      </c>
      <c r="D1289" s="116">
        <v>25.22</v>
      </c>
      <c r="E1289" s="116">
        <v>27.225000000000001</v>
      </c>
      <c r="F1289" s="116">
        <v>325.45</v>
      </c>
      <c r="G1289">
        <v>2267833</v>
      </c>
      <c r="H1289" s="116"/>
      <c r="I1289" s="116"/>
      <c r="L1289" s="170">
        <v>43903</v>
      </c>
      <c r="M1289" s="116">
        <v>32.67</v>
      </c>
      <c r="N1289" s="116">
        <v>33.21</v>
      </c>
      <c r="O1289" s="116">
        <v>25.535</v>
      </c>
      <c r="P1289" s="116">
        <v>27</v>
      </c>
      <c r="Q1289" s="116">
        <v>326.7</v>
      </c>
      <c r="R1289">
        <v>33842310</v>
      </c>
    </row>
    <row r="1290" spans="1:18" x14ac:dyDescent="0.25">
      <c r="A1290" s="170">
        <v>43906</v>
      </c>
      <c r="B1290" s="116">
        <v>31.765000000000001</v>
      </c>
      <c r="C1290" s="116">
        <v>28.96</v>
      </c>
      <c r="D1290" s="116">
        <v>28.7</v>
      </c>
      <c r="E1290" s="116">
        <v>30.5</v>
      </c>
      <c r="F1290" s="116">
        <v>289.60000000000002</v>
      </c>
      <c r="G1290">
        <v>1131109</v>
      </c>
      <c r="H1290" s="116"/>
      <c r="I1290" s="116"/>
      <c r="L1290" s="170">
        <v>43906</v>
      </c>
      <c r="M1290" s="116">
        <v>28.96</v>
      </c>
      <c r="N1290" s="116">
        <v>31.765000000000001</v>
      </c>
      <c r="O1290" s="116">
        <v>28.71</v>
      </c>
      <c r="P1290" s="116">
        <v>30.4</v>
      </c>
      <c r="Q1290" s="116">
        <v>289.60000000000002</v>
      </c>
      <c r="R1290">
        <v>23606452</v>
      </c>
    </row>
    <row r="1291" spans="1:18" x14ac:dyDescent="0.25">
      <c r="A1291" s="170">
        <v>43907</v>
      </c>
      <c r="B1291" s="116">
        <v>30.77</v>
      </c>
      <c r="C1291" s="116">
        <v>28.23</v>
      </c>
      <c r="D1291" s="116">
        <v>28.04</v>
      </c>
      <c r="E1291" s="116">
        <v>29.725000000000001</v>
      </c>
      <c r="F1291" s="116">
        <v>282.3</v>
      </c>
      <c r="G1291">
        <v>1389030</v>
      </c>
      <c r="H1291" s="116"/>
      <c r="I1291" s="116"/>
      <c r="L1291" s="170">
        <v>43907</v>
      </c>
      <c r="M1291" s="116">
        <v>28.274999999999999</v>
      </c>
      <c r="N1291" s="116">
        <v>30.765000000000001</v>
      </c>
      <c r="O1291" s="116">
        <v>28.05</v>
      </c>
      <c r="P1291" s="116">
        <v>30</v>
      </c>
      <c r="Q1291" s="116">
        <v>282.75</v>
      </c>
      <c r="R1291">
        <v>20654603</v>
      </c>
    </row>
    <row r="1292" spans="1:18" x14ac:dyDescent="0.25">
      <c r="A1292" s="170">
        <v>43908</v>
      </c>
      <c r="B1292" s="116">
        <v>29.3</v>
      </c>
      <c r="C1292" s="116">
        <v>28.09</v>
      </c>
      <c r="D1292" s="116">
        <v>27.585000000000001</v>
      </c>
      <c r="E1292" s="116">
        <v>29</v>
      </c>
      <c r="F1292" s="116">
        <v>280.89999999999998</v>
      </c>
      <c r="G1292">
        <v>1360755</v>
      </c>
      <c r="H1292" s="116"/>
      <c r="I1292" s="116"/>
      <c r="L1292" s="170">
        <v>43908</v>
      </c>
      <c r="M1292" s="116">
        <v>28.085000000000001</v>
      </c>
      <c r="N1292" s="116">
        <v>29.315000000000001</v>
      </c>
      <c r="O1292" s="116">
        <v>27.57</v>
      </c>
      <c r="P1292" s="116">
        <v>29</v>
      </c>
      <c r="Q1292" s="116">
        <v>280.85000000000002</v>
      </c>
      <c r="R1292">
        <v>18772675</v>
      </c>
    </row>
    <row r="1293" spans="1:18" x14ac:dyDescent="0.25">
      <c r="A1293" s="170">
        <v>43909</v>
      </c>
      <c r="B1293" s="116">
        <v>28.42</v>
      </c>
      <c r="C1293" s="116">
        <v>27.195</v>
      </c>
      <c r="D1293" s="116">
        <v>26.08</v>
      </c>
      <c r="E1293" s="116">
        <v>27.1</v>
      </c>
      <c r="F1293" s="116">
        <v>271.95</v>
      </c>
      <c r="G1293">
        <v>1670531</v>
      </c>
      <c r="H1293" s="116"/>
      <c r="I1293" s="116"/>
      <c r="L1293" s="170">
        <v>43909</v>
      </c>
      <c r="M1293" s="116">
        <v>27.184999999999999</v>
      </c>
      <c r="N1293" s="116">
        <v>28.45</v>
      </c>
      <c r="O1293" s="116">
        <v>26.05</v>
      </c>
      <c r="P1293" s="116">
        <v>26.895</v>
      </c>
      <c r="Q1293" s="116">
        <v>271.85000000000002</v>
      </c>
      <c r="R1293">
        <v>18723257</v>
      </c>
    </row>
    <row r="1294" spans="1:18" x14ac:dyDescent="0.25">
      <c r="A1294" s="170">
        <v>43910</v>
      </c>
      <c r="B1294" s="116">
        <v>30.5</v>
      </c>
      <c r="C1294" s="116">
        <v>29.805</v>
      </c>
      <c r="D1294" s="116">
        <v>27.47</v>
      </c>
      <c r="E1294" s="116">
        <v>27.77</v>
      </c>
      <c r="F1294" s="116">
        <v>298.05</v>
      </c>
      <c r="G1294">
        <v>1274565</v>
      </c>
      <c r="H1294" s="116"/>
      <c r="I1294" s="116"/>
      <c r="L1294" s="170">
        <v>43910</v>
      </c>
      <c r="M1294" s="116">
        <v>29.774999999999999</v>
      </c>
      <c r="N1294" s="116">
        <v>30.5</v>
      </c>
      <c r="O1294" s="116">
        <v>27.414999999999999</v>
      </c>
      <c r="P1294" s="116">
        <v>27.97</v>
      </c>
      <c r="Q1294" s="116">
        <v>297.75</v>
      </c>
      <c r="R1294">
        <v>17307882</v>
      </c>
    </row>
    <row r="1295" spans="1:18" x14ac:dyDescent="0.25">
      <c r="A1295" s="170">
        <v>43913</v>
      </c>
      <c r="B1295" s="116">
        <v>27.9</v>
      </c>
      <c r="C1295" s="116">
        <v>27.114999999999998</v>
      </c>
      <c r="D1295" s="116">
        <v>25.37</v>
      </c>
      <c r="E1295" s="116">
        <v>27.1</v>
      </c>
      <c r="F1295" s="116">
        <v>271.14999999999998</v>
      </c>
      <c r="G1295">
        <v>940114</v>
      </c>
      <c r="H1295" s="116"/>
      <c r="I1295" s="116"/>
      <c r="L1295" s="170">
        <v>43913</v>
      </c>
      <c r="M1295" s="116">
        <v>27.114999999999998</v>
      </c>
      <c r="N1295" s="116">
        <v>27.8</v>
      </c>
      <c r="O1295" s="116">
        <v>25.355</v>
      </c>
      <c r="P1295" s="116">
        <v>26.8</v>
      </c>
      <c r="Q1295" s="116">
        <v>271.14999999999998</v>
      </c>
      <c r="R1295">
        <v>12100684</v>
      </c>
    </row>
    <row r="1296" spans="1:18" x14ac:dyDescent="0.25">
      <c r="A1296" s="170">
        <v>43914</v>
      </c>
      <c r="B1296" s="116">
        <v>28.58</v>
      </c>
      <c r="C1296" s="116">
        <v>27.175000000000001</v>
      </c>
      <c r="D1296" s="116">
        <v>25.87</v>
      </c>
      <c r="E1296" s="116">
        <v>28.5</v>
      </c>
      <c r="F1296" s="116">
        <v>271.75</v>
      </c>
      <c r="G1296">
        <v>701642</v>
      </c>
      <c r="H1296" s="116"/>
      <c r="I1296" s="116"/>
      <c r="L1296" s="170">
        <v>43914</v>
      </c>
      <c r="M1296" s="116">
        <v>27.19</v>
      </c>
      <c r="N1296" s="116">
        <v>28.565000000000001</v>
      </c>
      <c r="O1296" s="116">
        <v>25.86</v>
      </c>
      <c r="P1296" s="116">
        <v>27.704999999999998</v>
      </c>
      <c r="Q1296" s="116">
        <v>271.89999999999998</v>
      </c>
      <c r="R1296">
        <v>12928877</v>
      </c>
    </row>
    <row r="1297" spans="1:18" x14ac:dyDescent="0.25">
      <c r="A1297" s="170">
        <v>43915</v>
      </c>
      <c r="B1297" s="116">
        <v>29.44</v>
      </c>
      <c r="C1297" s="116">
        <v>28.565000000000001</v>
      </c>
      <c r="D1297" s="116">
        <v>26.7</v>
      </c>
      <c r="E1297" s="116">
        <v>26.8</v>
      </c>
      <c r="F1297" s="116">
        <v>285.64999999999998</v>
      </c>
      <c r="G1297">
        <v>599172</v>
      </c>
      <c r="H1297" s="116"/>
      <c r="I1297" s="116"/>
      <c r="L1297" s="170">
        <v>43915</v>
      </c>
      <c r="M1297" s="116">
        <v>28.68</v>
      </c>
      <c r="N1297" s="116">
        <v>29.5</v>
      </c>
      <c r="O1297" s="116">
        <v>26.704999999999998</v>
      </c>
      <c r="P1297" s="116">
        <v>26.704999999999998</v>
      </c>
      <c r="Q1297" s="116">
        <v>286.8</v>
      </c>
      <c r="R1297">
        <v>9442834</v>
      </c>
    </row>
    <row r="1298" spans="1:18" x14ac:dyDescent="0.25">
      <c r="A1298" s="170">
        <v>43916</v>
      </c>
      <c r="B1298" s="116">
        <v>29.555</v>
      </c>
      <c r="C1298" s="116">
        <v>28.574999999999999</v>
      </c>
      <c r="D1298" s="116">
        <v>28.01</v>
      </c>
      <c r="E1298" s="116">
        <v>28.9</v>
      </c>
      <c r="F1298" s="116">
        <v>285.75</v>
      </c>
      <c r="G1298">
        <v>648517</v>
      </c>
      <c r="H1298" s="116"/>
      <c r="I1298" s="116"/>
      <c r="L1298" s="170">
        <v>43916</v>
      </c>
      <c r="M1298" s="116">
        <v>28.445</v>
      </c>
      <c r="N1298" s="116">
        <v>29.55</v>
      </c>
      <c r="O1298" s="116">
        <v>28.01</v>
      </c>
      <c r="P1298" s="116">
        <v>29</v>
      </c>
      <c r="Q1298" s="116">
        <v>284.45</v>
      </c>
      <c r="R1298">
        <v>11493837</v>
      </c>
    </row>
    <row r="1299" spans="1:18" x14ac:dyDescent="0.25">
      <c r="A1299" s="170">
        <v>43917</v>
      </c>
      <c r="B1299" s="116">
        <v>29.45</v>
      </c>
      <c r="C1299" s="116">
        <v>27.734999999999999</v>
      </c>
      <c r="D1299" s="116">
        <v>27.42</v>
      </c>
      <c r="E1299" s="116">
        <v>28.9</v>
      </c>
      <c r="F1299" s="116">
        <v>277.35000000000002</v>
      </c>
      <c r="G1299">
        <v>1145330</v>
      </c>
      <c r="H1299" s="116"/>
      <c r="I1299" s="116"/>
      <c r="L1299" s="170">
        <v>43917</v>
      </c>
      <c r="M1299" s="116">
        <v>27.725000000000001</v>
      </c>
      <c r="N1299" s="116">
        <v>29.524999999999999</v>
      </c>
      <c r="O1299" s="116">
        <v>27.42</v>
      </c>
      <c r="P1299" s="116">
        <v>29.1</v>
      </c>
      <c r="Q1299" s="116">
        <v>277.25</v>
      </c>
      <c r="R1299">
        <v>11184139</v>
      </c>
    </row>
    <row r="1300" spans="1:18" x14ac:dyDescent="0.25">
      <c r="A1300" s="170">
        <v>43920</v>
      </c>
      <c r="B1300" s="116">
        <v>27.28</v>
      </c>
      <c r="C1300" s="116">
        <v>25.414999999999999</v>
      </c>
      <c r="D1300" s="116">
        <v>25.09</v>
      </c>
      <c r="E1300" s="116">
        <v>27.28</v>
      </c>
      <c r="F1300" s="116">
        <v>254.15</v>
      </c>
      <c r="G1300">
        <v>902431</v>
      </c>
      <c r="H1300" s="116"/>
      <c r="I1300" s="116"/>
      <c r="L1300" s="170">
        <v>43920</v>
      </c>
      <c r="M1300" s="116">
        <v>25.405000000000001</v>
      </c>
      <c r="N1300" s="116">
        <v>27.074999999999999</v>
      </c>
      <c r="O1300" s="116">
        <v>25.085000000000001</v>
      </c>
      <c r="P1300" s="116">
        <v>26.7</v>
      </c>
      <c r="Q1300" s="116">
        <v>254.05</v>
      </c>
      <c r="R1300">
        <v>15853761</v>
      </c>
    </row>
    <row r="1301" spans="1:18" x14ac:dyDescent="0.25">
      <c r="A1301" s="170">
        <v>43921</v>
      </c>
      <c r="B1301" s="116">
        <v>27.234999999999999</v>
      </c>
      <c r="C1301" s="116">
        <v>26.975000000000001</v>
      </c>
      <c r="D1301" s="116">
        <v>25.995000000000001</v>
      </c>
      <c r="E1301" s="116">
        <v>26.125</v>
      </c>
      <c r="F1301" s="116">
        <v>269.75</v>
      </c>
      <c r="G1301">
        <v>926590</v>
      </c>
      <c r="H1301" s="116"/>
      <c r="I1301" s="116"/>
      <c r="L1301" s="170">
        <v>43921</v>
      </c>
      <c r="M1301" s="116">
        <v>26.96</v>
      </c>
      <c r="N1301" s="116">
        <v>27.245000000000001</v>
      </c>
      <c r="O1301" s="116">
        <v>25.97</v>
      </c>
      <c r="P1301" s="116">
        <v>26.225000000000001</v>
      </c>
      <c r="Q1301" s="116">
        <v>269.60000000000002</v>
      </c>
      <c r="R1301">
        <v>15787411</v>
      </c>
    </row>
    <row r="1302" spans="1:18" x14ac:dyDescent="0.25">
      <c r="A1302" s="170">
        <v>43922</v>
      </c>
      <c r="B1302" s="116">
        <v>26.8</v>
      </c>
      <c r="C1302" s="116">
        <v>26.645</v>
      </c>
      <c r="D1302" s="116">
        <v>25.83</v>
      </c>
      <c r="E1302" s="116">
        <v>26.7</v>
      </c>
      <c r="F1302" s="116">
        <v>266.45</v>
      </c>
      <c r="G1302">
        <v>831194</v>
      </c>
      <c r="H1302" s="116"/>
      <c r="I1302" s="116"/>
      <c r="L1302" s="170">
        <v>43922</v>
      </c>
      <c r="M1302" s="116">
        <v>26.635000000000002</v>
      </c>
      <c r="N1302" s="116">
        <v>26.795000000000002</v>
      </c>
      <c r="O1302" s="116">
        <v>25.81</v>
      </c>
      <c r="P1302" s="116">
        <v>26.6</v>
      </c>
      <c r="Q1302" s="116">
        <v>266.35000000000002</v>
      </c>
      <c r="R1302">
        <v>11965031</v>
      </c>
    </row>
    <row r="1303" spans="1:18" x14ac:dyDescent="0.25">
      <c r="A1303" s="170">
        <v>43924</v>
      </c>
      <c r="B1303" s="116">
        <v>26.844999999999999</v>
      </c>
      <c r="C1303" s="116">
        <v>25.385000000000002</v>
      </c>
      <c r="D1303" s="116">
        <v>25.105</v>
      </c>
      <c r="E1303" s="116">
        <v>26.645</v>
      </c>
      <c r="F1303" s="116">
        <v>253.85</v>
      </c>
      <c r="G1303">
        <v>689365</v>
      </c>
      <c r="H1303" s="116"/>
      <c r="I1303" s="116"/>
      <c r="L1303" s="170">
        <v>43924</v>
      </c>
      <c r="M1303" s="116">
        <v>25.375</v>
      </c>
      <c r="N1303" s="116">
        <v>26.89</v>
      </c>
      <c r="O1303" s="116">
        <v>25.1</v>
      </c>
      <c r="P1303" s="116">
        <v>26.77</v>
      </c>
      <c r="Q1303" s="116">
        <v>253.75</v>
      </c>
      <c r="R1303">
        <v>12528030</v>
      </c>
    </row>
    <row r="1304" spans="1:18" x14ac:dyDescent="0.25">
      <c r="A1304" s="170">
        <v>43928</v>
      </c>
      <c r="B1304" s="116">
        <v>27.734999999999999</v>
      </c>
      <c r="C1304" s="116">
        <v>27.614999999999998</v>
      </c>
      <c r="D1304" s="116">
        <v>26.12</v>
      </c>
      <c r="E1304" s="116">
        <v>26.48</v>
      </c>
      <c r="F1304" s="116">
        <v>276.14999999999998</v>
      </c>
      <c r="G1304">
        <v>904491</v>
      </c>
      <c r="H1304" s="116"/>
      <c r="I1304" s="116"/>
      <c r="L1304" s="170">
        <v>43928</v>
      </c>
      <c r="M1304" s="116">
        <v>27.62</v>
      </c>
      <c r="N1304" s="116">
        <v>27.77</v>
      </c>
      <c r="O1304" s="116">
        <v>26.12</v>
      </c>
      <c r="P1304" s="116">
        <v>26.605</v>
      </c>
      <c r="Q1304" s="116">
        <v>276.2</v>
      </c>
      <c r="R1304">
        <v>15956873</v>
      </c>
    </row>
    <row r="1305" spans="1:18" x14ac:dyDescent="0.25">
      <c r="A1305" s="170">
        <v>43929</v>
      </c>
      <c r="B1305" s="116">
        <v>29.29</v>
      </c>
      <c r="C1305" s="116">
        <v>27.47</v>
      </c>
      <c r="D1305" s="116">
        <v>26.785</v>
      </c>
      <c r="E1305" s="116">
        <v>27.1</v>
      </c>
      <c r="F1305" s="116">
        <v>274.7</v>
      </c>
      <c r="G1305">
        <v>1262336</v>
      </c>
      <c r="H1305" s="116"/>
      <c r="I1305" s="116"/>
      <c r="L1305" s="170">
        <v>43929</v>
      </c>
      <c r="M1305" s="116">
        <v>27.475000000000001</v>
      </c>
      <c r="N1305" s="116">
        <v>29.29</v>
      </c>
      <c r="O1305" s="116">
        <v>26.664999999999999</v>
      </c>
      <c r="P1305" s="116">
        <v>27.1</v>
      </c>
      <c r="Q1305" s="116">
        <v>274.75</v>
      </c>
      <c r="R1305">
        <v>20435156</v>
      </c>
    </row>
    <row r="1306" spans="1:18" x14ac:dyDescent="0.25">
      <c r="A1306" s="170">
        <v>43930</v>
      </c>
      <c r="B1306" s="116">
        <v>28.95</v>
      </c>
      <c r="C1306" s="116">
        <v>28.48</v>
      </c>
      <c r="D1306" s="116">
        <v>27.8</v>
      </c>
      <c r="E1306" s="116">
        <v>28</v>
      </c>
      <c r="F1306" s="116">
        <v>284.8</v>
      </c>
      <c r="G1306">
        <v>843573</v>
      </c>
      <c r="H1306" s="116"/>
      <c r="I1306" s="116"/>
      <c r="L1306" s="170">
        <v>43930</v>
      </c>
      <c r="M1306" s="116">
        <v>28.484999999999999</v>
      </c>
      <c r="N1306" s="116">
        <v>28.96</v>
      </c>
      <c r="O1306" s="116">
        <v>27.765000000000001</v>
      </c>
      <c r="P1306" s="116">
        <v>28.05</v>
      </c>
      <c r="Q1306" s="116">
        <v>284.85000000000002</v>
      </c>
      <c r="R1306">
        <v>13855788</v>
      </c>
    </row>
    <row r="1307" spans="1:18" x14ac:dyDescent="0.25">
      <c r="A1307" s="170">
        <v>43934</v>
      </c>
      <c r="B1307" s="116">
        <v>29.2</v>
      </c>
      <c r="C1307" s="116">
        <v>28.25</v>
      </c>
      <c r="D1307" s="116">
        <v>27.41</v>
      </c>
      <c r="E1307" s="116">
        <v>28.49</v>
      </c>
      <c r="F1307" s="116">
        <v>282.5</v>
      </c>
      <c r="G1307">
        <v>944969</v>
      </c>
      <c r="H1307" s="116"/>
      <c r="I1307" s="116"/>
      <c r="L1307" s="170">
        <v>43934</v>
      </c>
      <c r="M1307" s="116">
        <v>28.254999999999999</v>
      </c>
      <c r="N1307" s="116">
        <v>29.2</v>
      </c>
      <c r="O1307" s="116">
        <v>27.385000000000002</v>
      </c>
      <c r="P1307" s="116">
        <v>28.5</v>
      </c>
      <c r="Q1307" s="116">
        <v>282.55</v>
      </c>
      <c r="R1307">
        <v>15510598</v>
      </c>
    </row>
    <row r="1308" spans="1:18" x14ac:dyDescent="0.25">
      <c r="A1308" s="170">
        <v>43936</v>
      </c>
      <c r="B1308" s="116">
        <v>29.56</v>
      </c>
      <c r="C1308" s="116">
        <v>28.515000000000001</v>
      </c>
      <c r="D1308" s="116">
        <v>28.184999999999999</v>
      </c>
      <c r="E1308" s="116">
        <v>28.5</v>
      </c>
      <c r="F1308" s="116">
        <v>285.14999999999998</v>
      </c>
      <c r="G1308">
        <v>1233507</v>
      </c>
      <c r="H1308" s="116"/>
      <c r="I1308" s="116"/>
      <c r="L1308" s="170">
        <v>43936</v>
      </c>
      <c r="M1308" s="116">
        <v>28.515000000000001</v>
      </c>
      <c r="N1308" s="116">
        <v>29.565000000000001</v>
      </c>
      <c r="O1308" s="116">
        <v>28.19</v>
      </c>
      <c r="P1308" s="116">
        <v>28.74</v>
      </c>
      <c r="Q1308" s="116">
        <v>285.14999999999998</v>
      </c>
      <c r="R1308">
        <v>20991943</v>
      </c>
    </row>
    <row r="1309" spans="1:18" x14ac:dyDescent="0.25">
      <c r="A1309" s="170">
        <v>43937</v>
      </c>
      <c r="B1309" s="116">
        <v>29.17</v>
      </c>
      <c r="C1309" s="116">
        <v>28.86</v>
      </c>
      <c r="D1309" s="116">
        <v>27.62</v>
      </c>
      <c r="E1309" s="116">
        <v>27.7</v>
      </c>
      <c r="F1309" s="116">
        <v>288.60000000000002</v>
      </c>
      <c r="G1309">
        <v>667629</v>
      </c>
      <c r="H1309" s="116"/>
      <c r="I1309" s="116"/>
      <c r="L1309" s="170">
        <v>43937</v>
      </c>
      <c r="M1309" s="116">
        <v>28.89</v>
      </c>
      <c r="N1309" s="116">
        <v>29.19</v>
      </c>
      <c r="O1309" s="116">
        <v>27.6</v>
      </c>
      <c r="P1309" s="116">
        <v>27.6</v>
      </c>
      <c r="Q1309" s="116">
        <v>288.89999999999998</v>
      </c>
      <c r="R1309">
        <v>17248806</v>
      </c>
    </row>
    <row r="1310" spans="1:18" x14ac:dyDescent="0.25">
      <c r="A1310" s="170">
        <v>43938</v>
      </c>
      <c r="B1310" s="116">
        <v>30</v>
      </c>
      <c r="C1310" s="116">
        <v>29.33</v>
      </c>
      <c r="D1310" s="116">
        <v>28.555</v>
      </c>
      <c r="E1310" s="116">
        <v>29.64</v>
      </c>
      <c r="F1310" s="116">
        <v>293.3</v>
      </c>
      <c r="G1310">
        <v>829335</v>
      </c>
      <c r="H1310" s="116"/>
      <c r="I1310" s="116"/>
      <c r="L1310" s="170">
        <v>43938</v>
      </c>
      <c r="M1310" s="116">
        <v>29.335000000000001</v>
      </c>
      <c r="N1310" s="116">
        <v>29.97</v>
      </c>
      <c r="O1310" s="116">
        <v>28.55</v>
      </c>
      <c r="P1310" s="116">
        <v>29.75</v>
      </c>
      <c r="Q1310" s="116">
        <v>293.35000000000002</v>
      </c>
      <c r="R1310">
        <v>17492884</v>
      </c>
    </row>
    <row r="1311" spans="1:18" x14ac:dyDescent="0.25">
      <c r="A1311" s="170">
        <v>43941</v>
      </c>
      <c r="B1311" s="116">
        <v>29.504999999999999</v>
      </c>
      <c r="C1311" s="116">
        <v>28.64</v>
      </c>
      <c r="D1311" s="116">
        <v>28.52</v>
      </c>
      <c r="E1311" s="116">
        <v>29.5</v>
      </c>
      <c r="F1311" s="116">
        <v>286.39999999999998</v>
      </c>
      <c r="G1311">
        <v>473130</v>
      </c>
      <c r="H1311" s="116"/>
      <c r="I1311" s="116"/>
      <c r="L1311" s="170">
        <v>43941</v>
      </c>
      <c r="M1311" s="116">
        <v>28.64</v>
      </c>
      <c r="N1311" s="116">
        <v>29.5</v>
      </c>
      <c r="O1311" s="116">
        <v>28.51</v>
      </c>
      <c r="P1311" s="116">
        <v>29.48</v>
      </c>
      <c r="Q1311" s="116">
        <v>286.39999999999998</v>
      </c>
      <c r="R1311">
        <v>11961355</v>
      </c>
    </row>
    <row r="1312" spans="1:18" x14ac:dyDescent="0.25">
      <c r="A1312" s="170">
        <v>43942</v>
      </c>
      <c r="B1312" s="116">
        <v>28.3</v>
      </c>
      <c r="C1312" s="116">
        <v>26.605</v>
      </c>
      <c r="D1312" s="116">
        <v>26.35</v>
      </c>
      <c r="E1312" s="116">
        <v>28.3</v>
      </c>
      <c r="F1312" s="116">
        <v>266.05</v>
      </c>
      <c r="G1312">
        <v>852869</v>
      </c>
      <c r="H1312" s="116"/>
      <c r="I1312" s="116"/>
      <c r="L1312" s="170">
        <v>43942</v>
      </c>
      <c r="M1312" s="116">
        <v>26.594999999999999</v>
      </c>
      <c r="N1312" s="116">
        <v>28.1</v>
      </c>
      <c r="O1312" s="116">
        <v>26.324999999999999</v>
      </c>
      <c r="P1312" s="116">
        <v>28.004999999999999</v>
      </c>
      <c r="Q1312" s="116">
        <v>265.95</v>
      </c>
      <c r="R1312">
        <v>16925417</v>
      </c>
    </row>
    <row r="1313" spans="1:18" x14ac:dyDescent="0.25">
      <c r="A1313" s="170">
        <v>43943</v>
      </c>
      <c r="B1313" s="116">
        <v>26.965</v>
      </c>
      <c r="C1313" s="116">
        <v>26.855</v>
      </c>
      <c r="D1313" s="116">
        <v>25.925000000000001</v>
      </c>
      <c r="E1313" s="116">
        <v>26.6</v>
      </c>
      <c r="F1313" s="116">
        <v>268.55</v>
      </c>
      <c r="G1313">
        <v>595883</v>
      </c>
      <c r="H1313" s="116"/>
      <c r="I1313" s="116"/>
      <c r="L1313" s="170">
        <v>43943</v>
      </c>
      <c r="M1313" s="116">
        <v>26.835000000000001</v>
      </c>
      <c r="N1313" s="116">
        <v>26.99</v>
      </c>
      <c r="O1313" s="116">
        <v>25.92</v>
      </c>
      <c r="P1313" s="116">
        <v>26.61</v>
      </c>
      <c r="Q1313" s="116">
        <v>268.35000000000002</v>
      </c>
      <c r="R1313">
        <v>14789857</v>
      </c>
    </row>
    <row r="1314" spans="1:18" x14ac:dyDescent="0.25">
      <c r="A1314" s="170">
        <v>43944</v>
      </c>
      <c r="B1314" s="116">
        <v>27.89</v>
      </c>
      <c r="C1314" s="116">
        <v>27.035</v>
      </c>
      <c r="D1314" s="116">
        <v>26.92</v>
      </c>
      <c r="E1314" s="116">
        <v>27</v>
      </c>
      <c r="F1314" s="116">
        <v>270.35000000000002</v>
      </c>
      <c r="G1314">
        <v>743463</v>
      </c>
      <c r="H1314" s="116"/>
      <c r="I1314" s="116"/>
      <c r="L1314" s="170">
        <v>43944</v>
      </c>
      <c r="M1314" s="116">
        <v>27.03</v>
      </c>
      <c r="N1314" s="116">
        <v>27.9</v>
      </c>
      <c r="O1314" s="116">
        <v>26.9</v>
      </c>
      <c r="P1314" s="116">
        <v>27</v>
      </c>
      <c r="Q1314" s="116">
        <v>270.3</v>
      </c>
      <c r="R1314">
        <v>15468122</v>
      </c>
    </row>
    <row r="1315" spans="1:18" x14ac:dyDescent="0.25">
      <c r="A1315" s="170">
        <v>43945</v>
      </c>
      <c r="B1315" s="116">
        <v>27.38</v>
      </c>
      <c r="C1315" s="116">
        <v>26.78</v>
      </c>
      <c r="D1315" s="116">
        <v>26.425000000000001</v>
      </c>
      <c r="E1315" s="116">
        <v>26.64</v>
      </c>
      <c r="F1315" s="116">
        <v>267.8</v>
      </c>
      <c r="G1315">
        <v>639828</v>
      </c>
      <c r="H1315" s="116"/>
      <c r="I1315" s="116"/>
      <c r="L1315" s="170">
        <v>43945</v>
      </c>
      <c r="M1315" s="116">
        <v>26.754999999999999</v>
      </c>
      <c r="N1315" s="116">
        <v>27.385000000000002</v>
      </c>
      <c r="O1315" s="116">
        <v>26.445</v>
      </c>
      <c r="P1315" s="116">
        <v>26.63</v>
      </c>
      <c r="Q1315" s="116">
        <v>267.55</v>
      </c>
      <c r="R1315">
        <v>12383846</v>
      </c>
    </row>
    <row r="1316" spans="1:18" x14ac:dyDescent="0.25">
      <c r="A1316" s="170">
        <v>43948</v>
      </c>
      <c r="B1316" s="116">
        <v>27.684999999999999</v>
      </c>
      <c r="C1316" s="116">
        <v>27.17</v>
      </c>
      <c r="D1316" s="116">
        <v>27.05</v>
      </c>
      <c r="E1316" s="116">
        <v>27.274999999999999</v>
      </c>
      <c r="F1316" s="116">
        <v>271.7</v>
      </c>
      <c r="G1316">
        <v>556593</v>
      </c>
      <c r="H1316" s="116"/>
      <c r="I1316" s="116"/>
      <c r="L1316" s="170">
        <v>43948</v>
      </c>
      <c r="M1316" s="116">
        <v>27.164999999999999</v>
      </c>
      <c r="N1316" s="116">
        <v>27.69</v>
      </c>
      <c r="O1316" s="116">
        <v>27.05</v>
      </c>
      <c r="P1316" s="116">
        <v>27.4</v>
      </c>
      <c r="Q1316" s="116">
        <v>271.64999999999998</v>
      </c>
      <c r="R1316">
        <v>12410812</v>
      </c>
    </row>
    <row r="1317" spans="1:18" x14ac:dyDescent="0.25">
      <c r="A1317" s="170">
        <v>43949</v>
      </c>
      <c r="B1317" s="116">
        <v>27.54</v>
      </c>
      <c r="C1317" s="116">
        <v>27.355</v>
      </c>
      <c r="D1317" s="116">
        <v>26.965</v>
      </c>
      <c r="E1317" s="116">
        <v>27.254999999999999</v>
      </c>
      <c r="F1317" s="116">
        <v>273.55</v>
      </c>
      <c r="G1317">
        <v>320699</v>
      </c>
      <c r="H1317" s="116"/>
      <c r="I1317" s="116"/>
      <c r="L1317" s="170">
        <v>43949</v>
      </c>
      <c r="M1317" s="116">
        <v>27.355</v>
      </c>
      <c r="N1317" s="116">
        <v>27.54</v>
      </c>
      <c r="O1317" s="116">
        <v>26.954999999999998</v>
      </c>
      <c r="P1317" s="116">
        <v>27.39</v>
      </c>
      <c r="Q1317" s="116">
        <v>273.55</v>
      </c>
      <c r="R1317">
        <v>8548134</v>
      </c>
    </row>
    <row r="1318" spans="1:18" x14ac:dyDescent="0.25">
      <c r="A1318" s="170">
        <v>43950</v>
      </c>
      <c r="B1318" s="116">
        <v>28.6</v>
      </c>
      <c r="C1318" s="116">
        <v>28.25</v>
      </c>
      <c r="D1318" s="116">
        <v>27.14</v>
      </c>
      <c r="E1318" s="116">
        <v>27.445</v>
      </c>
      <c r="F1318" s="116">
        <v>282.5</v>
      </c>
      <c r="G1318">
        <v>907065</v>
      </c>
      <c r="H1318" s="116"/>
      <c r="I1318" s="116"/>
      <c r="L1318" s="170">
        <v>43950</v>
      </c>
      <c r="M1318" s="116">
        <v>28.265000000000001</v>
      </c>
      <c r="N1318" s="116">
        <v>28.614999999999998</v>
      </c>
      <c r="O1318" s="116">
        <v>27.125</v>
      </c>
      <c r="P1318" s="116">
        <v>27.3</v>
      </c>
      <c r="Q1318" s="116">
        <v>282.64999999999998</v>
      </c>
      <c r="R1318">
        <v>19876696</v>
      </c>
    </row>
    <row r="1319" spans="1:18" x14ac:dyDescent="0.25">
      <c r="A1319" s="170">
        <v>43951</v>
      </c>
      <c r="B1319" s="116">
        <v>30.43</v>
      </c>
      <c r="C1319" s="116">
        <v>29.844999999999999</v>
      </c>
      <c r="D1319" s="116">
        <v>28.9</v>
      </c>
      <c r="E1319" s="116">
        <v>28.9</v>
      </c>
      <c r="F1319" s="116">
        <v>298.45</v>
      </c>
      <c r="G1319">
        <v>1142411</v>
      </c>
      <c r="H1319" s="116"/>
      <c r="I1319" s="116"/>
      <c r="L1319" s="170">
        <v>43951</v>
      </c>
      <c r="M1319" s="116">
        <v>29.83</v>
      </c>
      <c r="N1319" s="116">
        <v>30.45</v>
      </c>
      <c r="O1319" s="116">
        <v>28.87</v>
      </c>
      <c r="P1319" s="116">
        <v>28.995000000000001</v>
      </c>
      <c r="Q1319" s="116">
        <v>298.3</v>
      </c>
      <c r="R1319">
        <v>23636082</v>
      </c>
    </row>
    <row r="1320" spans="1:18" x14ac:dyDescent="0.25">
      <c r="A1320" s="170">
        <v>43955</v>
      </c>
      <c r="B1320" s="116">
        <v>28.62</v>
      </c>
      <c r="C1320" s="116">
        <v>27.37</v>
      </c>
      <c r="D1320" s="116">
        <v>27.06</v>
      </c>
      <c r="E1320" s="116">
        <v>28.6</v>
      </c>
      <c r="F1320" s="116">
        <v>273.7</v>
      </c>
      <c r="G1320">
        <v>736467</v>
      </c>
      <c r="H1320" s="116"/>
      <c r="I1320" s="116"/>
      <c r="L1320" s="170">
        <v>43955</v>
      </c>
      <c r="M1320" s="116">
        <v>27.36</v>
      </c>
      <c r="N1320" s="116">
        <v>28.614999999999998</v>
      </c>
      <c r="O1320" s="116">
        <v>27.01</v>
      </c>
      <c r="P1320" s="116">
        <v>28.5</v>
      </c>
      <c r="Q1320" s="116">
        <v>273.60000000000002</v>
      </c>
      <c r="R1320">
        <v>12892158</v>
      </c>
    </row>
    <row r="1321" spans="1:18" x14ac:dyDescent="0.25">
      <c r="A1321" s="170">
        <v>43956</v>
      </c>
      <c r="B1321" s="116">
        <v>28.234999999999999</v>
      </c>
      <c r="C1321" s="116">
        <v>27.27</v>
      </c>
      <c r="D1321" s="116">
        <v>27.11</v>
      </c>
      <c r="E1321" s="116">
        <v>27.795000000000002</v>
      </c>
      <c r="F1321" s="116">
        <v>272.7</v>
      </c>
      <c r="G1321">
        <v>526369</v>
      </c>
      <c r="H1321" s="116"/>
      <c r="I1321" s="116"/>
      <c r="L1321" s="170">
        <v>43956</v>
      </c>
      <c r="M1321" s="116">
        <v>27.265000000000001</v>
      </c>
      <c r="N1321" s="116">
        <v>28.24</v>
      </c>
      <c r="O1321" s="116">
        <v>27.1</v>
      </c>
      <c r="P1321" s="116">
        <v>27.9</v>
      </c>
      <c r="Q1321" s="116">
        <v>272.64999999999998</v>
      </c>
      <c r="R1321">
        <v>12182355</v>
      </c>
    </row>
    <row r="1322" spans="1:18" x14ac:dyDescent="0.25">
      <c r="A1322" s="170">
        <v>43957</v>
      </c>
      <c r="B1322" s="116">
        <v>28.05</v>
      </c>
      <c r="C1322" s="116">
        <v>27.765000000000001</v>
      </c>
      <c r="D1322" s="116">
        <v>27.22</v>
      </c>
      <c r="E1322" s="116">
        <v>27.4</v>
      </c>
      <c r="F1322" s="116">
        <v>277.64999999999998</v>
      </c>
      <c r="G1322">
        <v>411264</v>
      </c>
      <c r="H1322" s="116"/>
      <c r="I1322" s="116"/>
      <c r="L1322" s="170">
        <v>43957</v>
      </c>
      <c r="M1322" s="116">
        <v>27.774999999999999</v>
      </c>
      <c r="N1322" s="116">
        <v>28.045000000000002</v>
      </c>
      <c r="O1322" s="116">
        <v>27.204999999999998</v>
      </c>
      <c r="P1322" s="116">
        <v>27.41</v>
      </c>
      <c r="Q1322" s="116">
        <v>277.75</v>
      </c>
      <c r="R1322">
        <v>9507731</v>
      </c>
    </row>
    <row r="1323" spans="1:18" x14ac:dyDescent="0.25">
      <c r="A1323" s="170">
        <v>43958</v>
      </c>
      <c r="B1323" s="116">
        <v>28.274999999999999</v>
      </c>
      <c r="C1323" s="116">
        <v>27.585000000000001</v>
      </c>
      <c r="D1323" s="116">
        <v>27.5</v>
      </c>
      <c r="E1323" s="116">
        <v>27.69</v>
      </c>
      <c r="F1323" s="116">
        <v>275.85000000000002</v>
      </c>
      <c r="G1323">
        <v>468438</v>
      </c>
      <c r="H1323" s="116"/>
      <c r="I1323" s="116"/>
      <c r="L1323" s="170">
        <v>43958</v>
      </c>
      <c r="M1323" s="116">
        <v>27.585000000000001</v>
      </c>
      <c r="N1323" s="116">
        <v>28.285</v>
      </c>
      <c r="O1323" s="116">
        <v>27.465</v>
      </c>
      <c r="P1323" s="116">
        <v>27.545000000000002</v>
      </c>
      <c r="Q1323" s="116">
        <v>275.85000000000002</v>
      </c>
      <c r="R1323">
        <v>8958411</v>
      </c>
    </row>
    <row r="1324" spans="1:18" x14ac:dyDescent="0.25">
      <c r="A1324" s="170">
        <v>43959</v>
      </c>
      <c r="B1324" s="116">
        <v>28.35</v>
      </c>
      <c r="C1324" s="116">
        <v>27.285</v>
      </c>
      <c r="D1324" s="116">
        <v>27.21</v>
      </c>
      <c r="E1324" s="116">
        <v>28.2</v>
      </c>
      <c r="F1324" s="116">
        <v>272.85000000000002</v>
      </c>
      <c r="G1324">
        <v>448568</v>
      </c>
      <c r="H1324" s="116"/>
      <c r="I1324" s="116"/>
      <c r="L1324" s="170">
        <v>43959</v>
      </c>
      <c r="M1324" s="116">
        <v>27.29</v>
      </c>
      <c r="N1324" s="116">
        <v>28.4</v>
      </c>
      <c r="O1324" s="116">
        <v>27.2</v>
      </c>
      <c r="P1324" s="116">
        <v>28.28</v>
      </c>
      <c r="Q1324" s="116">
        <v>272.89999999999998</v>
      </c>
      <c r="R1324">
        <v>9878213</v>
      </c>
    </row>
    <row r="1325" spans="1:18" x14ac:dyDescent="0.25">
      <c r="A1325" s="170">
        <v>43962</v>
      </c>
      <c r="B1325" s="116">
        <v>28.295000000000002</v>
      </c>
      <c r="C1325" s="116">
        <v>27.62</v>
      </c>
      <c r="D1325" s="116">
        <v>27.51</v>
      </c>
      <c r="E1325" s="116">
        <v>27.7</v>
      </c>
      <c r="F1325" s="116">
        <v>276.2</v>
      </c>
      <c r="G1325">
        <v>432393</v>
      </c>
      <c r="H1325" s="116"/>
      <c r="I1325" s="116"/>
      <c r="L1325" s="170">
        <v>43962</v>
      </c>
      <c r="M1325" s="116">
        <v>27.62</v>
      </c>
      <c r="N1325" s="116">
        <v>28.3</v>
      </c>
      <c r="O1325" s="116">
        <v>27.5</v>
      </c>
      <c r="P1325" s="116">
        <v>27.555</v>
      </c>
      <c r="Q1325" s="116">
        <v>276.2</v>
      </c>
      <c r="R1325">
        <v>10907408</v>
      </c>
    </row>
    <row r="1326" spans="1:18" x14ac:dyDescent="0.25">
      <c r="A1326" s="170">
        <v>43963</v>
      </c>
      <c r="B1326" s="116">
        <v>27.67</v>
      </c>
      <c r="C1326" s="116">
        <v>27.385000000000002</v>
      </c>
      <c r="D1326" s="116">
        <v>26.465</v>
      </c>
      <c r="E1326" s="116">
        <v>27.285</v>
      </c>
      <c r="F1326" s="116">
        <v>273.85000000000002</v>
      </c>
      <c r="G1326">
        <v>804780</v>
      </c>
      <c r="H1326" s="116"/>
      <c r="I1326" s="116"/>
      <c r="L1326" s="170">
        <v>43963</v>
      </c>
      <c r="M1326" s="116">
        <v>27.395</v>
      </c>
      <c r="N1326" s="116">
        <v>27.68</v>
      </c>
      <c r="O1326" s="116">
        <v>26.45</v>
      </c>
      <c r="P1326" s="116">
        <v>27.33</v>
      </c>
      <c r="Q1326" s="116">
        <v>273.95</v>
      </c>
      <c r="R1326">
        <v>15040334</v>
      </c>
    </row>
    <row r="1327" spans="1:18" x14ac:dyDescent="0.25">
      <c r="A1327" s="170">
        <v>43964</v>
      </c>
      <c r="B1327" s="116">
        <v>28.754999999999999</v>
      </c>
      <c r="C1327" s="116">
        <v>27.68</v>
      </c>
      <c r="D1327" s="116">
        <v>27.364999999999998</v>
      </c>
      <c r="E1327" s="116">
        <v>28.6</v>
      </c>
      <c r="F1327" s="116">
        <v>276.8</v>
      </c>
      <c r="G1327">
        <v>767920</v>
      </c>
      <c r="H1327" s="116"/>
      <c r="I1327" s="116"/>
      <c r="L1327" s="170">
        <v>43964</v>
      </c>
      <c r="M1327" s="116">
        <v>27.655000000000001</v>
      </c>
      <c r="N1327" s="116">
        <v>28.8</v>
      </c>
      <c r="O1327" s="116">
        <v>27.35</v>
      </c>
      <c r="P1327" s="116">
        <v>28.75</v>
      </c>
      <c r="Q1327" s="116">
        <v>276.55</v>
      </c>
      <c r="R1327">
        <v>14723748</v>
      </c>
    </row>
    <row r="1328" spans="1:18" x14ac:dyDescent="0.25">
      <c r="A1328" s="170">
        <v>43965</v>
      </c>
      <c r="B1328" s="116">
        <v>27.53</v>
      </c>
      <c r="C1328" s="116">
        <v>26.86</v>
      </c>
      <c r="D1328" s="116">
        <v>26.734999999999999</v>
      </c>
      <c r="E1328" s="116">
        <v>27.3</v>
      </c>
      <c r="F1328" s="116">
        <v>268.60000000000002</v>
      </c>
      <c r="G1328">
        <v>552159</v>
      </c>
      <c r="H1328" s="116"/>
      <c r="I1328" s="116"/>
      <c r="L1328" s="170">
        <v>43965</v>
      </c>
      <c r="M1328" s="116">
        <v>26.855</v>
      </c>
      <c r="N1328" s="116">
        <v>27.52</v>
      </c>
      <c r="O1328" s="116">
        <v>26.73</v>
      </c>
      <c r="P1328" s="116">
        <v>27.2</v>
      </c>
      <c r="Q1328" s="116">
        <v>268.55</v>
      </c>
      <c r="R1328">
        <v>10796959</v>
      </c>
    </row>
    <row r="1329" spans="1:18" x14ac:dyDescent="0.25">
      <c r="A1329" s="170">
        <v>43966</v>
      </c>
      <c r="B1329" s="116">
        <v>27.68</v>
      </c>
      <c r="C1329" s="116">
        <v>27.344999999999999</v>
      </c>
      <c r="D1329" s="116">
        <v>26.875</v>
      </c>
      <c r="E1329" s="116">
        <v>27.09</v>
      </c>
      <c r="F1329" s="116">
        <v>273.45</v>
      </c>
      <c r="G1329">
        <v>642629</v>
      </c>
      <c r="H1329" s="116"/>
      <c r="I1329" s="116"/>
      <c r="L1329" s="170">
        <v>43966</v>
      </c>
      <c r="M1329" s="116">
        <v>27.344999999999999</v>
      </c>
      <c r="N1329" s="116">
        <v>27.68</v>
      </c>
      <c r="O1329" s="116">
        <v>26.88</v>
      </c>
      <c r="P1329" s="116">
        <v>27</v>
      </c>
      <c r="Q1329" s="116">
        <v>273.45</v>
      </c>
      <c r="R1329">
        <v>14991458</v>
      </c>
    </row>
    <row r="1330" spans="1:18" x14ac:dyDescent="0.25">
      <c r="A1330" s="170">
        <v>43969</v>
      </c>
      <c r="B1330" s="116">
        <v>27.625</v>
      </c>
      <c r="C1330" s="116">
        <v>26.645</v>
      </c>
      <c r="D1330" s="116">
        <v>26.254999999999999</v>
      </c>
      <c r="E1330" s="116">
        <v>27.475000000000001</v>
      </c>
      <c r="F1330" s="116">
        <v>266.45</v>
      </c>
      <c r="G1330">
        <v>588588</v>
      </c>
      <c r="H1330" s="116"/>
      <c r="I1330" s="116"/>
      <c r="L1330" s="170">
        <v>43969</v>
      </c>
      <c r="M1330" s="116">
        <v>26.66</v>
      </c>
      <c r="N1330" s="116">
        <v>27.62</v>
      </c>
      <c r="O1330" s="116">
        <v>26.245000000000001</v>
      </c>
      <c r="P1330" s="116">
        <v>27.41</v>
      </c>
      <c r="Q1330" s="116">
        <v>266.60000000000002</v>
      </c>
      <c r="R1330">
        <v>11616080</v>
      </c>
    </row>
    <row r="1331" spans="1:18" x14ac:dyDescent="0.25">
      <c r="A1331" s="170">
        <v>43970</v>
      </c>
      <c r="B1331" s="116">
        <v>28.015000000000001</v>
      </c>
      <c r="C1331" s="116">
        <v>27.195</v>
      </c>
      <c r="D1331" s="116">
        <v>26.765000000000001</v>
      </c>
      <c r="E1331" s="116">
        <v>27.1</v>
      </c>
      <c r="F1331" s="116">
        <v>271.95</v>
      </c>
      <c r="G1331">
        <v>1060998</v>
      </c>
      <c r="H1331" s="116"/>
      <c r="I1331" s="116"/>
      <c r="L1331" s="170">
        <v>43970</v>
      </c>
      <c r="M1331" s="116">
        <v>27.2</v>
      </c>
      <c r="N1331" s="116">
        <v>28.04</v>
      </c>
      <c r="O1331" s="116">
        <v>26.75</v>
      </c>
      <c r="P1331" s="116">
        <v>27.195</v>
      </c>
      <c r="Q1331" s="116">
        <v>272</v>
      </c>
      <c r="R1331">
        <v>16897173</v>
      </c>
    </row>
    <row r="1332" spans="1:18" x14ac:dyDescent="0.25">
      <c r="A1332" s="170">
        <v>43971</v>
      </c>
      <c r="B1332" s="116">
        <v>28.4</v>
      </c>
      <c r="C1332" s="116">
        <v>28.33</v>
      </c>
      <c r="D1332" s="116">
        <v>27</v>
      </c>
      <c r="E1332" s="116">
        <v>27.11</v>
      </c>
      <c r="F1332" s="116">
        <v>283.3</v>
      </c>
      <c r="G1332">
        <v>767869</v>
      </c>
      <c r="H1332" s="116"/>
      <c r="I1332" s="116"/>
      <c r="L1332" s="170">
        <v>43971</v>
      </c>
      <c r="M1332" s="116">
        <v>28.32</v>
      </c>
      <c r="N1332" s="116">
        <v>28.4</v>
      </c>
      <c r="O1332" s="116">
        <v>27.01</v>
      </c>
      <c r="P1332" s="116">
        <v>27.2</v>
      </c>
      <c r="Q1332" s="116">
        <v>283.2</v>
      </c>
      <c r="R1332">
        <v>14423657</v>
      </c>
    </row>
    <row r="1333" spans="1:18" x14ac:dyDescent="0.25">
      <c r="A1333" s="170">
        <v>43972</v>
      </c>
      <c r="B1333" s="116">
        <v>28.62</v>
      </c>
      <c r="C1333" s="116">
        <v>28.36</v>
      </c>
      <c r="D1333" s="116">
        <v>27.86</v>
      </c>
      <c r="E1333" s="116">
        <v>28.33</v>
      </c>
      <c r="F1333" s="116">
        <v>283.60000000000002</v>
      </c>
      <c r="G1333">
        <v>525707</v>
      </c>
      <c r="H1333" s="116"/>
      <c r="I1333" s="116"/>
      <c r="L1333" s="170">
        <v>43972</v>
      </c>
      <c r="M1333" s="116">
        <v>28.37</v>
      </c>
      <c r="N1333" s="116">
        <v>28.625</v>
      </c>
      <c r="O1333" s="116">
        <v>27.85</v>
      </c>
      <c r="P1333" s="116">
        <v>28.39</v>
      </c>
      <c r="Q1333" s="116">
        <v>283.7</v>
      </c>
      <c r="R1333">
        <v>13035881</v>
      </c>
    </row>
    <row r="1334" spans="1:18" x14ac:dyDescent="0.25">
      <c r="A1334" s="170">
        <v>43973</v>
      </c>
      <c r="B1334" s="116">
        <v>28.02</v>
      </c>
      <c r="C1334" s="116">
        <v>27.445</v>
      </c>
      <c r="D1334" s="116">
        <v>27.33</v>
      </c>
      <c r="E1334" s="116">
        <v>28</v>
      </c>
      <c r="F1334" s="116">
        <v>274.45</v>
      </c>
      <c r="G1334">
        <v>521112</v>
      </c>
      <c r="H1334" s="116"/>
      <c r="I1334" s="116"/>
      <c r="L1334" s="170">
        <v>43973</v>
      </c>
      <c r="M1334" s="116">
        <v>27.445</v>
      </c>
      <c r="N1334" s="116">
        <v>28.024999999999999</v>
      </c>
      <c r="O1334" s="116">
        <v>27.33</v>
      </c>
      <c r="P1334" s="116">
        <v>27.9</v>
      </c>
      <c r="Q1334" s="116">
        <v>274.45</v>
      </c>
      <c r="R1334">
        <v>10656911</v>
      </c>
    </row>
    <row r="1335" spans="1:18" x14ac:dyDescent="0.25">
      <c r="A1335" s="170">
        <v>43977</v>
      </c>
      <c r="B1335" s="116">
        <v>28.42</v>
      </c>
      <c r="C1335" s="116">
        <v>28.05</v>
      </c>
      <c r="D1335" s="116">
        <v>27.7</v>
      </c>
      <c r="E1335" s="116">
        <v>27.785</v>
      </c>
      <c r="F1335" s="116">
        <v>280.5</v>
      </c>
      <c r="G1335">
        <v>527934</v>
      </c>
      <c r="H1335" s="116"/>
      <c r="I1335" s="116"/>
      <c r="L1335" s="170">
        <v>43977</v>
      </c>
      <c r="M1335" s="116">
        <v>28.045000000000002</v>
      </c>
      <c r="N1335" s="116">
        <v>28.44</v>
      </c>
      <c r="O1335" s="116">
        <v>27.7</v>
      </c>
      <c r="P1335" s="116">
        <v>27.75</v>
      </c>
      <c r="Q1335" s="116">
        <v>280.45</v>
      </c>
      <c r="R1335">
        <v>12108740</v>
      </c>
    </row>
    <row r="1336" spans="1:18" x14ac:dyDescent="0.25">
      <c r="A1336" s="170">
        <v>43978</v>
      </c>
      <c r="B1336" s="116">
        <v>29.024999999999999</v>
      </c>
      <c r="C1336" s="116">
        <v>28.795000000000002</v>
      </c>
      <c r="D1336" s="116">
        <v>27.914999999999999</v>
      </c>
      <c r="E1336" s="116">
        <v>28.2</v>
      </c>
      <c r="F1336" s="116">
        <v>287.95</v>
      </c>
      <c r="G1336">
        <v>516057</v>
      </c>
      <c r="H1336" s="116"/>
      <c r="I1336" s="116"/>
      <c r="L1336" s="170">
        <v>43978</v>
      </c>
      <c r="M1336" s="116">
        <v>28.795000000000002</v>
      </c>
      <c r="N1336" s="116">
        <v>29.04</v>
      </c>
      <c r="O1336" s="116">
        <v>27.905000000000001</v>
      </c>
      <c r="P1336" s="116">
        <v>28.22</v>
      </c>
      <c r="Q1336" s="116">
        <v>287.95</v>
      </c>
      <c r="R1336">
        <v>14007562</v>
      </c>
    </row>
    <row r="1337" spans="1:18" x14ac:dyDescent="0.25">
      <c r="A1337" s="170">
        <v>43979</v>
      </c>
      <c r="B1337" s="116">
        <v>29.85</v>
      </c>
      <c r="C1337" s="116">
        <v>29.515000000000001</v>
      </c>
      <c r="D1337" s="116">
        <v>28.954999999999998</v>
      </c>
      <c r="E1337" s="116">
        <v>29.125</v>
      </c>
      <c r="F1337" s="116">
        <v>295.14999999999998</v>
      </c>
      <c r="G1337">
        <v>1064017</v>
      </c>
      <c r="H1337" s="116"/>
      <c r="I1337" s="116"/>
      <c r="L1337" s="170">
        <v>43979</v>
      </c>
      <c r="M1337" s="116">
        <v>29.55</v>
      </c>
      <c r="N1337" s="116">
        <v>29.86</v>
      </c>
      <c r="O1337" s="116">
        <v>28.94</v>
      </c>
      <c r="P1337" s="116">
        <v>29.19</v>
      </c>
      <c r="Q1337" s="116">
        <v>295.5</v>
      </c>
      <c r="R1337">
        <v>16602462</v>
      </c>
    </row>
    <row r="1338" spans="1:18" x14ac:dyDescent="0.25">
      <c r="A1338" s="170">
        <v>43980</v>
      </c>
      <c r="B1338" s="116">
        <v>29.675000000000001</v>
      </c>
      <c r="C1338" s="116">
        <v>29.52</v>
      </c>
      <c r="D1338" s="116">
        <v>28.77</v>
      </c>
      <c r="E1338" s="116">
        <v>29.2</v>
      </c>
      <c r="F1338" s="116">
        <v>295.2</v>
      </c>
      <c r="G1338">
        <v>520477</v>
      </c>
      <c r="H1338" s="116"/>
      <c r="I1338" s="116"/>
      <c r="L1338" s="170">
        <v>43980</v>
      </c>
      <c r="M1338" s="116">
        <v>29.52</v>
      </c>
      <c r="N1338" s="116">
        <v>29.69</v>
      </c>
      <c r="O1338" s="116">
        <v>28.785</v>
      </c>
      <c r="P1338" s="116">
        <v>29.21</v>
      </c>
      <c r="Q1338" s="116">
        <v>295.2</v>
      </c>
      <c r="R1338">
        <v>13128027</v>
      </c>
    </row>
    <row r="1339" spans="1:18" x14ac:dyDescent="0.25">
      <c r="A1339" s="170">
        <v>43983</v>
      </c>
      <c r="B1339" s="116">
        <v>31.774999999999999</v>
      </c>
      <c r="C1339" s="116">
        <v>31.504999999999999</v>
      </c>
      <c r="D1339" s="116">
        <v>30</v>
      </c>
      <c r="E1339" s="116">
        <v>30</v>
      </c>
      <c r="F1339" s="116">
        <v>315.05</v>
      </c>
      <c r="G1339">
        <v>1189574</v>
      </c>
      <c r="H1339" s="116"/>
      <c r="I1339" s="116"/>
      <c r="L1339" s="170">
        <v>43983</v>
      </c>
      <c r="M1339" s="116">
        <v>31.52</v>
      </c>
      <c r="N1339" s="116">
        <v>31.78</v>
      </c>
      <c r="O1339" s="116">
        <v>30.2</v>
      </c>
      <c r="P1339" s="116">
        <v>30.2</v>
      </c>
      <c r="Q1339" s="116">
        <v>315.2</v>
      </c>
      <c r="R1339">
        <v>24384633</v>
      </c>
    </row>
    <row r="1340" spans="1:18" x14ac:dyDescent="0.25">
      <c r="A1340" s="170">
        <v>43984</v>
      </c>
      <c r="B1340" s="116">
        <v>32.32</v>
      </c>
      <c r="C1340" s="116">
        <v>31.93</v>
      </c>
      <c r="D1340" s="116">
        <v>31.47</v>
      </c>
      <c r="E1340" s="116">
        <v>31.73</v>
      </c>
      <c r="F1340" s="116">
        <v>319.3</v>
      </c>
      <c r="G1340">
        <v>992819</v>
      </c>
      <c r="H1340" s="116"/>
      <c r="I1340" s="116"/>
      <c r="L1340" s="170">
        <v>43984</v>
      </c>
      <c r="M1340" s="116">
        <v>31.94</v>
      </c>
      <c r="N1340" s="116">
        <v>32.344999999999999</v>
      </c>
      <c r="O1340" s="116">
        <v>31.454999999999998</v>
      </c>
      <c r="P1340" s="116">
        <v>31.8</v>
      </c>
      <c r="Q1340" s="116">
        <v>319.39999999999998</v>
      </c>
      <c r="R1340">
        <v>16563267</v>
      </c>
    </row>
    <row r="1341" spans="1:18" x14ac:dyDescent="0.25">
      <c r="A1341" s="170">
        <v>43985</v>
      </c>
      <c r="B1341" s="116">
        <v>32.61</v>
      </c>
      <c r="C1341" s="116">
        <v>31.72</v>
      </c>
      <c r="D1341" s="116">
        <v>31.52</v>
      </c>
      <c r="E1341" s="116">
        <v>32.5</v>
      </c>
      <c r="F1341" s="116">
        <v>317.2</v>
      </c>
      <c r="G1341">
        <v>667495</v>
      </c>
      <c r="H1341" s="116"/>
      <c r="I1341" s="116"/>
      <c r="L1341" s="170">
        <v>43985</v>
      </c>
      <c r="M1341" s="116">
        <v>31.74</v>
      </c>
      <c r="N1341" s="116">
        <v>32.630000000000003</v>
      </c>
      <c r="O1341" s="116">
        <v>31.504999999999999</v>
      </c>
      <c r="P1341" s="116">
        <v>32.545000000000002</v>
      </c>
      <c r="Q1341" s="116">
        <v>317.39999999999998</v>
      </c>
      <c r="R1341">
        <v>10387136</v>
      </c>
    </row>
    <row r="1342" spans="1:18" x14ac:dyDescent="0.25">
      <c r="A1342" s="170">
        <v>43986</v>
      </c>
      <c r="B1342" s="116">
        <v>32.26</v>
      </c>
      <c r="C1342" s="116">
        <v>32.015000000000001</v>
      </c>
      <c r="D1342" s="116">
        <v>31.484999999999999</v>
      </c>
      <c r="E1342" s="116">
        <v>31.614999999999998</v>
      </c>
      <c r="F1342" s="116">
        <v>320.14999999999998</v>
      </c>
      <c r="G1342">
        <v>651595</v>
      </c>
      <c r="H1342" s="116"/>
      <c r="I1342" s="116"/>
      <c r="L1342" s="170">
        <v>43986</v>
      </c>
      <c r="M1342" s="116">
        <v>31.995000000000001</v>
      </c>
      <c r="N1342" s="116">
        <v>32.26</v>
      </c>
      <c r="O1342" s="116">
        <v>31.46</v>
      </c>
      <c r="P1342" s="116">
        <v>31.69</v>
      </c>
      <c r="Q1342" s="116">
        <v>319.95</v>
      </c>
      <c r="R1342">
        <v>11251331</v>
      </c>
    </row>
    <row r="1343" spans="1:18" x14ac:dyDescent="0.25">
      <c r="A1343" s="170">
        <v>43987</v>
      </c>
      <c r="B1343" s="116">
        <v>34.344999999999999</v>
      </c>
      <c r="C1343" s="116">
        <v>33.935000000000002</v>
      </c>
      <c r="D1343" s="116">
        <v>32.484999999999999</v>
      </c>
      <c r="E1343" s="116">
        <v>32.49</v>
      </c>
      <c r="F1343" s="116">
        <v>339.35</v>
      </c>
      <c r="G1343">
        <v>1581324</v>
      </c>
      <c r="H1343" s="116"/>
      <c r="I1343" s="116"/>
      <c r="L1343" s="170">
        <v>43987</v>
      </c>
      <c r="M1343" s="116">
        <v>33.895000000000003</v>
      </c>
      <c r="N1343" s="116">
        <v>34.365000000000002</v>
      </c>
      <c r="O1343" s="116">
        <v>32.505000000000003</v>
      </c>
      <c r="P1343" s="116">
        <v>32.58</v>
      </c>
      <c r="Q1343" s="116">
        <v>338.95</v>
      </c>
      <c r="R1343">
        <v>30918495</v>
      </c>
    </row>
    <row r="1344" spans="1:18" x14ac:dyDescent="0.25">
      <c r="A1344" s="170">
        <v>43990</v>
      </c>
      <c r="B1344" s="116">
        <v>35.045000000000002</v>
      </c>
      <c r="C1344" s="116">
        <v>33.365000000000002</v>
      </c>
      <c r="D1344" s="116">
        <v>32.729999999999997</v>
      </c>
      <c r="E1344" s="116">
        <v>34.51</v>
      </c>
      <c r="F1344" s="116">
        <v>333.65</v>
      </c>
      <c r="G1344">
        <v>1046719</v>
      </c>
      <c r="H1344" s="116"/>
      <c r="I1344" s="116"/>
      <c r="L1344" s="170">
        <v>43990</v>
      </c>
      <c r="M1344" s="116">
        <v>33.36</v>
      </c>
      <c r="N1344" s="116">
        <v>35.08</v>
      </c>
      <c r="O1344" s="116">
        <v>32.734999999999999</v>
      </c>
      <c r="P1344" s="116">
        <v>34.770000000000003</v>
      </c>
      <c r="Q1344" s="116">
        <v>333.6</v>
      </c>
      <c r="R1344">
        <v>16481809</v>
      </c>
    </row>
    <row r="1345" spans="1:18" x14ac:dyDescent="0.25">
      <c r="A1345" s="170">
        <v>43991</v>
      </c>
      <c r="B1345" s="116">
        <v>34.395000000000003</v>
      </c>
      <c r="C1345" s="116">
        <v>33.234999999999999</v>
      </c>
      <c r="D1345" s="116">
        <v>32.9</v>
      </c>
      <c r="E1345" s="116">
        <v>33.549999999999997</v>
      </c>
      <c r="F1345" s="116">
        <v>332.35</v>
      </c>
      <c r="G1345">
        <v>740374</v>
      </c>
      <c r="H1345" s="116"/>
      <c r="I1345" s="116"/>
      <c r="L1345" s="170">
        <v>43991</v>
      </c>
      <c r="M1345" s="116">
        <v>33.22</v>
      </c>
      <c r="N1345" s="116">
        <v>34.4</v>
      </c>
      <c r="O1345" s="116">
        <v>32.884999999999998</v>
      </c>
      <c r="P1345" s="116">
        <v>33.6</v>
      </c>
      <c r="Q1345" s="116">
        <v>332.2</v>
      </c>
      <c r="R1345">
        <v>14926862</v>
      </c>
    </row>
    <row r="1346" spans="1:18" x14ac:dyDescent="0.25">
      <c r="A1346" s="170">
        <v>43992</v>
      </c>
      <c r="B1346" s="116">
        <v>33.119999999999997</v>
      </c>
      <c r="C1346" s="116">
        <v>32.424999999999997</v>
      </c>
      <c r="D1346" s="116">
        <v>32.21</v>
      </c>
      <c r="E1346" s="116">
        <v>33.075000000000003</v>
      </c>
      <c r="F1346" s="116">
        <v>324.25</v>
      </c>
      <c r="G1346">
        <v>611980</v>
      </c>
      <c r="H1346" s="116"/>
      <c r="I1346" s="116"/>
      <c r="L1346" s="170">
        <v>43992</v>
      </c>
      <c r="M1346" s="116">
        <v>32.4</v>
      </c>
      <c r="N1346" s="116">
        <v>33.15</v>
      </c>
      <c r="O1346" s="116">
        <v>32.200000000000003</v>
      </c>
      <c r="P1346" s="116">
        <v>33.11</v>
      </c>
      <c r="Q1346" s="116">
        <v>324</v>
      </c>
      <c r="R1346">
        <v>17218893</v>
      </c>
    </row>
    <row r="1347" spans="1:18" x14ac:dyDescent="0.25">
      <c r="A1347" s="170">
        <v>43993</v>
      </c>
      <c r="B1347" s="116">
        <v>32.365000000000002</v>
      </c>
      <c r="C1347" s="116">
        <v>31.335000000000001</v>
      </c>
      <c r="D1347" s="116">
        <v>31.105</v>
      </c>
      <c r="E1347" s="116">
        <v>32.265000000000001</v>
      </c>
      <c r="F1347" s="116">
        <v>313.35000000000002</v>
      </c>
      <c r="G1347">
        <v>815614</v>
      </c>
      <c r="H1347" s="116"/>
      <c r="I1347" s="116"/>
      <c r="L1347" s="170">
        <v>43993</v>
      </c>
      <c r="M1347" s="116">
        <v>31.315000000000001</v>
      </c>
      <c r="N1347" s="116">
        <v>32.35</v>
      </c>
      <c r="O1347" s="116">
        <v>31.1</v>
      </c>
      <c r="P1347" s="116">
        <v>32.200000000000003</v>
      </c>
      <c r="Q1347" s="116">
        <v>313.14999999999998</v>
      </c>
      <c r="R1347">
        <v>13906985</v>
      </c>
    </row>
    <row r="1348" spans="1:18" x14ac:dyDescent="0.25">
      <c r="A1348" s="170">
        <v>43994</v>
      </c>
      <c r="B1348" s="116">
        <v>32.055</v>
      </c>
      <c r="C1348" s="116">
        <v>31.75</v>
      </c>
      <c r="D1348" s="116">
        <v>30.01</v>
      </c>
      <c r="E1348" s="116">
        <v>30.2</v>
      </c>
      <c r="F1348" s="116">
        <v>317.5</v>
      </c>
      <c r="G1348">
        <v>1013007</v>
      </c>
      <c r="H1348" s="116"/>
      <c r="I1348" s="116"/>
      <c r="L1348" s="170">
        <v>43994</v>
      </c>
      <c r="M1348" s="116">
        <v>31.76</v>
      </c>
      <c r="N1348" s="116">
        <v>32.045000000000002</v>
      </c>
      <c r="O1348" s="116">
        <v>30</v>
      </c>
      <c r="P1348" s="116">
        <v>30</v>
      </c>
      <c r="Q1348" s="116">
        <v>317.60000000000002</v>
      </c>
      <c r="R1348">
        <v>17558010</v>
      </c>
    </row>
    <row r="1349" spans="1:18" x14ac:dyDescent="0.25">
      <c r="A1349" s="170">
        <v>43997</v>
      </c>
      <c r="B1349" s="116">
        <v>31.5</v>
      </c>
      <c r="C1349" s="116">
        <v>30.605</v>
      </c>
      <c r="D1349" s="116">
        <v>30.274999999999999</v>
      </c>
      <c r="E1349" s="116">
        <v>31.44</v>
      </c>
      <c r="F1349" s="116">
        <v>306.05</v>
      </c>
      <c r="G1349">
        <v>980945</v>
      </c>
      <c r="H1349" s="116"/>
      <c r="I1349" s="116"/>
      <c r="L1349" s="170">
        <v>43997</v>
      </c>
      <c r="M1349" s="116">
        <v>30.62</v>
      </c>
      <c r="N1349" s="116">
        <v>31.5</v>
      </c>
      <c r="O1349" s="116">
        <v>30.26</v>
      </c>
      <c r="P1349" s="116">
        <v>31.375</v>
      </c>
      <c r="Q1349" s="116">
        <v>306.2</v>
      </c>
      <c r="R1349">
        <v>18582927</v>
      </c>
    </row>
    <row r="1350" spans="1:18" x14ac:dyDescent="0.25">
      <c r="A1350" s="170">
        <v>43998</v>
      </c>
      <c r="B1350" s="116">
        <v>32.244999999999997</v>
      </c>
      <c r="C1350" s="116">
        <v>30.885000000000002</v>
      </c>
      <c r="D1350" s="116">
        <v>30.15</v>
      </c>
      <c r="E1350" s="116">
        <v>31.3</v>
      </c>
      <c r="F1350" s="116">
        <v>308.85000000000002</v>
      </c>
      <c r="G1350">
        <v>1465602</v>
      </c>
      <c r="H1350" s="116"/>
      <c r="I1350" s="116"/>
      <c r="L1350" s="170">
        <v>43998</v>
      </c>
      <c r="M1350" s="116">
        <v>30.895</v>
      </c>
      <c r="N1350" s="116">
        <v>32.255000000000003</v>
      </c>
      <c r="O1350" s="116">
        <v>30.13</v>
      </c>
      <c r="P1350" s="116">
        <v>31.51</v>
      </c>
      <c r="Q1350" s="116">
        <v>308.95</v>
      </c>
      <c r="R1350">
        <v>23442027</v>
      </c>
    </row>
    <row r="1351" spans="1:18" x14ac:dyDescent="0.25">
      <c r="A1351" s="170">
        <v>43999</v>
      </c>
      <c r="B1351" s="116">
        <v>31.43</v>
      </c>
      <c r="C1351" s="116">
        <v>30.824999999999999</v>
      </c>
      <c r="D1351" s="116">
        <v>30.51</v>
      </c>
      <c r="E1351" s="116">
        <v>30.885000000000002</v>
      </c>
      <c r="F1351" s="116">
        <v>308.25</v>
      </c>
      <c r="G1351">
        <v>431324</v>
      </c>
      <c r="H1351" s="116"/>
      <c r="I1351" s="116"/>
      <c r="L1351" s="170">
        <v>43999</v>
      </c>
      <c r="M1351" s="116">
        <v>30.82</v>
      </c>
      <c r="N1351" s="116">
        <v>31.48</v>
      </c>
      <c r="O1351" s="116">
        <v>30.504999999999999</v>
      </c>
      <c r="P1351" s="116">
        <v>30.72</v>
      </c>
      <c r="Q1351" s="116">
        <v>308.2</v>
      </c>
      <c r="R1351">
        <v>11447411</v>
      </c>
    </row>
    <row r="1352" spans="1:18" x14ac:dyDescent="0.25">
      <c r="A1352" s="170">
        <v>44000</v>
      </c>
      <c r="B1352" s="116">
        <v>31.9</v>
      </c>
      <c r="C1352" s="116">
        <v>31.81</v>
      </c>
      <c r="D1352" s="116">
        <v>30.75</v>
      </c>
      <c r="E1352" s="116">
        <v>30.815000000000001</v>
      </c>
      <c r="F1352" s="116">
        <v>318.10000000000002</v>
      </c>
      <c r="G1352">
        <v>704370</v>
      </c>
      <c r="H1352" s="116"/>
      <c r="I1352" s="116"/>
      <c r="L1352" s="170">
        <v>44000</v>
      </c>
      <c r="M1352" s="116">
        <v>31.81</v>
      </c>
      <c r="N1352" s="116">
        <v>31.92</v>
      </c>
      <c r="O1352" s="116">
        <v>30.71</v>
      </c>
      <c r="P1352" s="116">
        <v>30.82</v>
      </c>
      <c r="Q1352" s="116">
        <v>318.10000000000002</v>
      </c>
      <c r="R1352">
        <v>11369278</v>
      </c>
    </row>
    <row r="1353" spans="1:18" x14ac:dyDescent="0.25">
      <c r="A1353" s="170">
        <v>44001</v>
      </c>
      <c r="B1353" s="116">
        <v>32.585000000000001</v>
      </c>
      <c r="C1353" s="116">
        <v>32.07</v>
      </c>
      <c r="D1353" s="116">
        <v>31.75</v>
      </c>
      <c r="E1353" s="116">
        <v>32.185000000000002</v>
      </c>
      <c r="F1353" s="116">
        <v>320.7</v>
      </c>
      <c r="G1353">
        <v>830917</v>
      </c>
      <c r="H1353" s="116"/>
      <c r="I1353" s="116"/>
      <c r="L1353" s="170">
        <v>44001</v>
      </c>
      <c r="M1353" s="116">
        <v>32.055</v>
      </c>
      <c r="N1353" s="116">
        <v>32.585000000000001</v>
      </c>
      <c r="O1353" s="116">
        <v>31.73</v>
      </c>
      <c r="P1353" s="116">
        <v>32.1</v>
      </c>
      <c r="Q1353" s="116">
        <v>320.55</v>
      </c>
      <c r="R1353">
        <v>15134693</v>
      </c>
    </row>
    <row r="1354" spans="1:18" x14ac:dyDescent="0.25">
      <c r="A1354" s="170">
        <v>44004</v>
      </c>
      <c r="B1354" s="116">
        <v>32.79</v>
      </c>
      <c r="C1354" s="116">
        <v>32.594999999999999</v>
      </c>
      <c r="D1354" s="116">
        <v>31.835000000000001</v>
      </c>
      <c r="E1354" s="116">
        <v>32.07</v>
      </c>
      <c r="F1354" s="116">
        <v>325.95</v>
      </c>
      <c r="G1354">
        <v>1021557</v>
      </c>
      <c r="H1354" s="116"/>
      <c r="I1354" s="116"/>
      <c r="L1354" s="170">
        <v>44004</v>
      </c>
      <c r="M1354" s="116">
        <v>32.57</v>
      </c>
      <c r="N1354" s="116">
        <v>32.799999999999997</v>
      </c>
      <c r="O1354" s="116">
        <v>31.835000000000001</v>
      </c>
      <c r="P1354" s="116">
        <v>31.975000000000001</v>
      </c>
      <c r="Q1354" s="116">
        <v>325.7</v>
      </c>
      <c r="R1354">
        <v>11031385</v>
      </c>
    </row>
    <row r="1355" spans="1:18" x14ac:dyDescent="0.25">
      <c r="A1355" s="170">
        <v>44005</v>
      </c>
      <c r="B1355" s="116">
        <v>33.344999999999999</v>
      </c>
      <c r="C1355" s="116">
        <v>33.19</v>
      </c>
      <c r="D1355" s="116">
        <v>32.61</v>
      </c>
      <c r="E1355" s="116">
        <v>32.64</v>
      </c>
      <c r="F1355" s="116">
        <v>331.9</v>
      </c>
      <c r="G1355">
        <v>1266166</v>
      </c>
      <c r="H1355" s="116"/>
      <c r="I1355" s="116"/>
      <c r="L1355" s="170">
        <v>44005</v>
      </c>
      <c r="M1355" s="116">
        <v>33.200000000000003</v>
      </c>
      <c r="N1355" s="116">
        <v>33.35</v>
      </c>
      <c r="O1355" s="116">
        <v>32.615000000000002</v>
      </c>
      <c r="P1355" s="116">
        <v>32.770000000000003</v>
      </c>
      <c r="Q1355" s="116">
        <v>332</v>
      </c>
      <c r="R1355">
        <v>12551154</v>
      </c>
    </row>
    <row r="1356" spans="1:18" x14ac:dyDescent="0.25">
      <c r="A1356" s="170">
        <v>44006</v>
      </c>
      <c r="B1356" s="116">
        <v>33.805</v>
      </c>
      <c r="C1356" s="116">
        <v>32.604999999999997</v>
      </c>
      <c r="D1356" s="116">
        <v>32.49</v>
      </c>
      <c r="E1356" s="116">
        <v>33.69</v>
      </c>
      <c r="F1356" s="116">
        <v>326.05</v>
      </c>
      <c r="G1356">
        <v>1228956</v>
      </c>
      <c r="H1356" s="116"/>
      <c r="I1356" s="116"/>
      <c r="L1356" s="170">
        <v>44006</v>
      </c>
      <c r="M1356" s="116">
        <v>32.604999999999997</v>
      </c>
      <c r="N1356" s="116">
        <v>33.814999999999998</v>
      </c>
      <c r="O1356" s="116">
        <v>32.475000000000001</v>
      </c>
      <c r="P1356" s="116">
        <v>33.659999999999997</v>
      </c>
      <c r="Q1356" s="116">
        <v>326.05</v>
      </c>
      <c r="R1356">
        <v>20782956</v>
      </c>
    </row>
    <row r="1357" spans="1:18" x14ac:dyDescent="0.25">
      <c r="A1357" s="170">
        <v>44007</v>
      </c>
      <c r="B1357" s="116">
        <v>32.729999999999997</v>
      </c>
      <c r="C1357" s="116">
        <v>32.31</v>
      </c>
      <c r="D1357" s="116">
        <v>32.104999999999997</v>
      </c>
      <c r="E1357" s="116">
        <v>32.11</v>
      </c>
      <c r="F1357" s="116">
        <v>323.10000000000002</v>
      </c>
      <c r="G1357">
        <v>597781</v>
      </c>
      <c r="H1357" s="116"/>
      <c r="I1357" s="116"/>
      <c r="L1357" s="170">
        <v>44007</v>
      </c>
      <c r="M1357" s="116">
        <v>32.31</v>
      </c>
      <c r="N1357" s="116">
        <v>32.74</v>
      </c>
      <c r="O1357" s="116">
        <v>32.1</v>
      </c>
      <c r="P1357" s="116">
        <v>32.200000000000003</v>
      </c>
      <c r="Q1357" s="116">
        <v>323.10000000000002</v>
      </c>
      <c r="R1357">
        <v>11345728</v>
      </c>
    </row>
    <row r="1358" spans="1:18" x14ac:dyDescent="0.25">
      <c r="A1358" s="170">
        <v>44008</v>
      </c>
      <c r="B1358" s="116">
        <v>33</v>
      </c>
      <c r="C1358" s="116">
        <v>32.39</v>
      </c>
      <c r="D1358" s="116">
        <v>32.270000000000003</v>
      </c>
      <c r="E1358" s="116">
        <v>32.424999999999997</v>
      </c>
      <c r="F1358" s="116">
        <v>323.89999999999998</v>
      </c>
      <c r="G1358">
        <v>684367</v>
      </c>
      <c r="H1358" s="116"/>
      <c r="I1358" s="116"/>
      <c r="L1358" s="170">
        <v>44008</v>
      </c>
      <c r="M1358" s="116">
        <v>32.384999999999998</v>
      </c>
      <c r="N1358" s="116">
        <v>32.994999999999997</v>
      </c>
      <c r="O1358" s="116">
        <v>32.255000000000003</v>
      </c>
      <c r="P1358" s="116">
        <v>32.58</v>
      </c>
      <c r="Q1358" s="116">
        <v>323.85000000000002</v>
      </c>
      <c r="R1358">
        <v>9706335</v>
      </c>
    </row>
    <row r="1359" spans="1:18" x14ac:dyDescent="0.25">
      <c r="A1359" s="170">
        <v>44011</v>
      </c>
      <c r="B1359" s="116">
        <v>32.564999999999998</v>
      </c>
      <c r="C1359" s="116">
        <v>32.125</v>
      </c>
      <c r="D1359" s="116">
        <v>31.225000000000001</v>
      </c>
      <c r="E1359" s="116">
        <v>32.15</v>
      </c>
      <c r="F1359" s="116">
        <v>321.25</v>
      </c>
      <c r="G1359">
        <v>901196</v>
      </c>
      <c r="H1359" s="116"/>
      <c r="I1359" s="116"/>
      <c r="L1359" s="170">
        <v>44011</v>
      </c>
      <c r="M1359" s="116">
        <v>32.085000000000001</v>
      </c>
      <c r="N1359" s="116">
        <v>32.6</v>
      </c>
      <c r="O1359" s="116">
        <v>31.21</v>
      </c>
      <c r="P1359" s="116">
        <v>32.299999999999997</v>
      </c>
      <c r="Q1359" s="116">
        <v>320.85000000000002</v>
      </c>
      <c r="R1359">
        <v>11961198</v>
      </c>
    </row>
    <row r="1360" spans="1:18" x14ac:dyDescent="0.25">
      <c r="A1360" s="170">
        <v>44012</v>
      </c>
      <c r="B1360" s="116">
        <v>33.76</v>
      </c>
      <c r="C1360" s="116">
        <v>32.664999999999999</v>
      </c>
      <c r="D1360" s="116">
        <v>32.06</v>
      </c>
      <c r="E1360" s="116">
        <v>32.06</v>
      </c>
      <c r="F1360" s="116">
        <v>326.64999999999998</v>
      </c>
      <c r="G1360">
        <v>1656988</v>
      </c>
      <c r="H1360" s="116"/>
      <c r="I1360" s="116"/>
      <c r="L1360" s="170">
        <v>44012</v>
      </c>
      <c r="M1360" s="116">
        <v>32.67</v>
      </c>
      <c r="N1360" s="116">
        <v>33.765000000000001</v>
      </c>
      <c r="O1360" s="116">
        <v>32.31</v>
      </c>
      <c r="P1360" s="116">
        <v>32.31</v>
      </c>
      <c r="Q1360" s="116">
        <v>326.7</v>
      </c>
      <c r="R1360">
        <v>36523647</v>
      </c>
    </row>
    <row r="1361" spans="1:18" x14ac:dyDescent="0.25">
      <c r="A1361" s="170">
        <v>44013</v>
      </c>
      <c r="B1361" s="116">
        <v>32.9</v>
      </c>
      <c r="C1361" s="116">
        <v>32.384999999999998</v>
      </c>
      <c r="D1361" s="116">
        <v>32.049999999999997</v>
      </c>
      <c r="E1361" s="116">
        <v>32.825000000000003</v>
      </c>
      <c r="F1361" s="116">
        <v>323.85000000000002</v>
      </c>
      <c r="G1361">
        <v>566694</v>
      </c>
      <c r="H1361" s="116"/>
      <c r="I1361" s="116"/>
      <c r="L1361" s="170">
        <v>44013</v>
      </c>
      <c r="M1361" s="116">
        <v>32.369999999999997</v>
      </c>
      <c r="N1361" s="116">
        <v>32.96</v>
      </c>
      <c r="O1361" s="116">
        <v>32.03</v>
      </c>
      <c r="P1361" s="116">
        <v>32.9</v>
      </c>
      <c r="Q1361" s="116">
        <v>323.7</v>
      </c>
      <c r="R1361">
        <v>10489533</v>
      </c>
    </row>
    <row r="1362" spans="1:18" x14ac:dyDescent="0.25">
      <c r="A1362" s="170">
        <v>44014</v>
      </c>
      <c r="B1362" s="116">
        <v>33.755000000000003</v>
      </c>
      <c r="C1362" s="116">
        <v>33.494999999999997</v>
      </c>
      <c r="D1362" s="116">
        <v>32.450000000000003</v>
      </c>
      <c r="E1362" s="116">
        <v>32.58</v>
      </c>
      <c r="F1362" s="116">
        <v>334.95</v>
      </c>
      <c r="G1362">
        <v>1140634</v>
      </c>
      <c r="H1362" s="116"/>
      <c r="I1362" s="116"/>
      <c r="L1362" s="170">
        <v>44014</v>
      </c>
      <c r="M1362" s="116">
        <v>33.49</v>
      </c>
      <c r="N1362" s="116">
        <v>33.75</v>
      </c>
      <c r="O1362" s="116">
        <v>32.454999999999998</v>
      </c>
      <c r="P1362" s="116">
        <v>32.704999999999998</v>
      </c>
      <c r="Q1362" s="116">
        <v>334.9</v>
      </c>
      <c r="R1362">
        <v>11971928</v>
      </c>
    </row>
    <row r="1363" spans="1:18" x14ac:dyDescent="0.25">
      <c r="A1363" s="170">
        <v>44015</v>
      </c>
      <c r="B1363" s="116">
        <v>33.700000000000003</v>
      </c>
      <c r="C1363" s="116">
        <v>32.994999999999997</v>
      </c>
      <c r="D1363" s="116">
        <v>32.814999999999998</v>
      </c>
      <c r="E1363" s="116">
        <v>33.6</v>
      </c>
      <c r="F1363" s="116">
        <v>329.95</v>
      </c>
      <c r="G1363">
        <v>899229</v>
      </c>
      <c r="H1363" s="116"/>
      <c r="I1363" s="116"/>
      <c r="L1363" s="170">
        <v>44015</v>
      </c>
      <c r="M1363" s="116">
        <v>32.99</v>
      </c>
      <c r="N1363" s="116">
        <v>33.700000000000003</v>
      </c>
      <c r="O1363" s="116">
        <v>32.734999999999999</v>
      </c>
      <c r="P1363" s="116">
        <v>33.700000000000003</v>
      </c>
      <c r="Q1363" s="116">
        <v>329.9</v>
      </c>
      <c r="R1363">
        <v>10612730</v>
      </c>
    </row>
    <row r="1364" spans="1:18" x14ac:dyDescent="0.25">
      <c r="A1364" s="170">
        <v>44018</v>
      </c>
      <c r="B1364" s="116">
        <v>34.15</v>
      </c>
      <c r="C1364" s="116">
        <v>33.875</v>
      </c>
      <c r="D1364" s="116">
        <v>33.03</v>
      </c>
      <c r="E1364" s="116">
        <v>33.215000000000003</v>
      </c>
      <c r="F1364" s="116">
        <v>338.75</v>
      </c>
      <c r="G1364">
        <v>1086518</v>
      </c>
      <c r="H1364" s="116"/>
      <c r="I1364" s="116"/>
      <c r="L1364" s="170">
        <v>44018</v>
      </c>
      <c r="M1364" s="116">
        <v>33.89</v>
      </c>
      <c r="N1364" s="116">
        <v>34.17</v>
      </c>
      <c r="O1364" s="116">
        <v>33.03</v>
      </c>
      <c r="P1364" s="116">
        <v>33.314999999999998</v>
      </c>
      <c r="Q1364" s="116">
        <v>338.9</v>
      </c>
      <c r="R1364">
        <v>14144208</v>
      </c>
    </row>
    <row r="1365" spans="1:18" x14ac:dyDescent="0.25">
      <c r="A1365" s="170">
        <v>44019</v>
      </c>
      <c r="B1365" s="116">
        <v>33.840000000000003</v>
      </c>
      <c r="C1365" s="116">
        <v>33.015000000000001</v>
      </c>
      <c r="D1365" s="116">
        <v>32.85</v>
      </c>
      <c r="E1365" s="116">
        <v>33.799999999999997</v>
      </c>
      <c r="F1365" s="116">
        <v>330.15</v>
      </c>
      <c r="G1365">
        <v>628835</v>
      </c>
      <c r="H1365" s="116"/>
      <c r="I1365" s="116"/>
      <c r="L1365" s="170">
        <v>44019</v>
      </c>
      <c r="M1365" s="116">
        <v>33.03</v>
      </c>
      <c r="N1365" s="116">
        <v>33.884999999999998</v>
      </c>
      <c r="O1365" s="116">
        <v>32.805</v>
      </c>
      <c r="P1365" s="116">
        <v>33.880000000000003</v>
      </c>
      <c r="Q1365" s="116">
        <v>330.3</v>
      </c>
      <c r="R1365">
        <v>10839521</v>
      </c>
    </row>
    <row r="1366" spans="1:18" x14ac:dyDescent="0.25">
      <c r="A1366" s="170">
        <v>44020</v>
      </c>
      <c r="B1366" s="116">
        <v>34.619999999999997</v>
      </c>
      <c r="C1366" s="116">
        <v>33.42</v>
      </c>
      <c r="D1366" s="116">
        <v>33.22</v>
      </c>
      <c r="E1366" s="116">
        <v>33.22</v>
      </c>
      <c r="F1366" s="116">
        <v>334.2</v>
      </c>
      <c r="G1366">
        <v>801950</v>
      </c>
      <c r="H1366" s="116"/>
      <c r="I1366" s="116"/>
      <c r="L1366" s="170">
        <v>44020</v>
      </c>
      <c r="M1366" s="116">
        <v>33.42</v>
      </c>
      <c r="N1366" s="116">
        <v>34.64</v>
      </c>
      <c r="O1366" s="116">
        <v>33.200000000000003</v>
      </c>
      <c r="P1366" s="116">
        <v>33.28</v>
      </c>
      <c r="Q1366" s="116">
        <v>334.2</v>
      </c>
      <c r="R1366">
        <v>21561168</v>
      </c>
    </row>
    <row r="1367" spans="1:18" x14ac:dyDescent="0.25">
      <c r="A1367" s="170">
        <v>44021</v>
      </c>
      <c r="B1367" s="116">
        <v>34.840000000000003</v>
      </c>
      <c r="C1367" s="116">
        <v>34.44</v>
      </c>
      <c r="D1367" s="116">
        <v>33.700000000000003</v>
      </c>
      <c r="E1367" s="116">
        <v>33.700000000000003</v>
      </c>
      <c r="F1367" s="116">
        <v>344.4</v>
      </c>
      <c r="G1367">
        <v>951510</v>
      </c>
      <c r="H1367" s="116"/>
      <c r="I1367" s="116"/>
      <c r="L1367" s="170">
        <v>44021</v>
      </c>
      <c r="M1367" s="116">
        <v>34.450000000000003</v>
      </c>
      <c r="N1367" s="116">
        <v>34.85</v>
      </c>
      <c r="O1367" s="116">
        <v>33.65</v>
      </c>
      <c r="P1367" s="116">
        <v>33.700000000000003</v>
      </c>
      <c r="Q1367" s="116">
        <v>344.5</v>
      </c>
      <c r="R1367">
        <v>24403806</v>
      </c>
    </row>
    <row r="1368" spans="1:18" x14ac:dyDescent="0.25">
      <c r="A1368" s="170">
        <v>44022</v>
      </c>
      <c r="B1368" s="116">
        <v>34.43</v>
      </c>
      <c r="C1368" s="116">
        <v>33.86</v>
      </c>
      <c r="D1368" s="116">
        <v>33.505000000000003</v>
      </c>
      <c r="E1368" s="116">
        <v>34.35</v>
      </c>
      <c r="F1368" s="116">
        <v>338.6</v>
      </c>
      <c r="G1368">
        <v>629235</v>
      </c>
      <c r="H1368" s="116"/>
      <c r="I1368" s="116"/>
      <c r="L1368" s="170">
        <v>44022</v>
      </c>
      <c r="M1368" s="116">
        <v>33.869999999999997</v>
      </c>
      <c r="N1368" s="116">
        <v>34.43</v>
      </c>
      <c r="O1368" s="116">
        <v>33.520000000000003</v>
      </c>
      <c r="P1368" s="116">
        <v>34.195</v>
      </c>
      <c r="Q1368" s="116">
        <v>338.7</v>
      </c>
      <c r="R1368">
        <v>12526909</v>
      </c>
    </row>
    <row r="1369" spans="1:18" x14ac:dyDescent="0.25">
      <c r="A1369" s="170">
        <v>44025</v>
      </c>
      <c r="B1369" s="116">
        <v>34.72</v>
      </c>
      <c r="C1369" s="116">
        <v>34.200000000000003</v>
      </c>
      <c r="D1369" s="116">
        <v>33.86</v>
      </c>
      <c r="E1369" s="116">
        <v>34.229999999999997</v>
      </c>
      <c r="F1369" s="116">
        <v>342</v>
      </c>
      <c r="G1369">
        <v>885797</v>
      </c>
      <c r="H1369" s="116"/>
      <c r="I1369" s="116"/>
      <c r="L1369" s="170">
        <v>44025</v>
      </c>
      <c r="M1369" s="116">
        <v>34.21</v>
      </c>
      <c r="N1369" s="116">
        <v>34.700000000000003</v>
      </c>
      <c r="O1369" s="116">
        <v>33.85</v>
      </c>
      <c r="P1369" s="116">
        <v>34.33</v>
      </c>
      <c r="Q1369" s="116">
        <v>342.1</v>
      </c>
      <c r="R1369">
        <v>12115002</v>
      </c>
    </row>
    <row r="1370" spans="1:18" x14ac:dyDescent="0.25">
      <c r="A1370" s="170">
        <v>44026</v>
      </c>
      <c r="B1370" s="116">
        <v>33.950000000000003</v>
      </c>
      <c r="C1370" s="116">
        <v>33.68</v>
      </c>
      <c r="D1370" s="116">
        <v>33.284999999999997</v>
      </c>
      <c r="E1370" s="116">
        <v>33.950000000000003</v>
      </c>
      <c r="F1370" s="116">
        <v>336.8</v>
      </c>
      <c r="G1370">
        <v>616693</v>
      </c>
      <c r="H1370" s="116"/>
      <c r="I1370" s="116"/>
      <c r="L1370" s="170">
        <v>44026</v>
      </c>
      <c r="M1370" s="116">
        <v>33.664999999999999</v>
      </c>
      <c r="N1370" s="116">
        <v>33.9</v>
      </c>
      <c r="O1370" s="116">
        <v>33.26</v>
      </c>
      <c r="P1370" s="116">
        <v>33.9</v>
      </c>
      <c r="Q1370" s="116">
        <v>336.65</v>
      </c>
      <c r="R1370">
        <v>8307089</v>
      </c>
    </row>
    <row r="1371" spans="1:18" x14ac:dyDescent="0.25">
      <c r="A1371" s="170">
        <v>44027</v>
      </c>
      <c r="B1371" s="116">
        <v>34.630000000000003</v>
      </c>
      <c r="C1371" s="116">
        <v>33.914999999999999</v>
      </c>
      <c r="D1371" s="116">
        <v>33.799999999999997</v>
      </c>
      <c r="E1371" s="116">
        <v>33.909999999999997</v>
      </c>
      <c r="F1371" s="116">
        <v>339.15</v>
      </c>
      <c r="G1371">
        <v>1276652</v>
      </c>
      <c r="H1371" s="116"/>
      <c r="I1371" s="116"/>
      <c r="L1371" s="170">
        <v>44027</v>
      </c>
      <c r="M1371" s="116">
        <v>33.93</v>
      </c>
      <c r="N1371" s="116">
        <v>34.65</v>
      </c>
      <c r="O1371" s="116">
        <v>33.799999999999997</v>
      </c>
      <c r="P1371" s="116">
        <v>34.064999999999998</v>
      </c>
      <c r="Q1371" s="116">
        <v>339.3</v>
      </c>
      <c r="R1371">
        <v>9687663</v>
      </c>
    </row>
    <row r="1372" spans="1:18" x14ac:dyDescent="0.25">
      <c r="A1372" s="170">
        <v>44028</v>
      </c>
      <c r="B1372" s="116">
        <v>34.630000000000003</v>
      </c>
      <c r="C1372" s="116">
        <v>34.174999999999997</v>
      </c>
      <c r="D1372" s="116">
        <v>33.174999999999997</v>
      </c>
      <c r="E1372" s="116">
        <v>33.99</v>
      </c>
      <c r="F1372" s="116">
        <v>341.75</v>
      </c>
      <c r="G1372">
        <v>606149</v>
      </c>
      <c r="H1372" s="116"/>
      <c r="I1372" s="116"/>
      <c r="L1372" s="170">
        <v>44028</v>
      </c>
      <c r="M1372" s="116">
        <v>34.164999999999999</v>
      </c>
      <c r="N1372" s="116">
        <v>34.65</v>
      </c>
      <c r="O1372" s="116">
        <v>33.155000000000001</v>
      </c>
      <c r="P1372" s="116">
        <v>33.799999999999997</v>
      </c>
      <c r="Q1372" s="116">
        <v>341.65</v>
      </c>
      <c r="R1372">
        <v>10586106</v>
      </c>
    </row>
    <row r="1373" spans="1:18" x14ac:dyDescent="0.25">
      <c r="A1373" s="170">
        <v>44029</v>
      </c>
      <c r="B1373" s="116">
        <v>35.659999999999997</v>
      </c>
      <c r="C1373" s="116">
        <v>35.090000000000003</v>
      </c>
      <c r="D1373" s="116">
        <v>34.515000000000001</v>
      </c>
      <c r="E1373" s="116">
        <v>34.659999999999997</v>
      </c>
      <c r="F1373" s="116">
        <v>350.9</v>
      </c>
      <c r="G1373">
        <v>1312157</v>
      </c>
      <c r="H1373" s="116"/>
      <c r="I1373" s="116"/>
      <c r="L1373" s="170">
        <v>44029</v>
      </c>
      <c r="M1373" s="116">
        <v>35.094999999999999</v>
      </c>
      <c r="N1373" s="116">
        <v>35.68</v>
      </c>
      <c r="O1373" s="116">
        <v>34.515000000000001</v>
      </c>
      <c r="P1373" s="116">
        <v>34.6</v>
      </c>
      <c r="Q1373" s="116">
        <v>350.95</v>
      </c>
      <c r="R1373">
        <v>24416975</v>
      </c>
    </row>
    <row r="1374" spans="1:18" x14ac:dyDescent="0.25">
      <c r="A1374" s="170">
        <v>44032</v>
      </c>
      <c r="B1374" s="116">
        <v>35.47</v>
      </c>
      <c r="C1374" s="116">
        <v>35.24</v>
      </c>
      <c r="D1374" s="116">
        <v>34.67</v>
      </c>
      <c r="E1374" s="116">
        <v>35.39</v>
      </c>
      <c r="F1374" s="116">
        <v>352.4</v>
      </c>
      <c r="G1374">
        <v>621434</v>
      </c>
      <c r="H1374" s="116"/>
      <c r="I1374" s="116"/>
      <c r="L1374" s="170">
        <v>44032</v>
      </c>
      <c r="M1374" s="116">
        <v>35.24</v>
      </c>
      <c r="N1374" s="116">
        <v>35.47</v>
      </c>
      <c r="O1374" s="116">
        <v>34.659999999999997</v>
      </c>
      <c r="P1374" s="116">
        <v>35.11</v>
      </c>
      <c r="Q1374" s="116">
        <v>352.4</v>
      </c>
      <c r="R1374">
        <v>9532817</v>
      </c>
    </row>
    <row r="1375" spans="1:18" x14ac:dyDescent="0.25">
      <c r="A1375" s="170">
        <v>44033</v>
      </c>
      <c r="B1375" s="116">
        <v>36.055</v>
      </c>
      <c r="C1375" s="116">
        <v>35.909999999999997</v>
      </c>
      <c r="D1375" s="116">
        <v>34.96</v>
      </c>
      <c r="E1375" s="116">
        <v>35.6</v>
      </c>
      <c r="F1375" s="116">
        <v>359.1</v>
      </c>
      <c r="G1375">
        <v>505624</v>
      </c>
      <c r="H1375" s="116"/>
      <c r="I1375" s="116"/>
      <c r="L1375" s="170">
        <v>44033</v>
      </c>
      <c r="M1375" s="116">
        <v>35.914999999999999</v>
      </c>
      <c r="N1375" s="116">
        <v>36.06</v>
      </c>
      <c r="O1375" s="116">
        <v>34.950000000000003</v>
      </c>
      <c r="P1375" s="116">
        <v>35.6</v>
      </c>
      <c r="Q1375" s="116">
        <v>359.15</v>
      </c>
      <c r="R1375">
        <v>11368275</v>
      </c>
    </row>
    <row r="1376" spans="1:18" x14ac:dyDescent="0.25">
      <c r="A1376" s="170">
        <v>44034</v>
      </c>
      <c r="B1376" s="116">
        <v>36.284999999999997</v>
      </c>
      <c r="C1376" s="116">
        <v>35.01</v>
      </c>
      <c r="D1376" s="116">
        <v>34.674999999999997</v>
      </c>
      <c r="E1376" s="116">
        <v>36.200000000000003</v>
      </c>
      <c r="F1376" s="116">
        <v>350.1</v>
      </c>
      <c r="G1376">
        <v>1251891</v>
      </c>
      <c r="H1376" s="116"/>
      <c r="I1376" s="116"/>
      <c r="L1376" s="170">
        <v>44034</v>
      </c>
      <c r="M1376" s="116">
        <v>35.005000000000003</v>
      </c>
      <c r="N1376" s="116">
        <v>36.29</v>
      </c>
      <c r="O1376" s="116">
        <v>34.659999999999997</v>
      </c>
      <c r="P1376" s="116">
        <v>36.049999999999997</v>
      </c>
      <c r="Q1376" s="116">
        <v>350.05</v>
      </c>
      <c r="R1376">
        <v>17844237</v>
      </c>
    </row>
    <row r="1377" spans="1:18" x14ac:dyDescent="0.25">
      <c r="A1377" s="170">
        <v>44035</v>
      </c>
      <c r="B1377" s="116">
        <v>35.630000000000003</v>
      </c>
      <c r="C1377" s="116">
        <v>35.200000000000003</v>
      </c>
      <c r="D1377" s="116">
        <v>34.770000000000003</v>
      </c>
      <c r="E1377" s="116">
        <v>35.01</v>
      </c>
      <c r="F1377" s="116">
        <v>352</v>
      </c>
      <c r="G1377">
        <v>638144</v>
      </c>
      <c r="H1377" s="116"/>
      <c r="I1377" s="116"/>
      <c r="L1377" s="170">
        <v>44035</v>
      </c>
      <c r="M1377" s="116">
        <v>35.19</v>
      </c>
      <c r="N1377" s="116">
        <v>35.64</v>
      </c>
      <c r="O1377" s="116">
        <v>34.765000000000001</v>
      </c>
      <c r="P1377" s="116">
        <v>35.01</v>
      </c>
      <c r="Q1377" s="116">
        <v>351.9</v>
      </c>
      <c r="R1377">
        <v>9625277</v>
      </c>
    </row>
    <row r="1378" spans="1:18" x14ac:dyDescent="0.25">
      <c r="A1378" s="170">
        <v>44036</v>
      </c>
      <c r="B1378" s="116">
        <v>34.975000000000001</v>
      </c>
      <c r="C1378" s="116">
        <v>34.604999999999997</v>
      </c>
      <c r="D1378" s="116">
        <v>34.274999999999999</v>
      </c>
      <c r="E1378" s="116">
        <v>34.799999999999997</v>
      </c>
      <c r="F1378" s="116">
        <v>346.05</v>
      </c>
      <c r="G1378">
        <v>577202</v>
      </c>
      <c r="H1378" s="116"/>
      <c r="I1378" s="116"/>
      <c r="L1378" s="170">
        <v>44036</v>
      </c>
      <c r="M1378" s="116">
        <v>34.61</v>
      </c>
      <c r="N1378" s="116">
        <v>34.979999999999997</v>
      </c>
      <c r="O1378" s="116">
        <v>34.255000000000003</v>
      </c>
      <c r="P1378" s="116">
        <v>34.700000000000003</v>
      </c>
      <c r="Q1378" s="116">
        <v>346.1</v>
      </c>
      <c r="R1378">
        <v>8918940</v>
      </c>
    </row>
    <row r="1379" spans="1:18" x14ac:dyDescent="0.25">
      <c r="A1379" s="170">
        <v>44039</v>
      </c>
      <c r="B1379" s="116">
        <v>35.39</v>
      </c>
      <c r="C1379" s="116">
        <v>35.284999999999997</v>
      </c>
      <c r="D1379" s="116">
        <v>34.450000000000003</v>
      </c>
      <c r="E1379" s="116">
        <v>35</v>
      </c>
      <c r="F1379" s="116">
        <v>352.85</v>
      </c>
      <c r="G1379">
        <v>797788</v>
      </c>
      <c r="H1379" s="116"/>
      <c r="I1379" s="116"/>
      <c r="L1379" s="170">
        <v>44039</v>
      </c>
      <c r="M1379" s="116">
        <v>35.284999999999997</v>
      </c>
      <c r="N1379" s="116">
        <v>35.39</v>
      </c>
      <c r="O1379" s="116">
        <v>34.424999999999997</v>
      </c>
      <c r="P1379" s="116">
        <v>35.1</v>
      </c>
      <c r="Q1379" s="116">
        <v>352.85</v>
      </c>
      <c r="R1379">
        <v>11835628</v>
      </c>
    </row>
    <row r="1380" spans="1:18" x14ac:dyDescent="0.25">
      <c r="A1380" s="170">
        <v>44040</v>
      </c>
      <c r="B1380" s="116">
        <v>36</v>
      </c>
      <c r="C1380" s="116">
        <v>35.835000000000001</v>
      </c>
      <c r="D1380" s="116">
        <v>35.295000000000002</v>
      </c>
      <c r="E1380" s="116">
        <v>35.409999999999997</v>
      </c>
      <c r="F1380" s="116">
        <v>358.35</v>
      </c>
      <c r="G1380">
        <v>422987</v>
      </c>
      <c r="H1380" s="116"/>
      <c r="I1380" s="116"/>
      <c r="L1380" s="170">
        <v>44040</v>
      </c>
      <c r="M1380" s="116">
        <v>35.85</v>
      </c>
      <c r="N1380" s="116">
        <v>36</v>
      </c>
      <c r="O1380" s="116">
        <v>35.274999999999999</v>
      </c>
      <c r="P1380" s="116">
        <v>35.36</v>
      </c>
      <c r="Q1380" s="116">
        <v>358.5</v>
      </c>
      <c r="R1380">
        <v>10640327</v>
      </c>
    </row>
    <row r="1381" spans="1:18" x14ac:dyDescent="0.25">
      <c r="A1381" s="170">
        <v>44041</v>
      </c>
      <c r="B1381" s="116">
        <v>37.82</v>
      </c>
      <c r="C1381" s="116">
        <v>37.39</v>
      </c>
      <c r="D1381" s="116">
        <v>35.69</v>
      </c>
      <c r="E1381" s="116">
        <v>36</v>
      </c>
      <c r="F1381" s="116">
        <v>373.9</v>
      </c>
      <c r="G1381">
        <v>1105278</v>
      </c>
      <c r="H1381" s="116"/>
      <c r="I1381" s="116"/>
      <c r="L1381" s="170">
        <v>44041</v>
      </c>
      <c r="M1381" s="116">
        <v>37.375</v>
      </c>
      <c r="N1381" s="116">
        <v>37.844999999999999</v>
      </c>
      <c r="O1381" s="116">
        <v>35.615000000000002</v>
      </c>
      <c r="P1381" s="116">
        <v>35.9</v>
      </c>
      <c r="Q1381" s="116">
        <v>373.75</v>
      </c>
      <c r="R1381">
        <v>30116131</v>
      </c>
    </row>
    <row r="1382" spans="1:18" x14ac:dyDescent="0.25">
      <c r="A1382" s="170">
        <v>44042</v>
      </c>
      <c r="B1382" s="116">
        <v>37.805</v>
      </c>
      <c r="C1382" s="116">
        <v>36.67</v>
      </c>
      <c r="D1382" s="116">
        <v>36.42</v>
      </c>
      <c r="E1382" s="116">
        <v>37.64</v>
      </c>
      <c r="F1382" s="116">
        <v>366.7</v>
      </c>
      <c r="G1382">
        <v>520362</v>
      </c>
      <c r="H1382" s="116"/>
      <c r="I1382" s="116"/>
      <c r="L1382" s="170">
        <v>44042</v>
      </c>
      <c r="M1382" s="116">
        <v>36.659999999999997</v>
      </c>
      <c r="N1382" s="116">
        <v>37.78</v>
      </c>
      <c r="O1382" s="116">
        <v>36.409999999999997</v>
      </c>
      <c r="P1382" s="116">
        <v>37.700000000000003</v>
      </c>
      <c r="Q1382" s="116">
        <v>366.6</v>
      </c>
      <c r="R1382">
        <v>10399075</v>
      </c>
    </row>
    <row r="1383" spans="1:18" x14ac:dyDescent="0.25">
      <c r="A1383" s="170">
        <v>44043</v>
      </c>
      <c r="B1383" s="116">
        <v>37.03</v>
      </c>
      <c r="C1383" s="116">
        <v>36.64</v>
      </c>
      <c r="D1383" s="116">
        <v>36.049999999999997</v>
      </c>
      <c r="E1383" s="116">
        <v>36.58</v>
      </c>
      <c r="F1383" s="116">
        <v>366.4</v>
      </c>
      <c r="G1383">
        <v>412696</v>
      </c>
      <c r="H1383" s="116"/>
      <c r="I1383" s="116"/>
      <c r="L1383" s="170">
        <v>44043</v>
      </c>
      <c r="M1383" s="116">
        <v>36.630000000000003</v>
      </c>
      <c r="N1383" s="116">
        <v>37.04</v>
      </c>
      <c r="O1383" s="116">
        <v>36.04</v>
      </c>
      <c r="P1383" s="116">
        <v>36.56</v>
      </c>
      <c r="Q1383" s="116">
        <v>366.3</v>
      </c>
      <c r="R1383">
        <v>9024955</v>
      </c>
    </row>
    <row r="1384" spans="1:18" x14ac:dyDescent="0.25">
      <c r="A1384" s="170">
        <v>44046</v>
      </c>
      <c r="B1384" s="116">
        <v>37.664999999999999</v>
      </c>
      <c r="C1384" s="116">
        <v>37.325000000000003</v>
      </c>
      <c r="D1384" s="116">
        <v>36.244999999999997</v>
      </c>
      <c r="E1384" s="116">
        <v>36.450000000000003</v>
      </c>
      <c r="F1384" s="116">
        <v>373.25</v>
      </c>
      <c r="G1384">
        <v>475284</v>
      </c>
      <c r="H1384" s="116"/>
      <c r="I1384" s="116"/>
      <c r="L1384" s="170">
        <v>44046</v>
      </c>
      <c r="M1384" s="116">
        <v>37.35</v>
      </c>
      <c r="N1384" s="116">
        <v>37.685000000000002</v>
      </c>
      <c r="O1384" s="116">
        <v>36.204999999999998</v>
      </c>
      <c r="P1384" s="116">
        <v>36.475000000000001</v>
      </c>
      <c r="Q1384" s="116">
        <v>373.5</v>
      </c>
      <c r="R1384">
        <v>11137571</v>
      </c>
    </row>
    <row r="1385" spans="1:18" x14ac:dyDescent="0.25">
      <c r="A1385" s="170">
        <v>44047</v>
      </c>
      <c r="B1385" s="116">
        <v>37.799999999999997</v>
      </c>
      <c r="C1385" s="116">
        <v>37.225000000000001</v>
      </c>
      <c r="D1385" s="116">
        <v>36.78</v>
      </c>
      <c r="E1385" s="116">
        <v>37.524999999999999</v>
      </c>
      <c r="F1385" s="116">
        <v>372.25</v>
      </c>
      <c r="G1385">
        <v>402836</v>
      </c>
      <c r="H1385" s="116"/>
      <c r="I1385" s="116"/>
      <c r="L1385" s="170">
        <v>44047</v>
      </c>
      <c r="M1385" s="116">
        <v>37.225000000000001</v>
      </c>
      <c r="N1385" s="116">
        <v>37.799999999999997</v>
      </c>
      <c r="O1385" s="116">
        <v>36.765000000000001</v>
      </c>
      <c r="P1385" s="116">
        <v>37.450000000000003</v>
      </c>
      <c r="Q1385" s="116">
        <v>372.25</v>
      </c>
      <c r="R1385">
        <v>11184430</v>
      </c>
    </row>
    <row r="1386" spans="1:18" x14ac:dyDescent="0.25">
      <c r="A1386" s="170">
        <v>44048</v>
      </c>
      <c r="B1386" s="116">
        <v>39.799999999999997</v>
      </c>
      <c r="C1386" s="116">
        <v>39.58</v>
      </c>
      <c r="D1386" s="116">
        <v>37.31</v>
      </c>
      <c r="E1386" s="116">
        <v>37.31</v>
      </c>
      <c r="F1386" s="116">
        <v>395.8</v>
      </c>
      <c r="G1386">
        <v>1246895</v>
      </c>
      <c r="H1386" s="116"/>
      <c r="I1386" s="116"/>
      <c r="L1386" s="170">
        <v>44048</v>
      </c>
      <c r="M1386" s="116">
        <v>39.58</v>
      </c>
      <c r="N1386" s="116">
        <v>39.79</v>
      </c>
      <c r="O1386" s="116">
        <v>37.305</v>
      </c>
      <c r="P1386" s="116">
        <v>37.305</v>
      </c>
      <c r="Q1386" s="116">
        <v>395.8</v>
      </c>
      <c r="R1386">
        <v>30559760</v>
      </c>
    </row>
    <row r="1387" spans="1:18" x14ac:dyDescent="0.25">
      <c r="A1387" s="170">
        <v>44049</v>
      </c>
      <c r="B1387" s="116">
        <v>40.28</v>
      </c>
      <c r="C1387" s="116">
        <v>40.055</v>
      </c>
      <c r="D1387" s="116">
        <v>38.56</v>
      </c>
      <c r="E1387" s="116">
        <v>39.145000000000003</v>
      </c>
      <c r="F1387" s="116">
        <v>400.55</v>
      </c>
      <c r="G1387">
        <v>887037</v>
      </c>
      <c r="H1387" s="116"/>
      <c r="I1387" s="116"/>
      <c r="L1387" s="170">
        <v>44049</v>
      </c>
      <c r="M1387" s="116">
        <v>40.045000000000002</v>
      </c>
      <c r="N1387" s="116">
        <v>40.28</v>
      </c>
      <c r="O1387" s="116">
        <v>38.549999999999997</v>
      </c>
      <c r="P1387" s="116">
        <v>38.975000000000001</v>
      </c>
      <c r="Q1387" s="116">
        <v>400.45</v>
      </c>
      <c r="R1387">
        <v>22123358</v>
      </c>
    </row>
    <row r="1388" spans="1:18" x14ac:dyDescent="0.25">
      <c r="A1388" s="170">
        <v>44050</v>
      </c>
      <c r="B1388" s="116">
        <v>40.674999999999997</v>
      </c>
      <c r="C1388" s="116">
        <v>40.4</v>
      </c>
      <c r="D1388" s="116">
        <v>39.325000000000003</v>
      </c>
      <c r="E1388" s="116">
        <v>39.53</v>
      </c>
      <c r="F1388" s="116">
        <v>404</v>
      </c>
      <c r="G1388">
        <v>752986</v>
      </c>
      <c r="H1388" s="116"/>
      <c r="I1388" s="116"/>
      <c r="L1388" s="170">
        <v>44050</v>
      </c>
      <c r="M1388" s="116">
        <v>40.405000000000001</v>
      </c>
      <c r="N1388" s="116">
        <v>40.67</v>
      </c>
      <c r="O1388" s="116">
        <v>39.31</v>
      </c>
      <c r="P1388" s="116">
        <v>39.590000000000003</v>
      </c>
      <c r="Q1388" s="116">
        <v>404.05</v>
      </c>
      <c r="R1388">
        <v>15176343</v>
      </c>
    </row>
    <row r="1389" spans="1:18" x14ac:dyDescent="0.25">
      <c r="A1389" s="170">
        <v>44053</v>
      </c>
      <c r="B1389" s="116">
        <v>41.145000000000003</v>
      </c>
      <c r="C1389" s="116">
        <v>41.015000000000001</v>
      </c>
      <c r="D1389" s="116">
        <v>39.96</v>
      </c>
      <c r="E1389" s="116">
        <v>40.46</v>
      </c>
      <c r="F1389" s="116">
        <v>410.15</v>
      </c>
      <c r="G1389">
        <v>458384</v>
      </c>
      <c r="H1389" s="116"/>
      <c r="I1389" s="116"/>
      <c r="L1389" s="170">
        <v>44053</v>
      </c>
      <c r="M1389" s="116">
        <v>41.02</v>
      </c>
      <c r="N1389" s="116">
        <v>41.155000000000001</v>
      </c>
      <c r="O1389" s="116">
        <v>39.96</v>
      </c>
      <c r="P1389" s="116">
        <v>40.575000000000003</v>
      </c>
      <c r="Q1389" s="116">
        <v>410.2</v>
      </c>
      <c r="R1389">
        <v>12018305</v>
      </c>
    </row>
    <row r="1390" spans="1:18" x14ac:dyDescent="0.25">
      <c r="A1390" s="170">
        <v>44054</v>
      </c>
      <c r="B1390" s="116">
        <v>42.75</v>
      </c>
      <c r="C1390" s="116">
        <v>41.645000000000003</v>
      </c>
      <c r="D1390" s="116">
        <v>41.25</v>
      </c>
      <c r="E1390" s="116">
        <v>41.35</v>
      </c>
      <c r="F1390" s="116">
        <v>416.45</v>
      </c>
      <c r="G1390">
        <v>925775</v>
      </c>
      <c r="H1390" s="116"/>
      <c r="I1390" s="116"/>
      <c r="L1390" s="170">
        <v>44054</v>
      </c>
      <c r="M1390" s="116">
        <v>41.645000000000003</v>
      </c>
      <c r="N1390" s="116">
        <v>42.76</v>
      </c>
      <c r="O1390" s="116">
        <v>41.25</v>
      </c>
      <c r="P1390" s="116">
        <v>41.31</v>
      </c>
      <c r="Q1390" s="116">
        <v>416.45</v>
      </c>
      <c r="R1390">
        <v>25885192</v>
      </c>
    </row>
    <row r="1391" spans="1:18" x14ac:dyDescent="0.25">
      <c r="A1391" s="170">
        <v>44055</v>
      </c>
      <c r="B1391" s="116">
        <v>41.744999999999997</v>
      </c>
      <c r="C1391" s="116">
        <v>41.475000000000001</v>
      </c>
      <c r="D1391" s="116">
        <v>40.755000000000003</v>
      </c>
      <c r="E1391" s="116">
        <v>41.445</v>
      </c>
      <c r="F1391" s="116">
        <v>414.75</v>
      </c>
      <c r="G1391">
        <v>401004</v>
      </c>
      <c r="H1391" s="116"/>
      <c r="I1391" s="116"/>
      <c r="L1391" s="170">
        <v>44055</v>
      </c>
      <c r="M1391" s="116">
        <v>41.45</v>
      </c>
      <c r="N1391" s="116">
        <v>41.734999999999999</v>
      </c>
      <c r="O1391" s="116">
        <v>40.755000000000003</v>
      </c>
      <c r="P1391" s="116">
        <v>41.37</v>
      </c>
      <c r="Q1391" s="116">
        <v>414.5</v>
      </c>
      <c r="R1391">
        <v>11574692</v>
      </c>
    </row>
    <row r="1392" spans="1:18" x14ac:dyDescent="0.25">
      <c r="A1392" s="170">
        <v>44056</v>
      </c>
      <c r="B1392" s="116">
        <v>42.164999999999999</v>
      </c>
      <c r="C1392" s="116">
        <v>41.325000000000003</v>
      </c>
      <c r="D1392" s="116">
        <v>40.895000000000003</v>
      </c>
      <c r="E1392" s="116">
        <v>41.704999999999998</v>
      </c>
      <c r="F1392" s="116">
        <v>413.25</v>
      </c>
      <c r="G1392">
        <v>753435</v>
      </c>
      <c r="H1392" s="116"/>
      <c r="I1392" s="116"/>
      <c r="L1392" s="170">
        <v>44056</v>
      </c>
      <c r="M1392" s="116">
        <v>41.31</v>
      </c>
      <c r="N1392" s="116">
        <v>42.17</v>
      </c>
      <c r="O1392" s="116">
        <v>40.884999999999998</v>
      </c>
      <c r="P1392" s="116">
        <v>41.82</v>
      </c>
      <c r="Q1392" s="116">
        <v>413.1</v>
      </c>
      <c r="R1392">
        <v>12422203</v>
      </c>
    </row>
    <row r="1393" spans="1:18" x14ac:dyDescent="0.25">
      <c r="A1393" s="170">
        <v>44057</v>
      </c>
      <c r="B1393" s="116">
        <v>43.08</v>
      </c>
      <c r="C1393" s="116">
        <v>41.844999999999999</v>
      </c>
      <c r="D1393" s="116">
        <v>40.880000000000003</v>
      </c>
      <c r="E1393" s="116">
        <v>40.880000000000003</v>
      </c>
      <c r="F1393" s="116">
        <v>418.45</v>
      </c>
      <c r="G1393">
        <v>2482311</v>
      </c>
      <c r="H1393" s="116"/>
      <c r="I1393" s="116"/>
      <c r="L1393" s="170">
        <v>44057</v>
      </c>
      <c r="M1393" s="116">
        <v>41.85</v>
      </c>
      <c r="N1393" s="116">
        <v>43.094999999999999</v>
      </c>
      <c r="O1393" s="116">
        <v>40.909999999999997</v>
      </c>
      <c r="P1393" s="116">
        <v>41</v>
      </c>
      <c r="Q1393" s="116">
        <v>418.5</v>
      </c>
      <c r="R1393">
        <v>47742372</v>
      </c>
    </row>
    <row r="1394" spans="1:18" x14ac:dyDescent="0.25">
      <c r="A1394" s="170">
        <v>44060</v>
      </c>
      <c r="B1394" s="116">
        <v>42.9</v>
      </c>
      <c r="C1394" s="116">
        <v>42.494999999999997</v>
      </c>
      <c r="D1394" s="116">
        <v>41.42</v>
      </c>
      <c r="E1394" s="116">
        <v>41.85</v>
      </c>
      <c r="F1394" s="116">
        <v>424.95</v>
      </c>
      <c r="G1394">
        <v>713092</v>
      </c>
      <c r="H1394" s="116"/>
      <c r="I1394" s="116"/>
      <c r="L1394" s="170">
        <v>44060</v>
      </c>
      <c r="M1394" s="116">
        <v>42.505000000000003</v>
      </c>
      <c r="N1394" s="116">
        <v>42.914999999999999</v>
      </c>
      <c r="O1394" s="116">
        <v>41.424999999999997</v>
      </c>
      <c r="P1394" s="116">
        <v>41.8</v>
      </c>
      <c r="Q1394" s="116">
        <v>425.05</v>
      </c>
      <c r="R1394">
        <v>18145953</v>
      </c>
    </row>
    <row r="1395" spans="1:18" x14ac:dyDescent="0.25">
      <c r="A1395" s="170">
        <v>44061</v>
      </c>
      <c r="B1395" s="116">
        <v>43.65</v>
      </c>
      <c r="C1395" s="116">
        <v>43.475000000000001</v>
      </c>
      <c r="D1395" s="116">
        <v>41.99</v>
      </c>
      <c r="E1395" s="116">
        <v>42.21</v>
      </c>
      <c r="F1395" s="116">
        <v>434.75</v>
      </c>
      <c r="G1395">
        <v>719096</v>
      </c>
      <c r="H1395" s="116"/>
      <c r="I1395" s="116"/>
      <c r="L1395" s="170">
        <v>44061</v>
      </c>
      <c r="M1395" s="116">
        <v>43.45</v>
      </c>
      <c r="N1395" s="116">
        <v>43.68</v>
      </c>
      <c r="O1395" s="116">
        <v>41.97</v>
      </c>
      <c r="P1395" s="116">
        <v>42.164999999999999</v>
      </c>
      <c r="Q1395" s="116">
        <v>434.5</v>
      </c>
      <c r="R1395">
        <v>17342261</v>
      </c>
    </row>
    <row r="1396" spans="1:18" x14ac:dyDescent="0.25">
      <c r="A1396" s="170">
        <v>44062</v>
      </c>
      <c r="B1396" s="116">
        <v>43.55</v>
      </c>
      <c r="C1396" s="116">
        <v>43.18</v>
      </c>
      <c r="D1396" s="116">
        <v>42.9</v>
      </c>
      <c r="E1396" s="116">
        <v>43.5</v>
      </c>
      <c r="F1396" s="116">
        <v>431.8</v>
      </c>
      <c r="G1396">
        <v>561788</v>
      </c>
      <c r="H1396" s="116"/>
      <c r="I1396" s="116"/>
      <c r="L1396" s="170">
        <v>44062</v>
      </c>
      <c r="M1396" s="116">
        <v>43.17</v>
      </c>
      <c r="N1396" s="116">
        <v>43.555</v>
      </c>
      <c r="O1396" s="116">
        <v>42.884999999999998</v>
      </c>
      <c r="P1396" s="116">
        <v>43.45</v>
      </c>
      <c r="Q1396" s="116">
        <v>431.7</v>
      </c>
      <c r="R1396">
        <v>11843731</v>
      </c>
    </row>
    <row r="1397" spans="1:18" x14ac:dyDescent="0.25">
      <c r="A1397" s="170">
        <v>44063</v>
      </c>
      <c r="B1397" s="116">
        <v>43.825000000000003</v>
      </c>
      <c r="C1397" s="116">
        <v>43.24</v>
      </c>
      <c r="D1397" s="116">
        <v>42.305</v>
      </c>
      <c r="E1397" s="116">
        <v>42.5</v>
      </c>
      <c r="F1397" s="116">
        <v>432.4</v>
      </c>
      <c r="G1397">
        <v>663819</v>
      </c>
      <c r="H1397" s="116"/>
      <c r="I1397" s="116"/>
      <c r="L1397" s="170">
        <v>44063</v>
      </c>
      <c r="M1397" s="116">
        <v>43.26</v>
      </c>
      <c r="N1397" s="116">
        <v>43.83</v>
      </c>
      <c r="O1397" s="116">
        <v>42.305</v>
      </c>
      <c r="P1397" s="116">
        <v>42.5</v>
      </c>
      <c r="Q1397" s="116">
        <v>432.6</v>
      </c>
      <c r="R1397">
        <v>15846609</v>
      </c>
    </row>
    <row r="1398" spans="1:18" x14ac:dyDescent="0.25">
      <c r="A1398" s="170">
        <v>44064</v>
      </c>
      <c r="B1398" s="116">
        <v>44.2</v>
      </c>
      <c r="C1398" s="116">
        <v>42.89</v>
      </c>
      <c r="D1398" s="116">
        <v>42.66</v>
      </c>
      <c r="E1398" s="116">
        <v>43.67</v>
      </c>
      <c r="F1398" s="116">
        <v>428.9</v>
      </c>
      <c r="G1398">
        <v>593352</v>
      </c>
      <c r="H1398" s="116"/>
      <c r="I1398" s="116"/>
      <c r="L1398" s="170">
        <v>44064</v>
      </c>
      <c r="M1398" s="116">
        <v>42.884999999999998</v>
      </c>
      <c r="N1398" s="116">
        <v>44.2</v>
      </c>
      <c r="O1398" s="116">
        <v>42.655000000000001</v>
      </c>
      <c r="P1398" s="116">
        <v>43.575000000000003</v>
      </c>
      <c r="Q1398" s="116">
        <v>428.85</v>
      </c>
      <c r="R1398">
        <v>13482327</v>
      </c>
    </row>
    <row r="1399" spans="1:18" x14ac:dyDescent="0.25">
      <c r="A1399" s="170">
        <v>44067</v>
      </c>
      <c r="B1399" s="116">
        <v>43.75</v>
      </c>
      <c r="C1399" s="116">
        <v>42.945</v>
      </c>
      <c r="D1399" s="116">
        <v>42.805</v>
      </c>
      <c r="E1399" s="116">
        <v>43.155000000000001</v>
      </c>
      <c r="F1399" s="116">
        <v>429.45</v>
      </c>
      <c r="G1399">
        <v>378347</v>
      </c>
      <c r="H1399" s="116"/>
      <c r="I1399" s="116"/>
      <c r="L1399" s="170">
        <v>44067</v>
      </c>
      <c r="M1399" s="116">
        <v>42.95</v>
      </c>
      <c r="N1399" s="116">
        <v>43.774999999999999</v>
      </c>
      <c r="O1399" s="116">
        <v>42.81</v>
      </c>
      <c r="P1399" s="116">
        <v>43.36</v>
      </c>
      <c r="Q1399" s="116">
        <v>429.5</v>
      </c>
      <c r="R1399">
        <v>9093889</v>
      </c>
    </row>
    <row r="1400" spans="1:18" x14ac:dyDescent="0.25">
      <c r="A1400" s="170">
        <v>44068</v>
      </c>
      <c r="B1400" s="116">
        <v>43.25</v>
      </c>
      <c r="C1400" s="116">
        <v>42.405000000000001</v>
      </c>
      <c r="D1400" s="116">
        <v>42.15</v>
      </c>
      <c r="E1400" s="116">
        <v>43.06</v>
      </c>
      <c r="F1400" s="116">
        <v>424.05</v>
      </c>
      <c r="G1400">
        <v>358584</v>
      </c>
      <c r="H1400" s="116"/>
      <c r="I1400" s="116"/>
      <c r="L1400" s="170">
        <v>44068</v>
      </c>
      <c r="M1400" s="116">
        <v>42.4</v>
      </c>
      <c r="N1400" s="116">
        <v>43.265000000000001</v>
      </c>
      <c r="O1400" s="116">
        <v>42.145000000000003</v>
      </c>
      <c r="P1400" s="116">
        <v>43.2</v>
      </c>
      <c r="Q1400" s="116">
        <v>424</v>
      </c>
      <c r="R1400">
        <v>10554484</v>
      </c>
    </row>
    <row r="1401" spans="1:18" x14ac:dyDescent="0.25">
      <c r="A1401" s="170">
        <v>44069</v>
      </c>
      <c r="B1401" s="116">
        <v>42.755000000000003</v>
      </c>
      <c r="C1401" s="116">
        <v>42.494999999999997</v>
      </c>
      <c r="D1401" s="116">
        <v>42.215000000000003</v>
      </c>
      <c r="E1401" s="116">
        <v>42.49</v>
      </c>
      <c r="F1401" s="116">
        <v>424.95</v>
      </c>
      <c r="G1401">
        <v>293407</v>
      </c>
      <c r="H1401" s="116"/>
      <c r="I1401" s="116"/>
      <c r="L1401" s="170">
        <v>44069</v>
      </c>
      <c r="M1401" s="116">
        <v>42.5</v>
      </c>
      <c r="N1401" s="116">
        <v>42.774999999999999</v>
      </c>
      <c r="O1401" s="116">
        <v>42.22</v>
      </c>
      <c r="P1401" s="116">
        <v>42.5</v>
      </c>
      <c r="Q1401" s="116">
        <v>425</v>
      </c>
      <c r="R1401">
        <v>7957164</v>
      </c>
    </row>
    <row r="1402" spans="1:18" x14ac:dyDescent="0.25">
      <c r="A1402" s="170">
        <v>44070</v>
      </c>
      <c r="B1402" s="116">
        <v>43.02</v>
      </c>
      <c r="C1402" s="116">
        <v>42.685000000000002</v>
      </c>
      <c r="D1402" s="116">
        <v>42.31</v>
      </c>
      <c r="E1402" s="116">
        <v>42.51</v>
      </c>
      <c r="F1402" s="116">
        <v>426.85</v>
      </c>
      <c r="G1402">
        <v>277459</v>
      </c>
      <c r="H1402" s="116"/>
      <c r="I1402" s="116"/>
      <c r="L1402" s="170">
        <v>44070</v>
      </c>
      <c r="M1402" s="116">
        <v>42.685000000000002</v>
      </c>
      <c r="N1402" s="116">
        <v>43.02</v>
      </c>
      <c r="O1402" s="116">
        <v>42.3</v>
      </c>
      <c r="P1402" s="116">
        <v>42.55</v>
      </c>
      <c r="Q1402" s="116">
        <v>426.85</v>
      </c>
      <c r="R1402">
        <v>9549716</v>
      </c>
    </row>
    <row r="1403" spans="1:18" x14ac:dyDescent="0.25">
      <c r="A1403" s="170">
        <v>44071</v>
      </c>
      <c r="B1403" s="116">
        <v>43.79</v>
      </c>
      <c r="C1403" s="116">
        <v>42.41</v>
      </c>
      <c r="D1403" s="116">
        <v>42.31</v>
      </c>
      <c r="E1403" s="116">
        <v>42.98</v>
      </c>
      <c r="F1403" s="116">
        <v>424.1</v>
      </c>
      <c r="G1403">
        <v>765073</v>
      </c>
      <c r="H1403" s="116"/>
      <c r="I1403" s="116"/>
      <c r="L1403" s="170">
        <v>44071</v>
      </c>
      <c r="M1403" s="116">
        <v>42.42</v>
      </c>
      <c r="N1403" s="116">
        <v>43.8</v>
      </c>
      <c r="O1403" s="116">
        <v>42.305</v>
      </c>
      <c r="P1403" s="116">
        <v>42.965000000000003</v>
      </c>
      <c r="Q1403" s="116">
        <v>424.2</v>
      </c>
      <c r="R1403">
        <v>15212017</v>
      </c>
    </row>
    <row r="1404" spans="1:18" x14ac:dyDescent="0.25">
      <c r="A1404" s="170">
        <v>44074</v>
      </c>
      <c r="B1404" s="116">
        <v>43.005000000000003</v>
      </c>
      <c r="C1404" s="116">
        <v>41.32</v>
      </c>
      <c r="D1404" s="116">
        <v>41.05</v>
      </c>
      <c r="E1404" s="116">
        <v>42.61</v>
      </c>
      <c r="F1404" s="116">
        <v>413.2</v>
      </c>
      <c r="G1404">
        <v>531909</v>
      </c>
      <c r="H1404" s="116"/>
      <c r="I1404" s="116"/>
      <c r="L1404" s="170">
        <v>44074</v>
      </c>
      <c r="M1404" s="116">
        <v>41.3</v>
      </c>
      <c r="N1404" s="116">
        <v>43.015000000000001</v>
      </c>
      <c r="O1404" s="116">
        <v>41</v>
      </c>
      <c r="P1404" s="116">
        <v>42.65</v>
      </c>
      <c r="Q1404" s="116">
        <v>413</v>
      </c>
      <c r="R1404">
        <v>15746139</v>
      </c>
    </row>
    <row r="1405" spans="1:18" x14ac:dyDescent="0.25">
      <c r="A1405" s="170">
        <v>44075</v>
      </c>
      <c r="B1405" s="116">
        <v>43.24</v>
      </c>
      <c r="C1405" s="116">
        <v>42.9</v>
      </c>
      <c r="D1405" s="116">
        <v>41.2</v>
      </c>
      <c r="E1405" s="116">
        <v>41.3</v>
      </c>
      <c r="F1405" s="116">
        <v>429</v>
      </c>
      <c r="G1405">
        <v>645336</v>
      </c>
      <c r="H1405" s="116"/>
      <c r="I1405" s="116"/>
      <c r="L1405" s="170">
        <v>44075</v>
      </c>
      <c r="M1405" s="116">
        <v>42.865000000000002</v>
      </c>
      <c r="N1405" s="116">
        <v>43.27</v>
      </c>
      <c r="O1405" s="116">
        <v>41.195</v>
      </c>
      <c r="P1405" s="116">
        <v>41.39</v>
      </c>
      <c r="Q1405" s="116">
        <v>428.65</v>
      </c>
      <c r="R1405">
        <v>14072848</v>
      </c>
    </row>
    <row r="1406" spans="1:18" x14ac:dyDescent="0.25">
      <c r="A1406" s="170">
        <v>44076</v>
      </c>
      <c r="B1406" s="116">
        <v>44.155000000000001</v>
      </c>
      <c r="C1406" s="116">
        <v>43.884999999999998</v>
      </c>
      <c r="D1406" s="116">
        <v>42.715000000000003</v>
      </c>
      <c r="E1406" s="116">
        <v>42.9</v>
      </c>
      <c r="F1406" s="116">
        <v>438.85</v>
      </c>
      <c r="G1406">
        <v>539290</v>
      </c>
      <c r="H1406" s="116"/>
      <c r="I1406" s="116"/>
      <c r="L1406" s="170">
        <v>44076</v>
      </c>
      <c r="M1406" s="116">
        <v>43.865000000000002</v>
      </c>
      <c r="N1406" s="116">
        <v>44.17</v>
      </c>
      <c r="O1406" s="116">
        <v>42.71</v>
      </c>
      <c r="P1406" s="116">
        <v>43.005000000000003</v>
      </c>
      <c r="Q1406" s="116">
        <v>438.65</v>
      </c>
      <c r="R1406">
        <v>11739341</v>
      </c>
    </row>
    <row r="1407" spans="1:18" x14ac:dyDescent="0.25">
      <c r="A1407" s="170">
        <v>44077</v>
      </c>
      <c r="B1407" s="116">
        <v>44.375</v>
      </c>
      <c r="C1407" s="116">
        <v>43.784999999999997</v>
      </c>
      <c r="D1407" s="116">
        <v>43.6</v>
      </c>
      <c r="E1407" s="116">
        <v>44.164999999999999</v>
      </c>
      <c r="F1407" s="116">
        <v>437.85</v>
      </c>
      <c r="G1407">
        <v>336792</v>
      </c>
      <c r="H1407" s="116"/>
      <c r="I1407" s="116"/>
      <c r="L1407" s="170">
        <v>44077</v>
      </c>
      <c r="M1407" s="116">
        <v>43.81</v>
      </c>
      <c r="N1407" s="116">
        <v>44.365000000000002</v>
      </c>
      <c r="O1407" s="116">
        <v>43.59</v>
      </c>
      <c r="P1407" s="116">
        <v>44.25</v>
      </c>
      <c r="Q1407" s="116">
        <v>438.1</v>
      </c>
      <c r="R1407">
        <v>10214289</v>
      </c>
    </row>
    <row r="1408" spans="1:18" x14ac:dyDescent="0.25">
      <c r="A1408" s="170">
        <v>44078</v>
      </c>
      <c r="B1408" s="116">
        <v>43.375</v>
      </c>
      <c r="C1408" s="116">
        <v>42.13</v>
      </c>
      <c r="D1408" s="116">
        <v>41.914999999999999</v>
      </c>
      <c r="E1408" s="116">
        <v>42.704999999999998</v>
      </c>
      <c r="F1408" s="116">
        <v>421.3</v>
      </c>
      <c r="G1408">
        <v>357146</v>
      </c>
      <c r="H1408" s="116"/>
      <c r="I1408" s="116"/>
      <c r="L1408" s="170">
        <v>44078</v>
      </c>
      <c r="M1408" s="116">
        <v>42.13</v>
      </c>
      <c r="N1408" s="116">
        <v>43.395000000000003</v>
      </c>
      <c r="O1408" s="116">
        <v>41.9</v>
      </c>
      <c r="P1408" s="116">
        <v>42.81</v>
      </c>
      <c r="Q1408" s="116">
        <v>421.3</v>
      </c>
      <c r="R1408">
        <v>10530674</v>
      </c>
    </row>
    <row r="1409" spans="1:18" x14ac:dyDescent="0.25">
      <c r="A1409" s="170">
        <v>44081</v>
      </c>
      <c r="B1409" s="116">
        <v>42.825000000000003</v>
      </c>
      <c r="C1409" s="116">
        <v>42.24</v>
      </c>
      <c r="D1409" s="116">
        <v>41.854999999999997</v>
      </c>
      <c r="E1409" s="116">
        <v>42.55</v>
      </c>
      <c r="F1409" s="116">
        <v>422.4</v>
      </c>
      <c r="G1409">
        <v>254347</v>
      </c>
      <c r="H1409" s="116"/>
      <c r="I1409" s="116"/>
      <c r="L1409" s="170">
        <v>44081</v>
      </c>
      <c r="M1409" s="116">
        <v>42.25</v>
      </c>
      <c r="N1409" s="116">
        <v>42.84</v>
      </c>
      <c r="O1409" s="116">
        <v>41.844999999999999</v>
      </c>
      <c r="P1409" s="116">
        <v>42.37</v>
      </c>
      <c r="Q1409" s="116">
        <v>422.5</v>
      </c>
      <c r="R1409">
        <v>9628406</v>
      </c>
    </row>
    <row r="1410" spans="1:18" x14ac:dyDescent="0.25">
      <c r="A1410" s="170">
        <v>44082</v>
      </c>
      <c r="B1410" s="116">
        <v>42.545000000000002</v>
      </c>
      <c r="C1410" s="116">
        <v>40.494999999999997</v>
      </c>
      <c r="D1410" s="116">
        <v>40.229999999999997</v>
      </c>
      <c r="E1410" s="116">
        <v>42.5</v>
      </c>
      <c r="F1410" s="116">
        <v>404.95</v>
      </c>
      <c r="G1410">
        <v>395790</v>
      </c>
      <c r="H1410" s="116"/>
      <c r="I1410" s="116"/>
      <c r="L1410" s="170">
        <v>44082</v>
      </c>
      <c r="M1410" s="116">
        <v>40.51</v>
      </c>
      <c r="N1410" s="116">
        <v>42.575000000000003</v>
      </c>
      <c r="O1410" s="116">
        <v>40.26</v>
      </c>
      <c r="P1410" s="116">
        <v>42.575000000000003</v>
      </c>
      <c r="Q1410" s="116">
        <v>405.1</v>
      </c>
      <c r="R1410">
        <v>11637370</v>
      </c>
    </row>
    <row r="1411" spans="1:18" x14ac:dyDescent="0.25">
      <c r="A1411" s="170">
        <v>44083</v>
      </c>
      <c r="B1411" s="116">
        <v>42</v>
      </c>
      <c r="C1411" s="116">
        <v>41.725000000000001</v>
      </c>
      <c r="D1411" s="116">
        <v>38.67</v>
      </c>
      <c r="E1411" s="116">
        <v>39.774999999999999</v>
      </c>
      <c r="F1411" s="116">
        <v>417.25</v>
      </c>
      <c r="G1411">
        <v>1213414</v>
      </c>
      <c r="H1411" s="116"/>
      <c r="I1411" s="116"/>
      <c r="L1411" s="170">
        <v>44083</v>
      </c>
      <c r="M1411" s="116">
        <v>41.74</v>
      </c>
      <c r="N1411" s="116">
        <v>42.015000000000001</v>
      </c>
      <c r="O1411" s="116">
        <v>38.65</v>
      </c>
      <c r="P1411" s="116">
        <v>39.880000000000003</v>
      </c>
      <c r="Q1411" s="116">
        <v>417.4</v>
      </c>
      <c r="R1411">
        <v>31999875</v>
      </c>
    </row>
    <row r="1412" spans="1:18" x14ac:dyDescent="0.25">
      <c r="A1412" s="170">
        <v>44084</v>
      </c>
      <c r="B1412" s="116">
        <v>42.564999999999998</v>
      </c>
      <c r="C1412" s="116">
        <v>40.79</v>
      </c>
      <c r="D1412" s="116">
        <v>40.125</v>
      </c>
      <c r="E1412" s="116">
        <v>42.4</v>
      </c>
      <c r="F1412" s="116">
        <v>407.9</v>
      </c>
      <c r="G1412">
        <v>844430</v>
      </c>
      <c r="H1412" s="116"/>
      <c r="I1412" s="116"/>
      <c r="L1412" s="170">
        <v>44084</v>
      </c>
      <c r="M1412" s="116">
        <v>40.799999999999997</v>
      </c>
      <c r="N1412" s="116">
        <v>42.59</v>
      </c>
      <c r="O1412" s="116">
        <v>40.11</v>
      </c>
      <c r="P1412" s="116">
        <v>42.4</v>
      </c>
      <c r="Q1412" s="116">
        <v>408</v>
      </c>
      <c r="R1412">
        <v>22920783</v>
      </c>
    </row>
    <row r="1413" spans="1:18" x14ac:dyDescent="0.25">
      <c r="A1413" s="170">
        <v>44085</v>
      </c>
      <c r="B1413" s="116">
        <v>41.23</v>
      </c>
      <c r="C1413" s="116">
        <v>40.74</v>
      </c>
      <c r="D1413" s="116">
        <v>40.26</v>
      </c>
      <c r="E1413" s="116">
        <v>40.994999999999997</v>
      </c>
      <c r="F1413" s="116">
        <v>407.4</v>
      </c>
      <c r="G1413">
        <v>335581</v>
      </c>
      <c r="H1413" s="116"/>
      <c r="I1413" s="116"/>
      <c r="L1413" s="170">
        <v>44085</v>
      </c>
      <c r="M1413" s="116">
        <v>40.75</v>
      </c>
      <c r="N1413" s="116">
        <v>41.265000000000001</v>
      </c>
      <c r="O1413" s="116">
        <v>40.25</v>
      </c>
      <c r="P1413" s="116">
        <v>40.875</v>
      </c>
      <c r="Q1413" s="116">
        <v>407.5</v>
      </c>
      <c r="R1413">
        <v>13687127</v>
      </c>
    </row>
    <row r="1414" spans="1:18" x14ac:dyDescent="0.25">
      <c r="A1414" s="170">
        <v>44088</v>
      </c>
      <c r="B1414" s="116">
        <v>41.4</v>
      </c>
      <c r="C1414" s="116">
        <v>40.42</v>
      </c>
      <c r="D1414" s="116">
        <v>40.229999999999997</v>
      </c>
      <c r="E1414" s="116">
        <v>40.905000000000001</v>
      </c>
      <c r="F1414" s="116">
        <v>404.2</v>
      </c>
      <c r="G1414">
        <v>332591</v>
      </c>
      <c r="H1414" s="116"/>
      <c r="I1414" s="116"/>
      <c r="L1414" s="170">
        <v>44088</v>
      </c>
      <c r="M1414" s="116">
        <v>40.465000000000003</v>
      </c>
      <c r="N1414" s="116">
        <v>41.41</v>
      </c>
      <c r="O1414" s="116">
        <v>40.215000000000003</v>
      </c>
      <c r="P1414" s="116">
        <v>41</v>
      </c>
      <c r="Q1414" s="116">
        <v>404.65</v>
      </c>
      <c r="R1414">
        <v>12331121</v>
      </c>
    </row>
    <row r="1415" spans="1:18" x14ac:dyDescent="0.25">
      <c r="A1415" s="170">
        <v>44089</v>
      </c>
      <c r="B1415" s="116">
        <v>41.03</v>
      </c>
      <c r="C1415" s="116">
        <v>40.524999999999999</v>
      </c>
      <c r="D1415" s="116">
        <v>40.369999999999997</v>
      </c>
      <c r="E1415" s="116">
        <v>40.700000000000003</v>
      </c>
      <c r="F1415" s="116">
        <v>405.25</v>
      </c>
      <c r="G1415">
        <v>354440</v>
      </c>
      <c r="H1415" s="116"/>
      <c r="I1415" s="116"/>
      <c r="L1415" s="170">
        <v>44089</v>
      </c>
      <c r="M1415" s="116">
        <v>40.524999999999999</v>
      </c>
      <c r="N1415" s="116">
        <v>41.055</v>
      </c>
      <c r="O1415" s="116">
        <v>40.354999999999997</v>
      </c>
      <c r="P1415" s="116">
        <v>40.700000000000003</v>
      </c>
      <c r="Q1415" s="116">
        <v>405.25</v>
      </c>
      <c r="R1415">
        <v>9132749</v>
      </c>
    </row>
    <row r="1416" spans="1:18" x14ac:dyDescent="0.25">
      <c r="A1416" s="170">
        <v>44090</v>
      </c>
      <c r="B1416" s="116">
        <v>41</v>
      </c>
      <c r="C1416" s="116">
        <v>40.454999999999998</v>
      </c>
      <c r="D1416" s="116">
        <v>40.26</v>
      </c>
      <c r="E1416" s="116">
        <v>40.69</v>
      </c>
      <c r="F1416" s="116">
        <v>404.55</v>
      </c>
      <c r="G1416">
        <v>197394</v>
      </c>
      <c r="H1416" s="116"/>
      <c r="I1416" s="116"/>
      <c r="L1416" s="170">
        <v>44090</v>
      </c>
      <c r="M1416" s="116">
        <v>40.46</v>
      </c>
      <c r="N1416" s="116">
        <v>41</v>
      </c>
      <c r="O1416" s="116">
        <v>40.270000000000003</v>
      </c>
      <c r="P1416" s="116">
        <v>40.645000000000003</v>
      </c>
      <c r="Q1416" s="116">
        <v>404.6</v>
      </c>
      <c r="R1416">
        <v>9987412</v>
      </c>
    </row>
    <row r="1417" spans="1:18" x14ac:dyDescent="0.25">
      <c r="A1417" s="170">
        <v>44091</v>
      </c>
      <c r="B1417" s="116">
        <v>40.74</v>
      </c>
      <c r="C1417" s="116">
        <v>39.869999999999997</v>
      </c>
      <c r="D1417" s="116">
        <v>39.340000000000003</v>
      </c>
      <c r="E1417" s="116">
        <v>40.4</v>
      </c>
      <c r="F1417" s="116">
        <v>398.7</v>
      </c>
      <c r="G1417">
        <v>374567</v>
      </c>
      <c r="H1417" s="116"/>
      <c r="I1417" s="116"/>
      <c r="L1417" s="170">
        <v>44091</v>
      </c>
      <c r="M1417" s="116">
        <v>39.869999999999997</v>
      </c>
      <c r="N1417" s="116">
        <v>40.75</v>
      </c>
      <c r="O1417" s="116">
        <v>39.32</v>
      </c>
      <c r="P1417" s="116">
        <v>40.195</v>
      </c>
      <c r="Q1417" s="116">
        <v>398.7</v>
      </c>
      <c r="R1417">
        <v>14808022</v>
      </c>
    </row>
    <row r="1418" spans="1:18" x14ac:dyDescent="0.25">
      <c r="A1418" s="170">
        <v>44092</v>
      </c>
      <c r="B1418" s="116">
        <v>40.549999999999997</v>
      </c>
      <c r="C1418" s="116">
        <v>39.53</v>
      </c>
      <c r="D1418" s="116">
        <v>39.344999999999999</v>
      </c>
      <c r="E1418" s="116">
        <v>40.200000000000003</v>
      </c>
      <c r="F1418" s="116">
        <v>395.3</v>
      </c>
      <c r="G1418">
        <v>464063</v>
      </c>
      <c r="H1418" s="116"/>
      <c r="I1418" s="116"/>
      <c r="L1418" s="170">
        <v>44092</v>
      </c>
      <c r="M1418" s="116">
        <v>39.549999999999997</v>
      </c>
      <c r="N1418" s="116">
        <v>40.564999999999998</v>
      </c>
      <c r="O1418" s="116">
        <v>39.340000000000003</v>
      </c>
      <c r="P1418" s="116">
        <v>40.21</v>
      </c>
      <c r="Q1418" s="116">
        <v>395.5</v>
      </c>
      <c r="R1418">
        <v>16842244</v>
      </c>
    </row>
    <row r="1419" spans="1:18" x14ac:dyDescent="0.25">
      <c r="A1419" s="170">
        <v>44095</v>
      </c>
      <c r="B1419" s="116">
        <v>39.9</v>
      </c>
      <c r="C1419" s="116">
        <v>37.325000000000003</v>
      </c>
      <c r="D1419" s="116">
        <v>37.1</v>
      </c>
      <c r="E1419" s="116">
        <v>39.524999999999999</v>
      </c>
      <c r="F1419" s="116">
        <v>373.25</v>
      </c>
      <c r="G1419">
        <v>503820</v>
      </c>
      <c r="H1419" s="116"/>
      <c r="I1419" s="116"/>
      <c r="L1419" s="170">
        <v>44095</v>
      </c>
      <c r="M1419" s="116">
        <v>37.340000000000003</v>
      </c>
      <c r="N1419" s="116">
        <v>39.92</v>
      </c>
      <c r="O1419" s="116">
        <v>37.1</v>
      </c>
      <c r="P1419" s="116">
        <v>39.6</v>
      </c>
      <c r="Q1419" s="116">
        <v>373.4</v>
      </c>
      <c r="R1419">
        <v>14138761</v>
      </c>
    </row>
    <row r="1420" spans="1:18" x14ac:dyDescent="0.25">
      <c r="A1420" s="170">
        <v>44096</v>
      </c>
      <c r="B1420" s="116">
        <v>37.865000000000002</v>
      </c>
      <c r="C1420" s="116">
        <v>37.42</v>
      </c>
      <c r="D1420" s="116">
        <v>35.82</v>
      </c>
      <c r="E1420" s="116">
        <v>37.49</v>
      </c>
      <c r="F1420" s="116">
        <v>374.2</v>
      </c>
      <c r="G1420">
        <v>602269</v>
      </c>
      <c r="H1420" s="116"/>
      <c r="I1420" s="116"/>
      <c r="L1420" s="170">
        <v>44096</v>
      </c>
      <c r="M1420" s="116">
        <v>37.414999999999999</v>
      </c>
      <c r="N1420" s="116">
        <v>37.85</v>
      </c>
      <c r="O1420" s="116">
        <v>35.82</v>
      </c>
      <c r="P1420" s="116">
        <v>37.4</v>
      </c>
      <c r="Q1420" s="116">
        <v>374.15</v>
      </c>
      <c r="R1420">
        <v>22013027</v>
      </c>
    </row>
    <row r="1421" spans="1:18" x14ac:dyDescent="0.25">
      <c r="A1421" s="170">
        <v>44097</v>
      </c>
      <c r="B1421" s="116">
        <v>37.755000000000003</v>
      </c>
      <c r="C1421" s="116">
        <v>36.125</v>
      </c>
      <c r="D1421" s="116">
        <v>35.67</v>
      </c>
      <c r="E1421" s="116">
        <v>37.6</v>
      </c>
      <c r="F1421" s="116">
        <v>361.25</v>
      </c>
      <c r="G1421">
        <v>670525</v>
      </c>
      <c r="H1421" s="116"/>
      <c r="I1421" s="116"/>
      <c r="L1421" s="170">
        <v>44097</v>
      </c>
      <c r="M1421" s="116">
        <v>36.130000000000003</v>
      </c>
      <c r="N1421" s="116">
        <v>37.799999999999997</v>
      </c>
      <c r="O1421" s="116">
        <v>35.645000000000003</v>
      </c>
      <c r="P1421" s="116">
        <v>37.700000000000003</v>
      </c>
      <c r="Q1421" s="116">
        <v>361.3</v>
      </c>
      <c r="R1421">
        <v>16984600</v>
      </c>
    </row>
    <row r="1422" spans="1:18" x14ac:dyDescent="0.25">
      <c r="A1422" s="170">
        <v>44098</v>
      </c>
      <c r="B1422" s="116">
        <v>35.9</v>
      </c>
      <c r="C1422" s="116">
        <v>34.384999999999998</v>
      </c>
      <c r="D1422" s="116">
        <v>34.299999999999997</v>
      </c>
      <c r="E1422" s="116">
        <v>35.9</v>
      </c>
      <c r="F1422" s="116">
        <v>343.85</v>
      </c>
      <c r="G1422">
        <v>380250</v>
      </c>
      <c r="H1422" s="116"/>
      <c r="I1422" s="116"/>
      <c r="L1422" s="170">
        <v>44098</v>
      </c>
      <c r="M1422" s="116">
        <v>34.39</v>
      </c>
      <c r="N1422" s="116">
        <v>35.725000000000001</v>
      </c>
      <c r="O1422" s="116">
        <v>34.274999999999999</v>
      </c>
      <c r="P1422" s="116">
        <v>35.68</v>
      </c>
      <c r="Q1422" s="116">
        <v>343.9</v>
      </c>
      <c r="R1422">
        <v>12495840</v>
      </c>
    </row>
    <row r="1423" spans="1:18" x14ac:dyDescent="0.25">
      <c r="A1423" s="170">
        <v>44099</v>
      </c>
      <c r="B1423" s="116">
        <v>35.58</v>
      </c>
      <c r="C1423" s="116">
        <v>35.19</v>
      </c>
      <c r="D1423" s="116">
        <v>34.44</v>
      </c>
      <c r="E1423" s="116">
        <v>34.895000000000003</v>
      </c>
      <c r="F1423" s="116">
        <v>351.9</v>
      </c>
      <c r="G1423">
        <v>315688</v>
      </c>
      <c r="H1423" s="116"/>
      <c r="I1423" s="116"/>
      <c r="L1423" s="170">
        <v>44099</v>
      </c>
      <c r="M1423" s="116">
        <v>35.21</v>
      </c>
      <c r="N1423" s="116">
        <v>35.56</v>
      </c>
      <c r="O1423" s="116">
        <v>34.42</v>
      </c>
      <c r="P1423" s="116">
        <v>34.799999999999997</v>
      </c>
      <c r="Q1423" s="116">
        <v>352.1</v>
      </c>
      <c r="R1423">
        <v>12242576</v>
      </c>
    </row>
    <row r="1424" spans="1:18" x14ac:dyDescent="0.25">
      <c r="A1424" s="170">
        <v>44102</v>
      </c>
      <c r="B1424" s="116">
        <v>36.484999999999999</v>
      </c>
      <c r="C1424" s="116">
        <v>36.094999999999999</v>
      </c>
      <c r="D1424" s="116">
        <v>35.6</v>
      </c>
      <c r="E1424" s="116">
        <v>35.9</v>
      </c>
      <c r="F1424" s="116">
        <v>360.95</v>
      </c>
      <c r="G1424">
        <v>374892</v>
      </c>
      <c r="H1424" s="116"/>
      <c r="I1424" s="116"/>
      <c r="L1424" s="170">
        <v>44102</v>
      </c>
      <c r="M1424" s="116">
        <v>36.1</v>
      </c>
      <c r="N1424" s="116">
        <v>36.494999999999997</v>
      </c>
      <c r="O1424" s="116">
        <v>35.564999999999998</v>
      </c>
      <c r="P1424" s="116">
        <v>35.994999999999997</v>
      </c>
      <c r="Q1424" s="116">
        <v>361</v>
      </c>
      <c r="R1424">
        <v>12270478</v>
      </c>
    </row>
    <row r="1425" spans="1:18" x14ac:dyDescent="0.25">
      <c r="A1425" s="170">
        <v>44103</v>
      </c>
      <c r="B1425" s="116">
        <v>37.159999999999997</v>
      </c>
      <c r="C1425" s="116">
        <v>37</v>
      </c>
      <c r="D1425" s="116">
        <v>36.18</v>
      </c>
      <c r="E1425" s="116">
        <v>36.36</v>
      </c>
      <c r="F1425" s="116">
        <v>370</v>
      </c>
      <c r="G1425">
        <v>398966</v>
      </c>
      <c r="H1425" s="116"/>
      <c r="I1425" s="116"/>
      <c r="L1425" s="170">
        <v>44103</v>
      </c>
      <c r="M1425" s="116">
        <v>37.005000000000003</v>
      </c>
      <c r="N1425" s="116">
        <v>37.18</v>
      </c>
      <c r="O1425" s="116">
        <v>36.17</v>
      </c>
      <c r="P1425" s="116">
        <v>36.5</v>
      </c>
      <c r="Q1425" s="116">
        <v>370.05</v>
      </c>
      <c r="R1425">
        <v>17891719</v>
      </c>
    </row>
    <row r="1426" spans="1:18" x14ac:dyDescent="0.25">
      <c r="A1426" s="170">
        <v>44104</v>
      </c>
      <c r="B1426" s="116">
        <v>37.15</v>
      </c>
      <c r="C1426" s="116">
        <v>35.975000000000001</v>
      </c>
      <c r="D1426" s="116">
        <v>35.799999999999997</v>
      </c>
      <c r="E1426" s="116">
        <v>37.15</v>
      </c>
      <c r="F1426" s="116">
        <v>359.75</v>
      </c>
      <c r="G1426">
        <v>315876</v>
      </c>
      <c r="H1426" s="116"/>
      <c r="I1426" s="116"/>
      <c r="L1426" s="170">
        <v>44104</v>
      </c>
      <c r="M1426" s="116">
        <v>35.975000000000001</v>
      </c>
      <c r="N1426" s="116">
        <v>37.15</v>
      </c>
      <c r="O1426" s="116">
        <v>35.799999999999997</v>
      </c>
      <c r="P1426" s="116">
        <v>37.104999999999997</v>
      </c>
      <c r="Q1426" s="116">
        <v>359.75</v>
      </c>
      <c r="R1426">
        <v>12963784</v>
      </c>
    </row>
    <row r="1427" spans="1:18" x14ac:dyDescent="0.25">
      <c r="A1427" s="170">
        <v>44105</v>
      </c>
      <c r="B1427" s="116">
        <v>37.015000000000001</v>
      </c>
      <c r="C1427" s="116">
        <v>36.494999999999997</v>
      </c>
      <c r="D1427" s="116">
        <v>36.344999999999999</v>
      </c>
      <c r="E1427" s="116">
        <v>36.49</v>
      </c>
      <c r="F1427" s="116">
        <v>364.95</v>
      </c>
      <c r="G1427">
        <v>246292</v>
      </c>
      <c r="H1427" s="116"/>
      <c r="I1427" s="116"/>
      <c r="L1427" s="170">
        <v>44105</v>
      </c>
      <c r="M1427" s="116">
        <v>36.494999999999997</v>
      </c>
      <c r="N1427" s="116">
        <v>37.03</v>
      </c>
      <c r="O1427" s="116">
        <v>36.314999999999998</v>
      </c>
      <c r="P1427" s="116">
        <v>36.43</v>
      </c>
      <c r="Q1427" s="116">
        <v>364.95</v>
      </c>
      <c r="R1427">
        <v>9555123</v>
      </c>
    </row>
    <row r="1428" spans="1:18" x14ac:dyDescent="0.25">
      <c r="A1428" s="170">
        <v>44109</v>
      </c>
      <c r="B1428" s="116">
        <v>38.524999999999999</v>
      </c>
      <c r="C1428" s="116">
        <v>38.215000000000003</v>
      </c>
      <c r="D1428" s="116">
        <v>36.9</v>
      </c>
      <c r="E1428" s="116">
        <v>36.9</v>
      </c>
      <c r="F1428" s="116">
        <v>382.15</v>
      </c>
      <c r="G1428">
        <v>903186</v>
      </c>
      <c r="H1428" s="116"/>
      <c r="I1428" s="116"/>
      <c r="L1428" s="170">
        <v>44109</v>
      </c>
      <c r="M1428" s="116">
        <v>38.229999999999997</v>
      </c>
      <c r="N1428" s="116">
        <v>38.549999999999997</v>
      </c>
      <c r="O1428" s="116">
        <v>36.950000000000003</v>
      </c>
      <c r="P1428" s="116">
        <v>37.01</v>
      </c>
      <c r="Q1428" s="116">
        <v>382.3</v>
      </c>
      <c r="R1428">
        <v>19590635</v>
      </c>
    </row>
    <row r="1429" spans="1:18" x14ac:dyDescent="0.25">
      <c r="A1429" s="170">
        <v>44110</v>
      </c>
      <c r="B1429" s="116">
        <v>38.700000000000003</v>
      </c>
      <c r="C1429" s="116">
        <v>37.734999999999999</v>
      </c>
      <c r="D1429" s="116">
        <v>37.32</v>
      </c>
      <c r="E1429" s="116">
        <v>38.520000000000003</v>
      </c>
      <c r="F1429" s="116">
        <v>377.35</v>
      </c>
      <c r="G1429">
        <v>412136</v>
      </c>
      <c r="H1429" s="116"/>
      <c r="I1429" s="116"/>
      <c r="L1429" s="170">
        <v>44110</v>
      </c>
      <c r="M1429" s="116">
        <v>37.74</v>
      </c>
      <c r="N1429" s="116">
        <v>38.725000000000001</v>
      </c>
      <c r="O1429" s="116">
        <v>37.31</v>
      </c>
      <c r="P1429" s="116">
        <v>38.68</v>
      </c>
      <c r="Q1429" s="116">
        <v>377.4</v>
      </c>
      <c r="R1429">
        <v>14286376</v>
      </c>
    </row>
    <row r="1430" spans="1:18" x14ac:dyDescent="0.25">
      <c r="A1430" s="170">
        <v>44111</v>
      </c>
      <c r="B1430" s="116">
        <v>37.905000000000001</v>
      </c>
      <c r="C1430" s="116">
        <v>37.08</v>
      </c>
      <c r="D1430" s="116">
        <v>36.97</v>
      </c>
      <c r="E1430" s="116">
        <v>37.85</v>
      </c>
      <c r="F1430" s="116">
        <v>370.8</v>
      </c>
      <c r="G1430">
        <v>197097</v>
      </c>
      <c r="H1430" s="116"/>
      <c r="I1430" s="116"/>
      <c r="L1430" s="170">
        <v>44111</v>
      </c>
      <c r="M1430" s="116">
        <v>37.11</v>
      </c>
      <c r="N1430" s="116">
        <v>37.93</v>
      </c>
      <c r="O1430" s="116">
        <v>37</v>
      </c>
      <c r="P1430" s="116">
        <v>37.6</v>
      </c>
      <c r="Q1430" s="116">
        <v>371.1</v>
      </c>
      <c r="R1430">
        <v>9694124</v>
      </c>
    </row>
    <row r="1431" spans="1:18" x14ac:dyDescent="0.25">
      <c r="A1431" s="170">
        <v>44112</v>
      </c>
      <c r="B1431" s="116">
        <v>38.29</v>
      </c>
      <c r="C1431" s="116">
        <v>37.354999999999997</v>
      </c>
      <c r="D1431" s="116">
        <v>37.19</v>
      </c>
      <c r="E1431" s="116">
        <v>37.225000000000001</v>
      </c>
      <c r="F1431" s="116">
        <v>373.55</v>
      </c>
      <c r="G1431">
        <v>368782</v>
      </c>
      <c r="H1431" s="116"/>
      <c r="I1431" s="116"/>
      <c r="L1431" s="170">
        <v>44112</v>
      </c>
      <c r="M1431" s="116">
        <v>37.365000000000002</v>
      </c>
      <c r="N1431" s="116">
        <v>38.299999999999997</v>
      </c>
      <c r="O1431" s="116">
        <v>37.17</v>
      </c>
      <c r="P1431" s="116">
        <v>37.445</v>
      </c>
      <c r="Q1431" s="116">
        <v>373.65</v>
      </c>
      <c r="R1431">
        <v>14111169</v>
      </c>
    </row>
    <row r="1432" spans="1:18" x14ac:dyDescent="0.25">
      <c r="A1432" s="170">
        <v>44113</v>
      </c>
      <c r="B1432" s="116">
        <v>38.69</v>
      </c>
      <c r="C1432" s="116">
        <v>36.975000000000001</v>
      </c>
      <c r="D1432" s="116">
        <v>36.729999999999997</v>
      </c>
      <c r="E1432" s="116">
        <v>37.520000000000003</v>
      </c>
      <c r="F1432" s="116">
        <v>369.75</v>
      </c>
      <c r="G1432">
        <v>601485</v>
      </c>
      <c r="H1432" s="116"/>
      <c r="I1432" s="116"/>
      <c r="L1432" s="170">
        <v>44113</v>
      </c>
      <c r="M1432" s="116">
        <v>36.950000000000003</v>
      </c>
      <c r="N1432" s="116">
        <v>38.695</v>
      </c>
      <c r="O1432" s="116">
        <v>36.704999999999998</v>
      </c>
      <c r="P1432" s="116">
        <v>37.604999999999997</v>
      </c>
      <c r="Q1432" s="116">
        <v>369.5</v>
      </c>
      <c r="R1432">
        <v>22006588</v>
      </c>
    </row>
    <row r="1433" spans="1:18" x14ac:dyDescent="0.25">
      <c r="A1433" s="170">
        <v>44116</v>
      </c>
      <c r="B1433" s="116">
        <v>37.72</v>
      </c>
      <c r="C1433" s="116">
        <v>37.1</v>
      </c>
      <c r="D1433" s="116">
        <v>36.255000000000003</v>
      </c>
      <c r="E1433" s="116">
        <v>37.454999999999998</v>
      </c>
      <c r="F1433" s="116">
        <v>371</v>
      </c>
      <c r="G1433">
        <v>638769</v>
      </c>
      <c r="H1433" s="116"/>
      <c r="I1433" s="116"/>
      <c r="L1433" s="170">
        <v>44116</v>
      </c>
      <c r="M1433" s="116">
        <v>37.11</v>
      </c>
      <c r="N1433" s="116">
        <v>37.715000000000003</v>
      </c>
      <c r="O1433" s="116">
        <v>36.25</v>
      </c>
      <c r="P1433" s="116">
        <v>37.35</v>
      </c>
      <c r="Q1433" s="116">
        <v>371.1</v>
      </c>
      <c r="R1433">
        <v>15756861</v>
      </c>
    </row>
    <row r="1434" spans="1:18" x14ac:dyDescent="0.25">
      <c r="A1434" s="170">
        <v>44117</v>
      </c>
      <c r="B1434" s="116">
        <v>37.630000000000003</v>
      </c>
      <c r="C1434" s="116">
        <v>36.75</v>
      </c>
      <c r="D1434" s="116">
        <v>36.174999999999997</v>
      </c>
      <c r="E1434" s="116">
        <v>37.25</v>
      </c>
      <c r="F1434" s="116">
        <v>367.5</v>
      </c>
      <c r="G1434">
        <v>517770</v>
      </c>
      <c r="H1434" s="116"/>
      <c r="I1434" s="116"/>
      <c r="L1434" s="170">
        <v>44117</v>
      </c>
      <c r="M1434" s="116">
        <v>36.835000000000001</v>
      </c>
      <c r="N1434" s="116">
        <v>37.625</v>
      </c>
      <c r="O1434" s="116">
        <v>36.664999999999999</v>
      </c>
      <c r="P1434" s="116">
        <v>37.200000000000003</v>
      </c>
      <c r="Q1434" s="116">
        <v>368.35</v>
      </c>
      <c r="R1434">
        <v>11902564</v>
      </c>
    </row>
    <row r="1435" spans="1:18" x14ac:dyDescent="0.25">
      <c r="A1435" s="170">
        <v>44118</v>
      </c>
      <c r="B1435" s="116">
        <v>37.700000000000003</v>
      </c>
      <c r="C1435" s="116">
        <v>37.555</v>
      </c>
      <c r="D1435" s="116">
        <v>36.975000000000001</v>
      </c>
      <c r="E1435" s="116">
        <v>37.14</v>
      </c>
      <c r="F1435" s="116">
        <v>375.55</v>
      </c>
      <c r="G1435">
        <v>362344</v>
      </c>
      <c r="H1435" s="116"/>
      <c r="I1435" s="116"/>
      <c r="L1435" s="170">
        <v>44118</v>
      </c>
      <c r="M1435" s="116">
        <v>37.555</v>
      </c>
      <c r="N1435" s="116">
        <v>37.725000000000001</v>
      </c>
      <c r="O1435" s="116">
        <v>36.954999999999998</v>
      </c>
      <c r="P1435" s="116">
        <v>37.04</v>
      </c>
      <c r="Q1435" s="116">
        <v>375.55</v>
      </c>
      <c r="R1435">
        <v>14892188</v>
      </c>
    </row>
    <row r="1436" spans="1:18" x14ac:dyDescent="0.25">
      <c r="A1436" s="170">
        <v>44119</v>
      </c>
      <c r="B1436" s="116">
        <v>38.85</v>
      </c>
      <c r="C1436" s="116">
        <v>37.375</v>
      </c>
      <c r="D1436" s="116">
        <v>37.159999999999997</v>
      </c>
      <c r="E1436" s="116">
        <v>38.045000000000002</v>
      </c>
      <c r="F1436" s="116">
        <v>373.75</v>
      </c>
      <c r="G1436">
        <v>1577646</v>
      </c>
      <c r="H1436" s="116"/>
      <c r="I1436" s="116"/>
      <c r="L1436" s="170">
        <v>44119</v>
      </c>
      <c r="M1436" s="116">
        <v>37.39</v>
      </c>
      <c r="N1436" s="116">
        <v>38.86</v>
      </c>
      <c r="O1436" s="116">
        <v>37.15</v>
      </c>
      <c r="P1436" s="116">
        <v>38.1</v>
      </c>
      <c r="Q1436" s="116">
        <v>373.9</v>
      </c>
      <c r="R1436">
        <v>31651023</v>
      </c>
    </row>
    <row r="1437" spans="1:18" x14ac:dyDescent="0.25">
      <c r="A1437" s="170">
        <v>44120</v>
      </c>
      <c r="B1437" s="116">
        <v>39.575000000000003</v>
      </c>
      <c r="C1437" s="116">
        <v>39.384999999999998</v>
      </c>
      <c r="D1437" s="116">
        <v>37.545000000000002</v>
      </c>
      <c r="E1437" s="116">
        <v>37.56</v>
      </c>
      <c r="F1437" s="116">
        <v>393.85</v>
      </c>
      <c r="G1437">
        <v>941502</v>
      </c>
      <c r="H1437" s="116"/>
      <c r="I1437" s="116"/>
      <c r="L1437" s="170">
        <v>44120</v>
      </c>
      <c r="M1437" s="116">
        <v>39.384999999999998</v>
      </c>
      <c r="N1437" s="116">
        <v>39.590000000000003</v>
      </c>
      <c r="O1437" s="116">
        <v>37.520000000000003</v>
      </c>
      <c r="P1437" s="116">
        <v>37.71</v>
      </c>
      <c r="Q1437" s="116">
        <v>393.85</v>
      </c>
      <c r="R1437">
        <v>28855527</v>
      </c>
    </row>
    <row r="1438" spans="1:18" x14ac:dyDescent="0.25">
      <c r="A1438" s="170">
        <v>44123</v>
      </c>
      <c r="B1438" s="116">
        <v>40</v>
      </c>
      <c r="C1438" s="116">
        <v>39.53</v>
      </c>
      <c r="D1438" s="116">
        <v>39.155000000000001</v>
      </c>
      <c r="E1438" s="116">
        <v>39.659999999999997</v>
      </c>
      <c r="F1438" s="116">
        <v>395.3</v>
      </c>
      <c r="G1438">
        <v>568968</v>
      </c>
      <c r="H1438" s="116"/>
      <c r="I1438" s="116"/>
      <c r="L1438" s="170">
        <v>44123</v>
      </c>
      <c r="M1438" s="116">
        <v>39.549999999999997</v>
      </c>
      <c r="N1438" s="116">
        <v>40</v>
      </c>
      <c r="O1438" s="116">
        <v>39.18</v>
      </c>
      <c r="P1438" s="116">
        <v>39.76</v>
      </c>
      <c r="Q1438" s="116">
        <v>395.5</v>
      </c>
      <c r="R1438">
        <v>14729994</v>
      </c>
    </row>
    <row r="1439" spans="1:18" x14ac:dyDescent="0.25">
      <c r="A1439" s="170">
        <v>44124</v>
      </c>
      <c r="B1439" s="116">
        <v>39.74</v>
      </c>
      <c r="C1439" s="116">
        <v>39.200000000000003</v>
      </c>
      <c r="D1439" s="116">
        <v>38.975000000000001</v>
      </c>
      <c r="E1439" s="116">
        <v>39.33</v>
      </c>
      <c r="F1439" s="116">
        <v>392</v>
      </c>
      <c r="G1439">
        <v>252081</v>
      </c>
      <c r="H1439" s="116"/>
      <c r="I1439" s="116"/>
      <c r="L1439" s="170">
        <v>44124</v>
      </c>
      <c r="M1439" s="116">
        <v>39.24</v>
      </c>
      <c r="N1439" s="116">
        <v>39.734999999999999</v>
      </c>
      <c r="O1439" s="116">
        <v>38.96</v>
      </c>
      <c r="P1439" s="116">
        <v>39.200000000000003</v>
      </c>
      <c r="Q1439" s="116">
        <v>392.4</v>
      </c>
      <c r="R1439">
        <v>10949682</v>
      </c>
    </row>
    <row r="1440" spans="1:18" x14ac:dyDescent="0.25">
      <c r="A1440" s="170">
        <v>44125</v>
      </c>
      <c r="B1440" s="116">
        <v>40.78</v>
      </c>
      <c r="C1440" s="116">
        <v>40.39</v>
      </c>
      <c r="D1440" s="116">
        <v>39.46</v>
      </c>
      <c r="E1440" s="116">
        <v>39.549999999999997</v>
      </c>
      <c r="F1440" s="116">
        <v>403.9</v>
      </c>
      <c r="G1440">
        <v>834739</v>
      </c>
      <c r="H1440" s="116"/>
      <c r="I1440" s="116"/>
      <c r="L1440" s="170">
        <v>44125</v>
      </c>
      <c r="M1440" s="116">
        <v>40.405000000000001</v>
      </c>
      <c r="N1440" s="116">
        <v>40.799999999999997</v>
      </c>
      <c r="O1440" s="116">
        <v>39.435000000000002</v>
      </c>
      <c r="P1440" s="116">
        <v>39.630000000000003</v>
      </c>
      <c r="Q1440" s="116">
        <v>404.05</v>
      </c>
      <c r="R1440">
        <v>26351958</v>
      </c>
    </row>
    <row r="1441" spans="1:18" x14ac:dyDescent="0.25">
      <c r="A1441" s="170">
        <v>44126</v>
      </c>
      <c r="B1441" s="116">
        <v>41.335000000000001</v>
      </c>
      <c r="C1441" s="116">
        <v>40.994999999999997</v>
      </c>
      <c r="D1441" s="116">
        <v>40.01</v>
      </c>
      <c r="E1441" s="116">
        <v>40.28</v>
      </c>
      <c r="F1441" s="116">
        <v>409.95</v>
      </c>
      <c r="G1441">
        <v>515864</v>
      </c>
      <c r="H1441" s="116"/>
      <c r="I1441" s="116"/>
      <c r="L1441" s="170">
        <v>44126</v>
      </c>
      <c r="M1441" s="116">
        <v>40.965000000000003</v>
      </c>
      <c r="N1441" s="116">
        <v>41.354999999999997</v>
      </c>
      <c r="O1441" s="116">
        <v>40.01</v>
      </c>
      <c r="P1441" s="116">
        <v>40.19</v>
      </c>
      <c r="Q1441" s="116">
        <v>409.65</v>
      </c>
      <c r="R1441">
        <v>20888422</v>
      </c>
    </row>
    <row r="1442" spans="1:18" x14ac:dyDescent="0.25">
      <c r="A1442" s="170">
        <v>44127</v>
      </c>
      <c r="B1442" s="116">
        <v>42.59</v>
      </c>
      <c r="C1442" s="116">
        <v>42.335000000000001</v>
      </c>
      <c r="D1442" s="116">
        <v>41.2</v>
      </c>
      <c r="E1442" s="116">
        <v>41.2</v>
      </c>
      <c r="F1442" s="116">
        <v>423.35</v>
      </c>
      <c r="G1442">
        <v>1161660</v>
      </c>
      <c r="H1442" s="116"/>
      <c r="I1442" s="116"/>
      <c r="L1442" s="170">
        <v>44127</v>
      </c>
      <c r="M1442" s="116">
        <v>42.344999999999999</v>
      </c>
      <c r="N1442" s="116">
        <v>42.6</v>
      </c>
      <c r="O1442" s="116">
        <v>41.22</v>
      </c>
      <c r="P1442" s="116">
        <v>41.3</v>
      </c>
      <c r="Q1442" s="116">
        <v>423.45</v>
      </c>
      <c r="R1442">
        <v>28588850</v>
      </c>
    </row>
    <row r="1443" spans="1:18" x14ac:dyDescent="0.25">
      <c r="A1443" s="170">
        <v>44130</v>
      </c>
      <c r="B1443" s="116">
        <v>42.42</v>
      </c>
      <c r="C1443" s="116">
        <v>40.81</v>
      </c>
      <c r="D1443" s="116">
        <v>40.44</v>
      </c>
      <c r="E1443" s="116">
        <v>42.42</v>
      </c>
      <c r="F1443" s="116">
        <v>408.1</v>
      </c>
      <c r="G1443">
        <v>493620</v>
      </c>
      <c r="H1443" s="116"/>
      <c r="I1443" s="116"/>
      <c r="L1443" s="170">
        <v>44130</v>
      </c>
      <c r="M1443" s="116">
        <v>40.840000000000003</v>
      </c>
      <c r="N1443" s="116">
        <v>42.335000000000001</v>
      </c>
      <c r="O1443" s="116">
        <v>40.414999999999999</v>
      </c>
      <c r="P1443" s="116">
        <v>42.335000000000001</v>
      </c>
      <c r="Q1443" s="116">
        <v>408.4</v>
      </c>
      <c r="R1443">
        <v>16608780</v>
      </c>
    </row>
    <row r="1444" spans="1:18" x14ac:dyDescent="0.25">
      <c r="A1444" s="170">
        <v>44131</v>
      </c>
      <c r="B1444" s="116">
        <v>41.67</v>
      </c>
      <c r="C1444" s="116">
        <v>41.1</v>
      </c>
      <c r="D1444" s="116">
        <v>40.35</v>
      </c>
      <c r="E1444" s="116">
        <v>40.72</v>
      </c>
      <c r="F1444" s="116">
        <v>411</v>
      </c>
      <c r="G1444">
        <v>406714</v>
      </c>
      <c r="H1444" s="116"/>
      <c r="I1444" s="116"/>
      <c r="L1444" s="170">
        <v>44131</v>
      </c>
      <c r="M1444" s="116">
        <v>41.1</v>
      </c>
      <c r="N1444" s="116">
        <v>41.685000000000002</v>
      </c>
      <c r="O1444" s="116">
        <v>40.340000000000003</v>
      </c>
      <c r="P1444" s="116">
        <v>40.869999999999997</v>
      </c>
      <c r="Q1444" s="116">
        <v>411</v>
      </c>
      <c r="R1444">
        <v>16062171</v>
      </c>
    </row>
    <row r="1445" spans="1:18" x14ac:dyDescent="0.25">
      <c r="A1445" s="170">
        <v>44132</v>
      </c>
      <c r="B1445" s="116">
        <v>41.8</v>
      </c>
      <c r="C1445" s="116">
        <v>40.229999999999997</v>
      </c>
      <c r="D1445" s="116">
        <v>40.049999999999997</v>
      </c>
      <c r="E1445" s="116">
        <v>41.104999999999997</v>
      </c>
      <c r="F1445" s="116">
        <v>402.3</v>
      </c>
      <c r="G1445">
        <v>598340</v>
      </c>
      <c r="H1445" s="116"/>
      <c r="I1445" s="116"/>
      <c r="L1445" s="170">
        <v>44132</v>
      </c>
      <c r="M1445" s="116">
        <v>40.229999999999997</v>
      </c>
      <c r="N1445" s="116">
        <v>41.82</v>
      </c>
      <c r="O1445" s="116">
        <v>40.045000000000002</v>
      </c>
      <c r="P1445" s="116">
        <v>41.145000000000003</v>
      </c>
      <c r="Q1445" s="116">
        <v>402.3</v>
      </c>
      <c r="R1445">
        <v>16965755</v>
      </c>
    </row>
    <row r="1446" spans="1:18" x14ac:dyDescent="0.25">
      <c r="A1446" s="170">
        <v>44133</v>
      </c>
      <c r="B1446" s="116">
        <v>40.505000000000003</v>
      </c>
      <c r="C1446" s="116">
        <v>40.125</v>
      </c>
      <c r="D1446" s="116">
        <v>39.555</v>
      </c>
      <c r="E1446" s="116">
        <v>39.909999999999997</v>
      </c>
      <c r="F1446" s="116">
        <v>401.25</v>
      </c>
      <c r="G1446">
        <v>560878</v>
      </c>
      <c r="H1446" s="116"/>
      <c r="I1446" s="116"/>
      <c r="L1446" s="170">
        <v>44133</v>
      </c>
      <c r="M1446" s="116">
        <v>40.14</v>
      </c>
      <c r="N1446" s="116">
        <v>40.5</v>
      </c>
      <c r="O1446" s="116">
        <v>39.53</v>
      </c>
      <c r="P1446" s="116">
        <v>39.945</v>
      </c>
      <c r="Q1446" s="116">
        <v>401.4</v>
      </c>
      <c r="R1446">
        <v>13860410</v>
      </c>
    </row>
    <row r="1447" spans="1:18" x14ac:dyDescent="0.25">
      <c r="A1447" s="170">
        <v>44134</v>
      </c>
      <c r="B1447" s="116">
        <v>41.3</v>
      </c>
      <c r="C1447" s="116">
        <v>41.034999999999997</v>
      </c>
      <c r="D1447" s="116">
        <v>39.524999999999999</v>
      </c>
      <c r="E1447" s="116">
        <v>40.31</v>
      </c>
      <c r="F1447" s="116">
        <v>410.35</v>
      </c>
      <c r="G1447">
        <v>500153</v>
      </c>
      <c r="H1447" s="116"/>
      <c r="I1447" s="116"/>
      <c r="L1447" s="170">
        <v>44134</v>
      </c>
      <c r="M1447" s="116">
        <v>41.055</v>
      </c>
      <c r="N1447" s="116">
        <v>41.29</v>
      </c>
      <c r="O1447" s="116">
        <v>39.520000000000003</v>
      </c>
      <c r="P1447" s="116">
        <v>40.270000000000003</v>
      </c>
      <c r="Q1447" s="116">
        <v>410.55</v>
      </c>
      <c r="R1447">
        <v>18021051</v>
      </c>
    </row>
    <row r="1448" spans="1:18" x14ac:dyDescent="0.25">
      <c r="A1448" s="170">
        <v>44137</v>
      </c>
      <c r="B1448" s="116">
        <v>41.24</v>
      </c>
      <c r="C1448" s="116">
        <v>40.28</v>
      </c>
      <c r="D1448" s="116">
        <v>39.884999999999998</v>
      </c>
      <c r="E1448" s="116">
        <v>41.2</v>
      </c>
      <c r="F1448" s="116">
        <v>402.8</v>
      </c>
      <c r="G1448">
        <v>358088</v>
      </c>
      <c r="H1448" s="116"/>
      <c r="I1448" s="116"/>
      <c r="L1448" s="170">
        <v>44137</v>
      </c>
      <c r="M1448" s="116">
        <v>40.284999999999997</v>
      </c>
      <c r="N1448" s="116">
        <v>41.25</v>
      </c>
      <c r="O1448" s="116">
        <v>39.869999999999997</v>
      </c>
      <c r="P1448" s="116">
        <v>41</v>
      </c>
      <c r="Q1448" s="116">
        <v>402.85</v>
      </c>
      <c r="R1448">
        <v>13143109</v>
      </c>
    </row>
    <row r="1449" spans="1:18" x14ac:dyDescent="0.25">
      <c r="A1449" s="170">
        <v>44138</v>
      </c>
      <c r="B1449" s="116">
        <v>41.215000000000003</v>
      </c>
      <c r="C1449" s="116">
        <v>40.68</v>
      </c>
      <c r="D1449" s="116">
        <v>40.47</v>
      </c>
      <c r="E1449" s="116">
        <v>40.799999999999997</v>
      </c>
      <c r="F1449" s="116">
        <v>406.8</v>
      </c>
      <c r="G1449">
        <v>340558</v>
      </c>
      <c r="H1449" s="116"/>
      <c r="I1449" s="116"/>
      <c r="L1449" s="170">
        <v>44138</v>
      </c>
      <c r="M1449" s="116">
        <v>40.69</v>
      </c>
      <c r="N1449" s="116">
        <v>41.22</v>
      </c>
      <c r="O1449" s="116">
        <v>40.445</v>
      </c>
      <c r="P1449" s="116">
        <v>40.75</v>
      </c>
      <c r="Q1449" s="116">
        <v>406.9</v>
      </c>
      <c r="R1449">
        <v>12258034</v>
      </c>
    </row>
    <row r="1450" spans="1:18" x14ac:dyDescent="0.25">
      <c r="A1450" s="170">
        <v>44139</v>
      </c>
      <c r="B1450" s="116">
        <v>41.5</v>
      </c>
      <c r="C1450" s="116">
        <v>40.39</v>
      </c>
      <c r="D1450" s="116">
        <v>40.155000000000001</v>
      </c>
      <c r="E1450" s="116">
        <v>40.81</v>
      </c>
      <c r="F1450" s="116">
        <v>403.9</v>
      </c>
      <c r="G1450">
        <v>642545</v>
      </c>
      <c r="H1450" s="116"/>
      <c r="I1450" s="116"/>
      <c r="L1450" s="170">
        <v>44139</v>
      </c>
      <c r="M1450" s="116">
        <v>40.39</v>
      </c>
      <c r="N1450" s="116">
        <v>41.505000000000003</v>
      </c>
      <c r="O1450" s="116">
        <v>40.14</v>
      </c>
      <c r="P1450" s="116">
        <v>40.89</v>
      </c>
      <c r="Q1450" s="116">
        <v>403.9</v>
      </c>
      <c r="R1450">
        <v>13614366</v>
      </c>
    </row>
    <row r="1451" spans="1:18" x14ac:dyDescent="0.25">
      <c r="A1451" s="170">
        <v>44140</v>
      </c>
      <c r="B1451" s="116">
        <v>42.79</v>
      </c>
      <c r="C1451" s="116">
        <v>42.545000000000002</v>
      </c>
      <c r="D1451" s="116">
        <v>40.880000000000003</v>
      </c>
      <c r="E1451" s="116">
        <v>41.055</v>
      </c>
      <c r="F1451" s="116">
        <v>425.45</v>
      </c>
      <c r="G1451">
        <v>1368821</v>
      </c>
      <c r="H1451" s="116"/>
      <c r="I1451" s="116"/>
      <c r="L1451" s="170">
        <v>44140</v>
      </c>
      <c r="M1451" s="116">
        <v>42.55</v>
      </c>
      <c r="N1451" s="116">
        <v>42.825000000000003</v>
      </c>
      <c r="O1451" s="116">
        <v>40.914999999999999</v>
      </c>
      <c r="P1451" s="116">
        <v>41.2</v>
      </c>
      <c r="Q1451" s="116">
        <v>425.5</v>
      </c>
      <c r="R1451">
        <v>26517756</v>
      </c>
    </row>
    <row r="1452" spans="1:18" x14ac:dyDescent="0.25">
      <c r="A1452" s="170">
        <v>44141</v>
      </c>
      <c r="B1452" s="116">
        <v>43.27</v>
      </c>
      <c r="C1452" s="116">
        <v>42.63</v>
      </c>
      <c r="D1452" s="116">
        <v>42.26</v>
      </c>
      <c r="E1452" s="116">
        <v>42.52</v>
      </c>
      <c r="F1452" s="116">
        <v>426.3</v>
      </c>
      <c r="G1452">
        <v>482143</v>
      </c>
      <c r="H1452" s="116"/>
      <c r="I1452" s="116"/>
      <c r="L1452" s="170">
        <v>44141</v>
      </c>
      <c r="M1452" s="116">
        <v>42.65</v>
      </c>
      <c r="N1452" s="116">
        <v>43.29</v>
      </c>
      <c r="O1452" s="116">
        <v>42.265000000000001</v>
      </c>
      <c r="P1452" s="116">
        <v>42.45</v>
      </c>
      <c r="Q1452" s="116">
        <v>426.5</v>
      </c>
      <c r="R1452">
        <v>17398193</v>
      </c>
    </row>
    <row r="1453" spans="1:18" x14ac:dyDescent="0.25">
      <c r="A1453" s="170">
        <v>44144</v>
      </c>
      <c r="B1453" s="116">
        <v>43.98</v>
      </c>
      <c r="C1453" s="116">
        <v>43.76</v>
      </c>
      <c r="D1453" s="116">
        <v>42.75</v>
      </c>
      <c r="E1453" s="116">
        <v>42.8</v>
      </c>
      <c r="F1453" s="116">
        <v>437.6</v>
      </c>
      <c r="G1453">
        <v>658801</v>
      </c>
      <c r="H1453" s="116"/>
      <c r="I1453" s="116"/>
      <c r="L1453" s="170">
        <v>44144</v>
      </c>
      <c r="M1453" s="116">
        <v>43.83</v>
      </c>
      <c r="N1453" s="116">
        <v>43.99</v>
      </c>
      <c r="O1453" s="116">
        <v>42.74</v>
      </c>
      <c r="P1453" s="116">
        <v>43.3</v>
      </c>
      <c r="Q1453" s="116">
        <v>438.3</v>
      </c>
      <c r="R1453">
        <v>15830862</v>
      </c>
    </row>
    <row r="1454" spans="1:18" x14ac:dyDescent="0.25">
      <c r="A1454" s="170">
        <v>44145</v>
      </c>
      <c r="B1454" s="116">
        <v>45.3</v>
      </c>
      <c r="C1454" s="116">
        <v>44.185000000000002</v>
      </c>
      <c r="D1454" s="116">
        <v>43.564999999999998</v>
      </c>
      <c r="E1454" s="116">
        <v>44</v>
      </c>
      <c r="F1454" s="116">
        <v>441.85</v>
      </c>
      <c r="G1454">
        <v>971802</v>
      </c>
      <c r="H1454" s="116"/>
      <c r="I1454" s="116"/>
      <c r="L1454" s="170">
        <v>44145</v>
      </c>
      <c r="M1454" s="116">
        <v>44.19</v>
      </c>
      <c r="N1454" s="116">
        <v>45.325000000000003</v>
      </c>
      <c r="O1454" s="116">
        <v>43.555</v>
      </c>
      <c r="P1454" s="116">
        <v>44</v>
      </c>
      <c r="Q1454" s="116">
        <v>441.9</v>
      </c>
      <c r="R1454">
        <v>26200240</v>
      </c>
    </row>
    <row r="1455" spans="1:18" x14ac:dyDescent="0.25">
      <c r="A1455" s="170">
        <v>44146</v>
      </c>
      <c r="B1455" s="116">
        <v>47.715000000000003</v>
      </c>
      <c r="C1455" s="116">
        <v>47.45</v>
      </c>
      <c r="D1455" s="116">
        <v>43.954999999999998</v>
      </c>
      <c r="E1455" s="116">
        <v>44.2</v>
      </c>
      <c r="F1455" s="116">
        <v>474.5</v>
      </c>
      <c r="G1455">
        <v>1508907</v>
      </c>
      <c r="H1455" s="116"/>
      <c r="I1455" s="116"/>
      <c r="L1455" s="170">
        <v>44146</v>
      </c>
      <c r="M1455" s="116">
        <v>47.395000000000003</v>
      </c>
      <c r="N1455" s="116">
        <v>47.734999999999999</v>
      </c>
      <c r="O1455" s="116">
        <v>43.96</v>
      </c>
      <c r="P1455" s="116">
        <v>44.19</v>
      </c>
      <c r="Q1455" s="116">
        <v>473.95</v>
      </c>
      <c r="R1455">
        <v>36861833</v>
      </c>
    </row>
    <row r="1456" spans="1:18" x14ac:dyDescent="0.25">
      <c r="A1456" s="170">
        <v>44147</v>
      </c>
      <c r="B1456" s="116">
        <v>47.98</v>
      </c>
      <c r="C1456" s="116">
        <v>47.314999999999998</v>
      </c>
      <c r="D1456" s="116">
        <v>46.65</v>
      </c>
      <c r="E1456" s="116">
        <v>47.29</v>
      </c>
      <c r="F1456" s="116">
        <v>473.15</v>
      </c>
      <c r="G1456">
        <v>1010180</v>
      </c>
      <c r="H1456" s="116"/>
      <c r="I1456" s="116"/>
      <c r="L1456" s="170">
        <v>44147</v>
      </c>
      <c r="M1456" s="116">
        <v>47.314999999999998</v>
      </c>
      <c r="N1456" s="116">
        <v>47.99</v>
      </c>
      <c r="O1456" s="116">
        <v>46.63</v>
      </c>
      <c r="P1456" s="116">
        <v>47.2</v>
      </c>
      <c r="Q1456" s="116">
        <v>473.15</v>
      </c>
      <c r="R1456">
        <v>23493685</v>
      </c>
    </row>
    <row r="1457" spans="1:18" x14ac:dyDescent="0.25">
      <c r="A1457" s="170">
        <v>44148</v>
      </c>
      <c r="B1457" s="116">
        <v>48.8</v>
      </c>
      <c r="C1457" s="116">
        <v>48.65</v>
      </c>
      <c r="D1457" s="116">
        <v>46.54</v>
      </c>
      <c r="E1457" s="116">
        <v>47.19</v>
      </c>
      <c r="F1457" s="116">
        <v>486.5</v>
      </c>
      <c r="G1457">
        <v>1083996</v>
      </c>
      <c r="H1457" s="116"/>
      <c r="I1457" s="116"/>
      <c r="L1457" s="170">
        <v>44148</v>
      </c>
      <c r="M1457" s="116">
        <v>48.655000000000001</v>
      </c>
      <c r="N1457" s="116">
        <v>48.84</v>
      </c>
      <c r="O1457" s="116">
        <v>46.5</v>
      </c>
      <c r="P1457" s="116">
        <v>47.085000000000001</v>
      </c>
      <c r="Q1457" s="116">
        <v>486.55</v>
      </c>
      <c r="R1457">
        <v>23418187</v>
      </c>
    </row>
    <row r="1458" spans="1:18" x14ac:dyDescent="0.25">
      <c r="A1458" s="170">
        <v>44149</v>
      </c>
      <c r="B1458" s="116">
        <v>49.91</v>
      </c>
      <c r="C1458" s="116">
        <v>49.21</v>
      </c>
      <c r="D1458" s="116">
        <v>48.7</v>
      </c>
      <c r="E1458" s="116">
        <v>49.15</v>
      </c>
      <c r="F1458" s="116">
        <v>492.1</v>
      </c>
      <c r="G1458">
        <v>325729</v>
      </c>
      <c r="H1458" s="116"/>
      <c r="I1458" s="116"/>
      <c r="L1458" s="170">
        <v>44149</v>
      </c>
      <c r="M1458" s="116">
        <v>49.22</v>
      </c>
      <c r="N1458" s="116">
        <v>49.95</v>
      </c>
      <c r="O1458" s="116">
        <v>48.7</v>
      </c>
      <c r="P1458" s="116">
        <v>49.655000000000001</v>
      </c>
      <c r="Q1458" s="116">
        <v>492.2</v>
      </c>
      <c r="R1458">
        <v>7837400</v>
      </c>
    </row>
    <row r="1459" spans="1:18" x14ac:dyDescent="0.25">
      <c r="A1459" s="170">
        <v>44152</v>
      </c>
      <c r="B1459" s="116">
        <v>53.08</v>
      </c>
      <c r="C1459" s="116">
        <v>52.28</v>
      </c>
      <c r="D1459" s="116">
        <v>50.2</v>
      </c>
      <c r="E1459" s="116">
        <v>50.47</v>
      </c>
      <c r="F1459" s="116">
        <v>522.79999999999995</v>
      </c>
      <c r="G1459">
        <v>2561186</v>
      </c>
      <c r="H1459" s="116"/>
      <c r="I1459" s="116"/>
      <c r="L1459" s="170">
        <v>44152</v>
      </c>
      <c r="M1459" s="116">
        <v>52.27</v>
      </c>
      <c r="N1459" s="116">
        <v>53.094999999999999</v>
      </c>
      <c r="O1459" s="116">
        <v>50.17</v>
      </c>
      <c r="P1459" s="116">
        <v>50.6</v>
      </c>
      <c r="Q1459" s="116">
        <v>522.70000000000005</v>
      </c>
      <c r="R1459">
        <v>64284599</v>
      </c>
    </row>
    <row r="1460" spans="1:18" x14ac:dyDescent="0.25">
      <c r="A1460" s="170">
        <v>44153</v>
      </c>
      <c r="B1460" s="116">
        <v>52.39</v>
      </c>
      <c r="C1460" s="116">
        <v>51.7</v>
      </c>
      <c r="D1460" s="116">
        <v>51.02</v>
      </c>
      <c r="E1460" s="116">
        <v>51.84</v>
      </c>
      <c r="F1460" s="116">
        <v>517</v>
      </c>
      <c r="G1460">
        <v>952563</v>
      </c>
      <c r="H1460" s="116"/>
      <c r="I1460" s="116"/>
      <c r="L1460" s="170">
        <v>44153</v>
      </c>
      <c r="M1460" s="116">
        <v>51.72</v>
      </c>
      <c r="N1460" s="116">
        <v>52.38</v>
      </c>
      <c r="O1460" s="116">
        <v>51.064999999999998</v>
      </c>
      <c r="P1460" s="116">
        <v>51.8</v>
      </c>
      <c r="Q1460" s="116">
        <v>517.20000000000005</v>
      </c>
      <c r="R1460">
        <v>17481513</v>
      </c>
    </row>
    <row r="1461" spans="1:18" x14ac:dyDescent="0.25">
      <c r="A1461" s="170">
        <v>44154</v>
      </c>
      <c r="B1461" s="116">
        <v>53.564999999999998</v>
      </c>
      <c r="C1461" s="116">
        <v>52.34</v>
      </c>
      <c r="D1461" s="116">
        <v>51</v>
      </c>
      <c r="E1461" s="116">
        <v>51.26</v>
      </c>
      <c r="F1461" s="116">
        <v>523.4</v>
      </c>
      <c r="G1461">
        <v>993368</v>
      </c>
      <c r="H1461" s="116"/>
      <c r="I1461" s="116"/>
      <c r="L1461" s="170">
        <v>44154</v>
      </c>
      <c r="M1461" s="116">
        <v>52.36</v>
      </c>
      <c r="N1461" s="116">
        <v>53.57</v>
      </c>
      <c r="O1461" s="116">
        <v>51</v>
      </c>
      <c r="P1461" s="116">
        <v>51.185000000000002</v>
      </c>
      <c r="Q1461" s="116">
        <v>523.6</v>
      </c>
      <c r="R1461">
        <v>20137998</v>
      </c>
    </row>
    <row r="1462" spans="1:18" x14ac:dyDescent="0.25">
      <c r="A1462" s="170">
        <v>44155</v>
      </c>
      <c r="B1462" s="116">
        <v>54.164999999999999</v>
      </c>
      <c r="C1462" s="116">
        <v>53.255000000000003</v>
      </c>
      <c r="D1462" s="116">
        <v>52.12</v>
      </c>
      <c r="E1462" s="116">
        <v>52.555</v>
      </c>
      <c r="F1462" s="116">
        <v>532.54999999999995</v>
      </c>
      <c r="G1462">
        <v>859228</v>
      </c>
      <c r="H1462" s="116"/>
      <c r="I1462" s="116"/>
      <c r="L1462" s="170">
        <v>44155</v>
      </c>
      <c r="M1462" s="116">
        <v>53.29</v>
      </c>
      <c r="N1462" s="116">
        <v>54.17</v>
      </c>
      <c r="O1462" s="116">
        <v>52.1</v>
      </c>
      <c r="P1462" s="116">
        <v>52.6</v>
      </c>
      <c r="Q1462" s="116">
        <v>532.9</v>
      </c>
      <c r="R1462">
        <v>26686000</v>
      </c>
    </row>
    <row r="1463" spans="1:18" x14ac:dyDescent="0.25">
      <c r="A1463" s="170">
        <v>44158</v>
      </c>
      <c r="B1463" s="116">
        <v>54.6</v>
      </c>
      <c r="C1463" s="116">
        <v>54.27</v>
      </c>
      <c r="D1463" s="116">
        <v>53.615000000000002</v>
      </c>
      <c r="E1463" s="116">
        <v>53.615000000000002</v>
      </c>
      <c r="F1463" s="116">
        <v>542.70000000000005</v>
      </c>
      <c r="G1463">
        <v>673782</v>
      </c>
      <c r="H1463" s="116"/>
      <c r="I1463" s="116"/>
      <c r="L1463" s="170">
        <v>44158</v>
      </c>
      <c r="M1463" s="116">
        <v>54.31</v>
      </c>
      <c r="N1463" s="116">
        <v>54.6</v>
      </c>
      <c r="O1463" s="116">
        <v>53.634999999999998</v>
      </c>
      <c r="P1463" s="116">
        <v>53.8</v>
      </c>
      <c r="Q1463" s="116">
        <v>543.1</v>
      </c>
      <c r="R1463">
        <v>17025425</v>
      </c>
    </row>
    <row r="1464" spans="1:18" x14ac:dyDescent="0.25">
      <c r="A1464" s="170">
        <v>44159</v>
      </c>
      <c r="B1464" s="116">
        <v>55.04</v>
      </c>
      <c r="C1464" s="116">
        <v>54.814999999999998</v>
      </c>
      <c r="D1464" s="116">
        <v>54.15</v>
      </c>
      <c r="E1464" s="116">
        <v>54.695</v>
      </c>
      <c r="F1464" s="116">
        <v>548.15</v>
      </c>
      <c r="G1464">
        <v>753130</v>
      </c>
      <c r="H1464" s="116"/>
      <c r="I1464" s="116"/>
      <c r="L1464" s="170">
        <v>44159</v>
      </c>
      <c r="M1464" s="116">
        <v>54.83</v>
      </c>
      <c r="N1464" s="116">
        <v>55.045000000000002</v>
      </c>
      <c r="O1464" s="116">
        <v>54.14</v>
      </c>
      <c r="P1464" s="116">
        <v>54.795000000000002</v>
      </c>
      <c r="Q1464" s="116">
        <v>548.29999999999995</v>
      </c>
      <c r="R1464">
        <v>13029126</v>
      </c>
    </row>
    <row r="1465" spans="1:18" x14ac:dyDescent="0.25">
      <c r="A1465" s="170">
        <v>44160</v>
      </c>
      <c r="B1465" s="116">
        <v>55.875</v>
      </c>
      <c r="C1465" s="116">
        <v>54.1</v>
      </c>
      <c r="D1465" s="116">
        <v>53.96</v>
      </c>
      <c r="E1465" s="116">
        <v>54.83</v>
      </c>
      <c r="F1465" s="116">
        <v>541</v>
      </c>
      <c r="G1465">
        <v>757562</v>
      </c>
      <c r="H1465" s="116"/>
      <c r="I1465" s="116"/>
      <c r="L1465" s="170">
        <v>44160</v>
      </c>
      <c r="M1465" s="116">
        <v>54.125</v>
      </c>
      <c r="N1465" s="116">
        <v>55.865000000000002</v>
      </c>
      <c r="O1465" s="116">
        <v>53.95</v>
      </c>
      <c r="P1465" s="116">
        <v>55.1</v>
      </c>
      <c r="Q1465" s="116">
        <v>541.25</v>
      </c>
      <c r="R1465">
        <v>17680989</v>
      </c>
    </row>
    <row r="1466" spans="1:18" x14ac:dyDescent="0.25">
      <c r="A1466" s="170">
        <v>44161</v>
      </c>
      <c r="B1466" s="116">
        <v>57.1</v>
      </c>
      <c r="C1466" s="116">
        <v>56.89</v>
      </c>
      <c r="D1466" s="116">
        <v>54.15</v>
      </c>
      <c r="E1466" s="116">
        <v>54.78</v>
      </c>
      <c r="F1466" s="116">
        <v>568.9</v>
      </c>
      <c r="G1466">
        <v>935195</v>
      </c>
      <c r="H1466" s="116"/>
      <c r="I1466" s="116"/>
      <c r="L1466" s="170">
        <v>44161</v>
      </c>
      <c r="M1466" s="116">
        <v>56.84</v>
      </c>
      <c r="N1466" s="116">
        <v>57.11</v>
      </c>
      <c r="O1466" s="116">
        <v>54.125</v>
      </c>
      <c r="P1466" s="116">
        <v>54.6</v>
      </c>
      <c r="Q1466" s="116">
        <v>568.4</v>
      </c>
      <c r="R1466">
        <v>22570185</v>
      </c>
    </row>
    <row r="1467" spans="1:18" x14ac:dyDescent="0.25">
      <c r="A1467" s="170">
        <v>44162</v>
      </c>
      <c r="B1467" s="116">
        <v>58.2</v>
      </c>
      <c r="C1467" s="116">
        <v>57.784999999999997</v>
      </c>
      <c r="D1467" s="116">
        <v>56.31</v>
      </c>
      <c r="E1467" s="116">
        <v>57</v>
      </c>
      <c r="F1467" s="116">
        <v>577.85</v>
      </c>
      <c r="G1467">
        <v>1221223</v>
      </c>
      <c r="H1467" s="116"/>
      <c r="I1467" s="116"/>
      <c r="L1467" s="170">
        <v>44162</v>
      </c>
      <c r="M1467" s="116">
        <v>57.734999999999999</v>
      </c>
      <c r="N1467" s="116">
        <v>58.234999999999999</v>
      </c>
      <c r="O1467" s="116">
        <v>56.305</v>
      </c>
      <c r="P1467" s="116">
        <v>57</v>
      </c>
      <c r="Q1467" s="116">
        <v>577.35</v>
      </c>
      <c r="R1467">
        <v>46291248</v>
      </c>
    </row>
    <row r="1468" spans="1:18" x14ac:dyDescent="0.25">
      <c r="A1468" s="170">
        <v>44166</v>
      </c>
      <c r="B1468" s="116">
        <v>59.05</v>
      </c>
      <c r="C1468" s="116">
        <v>58.555</v>
      </c>
      <c r="D1468" s="116">
        <v>57.7</v>
      </c>
      <c r="E1468" s="116">
        <v>59.05</v>
      </c>
      <c r="F1468" s="116">
        <v>585.54999999999995</v>
      </c>
      <c r="G1468">
        <v>635845</v>
      </c>
      <c r="H1468" s="116"/>
      <c r="I1468" s="116"/>
      <c r="L1468" s="170">
        <v>44166</v>
      </c>
      <c r="M1468" s="116">
        <v>58.58</v>
      </c>
      <c r="N1468" s="116">
        <v>59.2</v>
      </c>
      <c r="O1468" s="116">
        <v>57.695</v>
      </c>
      <c r="P1468" s="116">
        <v>59.2</v>
      </c>
      <c r="Q1468" s="116">
        <v>585.79999999999995</v>
      </c>
      <c r="R1468">
        <v>14739109</v>
      </c>
    </row>
    <row r="1469" spans="1:18" x14ac:dyDescent="0.25">
      <c r="A1469" s="170">
        <v>44167</v>
      </c>
      <c r="B1469" s="116">
        <v>60.75</v>
      </c>
      <c r="C1469" s="116">
        <v>60.424999999999997</v>
      </c>
      <c r="D1469" s="116">
        <v>58.435000000000002</v>
      </c>
      <c r="E1469" s="116">
        <v>58.555</v>
      </c>
      <c r="F1469" s="116">
        <v>604.25</v>
      </c>
      <c r="G1469">
        <v>1118818</v>
      </c>
      <c r="H1469" s="116"/>
      <c r="I1469" s="116"/>
      <c r="L1469" s="170">
        <v>44167</v>
      </c>
      <c r="M1469" s="116">
        <v>60.435000000000002</v>
      </c>
      <c r="N1469" s="116">
        <v>60.76</v>
      </c>
      <c r="O1469" s="116">
        <v>58.405000000000001</v>
      </c>
      <c r="P1469" s="116">
        <v>58.57</v>
      </c>
      <c r="Q1469" s="116">
        <v>604.35</v>
      </c>
      <c r="R1469">
        <v>24997085</v>
      </c>
    </row>
    <row r="1470" spans="1:18" x14ac:dyDescent="0.25">
      <c r="A1470" s="170">
        <v>44168</v>
      </c>
      <c r="B1470" s="116">
        <v>62.48</v>
      </c>
      <c r="C1470" s="116">
        <v>62.09</v>
      </c>
      <c r="D1470" s="116">
        <v>60.765000000000001</v>
      </c>
      <c r="E1470" s="116">
        <v>60.8</v>
      </c>
      <c r="F1470" s="116">
        <v>620.9</v>
      </c>
      <c r="G1470">
        <v>1096451</v>
      </c>
      <c r="H1470" s="116"/>
      <c r="I1470" s="116"/>
      <c r="L1470" s="170">
        <v>44168</v>
      </c>
      <c r="M1470" s="116">
        <v>62.09</v>
      </c>
      <c r="N1470" s="116">
        <v>62.475000000000001</v>
      </c>
      <c r="O1470" s="116">
        <v>60.8</v>
      </c>
      <c r="P1470" s="116">
        <v>60.9</v>
      </c>
      <c r="Q1470" s="116">
        <v>620.9</v>
      </c>
      <c r="R1470">
        <v>24775652</v>
      </c>
    </row>
    <row r="1471" spans="1:18" x14ac:dyDescent="0.25">
      <c r="A1471" s="170">
        <v>44169</v>
      </c>
      <c r="B1471" s="116">
        <v>63.24</v>
      </c>
      <c r="C1471" s="116">
        <v>62.26</v>
      </c>
      <c r="D1471" s="116">
        <v>61.5</v>
      </c>
      <c r="E1471" s="116">
        <v>62.1</v>
      </c>
      <c r="F1471" s="116">
        <v>622.6</v>
      </c>
      <c r="G1471">
        <v>913147</v>
      </c>
      <c r="H1471" s="116"/>
      <c r="I1471" s="116"/>
      <c r="L1471" s="170">
        <v>44169</v>
      </c>
      <c r="M1471" s="116">
        <v>62.27</v>
      </c>
      <c r="N1471" s="116">
        <v>63.25</v>
      </c>
      <c r="O1471" s="116">
        <v>61.46</v>
      </c>
      <c r="P1471" s="116">
        <v>62.4</v>
      </c>
      <c r="Q1471" s="116">
        <v>622.70000000000005</v>
      </c>
      <c r="R1471">
        <v>20153552</v>
      </c>
    </row>
    <row r="1472" spans="1:18" x14ac:dyDescent="0.25">
      <c r="A1472" s="170">
        <v>44172</v>
      </c>
      <c r="B1472" s="116">
        <v>62.895000000000003</v>
      </c>
      <c r="C1472" s="116">
        <v>61.445</v>
      </c>
      <c r="D1472" s="116">
        <v>60.975000000000001</v>
      </c>
      <c r="E1472" s="116">
        <v>62.3</v>
      </c>
      <c r="F1472" s="116">
        <v>614.45000000000005</v>
      </c>
      <c r="G1472">
        <v>594831</v>
      </c>
      <c r="H1472" s="116"/>
      <c r="I1472" s="116"/>
      <c r="L1472" s="170">
        <v>44172</v>
      </c>
      <c r="M1472" s="116">
        <v>61.454999999999998</v>
      </c>
      <c r="N1472" s="116">
        <v>62.9</v>
      </c>
      <c r="O1472" s="116">
        <v>60.945</v>
      </c>
      <c r="P1472" s="116">
        <v>62.36</v>
      </c>
      <c r="Q1472" s="116">
        <v>614.54999999999995</v>
      </c>
      <c r="R1472">
        <v>15588321</v>
      </c>
    </row>
    <row r="1473" spans="1:18" x14ac:dyDescent="0.25">
      <c r="A1473" s="170">
        <v>44173</v>
      </c>
      <c r="B1473" s="116">
        <v>62.094999999999999</v>
      </c>
      <c r="C1473" s="116">
        <v>61.41</v>
      </c>
      <c r="D1473" s="116">
        <v>60.255000000000003</v>
      </c>
      <c r="E1473" s="116">
        <v>61.534999999999997</v>
      </c>
      <c r="F1473" s="116">
        <v>614.1</v>
      </c>
      <c r="G1473">
        <v>676593</v>
      </c>
      <c r="H1473" s="116"/>
      <c r="I1473" s="116"/>
      <c r="L1473" s="170">
        <v>44173</v>
      </c>
      <c r="M1473" s="116">
        <v>61.344999999999999</v>
      </c>
      <c r="N1473" s="116">
        <v>62.145000000000003</v>
      </c>
      <c r="O1473" s="116">
        <v>60.244999999999997</v>
      </c>
      <c r="P1473" s="116">
        <v>61.6</v>
      </c>
      <c r="Q1473" s="116">
        <v>613.45000000000005</v>
      </c>
      <c r="R1473">
        <v>17015853</v>
      </c>
    </row>
    <row r="1474" spans="1:18" x14ac:dyDescent="0.25">
      <c r="A1474" s="170">
        <v>44174</v>
      </c>
      <c r="B1474" s="116">
        <v>62.07</v>
      </c>
      <c r="C1474" s="116">
        <v>60.924999999999997</v>
      </c>
      <c r="D1474" s="116">
        <v>60.704999999999998</v>
      </c>
      <c r="E1474" s="116">
        <v>61.9</v>
      </c>
      <c r="F1474" s="116">
        <v>609.25</v>
      </c>
      <c r="G1474">
        <v>523435</v>
      </c>
      <c r="H1474" s="116"/>
      <c r="I1474" s="116"/>
      <c r="L1474" s="170">
        <v>44174</v>
      </c>
      <c r="M1474" s="116">
        <v>60.935000000000002</v>
      </c>
      <c r="N1474" s="116">
        <v>62.07</v>
      </c>
      <c r="O1474" s="116">
        <v>60.71</v>
      </c>
      <c r="P1474" s="116">
        <v>61.8</v>
      </c>
      <c r="Q1474" s="116">
        <v>609.35</v>
      </c>
      <c r="R1474">
        <v>12730731</v>
      </c>
    </row>
    <row r="1475" spans="1:18" x14ac:dyDescent="0.25">
      <c r="A1475" s="170">
        <v>44175</v>
      </c>
      <c r="B1475" s="116">
        <v>61.375</v>
      </c>
      <c r="C1475" s="116">
        <v>61.015000000000001</v>
      </c>
      <c r="D1475" s="116">
        <v>59.354999999999997</v>
      </c>
      <c r="E1475" s="116">
        <v>60.795000000000002</v>
      </c>
      <c r="F1475" s="116">
        <v>610.15</v>
      </c>
      <c r="G1475">
        <v>667530</v>
      </c>
      <c r="H1475" s="116"/>
      <c r="I1475" s="116"/>
      <c r="L1475" s="170">
        <v>44175</v>
      </c>
      <c r="M1475" s="116">
        <v>61.01</v>
      </c>
      <c r="N1475" s="116">
        <v>61.4</v>
      </c>
      <c r="O1475" s="116">
        <v>59.35</v>
      </c>
      <c r="P1475" s="116">
        <v>60.6</v>
      </c>
      <c r="Q1475" s="116">
        <v>610.1</v>
      </c>
      <c r="R1475">
        <v>19829328</v>
      </c>
    </row>
    <row r="1476" spans="1:18" x14ac:dyDescent="0.25">
      <c r="A1476" s="170">
        <v>44176</v>
      </c>
      <c r="B1476" s="116">
        <v>62.524999999999999</v>
      </c>
      <c r="C1476" s="116">
        <v>62.174999999999997</v>
      </c>
      <c r="D1476" s="116">
        <v>61.475000000000001</v>
      </c>
      <c r="E1476" s="116">
        <v>61.51</v>
      </c>
      <c r="F1476" s="116">
        <v>621.75</v>
      </c>
      <c r="G1476">
        <v>907632</v>
      </c>
      <c r="H1476" s="116"/>
      <c r="I1476" s="116"/>
      <c r="L1476" s="170">
        <v>44176</v>
      </c>
      <c r="M1476" s="116">
        <v>62.17</v>
      </c>
      <c r="N1476" s="116">
        <v>62.545000000000002</v>
      </c>
      <c r="O1476" s="116">
        <v>61.424999999999997</v>
      </c>
      <c r="P1476" s="116">
        <v>61.49</v>
      </c>
      <c r="Q1476" s="116">
        <v>621.70000000000005</v>
      </c>
      <c r="R1476">
        <v>16395698</v>
      </c>
    </row>
    <row r="1477" spans="1:18" x14ac:dyDescent="0.25">
      <c r="A1477" s="170">
        <v>44179</v>
      </c>
      <c r="B1477" s="116">
        <v>63.87</v>
      </c>
      <c r="C1477" s="116">
        <v>62.67</v>
      </c>
      <c r="D1477" s="116">
        <v>62.03</v>
      </c>
      <c r="E1477" s="116">
        <v>62.534999999999997</v>
      </c>
      <c r="F1477" s="116">
        <v>626.70000000000005</v>
      </c>
      <c r="G1477">
        <v>853898</v>
      </c>
      <c r="H1477" s="116"/>
      <c r="I1477" s="116"/>
      <c r="L1477" s="170">
        <v>44179</v>
      </c>
      <c r="M1477" s="116">
        <v>62.674999999999997</v>
      </c>
      <c r="N1477" s="116">
        <v>63.89</v>
      </c>
      <c r="O1477" s="116">
        <v>62.53</v>
      </c>
      <c r="P1477" s="116">
        <v>62.674999999999997</v>
      </c>
      <c r="Q1477" s="116">
        <v>626.75</v>
      </c>
      <c r="R1477">
        <v>17722715</v>
      </c>
    </row>
    <row r="1478" spans="1:18" x14ac:dyDescent="0.25">
      <c r="A1478" s="170">
        <v>44180</v>
      </c>
      <c r="B1478" s="116">
        <v>63.64</v>
      </c>
      <c r="C1478" s="116">
        <v>63.52</v>
      </c>
      <c r="D1478" s="116">
        <v>61.78</v>
      </c>
      <c r="E1478" s="116">
        <v>62.53</v>
      </c>
      <c r="F1478" s="116">
        <v>635.20000000000005</v>
      </c>
      <c r="G1478">
        <v>771061</v>
      </c>
      <c r="H1478" s="116"/>
      <c r="I1478" s="116"/>
      <c r="L1478" s="170">
        <v>44180</v>
      </c>
      <c r="M1478" s="116">
        <v>63.534999999999997</v>
      </c>
      <c r="N1478" s="116">
        <v>63.71</v>
      </c>
      <c r="O1478" s="116">
        <v>61.734999999999999</v>
      </c>
      <c r="P1478" s="116">
        <v>62.344999999999999</v>
      </c>
      <c r="Q1478" s="116">
        <v>635.35</v>
      </c>
      <c r="R1478">
        <v>13226312</v>
      </c>
    </row>
    <row r="1479" spans="1:18" x14ac:dyDescent="0.25">
      <c r="A1479" s="170">
        <v>44181</v>
      </c>
      <c r="B1479" s="116">
        <v>64.94</v>
      </c>
      <c r="C1479" s="116">
        <v>64.334999999999994</v>
      </c>
      <c r="D1479" s="116">
        <v>63.825000000000003</v>
      </c>
      <c r="E1479" s="116">
        <v>64.025000000000006</v>
      </c>
      <c r="F1479" s="116">
        <v>643.35</v>
      </c>
      <c r="G1479">
        <v>494178</v>
      </c>
      <c r="H1479" s="116"/>
      <c r="I1479" s="116"/>
      <c r="L1479" s="170">
        <v>44181</v>
      </c>
      <c r="M1479" s="116">
        <v>64.34</v>
      </c>
      <c r="N1479" s="116">
        <v>64.944999999999993</v>
      </c>
      <c r="O1479" s="116">
        <v>63.82</v>
      </c>
      <c r="P1479" s="116">
        <v>64.12</v>
      </c>
      <c r="Q1479" s="116">
        <v>643.4</v>
      </c>
      <c r="R1479">
        <v>16040256</v>
      </c>
    </row>
    <row r="1480" spans="1:18" x14ac:dyDescent="0.25">
      <c r="A1480" s="170">
        <v>44182</v>
      </c>
      <c r="B1480" s="116">
        <v>64.569999999999993</v>
      </c>
      <c r="C1480" s="116">
        <v>63.54</v>
      </c>
      <c r="D1480" s="116">
        <v>63.174999999999997</v>
      </c>
      <c r="E1480" s="116">
        <v>64.5</v>
      </c>
      <c r="F1480" s="116">
        <v>635.4</v>
      </c>
      <c r="G1480">
        <v>498173</v>
      </c>
      <c r="H1480" s="116"/>
      <c r="I1480" s="116"/>
      <c r="L1480" s="170">
        <v>44182</v>
      </c>
      <c r="M1480" s="116">
        <v>63.53</v>
      </c>
      <c r="N1480" s="116">
        <v>64.599999999999994</v>
      </c>
      <c r="O1480" s="116">
        <v>63.145000000000003</v>
      </c>
      <c r="P1480" s="116">
        <v>64.34</v>
      </c>
      <c r="Q1480" s="116">
        <v>635.29999999999995</v>
      </c>
      <c r="R1480">
        <v>7965186</v>
      </c>
    </row>
    <row r="1481" spans="1:18" x14ac:dyDescent="0.25">
      <c r="A1481" s="170">
        <v>44183</v>
      </c>
      <c r="B1481" s="116">
        <v>64.09</v>
      </c>
      <c r="C1481" s="116">
        <v>63.14</v>
      </c>
      <c r="D1481" s="116">
        <v>62.8</v>
      </c>
      <c r="E1481" s="116">
        <v>63.89</v>
      </c>
      <c r="F1481" s="116">
        <v>631.4</v>
      </c>
      <c r="G1481">
        <v>702646</v>
      </c>
      <c r="H1481" s="116"/>
      <c r="I1481" s="116"/>
      <c r="L1481" s="170">
        <v>44183</v>
      </c>
      <c r="M1481" s="116">
        <v>63.125</v>
      </c>
      <c r="N1481" s="116">
        <v>64.084999999999994</v>
      </c>
      <c r="O1481" s="116">
        <v>62.8</v>
      </c>
      <c r="P1481" s="116">
        <v>63.825000000000003</v>
      </c>
      <c r="Q1481" s="116">
        <v>631.25</v>
      </c>
      <c r="R1481">
        <v>25351506</v>
      </c>
    </row>
    <row r="1482" spans="1:18" x14ac:dyDescent="0.25">
      <c r="A1482" s="170">
        <v>44186</v>
      </c>
      <c r="B1482" s="116">
        <v>62.76</v>
      </c>
      <c r="C1482" s="116">
        <v>59.515000000000001</v>
      </c>
      <c r="D1482" s="116">
        <v>58.555</v>
      </c>
      <c r="E1482" s="116">
        <v>62.5</v>
      </c>
      <c r="F1482" s="116">
        <v>595.15</v>
      </c>
      <c r="G1482">
        <v>790007</v>
      </c>
      <c r="H1482" s="116"/>
      <c r="I1482" s="116"/>
      <c r="L1482" s="170">
        <v>44186</v>
      </c>
      <c r="M1482" s="116">
        <v>59.585000000000001</v>
      </c>
      <c r="N1482" s="116">
        <v>62.77</v>
      </c>
      <c r="O1482" s="116">
        <v>58.56</v>
      </c>
      <c r="P1482" s="116">
        <v>62.4</v>
      </c>
      <c r="Q1482" s="116">
        <v>595.85</v>
      </c>
      <c r="R1482">
        <v>19076654</v>
      </c>
    </row>
    <row r="1483" spans="1:18" x14ac:dyDescent="0.25">
      <c r="A1483" s="170">
        <v>44187</v>
      </c>
      <c r="B1483" s="116">
        <v>61.055</v>
      </c>
      <c r="C1483" s="116">
        <v>60.125</v>
      </c>
      <c r="D1483" s="116">
        <v>58.454999999999998</v>
      </c>
      <c r="E1483" s="116">
        <v>59.454999999999998</v>
      </c>
      <c r="F1483" s="116">
        <v>601.25</v>
      </c>
      <c r="G1483">
        <v>869848</v>
      </c>
      <c r="H1483" s="116"/>
      <c r="I1483" s="116"/>
      <c r="L1483" s="170">
        <v>44187</v>
      </c>
      <c r="M1483" s="116">
        <v>60.134999999999998</v>
      </c>
      <c r="N1483" s="116">
        <v>61.045000000000002</v>
      </c>
      <c r="O1483" s="116">
        <v>58.5</v>
      </c>
      <c r="P1483" s="116">
        <v>59.6</v>
      </c>
      <c r="Q1483" s="116">
        <v>601.35</v>
      </c>
      <c r="R1483">
        <v>18846879</v>
      </c>
    </row>
    <row r="1484" spans="1:18" x14ac:dyDescent="0.25">
      <c r="A1484" s="170">
        <v>44188</v>
      </c>
      <c r="B1484" s="116">
        <v>62.39</v>
      </c>
      <c r="C1484" s="116">
        <v>62.15</v>
      </c>
      <c r="D1484" s="116">
        <v>59.604999999999997</v>
      </c>
      <c r="E1484" s="116">
        <v>60</v>
      </c>
      <c r="F1484" s="116">
        <v>621.5</v>
      </c>
      <c r="G1484">
        <v>416115</v>
      </c>
      <c r="H1484" s="116"/>
      <c r="I1484" s="116"/>
      <c r="L1484" s="170">
        <v>44188</v>
      </c>
      <c r="M1484" s="116">
        <v>62.14</v>
      </c>
      <c r="N1484" s="116">
        <v>62.42</v>
      </c>
      <c r="O1484" s="116">
        <v>59.63</v>
      </c>
      <c r="P1484" s="116">
        <v>59.9</v>
      </c>
      <c r="Q1484" s="116">
        <v>621.4</v>
      </c>
      <c r="R1484">
        <v>12238343</v>
      </c>
    </row>
    <row r="1485" spans="1:18" x14ac:dyDescent="0.25">
      <c r="A1485" s="170">
        <v>44189</v>
      </c>
      <c r="B1485" s="116">
        <v>63.7</v>
      </c>
      <c r="C1485" s="116">
        <v>62.225000000000001</v>
      </c>
      <c r="D1485" s="116">
        <v>61.93</v>
      </c>
      <c r="E1485" s="116">
        <v>62.5</v>
      </c>
      <c r="F1485" s="116">
        <v>622.25</v>
      </c>
      <c r="G1485">
        <v>532105</v>
      </c>
      <c r="H1485" s="116"/>
      <c r="I1485" s="116"/>
      <c r="L1485" s="170">
        <v>44189</v>
      </c>
      <c r="M1485" s="116">
        <v>62.23</v>
      </c>
      <c r="N1485" s="116">
        <v>63.695</v>
      </c>
      <c r="O1485" s="116">
        <v>61.924999999999997</v>
      </c>
      <c r="P1485" s="116">
        <v>62.53</v>
      </c>
      <c r="Q1485" s="116">
        <v>622.29999999999995</v>
      </c>
      <c r="R1485">
        <v>12090740</v>
      </c>
    </row>
    <row r="1486" spans="1:18" x14ac:dyDescent="0.25">
      <c r="A1486" s="170">
        <v>44193</v>
      </c>
      <c r="B1486" s="116">
        <v>63.534999999999997</v>
      </c>
      <c r="C1486" s="116">
        <v>63.28</v>
      </c>
      <c r="D1486" s="116">
        <v>62.66</v>
      </c>
      <c r="E1486" s="116">
        <v>62.95</v>
      </c>
      <c r="F1486" s="116">
        <v>632.79999999999995</v>
      </c>
      <c r="G1486">
        <v>366167</v>
      </c>
      <c r="H1486" s="116"/>
      <c r="I1486" s="116"/>
      <c r="L1486" s="170">
        <v>44193</v>
      </c>
      <c r="M1486" s="116">
        <v>63.265000000000001</v>
      </c>
      <c r="N1486" s="116">
        <v>63.534999999999997</v>
      </c>
      <c r="O1486" s="116">
        <v>62.66</v>
      </c>
      <c r="P1486" s="116">
        <v>62.825000000000003</v>
      </c>
      <c r="Q1486" s="116">
        <v>632.65</v>
      </c>
      <c r="R1486">
        <v>10480517</v>
      </c>
    </row>
    <row r="1487" spans="1:18" x14ac:dyDescent="0.25">
      <c r="A1487" s="170">
        <v>44194</v>
      </c>
      <c r="B1487" s="116">
        <v>63.975000000000001</v>
      </c>
      <c r="C1487" s="116">
        <v>63.185000000000002</v>
      </c>
      <c r="D1487" s="116">
        <v>62.07</v>
      </c>
      <c r="E1487" s="116">
        <v>63.7</v>
      </c>
      <c r="F1487" s="116">
        <v>631.85</v>
      </c>
      <c r="G1487">
        <v>573842</v>
      </c>
      <c r="H1487" s="116"/>
      <c r="I1487" s="116"/>
      <c r="L1487" s="170">
        <v>44194</v>
      </c>
      <c r="M1487" s="116">
        <v>63.22</v>
      </c>
      <c r="N1487" s="116">
        <v>63.965000000000003</v>
      </c>
      <c r="O1487" s="116">
        <v>62.104999999999997</v>
      </c>
      <c r="P1487" s="116">
        <v>63.784999999999997</v>
      </c>
      <c r="Q1487" s="116">
        <v>632.20000000000005</v>
      </c>
      <c r="R1487">
        <v>10416326</v>
      </c>
    </row>
    <row r="1488" spans="1:18" x14ac:dyDescent="0.25">
      <c r="A1488" s="170">
        <v>44195</v>
      </c>
      <c r="B1488" s="116">
        <v>64.394999999999996</v>
      </c>
      <c r="C1488" s="116">
        <v>64.105000000000004</v>
      </c>
      <c r="D1488" s="116">
        <v>62.45</v>
      </c>
      <c r="E1488" s="116">
        <v>63.31</v>
      </c>
      <c r="F1488" s="116">
        <v>641.04999999999995</v>
      </c>
      <c r="G1488">
        <v>462892</v>
      </c>
      <c r="H1488" s="116"/>
      <c r="I1488" s="116"/>
      <c r="L1488" s="170">
        <v>44195</v>
      </c>
      <c r="M1488" s="116">
        <v>64.045000000000002</v>
      </c>
      <c r="N1488" s="116">
        <v>64.394999999999996</v>
      </c>
      <c r="O1488" s="116">
        <v>62.405000000000001</v>
      </c>
      <c r="P1488" s="116">
        <v>63.295000000000002</v>
      </c>
      <c r="Q1488" s="116">
        <v>640.45000000000005</v>
      </c>
      <c r="R1488">
        <v>11514428</v>
      </c>
    </row>
    <row r="1489" spans="1:18" x14ac:dyDescent="0.25">
      <c r="A1489" s="170">
        <v>44196</v>
      </c>
      <c r="B1489" s="116">
        <v>65.33</v>
      </c>
      <c r="C1489" s="116">
        <v>64.355000000000004</v>
      </c>
      <c r="D1489" s="116">
        <v>63.634999999999998</v>
      </c>
      <c r="E1489" s="116">
        <v>63.69</v>
      </c>
      <c r="F1489" s="116">
        <v>643.54999999999995</v>
      </c>
      <c r="G1489">
        <v>715557</v>
      </c>
      <c r="H1489" s="116"/>
      <c r="I1489" s="116"/>
      <c r="L1489" s="170">
        <v>44196</v>
      </c>
      <c r="M1489" s="116">
        <v>64.364999999999995</v>
      </c>
      <c r="N1489" s="116">
        <v>65.349999999999994</v>
      </c>
      <c r="O1489" s="116">
        <v>63.655000000000001</v>
      </c>
      <c r="P1489" s="116">
        <v>63.655000000000001</v>
      </c>
      <c r="Q1489" s="116">
        <v>643.65</v>
      </c>
      <c r="R1489">
        <v>17713012</v>
      </c>
    </row>
    <row r="1490" spans="1:18" x14ac:dyDescent="0.25">
      <c r="A1490" s="170">
        <v>44197</v>
      </c>
      <c r="B1490" s="116">
        <v>64.954999999999998</v>
      </c>
      <c r="C1490" s="116">
        <v>64.31</v>
      </c>
      <c r="D1490" s="116">
        <v>64.045000000000002</v>
      </c>
      <c r="E1490" s="116">
        <v>64.400000000000006</v>
      </c>
      <c r="F1490" s="116">
        <v>643.1</v>
      </c>
      <c r="G1490">
        <v>562557</v>
      </c>
      <c r="H1490" s="116"/>
      <c r="I1490" s="116"/>
      <c r="L1490" s="170">
        <v>44197</v>
      </c>
      <c r="M1490" s="116">
        <v>64.31</v>
      </c>
      <c r="N1490" s="116">
        <v>64.97</v>
      </c>
      <c r="O1490" s="116">
        <v>64</v>
      </c>
      <c r="P1490" s="116">
        <v>64.5</v>
      </c>
      <c r="Q1490" s="116">
        <v>643.1</v>
      </c>
      <c r="R1490">
        <v>8411396</v>
      </c>
    </row>
    <row r="1491" spans="1:18" x14ac:dyDescent="0.25">
      <c r="A1491" s="170">
        <v>44200</v>
      </c>
      <c r="B1491" s="116">
        <v>69.944999999999993</v>
      </c>
      <c r="C1491" s="116">
        <v>69.275000000000006</v>
      </c>
      <c r="D1491" s="116">
        <v>64.655000000000001</v>
      </c>
      <c r="E1491" s="116">
        <v>64.655000000000001</v>
      </c>
      <c r="F1491" s="116">
        <v>692.75</v>
      </c>
      <c r="G1491">
        <v>1788083</v>
      </c>
      <c r="H1491" s="116"/>
      <c r="I1491" s="116"/>
      <c r="L1491" s="170">
        <v>44200</v>
      </c>
      <c r="M1491" s="116">
        <v>69.3</v>
      </c>
      <c r="N1491" s="116">
        <v>69.989999999999995</v>
      </c>
      <c r="O1491" s="116">
        <v>64.644999999999996</v>
      </c>
      <c r="P1491" s="116">
        <v>64.900000000000006</v>
      </c>
      <c r="Q1491" s="116">
        <v>693</v>
      </c>
      <c r="R1491">
        <v>38184955</v>
      </c>
    </row>
    <row r="1492" spans="1:18" x14ac:dyDescent="0.25">
      <c r="A1492" s="170">
        <v>44201</v>
      </c>
      <c r="B1492" s="116">
        <v>69.36</v>
      </c>
      <c r="C1492" s="116">
        <v>68.069999999999993</v>
      </c>
      <c r="D1492" s="116">
        <v>67.515000000000001</v>
      </c>
      <c r="E1492" s="116">
        <v>68.599999999999994</v>
      </c>
      <c r="F1492" s="116">
        <v>680.7</v>
      </c>
      <c r="G1492">
        <v>710542</v>
      </c>
      <c r="H1492" s="116"/>
      <c r="I1492" s="116"/>
      <c r="L1492" s="170">
        <v>44201</v>
      </c>
      <c r="M1492" s="116">
        <v>68.055000000000007</v>
      </c>
      <c r="N1492" s="116">
        <v>69.385000000000005</v>
      </c>
      <c r="O1492" s="116">
        <v>67.510000000000005</v>
      </c>
      <c r="P1492" s="116">
        <v>68.7</v>
      </c>
      <c r="Q1492" s="116">
        <v>680.55</v>
      </c>
      <c r="R1492">
        <v>21545254</v>
      </c>
    </row>
    <row r="1493" spans="1:18" x14ac:dyDescent="0.25">
      <c r="A1493" s="170">
        <v>44202</v>
      </c>
      <c r="B1493" s="116">
        <v>69.63</v>
      </c>
      <c r="C1493" s="116">
        <v>68.394999999999996</v>
      </c>
      <c r="D1493" s="116">
        <v>67.495000000000005</v>
      </c>
      <c r="E1493" s="116">
        <v>68.319999999999993</v>
      </c>
      <c r="F1493" s="116">
        <v>683.95</v>
      </c>
      <c r="G1493">
        <v>1066528</v>
      </c>
      <c r="H1493" s="116"/>
      <c r="I1493" s="116"/>
      <c r="L1493" s="170">
        <v>44202</v>
      </c>
      <c r="M1493" s="116">
        <v>68.38</v>
      </c>
      <c r="N1493" s="116">
        <v>69.665000000000006</v>
      </c>
      <c r="O1493" s="116">
        <v>67.5</v>
      </c>
      <c r="P1493" s="116">
        <v>68.400000000000006</v>
      </c>
      <c r="Q1493" s="116">
        <v>683.8</v>
      </c>
      <c r="R1493">
        <v>19610522</v>
      </c>
    </row>
    <row r="1494" spans="1:18" x14ac:dyDescent="0.25">
      <c r="A1494" s="170">
        <v>44203</v>
      </c>
      <c r="B1494" s="116">
        <v>73.135000000000005</v>
      </c>
      <c r="C1494" s="116">
        <v>72.275000000000006</v>
      </c>
      <c r="D1494" s="116">
        <v>69.16</v>
      </c>
      <c r="E1494" s="116">
        <v>69.16</v>
      </c>
      <c r="F1494" s="116">
        <v>722.75</v>
      </c>
      <c r="G1494">
        <v>1707019</v>
      </c>
      <c r="H1494" s="116"/>
      <c r="I1494" s="116"/>
      <c r="L1494" s="170">
        <v>44203</v>
      </c>
      <c r="M1494" s="116">
        <v>72.28</v>
      </c>
      <c r="N1494" s="116">
        <v>73.150000000000006</v>
      </c>
      <c r="O1494" s="116">
        <v>69.17</v>
      </c>
      <c r="P1494" s="116">
        <v>69.3</v>
      </c>
      <c r="Q1494" s="116">
        <v>722.8</v>
      </c>
      <c r="R1494">
        <v>38232194</v>
      </c>
    </row>
    <row r="1495" spans="1:18" x14ac:dyDescent="0.25">
      <c r="A1495" s="170">
        <v>44204</v>
      </c>
      <c r="B1495" s="116">
        <v>72.739999999999995</v>
      </c>
      <c r="C1495" s="116">
        <v>71.3</v>
      </c>
      <c r="D1495" s="116">
        <v>70.319999999999993</v>
      </c>
      <c r="E1495" s="116">
        <v>72.680000000000007</v>
      </c>
      <c r="F1495" s="116">
        <v>713</v>
      </c>
      <c r="G1495">
        <v>759366</v>
      </c>
      <c r="H1495" s="116"/>
      <c r="I1495" s="116"/>
      <c r="L1495" s="170">
        <v>44204</v>
      </c>
      <c r="M1495" s="116">
        <v>71.314999999999998</v>
      </c>
      <c r="N1495" s="116">
        <v>72.724999999999994</v>
      </c>
      <c r="O1495" s="116">
        <v>70.31</v>
      </c>
      <c r="P1495" s="116">
        <v>72.7</v>
      </c>
      <c r="Q1495" s="116">
        <v>713.15</v>
      </c>
      <c r="R1495">
        <v>19329313</v>
      </c>
    </row>
    <row r="1496" spans="1:18" x14ac:dyDescent="0.25">
      <c r="A1496" s="170">
        <v>44207</v>
      </c>
      <c r="B1496" s="116">
        <v>71.325000000000003</v>
      </c>
      <c r="C1496" s="116">
        <v>69.55</v>
      </c>
      <c r="D1496" s="116">
        <v>68.83</v>
      </c>
      <c r="E1496" s="116">
        <v>71.325000000000003</v>
      </c>
      <c r="F1496" s="116">
        <v>695.5</v>
      </c>
      <c r="G1496">
        <v>782631</v>
      </c>
      <c r="H1496" s="116"/>
      <c r="I1496" s="116"/>
      <c r="L1496" s="170">
        <v>44207</v>
      </c>
      <c r="M1496" s="116">
        <v>69.564999999999998</v>
      </c>
      <c r="N1496" s="116">
        <v>71.2</v>
      </c>
      <c r="O1496" s="116">
        <v>68.819999999999993</v>
      </c>
      <c r="P1496" s="116">
        <v>71.2</v>
      </c>
      <c r="Q1496" s="116">
        <v>695.65</v>
      </c>
      <c r="R1496">
        <v>17024509</v>
      </c>
    </row>
    <row r="1497" spans="1:18" x14ac:dyDescent="0.25">
      <c r="A1497" s="170">
        <v>44208</v>
      </c>
      <c r="B1497" s="116">
        <v>72.424999999999997</v>
      </c>
      <c r="C1497" s="116">
        <v>69.474999999999994</v>
      </c>
      <c r="D1497" s="116">
        <v>69.155000000000001</v>
      </c>
      <c r="E1497" s="116">
        <v>69.66</v>
      </c>
      <c r="F1497" s="116">
        <v>694.75</v>
      </c>
      <c r="G1497">
        <v>1037640</v>
      </c>
      <c r="H1497" s="116"/>
      <c r="I1497" s="116"/>
      <c r="L1497" s="170">
        <v>44208</v>
      </c>
      <c r="M1497" s="116">
        <v>69.489999999999995</v>
      </c>
      <c r="N1497" s="116">
        <v>72.45</v>
      </c>
      <c r="O1497" s="116">
        <v>69.11</v>
      </c>
      <c r="P1497" s="116">
        <v>69.5</v>
      </c>
      <c r="Q1497" s="116">
        <v>694.9</v>
      </c>
      <c r="R1497">
        <v>24525484</v>
      </c>
    </row>
    <row r="1498" spans="1:18" x14ac:dyDescent="0.25">
      <c r="A1498" s="170">
        <v>44209</v>
      </c>
      <c r="B1498" s="116">
        <v>71.47</v>
      </c>
      <c r="C1498" s="116">
        <v>70.92</v>
      </c>
      <c r="D1498" s="116">
        <v>69.314999999999998</v>
      </c>
      <c r="E1498" s="116">
        <v>70.319999999999993</v>
      </c>
      <c r="F1498" s="116">
        <v>709.2</v>
      </c>
      <c r="G1498">
        <v>719223</v>
      </c>
      <c r="H1498" s="116"/>
      <c r="I1498" s="116"/>
      <c r="L1498" s="170">
        <v>44209</v>
      </c>
      <c r="M1498" s="116">
        <v>70.915000000000006</v>
      </c>
      <c r="N1498" s="116">
        <v>71.454999999999998</v>
      </c>
      <c r="O1498" s="116">
        <v>69.3</v>
      </c>
      <c r="P1498" s="116">
        <v>70.144999999999996</v>
      </c>
      <c r="Q1498" s="116">
        <v>709.15</v>
      </c>
      <c r="R1498">
        <v>19353871</v>
      </c>
    </row>
    <row r="1499" spans="1:18" x14ac:dyDescent="0.25">
      <c r="A1499" s="170">
        <v>44210</v>
      </c>
      <c r="B1499" s="116">
        <v>71.435000000000002</v>
      </c>
      <c r="C1499" s="116">
        <v>70.614999999999995</v>
      </c>
      <c r="D1499" s="116">
        <v>69.72</v>
      </c>
      <c r="E1499" s="116">
        <v>71.099999999999994</v>
      </c>
      <c r="F1499" s="116">
        <v>706.15</v>
      </c>
      <c r="G1499">
        <v>473931</v>
      </c>
      <c r="H1499" s="116"/>
      <c r="I1499" s="116"/>
      <c r="L1499" s="170">
        <v>44210</v>
      </c>
      <c r="M1499" s="116">
        <v>70.635000000000005</v>
      </c>
      <c r="N1499" s="116">
        <v>71.444999999999993</v>
      </c>
      <c r="O1499" s="116">
        <v>69.709999999999994</v>
      </c>
      <c r="P1499" s="116">
        <v>71</v>
      </c>
      <c r="Q1499" s="116">
        <v>706.35</v>
      </c>
      <c r="R1499">
        <v>11540858</v>
      </c>
    </row>
    <row r="1500" spans="1:18" x14ac:dyDescent="0.25">
      <c r="A1500" s="170">
        <v>44211</v>
      </c>
      <c r="B1500" s="116">
        <v>72.144999999999996</v>
      </c>
      <c r="C1500" s="116">
        <v>70.555000000000007</v>
      </c>
      <c r="D1500" s="116">
        <v>69.8</v>
      </c>
      <c r="E1500" s="116">
        <v>71</v>
      </c>
      <c r="F1500" s="116">
        <v>705.55</v>
      </c>
      <c r="G1500">
        <v>921414</v>
      </c>
      <c r="H1500" s="116"/>
      <c r="I1500" s="116"/>
      <c r="L1500" s="170">
        <v>44211</v>
      </c>
      <c r="M1500" s="116">
        <v>70.59</v>
      </c>
      <c r="N1500" s="116">
        <v>72.150000000000006</v>
      </c>
      <c r="O1500" s="116">
        <v>69.765000000000001</v>
      </c>
      <c r="P1500" s="116">
        <v>71.2</v>
      </c>
      <c r="Q1500" s="116">
        <v>705.9</v>
      </c>
      <c r="R1500">
        <v>20688437</v>
      </c>
    </row>
    <row r="1501" spans="1:18" x14ac:dyDescent="0.25">
      <c r="A1501" s="170">
        <v>44214</v>
      </c>
      <c r="B1501" s="116">
        <v>71</v>
      </c>
      <c r="C1501" s="116">
        <v>66.62</v>
      </c>
      <c r="D1501" s="116">
        <v>65.965000000000003</v>
      </c>
      <c r="E1501" s="116">
        <v>70.599999999999994</v>
      </c>
      <c r="F1501" s="116">
        <v>666.2</v>
      </c>
      <c r="G1501">
        <v>834129</v>
      </c>
      <c r="H1501" s="116"/>
      <c r="I1501" s="116"/>
      <c r="L1501" s="170">
        <v>44214</v>
      </c>
      <c r="M1501" s="116">
        <v>66.67</v>
      </c>
      <c r="N1501" s="116">
        <v>70.875</v>
      </c>
      <c r="O1501" s="116">
        <v>65.95</v>
      </c>
      <c r="P1501" s="116">
        <v>70.8</v>
      </c>
      <c r="Q1501" s="116">
        <v>666.7</v>
      </c>
      <c r="R1501">
        <v>25045226</v>
      </c>
    </row>
    <row r="1502" spans="1:18" x14ac:dyDescent="0.25">
      <c r="A1502" s="170">
        <v>44215</v>
      </c>
      <c r="B1502" s="116">
        <v>68.39</v>
      </c>
      <c r="C1502" s="116">
        <v>68.064999999999998</v>
      </c>
      <c r="D1502" s="116">
        <v>64.760000000000005</v>
      </c>
      <c r="E1502" s="116">
        <v>67.099999999999994</v>
      </c>
      <c r="F1502" s="116">
        <v>680.65</v>
      </c>
      <c r="G1502">
        <v>814466</v>
      </c>
      <c r="H1502" s="116"/>
      <c r="I1502" s="116"/>
      <c r="L1502" s="170">
        <v>44215</v>
      </c>
      <c r="M1502" s="116">
        <v>68.11</v>
      </c>
      <c r="N1502" s="116">
        <v>68.394999999999996</v>
      </c>
      <c r="O1502" s="116">
        <v>64.7</v>
      </c>
      <c r="P1502" s="116">
        <v>67.2</v>
      </c>
      <c r="Q1502" s="116">
        <v>681.1</v>
      </c>
      <c r="R1502">
        <v>31245118</v>
      </c>
    </row>
    <row r="1503" spans="1:18" x14ac:dyDescent="0.25">
      <c r="A1503" s="170">
        <v>44216</v>
      </c>
      <c r="B1503" s="116">
        <v>69.944999999999993</v>
      </c>
      <c r="C1503" s="116">
        <v>69.015000000000001</v>
      </c>
      <c r="D1503" s="116">
        <v>68.245000000000005</v>
      </c>
      <c r="E1503" s="116">
        <v>69.5</v>
      </c>
      <c r="F1503" s="116">
        <v>690.15</v>
      </c>
      <c r="G1503">
        <v>933096</v>
      </c>
      <c r="H1503" s="116"/>
      <c r="I1503" s="116"/>
      <c r="L1503" s="170">
        <v>44216</v>
      </c>
      <c r="M1503" s="116">
        <v>69.015000000000001</v>
      </c>
      <c r="N1503" s="116">
        <v>69.95</v>
      </c>
      <c r="O1503" s="116">
        <v>68.260000000000005</v>
      </c>
      <c r="P1503" s="116">
        <v>69.015000000000001</v>
      </c>
      <c r="Q1503" s="116">
        <v>690.15</v>
      </c>
      <c r="R1503">
        <v>23313150</v>
      </c>
    </row>
    <row r="1504" spans="1:18" x14ac:dyDescent="0.25">
      <c r="A1504" s="170">
        <v>44217</v>
      </c>
      <c r="B1504" s="116">
        <v>69.474999999999994</v>
      </c>
      <c r="C1504" s="116">
        <v>66.680000000000007</v>
      </c>
      <c r="D1504" s="116">
        <v>66.19</v>
      </c>
      <c r="E1504" s="116">
        <v>69.3</v>
      </c>
      <c r="F1504" s="116">
        <v>666.8</v>
      </c>
      <c r="G1504">
        <v>825093</v>
      </c>
      <c r="H1504" s="116"/>
      <c r="I1504" s="116"/>
      <c r="L1504" s="170">
        <v>44217</v>
      </c>
      <c r="M1504" s="116">
        <v>66.67</v>
      </c>
      <c r="N1504" s="116">
        <v>69.474999999999994</v>
      </c>
      <c r="O1504" s="116">
        <v>66.16</v>
      </c>
      <c r="P1504" s="116">
        <v>69.099999999999994</v>
      </c>
      <c r="Q1504" s="116">
        <v>666.7</v>
      </c>
      <c r="R1504">
        <v>16117867</v>
      </c>
    </row>
    <row r="1505" spans="1:18" x14ac:dyDescent="0.25">
      <c r="A1505" s="170">
        <v>44218</v>
      </c>
      <c r="B1505" s="116">
        <v>67.584999999999994</v>
      </c>
      <c r="C1505" s="116">
        <v>64.694999999999993</v>
      </c>
      <c r="D1505" s="116">
        <v>63.395000000000003</v>
      </c>
      <c r="E1505" s="116">
        <v>67.040000000000006</v>
      </c>
      <c r="F1505" s="116">
        <v>646.95000000000005</v>
      </c>
      <c r="G1505">
        <v>1186818</v>
      </c>
      <c r="H1505" s="116"/>
      <c r="I1505" s="116"/>
      <c r="L1505" s="170">
        <v>44218</v>
      </c>
      <c r="M1505" s="116">
        <v>64.7</v>
      </c>
      <c r="N1505" s="116">
        <v>67.58</v>
      </c>
      <c r="O1505" s="116">
        <v>63.365000000000002</v>
      </c>
      <c r="P1505" s="116">
        <v>67</v>
      </c>
      <c r="Q1505" s="116">
        <v>647</v>
      </c>
      <c r="R1505">
        <v>23715665</v>
      </c>
    </row>
    <row r="1506" spans="1:18" x14ac:dyDescent="0.25">
      <c r="A1506" s="170">
        <v>44221</v>
      </c>
      <c r="B1506" s="116">
        <v>66.17</v>
      </c>
      <c r="C1506" s="116">
        <v>65.209999999999994</v>
      </c>
      <c r="D1506" s="116">
        <v>63.104999999999997</v>
      </c>
      <c r="E1506" s="116">
        <v>64.86</v>
      </c>
      <c r="F1506" s="116">
        <v>652.1</v>
      </c>
      <c r="G1506">
        <v>628262</v>
      </c>
      <c r="H1506" s="116"/>
      <c r="I1506" s="116"/>
      <c r="L1506" s="170">
        <v>44221</v>
      </c>
      <c r="M1506" s="116">
        <v>65.194999999999993</v>
      </c>
      <c r="N1506" s="116">
        <v>66.185000000000002</v>
      </c>
      <c r="O1506" s="116">
        <v>63.1</v>
      </c>
      <c r="P1506" s="116">
        <v>65.099999999999994</v>
      </c>
      <c r="Q1506" s="116">
        <v>651.95000000000005</v>
      </c>
      <c r="R1506">
        <v>16348473</v>
      </c>
    </row>
    <row r="1507" spans="1:18" x14ac:dyDescent="0.25">
      <c r="A1507" s="170">
        <v>44223</v>
      </c>
      <c r="B1507" s="116">
        <v>65.2</v>
      </c>
      <c r="C1507" s="116">
        <v>62.58</v>
      </c>
      <c r="D1507" s="116">
        <v>62.36</v>
      </c>
      <c r="E1507" s="116">
        <v>65.2</v>
      </c>
      <c r="F1507" s="116">
        <v>625.79999999999995</v>
      </c>
      <c r="G1507">
        <v>612290</v>
      </c>
      <c r="H1507" s="116"/>
      <c r="I1507" s="116"/>
      <c r="L1507" s="170">
        <v>44223</v>
      </c>
      <c r="M1507" s="116">
        <v>62.6</v>
      </c>
      <c r="N1507" s="116">
        <v>65.114999999999995</v>
      </c>
      <c r="O1507" s="116">
        <v>62.38</v>
      </c>
      <c r="P1507" s="116">
        <v>65.09</v>
      </c>
      <c r="Q1507" s="116">
        <v>626</v>
      </c>
      <c r="R1507">
        <v>14918084</v>
      </c>
    </row>
    <row r="1508" spans="1:18" x14ac:dyDescent="0.25">
      <c r="A1508" s="170">
        <v>44224</v>
      </c>
      <c r="B1508" s="116">
        <v>63.05</v>
      </c>
      <c r="C1508" s="116">
        <v>62.395000000000003</v>
      </c>
      <c r="D1508" s="116">
        <v>61.4</v>
      </c>
      <c r="E1508" s="116">
        <v>61.8</v>
      </c>
      <c r="F1508" s="116">
        <v>623.95000000000005</v>
      </c>
      <c r="G1508">
        <v>688563</v>
      </c>
      <c r="H1508" s="116"/>
      <c r="I1508" s="116"/>
      <c r="L1508" s="170">
        <v>44224</v>
      </c>
      <c r="M1508" s="116">
        <v>62.37</v>
      </c>
      <c r="N1508" s="116">
        <v>63.06</v>
      </c>
      <c r="O1508" s="116">
        <v>61.26</v>
      </c>
      <c r="P1508" s="116">
        <v>61.8</v>
      </c>
      <c r="Q1508" s="116">
        <v>623.70000000000005</v>
      </c>
      <c r="R1508">
        <v>17091752</v>
      </c>
    </row>
    <row r="1509" spans="1:18" x14ac:dyDescent="0.25">
      <c r="A1509" s="170">
        <v>44225</v>
      </c>
      <c r="B1509" s="116">
        <v>63.36</v>
      </c>
      <c r="C1509" s="116">
        <v>60.115000000000002</v>
      </c>
      <c r="D1509" s="116">
        <v>59.63</v>
      </c>
      <c r="E1509" s="116">
        <v>62.91</v>
      </c>
      <c r="F1509" s="116">
        <v>601.15</v>
      </c>
      <c r="G1509">
        <v>1250837</v>
      </c>
      <c r="H1509" s="116"/>
      <c r="I1509" s="116"/>
      <c r="L1509" s="170">
        <v>44225</v>
      </c>
      <c r="M1509" s="116">
        <v>60.1</v>
      </c>
      <c r="N1509" s="116">
        <v>63.38</v>
      </c>
      <c r="O1509" s="116">
        <v>59.6</v>
      </c>
      <c r="P1509" s="116">
        <v>63.005000000000003</v>
      </c>
      <c r="Q1509" s="116">
        <v>601</v>
      </c>
      <c r="R1509">
        <v>26826575</v>
      </c>
    </row>
    <row r="1510" spans="1:18" x14ac:dyDescent="0.25">
      <c r="A1510" s="170">
        <v>44228</v>
      </c>
      <c r="B1510" s="116">
        <v>63.99</v>
      </c>
      <c r="C1510" s="116">
        <v>63.615000000000002</v>
      </c>
      <c r="D1510" s="116">
        <v>59.744999999999997</v>
      </c>
      <c r="E1510" s="116">
        <v>60.4</v>
      </c>
      <c r="F1510" s="116">
        <v>636.15</v>
      </c>
      <c r="G1510">
        <v>1197980</v>
      </c>
      <c r="H1510" s="116"/>
      <c r="I1510" s="116"/>
      <c r="L1510" s="170">
        <v>44228</v>
      </c>
      <c r="M1510" s="116">
        <v>63.61</v>
      </c>
      <c r="N1510" s="116">
        <v>64</v>
      </c>
      <c r="O1510" s="116">
        <v>59.744999999999997</v>
      </c>
      <c r="P1510" s="116">
        <v>60.49</v>
      </c>
      <c r="Q1510" s="116">
        <v>636.1</v>
      </c>
      <c r="R1510">
        <v>21084694</v>
      </c>
    </row>
    <row r="1511" spans="1:18" x14ac:dyDescent="0.25">
      <c r="A1511" s="170">
        <v>44229</v>
      </c>
      <c r="B1511" s="116">
        <v>64.78</v>
      </c>
      <c r="C1511" s="116">
        <v>64.17</v>
      </c>
      <c r="D1511" s="116">
        <v>62.435000000000002</v>
      </c>
      <c r="E1511" s="116">
        <v>64.06</v>
      </c>
      <c r="F1511" s="116">
        <v>641.70000000000005</v>
      </c>
      <c r="G1511">
        <v>850278</v>
      </c>
      <c r="H1511" s="116"/>
      <c r="I1511" s="116"/>
      <c r="L1511" s="170">
        <v>44229</v>
      </c>
      <c r="M1511" s="116">
        <v>64.165000000000006</v>
      </c>
      <c r="N1511" s="116">
        <v>64.8</v>
      </c>
      <c r="O1511" s="116">
        <v>62.41</v>
      </c>
      <c r="P1511" s="116">
        <v>64.3</v>
      </c>
      <c r="Q1511" s="116">
        <v>641.65</v>
      </c>
      <c r="R1511">
        <v>18048957</v>
      </c>
    </row>
    <row r="1512" spans="1:18" x14ac:dyDescent="0.25">
      <c r="A1512" s="170">
        <v>44230</v>
      </c>
      <c r="B1512" s="116">
        <v>66.400000000000006</v>
      </c>
      <c r="C1512" s="116">
        <v>65.295000000000002</v>
      </c>
      <c r="D1512" s="116">
        <v>63.73</v>
      </c>
      <c r="E1512" s="116">
        <v>64.224999999999994</v>
      </c>
      <c r="F1512" s="116">
        <v>652.95000000000005</v>
      </c>
      <c r="G1512">
        <v>783219</v>
      </c>
      <c r="H1512" s="116"/>
      <c r="I1512" s="116"/>
      <c r="L1512" s="170">
        <v>44230</v>
      </c>
      <c r="M1512" s="116">
        <v>65.314999999999998</v>
      </c>
      <c r="N1512" s="116">
        <v>66.430000000000007</v>
      </c>
      <c r="O1512" s="116">
        <v>63.725000000000001</v>
      </c>
      <c r="P1512" s="116">
        <v>64.489999999999995</v>
      </c>
      <c r="Q1512" s="116">
        <v>653.15</v>
      </c>
      <c r="R1512">
        <v>14846381</v>
      </c>
    </row>
    <row r="1513" spans="1:18" x14ac:dyDescent="0.25">
      <c r="A1513" s="170">
        <v>44231</v>
      </c>
      <c r="B1513" s="116">
        <v>66.349999999999994</v>
      </c>
      <c r="C1513" s="116">
        <v>65.61</v>
      </c>
      <c r="D1513" s="116">
        <v>63.88</v>
      </c>
      <c r="E1513" s="116">
        <v>65.3</v>
      </c>
      <c r="F1513" s="116">
        <v>656.1</v>
      </c>
      <c r="G1513">
        <v>498479</v>
      </c>
      <c r="H1513" s="116"/>
      <c r="I1513" s="116"/>
      <c r="L1513" s="170">
        <v>44231</v>
      </c>
      <c r="M1513" s="116">
        <v>65.594999999999999</v>
      </c>
      <c r="N1513" s="116">
        <v>66.349999999999994</v>
      </c>
      <c r="O1513" s="116">
        <v>63.86</v>
      </c>
      <c r="P1513" s="116">
        <v>65.400000000000006</v>
      </c>
      <c r="Q1513" s="116">
        <v>655.95</v>
      </c>
      <c r="R1513">
        <v>14764995</v>
      </c>
    </row>
    <row r="1514" spans="1:18" x14ac:dyDescent="0.25">
      <c r="A1514" s="170">
        <v>44232</v>
      </c>
      <c r="B1514" s="116">
        <v>69</v>
      </c>
      <c r="C1514" s="116">
        <v>68.515000000000001</v>
      </c>
      <c r="D1514" s="116">
        <v>65.150000000000006</v>
      </c>
      <c r="E1514" s="116">
        <v>65.7</v>
      </c>
      <c r="F1514" s="116">
        <v>685.15</v>
      </c>
      <c r="G1514">
        <v>1778404</v>
      </c>
      <c r="H1514" s="116"/>
      <c r="I1514" s="116"/>
      <c r="L1514" s="170">
        <v>44232</v>
      </c>
      <c r="M1514" s="116">
        <v>68.504999999999995</v>
      </c>
      <c r="N1514" s="116">
        <v>69.06</v>
      </c>
      <c r="O1514" s="116">
        <v>65.14</v>
      </c>
      <c r="P1514" s="116">
        <v>65.69</v>
      </c>
      <c r="Q1514" s="116">
        <v>685.05</v>
      </c>
      <c r="R1514">
        <v>29100888</v>
      </c>
    </row>
    <row r="1515" spans="1:18" x14ac:dyDescent="0.25">
      <c r="A1515" s="170">
        <v>44235</v>
      </c>
      <c r="B1515" s="116">
        <v>70.444999999999993</v>
      </c>
      <c r="C1515" s="116">
        <v>70.290000000000006</v>
      </c>
      <c r="D1515" s="116">
        <v>68.27</v>
      </c>
      <c r="E1515" s="116">
        <v>69.489999999999995</v>
      </c>
      <c r="F1515" s="116">
        <v>702.9</v>
      </c>
      <c r="G1515">
        <v>1209448</v>
      </c>
      <c r="H1515" s="116"/>
      <c r="I1515" s="116"/>
      <c r="L1515" s="170">
        <v>44235</v>
      </c>
      <c r="M1515" s="116">
        <v>70.295000000000002</v>
      </c>
      <c r="N1515" s="116">
        <v>70.489999999999995</v>
      </c>
      <c r="O1515" s="116">
        <v>68.27</v>
      </c>
      <c r="P1515" s="116">
        <v>69.400000000000006</v>
      </c>
      <c r="Q1515" s="116">
        <v>702.95</v>
      </c>
      <c r="R1515">
        <v>21462169</v>
      </c>
    </row>
    <row r="1516" spans="1:18" x14ac:dyDescent="0.25">
      <c r="A1516" s="170">
        <v>44236</v>
      </c>
      <c r="B1516" s="116">
        <v>71.63</v>
      </c>
      <c r="C1516" s="116">
        <v>69.954999999999998</v>
      </c>
      <c r="D1516" s="116">
        <v>69.17</v>
      </c>
      <c r="E1516" s="116">
        <v>70.650000000000006</v>
      </c>
      <c r="F1516" s="116">
        <v>699.55</v>
      </c>
      <c r="G1516">
        <v>980881</v>
      </c>
      <c r="H1516" s="116"/>
      <c r="I1516" s="116"/>
      <c r="L1516" s="170">
        <v>44236</v>
      </c>
      <c r="M1516" s="116">
        <v>69.92</v>
      </c>
      <c r="N1516" s="116">
        <v>71.644999999999996</v>
      </c>
      <c r="O1516" s="116">
        <v>69.16</v>
      </c>
      <c r="P1516" s="116">
        <v>70.650000000000006</v>
      </c>
      <c r="Q1516" s="116">
        <v>699.2</v>
      </c>
      <c r="R1516">
        <v>29337028</v>
      </c>
    </row>
    <row r="1517" spans="1:18" x14ac:dyDescent="0.25">
      <c r="A1517" s="170">
        <v>44237</v>
      </c>
      <c r="B1517" s="116">
        <v>72.44</v>
      </c>
      <c r="C1517" s="116">
        <v>69.025000000000006</v>
      </c>
      <c r="D1517" s="116">
        <v>68.040000000000006</v>
      </c>
      <c r="E1517" s="116">
        <v>71.3</v>
      </c>
      <c r="F1517" s="116">
        <v>690.25</v>
      </c>
      <c r="G1517">
        <v>2450547</v>
      </c>
      <c r="H1517" s="116"/>
      <c r="I1517" s="116"/>
      <c r="L1517" s="170">
        <v>44237</v>
      </c>
      <c r="M1517" s="116">
        <v>69.025000000000006</v>
      </c>
      <c r="N1517" s="116">
        <v>72.45</v>
      </c>
      <c r="O1517" s="116">
        <v>68.004999999999995</v>
      </c>
      <c r="P1517" s="116">
        <v>71</v>
      </c>
      <c r="Q1517" s="116">
        <v>690.25</v>
      </c>
      <c r="R1517">
        <v>57397919</v>
      </c>
    </row>
    <row r="1518" spans="1:18" x14ac:dyDescent="0.25">
      <c r="A1518" s="170">
        <v>44238</v>
      </c>
      <c r="B1518" s="116">
        <v>70.459999999999994</v>
      </c>
      <c r="C1518" s="116">
        <v>69.45</v>
      </c>
      <c r="D1518" s="116">
        <v>68.3</v>
      </c>
      <c r="E1518" s="116">
        <v>69.025000000000006</v>
      </c>
      <c r="F1518" s="116">
        <v>694.5</v>
      </c>
      <c r="G1518">
        <v>626305</v>
      </c>
      <c r="H1518" s="116"/>
      <c r="I1518" s="116"/>
      <c r="L1518" s="170">
        <v>44238</v>
      </c>
      <c r="M1518" s="116">
        <v>69.47</v>
      </c>
      <c r="N1518" s="116">
        <v>70.459999999999994</v>
      </c>
      <c r="O1518" s="116">
        <v>68.284999999999997</v>
      </c>
      <c r="P1518" s="116">
        <v>68.760000000000005</v>
      </c>
      <c r="Q1518" s="116">
        <v>694.7</v>
      </c>
      <c r="R1518">
        <v>16340705</v>
      </c>
    </row>
    <row r="1519" spans="1:18" x14ac:dyDescent="0.25">
      <c r="A1519" s="170">
        <v>44239</v>
      </c>
      <c r="B1519" s="116">
        <v>69.784999999999997</v>
      </c>
      <c r="C1519" s="116">
        <v>68.045000000000002</v>
      </c>
      <c r="D1519" s="116">
        <v>67.83</v>
      </c>
      <c r="E1519" s="116">
        <v>69.424999999999997</v>
      </c>
      <c r="F1519" s="116">
        <v>680.45</v>
      </c>
      <c r="G1519">
        <v>458855</v>
      </c>
      <c r="H1519" s="116"/>
      <c r="I1519" s="116"/>
      <c r="L1519" s="170">
        <v>44239</v>
      </c>
      <c r="M1519" s="116">
        <v>68.05</v>
      </c>
      <c r="N1519" s="116">
        <v>69.790000000000006</v>
      </c>
      <c r="O1519" s="116">
        <v>67.849999999999994</v>
      </c>
      <c r="P1519" s="116">
        <v>69.5</v>
      </c>
      <c r="Q1519" s="116">
        <v>680.5</v>
      </c>
      <c r="R1519">
        <v>14705479</v>
      </c>
    </row>
    <row r="1520" spans="1:18" x14ac:dyDescent="0.25">
      <c r="A1520" s="170">
        <v>44242</v>
      </c>
      <c r="B1520" s="116">
        <v>68.795000000000002</v>
      </c>
      <c r="C1520" s="116">
        <v>67.185000000000002</v>
      </c>
      <c r="D1520" s="116">
        <v>66.954999999999998</v>
      </c>
      <c r="E1520" s="116">
        <v>68.795000000000002</v>
      </c>
      <c r="F1520" s="116">
        <v>671.85</v>
      </c>
      <c r="G1520">
        <v>422806</v>
      </c>
      <c r="H1520" s="116"/>
      <c r="I1520" s="116"/>
      <c r="L1520" s="170">
        <v>44242</v>
      </c>
      <c r="M1520" s="116">
        <v>67.215000000000003</v>
      </c>
      <c r="N1520" s="116">
        <v>68.8</v>
      </c>
      <c r="O1520" s="116">
        <v>67</v>
      </c>
      <c r="P1520" s="116">
        <v>68.709999999999994</v>
      </c>
      <c r="Q1520" s="116">
        <v>672.15</v>
      </c>
      <c r="R1520">
        <v>13171672</v>
      </c>
    </row>
    <row r="1521" spans="1:18" x14ac:dyDescent="0.25">
      <c r="A1521" s="170">
        <v>44243</v>
      </c>
      <c r="B1521" s="116">
        <v>70.87</v>
      </c>
      <c r="C1521" s="116">
        <v>69.86</v>
      </c>
      <c r="D1521" s="116">
        <v>67</v>
      </c>
      <c r="E1521" s="116">
        <v>67.25</v>
      </c>
      <c r="F1521" s="116">
        <v>698.6</v>
      </c>
      <c r="G1521">
        <v>1323124</v>
      </c>
      <c r="H1521" s="116"/>
      <c r="I1521" s="116"/>
      <c r="L1521" s="170">
        <v>44243</v>
      </c>
      <c r="M1521" s="116">
        <v>69.92</v>
      </c>
      <c r="N1521" s="116">
        <v>70.86</v>
      </c>
      <c r="O1521" s="116">
        <v>66.83</v>
      </c>
      <c r="P1521" s="116">
        <v>67.215000000000003</v>
      </c>
      <c r="Q1521" s="116">
        <v>699.2</v>
      </c>
      <c r="R1521">
        <v>33661838</v>
      </c>
    </row>
    <row r="1522" spans="1:18" x14ac:dyDescent="0.25">
      <c r="A1522" s="170">
        <v>44244</v>
      </c>
      <c r="B1522" s="116">
        <v>70.319999999999993</v>
      </c>
      <c r="C1522" s="116">
        <v>69.67</v>
      </c>
      <c r="D1522" s="116">
        <v>68.75</v>
      </c>
      <c r="E1522" s="116">
        <v>69.894999999999996</v>
      </c>
      <c r="F1522" s="116">
        <v>696.7</v>
      </c>
      <c r="G1522">
        <v>517852</v>
      </c>
      <c r="H1522" s="116"/>
      <c r="I1522" s="116"/>
      <c r="L1522" s="170">
        <v>44244</v>
      </c>
      <c r="M1522" s="116">
        <v>69.680000000000007</v>
      </c>
      <c r="N1522" s="116">
        <v>70.349999999999994</v>
      </c>
      <c r="O1522" s="116">
        <v>68.75</v>
      </c>
      <c r="P1522" s="116">
        <v>69.765000000000001</v>
      </c>
      <c r="Q1522" s="116">
        <v>696.8</v>
      </c>
      <c r="R1522">
        <v>15957483</v>
      </c>
    </row>
    <row r="1523" spans="1:18" x14ac:dyDescent="0.25">
      <c r="A1523" s="170">
        <v>44245</v>
      </c>
      <c r="B1523" s="116">
        <v>71.099999999999994</v>
      </c>
      <c r="C1523" s="116">
        <v>69.784999999999997</v>
      </c>
      <c r="D1523" s="116">
        <v>69.41</v>
      </c>
      <c r="E1523" s="116">
        <v>70.3</v>
      </c>
      <c r="F1523" s="116">
        <v>697.85</v>
      </c>
      <c r="G1523">
        <v>488302</v>
      </c>
      <c r="H1523" s="116"/>
      <c r="I1523" s="116"/>
      <c r="L1523" s="170">
        <v>44245</v>
      </c>
      <c r="M1523" s="116">
        <v>69.775000000000006</v>
      </c>
      <c r="N1523" s="116">
        <v>71.099999999999994</v>
      </c>
      <c r="O1523" s="116">
        <v>69.400000000000006</v>
      </c>
      <c r="P1523" s="116">
        <v>70</v>
      </c>
      <c r="Q1523" s="116">
        <v>697.75</v>
      </c>
      <c r="R1523">
        <v>14856147</v>
      </c>
    </row>
    <row r="1524" spans="1:18" x14ac:dyDescent="0.25">
      <c r="A1524" s="170">
        <v>44246</v>
      </c>
      <c r="B1524" s="116">
        <v>69.56</v>
      </c>
      <c r="C1524" s="116">
        <v>67.064999999999998</v>
      </c>
      <c r="D1524" s="116">
        <v>65.599999999999994</v>
      </c>
      <c r="E1524" s="116">
        <v>69.555000000000007</v>
      </c>
      <c r="F1524" s="116">
        <v>670.65</v>
      </c>
      <c r="G1524">
        <v>990072</v>
      </c>
      <c r="H1524" s="116"/>
      <c r="I1524" s="116"/>
      <c r="L1524" s="170">
        <v>44246</v>
      </c>
      <c r="M1524" s="116">
        <v>67.069999999999993</v>
      </c>
      <c r="N1524" s="116">
        <v>69.599999999999994</v>
      </c>
      <c r="O1524" s="116">
        <v>65.594999999999999</v>
      </c>
      <c r="P1524" s="116">
        <v>69.599999999999994</v>
      </c>
      <c r="Q1524" s="116">
        <v>670.7</v>
      </c>
      <c r="R1524">
        <v>22392386</v>
      </c>
    </row>
    <row r="1525" spans="1:18" x14ac:dyDescent="0.25">
      <c r="A1525" s="170">
        <v>44249</v>
      </c>
      <c r="B1525" s="116">
        <v>69.709999999999994</v>
      </c>
      <c r="C1525" s="116">
        <v>68.36</v>
      </c>
      <c r="D1525" s="116">
        <v>67.099999999999994</v>
      </c>
      <c r="E1525" s="116">
        <v>67.215000000000003</v>
      </c>
      <c r="F1525" s="116">
        <v>683.6</v>
      </c>
      <c r="G1525">
        <v>949428</v>
      </c>
      <c r="H1525" s="116"/>
      <c r="I1525" s="116"/>
      <c r="L1525" s="170">
        <v>44249</v>
      </c>
      <c r="M1525" s="116">
        <v>68.454999999999998</v>
      </c>
      <c r="N1525" s="116">
        <v>69.790000000000006</v>
      </c>
      <c r="O1525" s="116">
        <v>67.084999999999994</v>
      </c>
      <c r="P1525" s="116">
        <v>67.290000000000006</v>
      </c>
      <c r="Q1525" s="116">
        <v>684.55</v>
      </c>
      <c r="R1525">
        <v>28149109</v>
      </c>
    </row>
    <row r="1526" spans="1:18" x14ac:dyDescent="0.25">
      <c r="A1526" s="170">
        <v>44250</v>
      </c>
      <c r="B1526" s="116">
        <v>73.66</v>
      </c>
      <c r="C1526" s="116">
        <v>72.95</v>
      </c>
      <c r="D1526" s="116">
        <v>68.23</v>
      </c>
      <c r="E1526" s="116">
        <v>68.92</v>
      </c>
      <c r="F1526" s="116">
        <v>729.5</v>
      </c>
      <c r="G1526">
        <v>1625959</v>
      </c>
      <c r="H1526" s="116"/>
      <c r="I1526" s="116"/>
      <c r="L1526" s="170">
        <v>44250</v>
      </c>
      <c r="M1526" s="116">
        <v>72.930000000000007</v>
      </c>
      <c r="N1526" s="116">
        <v>73.599999999999994</v>
      </c>
      <c r="O1526" s="116">
        <v>68.22</v>
      </c>
      <c r="P1526" s="116">
        <v>68.959999999999994</v>
      </c>
      <c r="Q1526" s="116">
        <v>729.3</v>
      </c>
      <c r="R1526">
        <v>38907071</v>
      </c>
    </row>
    <row r="1527" spans="1:18" x14ac:dyDescent="0.25">
      <c r="A1527" s="170">
        <v>44251</v>
      </c>
      <c r="B1527" s="116">
        <v>74.5</v>
      </c>
      <c r="C1527" s="116">
        <v>72.965000000000003</v>
      </c>
      <c r="D1527" s="116">
        <v>65.655000000000001</v>
      </c>
      <c r="E1527" s="116">
        <v>73.2</v>
      </c>
      <c r="F1527" s="116">
        <v>729.65</v>
      </c>
      <c r="G1527">
        <v>4879008</v>
      </c>
      <c r="H1527" s="116"/>
      <c r="I1527" s="116"/>
      <c r="L1527" s="170">
        <v>44251</v>
      </c>
      <c r="M1527" s="116">
        <v>72.77</v>
      </c>
      <c r="N1527" s="116">
        <v>74.5</v>
      </c>
      <c r="O1527" s="116">
        <v>72</v>
      </c>
      <c r="P1527" s="116">
        <v>73.5</v>
      </c>
      <c r="Q1527" s="116">
        <v>727.7</v>
      </c>
      <c r="R1527">
        <v>21676789</v>
      </c>
    </row>
    <row r="1528" spans="1:18" x14ac:dyDescent="0.25">
      <c r="A1528" s="170">
        <v>44252</v>
      </c>
      <c r="B1528" s="116">
        <v>75.284999999999997</v>
      </c>
      <c r="C1528" s="116">
        <v>74.290000000000006</v>
      </c>
      <c r="D1528" s="116">
        <v>73.16</v>
      </c>
      <c r="E1528" s="116">
        <v>73.31</v>
      </c>
      <c r="F1528" s="116">
        <v>742.9</v>
      </c>
      <c r="G1528">
        <v>1351779</v>
      </c>
      <c r="H1528" s="116"/>
      <c r="I1528" s="116"/>
      <c r="L1528" s="170">
        <v>44252</v>
      </c>
      <c r="M1528" s="116">
        <v>74.290000000000006</v>
      </c>
      <c r="N1528" s="116">
        <v>75.3</v>
      </c>
      <c r="O1528" s="116">
        <v>73.194999999999993</v>
      </c>
      <c r="P1528" s="116">
        <v>73.52</v>
      </c>
      <c r="Q1528" s="116">
        <v>742.9</v>
      </c>
      <c r="R1528">
        <v>21901596</v>
      </c>
    </row>
    <row r="1529" spans="1:18" x14ac:dyDescent="0.25">
      <c r="A1529" s="170">
        <v>44253</v>
      </c>
      <c r="B1529" s="116">
        <v>74.174999999999997</v>
      </c>
      <c r="C1529" s="116">
        <v>71.48</v>
      </c>
      <c r="D1529" s="116">
        <v>71.16</v>
      </c>
      <c r="E1529" s="116">
        <v>72.400000000000006</v>
      </c>
      <c r="F1529" s="116">
        <v>714.8</v>
      </c>
      <c r="G1529">
        <v>1034207</v>
      </c>
      <c r="H1529" s="116"/>
      <c r="I1529" s="116"/>
      <c r="L1529" s="170">
        <v>44253</v>
      </c>
      <c r="M1529" s="116">
        <v>71.515000000000001</v>
      </c>
      <c r="N1529" s="116">
        <v>74.16</v>
      </c>
      <c r="O1529" s="116">
        <v>71.11</v>
      </c>
      <c r="P1529" s="116">
        <v>72.5</v>
      </c>
      <c r="Q1529" s="116">
        <v>715.15</v>
      </c>
      <c r="R1529">
        <v>23551591</v>
      </c>
    </row>
    <row r="1530" spans="1:18" x14ac:dyDescent="0.25">
      <c r="A1530" s="170">
        <v>44256</v>
      </c>
      <c r="B1530" s="116">
        <v>73.814999999999998</v>
      </c>
      <c r="C1530" s="116">
        <v>73.02</v>
      </c>
      <c r="D1530" s="116">
        <v>71.180000000000007</v>
      </c>
      <c r="E1530" s="116">
        <v>72.59</v>
      </c>
      <c r="F1530" s="116">
        <v>730.2</v>
      </c>
      <c r="G1530">
        <v>764515</v>
      </c>
      <c r="H1530" s="116"/>
      <c r="I1530" s="116"/>
      <c r="L1530" s="170">
        <v>44256</v>
      </c>
      <c r="M1530" s="116">
        <v>73.040000000000006</v>
      </c>
      <c r="N1530" s="116">
        <v>73.825000000000003</v>
      </c>
      <c r="O1530" s="116">
        <v>71.135000000000005</v>
      </c>
      <c r="P1530" s="116">
        <v>72.400000000000006</v>
      </c>
      <c r="Q1530" s="116">
        <v>730.4</v>
      </c>
      <c r="R1530">
        <v>14058646</v>
      </c>
    </row>
    <row r="1531" spans="1:18" x14ac:dyDescent="0.25">
      <c r="A1531" s="170">
        <v>44257</v>
      </c>
      <c r="B1531" s="116">
        <v>73.974999999999994</v>
      </c>
      <c r="C1531" s="116">
        <v>73.52</v>
      </c>
      <c r="D1531" s="116">
        <v>72.34</v>
      </c>
      <c r="E1531" s="116">
        <v>73.39</v>
      </c>
      <c r="F1531" s="116">
        <v>735.2</v>
      </c>
      <c r="G1531">
        <v>577784</v>
      </c>
      <c r="H1531" s="116"/>
      <c r="I1531" s="116"/>
      <c r="L1531" s="170">
        <v>44257</v>
      </c>
      <c r="M1531" s="116">
        <v>73.55</v>
      </c>
      <c r="N1531" s="116">
        <v>73.974999999999994</v>
      </c>
      <c r="O1531" s="116">
        <v>72.314999999999998</v>
      </c>
      <c r="P1531" s="116">
        <v>73.045000000000002</v>
      </c>
      <c r="Q1531" s="116">
        <v>735.5</v>
      </c>
      <c r="R1531">
        <v>11113399</v>
      </c>
    </row>
    <row r="1532" spans="1:18" x14ac:dyDescent="0.25">
      <c r="A1532" s="170">
        <v>44258</v>
      </c>
      <c r="B1532" s="116">
        <v>78.2</v>
      </c>
      <c r="C1532" s="116">
        <v>77.67</v>
      </c>
      <c r="D1532" s="116">
        <v>73.91</v>
      </c>
      <c r="E1532" s="116">
        <v>73.91</v>
      </c>
      <c r="F1532" s="116">
        <v>776.7</v>
      </c>
      <c r="G1532">
        <v>1462024</v>
      </c>
      <c r="H1532" s="116"/>
      <c r="I1532" s="116"/>
      <c r="L1532" s="170">
        <v>44258</v>
      </c>
      <c r="M1532" s="116">
        <v>77.715000000000003</v>
      </c>
      <c r="N1532" s="116">
        <v>78.25</v>
      </c>
      <c r="O1532" s="116">
        <v>74.099999999999994</v>
      </c>
      <c r="P1532" s="116">
        <v>74.099999999999994</v>
      </c>
      <c r="Q1532" s="116">
        <v>777.15</v>
      </c>
      <c r="R1532">
        <v>28842835</v>
      </c>
    </row>
    <row r="1533" spans="1:18" x14ac:dyDescent="0.25">
      <c r="A1533" s="170">
        <v>44259</v>
      </c>
      <c r="B1533" s="116">
        <v>76.704999999999998</v>
      </c>
      <c r="C1533" s="116">
        <v>75.81</v>
      </c>
      <c r="D1533" s="116">
        <v>74.394999999999996</v>
      </c>
      <c r="E1533" s="116">
        <v>75.3</v>
      </c>
      <c r="F1533" s="116">
        <v>758.1</v>
      </c>
      <c r="G1533">
        <v>856133</v>
      </c>
      <c r="H1533" s="116"/>
      <c r="I1533" s="116"/>
      <c r="L1533" s="170">
        <v>44259</v>
      </c>
      <c r="M1533" s="116">
        <v>75.795000000000002</v>
      </c>
      <c r="N1533" s="116">
        <v>76.69</v>
      </c>
      <c r="O1533" s="116">
        <v>74.364999999999995</v>
      </c>
      <c r="P1533" s="116">
        <v>75.099999999999994</v>
      </c>
      <c r="Q1533" s="116">
        <v>757.95</v>
      </c>
      <c r="R1533">
        <v>22873822</v>
      </c>
    </row>
    <row r="1534" spans="1:18" x14ac:dyDescent="0.25">
      <c r="A1534" s="170">
        <v>44260</v>
      </c>
      <c r="B1534" s="116">
        <v>75.614999999999995</v>
      </c>
      <c r="C1534" s="116">
        <v>73.33</v>
      </c>
      <c r="D1534" s="116">
        <v>72.709999999999994</v>
      </c>
      <c r="E1534" s="116">
        <v>75</v>
      </c>
      <c r="F1534" s="116">
        <v>733.3</v>
      </c>
      <c r="G1534">
        <v>880587</v>
      </c>
      <c r="H1534" s="116"/>
      <c r="I1534" s="116"/>
      <c r="L1534" s="170">
        <v>44260</v>
      </c>
      <c r="M1534" s="116">
        <v>73.33</v>
      </c>
      <c r="N1534" s="116">
        <v>75.599999999999994</v>
      </c>
      <c r="O1534" s="116">
        <v>72.7</v>
      </c>
      <c r="P1534" s="116">
        <v>74.849999999999994</v>
      </c>
      <c r="Q1534" s="116">
        <v>733.3</v>
      </c>
      <c r="R1534">
        <v>16881960</v>
      </c>
    </row>
    <row r="1535" spans="1:18" x14ac:dyDescent="0.25">
      <c r="A1535" s="170">
        <v>44263</v>
      </c>
      <c r="B1535" s="116">
        <v>75.099999999999994</v>
      </c>
      <c r="C1535" s="116">
        <v>73.734999999999999</v>
      </c>
      <c r="D1535" s="116">
        <v>73.5</v>
      </c>
      <c r="E1535" s="116">
        <v>74.489999999999995</v>
      </c>
      <c r="F1535" s="116">
        <v>737.35</v>
      </c>
      <c r="G1535">
        <v>544330</v>
      </c>
      <c r="H1535" s="116"/>
      <c r="I1535" s="116"/>
      <c r="L1535" s="170">
        <v>44263</v>
      </c>
      <c r="M1535" s="116">
        <v>73.724999999999994</v>
      </c>
      <c r="N1535" s="116">
        <v>75.12</v>
      </c>
      <c r="O1535" s="116">
        <v>73.504999999999995</v>
      </c>
      <c r="P1535" s="116">
        <v>74.394999999999996</v>
      </c>
      <c r="Q1535" s="116">
        <v>737.25</v>
      </c>
      <c r="R1535">
        <v>10614596</v>
      </c>
    </row>
    <row r="1536" spans="1:18" x14ac:dyDescent="0.25">
      <c r="A1536" s="170">
        <v>44264</v>
      </c>
      <c r="B1536" s="116">
        <v>75.09</v>
      </c>
      <c r="C1536" s="116">
        <v>70.66</v>
      </c>
      <c r="D1536" s="116">
        <v>70.2</v>
      </c>
      <c r="E1536" s="116">
        <v>74.3</v>
      </c>
      <c r="F1536" s="116">
        <v>706.6</v>
      </c>
      <c r="G1536">
        <v>918648</v>
      </c>
      <c r="H1536" s="116"/>
      <c r="I1536" s="116"/>
      <c r="L1536" s="170">
        <v>44264</v>
      </c>
      <c r="M1536" s="116">
        <v>70.674999999999997</v>
      </c>
      <c r="N1536" s="116">
        <v>75.094999999999999</v>
      </c>
      <c r="O1536" s="116">
        <v>70.224999999999994</v>
      </c>
      <c r="P1536" s="116">
        <v>74.5</v>
      </c>
      <c r="Q1536" s="116">
        <v>706.75</v>
      </c>
      <c r="R1536">
        <v>19556438</v>
      </c>
    </row>
    <row r="1537" spans="1:18" x14ac:dyDescent="0.25">
      <c r="A1537" s="170">
        <v>44265</v>
      </c>
      <c r="B1537" s="116">
        <v>72.97</v>
      </c>
      <c r="C1537" s="116">
        <v>72.42</v>
      </c>
      <c r="D1537" s="116">
        <v>70.3</v>
      </c>
      <c r="E1537" s="116">
        <v>71.64</v>
      </c>
      <c r="F1537" s="116">
        <v>724.2</v>
      </c>
      <c r="G1537">
        <v>777510</v>
      </c>
      <c r="H1537" s="116"/>
      <c r="I1537" s="116"/>
      <c r="L1537" s="170">
        <v>44265</v>
      </c>
      <c r="M1537" s="116">
        <v>72.45</v>
      </c>
      <c r="N1537" s="116">
        <v>72.995000000000005</v>
      </c>
      <c r="O1537" s="116">
        <v>70.305000000000007</v>
      </c>
      <c r="P1537" s="116">
        <v>71.489999999999995</v>
      </c>
      <c r="Q1537" s="116">
        <v>724.5</v>
      </c>
      <c r="R1537">
        <v>19685860</v>
      </c>
    </row>
    <row r="1538" spans="1:18" x14ac:dyDescent="0.25">
      <c r="A1538" s="170">
        <v>44267</v>
      </c>
      <c r="B1538" s="116">
        <v>74.510000000000005</v>
      </c>
      <c r="C1538" s="116">
        <v>71.984999999999999</v>
      </c>
      <c r="D1538" s="116">
        <v>71.430000000000007</v>
      </c>
      <c r="E1538" s="116">
        <v>73.900000000000006</v>
      </c>
      <c r="F1538" s="116">
        <v>719.85</v>
      </c>
      <c r="G1538">
        <v>602472</v>
      </c>
      <c r="H1538" s="116"/>
      <c r="I1538" s="116"/>
      <c r="L1538" s="170">
        <v>44267</v>
      </c>
      <c r="M1538" s="116">
        <v>71.995000000000005</v>
      </c>
      <c r="N1538" s="116">
        <v>74.5</v>
      </c>
      <c r="O1538" s="116">
        <v>71.400000000000006</v>
      </c>
      <c r="P1538" s="116">
        <v>74</v>
      </c>
      <c r="Q1538" s="116">
        <v>719.95</v>
      </c>
      <c r="R1538">
        <v>16121409</v>
      </c>
    </row>
    <row r="1539" spans="1:18" x14ac:dyDescent="0.25">
      <c r="A1539" s="170">
        <v>44270</v>
      </c>
      <c r="B1539" s="116">
        <v>73.88</v>
      </c>
      <c r="C1539" s="116">
        <v>73.605000000000004</v>
      </c>
      <c r="D1539" s="116">
        <v>71.510000000000005</v>
      </c>
      <c r="E1539" s="116">
        <v>72.349999999999994</v>
      </c>
      <c r="F1539" s="116">
        <v>736.05</v>
      </c>
      <c r="G1539">
        <v>775670</v>
      </c>
      <c r="H1539" s="116"/>
      <c r="I1539" s="116"/>
      <c r="L1539" s="170">
        <v>44270</v>
      </c>
      <c r="M1539" s="116">
        <v>73.64</v>
      </c>
      <c r="N1539" s="116">
        <v>73.900000000000006</v>
      </c>
      <c r="O1539" s="116">
        <v>71.504999999999995</v>
      </c>
      <c r="P1539" s="116">
        <v>72.2</v>
      </c>
      <c r="Q1539" s="116">
        <v>736.4</v>
      </c>
      <c r="R1539">
        <v>15543231</v>
      </c>
    </row>
    <row r="1540" spans="1:18" x14ac:dyDescent="0.25">
      <c r="A1540" s="170">
        <v>44271</v>
      </c>
      <c r="B1540" s="116">
        <v>74.055000000000007</v>
      </c>
      <c r="C1540" s="116">
        <v>72.405000000000001</v>
      </c>
      <c r="D1540" s="116">
        <v>71.95</v>
      </c>
      <c r="E1540" s="116">
        <v>74</v>
      </c>
      <c r="F1540" s="116">
        <v>724.05</v>
      </c>
      <c r="G1540">
        <v>538475</v>
      </c>
      <c r="H1540" s="116"/>
      <c r="I1540" s="116"/>
      <c r="L1540" s="170">
        <v>44271</v>
      </c>
      <c r="M1540" s="116">
        <v>72.405000000000001</v>
      </c>
      <c r="N1540" s="116">
        <v>74.010000000000005</v>
      </c>
      <c r="O1540" s="116">
        <v>71.92</v>
      </c>
      <c r="P1540" s="116">
        <v>74.010000000000005</v>
      </c>
      <c r="Q1540" s="116">
        <v>724.05</v>
      </c>
      <c r="R1540">
        <v>12569998</v>
      </c>
    </row>
    <row r="1541" spans="1:18" x14ac:dyDescent="0.25">
      <c r="A1541" s="170">
        <v>44272</v>
      </c>
      <c r="B1541" s="116">
        <v>72.594999999999999</v>
      </c>
      <c r="C1541" s="116">
        <v>70.44</v>
      </c>
      <c r="D1541" s="116">
        <v>70.040000000000006</v>
      </c>
      <c r="E1541" s="116">
        <v>72.5</v>
      </c>
      <c r="F1541" s="116">
        <v>704.4</v>
      </c>
      <c r="G1541">
        <v>508033</v>
      </c>
      <c r="H1541" s="116"/>
      <c r="I1541" s="116"/>
      <c r="L1541" s="170">
        <v>44272</v>
      </c>
      <c r="M1541" s="116">
        <v>70.44</v>
      </c>
      <c r="N1541" s="116">
        <v>72.599999999999994</v>
      </c>
      <c r="O1541" s="116">
        <v>70.064999999999998</v>
      </c>
      <c r="P1541" s="116">
        <v>72.495000000000005</v>
      </c>
      <c r="Q1541" s="116">
        <v>704.4</v>
      </c>
      <c r="R1541">
        <v>10540959</v>
      </c>
    </row>
    <row r="1542" spans="1:18" x14ac:dyDescent="0.25">
      <c r="A1542" s="170">
        <v>44273</v>
      </c>
      <c r="B1542" s="116">
        <v>72.314999999999998</v>
      </c>
      <c r="C1542" s="116">
        <v>70.495000000000005</v>
      </c>
      <c r="D1542" s="116">
        <v>69.814999999999998</v>
      </c>
      <c r="E1542" s="116">
        <v>71.599999999999994</v>
      </c>
      <c r="F1542" s="116">
        <v>704.95</v>
      </c>
      <c r="G1542">
        <v>651500</v>
      </c>
      <c r="H1542" s="116"/>
      <c r="I1542" s="116"/>
      <c r="L1542" s="170">
        <v>44273</v>
      </c>
      <c r="M1542" s="116">
        <v>70.484999999999999</v>
      </c>
      <c r="N1542" s="116">
        <v>72.290000000000006</v>
      </c>
      <c r="O1542" s="116">
        <v>69.83</v>
      </c>
      <c r="P1542" s="116">
        <v>71.625</v>
      </c>
      <c r="Q1542" s="116">
        <v>704.85</v>
      </c>
      <c r="R1542">
        <v>14320651</v>
      </c>
    </row>
    <row r="1543" spans="1:18" x14ac:dyDescent="0.25">
      <c r="A1543" s="170">
        <v>44274</v>
      </c>
      <c r="B1543" s="116">
        <v>73.67</v>
      </c>
      <c r="C1543" s="116">
        <v>73.3</v>
      </c>
      <c r="D1543" s="116">
        <v>68.12</v>
      </c>
      <c r="E1543" s="116">
        <v>70.349999999999994</v>
      </c>
      <c r="F1543" s="116">
        <v>733</v>
      </c>
      <c r="G1543">
        <v>995002</v>
      </c>
      <c r="H1543" s="116"/>
      <c r="I1543" s="116"/>
      <c r="L1543" s="170">
        <v>44274</v>
      </c>
      <c r="M1543" s="116">
        <v>73.3</v>
      </c>
      <c r="N1543" s="116">
        <v>73.674999999999997</v>
      </c>
      <c r="O1543" s="116">
        <v>68.125</v>
      </c>
      <c r="P1543" s="116">
        <v>70.275000000000006</v>
      </c>
      <c r="Q1543" s="116">
        <v>733</v>
      </c>
      <c r="R1543">
        <v>24637814</v>
      </c>
    </row>
    <row r="1544" spans="1:18" x14ac:dyDescent="0.25">
      <c r="A1544" s="170">
        <v>44277</v>
      </c>
      <c r="B1544" s="116">
        <v>74.55</v>
      </c>
      <c r="C1544" s="116">
        <v>74.349999999999994</v>
      </c>
      <c r="D1544" s="116">
        <v>72.48</v>
      </c>
      <c r="E1544" s="116">
        <v>73.2</v>
      </c>
      <c r="F1544" s="116">
        <v>743.5</v>
      </c>
      <c r="G1544">
        <v>846495</v>
      </c>
      <c r="H1544" s="116"/>
      <c r="I1544" s="116"/>
      <c r="L1544" s="170">
        <v>44277</v>
      </c>
      <c r="M1544" s="116">
        <v>74.349999999999994</v>
      </c>
      <c r="N1544" s="116">
        <v>74.564999999999998</v>
      </c>
      <c r="O1544" s="116">
        <v>72.5</v>
      </c>
      <c r="P1544" s="116">
        <v>73.11</v>
      </c>
      <c r="Q1544" s="116">
        <v>743.5</v>
      </c>
      <c r="R1544">
        <v>13760370</v>
      </c>
    </row>
    <row r="1545" spans="1:18" x14ac:dyDescent="0.25">
      <c r="A1545" s="170">
        <v>44278</v>
      </c>
      <c r="B1545" s="116">
        <v>74.954999999999998</v>
      </c>
      <c r="C1545" s="116">
        <v>74.094999999999999</v>
      </c>
      <c r="D1545" s="116">
        <v>73.349999999999994</v>
      </c>
      <c r="E1545" s="116">
        <v>74.55</v>
      </c>
      <c r="F1545" s="116">
        <v>740.95</v>
      </c>
      <c r="G1545">
        <v>665684</v>
      </c>
      <c r="H1545" s="116"/>
      <c r="I1545" s="116"/>
      <c r="L1545" s="170">
        <v>44278</v>
      </c>
      <c r="M1545" s="116">
        <v>74.114999999999995</v>
      </c>
      <c r="N1545" s="116">
        <v>74.944999999999993</v>
      </c>
      <c r="O1545" s="116">
        <v>73.33</v>
      </c>
      <c r="P1545" s="116">
        <v>74.599999999999994</v>
      </c>
      <c r="Q1545" s="116">
        <v>741.15</v>
      </c>
      <c r="R1545">
        <v>11873896</v>
      </c>
    </row>
    <row r="1546" spans="1:18" x14ac:dyDescent="0.25">
      <c r="A1546" s="170">
        <v>44279</v>
      </c>
      <c r="B1546" s="116">
        <v>73.5</v>
      </c>
      <c r="C1546" s="116">
        <v>70.34</v>
      </c>
      <c r="D1546" s="116">
        <v>69.905000000000001</v>
      </c>
      <c r="E1546" s="116">
        <v>73.5</v>
      </c>
      <c r="F1546" s="116">
        <v>703.4</v>
      </c>
      <c r="G1546">
        <v>755286</v>
      </c>
      <c r="H1546" s="116"/>
      <c r="I1546" s="116"/>
      <c r="L1546" s="170">
        <v>44279</v>
      </c>
      <c r="M1546" s="116">
        <v>70.28</v>
      </c>
      <c r="N1546" s="116">
        <v>73.3</v>
      </c>
      <c r="O1546" s="116">
        <v>69.894999999999996</v>
      </c>
      <c r="P1546" s="116">
        <v>73.099999999999994</v>
      </c>
      <c r="Q1546" s="116">
        <v>702.8</v>
      </c>
      <c r="R1546">
        <v>21030283</v>
      </c>
    </row>
    <row r="1547" spans="1:18" x14ac:dyDescent="0.25">
      <c r="A1547" s="170">
        <v>44280</v>
      </c>
      <c r="B1547" s="116">
        <v>73.05</v>
      </c>
      <c r="C1547" s="116">
        <v>72.290000000000006</v>
      </c>
      <c r="D1547" s="116">
        <v>68.849999999999994</v>
      </c>
      <c r="E1547" s="116">
        <v>70.900000000000006</v>
      </c>
      <c r="F1547" s="116">
        <v>722.9</v>
      </c>
      <c r="G1547">
        <v>1921387</v>
      </c>
      <c r="H1547" s="116"/>
      <c r="I1547" s="116"/>
      <c r="L1547" s="170">
        <v>44280</v>
      </c>
      <c r="M1547" s="116">
        <v>72.314999999999998</v>
      </c>
      <c r="N1547" s="116">
        <v>73.069999999999993</v>
      </c>
      <c r="O1547" s="116">
        <v>68.834999999999994</v>
      </c>
      <c r="P1547" s="116">
        <v>71.010000000000005</v>
      </c>
      <c r="Q1547" s="116">
        <v>723.15</v>
      </c>
      <c r="R1547">
        <v>36722400</v>
      </c>
    </row>
    <row r="1548" spans="1:18" x14ac:dyDescent="0.25">
      <c r="A1548" s="170">
        <v>44281</v>
      </c>
      <c r="B1548" s="116">
        <v>77.484999999999999</v>
      </c>
      <c r="C1548" s="116">
        <v>76.665000000000006</v>
      </c>
      <c r="D1548" s="116">
        <v>72.540000000000006</v>
      </c>
      <c r="E1548" s="116">
        <v>73</v>
      </c>
      <c r="F1548" s="116">
        <v>766.65</v>
      </c>
      <c r="G1548">
        <v>1739654</v>
      </c>
      <c r="H1548" s="116"/>
      <c r="I1548" s="116"/>
      <c r="L1548" s="170">
        <v>44281</v>
      </c>
      <c r="M1548" s="116">
        <v>76.685000000000002</v>
      </c>
      <c r="N1548" s="116">
        <v>77.489999999999995</v>
      </c>
      <c r="O1548" s="116">
        <v>72.52</v>
      </c>
      <c r="P1548" s="116">
        <v>73.040000000000006</v>
      </c>
      <c r="Q1548" s="116">
        <v>766.85</v>
      </c>
      <c r="R1548">
        <v>42912247</v>
      </c>
    </row>
    <row r="1549" spans="1:18" x14ac:dyDescent="0.25">
      <c r="A1549" s="170">
        <v>44285</v>
      </c>
      <c r="B1549" s="116">
        <v>80.694999999999993</v>
      </c>
      <c r="C1549" s="116">
        <v>79.974999999999994</v>
      </c>
      <c r="D1549" s="116">
        <v>77.709999999999994</v>
      </c>
      <c r="E1549" s="116">
        <v>77.709999999999994</v>
      </c>
      <c r="F1549" s="116">
        <v>799.75</v>
      </c>
      <c r="G1549">
        <v>1257480</v>
      </c>
      <c r="H1549" s="116"/>
      <c r="I1549" s="116"/>
      <c r="L1549" s="170">
        <v>44285</v>
      </c>
      <c r="M1549" s="116">
        <v>80</v>
      </c>
      <c r="N1549" s="116">
        <v>81</v>
      </c>
      <c r="O1549" s="116">
        <v>77.790000000000006</v>
      </c>
      <c r="P1549" s="116">
        <v>78</v>
      </c>
      <c r="Q1549" s="116">
        <v>800</v>
      </c>
      <c r="R1549">
        <v>28480338</v>
      </c>
    </row>
    <row r="1550" spans="1:18" x14ac:dyDescent="0.25">
      <c r="A1550" s="170">
        <v>44286</v>
      </c>
      <c r="B1550" s="116">
        <v>82.35</v>
      </c>
      <c r="C1550" s="116">
        <v>81.194999999999993</v>
      </c>
      <c r="D1550" s="116">
        <v>78.944999999999993</v>
      </c>
      <c r="E1550" s="116">
        <v>79.355000000000004</v>
      </c>
      <c r="F1550" s="116">
        <v>811.95</v>
      </c>
      <c r="G1550">
        <v>1251951</v>
      </c>
      <c r="H1550" s="116"/>
      <c r="I1550" s="116"/>
      <c r="L1550" s="170">
        <v>44286</v>
      </c>
      <c r="M1550" s="116">
        <v>81.185000000000002</v>
      </c>
      <c r="N1550" s="116">
        <v>82.35</v>
      </c>
      <c r="O1550" s="116">
        <v>79.010000000000005</v>
      </c>
      <c r="P1550" s="116">
        <v>79.400000000000006</v>
      </c>
      <c r="Q1550" s="116">
        <v>811.85</v>
      </c>
      <c r="R1550">
        <v>28044585</v>
      </c>
    </row>
    <row r="1551" spans="1:18" x14ac:dyDescent="0.25">
      <c r="A1551" s="170">
        <v>44287</v>
      </c>
      <c r="B1551" s="116">
        <v>86.864999999999995</v>
      </c>
      <c r="C1551" s="116">
        <v>86.284999999999997</v>
      </c>
      <c r="D1551" s="116">
        <v>81.864999999999995</v>
      </c>
      <c r="E1551" s="116">
        <v>82.1</v>
      </c>
      <c r="F1551" s="116">
        <v>862.85</v>
      </c>
      <c r="G1551">
        <v>2422829</v>
      </c>
      <c r="H1551" s="116"/>
      <c r="I1551" s="116"/>
      <c r="L1551" s="170">
        <v>44287</v>
      </c>
      <c r="M1551" s="116">
        <v>86.305000000000007</v>
      </c>
      <c r="N1551" s="116">
        <v>86.89</v>
      </c>
      <c r="O1551" s="116">
        <v>81.900000000000006</v>
      </c>
      <c r="P1551" s="116">
        <v>82.1</v>
      </c>
      <c r="Q1551" s="116">
        <v>863.05</v>
      </c>
      <c r="R1551">
        <v>36842098</v>
      </c>
    </row>
    <row r="1552" spans="1:18" x14ac:dyDescent="0.25">
      <c r="A1552" s="170">
        <v>44291</v>
      </c>
      <c r="B1552" s="116">
        <v>87.775000000000006</v>
      </c>
      <c r="C1552" s="116">
        <v>86.74</v>
      </c>
      <c r="D1552" s="116">
        <v>83.74</v>
      </c>
      <c r="E1552" s="116">
        <v>86.394999999999996</v>
      </c>
      <c r="F1552" s="116">
        <v>867.4</v>
      </c>
      <c r="G1552">
        <v>1287287</v>
      </c>
      <c r="H1552" s="116"/>
      <c r="I1552" s="116"/>
      <c r="L1552" s="170">
        <v>44291</v>
      </c>
      <c r="M1552" s="116">
        <v>86.775000000000006</v>
      </c>
      <c r="N1552" s="116">
        <v>87.784999999999997</v>
      </c>
      <c r="O1552" s="116">
        <v>83.715000000000003</v>
      </c>
      <c r="P1552" s="116">
        <v>86.2</v>
      </c>
      <c r="Q1552" s="116">
        <v>867.75</v>
      </c>
      <c r="R1552">
        <v>30575986</v>
      </c>
    </row>
    <row r="1553" spans="1:18" x14ac:dyDescent="0.25">
      <c r="A1553" s="170">
        <v>44292</v>
      </c>
      <c r="B1553" s="116">
        <v>88.23</v>
      </c>
      <c r="C1553" s="116">
        <v>86.284999999999997</v>
      </c>
      <c r="D1553" s="116">
        <v>85.814999999999998</v>
      </c>
      <c r="E1553" s="116">
        <v>87.5</v>
      </c>
      <c r="F1553" s="116">
        <v>862.85</v>
      </c>
      <c r="G1553">
        <v>913689</v>
      </c>
      <c r="H1553" s="116"/>
      <c r="I1553" s="116"/>
      <c r="L1553" s="170">
        <v>44292</v>
      </c>
      <c r="M1553" s="116">
        <v>86.284999999999997</v>
      </c>
      <c r="N1553" s="116">
        <v>88.25</v>
      </c>
      <c r="O1553" s="116">
        <v>85.814999999999998</v>
      </c>
      <c r="P1553" s="116">
        <v>87.55</v>
      </c>
      <c r="Q1553" s="116">
        <v>862.85</v>
      </c>
      <c r="R1553">
        <v>20778920</v>
      </c>
    </row>
    <row r="1554" spans="1:18" x14ac:dyDescent="0.25">
      <c r="A1554" s="170">
        <v>44293</v>
      </c>
      <c r="B1554" s="116">
        <v>88.484999999999999</v>
      </c>
      <c r="C1554" s="116">
        <v>87.474999999999994</v>
      </c>
      <c r="D1554" s="116">
        <v>86.3</v>
      </c>
      <c r="E1554" s="116">
        <v>86.9</v>
      </c>
      <c r="F1554" s="116">
        <v>874.75</v>
      </c>
      <c r="G1554">
        <v>746580</v>
      </c>
      <c r="H1554" s="116"/>
      <c r="I1554" s="116"/>
      <c r="L1554" s="170">
        <v>44293</v>
      </c>
      <c r="M1554" s="116">
        <v>87.484999999999999</v>
      </c>
      <c r="N1554" s="116">
        <v>88.5</v>
      </c>
      <c r="O1554" s="116">
        <v>86.465000000000003</v>
      </c>
      <c r="P1554" s="116">
        <v>86.95</v>
      </c>
      <c r="Q1554" s="116">
        <v>874.85</v>
      </c>
      <c r="R1554">
        <v>17113208</v>
      </c>
    </row>
    <row r="1555" spans="1:18" x14ac:dyDescent="0.25">
      <c r="A1555" s="170">
        <v>44294</v>
      </c>
      <c r="B1555" s="116">
        <v>95.31</v>
      </c>
      <c r="C1555" s="116">
        <v>91.765000000000001</v>
      </c>
      <c r="D1555" s="116">
        <v>88.2</v>
      </c>
      <c r="E1555" s="116">
        <v>88.4</v>
      </c>
      <c r="F1555" s="116">
        <v>917.65</v>
      </c>
      <c r="G1555">
        <v>2497465</v>
      </c>
      <c r="H1555" s="116"/>
      <c r="I1555" s="116"/>
      <c r="L1555" s="170">
        <v>44294</v>
      </c>
      <c r="M1555" s="116">
        <v>91.84</v>
      </c>
      <c r="N1555" s="116">
        <v>95.364999999999995</v>
      </c>
      <c r="O1555" s="116">
        <v>88.27</v>
      </c>
      <c r="P1555" s="116">
        <v>88.4</v>
      </c>
      <c r="Q1555" s="116">
        <v>918.4</v>
      </c>
      <c r="R1555">
        <v>53063056</v>
      </c>
    </row>
    <row r="1556" spans="1:18" x14ac:dyDescent="0.25">
      <c r="A1556" s="170">
        <v>44295</v>
      </c>
      <c r="B1556" s="116">
        <v>93.01</v>
      </c>
      <c r="C1556" s="116">
        <v>89.92</v>
      </c>
      <c r="D1556" s="116">
        <v>88.594999999999999</v>
      </c>
      <c r="E1556" s="116">
        <v>92.1</v>
      </c>
      <c r="F1556" s="116">
        <v>899.2</v>
      </c>
      <c r="G1556">
        <v>1087774</v>
      </c>
      <c r="H1556" s="116"/>
      <c r="I1556" s="116"/>
      <c r="L1556" s="170">
        <v>44295</v>
      </c>
      <c r="M1556" s="116">
        <v>89.95</v>
      </c>
      <c r="N1556" s="116">
        <v>93</v>
      </c>
      <c r="O1556" s="116">
        <v>88.57</v>
      </c>
      <c r="P1556" s="116">
        <v>92.1</v>
      </c>
      <c r="Q1556" s="116">
        <v>899.5</v>
      </c>
      <c r="R1556">
        <v>32179069</v>
      </c>
    </row>
    <row r="1557" spans="1:18" x14ac:dyDescent="0.25">
      <c r="A1557" s="170">
        <v>44298</v>
      </c>
      <c r="B1557" s="116">
        <v>89.33</v>
      </c>
      <c r="C1557" s="116">
        <v>85.135000000000005</v>
      </c>
      <c r="D1557" s="116">
        <v>84.325000000000003</v>
      </c>
      <c r="E1557" s="116">
        <v>87.66</v>
      </c>
      <c r="F1557" s="116">
        <v>851.35</v>
      </c>
      <c r="G1557">
        <v>899033</v>
      </c>
      <c r="H1557" s="116"/>
      <c r="I1557" s="116"/>
      <c r="L1557" s="170">
        <v>44298</v>
      </c>
      <c r="M1557" s="116">
        <v>85.155000000000001</v>
      </c>
      <c r="N1557" s="116">
        <v>89.32</v>
      </c>
      <c r="O1557" s="116">
        <v>84.334999999999994</v>
      </c>
      <c r="P1557" s="116">
        <v>87.655000000000001</v>
      </c>
      <c r="Q1557" s="116">
        <v>851.55</v>
      </c>
      <c r="R1557">
        <v>22135504</v>
      </c>
    </row>
    <row r="1558" spans="1:18" x14ac:dyDescent="0.25">
      <c r="A1558" s="170">
        <v>44299</v>
      </c>
      <c r="B1558" s="116">
        <v>88.16</v>
      </c>
      <c r="C1558" s="116">
        <v>87.894999999999996</v>
      </c>
      <c r="D1558" s="116">
        <v>84.9</v>
      </c>
      <c r="E1558" s="116">
        <v>85.99</v>
      </c>
      <c r="F1558" s="116">
        <v>878.95</v>
      </c>
      <c r="G1558">
        <v>781633</v>
      </c>
      <c r="H1558" s="116"/>
      <c r="I1558" s="116"/>
      <c r="L1558" s="170">
        <v>44299</v>
      </c>
      <c r="M1558" s="116">
        <v>87.9</v>
      </c>
      <c r="N1558" s="116">
        <v>88.16</v>
      </c>
      <c r="O1558" s="116">
        <v>84.9</v>
      </c>
      <c r="P1558" s="116">
        <v>86.2</v>
      </c>
      <c r="Q1558" s="116">
        <v>879</v>
      </c>
      <c r="R1558">
        <v>20428502</v>
      </c>
    </row>
    <row r="1559" spans="1:18" x14ac:dyDescent="0.25">
      <c r="A1559" s="170">
        <v>44301</v>
      </c>
      <c r="B1559" s="116">
        <v>91.174999999999997</v>
      </c>
      <c r="C1559" s="116">
        <v>89.784999999999997</v>
      </c>
      <c r="D1559" s="116">
        <v>87.974999999999994</v>
      </c>
      <c r="E1559" s="116">
        <v>88.504999999999995</v>
      </c>
      <c r="F1559" s="116">
        <v>897.85</v>
      </c>
      <c r="G1559">
        <v>900952</v>
      </c>
      <c r="H1559" s="116"/>
      <c r="I1559" s="116"/>
      <c r="L1559" s="170">
        <v>44301</v>
      </c>
      <c r="M1559" s="116">
        <v>89.82</v>
      </c>
      <c r="N1559" s="116">
        <v>91.15</v>
      </c>
      <c r="O1559" s="116">
        <v>87.95</v>
      </c>
      <c r="P1559" s="116">
        <v>89.2</v>
      </c>
      <c r="Q1559" s="116">
        <v>898.2</v>
      </c>
      <c r="R1559">
        <v>21856357</v>
      </c>
    </row>
    <row r="1560" spans="1:18" x14ac:dyDescent="0.25">
      <c r="A1560" s="170">
        <v>44302</v>
      </c>
      <c r="B1560" s="116">
        <v>91.41</v>
      </c>
      <c r="C1560" s="116">
        <v>88.96</v>
      </c>
      <c r="D1560" s="116">
        <v>88.65</v>
      </c>
      <c r="E1560" s="116">
        <v>90.4</v>
      </c>
      <c r="F1560" s="116">
        <v>889.6</v>
      </c>
      <c r="G1560">
        <v>745838</v>
      </c>
      <c r="H1560" s="116"/>
      <c r="I1560" s="116"/>
      <c r="L1560" s="170">
        <v>44302</v>
      </c>
      <c r="M1560" s="116">
        <v>89.025000000000006</v>
      </c>
      <c r="N1560" s="116">
        <v>91.44</v>
      </c>
      <c r="O1560" s="116">
        <v>88.625</v>
      </c>
      <c r="P1560" s="116">
        <v>90.38</v>
      </c>
      <c r="Q1560" s="116">
        <v>890.25</v>
      </c>
      <c r="R1560">
        <v>17398598</v>
      </c>
    </row>
    <row r="1561" spans="1:18" x14ac:dyDescent="0.25">
      <c r="A1561" s="170">
        <v>44305</v>
      </c>
      <c r="B1561" s="116">
        <v>89.88</v>
      </c>
      <c r="C1561" s="116">
        <v>88.694999999999993</v>
      </c>
      <c r="D1561" s="116">
        <v>85.49</v>
      </c>
      <c r="E1561" s="116">
        <v>87.47</v>
      </c>
      <c r="F1561" s="116">
        <v>886.95</v>
      </c>
      <c r="G1561">
        <v>997599</v>
      </c>
      <c r="H1561" s="116"/>
      <c r="I1561" s="116"/>
      <c r="L1561" s="170">
        <v>44305</v>
      </c>
      <c r="M1561" s="116">
        <v>88.805000000000007</v>
      </c>
      <c r="N1561" s="116">
        <v>89.9</v>
      </c>
      <c r="O1561" s="116">
        <v>86</v>
      </c>
      <c r="P1561" s="116">
        <v>86.98</v>
      </c>
      <c r="Q1561" s="116">
        <v>888.05</v>
      </c>
      <c r="R1561">
        <v>19146996</v>
      </c>
    </row>
    <row r="1562" spans="1:18" x14ac:dyDescent="0.25">
      <c r="A1562" s="170">
        <v>44306</v>
      </c>
      <c r="B1562" s="116">
        <v>90.584999999999994</v>
      </c>
      <c r="C1562" s="116">
        <v>89.43</v>
      </c>
      <c r="D1562" s="116">
        <v>88.215000000000003</v>
      </c>
      <c r="E1562" s="116">
        <v>90.15</v>
      </c>
      <c r="F1562" s="116">
        <v>894.3</v>
      </c>
      <c r="G1562">
        <v>772313</v>
      </c>
      <c r="H1562" s="116"/>
      <c r="I1562" s="116"/>
      <c r="L1562" s="170">
        <v>44306</v>
      </c>
      <c r="M1562" s="116">
        <v>89.4</v>
      </c>
      <c r="N1562" s="116">
        <v>90.575000000000003</v>
      </c>
      <c r="O1562" s="116">
        <v>88.2</v>
      </c>
      <c r="P1562" s="116">
        <v>90</v>
      </c>
      <c r="Q1562" s="116">
        <v>894</v>
      </c>
      <c r="R1562">
        <v>16915293</v>
      </c>
    </row>
    <row r="1563" spans="1:18" x14ac:dyDescent="0.25">
      <c r="A1563" s="170">
        <v>44308</v>
      </c>
      <c r="B1563" s="116">
        <v>93.85</v>
      </c>
      <c r="C1563" s="116">
        <v>92.12</v>
      </c>
      <c r="D1563" s="116">
        <v>89.76</v>
      </c>
      <c r="E1563" s="116">
        <v>90</v>
      </c>
      <c r="F1563" s="116">
        <v>921.2</v>
      </c>
      <c r="G1563">
        <v>1989200</v>
      </c>
      <c r="H1563" s="116"/>
      <c r="I1563" s="116"/>
      <c r="L1563" s="170">
        <v>44308</v>
      </c>
      <c r="M1563" s="116">
        <v>92.14</v>
      </c>
      <c r="N1563" s="116">
        <v>93.864999999999995</v>
      </c>
      <c r="O1563" s="116">
        <v>89.704999999999998</v>
      </c>
      <c r="P1563" s="116">
        <v>89.995000000000005</v>
      </c>
      <c r="Q1563" s="116">
        <v>921.4</v>
      </c>
      <c r="R1563">
        <v>31902815</v>
      </c>
    </row>
    <row r="1564" spans="1:18" x14ac:dyDescent="0.25">
      <c r="A1564" s="170">
        <v>44309</v>
      </c>
      <c r="B1564" s="116">
        <v>94.53</v>
      </c>
      <c r="C1564" s="116">
        <v>92.52</v>
      </c>
      <c r="D1564" s="116">
        <v>91.064999999999998</v>
      </c>
      <c r="E1564" s="116">
        <v>93</v>
      </c>
      <c r="F1564" s="116">
        <v>925.2</v>
      </c>
      <c r="G1564">
        <v>875520</v>
      </c>
      <c r="H1564" s="116"/>
      <c r="I1564" s="116"/>
      <c r="L1564" s="170">
        <v>44309</v>
      </c>
      <c r="M1564" s="116">
        <v>92.56</v>
      </c>
      <c r="N1564" s="116">
        <v>94.5</v>
      </c>
      <c r="O1564" s="116">
        <v>91.075000000000003</v>
      </c>
      <c r="P1564" s="116">
        <v>92.98</v>
      </c>
      <c r="Q1564" s="116">
        <v>925.6</v>
      </c>
      <c r="R1564">
        <v>24752386</v>
      </c>
    </row>
    <row r="1565" spans="1:18" x14ac:dyDescent="0.25">
      <c r="A1565" s="170">
        <v>44312</v>
      </c>
      <c r="B1565" s="116">
        <v>95.614999999999995</v>
      </c>
      <c r="C1565" s="116">
        <v>94.04</v>
      </c>
      <c r="D1565" s="116">
        <v>93.01</v>
      </c>
      <c r="E1565" s="116">
        <v>93.4</v>
      </c>
      <c r="F1565" s="116">
        <v>940.4</v>
      </c>
      <c r="G1565">
        <v>750283</v>
      </c>
      <c r="H1565" s="116"/>
      <c r="I1565" s="116"/>
      <c r="L1565" s="170">
        <v>44312</v>
      </c>
      <c r="M1565" s="116">
        <v>94.075000000000003</v>
      </c>
      <c r="N1565" s="116">
        <v>95.6</v>
      </c>
      <c r="O1565" s="116">
        <v>93.004999999999995</v>
      </c>
      <c r="P1565" s="116">
        <v>93.5</v>
      </c>
      <c r="Q1565" s="116">
        <v>940.75</v>
      </c>
      <c r="R1565">
        <v>21234858</v>
      </c>
    </row>
    <row r="1566" spans="1:18" x14ac:dyDescent="0.25">
      <c r="A1566" s="170">
        <v>44313</v>
      </c>
      <c r="B1566" s="116">
        <v>98.334999999999994</v>
      </c>
      <c r="C1566" s="116">
        <v>97.715000000000003</v>
      </c>
      <c r="D1566" s="116">
        <v>94.44</v>
      </c>
      <c r="E1566" s="116">
        <v>94.9</v>
      </c>
      <c r="F1566" s="116">
        <v>977.15</v>
      </c>
      <c r="G1566">
        <v>1271922</v>
      </c>
      <c r="H1566" s="116"/>
      <c r="I1566" s="116"/>
      <c r="L1566" s="170">
        <v>44313</v>
      </c>
      <c r="M1566" s="116">
        <v>97.775000000000006</v>
      </c>
      <c r="N1566" s="116">
        <v>98.3</v>
      </c>
      <c r="O1566" s="116">
        <v>94.43</v>
      </c>
      <c r="P1566" s="116">
        <v>94.83</v>
      </c>
      <c r="Q1566" s="116">
        <v>977.75</v>
      </c>
      <c r="R1566">
        <v>24904515</v>
      </c>
    </row>
    <row r="1567" spans="1:18" x14ac:dyDescent="0.25">
      <c r="A1567" s="170">
        <v>44314</v>
      </c>
      <c r="B1567" s="116">
        <v>98.635000000000005</v>
      </c>
      <c r="C1567" s="116">
        <v>97.105000000000004</v>
      </c>
      <c r="D1567" s="116">
        <v>96.21</v>
      </c>
      <c r="E1567" s="116">
        <v>98.504999999999995</v>
      </c>
      <c r="F1567" s="116">
        <v>971.05</v>
      </c>
      <c r="G1567">
        <v>854313</v>
      </c>
      <c r="H1567" s="116"/>
      <c r="I1567" s="116"/>
      <c r="L1567" s="170">
        <v>44314</v>
      </c>
      <c r="M1567" s="116">
        <v>97.14</v>
      </c>
      <c r="N1567" s="116">
        <v>98.6</v>
      </c>
      <c r="O1567" s="116">
        <v>96.2</v>
      </c>
      <c r="P1567" s="116">
        <v>98.5</v>
      </c>
      <c r="Q1567" s="116">
        <v>971.4</v>
      </c>
      <c r="R1567">
        <v>20447968</v>
      </c>
    </row>
    <row r="1568" spans="1:18" x14ac:dyDescent="0.25">
      <c r="A1568" s="170">
        <v>44315</v>
      </c>
      <c r="B1568" s="116">
        <v>103.7</v>
      </c>
      <c r="C1568" s="116">
        <v>103.16</v>
      </c>
      <c r="D1568" s="116">
        <v>98.2</v>
      </c>
      <c r="E1568" s="116">
        <v>98.2</v>
      </c>
      <c r="F1568" s="116">
        <v>1031.5999999999999</v>
      </c>
      <c r="G1568">
        <v>2204080</v>
      </c>
      <c r="H1568" s="116"/>
      <c r="I1568" s="116"/>
      <c r="L1568" s="170">
        <v>44315</v>
      </c>
      <c r="M1568" s="116">
        <v>103.13500000000001</v>
      </c>
      <c r="N1568" s="116">
        <v>103.69499999999999</v>
      </c>
      <c r="O1568" s="116">
        <v>98.3</v>
      </c>
      <c r="P1568" s="116">
        <v>98.3</v>
      </c>
      <c r="Q1568" s="116">
        <v>1031.3499999999999</v>
      </c>
      <c r="R1568">
        <v>44718647</v>
      </c>
    </row>
    <row r="1569" spans="1:18" x14ac:dyDescent="0.25">
      <c r="A1569" s="170">
        <v>44316</v>
      </c>
      <c r="B1569" s="116">
        <v>105.25</v>
      </c>
      <c r="C1569" s="116">
        <v>103.395</v>
      </c>
      <c r="D1569" s="116">
        <v>101.12</v>
      </c>
      <c r="E1569" s="116">
        <v>102.22499999999999</v>
      </c>
      <c r="F1569" s="116">
        <v>1033.95</v>
      </c>
      <c r="G1569">
        <v>1641333</v>
      </c>
      <c r="H1569" s="116"/>
      <c r="I1569" s="116"/>
      <c r="L1569" s="170">
        <v>44316</v>
      </c>
      <c r="M1569" s="116">
        <v>103.4</v>
      </c>
      <c r="N1569" s="116">
        <v>105.26</v>
      </c>
      <c r="O1569" s="116">
        <v>101.11</v>
      </c>
      <c r="P1569" s="116">
        <v>102.4</v>
      </c>
      <c r="Q1569" s="116">
        <v>1034</v>
      </c>
      <c r="R1569">
        <v>28129738</v>
      </c>
    </row>
    <row r="1570" spans="1:18" x14ac:dyDescent="0.25">
      <c r="A1570" s="170">
        <v>44319</v>
      </c>
      <c r="B1570" s="116">
        <v>107</v>
      </c>
      <c r="C1570" s="116">
        <v>106.455</v>
      </c>
      <c r="D1570" s="116">
        <v>101.845</v>
      </c>
      <c r="E1570" s="116">
        <v>103.495</v>
      </c>
      <c r="F1570" s="116">
        <v>1064.55</v>
      </c>
      <c r="G1570">
        <v>1052434</v>
      </c>
      <c r="H1570" s="116"/>
      <c r="I1570" s="116"/>
      <c r="L1570" s="170">
        <v>44319</v>
      </c>
      <c r="M1570" s="116">
        <v>106.47499999999999</v>
      </c>
      <c r="N1570" s="116">
        <v>106.9</v>
      </c>
      <c r="O1570" s="116">
        <v>101.85</v>
      </c>
      <c r="P1570" s="116">
        <v>103.19499999999999</v>
      </c>
      <c r="Q1570" s="116">
        <v>1064.75</v>
      </c>
      <c r="R1570">
        <v>26484100</v>
      </c>
    </row>
    <row r="1571" spans="1:18" x14ac:dyDescent="0.25">
      <c r="A1571" s="170">
        <v>44320</v>
      </c>
      <c r="B1571" s="116">
        <v>108.67</v>
      </c>
      <c r="C1571" s="116">
        <v>106.405</v>
      </c>
      <c r="D1571" s="116">
        <v>105.83</v>
      </c>
      <c r="E1571" s="116">
        <v>107.4</v>
      </c>
      <c r="F1571" s="116">
        <v>1064.05</v>
      </c>
      <c r="G1571">
        <v>1162806</v>
      </c>
      <c r="H1571" s="116"/>
      <c r="I1571" s="116"/>
      <c r="L1571" s="170">
        <v>44320</v>
      </c>
      <c r="M1571" s="116">
        <v>106.38500000000001</v>
      </c>
      <c r="N1571" s="116">
        <v>108.66500000000001</v>
      </c>
      <c r="O1571" s="116">
        <v>105.755</v>
      </c>
      <c r="P1571" s="116">
        <v>107.44499999999999</v>
      </c>
      <c r="Q1571" s="116">
        <v>1063.8499999999999</v>
      </c>
      <c r="R1571">
        <v>24961628</v>
      </c>
    </row>
    <row r="1572" spans="1:18" x14ac:dyDescent="0.25">
      <c r="A1572" s="170">
        <v>44321</v>
      </c>
      <c r="B1572" s="116">
        <v>108.88500000000001</v>
      </c>
      <c r="C1572" s="116">
        <v>106.895</v>
      </c>
      <c r="D1572" s="116">
        <v>104.7</v>
      </c>
      <c r="E1572" s="116">
        <v>108.12</v>
      </c>
      <c r="F1572" s="116">
        <v>1068.95</v>
      </c>
      <c r="G1572">
        <v>923316</v>
      </c>
      <c r="H1572" s="116"/>
      <c r="I1572" s="116"/>
      <c r="L1572" s="170">
        <v>44321</v>
      </c>
      <c r="M1572" s="116">
        <v>107.015</v>
      </c>
      <c r="N1572" s="116">
        <v>108.83499999999999</v>
      </c>
      <c r="O1572" s="116">
        <v>104.7</v>
      </c>
      <c r="P1572" s="116">
        <v>108.4</v>
      </c>
      <c r="Q1572" s="116">
        <v>1070.1500000000001</v>
      </c>
      <c r="R1572">
        <v>19249839</v>
      </c>
    </row>
    <row r="1573" spans="1:18" x14ac:dyDescent="0.25">
      <c r="A1573" s="170">
        <v>44322</v>
      </c>
      <c r="B1573" s="116">
        <v>112.88</v>
      </c>
      <c r="C1573" s="116">
        <v>110.05500000000001</v>
      </c>
      <c r="D1573" s="116">
        <v>104.4</v>
      </c>
      <c r="E1573" s="116">
        <v>106.4</v>
      </c>
      <c r="F1573" s="116">
        <v>1100.55</v>
      </c>
      <c r="G1573">
        <v>2128433</v>
      </c>
      <c r="H1573" s="116"/>
      <c r="I1573" s="116"/>
      <c r="L1573" s="170">
        <v>44322</v>
      </c>
      <c r="M1573" s="116">
        <v>110.09</v>
      </c>
      <c r="N1573" s="116">
        <v>112.9</v>
      </c>
      <c r="O1573" s="116">
        <v>104.25</v>
      </c>
      <c r="P1573" s="116">
        <v>105.5</v>
      </c>
      <c r="Q1573" s="116">
        <v>1100.9000000000001</v>
      </c>
      <c r="R1573">
        <v>46434537</v>
      </c>
    </row>
    <row r="1574" spans="1:18" x14ac:dyDescent="0.25">
      <c r="A1574" s="170">
        <v>44323</v>
      </c>
      <c r="B1574" s="116">
        <v>119.2</v>
      </c>
      <c r="C1574" s="116">
        <v>118.235</v>
      </c>
      <c r="D1574" s="116">
        <v>112.9</v>
      </c>
      <c r="E1574" s="116">
        <v>112.9</v>
      </c>
      <c r="F1574" s="116">
        <v>1182.3499999999999</v>
      </c>
      <c r="G1574">
        <v>2700760</v>
      </c>
      <c r="H1574" s="116"/>
      <c r="I1574" s="116"/>
      <c r="L1574" s="170">
        <v>44323</v>
      </c>
      <c r="M1574" s="116">
        <v>118.235</v>
      </c>
      <c r="N1574" s="116">
        <v>119.2</v>
      </c>
      <c r="O1574" s="116">
        <v>113.01</v>
      </c>
      <c r="P1574" s="116">
        <v>113.5</v>
      </c>
      <c r="Q1574" s="116">
        <v>1182.3499999999999</v>
      </c>
      <c r="R1574">
        <v>54075433</v>
      </c>
    </row>
    <row r="1575" spans="1:18" x14ac:dyDescent="0.25">
      <c r="A1575" s="170">
        <v>44326</v>
      </c>
      <c r="B1575" s="116">
        <v>122.905</v>
      </c>
      <c r="C1575" s="116">
        <v>121.655</v>
      </c>
      <c r="D1575" s="116">
        <v>120</v>
      </c>
      <c r="E1575" s="116">
        <v>120.9</v>
      </c>
      <c r="F1575" s="116">
        <v>1216.55</v>
      </c>
      <c r="G1575">
        <v>1557719</v>
      </c>
      <c r="H1575" s="116"/>
      <c r="I1575" s="116"/>
      <c r="L1575" s="170">
        <v>44326</v>
      </c>
      <c r="M1575" s="116">
        <v>121.63500000000001</v>
      </c>
      <c r="N1575" s="116">
        <v>122.9</v>
      </c>
      <c r="O1575" s="116">
        <v>120</v>
      </c>
      <c r="P1575" s="116">
        <v>121</v>
      </c>
      <c r="Q1575" s="116">
        <v>1216.3499999999999</v>
      </c>
      <c r="R1575">
        <v>28080884</v>
      </c>
    </row>
    <row r="1576" spans="1:18" x14ac:dyDescent="0.25">
      <c r="A1576" s="170">
        <v>44327</v>
      </c>
      <c r="B1576" s="116">
        <v>124.625</v>
      </c>
      <c r="C1576" s="116">
        <v>123.39</v>
      </c>
      <c r="D1576" s="116">
        <v>117.66</v>
      </c>
      <c r="E1576" s="116">
        <v>118.7</v>
      </c>
      <c r="F1576" s="116">
        <v>1233.9000000000001</v>
      </c>
      <c r="G1576">
        <v>2167344</v>
      </c>
      <c r="H1576" s="116"/>
      <c r="I1576" s="116"/>
      <c r="L1576" s="170">
        <v>44327</v>
      </c>
      <c r="M1576" s="116">
        <v>123.39</v>
      </c>
      <c r="N1576" s="116">
        <v>124.6</v>
      </c>
      <c r="O1576" s="116">
        <v>117.69</v>
      </c>
      <c r="P1576" s="116">
        <v>119</v>
      </c>
      <c r="Q1576" s="116">
        <v>1233.9000000000001</v>
      </c>
      <c r="R1576">
        <v>41108381</v>
      </c>
    </row>
    <row r="1577" spans="1:18" x14ac:dyDescent="0.25">
      <c r="A1577" s="170">
        <v>44328</v>
      </c>
      <c r="B1577" s="116">
        <v>124.68</v>
      </c>
      <c r="C1577" s="116">
        <v>117.86499999999999</v>
      </c>
      <c r="D1577" s="116">
        <v>116.3</v>
      </c>
      <c r="E1577" s="116">
        <v>123.1</v>
      </c>
      <c r="F1577" s="116">
        <v>1178.6500000000001</v>
      </c>
      <c r="G1577">
        <v>1923553</v>
      </c>
      <c r="H1577" s="116"/>
      <c r="I1577" s="116"/>
      <c r="L1577" s="170">
        <v>44328</v>
      </c>
      <c r="M1577" s="116">
        <v>117.91500000000001</v>
      </c>
      <c r="N1577" s="116">
        <v>124.685</v>
      </c>
      <c r="O1577" s="116">
        <v>116.325</v>
      </c>
      <c r="P1577" s="116">
        <v>123.19499999999999</v>
      </c>
      <c r="Q1577" s="116">
        <v>1179.1500000000001</v>
      </c>
      <c r="R1577">
        <v>30889192</v>
      </c>
    </row>
    <row r="1578" spans="1:18" x14ac:dyDescent="0.25">
      <c r="A1578" s="170">
        <v>44330</v>
      </c>
      <c r="B1578" s="116">
        <v>118.9</v>
      </c>
      <c r="C1578" s="116">
        <v>113.21</v>
      </c>
      <c r="D1578" s="116">
        <v>111.5</v>
      </c>
      <c r="E1578" s="116">
        <v>118.9</v>
      </c>
      <c r="F1578" s="116">
        <v>1132.0999999999999</v>
      </c>
      <c r="G1578">
        <v>1770430</v>
      </c>
      <c r="H1578" s="116"/>
      <c r="I1578" s="116"/>
      <c r="L1578" s="170">
        <v>44330</v>
      </c>
      <c r="M1578" s="116">
        <v>113.21</v>
      </c>
      <c r="N1578" s="116">
        <v>118.5</v>
      </c>
      <c r="O1578" s="116">
        <v>111.52</v>
      </c>
      <c r="P1578" s="116">
        <v>118.5</v>
      </c>
      <c r="Q1578" s="116">
        <v>1132.0999999999999</v>
      </c>
      <c r="R1578">
        <v>37648032</v>
      </c>
    </row>
    <row r="1579" spans="1:18" x14ac:dyDescent="0.25">
      <c r="A1579" s="170">
        <v>44333</v>
      </c>
      <c r="B1579" s="116">
        <v>115.82</v>
      </c>
      <c r="C1579" s="116">
        <v>115.065</v>
      </c>
      <c r="D1579" s="116">
        <v>110.36499999999999</v>
      </c>
      <c r="E1579" s="116">
        <v>114</v>
      </c>
      <c r="F1579" s="116">
        <v>1150.6500000000001</v>
      </c>
      <c r="G1579">
        <v>1368352</v>
      </c>
      <c r="H1579" s="116"/>
      <c r="I1579" s="116"/>
      <c r="L1579" s="170">
        <v>44333</v>
      </c>
      <c r="M1579" s="116">
        <v>115.08499999999999</v>
      </c>
      <c r="N1579" s="116">
        <v>115.82</v>
      </c>
      <c r="O1579" s="116">
        <v>110.35</v>
      </c>
      <c r="P1579" s="116">
        <v>113.8</v>
      </c>
      <c r="Q1579" s="116">
        <v>1150.8499999999999</v>
      </c>
      <c r="R1579">
        <v>28753430</v>
      </c>
    </row>
    <row r="1580" spans="1:18" x14ac:dyDescent="0.25">
      <c r="A1580" s="170">
        <v>44334</v>
      </c>
      <c r="B1580" s="116">
        <v>119.62</v>
      </c>
      <c r="C1580" s="116">
        <v>117.95</v>
      </c>
      <c r="D1580" s="116">
        <v>115.705</v>
      </c>
      <c r="E1580" s="116">
        <v>117.2</v>
      </c>
      <c r="F1580" s="116">
        <v>1179.5</v>
      </c>
      <c r="G1580">
        <v>1140612</v>
      </c>
      <c r="H1580" s="116"/>
      <c r="I1580" s="116"/>
      <c r="L1580" s="170">
        <v>44334</v>
      </c>
      <c r="M1580" s="116">
        <v>118</v>
      </c>
      <c r="N1580" s="116">
        <v>119.645</v>
      </c>
      <c r="O1580" s="116">
        <v>115.705</v>
      </c>
      <c r="P1580" s="116">
        <v>117.5</v>
      </c>
      <c r="Q1580" s="116">
        <v>1180</v>
      </c>
      <c r="R1580">
        <v>24573880</v>
      </c>
    </row>
    <row r="1581" spans="1:18" x14ac:dyDescent="0.25">
      <c r="A1581" s="170">
        <v>44335</v>
      </c>
      <c r="B1581" s="116">
        <v>118.96</v>
      </c>
      <c r="C1581" s="116">
        <v>116.43</v>
      </c>
      <c r="D1581" s="116">
        <v>115.82</v>
      </c>
      <c r="E1581" s="116">
        <v>117.45</v>
      </c>
      <c r="F1581" s="116">
        <v>1164.3</v>
      </c>
      <c r="G1581">
        <v>718110</v>
      </c>
      <c r="H1581" s="116"/>
      <c r="I1581" s="116"/>
      <c r="L1581" s="170">
        <v>44335</v>
      </c>
      <c r="M1581" s="116">
        <v>116.425</v>
      </c>
      <c r="N1581" s="116">
        <v>118.955</v>
      </c>
      <c r="O1581" s="116">
        <v>115.8</v>
      </c>
      <c r="P1581" s="116">
        <v>117.3</v>
      </c>
      <c r="Q1581" s="116">
        <v>1164.25</v>
      </c>
      <c r="R1581">
        <v>17435026</v>
      </c>
    </row>
    <row r="1582" spans="1:18" x14ac:dyDescent="0.25">
      <c r="A1582" s="170">
        <v>44336</v>
      </c>
      <c r="B1582" s="116">
        <v>113.99</v>
      </c>
      <c r="C1582" s="116">
        <v>110.485</v>
      </c>
      <c r="D1582" s="116">
        <v>109.895</v>
      </c>
      <c r="E1582" s="116">
        <v>113.99</v>
      </c>
      <c r="F1582" s="116">
        <v>1104.8499999999999</v>
      </c>
      <c r="G1582">
        <v>1591182</v>
      </c>
      <c r="H1582" s="116"/>
      <c r="I1582" s="116"/>
      <c r="L1582" s="170">
        <v>44336</v>
      </c>
      <c r="M1582" s="116">
        <v>110.505</v>
      </c>
      <c r="N1582" s="116">
        <v>113.55</v>
      </c>
      <c r="O1582" s="116">
        <v>109.80500000000001</v>
      </c>
      <c r="P1582" s="116">
        <v>113.11</v>
      </c>
      <c r="Q1582" s="116">
        <v>1105.05</v>
      </c>
      <c r="R1582">
        <v>28446253</v>
      </c>
    </row>
    <row r="1583" spans="1:18" x14ac:dyDescent="0.25">
      <c r="A1583" s="170">
        <v>44337</v>
      </c>
      <c r="B1583" s="116">
        <v>112.355</v>
      </c>
      <c r="C1583" s="116">
        <v>111.25</v>
      </c>
      <c r="D1583" s="116">
        <v>110.6</v>
      </c>
      <c r="E1583" s="116">
        <v>111.4</v>
      </c>
      <c r="F1583" s="116">
        <v>1112.5</v>
      </c>
      <c r="G1583">
        <v>610249</v>
      </c>
      <c r="H1583" s="116"/>
      <c r="I1583" s="116"/>
      <c r="L1583" s="170">
        <v>44337</v>
      </c>
      <c r="M1583" s="116">
        <v>111.31</v>
      </c>
      <c r="N1583" s="116">
        <v>112.39</v>
      </c>
      <c r="O1583" s="116">
        <v>110.58499999999999</v>
      </c>
      <c r="P1583" s="116">
        <v>111.4</v>
      </c>
      <c r="Q1583" s="116">
        <v>1113.0999999999999</v>
      </c>
      <c r="R1583">
        <v>14104926</v>
      </c>
    </row>
    <row r="1584" spans="1:18" x14ac:dyDescent="0.25">
      <c r="A1584" s="170">
        <v>44340</v>
      </c>
      <c r="B1584" s="116">
        <v>111.29</v>
      </c>
      <c r="C1584" s="116">
        <v>109.185</v>
      </c>
      <c r="D1584" s="116">
        <v>108.1</v>
      </c>
      <c r="E1584" s="116">
        <v>111.29</v>
      </c>
      <c r="F1584" s="116">
        <v>1091.8499999999999</v>
      </c>
      <c r="G1584">
        <v>931161</v>
      </c>
      <c r="H1584" s="116"/>
      <c r="I1584" s="116"/>
      <c r="L1584" s="170">
        <v>44340</v>
      </c>
      <c r="M1584" s="116">
        <v>109.2</v>
      </c>
      <c r="N1584" s="116">
        <v>110.895</v>
      </c>
      <c r="O1584" s="116">
        <v>108.21</v>
      </c>
      <c r="P1584" s="116">
        <v>110.8</v>
      </c>
      <c r="Q1584" s="116">
        <v>1092</v>
      </c>
      <c r="R1584">
        <v>18923842</v>
      </c>
    </row>
    <row r="1585" spans="1:18" x14ac:dyDescent="0.25">
      <c r="A1585" s="170">
        <v>44341</v>
      </c>
      <c r="B1585" s="116">
        <v>112.595</v>
      </c>
      <c r="C1585" s="116">
        <v>110.49</v>
      </c>
      <c r="D1585" s="116">
        <v>109.995</v>
      </c>
      <c r="E1585" s="116">
        <v>110.4</v>
      </c>
      <c r="F1585" s="116">
        <v>1104.9000000000001</v>
      </c>
      <c r="G1585">
        <v>790846</v>
      </c>
      <c r="H1585" s="116"/>
      <c r="I1585" s="116"/>
      <c r="L1585" s="170">
        <v>44341</v>
      </c>
      <c r="M1585" s="116">
        <v>110.52</v>
      </c>
      <c r="N1585" s="116">
        <v>112.595</v>
      </c>
      <c r="O1585" s="116">
        <v>110</v>
      </c>
      <c r="P1585" s="116">
        <v>110.19499999999999</v>
      </c>
      <c r="Q1585" s="116">
        <v>1105.2</v>
      </c>
      <c r="R1585">
        <v>18113752</v>
      </c>
    </row>
    <row r="1586" spans="1:18" x14ac:dyDescent="0.25">
      <c r="A1586" s="170">
        <v>44342</v>
      </c>
      <c r="B1586" s="116">
        <v>109.39</v>
      </c>
      <c r="C1586" s="116">
        <v>108.185</v>
      </c>
      <c r="D1586" s="116">
        <v>107.3</v>
      </c>
      <c r="E1586" s="116">
        <v>109.39</v>
      </c>
      <c r="F1586" s="116">
        <v>1081.8499999999999</v>
      </c>
      <c r="G1586">
        <v>757971</v>
      </c>
      <c r="H1586" s="116"/>
      <c r="I1586" s="116"/>
      <c r="L1586" s="170">
        <v>44342</v>
      </c>
      <c r="M1586" s="116">
        <v>108.215</v>
      </c>
      <c r="N1586" s="116">
        <v>109.4</v>
      </c>
      <c r="O1586" s="116">
        <v>107.25</v>
      </c>
      <c r="P1586" s="116">
        <v>109.05</v>
      </c>
      <c r="Q1586" s="116">
        <v>1082.1500000000001</v>
      </c>
      <c r="R1586">
        <v>15432703</v>
      </c>
    </row>
    <row r="1587" spans="1:18" x14ac:dyDescent="0.25">
      <c r="A1587" s="170">
        <v>44343</v>
      </c>
      <c r="B1587" s="116">
        <v>110.965</v>
      </c>
      <c r="C1587" s="116">
        <v>109.66</v>
      </c>
      <c r="D1587" s="116">
        <v>107.5</v>
      </c>
      <c r="E1587" s="116">
        <v>108.2</v>
      </c>
      <c r="F1587" s="116">
        <v>1096.5999999999999</v>
      </c>
      <c r="G1587">
        <v>1100979</v>
      </c>
      <c r="H1587" s="116"/>
      <c r="I1587" s="116"/>
      <c r="L1587" s="170">
        <v>44343</v>
      </c>
      <c r="M1587" s="116">
        <v>109.66500000000001</v>
      </c>
      <c r="N1587" s="116">
        <v>110.97499999999999</v>
      </c>
      <c r="O1587" s="116">
        <v>107.5</v>
      </c>
      <c r="P1587" s="116">
        <v>108.215</v>
      </c>
      <c r="Q1587" s="116">
        <v>1096.6500000000001</v>
      </c>
      <c r="R1587">
        <v>22791032</v>
      </c>
    </row>
    <row r="1588" spans="1:18" x14ac:dyDescent="0.25">
      <c r="A1588" s="170">
        <v>44344</v>
      </c>
      <c r="B1588" s="116">
        <v>114.38</v>
      </c>
      <c r="C1588" s="116">
        <v>110.375</v>
      </c>
      <c r="D1588" s="116">
        <v>109.755</v>
      </c>
      <c r="E1588" s="116">
        <v>112.71</v>
      </c>
      <c r="F1588" s="116">
        <v>1103.75</v>
      </c>
      <c r="G1588">
        <v>881008</v>
      </c>
      <c r="H1588" s="116"/>
      <c r="I1588" s="116"/>
      <c r="L1588" s="170">
        <v>44344</v>
      </c>
      <c r="M1588" s="116">
        <v>110.35</v>
      </c>
      <c r="N1588" s="116">
        <v>114.36</v>
      </c>
      <c r="O1588" s="116">
        <v>109.745</v>
      </c>
      <c r="P1588" s="116">
        <v>113.1</v>
      </c>
      <c r="Q1588" s="116">
        <v>1103.5</v>
      </c>
      <c r="R1588">
        <v>19208581</v>
      </c>
    </row>
    <row r="1589" spans="1:18" x14ac:dyDescent="0.25">
      <c r="A1589" s="170">
        <v>44347</v>
      </c>
      <c r="B1589" s="116">
        <v>112.985</v>
      </c>
      <c r="C1589" s="116">
        <v>112.565</v>
      </c>
      <c r="D1589" s="116">
        <v>109.94499999999999</v>
      </c>
      <c r="E1589" s="116">
        <v>110.52</v>
      </c>
      <c r="F1589" s="116">
        <v>1125.6500000000001</v>
      </c>
      <c r="G1589">
        <v>930922</v>
      </c>
      <c r="H1589" s="116"/>
      <c r="I1589" s="116"/>
      <c r="L1589" s="170">
        <v>44347</v>
      </c>
      <c r="M1589" s="116">
        <v>112.565</v>
      </c>
      <c r="N1589" s="116">
        <v>112.965</v>
      </c>
      <c r="O1589" s="116">
        <v>109.9</v>
      </c>
      <c r="P1589" s="116">
        <v>111.2</v>
      </c>
      <c r="Q1589" s="116">
        <v>1125.6500000000001</v>
      </c>
      <c r="R1589">
        <v>15428647</v>
      </c>
    </row>
    <row r="1590" spans="1:18" x14ac:dyDescent="0.25">
      <c r="A1590" s="170">
        <v>44348</v>
      </c>
      <c r="B1590" s="116">
        <v>112.8</v>
      </c>
      <c r="C1590" s="116">
        <v>110.03</v>
      </c>
      <c r="D1590" s="116">
        <v>108.55</v>
      </c>
      <c r="E1590" s="116">
        <v>112.8</v>
      </c>
      <c r="F1590" s="116">
        <v>1100.3</v>
      </c>
      <c r="G1590">
        <v>939978</v>
      </c>
      <c r="H1590" s="116"/>
      <c r="I1590" s="116"/>
      <c r="L1590" s="170">
        <v>44348</v>
      </c>
      <c r="M1590" s="116">
        <v>110.09</v>
      </c>
      <c r="N1590" s="116">
        <v>112.3</v>
      </c>
      <c r="O1590" s="116">
        <v>108.55</v>
      </c>
      <c r="P1590" s="116">
        <v>112</v>
      </c>
      <c r="Q1590" s="116">
        <v>1100.9000000000001</v>
      </c>
      <c r="R1590">
        <v>17690925</v>
      </c>
    </row>
    <row r="1591" spans="1:18" x14ac:dyDescent="0.25">
      <c r="A1591" s="170">
        <v>44349</v>
      </c>
      <c r="B1591" s="116">
        <v>112.9</v>
      </c>
      <c r="C1591" s="116">
        <v>112.355</v>
      </c>
      <c r="D1591" s="116">
        <v>110.5</v>
      </c>
      <c r="E1591" s="116">
        <v>110.795</v>
      </c>
      <c r="F1591" s="116">
        <v>1123.55</v>
      </c>
      <c r="G1591">
        <v>566476</v>
      </c>
      <c r="H1591" s="116"/>
      <c r="I1591" s="116"/>
      <c r="L1591" s="170">
        <v>44349</v>
      </c>
      <c r="M1591" s="116">
        <v>112.405</v>
      </c>
      <c r="N1591" s="116">
        <v>112.98</v>
      </c>
      <c r="O1591" s="116">
        <v>110.4</v>
      </c>
      <c r="P1591" s="116">
        <v>110.5</v>
      </c>
      <c r="Q1591" s="116">
        <v>1124.05</v>
      </c>
      <c r="R1591">
        <v>12862591</v>
      </c>
    </row>
    <row r="1592" spans="1:18" x14ac:dyDescent="0.25">
      <c r="A1592" s="170">
        <v>44350</v>
      </c>
      <c r="B1592" s="116">
        <v>113.94</v>
      </c>
      <c r="C1592" s="116">
        <v>112.17</v>
      </c>
      <c r="D1592" s="116">
        <v>111.33</v>
      </c>
      <c r="E1592" s="116">
        <v>112.8</v>
      </c>
      <c r="F1592" s="116">
        <v>1121.7</v>
      </c>
      <c r="G1592">
        <v>415095</v>
      </c>
      <c r="H1592" s="116"/>
      <c r="I1592" s="116"/>
      <c r="L1592" s="170">
        <v>44350</v>
      </c>
      <c r="M1592" s="116">
        <v>112.2</v>
      </c>
      <c r="N1592" s="116">
        <v>113.97499999999999</v>
      </c>
      <c r="O1592" s="116">
        <v>111.3</v>
      </c>
      <c r="P1592" s="116">
        <v>112.955</v>
      </c>
      <c r="Q1592" s="116">
        <v>1122</v>
      </c>
      <c r="R1592">
        <v>12109477</v>
      </c>
    </row>
    <row r="1593" spans="1:18" x14ac:dyDescent="0.25">
      <c r="A1593" s="170">
        <v>44351</v>
      </c>
      <c r="B1593" s="116">
        <v>112.89</v>
      </c>
      <c r="C1593" s="116">
        <v>111.99</v>
      </c>
      <c r="D1593" s="116">
        <v>110.72499999999999</v>
      </c>
      <c r="E1593" s="116">
        <v>111.9</v>
      </c>
      <c r="F1593" s="116">
        <v>1119.9000000000001</v>
      </c>
      <c r="G1593">
        <v>343303</v>
      </c>
      <c r="H1593" s="116"/>
      <c r="I1593" s="116"/>
      <c r="L1593" s="170">
        <v>44351</v>
      </c>
      <c r="M1593" s="116">
        <v>112.07</v>
      </c>
      <c r="N1593" s="116">
        <v>112.88</v>
      </c>
      <c r="O1593" s="116">
        <v>110.7</v>
      </c>
      <c r="P1593" s="116">
        <v>111.6</v>
      </c>
      <c r="Q1593" s="116">
        <v>1120.7</v>
      </c>
      <c r="R1593">
        <v>9713347</v>
      </c>
    </row>
    <row r="1594" spans="1:18" x14ac:dyDescent="0.25">
      <c r="A1594" s="170">
        <v>44354</v>
      </c>
      <c r="B1594" s="116">
        <v>115</v>
      </c>
      <c r="C1594" s="116">
        <v>112.83</v>
      </c>
      <c r="D1594" s="116">
        <v>112.57</v>
      </c>
      <c r="E1594" s="116">
        <v>112.995</v>
      </c>
      <c r="F1594" s="116">
        <v>1128.3</v>
      </c>
      <c r="G1594">
        <v>661287</v>
      </c>
      <c r="H1594" s="116"/>
      <c r="I1594" s="116"/>
      <c r="L1594" s="170">
        <v>44354</v>
      </c>
      <c r="M1594" s="116">
        <v>112.87</v>
      </c>
      <c r="N1594" s="116">
        <v>115</v>
      </c>
      <c r="O1594" s="116">
        <v>112.55500000000001</v>
      </c>
      <c r="P1594" s="116">
        <v>113</v>
      </c>
      <c r="Q1594" s="116">
        <v>1128.7</v>
      </c>
      <c r="R1594">
        <v>12218592</v>
      </c>
    </row>
    <row r="1595" spans="1:18" x14ac:dyDescent="0.25">
      <c r="A1595" s="170">
        <v>44355</v>
      </c>
      <c r="B1595" s="116">
        <v>113.4</v>
      </c>
      <c r="C1595" s="116">
        <v>111.05</v>
      </c>
      <c r="D1595" s="116">
        <v>110.005</v>
      </c>
      <c r="E1595" s="116">
        <v>113.3</v>
      </c>
      <c r="F1595" s="116">
        <v>1110.5</v>
      </c>
      <c r="G1595">
        <v>519355</v>
      </c>
      <c r="H1595" s="116"/>
      <c r="I1595" s="116"/>
      <c r="L1595" s="170">
        <v>44355</v>
      </c>
      <c r="M1595" s="116">
        <v>111.11</v>
      </c>
      <c r="N1595" s="116">
        <v>113.27</v>
      </c>
      <c r="O1595" s="116">
        <v>110.005</v>
      </c>
      <c r="P1595" s="116">
        <v>113.27</v>
      </c>
      <c r="Q1595" s="116">
        <v>1111.0999999999999</v>
      </c>
      <c r="R1595">
        <v>10834373</v>
      </c>
    </row>
    <row r="1596" spans="1:18" x14ac:dyDescent="0.25">
      <c r="A1596" s="170">
        <v>44356</v>
      </c>
      <c r="B1596" s="116">
        <v>112.795</v>
      </c>
      <c r="C1596" s="116">
        <v>110.09</v>
      </c>
      <c r="D1596" s="116">
        <v>109.44</v>
      </c>
      <c r="E1596" s="116">
        <v>111.5</v>
      </c>
      <c r="F1596" s="116">
        <v>1100.9000000000001</v>
      </c>
      <c r="G1596">
        <v>418142</v>
      </c>
      <c r="H1596" s="116"/>
      <c r="I1596" s="116"/>
      <c r="L1596" s="170">
        <v>44356</v>
      </c>
      <c r="M1596" s="116">
        <v>110.1</v>
      </c>
      <c r="N1596" s="116">
        <v>112.8</v>
      </c>
      <c r="O1596" s="116">
        <v>109.395</v>
      </c>
      <c r="P1596" s="116">
        <v>111.7</v>
      </c>
      <c r="Q1596" s="116">
        <v>1101</v>
      </c>
      <c r="R1596">
        <v>11114338</v>
      </c>
    </row>
    <row r="1597" spans="1:18" x14ac:dyDescent="0.25">
      <c r="A1597" s="170">
        <v>44357</v>
      </c>
      <c r="B1597" s="116">
        <v>112.55</v>
      </c>
      <c r="C1597" s="116">
        <v>111.455</v>
      </c>
      <c r="D1597" s="116">
        <v>110.3</v>
      </c>
      <c r="E1597" s="116">
        <v>111.2</v>
      </c>
      <c r="F1597" s="116">
        <v>1114.55</v>
      </c>
      <c r="G1597">
        <v>398695</v>
      </c>
      <c r="H1597" s="116"/>
      <c r="I1597" s="116"/>
      <c r="L1597" s="170">
        <v>44357</v>
      </c>
      <c r="M1597" s="116">
        <v>111.44499999999999</v>
      </c>
      <c r="N1597" s="116">
        <v>112.58</v>
      </c>
      <c r="O1597" s="116">
        <v>110.29</v>
      </c>
      <c r="P1597" s="116">
        <v>110.93</v>
      </c>
      <c r="Q1597" s="116">
        <v>1114.45</v>
      </c>
      <c r="R1597">
        <v>7776764</v>
      </c>
    </row>
    <row r="1598" spans="1:18" x14ac:dyDescent="0.25">
      <c r="A1598" s="170">
        <v>44358</v>
      </c>
      <c r="B1598" s="116">
        <v>116.48</v>
      </c>
      <c r="C1598" s="116">
        <v>115.905</v>
      </c>
      <c r="D1598" s="116">
        <v>111.30500000000001</v>
      </c>
      <c r="E1598" s="116">
        <v>112.5</v>
      </c>
      <c r="F1598" s="116">
        <v>1159.05</v>
      </c>
      <c r="G1598">
        <v>1262530</v>
      </c>
      <c r="H1598" s="116"/>
      <c r="I1598" s="116"/>
      <c r="L1598" s="170">
        <v>44358</v>
      </c>
      <c r="M1598" s="116">
        <v>115.83499999999999</v>
      </c>
      <c r="N1598" s="116">
        <v>116.46</v>
      </c>
      <c r="O1598" s="116">
        <v>111.31</v>
      </c>
      <c r="P1598" s="116">
        <v>112.78</v>
      </c>
      <c r="Q1598" s="116">
        <v>1158.3499999999999</v>
      </c>
      <c r="R1598">
        <v>17445856</v>
      </c>
    </row>
    <row r="1599" spans="1:18" x14ac:dyDescent="0.25">
      <c r="A1599" s="170">
        <v>44361</v>
      </c>
      <c r="B1599" s="116">
        <v>117.855</v>
      </c>
      <c r="C1599" s="116">
        <v>116.485</v>
      </c>
      <c r="D1599" s="116">
        <v>114</v>
      </c>
      <c r="E1599" s="116">
        <v>116.52</v>
      </c>
      <c r="F1599" s="116">
        <v>1164.8499999999999</v>
      </c>
      <c r="G1599">
        <v>977577</v>
      </c>
      <c r="H1599" s="116"/>
      <c r="I1599" s="116"/>
      <c r="L1599" s="170">
        <v>44361</v>
      </c>
      <c r="M1599" s="116">
        <v>116.48</v>
      </c>
      <c r="N1599" s="116">
        <v>117.86499999999999</v>
      </c>
      <c r="O1599" s="116">
        <v>114</v>
      </c>
      <c r="P1599" s="116">
        <v>116.8</v>
      </c>
      <c r="Q1599" s="116">
        <v>1164.8</v>
      </c>
      <c r="R1599">
        <v>16031264</v>
      </c>
    </row>
    <row r="1600" spans="1:18" x14ac:dyDescent="0.25">
      <c r="A1600" s="170">
        <v>44362</v>
      </c>
      <c r="B1600" s="116">
        <v>118.64</v>
      </c>
      <c r="C1600" s="116">
        <v>117.44499999999999</v>
      </c>
      <c r="D1600" s="116">
        <v>116.06</v>
      </c>
      <c r="E1600" s="116">
        <v>117</v>
      </c>
      <c r="F1600" s="116">
        <v>1174.45</v>
      </c>
      <c r="G1600">
        <v>577666</v>
      </c>
      <c r="H1600" s="116"/>
      <c r="I1600" s="116"/>
      <c r="L1600" s="170">
        <v>44362</v>
      </c>
      <c r="M1600" s="116">
        <v>117.43</v>
      </c>
      <c r="N1600" s="116">
        <v>118.68</v>
      </c>
      <c r="O1600" s="116">
        <v>116.01</v>
      </c>
      <c r="P1600" s="116">
        <v>117</v>
      </c>
      <c r="Q1600" s="116">
        <v>1174.3</v>
      </c>
      <c r="R1600">
        <v>9768102</v>
      </c>
    </row>
    <row r="1601" spans="1:18" x14ac:dyDescent="0.25">
      <c r="A1601" s="170">
        <v>44363</v>
      </c>
      <c r="B1601" s="116">
        <v>118.45</v>
      </c>
      <c r="C1601" s="116">
        <v>114.215</v>
      </c>
      <c r="D1601" s="116">
        <v>113.145</v>
      </c>
      <c r="E1601" s="116">
        <v>117</v>
      </c>
      <c r="F1601" s="116">
        <v>1142.1500000000001</v>
      </c>
      <c r="G1601">
        <v>985086</v>
      </c>
      <c r="H1601" s="116"/>
      <c r="I1601" s="116"/>
      <c r="L1601" s="170">
        <v>44363</v>
      </c>
      <c r="M1601" s="116">
        <v>114.215</v>
      </c>
      <c r="N1601" s="116">
        <v>118.47499999999999</v>
      </c>
      <c r="O1601" s="116">
        <v>113.16500000000001</v>
      </c>
      <c r="P1601" s="116">
        <v>116.9</v>
      </c>
      <c r="Q1601" s="116">
        <v>1142.1500000000001</v>
      </c>
      <c r="R1601">
        <v>17521107</v>
      </c>
    </row>
    <row r="1602" spans="1:18" x14ac:dyDescent="0.25">
      <c r="A1602" s="170">
        <v>44364</v>
      </c>
      <c r="B1602" s="116">
        <v>113.375</v>
      </c>
      <c r="C1602" s="116">
        <v>110.36499999999999</v>
      </c>
      <c r="D1602" s="116">
        <v>109.6</v>
      </c>
      <c r="E1602" s="116">
        <v>111.995</v>
      </c>
      <c r="F1602" s="116">
        <v>1103.6500000000001</v>
      </c>
      <c r="G1602">
        <v>947270</v>
      </c>
      <c r="H1602" s="116"/>
      <c r="I1602" s="116"/>
      <c r="L1602" s="170">
        <v>44364</v>
      </c>
      <c r="M1602" s="116">
        <v>110.375</v>
      </c>
      <c r="N1602" s="116">
        <v>113.38</v>
      </c>
      <c r="O1602" s="116">
        <v>109.565</v>
      </c>
      <c r="P1602" s="116">
        <v>111.895</v>
      </c>
      <c r="Q1602" s="116">
        <v>1103.75</v>
      </c>
      <c r="R1602">
        <v>16207687</v>
      </c>
    </row>
    <row r="1603" spans="1:18" x14ac:dyDescent="0.25">
      <c r="A1603" s="170">
        <v>44365</v>
      </c>
      <c r="B1603" s="116">
        <v>110.96</v>
      </c>
      <c r="C1603" s="116">
        <v>109.13</v>
      </c>
      <c r="D1603" s="116">
        <v>105.05</v>
      </c>
      <c r="E1603" s="116">
        <v>110.565</v>
      </c>
      <c r="F1603" s="116">
        <v>1091.3</v>
      </c>
      <c r="G1603">
        <v>1190350</v>
      </c>
      <c r="H1603" s="116"/>
      <c r="I1603" s="116"/>
      <c r="L1603" s="170">
        <v>44365</v>
      </c>
      <c r="M1603" s="116">
        <v>109.23</v>
      </c>
      <c r="N1603" s="116">
        <v>110.99</v>
      </c>
      <c r="O1603" s="116">
        <v>105.02500000000001</v>
      </c>
      <c r="P1603" s="116">
        <v>110.5</v>
      </c>
      <c r="Q1603" s="116">
        <v>1092.3</v>
      </c>
      <c r="R1603">
        <v>40347077</v>
      </c>
    </row>
    <row r="1604" spans="1:18" x14ac:dyDescent="0.25">
      <c r="A1604" s="170">
        <v>44368</v>
      </c>
      <c r="B1604" s="116">
        <v>110.905</v>
      </c>
      <c r="C1604" s="116">
        <v>110.55</v>
      </c>
      <c r="D1604" s="116">
        <v>106.44499999999999</v>
      </c>
      <c r="E1604" s="116">
        <v>107.5</v>
      </c>
      <c r="F1604" s="116">
        <v>1105.5</v>
      </c>
      <c r="G1604">
        <v>664131</v>
      </c>
      <c r="H1604" s="116"/>
      <c r="I1604" s="116"/>
      <c r="L1604" s="170">
        <v>44368</v>
      </c>
      <c r="M1604" s="116">
        <v>110.61499999999999</v>
      </c>
      <c r="N1604" s="116">
        <v>110.9</v>
      </c>
      <c r="O1604" s="116">
        <v>106.36499999999999</v>
      </c>
      <c r="P1604" s="116">
        <v>107</v>
      </c>
      <c r="Q1604" s="116">
        <v>1106.1500000000001</v>
      </c>
      <c r="R1604">
        <v>13001432</v>
      </c>
    </row>
    <row r="1605" spans="1:18" x14ac:dyDescent="0.25">
      <c r="A1605" s="170">
        <v>44369</v>
      </c>
      <c r="B1605" s="116">
        <v>113.07</v>
      </c>
      <c r="C1605" s="116">
        <v>111.355</v>
      </c>
      <c r="D1605" s="116">
        <v>110.715</v>
      </c>
      <c r="E1605" s="116">
        <v>111.8</v>
      </c>
      <c r="F1605" s="116">
        <v>1113.55</v>
      </c>
      <c r="G1605">
        <v>544674</v>
      </c>
      <c r="H1605" s="116"/>
      <c r="I1605" s="116"/>
      <c r="L1605" s="170">
        <v>44369</v>
      </c>
      <c r="M1605" s="116">
        <v>111.23</v>
      </c>
      <c r="N1605" s="116">
        <v>113.1</v>
      </c>
      <c r="O1605" s="116">
        <v>110.65</v>
      </c>
      <c r="P1605" s="116">
        <v>111.42</v>
      </c>
      <c r="Q1605" s="116">
        <v>1112.3</v>
      </c>
      <c r="R1605">
        <v>9024634</v>
      </c>
    </row>
    <row r="1606" spans="1:18" x14ac:dyDescent="0.25">
      <c r="A1606" s="170">
        <v>44370</v>
      </c>
      <c r="B1606" s="116">
        <v>112.77500000000001</v>
      </c>
      <c r="C1606" s="116">
        <v>109.98</v>
      </c>
      <c r="D1606" s="116">
        <v>109.535</v>
      </c>
      <c r="E1606" s="116">
        <v>112</v>
      </c>
      <c r="F1606" s="116">
        <v>1099.8</v>
      </c>
      <c r="G1606">
        <v>569647</v>
      </c>
      <c r="H1606" s="116"/>
      <c r="I1606" s="116"/>
      <c r="L1606" s="170">
        <v>44370</v>
      </c>
      <c r="M1606" s="116">
        <v>110.01</v>
      </c>
      <c r="N1606" s="116">
        <v>112.755</v>
      </c>
      <c r="O1606" s="116">
        <v>109.785</v>
      </c>
      <c r="P1606" s="116">
        <v>112.05</v>
      </c>
      <c r="Q1606" s="116">
        <v>1100.0999999999999</v>
      </c>
      <c r="R1606">
        <v>7806336</v>
      </c>
    </row>
    <row r="1607" spans="1:18" x14ac:dyDescent="0.25">
      <c r="A1607" s="170">
        <v>44371</v>
      </c>
      <c r="B1607" s="116">
        <v>112.05</v>
      </c>
      <c r="C1607" s="116">
        <v>111.325</v>
      </c>
      <c r="D1607" s="116">
        <v>109.88</v>
      </c>
      <c r="E1607" s="116">
        <v>110.4</v>
      </c>
      <c r="F1607" s="116">
        <v>1113.25</v>
      </c>
      <c r="G1607">
        <v>369461</v>
      </c>
      <c r="H1607" s="116"/>
      <c r="I1607" s="116"/>
      <c r="L1607" s="170">
        <v>44371</v>
      </c>
      <c r="M1607" s="116">
        <v>111.315</v>
      </c>
      <c r="N1607" s="116">
        <v>112.05</v>
      </c>
      <c r="O1607" s="116">
        <v>109.845</v>
      </c>
      <c r="P1607" s="116">
        <v>110.5</v>
      </c>
      <c r="Q1607" s="116">
        <v>1113.1500000000001</v>
      </c>
      <c r="R1607">
        <v>7239470</v>
      </c>
    </row>
    <row r="1608" spans="1:18" x14ac:dyDescent="0.25">
      <c r="A1608" s="170">
        <v>44372</v>
      </c>
      <c r="B1608" s="116">
        <v>116.95</v>
      </c>
      <c r="C1608" s="116">
        <v>116.5</v>
      </c>
      <c r="D1608" s="116">
        <v>112.905</v>
      </c>
      <c r="E1608" s="116">
        <v>113.4</v>
      </c>
      <c r="F1608" s="116">
        <v>1165</v>
      </c>
      <c r="G1608">
        <v>1603365</v>
      </c>
      <c r="H1608" s="116"/>
      <c r="I1608" s="116"/>
      <c r="L1608" s="170">
        <v>44372</v>
      </c>
      <c r="M1608" s="116">
        <v>116.52500000000001</v>
      </c>
      <c r="N1608" s="116">
        <v>117</v>
      </c>
      <c r="O1608" s="116">
        <v>113</v>
      </c>
      <c r="P1608" s="116">
        <v>113.5</v>
      </c>
      <c r="Q1608" s="116">
        <v>1165.25</v>
      </c>
      <c r="R1608">
        <v>18022770</v>
      </c>
    </row>
    <row r="1609" spans="1:18" x14ac:dyDescent="0.25">
      <c r="A1609" s="170">
        <v>44375</v>
      </c>
      <c r="B1609" s="116">
        <v>118.92</v>
      </c>
      <c r="C1609" s="116">
        <v>118.405</v>
      </c>
      <c r="D1609" s="116">
        <v>116.32</v>
      </c>
      <c r="E1609" s="116">
        <v>117.495</v>
      </c>
      <c r="F1609" s="116">
        <v>1184.05</v>
      </c>
      <c r="G1609">
        <v>749944</v>
      </c>
      <c r="H1609" s="116"/>
      <c r="I1609" s="116"/>
      <c r="L1609" s="170">
        <v>44375</v>
      </c>
      <c r="M1609" s="116">
        <v>118.4</v>
      </c>
      <c r="N1609" s="116">
        <v>118.9</v>
      </c>
      <c r="O1609" s="116">
        <v>116.3</v>
      </c>
      <c r="P1609" s="116">
        <v>117.4</v>
      </c>
      <c r="Q1609" s="116">
        <v>1184</v>
      </c>
      <c r="R1609">
        <v>11660335</v>
      </c>
    </row>
    <row r="1610" spans="1:18" x14ac:dyDescent="0.25">
      <c r="A1610" s="170">
        <v>44376</v>
      </c>
      <c r="B1610" s="116">
        <v>119.5</v>
      </c>
      <c r="C1610" s="116">
        <v>117.245</v>
      </c>
      <c r="D1610" s="116">
        <v>116.55</v>
      </c>
      <c r="E1610" s="116">
        <v>118.6</v>
      </c>
      <c r="F1610" s="116">
        <v>1172.45</v>
      </c>
      <c r="G1610">
        <v>675052</v>
      </c>
      <c r="H1610" s="116"/>
      <c r="I1610" s="116"/>
      <c r="L1610" s="170">
        <v>44376</v>
      </c>
      <c r="M1610" s="116">
        <v>117.255</v>
      </c>
      <c r="N1610" s="116">
        <v>119.2</v>
      </c>
      <c r="O1610" s="116">
        <v>116.55500000000001</v>
      </c>
      <c r="P1610" s="116">
        <v>118.45</v>
      </c>
      <c r="Q1610" s="116">
        <v>1172.55</v>
      </c>
      <c r="R1610">
        <v>7803759</v>
      </c>
    </row>
    <row r="1611" spans="1:18" x14ac:dyDescent="0.25">
      <c r="A1611" s="170">
        <v>44377</v>
      </c>
      <c r="B1611" s="116">
        <v>119.095</v>
      </c>
      <c r="C1611" s="116">
        <v>116.685</v>
      </c>
      <c r="D1611" s="116">
        <v>116.25</v>
      </c>
      <c r="E1611" s="116">
        <v>117.95</v>
      </c>
      <c r="F1611" s="116">
        <v>1166.8499999999999</v>
      </c>
      <c r="G1611">
        <v>326616</v>
      </c>
      <c r="H1611" s="116"/>
      <c r="I1611" s="116"/>
      <c r="L1611" s="170">
        <v>44377</v>
      </c>
      <c r="M1611" s="116">
        <v>116.66</v>
      </c>
      <c r="N1611" s="116">
        <v>119.1</v>
      </c>
      <c r="O1611" s="116">
        <v>116.28</v>
      </c>
      <c r="P1611" s="116">
        <v>118.105</v>
      </c>
      <c r="Q1611" s="116">
        <v>1166.5999999999999</v>
      </c>
      <c r="R1611">
        <v>8043267</v>
      </c>
    </row>
    <row r="1612" spans="1:18" x14ac:dyDescent="0.25">
      <c r="A1612" s="170">
        <v>44378</v>
      </c>
      <c r="B1612" s="116">
        <v>117.655</v>
      </c>
      <c r="C1612" s="116">
        <v>116.33499999999999</v>
      </c>
      <c r="D1612" s="116">
        <v>115.69</v>
      </c>
      <c r="E1612" s="116">
        <v>117.005</v>
      </c>
      <c r="F1612" s="116">
        <v>1163.3499999999999</v>
      </c>
      <c r="G1612">
        <v>351105</v>
      </c>
      <c r="H1612" s="116"/>
      <c r="I1612" s="116"/>
      <c r="L1612" s="170">
        <v>44378</v>
      </c>
      <c r="M1612" s="116">
        <v>116.355</v>
      </c>
      <c r="N1612" s="116">
        <v>117.68</v>
      </c>
      <c r="O1612" s="116">
        <v>115.645</v>
      </c>
      <c r="P1612" s="116">
        <v>117.19</v>
      </c>
      <c r="Q1612" s="116">
        <v>1163.55</v>
      </c>
      <c r="R1612">
        <v>5614928</v>
      </c>
    </row>
    <row r="1613" spans="1:18" x14ac:dyDescent="0.25">
      <c r="A1613" s="170">
        <v>44379</v>
      </c>
      <c r="B1613" s="116">
        <v>116.65</v>
      </c>
      <c r="C1613" s="116">
        <v>113.595</v>
      </c>
      <c r="D1613" s="116">
        <v>113.05</v>
      </c>
      <c r="E1613" s="116">
        <v>116.5</v>
      </c>
      <c r="F1613" s="116">
        <v>1135.95</v>
      </c>
      <c r="G1613">
        <v>382616</v>
      </c>
      <c r="H1613" s="116"/>
      <c r="I1613" s="116"/>
      <c r="L1613" s="170">
        <v>44379</v>
      </c>
      <c r="M1613" s="116">
        <v>113.6</v>
      </c>
      <c r="N1613" s="116">
        <v>116.68</v>
      </c>
      <c r="O1613" s="116">
        <v>113.02</v>
      </c>
      <c r="P1613" s="116">
        <v>116.6</v>
      </c>
      <c r="Q1613" s="116">
        <v>1136</v>
      </c>
      <c r="R1613">
        <v>7573407</v>
      </c>
    </row>
    <row r="1614" spans="1:18" x14ac:dyDescent="0.25">
      <c r="A1614" s="170">
        <v>44382</v>
      </c>
      <c r="B1614" s="116">
        <v>116.11</v>
      </c>
      <c r="C1614" s="116">
        <v>115.68</v>
      </c>
      <c r="D1614" s="116">
        <v>113.61</v>
      </c>
      <c r="E1614" s="116">
        <v>115</v>
      </c>
      <c r="F1614" s="116">
        <v>1156.8</v>
      </c>
      <c r="G1614">
        <v>473073</v>
      </c>
      <c r="H1614" s="116"/>
      <c r="I1614" s="116"/>
      <c r="L1614" s="170">
        <v>44382</v>
      </c>
      <c r="M1614" s="116">
        <v>115.685</v>
      </c>
      <c r="N1614" s="116">
        <v>116.18</v>
      </c>
      <c r="O1614" s="116">
        <v>113.6</v>
      </c>
      <c r="P1614" s="116">
        <v>114.6</v>
      </c>
      <c r="Q1614" s="116">
        <v>1156.8499999999999</v>
      </c>
      <c r="R1614">
        <v>7679900</v>
      </c>
    </row>
    <row r="1615" spans="1:18" x14ac:dyDescent="0.25">
      <c r="A1615" s="170">
        <v>44383</v>
      </c>
      <c r="B1615" s="116">
        <v>117.8</v>
      </c>
      <c r="C1615" s="116">
        <v>116.675</v>
      </c>
      <c r="D1615" s="116">
        <v>115.01</v>
      </c>
      <c r="E1615" s="116">
        <v>115.75</v>
      </c>
      <c r="F1615" s="116">
        <v>1166.75</v>
      </c>
      <c r="G1615">
        <v>381766</v>
      </c>
      <c r="H1615" s="116"/>
      <c r="I1615" s="116"/>
      <c r="L1615" s="170">
        <v>44383</v>
      </c>
      <c r="M1615" s="116">
        <v>116.72499999999999</v>
      </c>
      <c r="N1615" s="116">
        <v>117.8</v>
      </c>
      <c r="O1615" s="116">
        <v>115.02500000000001</v>
      </c>
      <c r="P1615" s="116">
        <v>115.86499999999999</v>
      </c>
      <c r="Q1615" s="116">
        <v>1167.25</v>
      </c>
      <c r="R1615">
        <v>9146835</v>
      </c>
    </row>
    <row r="1616" spans="1:18" x14ac:dyDescent="0.25">
      <c r="A1616" s="170">
        <v>44384</v>
      </c>
      <c r="B1616" s="116">
        <v>122.5</v>
      </c>
      <c r="C1616" s="116">
        <v>121.78</v>
      </c>
      <c r="D1616" s="116">
        <v>115.88500000000001</v>
      </c>
      <c r="E1616" s="116">
        <v>116.675</v>
      </c>
      <c r="F1616" s="116">
        <v>1217.8</v>
      </c>
      <c r="G1616">
        <v>748985</v>
      </c>
      <c r="H1616" s="116"/>
      <c r="I1616" s="116"/>
      <c r="L1616" s="170">
        <v>44384</v>
      </c>
      <c r="M1616" s="116">
        <v>121.86499999999999</v>
      </c>
      <c r="N1616" s="116">
        <v>122.5</v>
      </c>
      <c r="O1616" s="116">
        <v>115.85</v>
      </c>
      <c r="P1616" s="116">
        <v>116.795</v>
      </c>
      <c r="Q1616" s="116">
        <v>1218.6500000000001</v>
      </c>
      <c r="R1616">
        <v>16745626</v>
      </c>
    </row>
    <row r="1617" spans="1:18" x14ac:dyDescent="0.25">
      <c r="A1617" s="170">
        <v>44385</v>
      </c>
      <c r="B1617" s="116">
        <v>122.98</v>
      </c>
      <c r="C1617" s="116">
        <v>118.97499999999999</v>
      </c>
      <c r="D1617" s="116">
        <v>118.12</v>
      </c>
      <c r="E1617" s="116">
        <v>122.495</v>
      </c>
      <c r="F1617" s="116">
        <v>1189.75</v>
      </c>
      <c r="G1617">
        <v>601873</v>
      </c>
      <c r="H1617" s="116"/>
      <c r="I1617" s="116"/>
      <c r="L1617" s="170">
        <v>44385</v>
      </c>
      <c r="M1617" s="116">
        <v>118.97499999999999</v>
      </c>
      <c r="N1617" s="116">
        <v>123</v>
      </c>
      <c r="O1617" s="116">
        <v>118.12</v>
      </c>
      <c r="P1617" s="116">
        <v>122.5</v>
      </c>
      <c r="Q1617" s="116">
        <v>1189.75</v>
      </c>
      <c r="R1617">
        <v>12410585</v>
      </c>
    </row>
    <row r="1618" spans="1:18" x14ac:dyDescent="0.25">
      <c r="A1618" s="170">
        <v>44386</v>
      </c>
      <c r="B1618" s="116">
        <v>124.32</v>
      </c>
      <c r="C1618" s="116">
        <v>123.92</v>
      </c>
      <c r="D1618" s="116">
        <v>118.80500000000001</v>
      </c>
      <c r="E1618" s="116">
        <v>119.2</v>
      </c>
      <c r="F1618" s="116">
        <v>1239.2</v>
      </c>
      <c r="G1618">
        <v>1128697</v>
      </c>
      <c r="H1618" s="116"/>
      <c r="I1618" s="116"/>
      <c r="L1618" s="170">
        <v>44386</v>
      </c>
      <c r="M1618" s="116">
        <v>123.935</v>
      </c>
      <c r="N1618" s="116">
        <v>124.41</v>
      </c>
      <c r="O1618" s="116">
        <v>118.8</v>
      </c>
      <c r="P1618" s="116">
        <v>119.2</v>
      </c>
      <c r="Q1618" s="116">
        <v>1239.3499999999999</v>
      </c>
      <c r="R1618">
        <v>17859356</v>
      </c>
    </row>
    <row r="1619" spans="1:18" x14ac:dyDescent="0.25">
      <c r="A1619" s="170">
        <v>44389</v>
      </c>
      <c r="B1619" s="116">
        <v>125.84</v>
      </c>
      <c r="C1619" s="116">
        <v>122.685</v>
      </c>
      <c r="D1619" s="116">
        <v>121.8</v>
      </c>
      <c r="E1619" s="116">
        <v>125</v>
      </c>
      <c r="F1619" s="116">
        <v>1226.8499999999999</v>
      </c>
      <c r="G1619">
        <v>1123334</v>
      </c>
      <c r="H1619" s="116"/>
      <c r="I1619" s="116"/>
      <c r="L1619" s="170">
        <v>44389</v>
      </c>
      <c r="M1619" s="116">
        <v>122.69499999999999</v>
      </c>
      <c r="N1619" s="116">
        <v>125.85</v>
      </c>
      <c r="O1619" s="116">
        <v>121.83499999999999</v>
      </c>
      <c r="P1619" s="116">
        <v>125.1</v>
      </c>
      <c r="Q1619" s="116">
        <v>1226.95</v>
      </c>
      <c r="R1619">
        <v>16647775</v>
      </c>
    </row>
    <row r="1620" spans="1:18" x14ac:dyDescent="0.25">
      <c r="A1620" s="170">
        <v>44390</v>
      </c>
      <c r="B1620" s="116">
        <v>124.355</v>
      </c>
      <c r="C1620" s="116">
        <v>122.88500000000001</v>
      </c>
      <c r="D1620" s="116">
        <v>122.37</v>
      </c>
      <c r="E1620" s="116">
        <v>123.8</v>
      </c>
      <c r="F1620" s="116">
        <v>1228.8499999999999</v>
      </c>
      <c r="G1620">
        <v>338372</v>
      </c>
      <c r="H1620" s="116"/>
      <c r="I1620" s="116"/>
      <c r="L1620" s="170">
        <v>44390</v>
      </c>
      <c r="M1620" s="116">
        <v>122.875</v>
      </c>
      <c r="N1620" s="116">
        <v>124.345</v>
      </c>
      <c r="O1620" s="116">
        <v>122.31</v>
      </c>
      <c r="P1620" s="116">
        <v>123.8</v>
      </c>
      <c r="Q1620" s="116">
        <v>1228.75</v>
      </c>
      <c r="R1620">
        <v>7915528</v>
      </c>
    </row>
    <row r="1621" spans="1:18" x14ac:dyDescent="0.25">
      <c r="A1621" s="170">
        <v>44391</v>
      </c>
      <c r="B1621" s="116">
        <v>124.74</v>
      </c>
      <c r="C1621" s="116">
        <v>124.46</v>
      </c>
      <c r="D1621" s="116">
        <v>121.905</v>
      </c>
      <c r="E1621" s="116">
        <v>123.395</v>
      </c>
      <c r="F1621" s="116">
        <v>1244.5999999999999</v>
      </c>
      <c r="G1621">
        <v>508975</v>
      </c>
      <c r="H1621" s="116"/>
      <c r="I1621" s="116"/>
      <c r="L1621" s="170">
        <v>44391</v>
      </c>
      <c r="M1621" s="116">
        <v>124.47</v>
      </c>
      <c r="N1621" s="116">
        <v>124.77</v>
      </c>
      <c r="O1621" s="116">
        <v>121.9</v>
      </c>
      <c r="P1621" s="116">
        <v>123.19499999999999</v>
      </c>
      <c r="Q1621" s="116">
        <v>1244.7</v>
      </c>
      <c r="R1621">
        <v>8341388</v>
      </c>
    </row>
    <row r="1622" spans="1:18" x14ac:dyDescent="0.25">
      <c r="A1622" s="170">
        <v>44392</v>
      </c>
      <c r="B1622" s="116">
        <v>126.6</v>
      </c>
      <c r="C1622" s="116">
        <v>125.61</v>
      </c>
      <c r="D1622" s="116">
        <v>123.79</v>
      </c>
      <c r="E1622" s="116">
        <v>124.9</v>
      </c>
      <c r="F1622" s="116">
        <v>1256.0999999999999</v>
      </c>
      <c r="G1622">
        <v>583812</v>
      </c>
      <c r="H1622" s="116"/>
      <c r="I1622" s="116"/>
      <c r="L1622" s="170">
        <v>44392</v>
      </c>
      <c r="M1622" s="116">
        <v>125.595</v>
      </c>
      <c r="N1622" s="116">
        <v>126.58</v>
      </c>
      <c r="O1622" s="116">
        <v>123.77</v>
      </c>
      <c r="P1622" s="116">
        <v>124.61</v>
      </c>
      <c r="Q1622" s="116">
        <v>1255.95</v>
      </c>
      <c r="R1622">
        <v>9655551</v>
      </c>
    </row>
    <row r="1623" spans="1:18" x14ac:dyDescent="0.25">
      <c r="A1623" s="170">
        <v>44393</v>
      </c>
      <c r="B1623" s="116">
        <v>128.11500000000001</v>
      </c>
      <c r="C1623" s="116">
        <v>127.83</v>
      </c>
      <c r="D1623" s="116">
        <v>125.86</v>
      </c>
      <c r="E1623" s="116">
        <v>126.49</v>
      </c>
      <c r="F1623" s="116">
        <v>1278.3</v>
      </c>
      <c r="G1623">
        <v>525026</v>
      </c>
      <c r="H1623" s="116"/>
      <c r="I1623" s="116"/>
      <c r="L1623" s="170">
        <v>44393</v>
      </c>
      <c r="M1623" s="116">
        <v>127.845</v>
      </c>
      <c r="N1623" s="116">
        <v>128.13</v>
      </c>
      <c r="O1623" s="116">
        <v>125.905</v>
      </c>
      <c r="P1623" s="116">
        <v>126.47</v>
      </c>
      <c r="Q1623" s="116">
        <v>1278.45</v>
      </c>
      <c r="R1623">
        <v>8496925</v>
      </c>
    </row>
    <row r="1624" spans="1:18" x14ac:dyDescent="0.25">
      <c r="A1624" s="170">
        <v>44396</v>
      </c>
      <c r="B1624" s="116">
        <v>129.08500000000001</v>
      </c>
      <c r="C1624" s="116">
        <v>126.63</v>
      </c>
      <c r="D1624" s="116">
        <v>125.55500000000001</v>
      </c>
      <c r="E1624" s="116">
        <v>126.505</v>
      </c>
      <c r="F1624" s="116">
        <v>1266.3</v>
      </c>
      <c r="G1624">
        <v>648909</v>
      </c>
      <c r="H1624" s="116"/>
      <c r="I1624" s="116"/>
      <c r="L1624" s="170">
        <v>44396</v>
      </c>
      <c r="M1624" s="116">
        <v>126.64</v>
      </c>
      <c r="N1624" s="116">
        <v>129.09</v>
      </c>
      <c r="O1624" s="116">
        <v>125.37</v>
      </c>
      <c r="P1624" s="116">
        <v>125.9</v>
      </c>
      <c r="Q1624" s="116">
        <v>1266.4000000000001</v>
      </c>
      <c r="R1624">
        <v>8904629</v>
      </c>
    </row>
    <row r="1625" spans="1:18" x14ac:dyDescent="0.25">
      <c r="A1625" s="170">
        <v>44397</v>
      </c>
      <c r="B1625" s="116">
        <v>127.235</v>
      </c>
      <c r="C1625" s="116">
        <v>123.27</v>
      </c>
      <c r="D1625" s="116">
        <v>122.51</v>
      </c>
      <c r="E1625" s="116">
        <v>127.05</v>
      </c>
      <c r="F1625" s="116">
        <v>1232.7</v>
      </c>
      <c r="G1625">
        <v>406838</v>
      </c>
      <c r="H1625" s="116"/>
      <c r="I1625" s="116"/>
      <c r="L1625" s="170">
        <v>44397</v>
      </c>
      <c r="M1625" s="116">
        <v>123.33499999999999</v>
      </c>
      <c r="N1625" s="116">
        <v>127.23</v>
      </c>
      <c r="O1625" s="116">
        <v>122.5</v>
      </c>
      <c r="P1625" s="116">
        <v>127.2</v>
      </c>
      <c r="Q1625" s="116">
        <v>1233.3499999999999</v>
      </c>
      <c r="R1625">
        <v>8579940</v>
      </c>
    </row>
    <row r="1626" spans="1:18" x14ac:dyDescent="0.25">
      <c r="A1626" s="170">
        <v>44399</v>
      </c>
      <c r="B1626" s="116">
        <v>127.795</v>
      </c>
      <c r="C1626" s="116">
        <v>127.295</v>
      </c>
      <c r="D1626" s="116">
        <v>124.6</v>
      </c>
      <c r="E1626" s="116">
        <v>124.6</v>
      </c>
      <c r="F1626" s="116">
        <v>1272.95</v>
      </c>
      <c r="G1626">
        <v>358178</v>
      </c>
      <c r="H1626" s="116"/>
      <c r="I1626" s="116"/>
      <c r="L1626" s="170">
        <v>44399</v>
      </c>
      <c r="M1626" s="116">
        <v>127.3</v>
      </c>
      <c r="N1626" s="116">
        <v>127.795</v>
      </c>
      <c r="O1626" s="116">
        <v>124.8</v>
      </c>
      <c r="P1626" s="116">
        <v>124.9</v>
      </c>
      <c r="Q1626" s="116">
        <v>1273</v>
      </c>
      <c r="R1626">
        <v>7894024</v>
      </c>
    </row>
    <row r="1627" spans="1:18" x14ac:dyDescent="0.25">
      <c r="A1627" s="170">
        <v>44400</v>
      </c>
      <c r="B1627" s="116">
        <v>129.54499999999999</v>
      </c>
      <c r="C1627" s="116">
        <v>128.19</v>
      </c>
      <c r="D1627" s="116">
        <v>127.42</v>
      </c>
      <c r="E1627" s="116">
        <v>127.95</v>
      </c>
      <c r="F1627" s="116">
        <v>1281.9000000000001</v>
      </c>
      <c r="G1627">
        <v>446952</v>
      </c>
      <c r="H1627" s="116"/>
      <c r="I1627" s="116"/>
      <c r="L1627" s="170">
        <v>44400</v>
      </c>
      <c r="M1627" s="116">
        <v>128.13999999999999</v>
      </c>
      <c r="N1627" s="116">
        <v>129.55000000000001</v>
      </c>
      <c r="O1627" s="116">
        <v>127.4</v>
      </c>
      <c r="P1627" s="116">
        <v>127.935</v>
      </c>
      <c r="Q1627" s="116">
        <v>1281.4000000000001</v>
      </c>
      <c r="R1627">
        <v>8641865</v>
      </c>
    </row>
    <row r="1628" spans="1:18" x14ac:dyDescent="0.25">
      <c r="A1628" s="170">
        <v>44403</v>
      </c>
      <c r="B1628" s="116">
        <v>130.785</v>
      </c>
      <c r="C1628" s="116">
        <v>129.81</v>
      </c>
      <c r="D1628" s="116">
        <v>127.825</v>
      </c>
      <c r="E1628" s="116">
        <v>128.52000000000001</v>
      </c>
      <c r="F1628" s="116">
        <v>1298.0999999999999</v>
      </c>
      <c r="G1628">
        <v>521924</v>
      </c>
      <c r="H1628" s="116"/>
      <c r="I1628" s="116"/>
      <c r="L1628" s="170">
        <v>44403</v>
      </c>
      <c r="M1628" s="116">
        <v>129.79499999999999</v>
      </c>
      <c r="N1628" s="116">
        <v>130.82499999999999</v>
      </c>
      <c r="O1628" s="116">
        <v>127.80500000000001</v>
      </c>
      <c r="P1628" s="116">
        <v>128.9</v>
      </c>
      <c r="Q1628" s="116">
        <v>1297.95</v>
      </c>
      <c r="R1628">
        <v>8678433</v>
      </c>
    </row>
    <row r="1629" spans="1:18" x14ac:dyDescent="0.25">
      <c r="A1629" s="170">
        <v>44404</v>
      </c>
      <c r="B1629" s="116">
        <v>133.5</v>
      </c>
      <c r="C1629" s="116">
        <v>133.05000000000001</v>
      </c>
      <c r="D1629" s="116">
        <v>130.82499999999999</v>
      </c>
      <c r="E1629" s="116">
        <v>131.21</v>
      </c>
      <c r="F1629" s="116">
        <v>1330.5</v>
      </c>
      <c r="G1629">
        <v>511942</v>
      </c>
      <c r="H1629" s="116"/>
      <c r="I1629" s="116"/>
      <c r="L1629" s="170">
        <v>44404</v>
      </c>
      <c r="M1629" s="116">
        <v>133.065</v>
      </c>
      <c r="N1629" s="116">
        <v>133.44999999999999</v>
      </c>
      <c r="O1629" s="116">
        <v>130.80500000000001</v>
      </c>
      <c r="P1629" s="116">
        <v>131.5</v>
      </c>
      <c r="Q1629" s="116">
        <v>1330.65</v>
      </c>
      <c r="R1629">
        <v>10341382</v>
      </c>
    </row>
    <row r="1630" spans="1:18" x14ac:dyDescent="0.25">
      <c r="A1630" s="170">
        <v>44405</v>
      </c>
      <c r="B1630" s="116">
        <v>137</v>
      </c>
      <c r="C1630" s="116">
        <v>136.51499999999999</v>
      </c>
      <c r="D1630" s="116">
        <v>130.63499999999999</v>
      </c>
      <c r="E1630" s="116">
        <v>133.38</v>
      </c>
      <c r="F1630" s="116">
        <v>1365.15</v>
      </c>
      <c r="G1630">
        <v>602827</v>
      </c>
      <c r="H1630" s="116"/>
      <c r="I1630" s="116"/>
      <c r="L1630" s="170">
        <v>44405</v>
      </c>
      <c r="M1630" s="116">
        <v>136.5</v>
      </c>
      <c r="N1630" s="116">
        <v>136.995</v>
      </c>
      <c r="O1630" s="116">
        <v>130.62</v>
      </c>
      <c r="P1630" s="116">
        <v>133.19999999999999</v>
      </c>
      <c r="Q1630" s="116">
        <v>1365</v>
      </c>
      <c r="R1630">
        <v>12835125</v>
      </c>
    </row>
    <row r="1631" spans="1:18" x14ac:dyDescent="0.25">
      <c r="A1631" s="170">
        <v>44406</v>
      </c>
      <c r="B1631" s="116">
        <v>148.125</v>
      </c>
      <c r="C1631" s="116">
        <v>145.9</v>
      </c>
      <c r="D1631" s="116">
        <v>136.80000000000001</v>
      </c>
      <c r="E1631" s="116">
        <v>137.47</v>
      </c>
      <c r="F1631" s="116">
        <v>1459</v>
      </c>
      <c r="G1631">
        <v>1612858</v>
      </c>
      <c r="H1631" s="116"/>
      <c r="I1631" s="116"/>
      <c r="L1631" s="170">
        <v>44406</v>
      </c>
      <c r="M1631" s="116">
        <v>145.86000000000001</v>
      </c>
      <c r="N1631" s="116">
        <v>148.18</v>
      </c>
      <c r="O1631" s="116">
        <v>136.80000000000001</v>
      </c>
      <c r="P1631" s="116">
        <v>137.5</v>
      </c>
      <c r="Q1631" s="116">
        <v>1458.6</v>
      </c>
      <c r="R1631">
        <v>30061041</v>
      </c>
    </row>
    <row r="1632" spans="1:18" x14ac:dyDescent="0.25">
      <c r="A1632" s="170">
        <v>44407</v>
      </c>
      <c r="B1632" s="116">
        <v>147.29499999999999</v>
      </c>
      <c r="C1632" s="116">
        <v>143.375</v>
      </c>
      <c r="D1632" s="116">
        <v>142.80000000000001</v>
      </c>
      <c r="E1632" s="116">
        <v>145.9</v>
      </c>
      <c r="F1632" s="116">
        <v>1433.75</v>
      </c>
      <c r="G1632">
        <v>752698</v>
      </c>
      <c r="H1632" s="116"/>
      <c r="I1632" s="116"/>
      <c r="L1632" s="170">
        <v>44407</v>
      </c>
      <c r="M1632" s="116">
        <v>143.43</v>
      </c>
      <c r="N1632" s="116">
        <v>147.27000000000001</v>
      </c>
      <c r="O1632" s="116">
        <v>142.78</v>
      </c>
      <c r="P1632" s="116">
        <v>145.565</v>
      </c>
      <c r="Q1632" s="116">
        <v>1434.3</v>
      </c>
      <c r="R1632">
        <v>14049265</v>
      </c>
    </row>
    <row r="1633" spans="1:18" x14ac:dyDescent="0.25">
      <c r="A1633" s="170">
        <v>44410</v>
      </c>
      <c r="B1633" s="116">
        <v>144.88999999999999</v>
      </c>
      <c r="C1633" s="116">
        <v>140.995</v>
      </c>
      <c r="D1633" s="116">
        <v>140.59</v>
      </c>
      <c r="E1633" s="116">
        <v>144.88999999999999</v>
      </c>
      <c r="F1633" s="116">
        <v>1409.95</v>
      </c>
      <c r="G1633">
        <v>591435</v>
      </c>
      <c r="H1633" s="116"/>
      <c r="I1633" s="116"/>
      <c r="L1633" s="170">
        <v>44410</v>
      </c>
      <c r="M1633" s="116">
        <v>141.005</v>
      </c>
      <c r="N1633" s="116">
        <v>144.69999999999999</v>
      </c>
      <c r="O1633" s="116">
        <v>140.55000000000001</v>
      </c>
      <c r="P1633" s="116">
        <v>144.6</v>
      </c>
      <c r="Q1633" s="116">
        <v>1410.05</v>
      </c>
      <c r="R1633">
        <v>9768920</v>
      </c>
    </row>
    <row r="1634" spans="1:18" x14ac:dyDescent="0.25">
      <c r="A1634" s="170">
        <v>44411</v>
      </c>
      <c r="B1634" s="116">
        <v>142.05000000000001</v>
      </c>
      <c r="C1634" s="116">
        <v>140.71</v>
      </c>
      <c r="D1634" s="116">
        <v>139.06</v>
      </c>
      <c r="E1634" s="116">
        <v>141.37</v>
      </c>
      <c r="F1634" s="116">
        <v>1407.1</v>
      </c>
      <c r="G1634">
        <v>406161</v>
      </c>
      <c r="H1634" s="116"/>
      <c r="I1634" s="116"/>
      <c r="L1634" s="170">
        <v>44411</v>
      </c>
      <c r="M1634" s="116">
        <v>140.72</v>
      </c>
      <c r="N1634" s="116">
        <v>142.08500000000001</v>
      </c>
      <c r="O1634" s="116">
        <v>139.035</v>
      </c>
      <c r="P1634" s="116">
        <v>141.4</v>
      </c>
      <c r="Q1634" s="116">
        <v>1407.2</v>
      </c>
      <c r="R1634">
        <v>8640560</v>
      </c>
    </row>
    <row r="1635" spans="1:18" x14ac:dyDescent="0.25">
      <c r="A1635" s="170">
        <v>44412</v>
      </c>
      <c r="B1635" s="116">
        <v>144.83000000000001</v>
      </c>
      <c r="C1635" s="116">
        <v>141.6</v>
      </c>
      <c r="D1635" s="116">
        <v>140.505</v>
      </c>
      <c r="E1635" s="116">
        <v>142</v>
      </c>
      <c r="F1635" s="116">
        <v>1416</v>
      </c>
      <c r="G1635">
        <v>578392</v>
      </c>
      <c r="H1635" s="116"/>
      <c r="I1635" s="116"/>
      <c r="L1635" s="170">
        <v>44412</v>
      </c>
      <c r="M1635" s="116">
        <v>141.62</v>
      </c>
      <c r="N1635" s="116">
        <v>144.80000000000001</v>
      </c>
      <c r="O1635" s="116">
        <v>140.51</v>
      </c>
      <c r="P1635" s="116">
        <v>142</v>
      </c>
      <c r="Q1635" s="116">
        <v>1416.2</v>
      </c>
      <c r="R1635">
        <v>11289435</v>
      </c>
    </row>
    <row r="1636" spans="1:18" x14ac:dyDescent="0.25">
      <c r="A1636" s="170">
        <v>44413</v>
      </c>
      <c r="B1636" s="116">
        <v>145</v>
      </c>
      <c r="C1636" s="116">
        <v>144.63999999999999</v>
      </c>
      <c r="D1636" s="116">
        <v>138.75</v>
      </c>
      <c r="E1636" s="116">
        <v>141.84</v>
      </c>
      <c r="F1636" s="116">
        <v>1446.4</v>
      </c>
      <c r="G1636">
        <v>662752</v>
      </c>
      <c r="H1636" s="116"/>
      <c r="I1636" s="116"/>
      <c r="L1636" s="170">
        <v>44413</v>
      </c>
      <c r="M1636" s="116">
        <v>144.66</v>
      </c>
      <c r="N1636" s="116">
        <v>145</v>
      </c>
      <c r="O1636" s="116">
        <v>138.75</v>
      </c>
      <c r="P1636" s="116">
        <v>141.53</v>
      </c>
      <c r="Q1636" s="116">
        <v>1446.6</v>
      </c>
      <c r="R1636">
        <v>16221799</v>
      </c>
    </row>
    <row r="1637" spans="1:18" x14ac:dyDescent="0.25">
      <c r="A1637" s="170">
        <v>44414</v>
      </c>
      <c r="B1637" s="116">
        <v>145.69999999999999</v>
      </c>
      <c r="C1637" s="116">
        <v>142.875</v>
      </c>
      <c r="D1637" s="116">
        <v>142.57</v>
      </c>
      <c r="E1637" s="116">
        <v>145.095</v>
      </c>
      <c r="F1637" s="116">
        <v>1428.75</v>
      </c>
      <c r="G1637">
        <v>413672</v>
      </c>
      <c r="H1637" s="116"/>
      <c r="I1637" s="116"/>
      <c r="L1637" s="170">
        <v>44414</v>
      </c>
      <c r="M1637" s="116">
        <v>142.88499999999999</v>
      </c>
      <c r="N1637" s="116">
        <v>145.69999999999999</v>
      </c>
      <c r="O1637" s="116">
        <v>142.6</v>
      </c>
      <c r="P1637" s="116">
        <v>144.9</v>
      </c>
      <c r="Q1637" s="116">
        <v>1428.85</v>
      </c>
      <c r="R1637">
        <v>9674025</v>
      </c>
    </row>
    <row r="1638" spans="1:18" x14ac:dyDescent="0.25">
      <c r="A1638" s="170">
        <v>44417</v>
      </c>
      <c r="B1638" s="116">
        <v>144.32</v>
      </c>
      <c r="C1638" s="116">
        <v>141.20500000000001</v>
      </c>
      <c r="D1638" s="116">
        <v>140.51499999999999</v>
      </c>
      <c r="E1638" s="116">
        <v>143.89500000000001</v>
      </c>
      <c r="F1638" s="116">
        <v>1412.05</v>
      </c>
      <c r="G1638">
        <v>351780</v>
      </c>
      <c r="H1638" s="116"/>
      <c r="I1638" s="116"/>
      <c r="L1638" s="170">
        <v>44417</v>
      </c>
      <c r="M1638" s="116">
        <v>141.22</v>
      </c>
      <c r="N1638" s="116">
        <v>144.32499999999999</v>
      </c>
      <c r="O1638" s="116">
        <v>140.54</v>
      </c>
      <c r="P1638" s="116">
        <v>143.4</v>
      </c>
      <c r="Q1638" s="116">
        <v>1412.2</v>
      </c>
      <c r="R1638">
        <v>7859493</v>
      </c>
    </row>
    <row r="1639" spans="1:18" x14ac:dyDescent="0.25">
      <c r="A1639" s="170">
        <v>44418</v>
      </c>
      <c r="B1639" s="116">
        <v>141.83000000000001</v>
      </c>
      <c r="C1639" s="116">
        <v>137.35</v>
      </c>
      <c r="D1639" s="116">
        <v>136.755</v>
      </c>
      <c r="E1639" s="116">
        <v>141.5</v>
      </c>
      <c r="F1639" s="116">
        <v>1373.5</v>
      </c>
      <c r="G1639">
        <v>377587</v>
      </c>
      <c r="H1639" s="116"/>
      <c r="I1639" s="116"/>
      <c r="L1639" s="170">
        <v>44418</v>
      </c>
      <c r="M1639" s="116">
        <v>137.36000000000001</v>
      </c>
      <c r="N1639" s="116">
        <v>141.80000000000001</v>
      </c>
      <c r="O1639" s="116">
        <v>136.72</v>
      </c>
      <c r="P1639" s="116">
        <v>141.19999999999999</v>
      </c>
      <c r="Q1639" s="116">
        <v>1373.6</v>
      </c>
      <c r="R1639">
        <v>8451623</v>
      </c>
    </row>
    <row r="1640" spans="1:18" x14ac:dyDescent="0.25">
      <c r="A1640" s="170">
        <v>44419</v>
      </c>
      <c r="B1640" s="116">
        <v>143</v>
      </c>
      <c r="C1640" s="116">
        <v>142.64500000000001</v>
      </c>
      <c r="D1640" s="116">
        <v>138.41</v>
      </c>
      <c r="E1640" s="116">
        <v>139</v>
      </c>
      <c r="F1640" s="116">
        <v>1426.45</v>
      </c>
      <c r="G1640">
        <v>722706</v>
      </c>
      <c r="H1640" s="116"/>
      <c r="I1640" s="116"/>
      <c r="L1640" s="170">
        <v>44419</v>
      </c>
      <c r="M1640" s="116">
        <v>142.62</v>
      </c>
      <c r="N1640" s="116">
        <v>142.97</v>
      </c>
      <c r="O1640" s="116">
        <v>138.41999999999999</v>
      </c>
      <c r="P1640" s="116">
        <v>139</v>
      </c>
      <c r="Q1640" s="116">
        <v>1426.2</v>
      </c>
      <c r="R1640">
        <v>14535357</v>
      </c>
    </row>
    <row r="1641" spans="1:18" x14ac:dyDescent="0.25">
      <c r="A1641" s="170">
        <v>44420</v>
      </c>
      <c r="B1641" s="116">
        <v>144.47999999999999</v>
      </c>
      <c r="C1641" s="116">
        <v>143.5</v>
      </c>
      <c r="D1641" s="116">
        <v>141.66499999999999</v>
      </c>
      <c r="E1641" s="116">
        <v>143.5</v>
      </c>
      <c r="F1641" s="116">
        <v>1435</v>
      </c>
      <c r="G1641">
        <v>540595</v>
      </c>
      <c r="H1641" s="116"/>
      <c r="I1641" s="116"/>
      <c r="L1641" s="170">
        <v>44420</v>
      </c>
      <c r="M1641" s="116">
        <v>143.535</v>
      </c>
      <c r="N1641" s="116">
        <v>144.47</v>
      </c>
      <c r="O1641" s="116">
        <v>141.655</v>
      </c>
      <c r="P1641" s="116">
        <v>143.6</v>
      </c>
      <c r="Q1641" s="116">
        <v>1435.35</v>
      </c>
      <c r="R1641">
        <v>10943108</v>
      </c>
    </row>
    <row r="1642" spans="1:18" x14ac:dyDescent="0.25">
      <c r="A1642" s="170">
        <v>44421</v>
      </c>
      <c r="B1642" s="116">
        <v>147.69</v>
      </c>
      <c r="C1642" s="116">
        <v>146.13</v>
      </c>
      <c r="D1642" s="116">
        <v>139.25</v>
      </c>
      <c r="E1642" s="116">
        <v>141.4</v>
      </c>
      <c r="F1642" s="116">
        <v>1461.3</v>
      </c>
      <c r="G1642">
        <v>1270030</v>
      </c>
      <c r="H1642" s="116"/>
      <c r="I1642" s="116"/>
      <c r="L1642" s="170">
        <v>44421</v>
      </c>
      <c r="M1642" s="116">
        <v>146.16499999999999</v>
      </c>
      <c r="N1642" s="116">
        <v>147.66</v>
      </c>
      <c r="O1642" s="116">
        <v>139.065</v>
      </c>
      <c r="P1642" s="116">
        <v>140.5</v>
      </c>
      <c r="Q1642" s="116">
        <v>1461.65</v>
      </c>
      <c r="R1642">
        <v>28969872</v>
      </c>
    </row>
    <row r="1643" spans="1:18" x14ac:dyDescent="0.25">
      <c r="A1643" s="170">
        <v>44424</v>
      </c>
      <c r="B1643" s="116">
        <v>153.46</v>
      </c>
      <c r="C1643" s="116">
        <v>151.91499999999999</v>
      </c>
      <c r="D1643" s="116">
        <v>147.28</v>
      </c>
      <c r="E1643" s="116">
        <v>148.5</v>
      </c>
      <c r="F1643" s="116">
        <v>1519.15</v>
      </c>
      <c r="G1643">
        <v>1184149</v>
      </c>
      <c r="H1643" s="116"/>
      <c r="I1643" s="116"/>
      <c r="L1643" s="170">
        <v>44424</v>
      </c>
      <c r="M1643" s="116">
        <v>151.94</v>
      </c>
      <c r="N1643" s="116">
        <v>153.44999999999999</v>
      </c>
      <c r="O1643" s="116">
        <v>147.22</v>
      </c>
      <c r="P1643" s="116">
        <v>148.4</v>
      </c>
      <c r="Q1643" s="116">
        <v>1519.4</v>
      </c>
      <c r="R1643">
        <v>27114488</v>
      </c>
    </row>
    <row r="1644" spans="1:18" x14ac:dyDescent="0.25">
      <c r="A1644" s="170">
        <v>44425</v>
      </c>
      <c r="B1644" s="116">
        <v>153.38</v>
      </c>
      <c r="C1644" s="116">
        <v>150.35499999999999</v>
      </c>
      <c r="D1644" s="116">
        <v>149.21</v>
      </c>
      <c r="E1644" s="116">
        <v>151.94</v>
      </c>
      <c r="F1644" s="116">
        <v>1503.55</v>
      </c>
      <c r="G1644">
        <v>869298</v>
      </c>
      <c r="H1644" s="116"/>
      <c r="I1644" s="116"/>
      <c r="L1644" s="170">
        <v>44425</v>
      </c>
      <c r="M1644" s="116">
        <v>150.37</v>
      </c>
      <c r="N1644" s="116">
        <v>153.4</v>
      </c>
      <c r="O1644" s="116">
        <v>149.17500000000001</v>
      </c>
      <c r="P1644" s="116">
        <v>151.94</v>
      </c>
      <c r="Q1644" s="116">
        <v>1503.7</v>
      </c>
      <c r="R1644">
        <v>18970923</v>
      </c>
    </row>
    <row r="1645" spans="1:18" x14ac:dyDescent="0.25">
      <c r="A1645" s="170">
        <v>44426</v>
      </c>
      <c r="B1645" s="116">
        <v>151.9</v>
      </c>
      <c r="C1645" s="116">
        <v>149.98500000000001</v>
      </c>
      <c r="D1645" s="116">
        <v>148.85</v>
      </c>
      <c r="E1645" s="116">
        <v>150.995</v>
      </c>
      <c r="F1645" s="116">
        <v>1499.85</v>
      </c>
      <c r="G1645">
        <v>451531</v>
      </c>
      <c r="H1645" s="116"/>
      <c r="I1645" s="116"/>
      <c r="L1645" s="170">
        <v>44426</v>
      </c>
      <c r="M1645" s="116">
        <v>150.04499999999999</v>
      </c>
      <c r="N1645" s="116">
        <v>151.88999999999999</v>
      </c>
      <c r="O1645" s="116">
        <v>148.82</v>
      </c>
      <c r="P1645" s="116">
        <v>150.94499999999999</v>
      </c>
      <c r="Q1645" s="116">
        <v>1500.45</v>
      </c>
      <c r="R1645">
        <v>12331745</v>
      </c>
    </row>
    <row r="1646" spans="1:18" x14ac:dyDescent="0.25">
      <c r="A1646" s="170">
        <v>44428</v>
      </c>
      <c r="B1646" s="116">
        <v>145.91999999999999</v>
      </c>
      <c r="C1646" s="116">
        <v>137.58000000000001</v>
      </c>
      <c r="D1646" s="116">
        <v>136.30500000000001</v>
      </c>
      <c r="E1646" s="116">
        <v>145.91999999999999</v>
      </c>
      <c r="F1646" s="116">
        <v>1375.8</v>
      </c>
      <c r="G1646">
        <v>1150903</v>
      </c>
      <c r="H1646" s="116"/>
      <c r="I1646" s="116"/>
      <c r="L1646" s="170">
        <v>44428</v>
      </c>
      <c r="M1646" s="116">
        <v>137.56</v>
      </c>
      <c r="N1646" s="116">
        <v>144.69999999999999</v>
      </c>
      <c r="O1646" s="116">
        <v>136.28</v>
      </c>
      <c r="P1646" s="116">
        <v>144.505</v>
      </c>
      <c r="Q1646" s="116">
        <v>1375.6</v>
      </c>
      <c r="R1646">
        <v>27340069</v>
      </c>
    </row>
    <row r="1647" spans="1:18" x14ac:dyDescent="0.25">
      <c r="A1647" s="170">
        <v>44431</v>
      </c>
      <c r="B1647" s="116">
        <v>140.9</v>
      </c>
      <c r="C1647" s="116">
        <v>135.86000000000001</v>
      </c>
      <c r="D1647" s="116">
        <v>130.97999999999999</v>
      </c>
      <c r="E1647" s="116">
        <v>140</v>
      </c>
      <c r="F1647" s="116">
        <v>1358.6</v>
      </c>
      <c r="G1647">
        <v>1478286</v>
      </c>
      <c r="H1647" s="116"/>
      <c r="I1647" s="116"/>
      <c r="L1647" s="170">
        <v>44431</v>
      </c>
      <c r="M1647" s="116">
        <v>135.86500000000001</v>
      </c>
      <c r="N1647" s="116">
        <v>140.97999999999999</v>
      </c>
      <c r="O1647" s="116">
        <v>131.07499999999999</v>
      </c>
      <c r="P1647" s="116">
        <v>140.19999999999999</v>
      </c>
      <c r="Q1647" s="116">
        <v>1358.65</v>
      </c>
      <c r="R1647">
        <v>22925729</v>
      </c>
    </row>
    <row r="1648" spans="1:18" x14ac:dyDescent="0.25">
      <c r="A1648" s="170">
        <v>44432</v>
      </c>
      <c r="B1648" s="116">
        <v>141.995</v>
      </c>
      <c r="C1648" s="116">
        <v>140.46</v>
      </c>
      <c r="D1648" s="116">
        <v>137.66999999999999</v>
      </c>
      <c r="E1648" s="116">
        <v>137.72</v>
      </c>
      <c r="F1648" s="116">
        <v>1404.6</v>
      </c>
      <c r="G1648">
        <v>784666</v>
      </c>
      <c r="H1648" s="116"/>
      <c r="I1648" s="116"/>
      <c r="L1648" s="170">
        <v>44432</v>
      </c>
      <c r="M1648" s="116">
        <v>140.465</v>
      </c>
      <c r="N1648" s="116">
        <v>142</v>
      </c>
      <c r="O1648" s="116">
        <v>137.69999999999999</v>
      </c>
      <c r="P1648" s="116">
        <v>138.19999999999999</v>
      </c>
      <c r="Q1648" s="116">
        <v>1404.65</v>
      </c>
      <c r="R1648">
        <v>17607579</v>
      </c>
    </row>
    <row r="1649" spans="1:18" x14ac:dyDescent="0.25">
      <c r="A1649" s="170">
        <v>44433</v>
      </c>
      <c r="B1649" s="116">
        <v>142.595</v>
      </c>
      <c r="C1649" s="116">
        <v>139.035</v>
      </c>
      <c r="D1649" s="116">
        <v>138.1</v>
      </c>
      <c r="E1649" s="116">
        <v>142</v>
      </c>
      <c r="F1649" s="116">
        <v>1390.35</v>
      </c>
      <c r="G1649">
        <v>587170</v>
      </c>
      <c r="H1649" s="116"/>
      <c r="I1649" s="116"/>
      <c r="L1649" s="170">
        <v>44433</v>
      </c>
      <c r="M1649" s="116">
        <v>139.02000000000001</v>
      </c>
      <c r="N1649" s="116">
        <v>142.6</v>
      </c>
      <c r="O1649" s="116">
        <v>138.07499999999999</v>
      </c>
      <c r="P1649" s="116">
        <v>141.80000000000001</v>
      </c>
      <c r="Q1649" s="116">
        <v>1390.2</v>
      </c>
      <c r="R1649">
        <v>12565010</v>
      </c>
    </row>
    <row r="1650" spans="1:18" x14ac:dyDescent="0.25">
      <c r="A1650" s="170">
        <v>44434</v>
      </c>
      <c r="B1650" s="116">
        <v>139.48500000000001</v>
      </c>
      <c r="C1650" s="116">
        <v>137.44999999999999</v>
      </c>
      <c r="D1650" s="116">
        <v>136.57</v>
      </c>
      <c r="E1650" s="116">
        <v>139.035</v>
      </c>
      <c r="F1650" s="116">
        <v>1374.5</v>
      </c>
      <c r="G1650">
        <v>490340</v>
      </c>
      <c r="H1650" s="116"/>
      <c r="I1650" s="116"/>
      <c r="L1650" s="170">
        <v>44434</v>
      </c>
      <c r="M1650" s="116">
        <v>137.505</v>
      </c>
      <c r="N1650" s="116">
        <v>139.47499999999999</v>
      </c>
      <c r="O1650" s="116">
        <v>136.5</v>
      </c>
      <c r="P1650" s="116">
        <v>139.04</v>
      </c>
      <c r="Q1650" s="116">
        <v>1375.05</v>
      </c>
      <c r="R1650">
        <v>9157898</v>
      </c>
    </row>
    <row r="1651" spans="1:18" x14ac:dyDescent="0.25">
      <c r="A1651" s="170">
        <v>44435</v>
      </c>
      <c r="B1651" s="116">
        <v>139.44</v>
      </c>
      <c r="C1651" s="116">
        <v>138.41</v>
      </c>
      <c r="D1651" s="116">
        <v>137.6</v>
      </c>
      <c r="E1651" s="116">
        <v>138.19999999999999</v>
      </c>
      <c r="F1651" s="116">
        <v>1384.1</v>
      </c>
      <c r="G1651">
        <v>333050</v>
      </c>
      <c r="H1651" s="116"/>
      <c r="I1651" s="116"/>
      <c r="L1651" s="170">
        <v>44435</v>
      </c>
      <c r="M1651" s="116">
        <v>138.41499999999999</v>
      </c>
      <c r="N1651" s="116">
        <v>139.44499999999999</v>
      </c>
      <c r="O1651" s="116">
        <v>137.58500000000001</v>
      </c>
      <c r="P1651" s="116">
        <v>137.9</v>
      </c>
      <c r="Q1651" s="116">
        <v>1384.15</v>
      </c>
      <c r="R1651">
        <v>7394081</v>
      </c>
    </row>
    <row r="1652" spans="1:18" x14ac:dyDescent="0.25">
      <c r="A1652" s="170">
        <v>44438</v>
      </c>
      <c r="B1652" s="116">
        <v>144.5</v>
      </c>
      <c r="C1652" s="116">
        <v>143.94999999999999</v>
      </c>
      <c r="D1652" s="116">
        <v>139.375</v>
      </c>
      <c r="E1652" s="116">
        <v>140.1</v>
      </c>
      <c r="F1652" s="116">
        <v>1439.5</v>
      </c>
      <c r="G1652">
        <v>602784</v>
      </c>
      <c r="H1652" s="116"/>
      <c r="I1652" s="116"/>
      <c r="L1652" s="170">
        <v>44438</v>
      </c>
      <c r="M1652" s="116">
        <v>144.06</v>
      </c>
      <c r="N1652" s="116">
        <v>144.5</v>
      </c>
      <c r="O1652" s="116">
        <v>139.80000000000001</v>
      </c>
      <c r="P1652" s="116">
        <v>139.9</v>
      </c>
      <c r="Q1652" s="116">
        <v>1440.6</v>
      </c>
      <c r="R1652">
        <v>13444387</v>
      </c>
    </row>
    <row r="1653" spans="1:18" x14ac:dyDescent="0.25">
      <c r="A1653" s="170">
        <v>44439</v>
      </c>
      <c r="B1653" s="116">
        <v>145.9</v>
      </c>
      <c r="C1653" s="116">
        <v>145.005</v>
      </c>
      <c r="D1653" s="116">
        <v>143.30000000000001</v>
      </c>
      <c r="E1653" s="116">
        <v>144</v>
      </c>
      <c r="F1653" s="116">
        <v>1450.05</v>
      </c>
      <c r="G1653">
        <v>491878</v>
      </c>
      <c r="H1653" s="116"/>
      <c r="I1653" s="116"/>
      <c r="L1653" s="170">
        <v>44439</v>
      </c>
      <c r="M1653" s="116">
        <v>145.02500000000001</v>
      </c>
      <c r="N1653" s="116">
        <v>145.9</v>
      </c>
      <c r="O1653" s="116">
        <v>143.19999999999999</v>
      </c>
      <c r="P1653" s="116">
        <v>144.5</v>
      </c>
      <c r="Q1653" s="116">
        <v>1450.25</v>
      </c>
      <c r="R1653">
        <v>24752108</v>
      </c>
    </row>
    <row r="1654" spans="1:18" x14ac:dyDescent="0.25">
      <c r="A1654" s="170">
        <v>44440</v>
      </c>
      <c r="B1654" s="116">
        <v>145.37</v>
      </c>
      <c r="C1654" s="116">
        <v>141.13999999999999</v>
      </c>
      <c r="D1654" s="116">
        <v>140.71</v>
      </c>
      <c r="E1654" s="116">
        <v>145.1</v>
      </c>
      <c r="F1654" s="116">
        <v>1411.4</v>
      </c>
      <c r="G1654">
        <v>436454</v>
      </c>
      <c r="H1654" s="116"/>
      <c r="I1654" s="116"/>
      <c r="L1654" s="170">
        <v>44440</v>
      </c>
      <c r="M1654" s="116">
        <v>141.12</v>
      </c>
      <c r="N1654" s="116">
        <v>145.55000000000001</v>
      </c>
      <c r="O1654" s="116">
        <v>140.69999999999999</v>
      </c>
      <c r="P1654" s="116">
        <v>145.125</v>
      </c>
      <c r="Q1654" s="116">
        <v>1411.2</v>
      </c>
      <c r="R1654">
        <v>8812897</v>
      </c>
    </row>
    <row r="1655" spans="1:18" x14ac:dyDescent="0.25">
      <c r="A1655" s="170">
        <v>44441</v>
      </c>
      <c r="B1655" s="116">
        <v>143.16999999999999</v>
      </c>
      <c r="C1655" s="116">
        <v>142.505</v>
      </c>
      <c r="D1655" s="116">
        <v>141.07</v>
      </c>
      <c r="E1655" s="116">
        <v>142.49</v>
      </c>
      <c r="F1655" s="116">
        <v>1425.05</v>
      </c>
      <c r="G1655">
        <v>398166</v>
      </c>
      <c r="H1655" s="116"/>
      <c r="I1655" s="116"/>
      <c r="L1655" s="170">
        <v>44441</v>
      </c>
      <c r="M1655" s="116">
        <v>142.51</v>
      </c>
      <c r="N1655" s="116">
        <v>143.19999999999999</v>
      </c>
      <c r="O1655" s="116">
        <v>141</v>
      </c>
      <c r="P1655" s="116">
        <v>141.1</v>
      </c>
      <c r="Q1655" s="116">
        <v>1425.1</v>
      </c>
      <c r="R1655">
        <v>6148046</v>
      </c>
    </row>
    <row r="1656" spans="1:18" x14ac:dyDescent="0.25">
      <c r="A1656" s="170">
        <v>44442</v>
      </c>
      <c r="B1656" s="116">
        <v>145.29499999999999</v>
      </c>
      <c r="C1656" s="116">
        <v>144.32</v>
      </c>
      <c r="D1656" s="116">
        <v>141.67500000000001</v>
      </c>
      <c r="E1656" s="116">
        <v>143.005</v>
      </c>
      <c r="F1656" s="116">
        <v>1443.2</v>
      </c>
      <c r="G1656">
        <v>465621</v>
      </c>
      <c r="H1656" s="116"/>
      <c r="I1656" s="116"/>
      <c r="L1656" s="170">
        <v>44442</v>
      </c>
      <c r="M1656" s="116">
        <v>144.36500000000001</v>
      </c>
      <c r="N1656" s="116">
        <v>145.29499999999999</v>
      </c>
      <c r="O1656" s="116">
        <v>141.64500000000001</v>
      </c>
      <c r="P1656" s="116">
        <v>142.80000000000001</v>
      </c>
      <c r="Q1656" s="116">
        <v>1443.65</v>
      </c>
      <c r="R1656">
        <v>8452382</v>
      </c>
    </row>
    <row r="1657" spans="1:18" x14ac:dyDescent="0.25">
      <c r="A1657" s="170">
        <v>44445</v>
      </c>
      <c r="B1657" s="116">
        <v>145.17500000000001</v>
      </c>
      <c r="C1657" s="116">
        <v>143.75</v>
      </c>
      <c r="D1657" s="116">
        <v>142.33000000000001</v>
      </c>
      <c r="E1657" s="116">
        <v>144.69999999999999</v>
      </c>
      <c r="F1657" s="116">
        <v>1437.5</v>
      </c>
      <c r="G1657">
        <v>322685</v>
      </c>
      <c r="H1657" s="116"/>
      <c r="I1657" s="116"/>
      <c r="L1657" s="170">
        <v>44445</v>
      </c>
      <c r="M1657" s="116">
        <v>143.69999999999999</v>
      </c>
      <c r="N1657" s="116">
        <v>145.19499999999999</v>
      </c>
      <c r="O1657" s="116">
        <v>142.315</v>
      </c>
      <c r="P1657" s="116">
        <v>144.69999999999999</v>
      </c>
      <c r="Q1657" s="116">
        <v>1437</v>
      </c>
      <c r="R1657">
        <v>6958676</v>
      </c>
    </row>
    <row r="1658" spans="1:18" x14ac:dyDescent="0.25">
      <c r="A1658" s="170">
        <v>44446</v>
      </c>
      <c r="B1658" s="116">
        <v>145.875</v>
      </c>
      <c r="C1658" s="116">
        <v>142.78</v>
      </c>
      <c r="D1658" s="116">
        <v>142.04</v>
      </c>
      <c r="E1658" s="116">
        <v>144.1</v>
      </c>
      <c r="F1658" s="116">
        <v>1427.8</v>
      </c>
      <c r="G1658">
        <v>421082</v>
      </c>
      <c r="H1658" s="116"/>
      <c r="I1658" s="116"/>
      <c r="L1658" s="170">
        <v>44446</v>
      </c>
      <c r="M1658" s="116">
        <v>142.87</v>
      </c>
      <c r="N1658" s="116">
        <v>145.9</v>
      </c>
      <c r="O1658" s="116">
        <v>142.065</v>
      </c>
      <c r="P1658" s="116">
        <v>144.4</v>
      </c>
      <c r="Q1658" s="116">
        <v>1428.7</v>
      </c>
      <c r="R1658">
        <v>6352717</v>
      </c>
    </row>
    <row r="1659" spans="1:18" x14ac:dyDescent="0.25">
      <c r="A1659" s="170">
        <v>44447</v>
      </c>
      <c r="B1659" s="116">
        <v>144.27000000000001</v>
      </c>
      <c r="C1659" s="116">
        <v>142.97999999999999</v>
      </c>
      <c r="D1659" s="116">
        <v>141.84</v>
      </c>
      <c r="E1659" s="116">
        <v>142.87</v>
      </c>
      <c r="F1659" s="116">
        <v>1429.8</v>
      </c>
      <c r="G1659">
        <v>202465</v>
      </c>
      <c r="H1659" s="116"/>
      <c r="I1659" s="116"/>
      <c r="L1659" s="170">
        <v>44447</v>
      </c>
      <c r="M1659" s="116">
        <v>142.98500000000001</v>
      </c>
      <c r="N1659" s="116">
        <v>144.26499999999999</v>
      </c>
      <c r="O1659" s="116">
        <v>141.86000000000001</v>
      </c>
      <c r="P1659" s="116">
        <v>142.6</v>
      </c>
      <c r="Q1659" s="116">
        <v>1429.85</v>
      </c>
      <c r="R1659">
        <v>4676224</v>
      </c>
    </row>
    <row r="1660" spans="1:18" x14ac:dyDescent="0.25">
      <c r="A1660" s="170">
        <v>44448</v>
      </c>
      <c r="B1660" s="116">
        <v>145.18</v>
      </c>
      <c r="C1660" s="116">
        <v>144.74</v>
      </c>
      <c r="D1660" s="116">
        <v>142.19499999999999</v>
      </c>
      <c r="E1660" s="116">
        <v>142.47</v>
      </c>
      <c r="F1660" s="116">
        <v>1447.4</v>
      </c>
      <c r="G1660">
        <v>222186</v>
      </c>
      <c r="H1660" s="116"/>
      <c r="I1660" s="116"/>
      <c r="L1660" s="170">
        <v>44448</v>
      </c>
      <c r="M1660" s="116">
        <v>144.69999999999999</v>
      </c>
      <c r="N1660" s="116">
        <v>145.19499999999999</v>
      </c>
      <c r="O1660" s="116">
        <v>142</v>
      </c>
      <c r="P1660" s="116">
        <v>142</v>
      </c>
      <c r="Q1660" s="116">
        <v>1447</v>
      </c>
      <c r="R1660">
        <v>5313030</v>
      </c>
    </row>
    <row r="1661" spans="1:18" x14ac:dyDescent="0.25">
      <c r="A1661" s="170">
        <v>44452</v>
      </c>
      <c r="B1661" s="116">
        <v>147.19</v>
      </c>
      <c r="C1661" s="116">
        <v>146.315</v>
      </c>
      <c r="D1661" s="116">
        <v>143.655</v>
      </c>
      <c r="E1661" s="116">
        <v>144.5</v>
      </c>
      <c r="F1661" s="116">
        <v>1463.15</v>
      </c>
      <c r="G1661">
        <v>492891</v>
      </c>
      <c r="H1661" s="116"/>
      <c r="I1661" s="116"/>
      <c r="L1661" s="170">
        <v>44452</v>
      </c>
      <c r="M1661" s="116">
        <v>146.345</v>
      </c>
      <c r="N1661" s="116">
        <v>147.19999999999999</v>
      </c>
      <c r="O1661" s="116">
        <v>143.65</v>
      </c>
      <c r="P1661" s="116">
        <v>144.69999999999999</v>
      </c>
      <c r="Q1661" s="116">
        <v>1463.45</v>
      </c>
      <c r="R1661">
        <v>5670208</v>
      </c>
    </row>
    <row r="1662" spans="1:18" x14ac:dyDescent="0.25">
      <c r="A1662" s="170">
        <v>44453</v>
      </c>
      <c r="B1662" s="116">
        <v>147.66499999999999</v>
      </c>
      <c r="C1662" s="116">
        <v>145.22499999999999</v>
      </c>
      <c r="D1662" s="116">
        <v>144.9</v>
      </c>
      <c r="E1662" s="116">
        <v>147.52500000000001</v>
      </c>
      <c r="F1662" s="116">
        <v>1452.25</v>
      </c>
      <c r="G1662">
        <v>209838</v>
      </c>
      <c r="H1662" s="116"/>
      <c r="I1662" s="116"/>
      <c r="L1662" s="170">
        <v>44453</v>
      </c>
      <c r="M1662" s="116">
        <v>145.22999999999999</v>
      </c>
      <c r="N1662" s="116">
        <v>147.6</v>
      </c>
      <c r="O1662" s="116">
        <v>144.9</v>
      </c>
      <c r="P1662" s="116">
        <v>147.6</v>
      </c>
      <c r="Q1662" s="116">
        <v>1452.3</v>
      </c>
      <c r="R1662">
        <v>5503767</v>
      </c>
    </row>
    <row r="1663" spans="1:18" x14ac:dyDescent="0.25">
      <c r="A1663" s="170">
        <v>44454</v>
      </c>
      <c r="B1663" s="116">
        <v>146.36500000000001</v>
      </c>
      <c r="C1663" s="116">
        <v>145.47499999999999</v>
      </c>
      <c r="D1663" s="116">
        <v>144.44499999999999</v>
      </c>
      <c r="E1663" s="116">
        <v>145.47</v>
      </c>
      <c r="F1663" s="116">
        <v>1454.75</v>
      </c>
      <c r="G1663">
        <v>173674</v>
      </c>
      <c r="H1663" s="116"/>
      <c r="I1663" s="116"/>
      <c r="L1663" s="170">
        <v>44454</v>
      </c>
      <c r="M1663" s="116">
        <v>145.51</v>
      </c>
      <c r="N1663" s="116">
        <v>146.37</v>
      </c>
      <c r="O1663" s="116">
        <v>144.44</v>
      </c>
      <c r="P1663" s="116">
        <v>145.22999999999999</v>
      </c>
      <c r="Q1663" s="116">
        <v>1455.1</v>
      </c>
      <c r="R1663">
        <v>4417464</v>
      </c>
    </row>
    <row r="1664" spans="1:18" x14ac:dyDescent="0.25">
      <c r="A1664" s="170">
        <v>44455</v>
      </c>
      <c r="B1664" s="116">
        <v>147.16</v>
      </c>
      <c r="C1664" s="116">
        <v>143.655</v>
      </c>
      <c r="D1664" s="116">
        <v>143.18</v>
      </c>
      <c r="E1664" s="116">
        <v>146.45500000000001</v>
      </c>
      <c r="F1664" s="116">
        <v>1436.55</v>
      </c>
      <c r="G1664">
        <v>230659</v>
      </c>
      <c r="H1664" s="116"/>
      <c r="I1664" s="116"/>
      <c r="L1664" s="170">
        <v>44455</v>
      </c>
      <c r="M1664" s="116">
        <v>143.67500000000001</v>
      </c>
      <c r="N1664" s="116">
        <v>147.19</v>
      </c>
      <c r="O1664" s="116">
        <v>143.125</v>
      </c>
      <c r="P1664" s="116">
        <v>146</v>
      </c>
      <c r="Q1664" s="116">
        <v>1436.75</v>
      </c>
      <c r="R1664">
        <v>5606797</v>
      </c>
    </row>
    <row r="1665" spans="1:18" x14ac:dyDescent="0.25">
      <c r="A1665" s="170">
        <v>44456</v>
      </c>
      <c r="B1665" s="116">
        <v>144.70500000000001</v>
      </c>
      <c r="C1665" s="116">
        <v>138.53</v>
      </c>
      <c r="D1665" s="116">
        <v>136.01499999999999</v>
      </c>
      <c r="E1665" s="116">
        <v>144.70500000000001</v>
      </c>
      <c r="F1665" s="116">
        <v>1385.3</v>
      </c>
      <c r="G1665">
        <v>731025</v>
      </c>
      <c r="H1665" s="116"/>
      <c r="I1665" s="116"/>
      <c r="L1665" s="170">
        <v>44456</v>
      </c>
      <c r="M1665" s="116">
        <v>138.59</v>
      </c>
      <c r="N1665" s="116">
        <v>144.03</v>
      </c>
      <c r="O1665" s="116">
        <v>136</v>
      </c>
      <c r="P1665" s="116">
        <v>143.69999999999999</v>
      </c>
      <c r="Q1665" s="116">
        <v>1385.9</v>
      </c>
      <c r="R1665">
        <v>19572030</v>
      </c>
    </row>
    <row r="1666" spans="1:18" x14ac:dyDescent="0.25">
      <c r="A1666" s="170">
        <v>44459</v>
      </c>
      <c r="B1666" s="116">
        <v>135.6</v>
      </c>
      <c r="C1666" s="116">
        <v>125.33499999999999</v>
      </c>
      <c r="D1666" s="116">
        <v>124.68</v>
      </c>
      <c r="E1666" s="116">
        <v>135.6</v>
      </c>
      <c r="F1666" s="116">
        <v>1253.3499999999999</v>
      </c>
      <c r="G1666">
        <v>1925319</v>
      </c>
      <c r="H1666" s="116"/>
      <c r="I1666" s="116"/>
      <c r="L1666" s="170">
        <v>44459</v>
      </c>
      <c r="M1666" s="116">
        <v>125.31</v>
      </c>
      <c r="N1666" s="116">
        <v>135.19</v>
      </c>
      <c r="O1666" s="116">
        <v>124.735</v>
      </c>
      <c r="P1666" s="116">
        <v>135</v>
      </c>
      <c r="Q1666" s="116">
        <v>1253.0999999999999</v>
      </c>
      <c r="R1666">
        <v>28238412</v>
      </c>
    </row>
    <row r="1667" spans="1:18" x14ac:dyDescent="0.25">
      <c r="A1667" s="170">
        <v>44460</v>
      </c>
      <c r="B1667" s="116">
        <v>129.9</v>
      </c>
      <c r="C1667" s="116">
        <v>129.19999999999999</v>
      </c>
      <c r="D1667" s="116">
        <v>123.32</v>
      </c>
      <c r="E1667" s="116">
        <v>125.6</v>
      </c>
      <c r="F1667" s="116">
        <v>1292</v>
      </c>
      <c r="G1667">
        <v>1425645</v>
      </c>
      <c r="H1667" s="116"/>
      <c r="I1667" s="116"/>
      <c r="L1667" s="170">
        <v>44460</v>
      </c>
      <c r="M1667" s="116">
        <v>129.22</v>
      </c>
      <c r="N1667" s="116">
        <v>129.69</v>
      </c>
      <c r="O1667" s="116">
        <v>123.29</v>
      </c>
      <c r="P1667" s="116">
        <v>125.8</v>
      </c>
      <c r="Q1667" s="116">
        <v>1292.2</v>
      </c>
      <c r="R1667">
        <v>25593540</v>
      </c>
    </row>
    <row r="1668" spans="1:18" x14ac:dyDescent="0.25">
      <c r="A1668" s="170">
        <v>44461</v>
      </c>
      <c r="B1668" s="116">
        <v>131.80000000000001</v>
      </c>
      <c r="C1668" s="116">
        <v>130.53</v>
      </c>
      <c r="D1668" s="116">
        <v>128.33000000000001</v>
      </c>
      <c r="E1668" s="116">
        <v>130</v>
      </c>
      <c r="F1668" s="116">
        <v>1305.3</v>
      </c>
      <c r="G1668">
        <v>564185</v>
      </c>
      <c r="H1668" s="116"/>
      <c r="I1668" s="116"/>
      <c r="L1668" s="170">
        <v>44461</v>
      </c>
      <c r="M1668" s="116">
        <v>130.58000000000001</v>
      </c>
      <c r="N1668" s="116">
        <v>131.80000000000001</v>
      </c>
      <c r="O1668" s="116">
        <v>128.31</v>
      </c>
      <c r="P1668" s="116">
        <v>129.94</v>
      </c>
      <c r="Q1668" s="116">
        <v>1305.8</v>
      </c>
      <c r="R1668">
        <v>11124247</v>
      </c>
    </row>
    <row r="1669" spans="1:18" x14ac:dyDescent="0.25">
      <c r="A1669" s="170">
        <v>44462</v>
      </c>
      <c r="B1669" s="116">
        <v>133.99</v>
      </c>
      <c r="C1669" s="116">
        <v>131.94</v>
      </c>
      <c r="D1669" s="116">
        <v>130.65</v>
      </c>
      <c r="E1669" s="116">
        <v>133.19999999999999</v>
      </c>
      <c r="F1669" s="116">
        <v>1319.4</v>
      </c>
      <c r="G1669">
        <v>1093349</v>
      </c>
      <c r="H1669" s="116"/>
      <c r="I1669" s="116"/>
      <c r="L1669" s="170">
        <v>44462</v>
      </c>
      <c r="M1669" s="116">
        <v>131.87</v>
      </c>
      <c r="N1669" s="116">
        <v>133.94499999999999</v>
      </c>
      <c r="O1669" s="116">
        <v>130.60499999999999</v>
      </c>
      <c r="P1669" s="116">
        <v>133</v>
      </c>
      <c r="Q1669" s="116">
        <v>1318.7</v>
      </c>
      <c r="R1669">
        <v>9946251</v>
      </c>
    </row>
    <row r="1670" spans="1:18" x14ac:dyDescent="0.25">
      <c r="A1670" s="170">
        <v>44463</v>
      </c>
      <c r="B1670" s="116">
        <v>132.25</v>
      </c>
      <c r="C1670" s="116">
        <v>127.19</v>
      </c>
      <c r="D1670" s="116">
        <v>125.88</v>
      </c>
      <c r="E1670" s="116">
        <v>132.1</v>
      </c>
      <c r="F1670" s="116">
        <v>1271.9000000000001</v>
      </c>
      <c r="G1670">
        <v>855379</v>
      </c>
      <c r="H1670" s="116"/>
      <c r="I1670" s="116"/>
      <c r="L1670" s="170">
        <v>44463</v>
      </c>
      <c r="M1670" s="116">
        <v>127.21</v>
      </c>
      <c r="N1670" s="116">
        <v>132.4</v>
      </c>
      <c r="O1670" s="116">
        <v>125.845</v>
      </c>
      <c r="P1670" s="116">
        <v>132</v>
      </c>
      <c r="Q1670" s="116">
        <v>1272.0999999999999</v>
      </c>
      <c r="R1670">
        <v>13286616</v>
      </c>
    </row>
    <row r="1671" spans="1:18" x14ac:dyDescent="0.25">
      <c r="A1671" s="170">
        <v>44466</v>
      </c>
      <c r="B1671" s="116">
        <v>128.89500000000001</v>
      </c>
      <c r="C1671" s="116">
        <v>127.1</v>
      </c>
      <c r="D1671" s="116">
        <v>126.155</v>
      </c>
      <c r="E1671" s="116">
        <v>127.4</v>
      </c>
      <c r="F1671" s="116">
        <v>1271</v>
      </c>
      <c r="G1671">
        <v>377792</v>
      </c>
      <c r="H1671" s="116"/>
      <c r="I1671" s="116"/>
      <c r="L1671" s="170">
        <v>44466</v>
      </c>
      <c r="M1671" s="116">
        <v>127.05</v>
      </c>
      <c r="N1671" s="116">
        <v>128.87</v>
      </c>
      <c r="O1671" s="116">
        <v>126.105</v>
      </c>
      <c r="P1671" s="116">
        <v>127.2</v>
      </c>
      <c r="Q1671" s="116">
        <v>1270.5</v>
      </c>
      <c r="R1671">
        <v>8668877</v>
      </c>
    </row>
    <row r="1672" spans="1:18" x14ac:dyDescent="0.25">
      <c r="A1672" s="170">
        <v>44467</v>
      </c>
      <c r="B1672" s="116">
        <v>129.69499999999999</v>
      </c>
      <c r="C1672" s="116">
        <v>128.065</v>
      </c>
      <c r="D1672" s="116">
        <v>126.3</v>
      </c>
      <c r="E1672" s="116">
        <v>127.46</v>
      </c>
      <c r="F1672" s="116">
        <v>1280.6500000000001</v>
      </c>
      <c r="G1672">
        <v>580744</v>
      </c>
      <c r="H1672" s="116"/>
      <c r="I1672" s="116"/>
      <c r="L1672" s="170">
        <v>44467</v>
      </c>
      <c r="M1672" s="116">
        <v>128.095</v>
      </c>
      <c r="N1672" s="116">
        <v>129.68</v>
      </c>
      <c r="O1672" s="116">
        <v>126.3</v>
      </c>
      <c r="P1672" s="116">
        <v>127.345</v>
      </c>
      <c r="Q1672" s="116">
        <v>1280.95</v>
      </c>
      <c r="R1672">
        <v>8100736</v>
      </c>
    </row>
    <row r="1673" spans="1:18" x14ac:dyDescent="0.25">
      <c r="A1673" s="170">
        <v>44468</v>
      </c>
      <c r="B1673" s="116">
        <v>130.96</v>
      </c>
      <c r="C1673" s="116">
        <v>129.55000000000001</v>
      </c>
      <c r="D1673" s="116">
        <v>126.9</v>
      </c>
      <c r="E1673" s="116">
        <v>127.6</v>
      </c>
      <c r="F1673" s="116">
        <v>1295.5</v>
      </c>
      <c r="G1673">
        <v>541382</v>
      </c>
      <c r="H1673" s="116"/>
      <c r="I1673" s="116"/>
      <c r="L1673" s="170">
        <v>44468</v>
      </c>
      <c r="M1673" s="116">
        <v>129.55500000000001</v>
      </c>
      <c r="N1673" s="116">
        <v>130.97999999999999</v>
      </c>
      <c r="O1673" s="116">
        <v>126.72</v>
      </c>
      <c r="P1673" s="116">
        <v>127</v>
      </c>
      <c r="Q1673" s="116">
        <v>1295.55</v>
      </c>
      <c r="R1673">
        <v>9494577</v>
      </c>
    </row>
    <row r="1674" spans="1:18" x14ac:dyDescent="0.25">
      <c r="A1674" s="170">
        <v>44469</v>
      </c>
      <c r="B1674" s="116">
        <v>131.63999999999999</v>
      </c>
      <c r="C1674" s="116">
        <v>128.85499999999999</v>
      </c>
      <c r="D1674" s="116">
        <v>128.44</v>
      </c>
      <c r="E1674" s="116">
        <v>130.15</v>
      </c>
      <c r="F1674" s="116">
        <v>1288.55</v>
      </c>
      <c r="G1674">
        <v>295075</v>
      </c>
      <c r="H1674" s="116"/>
      <c r="I1674" s="116"/>
      <c r="L1674" s="170">
        <v>44469</v>
      </c>
      <c r="M1674" s="116">
        <v>128.88999999999999</v>
      </c>
      <c r="N1674" s="116">
        <v>131.63999999999999</v>
      </c>
      <c r="O1674" s="116">
        <v>128.38499999999999</v>
      </c>
      <c r="P1674" s="116">
        <v>130.30000000000001</v>
      </c>
      <c r="Q1674" s="116">
        <v>1288.9000000000001</v>
      </c>
      <c r="R1674">
        <v>7514568</v>
      </c>
    </row>
    <row r="1675" spans="1:18" x14ac:dyDescent="0.25">
      <c r="A1675" s="170">
        <v>44470</v>
      </c>
      <c r="B1675" s="116">
        <v>131.1</v>
      </c>
      <c r="C1675" s="116">
        <v>129.845</v>
      </c>
      <c r="D1675" s="116">
        <v>126.55</v>
      </c>
      <c r="E1675" s="116">
        <v>127.5</v>
      </c>
      <c r="F1675" s="116">
        <v>1298.45</v>
      </c>
      <c r="G1675">
        <v>387669</v>
      </c>
      <c r="H1675" s="116"/>
      <c r="I1675" s="116"/>
      <c r="L1675" s="170">
        <v>44470</v>
      </c>
      <c r="M1675" s="116">
        <v>129.785</v>
      </c>
      <c r="N1675" s="116">
        <v>131.1</v>
      </c>
      <c r="O1675" s="116">
        <v>126.5</v>
      </c>
      <c r="P1675" s="116">
        <v>127.5</v>
      </c>
      <c r="Q1675" s="116">
        <v>1297.8499999999999</v>
      </c>
      <c r="R1675">
        <v>9037470</v>
      </c>
    </row>
    <row r="1676" spans="1:18" x14ac:dyDescent="0.25">
      <c r="A1676" s="170">
        <v>44473</v>
      </c>
      <c r="B1676" s="116">
        <v>132.77000000000001</v>
      </c>
      <c r="C1676" s="116">
        <v>132.43</v>
      </c>
      <c r="D1676" s="116">
        <v>128.07499999999999</v>
      </c>
      <c r="E1676" s="116">
        <v>129.85</v>
      </c>
      <c r="F1676" s="116">
        <v>1324.3</v>
      </c>
      <c r="G1676">
        <v>728391</v>
      </c>
      <c r="H1676" s="116"/>
      <c r="I1676" s="116"/>
      <c r="L1676" s="170">
        <v>44473</v>
      </c>
      <c r="M1676" s="116">
        <v>132.41499999999999</v>
      </c>
      <c r="N1676" s="116">
        <v>132.77500000000001</v>
      </c>
      <c r="O1676" s="116">
        <v>128.04</v>
      </c>
      <c r="P1676" s="116">
        <v>129.785</v>
      </c>
      <c r="Q1676" s="116">
        <v>1324.15</v>
      </c>
      <c r="R1676">
        <v>9690237</v>
      </c>
    </row>
    <row r="1677" spans="1:18" x14ac:dyDescent="0.25">
      <c r="A1677" s="170">
        <v>44474</v>
      </c>
      <c r="B1677" s="116">
        <v>133.19999999999999</v>
      </c>
      <c r="C1677" s="116">
        <v>131.66499999999999</v>
      </c>
      <c r="D1677" s="116">
        <v>131.035</v>
      </c>
      <c r="E1677" s="116">
        <v>131.6</v>
      </c>
      <c r="F1677" s="116">
        <v>1316.65</v>
      </c>
      <c r="G1677">
        <v>333139</v>
      </c>
      <c r="H1677" s="116"/>
      <c r="I1677" s="116"/>
      <c r="L1677" s="170">
        <v>44474</v>
      </c>
      <c r="M1677" s="116">
        <v>131.685</v>
      </c>
      <c r="N1677" s="116">
        <v>133.27000000000001</v>
      </c>
      <c r="O1677" s="116">
        <v>131.01499999999999</v>
      </c>
      <c r="P1677" s="116">
        <v>131.4</v>
      </c>
      <c r="Q1677" s="116">
        <v>1316.85</v>
      </c>
      <c r="R1677">
        <v>5795216</v>
      </c>
    </row>
    <row r="1678" spans="1:18" x14ac:dyDescent="0.25">
      <c r="A1678" s="170">
        <v>44475</v>
      </c>
      <c r="B1678" s="116">
        <v>132.88</v>
      </c>
      <c r="C1678" s="116">
        <v>127.97</v>
      </c>
      <c r="D1678" s="116">
        <v>127.33499999999999</v>
      </c>
      <c r="E1678" s="116">
        <v>132.30000000000001</v>
      </c>
      <c r="F1678" s="116">
        <v>1279.7</v>
      </c>
      <c r="G1678">
        <v>323348</v>
      </c>
      <c r="H1678" s="116"/>
      <c r="I1678" s="116"/>
      <c r="L1678" s="170">
        <v>44475</v>
      </c>
      <c r="M1678" s="116">
        <v>127.99</v>
      </c>
      <c r="N1678" s="116">
        <v>132.86000000000001</v>
      </c>
      <c r="O1678" s="116">
        <v>127.315</v>
      </c>
      <c r="P1678" s="116">
        <v>131.99</v>
      </c>
      <c r="Q1678" s="116">
        <v>1279.9000000000001</v>
      </c>
      <c r="R1678">
        <v>8631693</v>
      </c>
    </row>
    <row r="1679" spans="1:18" x14ac:dyDescent="0.25">
      <c r="A1679" s="170">
        <v>44476</v>
      </c>
      <c r="B1679" s="116">
        <v>130.64500000000001</v>
      </c>
      <c r="C1679" s="116">
        <v>128.94499999999999</v>
      </c>
      <c r="D1679" s="116">
        <v>128.39500000000001</v>
      </c>
      <c r="E1679" s="116">
        <v>129.30500000000001</v>
      </c>
      <c r="F1679" s="116">
        <v>1289.45</v>
      </c>
      <c r="G1679">
        <v>184596</v>
      </c>
      <c r="H1679" s="116"/>
      <c r="I1679" s="116"/>
      <c r="L1679" s="170">
        <v>44476</v>
      </c>
      <c r="M1679" s="116">
        <v>128.91999999999999</v>
      </c>
      <c r="N1679" s="116">
        <v>130.68</v>
      </c>
      <c r="O1679" s="116">
        <v>128.35499999999999</v>
      </c>
      <c r="P1679" s="116">
        <v>129.5</v>
      </c>
      <c r="Q1679" s="116">
        <v>1289.2</v>
      </c>
      <c r="R1679">
        <v>4603367</v>
      </c>
    </row>
    <row r="1680" spans="1:18" x14ac:dyDescent="0.25">
      <c r="A1680" s="170">
        <v>44477</v>
      </c>
      <c r="B1680" s="116">
        <v>134.4</v>
      </c>
      <c r="C1680" s="116">
        <v>130.095</v>
      </c>
      <c r="D1680" s="116">
        <v>129.69999999999999</v>
      </c>
      <c r="E1680" s="116">
        <v>130.4</v>
      </c>
      <c r="F1680" s="116">
        <v>1300.95</v>
      </c>
      <c r="G1680">
        <v>771927</v>
      </c>
      <c r="H1680" s="116"/>
      <c r="I1680" s="116"/>
      <c r="L1680" s="170">
        <v>44477</v>
      </c>
      <c r="M1680" s="116">
        <v>130.11500000000001</v>
      </c>
      <c r="N1680" s="116">
        <v>134.405</v>
      </c>
      <c r="O1680" s="116">
        <v>129.63499999999999</v>
      </c>
      <c r="P1680" s="116">
        <v>130.19999999999999</v>
      </c>
      <c r="Q1680" s="116">
        <v>1301.1500000000001</v>
      </c>
      <c r="R1680">
        <v>10722015</v>
      </c>
    </row>
    <row r="1681" spans="1:18" x14ac:dyDescent="0.25">
      <c r="A1681" s="170">
        <v>44480</v>
      </c>
      <c r="B1681" s="116">
        <v>132.67500000000001</v>
      </c>
      <c r="C1681" s="116">
        <v>131.36000000000001</v>
      </c>
      <c r="D1681" s="116">
        <v>129.82</v>
      </c>
      <c r="E1681" s="116">
        <v>130.77500000000001</v>
      </c>
      <c r="F1681" s="116">
        <v>1313.6</v>
      </c>
      <c r="G1681">
        <v>861232</v>
      </c>
      <c r="H1681" s="116"/>
      <c r="I1681" s="116"/>
      <c r="L1681" s="170">
        <v>44480</v>
      </c>
      <c r="M1681" s="116">
        <v>131.32</v>
      </c>
      <c r="N1681" s="116">
        <v>132.73500000000001</v>
      </c>
      <c r="O1681" s="116">
        <v>129.80000000000001</v>
      </c>
      <c r="P1681" s="116">
        <v>130.5</v>
      </c>
      <c r="Q1681" s="116">
        <v>1313.2</v>
      </c>
      <c r="R1681">
        <v>6349658</v>
      </c>
    </row>
    <row r="1682" spans="1:18" x14ac:dyDescent="0.25">
      <c r="A1682" s="170">
        <v>44481</v>
      </c>
      <c r="B1682" s="116">
        <v>133.5</v>
      </c>
      <c r="C1682" s="116">
        <v>132.9</v>
      </c>
      <c r="D1682" s="116">
        <v>130.46</v>
      </c>
      <c r="E1682" s="116">
        <v>131.65</v>
      </c>
      <c r="F1682" s="116">
        <v>1329</v>
      </c>
      <c r="G1682">
        <v>421571</v>
      </c>
      <c r="H1682" s="116"/>
      <c r="I1682" s="116"/>
      <c r="L1682" s="170">
        <v>44481</v>
      </c>
      <c r="M1682" s="116">
        <v>132.91</v>
      </c>
      <c r="N1682" s="116">
        <v>133.5</v>
      </c>
      <c r="O1682" s="116">
        <v>130.5</v>
      </c>
      <c r="P1682" s="116">
        <v>131.32</v>
      </c>
      <c r="Q1682" s="116">
        <v>1329.1</v>
      </c>
      <c r="R1682">
        <v>6097019</v>
      </c>
    </row>
    <row r="1683" spans="1:18" x14ac:dyDescent="0.25">
      <c r="A1683" s="170">
        <v>44482</v>
      </c>
      <c r="B1683" s="116">
        <v>137.61500000000001</v>
      </c>
      <c r="C1683" s="116">
        <v>135.41999999999999</v>
      </c>
      <c r="D1683" s="116">
        <v>131.85499999999999</v>
      </c>
      <c r="E1683" s="116">
        <v>133.1</v>
      </c>
      <c r="F1683" s="116">
        <v>1354.2</v>
      </c>
      <c r="G1683">
        <v>571419</v>
      </c>
      <c r="H1683" s="116"/>
      <c r="I1683" s="116"/>
      <c r="L1683" s="170">
        <v>44482</v>
      </c>
      <c r="M1683" s="116">
        <v>135.43</v>
      </c>
      <c r="N1683" s="116">
        <v>137.655</v>
      </c>
      <c r="O1683" s="116">
        <v>131.80500000000001</v>
      </c>
      <c r="P1683" s="116">
        <v>132.55000000000001</v>
      </c>
      <c r="Q1683" s="116">
        <v>1354.3</v>
      </c>
      <c r="R1683">
        <v>13285718</v>
      </c>
    </row>
    <row r="1684" spans="1:18" x14ac:dyDescent="0.25">
      <c r="A1684" s="170">
        <v>44483</v>
      </c>
      <c r="B1684" s="116">
        <v>139</v>
      </c>
      <c r="C1684" s="116">
        <v>137.36500000000001</v>
      </c>
      <c r="D1684" s="116">
        <v>135.43</v>
      </c>
      <c r="E1684" s="116">
        <v>137.5</v>
      </c>
      <c r="F1684" s="116">
        <v>1373.65</v>
      </c>
      <c r="G1684">
        <v>303893</v>
      </c>
      <c r="H1684" s="116"/>
      <c r="I1684" s="116"/>
      <c r="L1684" s="170">
        <v>44483</v>
      </c>
      <c r="M1684" s="116">
        <v>137.505</v>
      </c>
      <c r="N1684" s="116">
        <v>139.06</v>
      </c>
      <c r="O1684" s="116">
        <v>135.4</v>
      </c>
      <c r="P1684" s="116">
        <v>137.4</v>
      </c>
      <c r="Q1684" s="116">
        <v>1375.05</v>
      </c>
      <c r="R1684">
        <v>8227371</v>
      </c>
    </row>
    <row r="1685" spans="1:18" x14ac:dyDescent="0.25">
      <c r="A1685" s="170">
        <v>44487</v>
      </c>
      <c r="B1685" s="116">
        <v>142.46</v>
      </c>
      <c r="C1685" s="116">
        <v>141.11000000000001</v>
      </c>
      <c r="D1685" s="116">
        <v>139.1</v>
      </c>
      <c r="E1685" s="116">
        <v>142</v>
      </c>
      <c r="F1685" s="116">
        <v>1411.1</v>
      </c>
      <c r="G1685">
        <v>390860</v>
      </c>
      <c r="H1685" s="116"/>
      <c r="I1685" s="116"/>
      <c r="L1685" s="170">
        <v>44487</v>
      </c>
      <c r="M1685" s="116">
        <v>141.10499999999999</v>
      </c>
      <c r="N1685" s="116">
        <v>142.47499999999999</v>
      </c>
      <c r="O1685" s="116">
        <v>139.11000000000001</v>
      </c>
      <c r="P1685" s="116">
        <v>141.80000000000001</v>
      </c>
      <c r="Q1685" s="116">
        <v>1411.05</v>
      </c>
      <c r="R1685">
        <v>10923230</v>
      </c>
    </row>
    <row r="1686" spans="1:18" x14ac:dyDescent="0.25">
      <c r="A1686" s="170">
        <v>44488</v>
      </c>
      <c r="B1686" s="116">
        <v>142.62</v>
      </c>
      <c r="C1686" s="116">
        <v>136.73500000000001</v>
      </c>
      <c r="D1686" s="116">
        <v>135.72</v>
      </c>
      <c r="E1686" s="116">
        <v>142.1</v>
      </c>
      <c r="F1686" s="116">
        <v>1367.35</v>
      </c>
      <c r="G1686">
        <v>575835</v>
      </c>
      <c r="H1686" s="116"/>
      <c r="I1686" s="116"/>
      <c r="L1686" s="170">
        <v>44488</v>
      </c>
      <c r="M1686" s="116">
        <v>136.69</v>
      </c>
      <c r="N1686" s="116">
        <v>142.655</v>
      </c>
      <c r="O1686" s="116">
        <v>135.755</v>
      </c>
      <c r="P1686" s="116">
        <v>142.1</v>
      </c>
      <c r="Q1686" s="116">
        <v>1366.9</v>
      </c>
      <c r="R1686">
        <v>8756924</v>
      </c>
    </row>
    <row r="1687" spans="1:18" x14ac:dyDescent="0.25">
      <c r="A1687" s="170">
        <v>44489</v>
      </c>
      <c r="B1687" s="116">
        <v>137.6</v>
      </c>
      <c r="C1687" s="116">
        <v>134.27500000000001</v>
      </c>
      <c r="D1687" s="116">
        <v>132.68</v>
      </c>
      <c r="E1687" s="116">
        <v>137</v>
      </c>
      <c r="F1687" s="116">
        <v>1342.75</v>
      </c>
      <c r="G1687">
        <v>1164503</v>
      </c>
      <c r="H1687" s="116"/>
      <c r="I1687" s="116"/>
      <c r="L1687" s="170">
        <v>44489</v>
      </c>
      <c r="M1687" s="116">
        <v>134.33000000000001</v>
      </c>
      <c r="N1687" s="116">
        <v>137.6</v>
      </c>
      <c r="O1687" s="116">
        <v>132.66499999999999</v>
      </c>
      <c r="P1687" s="116">
        <v>137.19999999999999</v>
      </c>
      <c r="Q1687" s="116">
        <v>1343.3</v>
      </c>
      <c r="R1687">
        <v>6975774</v>
      </c>
    </row>
    <row r="1688" spans="1:18" x14ac:dyDescent="0.25">
      <c r="A1688" s="170">
        <v>44490</v>
      </c>
      <c r="B1688" s="116">
        <v>135.80000000000001</v>
      </c>
      <c r="C1688" s="116">
        <v>131.44499999999999</v>
      </c>
      <c r="D1688" s="116">
        <v>129.01</v>
      </c>
      <c r="E1688" s="116">
        <v>135.80000000000001</v>
      </c>
      <c r="F1688" s="116">
        <v>1314.45</v>
      </c>
      <c r="G1688">
        <v>271478</v>
      </c>
      <c r="H1688" s="116"/>
      <c r="I1688" s="116"/>
      <c r="L1688" s="170">
        <v>44490</v>
      </c>
      <c r="M1688" s="116">
        <v>131.47</v>
      </c>
      <c r="N1688" s="116">
        <v>135.785</v>
      </c>
      <c r="O1688" s="116">
        <v>128.97</v>
      </c>
      <c r="P1688" s="116">
        <v>135.66999999999999</v>
      </c>
      <c r="Q1688" s="116">
        <v>1314.7</v>
      </c>
      <c r="R1688">
        <v>8357573</v>
      </c>
    </row>
    <row r="1689" spans="1:18" x14ac:dyDescent="0.25">
      <c r="A1689" s="170">
        <v>44491</v>
      </c>
      <c r="B1689" s="116">
        <v>132.44999999999999</v>
      </c>
      <c r="C1689" s="116">
        <v>129.57</v>
      </c>
      <c r="D1689" s="116">
        <v>127.11499999999999</v>
      </c>
      <c r="E1689" s="116">
        <v>132.26499999999999</v>
      </c>
      <c r="F1689" s="116">
        <v>1295.7</v>
      </c>
      <c r="G1689">
        <v>311443</v>
      </c>
      <c r="H1689" s="116"/>
      <c r="I1689" s="116"/>
      <c r="L1689" s="170">
        <v>44491</v>
      </c>
      <c r="M1689" s="116">
        <v>129.625</v>
      </c>
      <c r="N1689" s="116">
        <v>132.465</v>
      </c>
      <c r="O1689" s="116">
        <v>127.1</v>
      </c>
      <c r="P1689" s="116">
        <v>132</v>
      </c>
      <c r="Q1689" s="116">
        <v>1296.25</v>
      </c>
      <c r="R1689">
        <v>8071289</v>
      </c>
    </row>
    <row r="1690" spans="1:18" x14ac:dyDescent="0.25">
      <c r="A1690" s="170">
        <v>44494</v>
      </c>
      <c r="B1690" s="116">
        <v>131.6</v>
      </c>
      <c r="C1690" s="116">
        <v>129.44999999999999</v>
      </c>
      <c r="D1690" s="116">
        <v>126.735</v>
      </c>
      <c r="E1690" s="116">
        <v>129.80000000000001</v>
      </c>
      <c r="F1690" s="116">
        <v>1294.5</v>
      </c>
      <c r="G1690">
        <v>258893</v>
      </c>
      <c r="H1690" s="116"/>
      <c r="I1690" s="116"/>
      <c r="L1690" s="170">
        <v>44494</v>
      </c>
      <c r="M1690" s="116">
        <v>129.33000000000001</v>
      </c>
      <c r="N1690" s="116">
        <v>131.6</v>
      </c>
      <c r="O1690" s="116">
        <v>126.72499999999999</v>
      </c>
      <c r="P1690" s="116">
        <v>130.19999999999999</v>
      </c>
      <c r="Q1690" s="116">
        <v>1293.3</v>
      </c>
      <c r="R1690">
        <v>6418501</v>
      </c>
    </row>
    <row r="1691" spans="1:18" x14ac:dyDescent="0.25">
      <c r="A1691" s="170">
        <v>44495</v>
      </c>
      <c r="B1691" s="116">
        <v>135.1</v>
      </c>
      <c r="C1691" s="116">
        <v>134.52500000000001</v>
      </c>
      <c r="D1691" s="116">
        <v>129.6</v>
      </c>
      <c r="E1691" s="116">
        <v>129.6</v>
      </c>
      <c r="F1691" s="116">
        <v>1345.25</v>
      </c>
      <c r="G1691">
        <v>351262</v>
      </c>
      <c r="H1691" s="116"/>
      <c r="I1691" s="116"/>
      <c r="L1691" s="170">
        <v>44495</v>
      </c>
      <c r="M1691" s="116">
        <v>134.36500000000001</v>
      </c>
      <c r="N1691" s="116">
        <v>135.1</v>
      </c>
      <c r="O1691" s="116">
        <v>130.14500000000001</v>
      </c>
      <c r="P1691" s="116">
        <v>130.30000000000001</v>
      </c>
      <c r="Q1691" s="116">
        <v>1343.65</v>
      </c>
      <c r="R1691">
        <v>7722875</v>
      </c>
    </row>
    <row r="1692" spans="1:18" x14ac:dyDescent="0.25">
      <c r="A1692" s="170">
        <v>44496</v>
      </c>
      <c r="B1692" s="116">
        <v>135.125</v>
      </c>
      <c r="C1692" s="116">
        <v>132.51499999999999</v>
      </c>
      <c r="D1692" s="116">
        <v>132.09</v>
      </c>
      <c r="E1692" s="116">
        <v>134.85</v>
      </c>
      <c r="F1692" s="116">
        <v>1325.15</v>
      </c>
      <c r="G1692">
        <v>285153</v>
      </c>
      <c r="H1692" s="116"/>
      <c r="I1692" s="116"/>
      <c r="L1692" s="170">
        <v>44496</v>
      </c>
      <c r="M1692" s="116">
        <v>132.61500000000001</v>
      </c>
      <c r="N1692" s="116">
        <v>135.16999999999999</v>
      </c>
      <c r="O1692" s="116">
        <v>132.125</v>
      </c>
      <c r="P1692" s="116">
        <v>134.6</v>
      </c>
      <c r="Q1692" s="116">
        <v>1326.15</v>
      </c>
      <c r="R1692">
        <v>7241804</v>
      </c>
    </row>
    <row r="1693" spans="1:18" x14ac:dyDescent="0.25">
      <c r="A1693" s="170">
        <v>44497</v>
      </c>
      <c r="B1693" s="116">
        <v>131.9</v>
      </c>
      <c r="C1693" s="116">
        <v>129.91999999999999</v>
      </c>
      <c r="D1693" s="116">
        <v>129.15</v>
      </c>
      <c r="E1693" s="116">
        <v>131.9</v>
      </c>
      <c r="F1693" s="116">
        <v>1299.2</v>
      </c>
      <c r="G1693">
        <v>243197</v>
      </c>
      <c r="H1693" s="116"/>
      <c r="I1693" s="116"/>
      <c r="L1693" s="170">
        <v>44497</v>
      </c>
      <c r="M1693" s="116">
        <v>129.96</v>
      </c>
      <c r="N1693" s="116">
        <v>131.595</v>
      </c>
      <c r="O1693" s="116">
        <v>129.11000000000001</v>
      </c>
      <c r="P1693" s="116">
        <v>131.49</v>
      </c>
      <c r="Q1693" s="116">
        <v>1299.5999999999999</v>
      </c>
      <c r="R1693">
        <v>9307682</v>
      </c>
    </row>
    <row r="1694" spans="1:18" x14ac:dyDescent="0.25">
      <c r="A1694" s="170">
        <v>44498</v>
      </c>
      <c r="B1694" s="116">
        <v>133.37</v>
      </c>
      <c r="C1694" s="116">
        <v>131.66499999999999</v>
      </c>
      <c r="D1694" s="116">
        <v>129.095</v>
      </c>
      <c r="E1694" s="116">
        <v>129.38999999999999</v>
      </c>
      <c r="F1694" s="116">
        <v>1316.65</v>
      </c>
      <c r="G1694">
        <v>380443</v>
      </c>
      <c r="H1694" s="116"/>
      <c r="I1694" s="116"/>
      <c r="L1694" s="170">
        <v>44498</v>
      </c>
      <c r="M1694" s="116">
        <v>131.595</v>
      </c>
      <c r="N1694" s="116">
        <v>133.37</v>
      </c>
      <c r="O1694" s="116">
        <v>129</v>
      </c>
      <c r="P1694" s="116">
        <v>129.02500000000001</v>
      </c>
      <c r="Q1694" s="116">
        <v>1315.95</v>
      </c>
      <c r="R1694">
        <v>7914760</v>
      </c>
    </row>
    <row r="1695" spans="1:18" x14ac:dyDescent="0.25">
      <c r="A1695" s="170">
        <v>44501</v>
      </c>
      <c r="B1695" s="116">
        <v>137.27000000000001</v>
      </c>
      <c r="C1695" s="116">
        <v>136.55500000000001</v>
      </c>
      <c r="D1695" s="116">
        <v>132.97999999999999</v>
      </c>
      <c r="E1695" s="116">
        <v>133.66499999999999</v>
      </c>
      <c r="F1695" s="116">
        <v>1365.55</v>
      </c>
      <c r="G1695">
        <v>656173</v>
      </c>
      <c r="H1695" s="116"/>
      <c r="I1695" s="116"/>
      <c r="L1695" s="170">
        <v>44501</v>
      </c>
      <c r="M1695" s="116">
        <v>136.49</v>
      </c>
      <c r="N1695" s="116">
        <v>137.29</v>
      </c>
      <c r="O1695" s="116">
        <v>133</v>
      </c>
      <c r="P1695" s="116">
        <v>134</v>
      </c>
      <c r="Q1695" s="116">
        <v>1364.9</v>
      </c>
      <c r="R1695">
        <v>9687533</v>
      </c>
    </row>
    <row r="1696" spans="1:18" x14ac:dyDescent="0.25">
      <c r="A1696" s="170">
        <v>44502</v>
      </c>
      <c r="B1696" s="116">
        <v>137</v>
      </c>
      <c r="C1696" s="116">
        <v>131.44999999999999</v>
      </c>
      <c r="D1696" s="116">
        <v>131.1</v>
      </c>
      <c r="E1696" s="116">
        <v>137</v>
      </c>
      <c r="F1696" s="116">
        <v>1314.5</v>
      </c>
      <c r="G1696">
        <v>419812</v>
      </c>
      <c r="H1696" s="116"/>
      <c r="I1696" s="116"/>
      <c r="L1696" s="170">
        <v>44502</v>
      </c>
      <c r="M1696" s="116">
        <v>131.36500000000001</v>
      </c>
      <c r="N1696" s="116">
        <v>137</v>
      </c>
      <c r="O1696" s="116">
        <v>131.08000000000001</v>
      </c>
      <c r="P1696" s="116">
        <v>137</v>
      </c>
      <c r="Q1696" s="116">
        <v>1313.65</v>
      </c>
      <c r="R1696">
        <v>7216137</v>
      </c>
    </row>
    <row r="1697" spans="1:18" x14ac:dyDescent="0.25">
      <c r="A1697" s="170">
        <v>44503</v>
      </c>
      <c r="B1697" s="116">
        <v>133.12</v>
      </c>
      <c r="C1697" s="116">
        <v>132.59</v>
      </c>
      <c r="D1697" s="116">
        <v>131.19999999999999</v>
      </c>
      <c r="E1697" s="116">
        <v>132.4</v>
      </c>
      <c r="F1697" s="116">
        <v>1325.9</v>
      </c>
      <c r="G1697">
        <v>305875</v>
      </c>
      <c r="H1697" s="116"/>
      <c r="I1697" s="116"/>
      <c r="L1697" s="170">
        <v>44503</v>
      </c>
      <c r="M1697" s="116">
        <v>132.60499999999999</v>
      </c>
      <c r="N1697" s="116">
        <v>133.19999999999999</v>
      </c>
      <c r="O1697" s="116">
        <v>131.19999999999999</v>
      </c>
      <c r="P1697" s="116">
        <v>132.47999999999999</v>
      </c>
      <c r="Q1697" s="116">
        <v>1326.05</v>
      </c>
      <c r="R1697">
        <v>5730244</v>
      </c>
    </row>
    <row r="1698" spans="1:18" x14ac:dyDescent="0.25">
      <c r="A1698" s="170">
        <v>44504</v>
      </c>
      <c r="B1698" s="116">
        <v>133.44999999999999</v>
      </c>
      <c r="C1698" s="116">
        <v>132.58500000000001</v>
      </c>
      <c r="D1698" s="116">
        <v>132.41499999999999</v>
      </c>
      <c r="E1698" s="116">
        <v>133.44999999999999</v>
      </c>
      <c r="F1698" s="116">
        <v>1325.85</v>
      </c>
      <c r="G1698">
        <v>30901</v>
      </c>
      <c r="H1698" s="116"/>
      <c r="I1698" s="116"/>
      <c r="L1698" s="170">
        <v>44504</v>
      </c>
      <c r="M1698" s="116">
        <v>132.59</v>
      </c>
      <c r="N1698" s="116">
        <v>133.5</v>
      </c>
      <c r="O1698" s="116">
        <v>132.41</v>
      </c>
      <c r="P1698" s="116">
        <v>133.1</v>
      </c>
      <c r="Q1698" s="116">
        <v>1325.9</v>
      </c>
      <c r="R1698">
        <v>674434</v>
      </c>
    </row>
    <row r="1699" spans="1:18" x14ac:dyDescent="0.25">
      <c r="A1699" s="170">
        <v>44508</v>
      </c>
      <c r="B1699" s="116">
        <v>134.66999999999999</v>
      </c>
      <c r="C1699" s="116">
        <v>134.28</v>
      </c>
      <c r="D1699" s="116">
        <v>130.655</v>
      </c>
      <c r="E1699" s="116">
        <v>134</v>
      </c>
      <c r="F1699" s="116">
        <v>1342.8</v>
      </c>
      <c r="G1699">
        <v>196110</v>
      </c>
      <c r="H1699" s="116"/>
      <c r="I1699" s="116"/>
      <c r="L1699" s="170">
        <v>44508</v>
      </c>
      <c r="M1699" s="116">
        <v>134.32499999999999</v>
      </c>
      <c r="N1699" s="116">
        <v>134.76499999999999</v>
      </c>
      <c r="O1699" s="116">
        <v>130.61000000000001</v>
      </c>
      <c r="P1699" s="116">
        <v>134.09</v>
      </c>
      <c r="Q1699" s="116">
        <v>1343.25</v>
      </c>
      <c r="R1699">
        <v>5493667</v>
      </c>
    </row>
    <row r="1700" spans="1:18" x14ac:dyDescent="0.25">
      <c r="A1700" s="170">
        <v>44509</v>
      </c>
      <c r="B1700" s="116">
        <v>136</v>
      </c>
      <c r="C1700" s="116">
        <v>133.55500000000001</v>
      </c>
      <c r="D1700" s="116">
        <v>132.88499999999999</v>
      </c>
      <c r="E1700" s="116">
        <v>134.69999999999999</v>
      </c>
      <c r="F1700" s="116">
        <v>1335.55</v>
      </c>
      <c r="G1700">
        <v>183559</v>
      </c>
      <c r="H1700" s="116"/>
      <c r="I1700" s="116"/>
      <c r="L1700" s="170">
        <v>44509</v>
      </c>
      <c r="M1700" s="116">
        <v>133.595</v>
      </c>
      <c r="N1700" s="116">
        <v>136.03</v>
      </c>
      <c r="O1700" s="116">
        <v>132.88499999999999</v>
      </c>
      <c r="P1700" s="116">
        <v>134.285</v>
      </c>
      <c r="Q1700" s="116">
        <v>1335.95</v>
      </c>
      <c r="R1700">
        <v>4756516</v>
      </c>
    </row>
    <row r="1701" spans="1:18" x14ac:dyDescent="0.25">
      <c r="A1701" s="170">
        <v>44510</v>
      </c>
      <c r="B1701" s="116">
        <v>132.91</v>
      </c>
      <c r="C1701" s="116">
        <v>129.85499999999999</v>
      </c>
      <c r="D1701" s="116">
        <v>128.72</v>
      </c>
      <c r="E1701" s="116">
        <v>132.9</v>
      </c>
      <c r="F1701" s="116">
        <v>1298.55</v>
      </c>
      <c r="G1701">
        <v>420920</v>
      </c>
      <c r="H1701" s="116"/>
      <c r="I1701" s="116"/>
      <c r="L1701" s="170">
        <v>44510</v>
      </c>
      <c r="M1701" s="116">
        <v>129.85499999999999</v>
      </c>
      <c r="N1701" s="116">
        <v>132.9</v>
      </c>
      <c r="O1701" s="116">
        <v>128.71</v>
      </c>
      <c r="P1701" s="116">
        <v>132.80000000000001</v>
      </c>
      <c r="Q1701" s="116">
        <v>1298.55</v>
      </c>
      <c r="R1701">
        <v>11880417</v>
      </c>
    </row>
    <row r="1702" spans="1:18" x14ac:dyDescent="0.25">
      <c r="A1702" s="170">
        <v>44511</v>
      </c>
      <c r="B1702" s="116">
        <v>132.41999999999999</v>
      </c>
      <c r="C1702" s="116">
        <v>129.89500000000001</v>
      </c>
      <c r="D1702" s="116">
        <v>128.86500000000001</v>
      </c>
      <c r="E1702" s="116">
        <v>130.47</v>
      </c>
      <c r="F1702" s="116">
        <v>1298.95</v>
      </c>
      <c r="G1702">
        <v>655932</v>
      </c>
      <c r="H1702" s="116"/>
      <c r="I1702" s="116"/>
      <c r="L1702" s="170">
        <v>44511</v>
      </c>
      <c r="M1702" s="116">
        <v>129.96</v>
      </c>
      <c r="N1702" s="116">
        <v>132.44999999999999</v>
      </c>
      <c r="O1702" s="116">
        <v>128.83500000000001</v>
      </c>
      <c r="P1702" s="116">
        <v>130.49</v>
      </c>
      <c r="Q1702" s="116">
        <v>1299.5999999999999</v>
      </c>
      <c r="R1702">
        <v>13663860</v>
      </c>
    </row>
    <row r="1703" spans="1:18" x14ac:dyDescent="0.25">
      <c r="A1703" s="170">
        <v>44512</v>
      </c>
      <c r="B1703" s="116">
        <v>134.30000000000001</v>
      </c>
      <c r="C1703" s="116">
        <v>128.69</v>
      </c>
      <c r="D1703" s="116">
        <v>127.2</v>
      </c>
      <c r="E1703" s="116">
        <v>134.30000000000001</v>
      </c>
      <c r="F1703" s="116">
        <v>1286.9000000000001</v>
      </c>
      <c r="G1703">
        <v>929406</v>
      </c>
      <c r="H1703" s="116"/>
      <c r="I1703" s="116"/>
      <c r="L1703" s="170">
        <v>44512</v>
      </c>
      <c r="M1703" s="116">
        <v>128.72499999999999</v>
      </c>
      <c r="N1703" s="116">
        <v>134</v>
      </c>
      <c r="O1703" s="116">
        <v>127.11</v>
      </c>
      <c r="P1703" s="116">
        <v>134</v>
      </c>
      <c r="Q1703" s="116">
        <v>1287.25</v>
      </c>
      <c r="R1703">
        <v>23239558</v>
      </c>
    </row>
    <row r="1704" spans="1:18" x14ac:dyDescent="0.25">
      <c r="A1704" s="170">
        <v>44515</v>
      </c>
      <c r="B1704" s="116">
        <v>129.905</v>
      </c>
      <c r="C1704" s="116">
        <v>124.52</v>
      </c>
      <c r="D1704" s="116">
        <v>124.3</v>
      </c>
      <c r="E1704" s="116">
        <v>129.80000000000001</v>
      </c>
      <c r="F1704" s="116">
        <v>1245.2</v>
      </c>
      <c r="G1704">
        <v>556221</v>
      </c>
      <c r="H1704" s="116"/>
      <c r="I1704" s="116"/>
      <c r="L1704" s="170">
        <v>44515</v>
      </c>
      <c r="M1704" s="116">
        <v>124.545</v>
      </c>
      <c r="N1704" s="116">
        <v>129.9</v>
      </c>
      <c r="O1704" s="116">
        <v>124.15</v>
      </c>
      <c r="P1704" s="116">
        <v>129.5</v>
      </c>
      <c r="Q1704" s="116">
        <v>1245.45</v>
      </c>
      <c r="R1704">
        <v>12108215</v>
      </c>
    </row>
    <row r="1705" spans="1:18" x14ac:dyDescent="0.25">
      <c r="A1705" s="170">
        <v>44516</v>
      </c>
      <c r="B1705" s="116">
        <v>126.07</v>
      </c>
      <c r="C1705" s="116">
        <v>122.89</v>
      </c>
      <c r="D1705" s="116">
        <v>122.6</v>
      </c>
      <c r="E1705" s="116">
        <v>124.75</v>
      </c>
      <c r="F1705" s="116">
        <v>1228.9000000000001</v>
      </c>
      <c r="G1705">
        <v>454448</v>
      </c>
      <c r="H1705" s="116"/>
      <c r="I1705" s="116"/>
      <c r="L1705" s="170">
        <v>44516</v>
      </c>
      <c r="M1705" s="116">
        <v>122.88</v>
      </c>
      <c r="N1705" s="116">
        <v>126.105</v>
      </c>
      <c r="O1705" s="116">
        <v>122.37</v>
      </c>
      <c r="P1705" s="116">
        <v>124.545</v>
      </c>
      <c r="Q1705" s="116">
        <v>1228.8</v>
      </c>
      <c r="R1705">
        <v>12314880</v>
      </c>
    </row>
    <row r="1706" spans="1:18" x14ac:dyDescent="0.25">
      <c r="A1706" s="170">
        <v>44517</v>
      </c>
      <c r="B1706" s="116">
        <v>123.75</v>
      </c>
      <c r="C1706" s="116">
        <v>122</v>
      </c>
      <c r="D1706" s="116">
        <v>121.505</v>
      </c>
      <c r="E1706" s="116">
        <v>122.5</v>
      </c>
      <c r="F1706" s="116">
        <v>1220</v>
      </c>
      <c r="G1706">
        <v>575480</v>
      </c>
      <c r="H1706" s="116"/>
      <c r="I1706" s="116"/>
      <c r="L1706" s="170">
        <v>44517</v>
      </c>
      <c r="M1706" s="116">
        <v>122.005</v>
      </c>
      <c r="N1706" s="116">
        <v>123.74</v>
      </c>
      <c r="O1706" s="116">
        <v>121.51</v>
      </c>
      <c r="P1706" s="116">
        <v>122.5</v>
      </c>
      <c r="Q1706" s="116">
        <v>1220.05</v>
      </c>
      <c r="R1706">
        <v>8780204</v>
      </c>
    </row>
    <row r="1707" spans="1:18" x14ac:dyDescent="0.25">
      <c r="A1707" s="170">
        <v>44518</v>
      </c>
      <c r="B1707" s="116">
        <v>122.875</v>
      </c>
      <c r="C1707" s="116">
        <v>118.68</v>
      </c>
      <c r="D1707" s="116">
        <v>118.23</v>
      </c>
      <c r="E1707" s="116">
        <v>121.535</v>
      </c>
      <c r="F1707" s="116">
        <v>1186.8</v>
      </c>
      <c r="G1707">
        <v>416611</v>
      </c>
      <c r="H1707" s="116"/>
      <c r="I1707" s="116"/>
      <c r="L1707" s="170">
        <v>44518</v>
      </c>
      <c r="M1707" s="116">
        <v>118.66</v>
      </c>
      <c r="N1707" s="116">
        <v>122.83</v>
      </c>
      <c r="O1707" s="116">
        <v>118.2</v>
      </c>
      <c r="P1707" s="116">
        <v>122.36</v>
      </c>
      <c r="Q1707" s="116">
        <v>1186.5999999999999</v>
      </c>
      <c r="R1707">
        <v>10108351</v>
      </c>
    </row>
    <row r="1708" spans="1:18" x14ac:dyDescent="0.25">
      <c r="A1708" s="170">
        <v>44522</v>
      </c>
      <c r="B1708" s="116">
        <v>119.655</v>
      </c>
      <c r="C1708" s="116">
        <v>116.48</v>
      </c>
      <c r="D1708" s="116">
        <v>114.605</v>
      </c>
      <c r="E1708" s="116">
        <v>118.6</v>
      </c>
      <c r="F1708" s="116">
        <v>1164.8</v>
      </c>
      <c r="G1708">
        <v>682297</v>
      </c>
      <c r="H1708" s="116"/>
      <c r="I1708" s="116"/>
      <c r="L1708" s="170">
        <v>44522</v>
      </c>
      <c r="M1708" s="116">
        <v>116.505</v>
      </c>
      <c r="N1708" s="116">
        <v>119.68</v>
      </c>
      <c r="O1708" s="116">
        <v>114.6</v>
      </c>
      <c r="P1708" s="116">
        <v>118.81</v>
      </c>
      <c r="Q1708" s="116">
        <v>1165.05</v>
      </c>
      <c r="R1708">
        <v>9621001</v>
      </c>
    </row>
    <row r="1709" spans="1:18" x14ac:dyDescent="0.25">
      <c r="A1709" s="170">
        <v>44523</v>
      </c>
      <c r="B1709" s="116">
        <v>120.9</v>
      </c>
      <c r="C1709" s="116">
        <v>119.255</v>
      </c>
      <c r="D1709" s="116">
        <v>116.485</v>
      </c>
      <c r="E1709" s="116">
        <v>116.6</v>
      </c>
      <c r="F1709" s="116">
        <v>1192.55</v>
      </c>
      <c r="G1709">
        <v>599336</v>
      </c>
      <c r="H1709" s="116"/>
      <c r="I1709" s="116"/>
      <c r="L1709" s="170">
        <v>44523</v>
      </c>
      <c r="M1709" s="116">
        <v>119.205</v>
      </c>
      <c r="N1709" s="116">
        <v>120.9</v>
      </c>
      <c r="O1709" s="116">
        <v>116.515</v>
      </c>
      <c r="P1709" s="116">
        <v>116.80500000000001</v>
      </c>
      <c r="Q1709" s="116">
        <v>1192.05</v>
      </c>
      <c r="R1709">
        <v>9382963</v>
      </c>
    </row>
    <row r="1710" spans="1:18" x14ac:dyDescent="0.25">
      <c r="A1710" s="170">
        <v>44524</v>
      </c>
      <c r="B1710" s="116">
        <v>120.35</v>
      </c>
      <c r="C1710" s="116">
        <v>117.88500000000001</v>
      </c>
      <c r="D1710" s="116">
        <v>117.2</v>
      </c>
      <c r="E1710" s="116">
        <v>120.27</v>
      </c>
      <c r="F1710" s="116">
        <v>1178.8499999999999</v>
      </c>
      <c r="G1710">
        <v>806314</v>
      </c>
      <c r="H1710" s="116"/>
      <c r="I1710" s="116"/>
      <c r="L1710" s="170">
        <v>44524</v>
      </c>
      <c r="M1710" s="116">
        <v>117.85</v>
      </c>
      <c r="N1710" s="116">
        <v>120.295</v>
      </c>
      <c r="O1710" s="116">
        <v>117.11499999999999</v>
      </c>
      <c r="P1710" s="116">
        <v>120.04</v>
      </c>
      <c r="Q1710" s="116">
        <v>1178.5</v>
      </c>
      <c r="R1710">
        <v>6767101</v>
      </c>
    </row>
    <row r="1711" spans="1:18" x14ac:dyDescent="0.25">
      <c r="A1711" s="170">
        <v>44525</v>
      </c>
      <c r="B1711" s="116">
        <v>118.65</v>
      </c>
      <c r="C1711" s="116">
        <v>117.36499999999999</v>
      </c>
      <c r="D1711" s="116">
        <v>116.6</v>
      </c>
      <c r="E1711" s="116">
        <v>118.5</v>
      </c>
      <c r="F1711" s="116">
        <v>1173.6500000000001</v>
      </c>
      <c r="G1711">
        <v>340578</v>
      </c>
      <c r="H1711" s="116"/>
      <c r="I1711" s="116"/>
      <c r="L1711" s="170">
        <v>44525</v>
      </c>
      <c r="M1711" s="116">
        <v>117.36499999999999</v>
      </c>
      <c r="N1711" s="116">
        <v>118.66</v>
      </c>
      <c r="O1711" s="116">
        <v>116.6</v>
      </c>
      <c r="P1711" s="116">
        <v>118</v>
      </c>
      <c r="Q1711" s="116">
        <v>1173.6500000000001</v>
      </c>
      <c r="R1711">
        <v>4750286</v>
      </c>
    </row>
    <row r="1712" spans="1:18" x14ac:dyDescent="0.25">
      <c r="A1712" s="170">
        <v>44526</v>
      </c>
      <c r="B1712" s="116">
        <v>116</v>
      </c>
      <c r="C1712" s="116">
        <v>111.22499999999999</v>
      </c>
      <c r="D1712" s="116">
        <v>110.7</v>
      </c>
      <c r="E1712" s="116">
        <v>116</v>
      </c>
      <c r="F1712" s="116">
        <v>1112.25</v>
      </c>
      <c r="G1712">
        <v>945033</v>
      </c>
      <c r="H1712" s="116"/>
      <c r="I1712" s="116"/>
      <c r="L1712" s="170">
        <v>44526</v>
      </c>
      <c r="M1712" s="116">
        <v>111.23</v>
      </c>
      <c r="N1712" s="116">
        <v>115.95</v>
      </c>
      <c r="O1712" s="116">
        <v>110.625</v>
      </c>
      <c r="P1712" s="116">
        <v>115.79</v>
      </c>
      <c r="Q1712" s="116">
        <v>1112.3</v>
      </c>
      <c r="R1712">
        <v>10645526</v>
      </c>
    </row>
    <row r="1713" spans="1:18" x14ac:dyDescent="0.25">
      <c r="A1713" s="170">
        <v>44529</v>
      </c>
      <c r="B1713" s="116">
        <v>113.69499999999999</v>
      </c>
      <c r="C1713" s="116">
        <v>111.47499999999999</v>
      </c>
      <c r="D1713" s="116">
        <v>107.55</v>
      </c>
      <c r="E1713" s="116">
        <v>111.22499999999999</v>
      </c>
      <c r="F1713" s="116">
        <v>1114.75</v>
      </c>
      <c r="G1713">
        <v>444042</v>
      </c>
      <c r="H1713" s="116"/>
      <c r="I1713" s="116"/>
      <c r="L1713" s="170">
        <v>44529</v>
      </c>
      <c r="M1713" s="116">
        <v>111.47499999999999</v>
      </c>
      <c r="N1713" s="116">
        <v>113.7</v>
      </c>
      <c r="O1713" s="116">
        <v>107.505</v>
      </c>
      <c r="P1713" s="116">
        <v>111.23</v>
      </c>
      <c r="Q1713" s="116">
        <v>1114.75</v>
      </c>
      <c r="R1713">
        <v>9392991</v>
      </c>
    </row>
    <row r="1714" spans="1:18" x14ac:dyDescent="0.25">
      <c r="A1714" s="170">
        <v>44530</v>
      </c>
      <c r="B1714" s="116">
        <v>112.75</v>
      </c>
      <c r="C1714" s="116">
        <v>107.16</v>
      </c>
      <c r="D1714" s="116">
        <v>106.38</v>
      </c>
      <c r="E1714" s="116">
        <v>111.38500000000001</v>
      </c>
      <c r="F1714" s="116">
        <v>1071.5999999999999</v>
      </c>
      <c r="G1714">
        <v>632641</v>
      </c>
      <c r="H1714" s="116"/>
      <c r="I1714" s="116"/>
      <c r="L1714" s="170">
        <v>44530</v>
      </c>
      <c r="M1714" s="116">
        <v>107.12</v>
      </c>
      <c r="N1714" s="116">
        <v>112.79</v>
      </c>
      <c r="O1714" s="116">
        <v>106.3</v>
      </c>
      <c r="P1714" s="116">
        <v>111.095</v>
      </c>
      <c r="Q1714" s="116">
        <v>1071.2</v>
      </c>
      <c r="R1714">
        <v>13355984</v>
      </c>
    </row>
    <row r="1715" spans="1:18" x14ac:dyDescent="0.25">
      <c r="A1715" s="170">
        <v>44531</v>
      </c>
      <c r="B1715" s="116">
        <v>109.59</v>
      </c>
      <c r="C1715" s="116">
        <v>108.25</v>
      </c>
      <c r="D1715" s="116">
        <v>106.66500000000001</v>
      </c>
      <c r="E1715" s="116">
        <v>107.6</v>
      </c>
      <c r="F1715" s="116">
        <v>1082.5</v>
      </c>
      <c r="G1715">
        <v>461681</v>
      </c>
      <c r="H1715" s="116"/>
      <c r="I1715" s="116"/>
      <c r="L1715" s="170">
        <v>44531</v>
      </c>
      <c r="M1715" s="116">
        <v>108.255</v>
      </c>
      <c r="N1715" s="116">
        <v>109.7</v>
      </c>
      <c r="O1715" s="116">
        <v>106.65</v>
      </c>
      <c r="P1715" s="116">
        <v>109.2</v>
      </c>
      <c r="Q1715" s="116">
        <v>1082.55</v>
      </c>
      <c r="R1715">
        <v>9379114</v>
      </c>
    </row>
    <row r="1716" spans="1:18" x14ac:dyDescent="0.25">
      <c r="A1716" s="170">
        <v>44532</v>
      </c>
      <c r="B1716" s="116">
        <v>111.55</v>
      </c>
      <c r="C1716" s="116">
        <v>111.28</v>
      </c>
      <c r="D1716" s="116">
        <v>107.4</v>
      </c>
      <c r="E1716" s="116">
        <v>108.2</v>
      </c>
      <c r="F1716" s="116">
        <v>1112.8</v>
      </c>
      <c r="G1716">
        <v>341450</v>
      </c>
      <c r="H1716" s="116"/>
      <c r="I1716" s="116"/>
      <c r="L1716" s="170">
        <v>44532</v>
      </c>
      <c r="M1716" s="116">
        <v>111.24</v>
      </c>
      <c r="N1716" s="116">
        <v>111.6</v>
      </c>
      <c r="O1716" s="116">
        <v>107.4</v>
      </c>
      <c r="P1716" s="116">
        <v>108.3</v>
      </c>
      <c r="Q1716" s="116">
        <v>1112.4000000000001</v>
      </c>
      <c r="R1716">
        <v>9128681</v>
      </c>
    </row>
    <row r="1717" spans="1:18" x14ac:dyDescent="0.25">
      <c r="A1717" s="170">
        <v>44533</v>
      </c>
      <c r="B1717" s="116">
        <v>113.435</v>
      </c>
      <c r="C1717" s="116">
        <v>111.8</v>
      </c>
      <c r="D1717" s="116">
        <v>110.245</v>
      </c>
      <c r="E1717" s="116">
        <v>111.7</v>
      </c>
      <c r="F1717" s="116">
        <v>1118</v>
      </c>
      <c r="G1717">
        <v>625769</v>
      </c>
      <c r="H1717" s="116"/>
      <c r="I1717" s="116"/>
      <c r="L1717" s="170">
        <v>44533</v>
      </c>
      <c r="M1717" s="116">
        <v>111.8</v>
      </c>
      <c r="N1717" s="116">
        <v>113.42</v>
      </c>
      <c r="O1717" s="116">
        <v>110.22499999999999</v>
      </c>
      <c r="P1717" s="116">
        <v>111.5</v>
      </c>
      <c r="Q1717" s="116">
        <v>1118</v>
      </c>
      <c r="R1717">
        <v>10073784</v>
      </c>
    </row>
    <row r="1718" spans="1:18" x14ac:dyDescent="0.25">
      <c r="A1718" s="170">
        <v>44536</v>
      </c>
      <c r="B1718" s="116">
        <v>114.075</v>
      </c>
      <c r="C1718" s="116">
        <v>110.905</v>
      </c>
      <c r="D1718" s="116">
        <v>110.24</v>
      </c>
      <c r="E1718" s="116">
        <v>112</v>
      </c>
      <c r="F1718" s="116">
        <v>1109.05</v>
      </c>
      <c r="G1718">
        <v>659184</v>
      </c>
      <c r="H1718" s="116"/>
      <c r="I1718" s="116"/>
      <c r="L1718" s="170">
        <v>44536</v>
      </c>
      <c r="M1718" s="116">
        <v>110.88</v>
      </c>
      <c r="N1718" s="116">
        <v>114.1</v>
      </c>
      <c r="O1718" s="116">
        <v>110.22</v>
      </c>
      <c r="P1718" s="116">
        <v>111.4</v>
      </c>
      <c r="Q1718" s="116">
        <v>1108.8</v>
      </c>
      <c r="R1718">
        <v>8215940</v>
      </c>
    </row>
    <row r="1719" spans="1:18" x14ac:dyDescent="0.25">
      <c r="A1719" s="170">
        <v>44537</v>
      </c>
      <c r="B1719" s="116">
        <v>115.55</v>
      </c>
      <c r="C1719" s="116">
        <v>114.935</v>
      </c>
      <c r="D1719" s="116">
        <v>112.18</v>
      </c>
      <c r="E1719" s="116">
        <v>112.38</v>
      </c>
      <c r="F1719" s="116">
        <v>1149.3499999999999</v>
      </c>
      <c r="G1719">
        <v>635509</v>
      </c>
      <c r="H1719" s="116"/>
      <c r="I1719" s="116"/>
      <c r="L1719" s="170">
        <v>44537</v>
      </c>
      <c r="M1719" s="116">
        <v>114.88</v>
      </c>
      <c r="N1719" s="116">
        <v>115.55500000000001</v>
      </c>
      <c r="O1719" s="116">
        <v>112.1</v>
      </c>
      <c r="P1719" s="116">
        <v>112.11</v>
      </c>
      <c r="Q1719" s="116">
        <v>1148.8</v>
      </c>
      <c r="R1719">
        <v>8505390</v>
      </c>
    </row>
    <row r="1720" spans="1:18" x14ac:dyDescent="0.25">
      <c r="A1720" s="170">
        <v>44538</v>
      </c>
      <c r="B1720" s="116">
        <v>117.66</v>
      </c>
      <c r="C1720" s="116">
        <v>117.33499999999999</v>
      </c>
      <c r="D1720" s="116">
        <v>114.9</v>
      </c>
      <c r="E1720" s="116">
        <v>116.34</v>
      </c>
      <c r="F1720" s="116">
        <v>1173.3499999999999</v>
      </c>
      <c r="G1720">
        <v>737507</v>
      </c>
      <c r="H1720" s="116"/>
      <c r="I1720" s="116"/>
      <c r="L1720" s="170">
        <v>44538</v>
      </c>
      <c r="M1720" s="116">
        <v>117.3</v>
      </c>
      <c r="N1720" s="116">
        <v>117.7</v>
      </c>
      <c r="O1720" s="116">
        <v>114.9</v>
      </c>
      <c r="P1720" s="116">
        <v>115.9</v>
      </c>
      <c r="Q1720" s="116">
        <v>1173</v>
      </c>
      <c r="R1720">
        <v>7448501</v>
      </c>
    </row>
    <row r="1721" spans="1:18" x14ac:dyDescent="0.25">
      <c r="A1721" s="170">
        <v>44539</v>
      </c>
      <c r="B1721" s="116">
        <v>118.2</v>
      </c>
      <c r="C1721" s="116">
        <v>117.675</v>
      </c>
      <c r="D1721" s="116">
        <v>115.955</v>
      </c>
      <c r="E1721" s="116">
        <v>117.86</v>
      </c>
      <c r="F1721" s="116">
        <v>1176.75</v>
      </c>
      <c r="G1721">
        <v>300927</v>
      </c>
      <c r="H1721" s="116"/>
      <c r="I1721" s="116"/>
      <c r="L1721" s="170">
        <v>44539</v>
      </c>
      <c r="M1721" s="116">
        <v>117.685</v>
      </c>
      <c r="N1721" s="116">
        <v>118.2</v>
      </c>
      <c r="O1721" s="116">
        <v>115.9</v>
      </c>
      <c r="P1721" s="116">
        <v>118.2</v>
      </c>
      <c r="Q1721" s="116">
        <v>1176.8499999999999</v>
      </c>
      <c r="R1721">
        <v>5212394</v>
      </c>
    </row>
    <row r="1722" spans="1:18" x14ac:dyDescent="0.25">
      <c r="A1722" s="170">
        <v>44540</v>
      </c>
      <c r="B1722" s="116">
        <v>118.875</v>
      </c>
      <c r="C1722" s="116">
        <v>118.005</v>
      </c>
      <c r="D1722" s="116">
        <v>116.675</v>
      </c>
      <c r="E1722" s="116">
        <v>117.5</v>
      </c>
      <c r="F1722" s="116">
        <v>1180.05</v>
      </c>
      <c r="G1722">
        <v>200556</v>
      </c>
      <c r="H1722" s="116"/>
      <c r="I1722" s="116"/>
      <c r="L1722" s="170">
        <v>44540</v>
      </c>
      <c r="M1722" s="116">
        <v>118</v>
      </c>
      <c r="N1722" s="116">
        <v>118.89</v>
      </c>
      <c r="O1722" s="116">
        <v>116.76</v>
      </c>
      <c r="P1722" s="116">
        <v>117.345</v>
      </c>
      <c r="Q1722" s="116">
        <v>1180</v>
      </c>
      <c r="R1722">
        <v>4812130</v>
      </c>
    </row>
    <row r="1723" spans="1:18" x14ac:dyDescent="0.25">
      <c r="A1723" s="170">
        <v>44543</v>
      </c>
      <c r="B1723" s="116">
        <v>119.9</v>
      </c>
      <c r="C1723" s="116">
        <v>116.515</v>
      </c>
      <c r="D1723" s="116">
        <v>116.175</v>
      </c>
      <c r="E1723" s="116">
        <v>118.7</v>
      </c>
      <c r="F1723" s="116">
        <v>1165.1500000000001</v>
      </c>
      <c r="G1723">
        <v>340087</v>
      </c>
      <c r="H1723" s="116"/>
      <c r="I1723" s="116"/>
      <c r="L1723" s="170">
        <v>44543</v>
      </c>
      <c r="M1723" s="116">
        <v>116.53</v>
      </c>
      <c r="N1723" s="116">
        <v>119.9</v>
      </c>
      <c r="O1723" s="116">
        <v>116.16500000000001</v>
      </c>
      <c r="P1723" s="116">
        <v>118.8</v>
      </c>
      <c r="Q1723" s="116">
        <v>1165.3</v>
      </c>
      <c r="R1723">
        <v>5353778</v>
      </c>
    </row>
    <row r="1724" spans="1:18" x14ac:dyDescent="0.25">
      <c r="A1724" s="170">
        <v>44544</v>
      </c>
      <c r="B1724" s="116">
        <v>117.82</v>
      </c>
      <c r="C1724" s="116">
        <v>116.69499999999999</v>
      </c>
      <c r="D1724" s="116">
        <v>114.8</v>
      </c>
      <c r="E1724" s="116">
        <v>116.005</v>
      </c>
      <c r="F1724" s="116">
        <v>1166.95</v>
      </c>
      <c r="G1724">
        <v>197823</v>
      </c>
      <c r="H1724" s="116"/>
      <c r="I1724" s="116"/>
      <c r="L1724" s="170">
        <v>44544</v>
      </c>
      <c r="M1724" s="116">
        <v>116.72</v>
      </c>
      <c r="N1724" s="116">
        <v>117.79</v>
      </c>
      <c r="O1724" s="116">
        <v>114.7</v>
      </c>
      <c r="P1724" s="116">
        <v>115.895</v>
      </c>
      <c r="Q1724" s="116">
        <v>1167.2</v>
      </c>
      <c r="R1724">
        <v>5352264</v>
      </c>
    </row>
    <row r="1725" spans="1:18" x14ac:dyDescent="0.25">
      <c r="A1725" s="170">
        <v>44545</v>
      </c>
      <c r="B1725" s="116">
        <v>117.55</v>
      </c>
      <c r="C1725" s="116">
        <v>115.38500000000001</v>
      </c>
      <c r="D1725" s="116">
        <v>115</v>
      </c>
      <c r="E1725" s="116">
        <v>117.5</v>
      </c>
      <c r="F1725" s="116">
        <v>1153.8499999999999</v>
      </c>
      <c r="G1725">
        <v>501023</v>
      </c>
      <c r="H1725" s="116"/>
      <c r="I1725" s="116"/>
      <c r="L1725" s="170">
        <v>44545</v>
      </c>
      <c r="M1725" s="116">
        <v>115.405</v>
      </c>
      <c r="N1725" s="116">
        <v>117.56</v>
      </c>
      <c r="O1725" s="116">
        <v>114.9</v>
      </c>
      <c r="P1725" s="116">
        <v>117.005</v>
      </c>
      <c r="Q1725" s="116">
        <v>1154.05</v>
      </c>
      <c r="R1725">
        <v>4430833</v>
      </c>
    </row>
    <row r="1726" spans="1:18" x14ac:dyDescent="0.25">
      <c r="A1726" s="170">
        <v>44546</v>
      </c>
      <c r="B1726" s="116">
        <v>116.89</v>
      </c>
      <c r="C1726" s="116">
        <v>115.42</v>
      </c>
      <c r="D1726" s="116">
        <v>114.39</v>
      </c>
      <c r="E1726" s="116">
        <v>116.7</v>
      </c>
      <c r="F1726" s="116">
        <v>1154.2</v>
      </c>
      <c r="G1726">
        <v>118046</v>
      </c>
      <c r="H1726" s="116"/>
      <c r="I1726" s="116"/>
      <c r="L1726" s="170">
        <v>44546</v>
      </c>
      <c r="M1726" s="116">
        <v>115.32</v>
      </c>
      <c r="N1726" s="116">
        <v>116.88</v>
      </c>
      <c r="O1726" s="116">
        <v>114.355</v>
      </c>
      <c r="P1726" s="116">
        <v>116.4</v>
      </c>
      <c r="Q1726" s="116">
        <v>1153.2</v>
      </c>
      <c r="R1726">
        <v>4246008</v>
      </c>
    </row>
    <row r="1727" spans="1:18" x14ac:dyDescent="0.25">
      <c r="A1727" s="170">
        <v>44547</v>
      </c>
      <c r="B1727" s="116">
        <v>115.84</v>
      </c>
      <c r="C1727" s="116">
        <v>113.185</v>
      </c>
      <c r="D1727" s="116">
        <v>112.505</v>
      </c>
      <c r="E1727" s="116">
        <v>115.6</v>
      </c>
      <c r="F1727" s="116">
        <v>1131.8499999999999</v>
      </c>
      <c r="G1727">
        <v>304156</v>
      </c>
      <c r="H1727" s="116"/>
      <c r="I1727" s="116"/>
      <c r="L1727" s="170">
        <v>44547</v>
      </c>
      <c r="M1727" s="116">
        <v>113.21</v>
      </c>
      <c r="N1727" s="116">
        <v>115.88500000000001</v>
      </c>
      <c r="O1727" s="116">
        <v>112.5</v>
      </c>
      <c r="P1727" s="116">
        <v>115.4</v>
      </c>
      <c r="Q1727" s="116">
        <v>1132.0999999999999</v>
      </c>
      <c r="R1727">
        <v>4743502</v>
      </c>
    </row>
    <row r="1728" spans="1:18" x14ac:dyDescent="0.25">
      <c r="A1728" s="170">
        <v>44550</v>
      </c>
      <c r="B1728" s="116">
        <v>112</v>
      </c>
      <c r="C1728" s="116">
        <v>107.295</v>
      </c>
      <c r="D1728" s="116">
        <v>106.63500000000001</v>
      </c>
      <c r="E1728" s="116">
        <v>112</v>
      </c>
      <c r="F1728" s="116">
        <v>1072.95</v>
      </c>
      <c r="G1728">
        <v>419294</v>
      </c>
      <c r="H1728" s="116"/>
      <c r="I1728" s="116"/>
      <c r="L1728" s="170">
        <v>44550</v>
      </c>
      <c r="M1728" s="116">
        <v>107.295</v>
      </c>
      <c r="N1728" s="116">
        <v>111.72</v>
      </c>
      <c r="O1728" s="116">
        <v>106.605</v>
      </c>
      <c r="P1728" s="116">
        <v>111.7</v>
      </c>
      <c r="Q1728" s="116">
        <v>1072.95</v>
      </c>
      <c r="R1728">
        <v>7352650</v>
      </c>
    </row>
    <row r="1729" spans="1:18" x14ac:dyDescent="0.25">
      <c r="A1729" s="170">
        <v>44551</v>
      </c>
      <c r="B1729" s="116">
        <v>112.4</v>
      </c>
      <c r="C1729" s="116">
        <v>110.49</v>
      </c>
      <c r="D1729" s="116">
        <v>108.505</v>
      </c>
      <c r="E1729" s="116">
        <v>108.505</v>
      </c>
      <c r="F1729" s="116">
        <v>1104.9000000000001</v>
      </c>
      <c r="G1729">
        <v>543016</v>
      </c>
      <c r="H1729" s="116"/>
      <c r="I1729" s="116"/>
      <c r="L1729" s="170">
        <v>44551</v>
      </c>
      <c r="M1729" s="116">
        <v>110.51</v>
      </c>
      <c r="N1729" s="116">
        <v>112.425</v>
      </c>
      <c r="O1729" s="116">
        <v>108.5</v>
      </c>
      <c r="P1729" s="116">
        <v>109</v>
      </c>
      <c r="Q1729" s="116">
        <v>1105.0999999999999</v>
      </c>
      <c r="R1729">
        <v>7026849</v>
      </c>
    </row>
    <row r="1730" spans="1:18" x14ac:dyDescent="0.25">
      <c r="A1730" s="170">
        <v>44552</v>
      </c>
      <c r="B1730" s="116">
        <v>113.2</v>
      </c>
      <c r="C1730" s="116">
        <v>112.75</v>
      </c>
      <c r="D1730" s="116">
        <v>110.845</v>
      </c>
      <c r="E1730" s="116">
        <v>110.845</v>
      </c>
      <c r="F1730" s="116">
        <v>1127.5</v>
      </c>
      <c r="G1730">
        <v>266843</v>
      </c>
      <c r="H1730" s="116"/>
      <c r="I1730" s="116"/>
      <c r="L1730" s="170">
        <v>44552</v>
      </c>
      <c r="M1730" s="116">
        <v>112.88500000000001</v>
      </c>
      <c r="N1730" s="116">
        <v>113.1</v>
      </c>
      <c r="O1730" s="116">
        <v>111</v>
      </c>
      <c r="P1730" s="116">
        <v>111.5</v>
      </c>
      <c r="Q1730" s="116">
        <v>1128.8499999999999</v>
      </c>
      <c r="R1730">
        <v>4366917</v>
      </c>
    </row>
    <row r="1731" spans="1:18" x14ac:dyDescent="0.25">
      <c r="A1731" s="170">
        <v>44553</v>
      </c>
      <c r="B1731" s="116">
        <v>114.66</v>
      </c>
      <c r="C1731" s="116">
        <v>112.735</v>
      </c>
      <c r="D1731" s="116">
        <v>112.05500000000001</v>
      </c>
      <c r="E1731" s="116">
        <v>114</v>
      </c>
      <c r="F1731" s="116">
        <v>1127.3499999999999</v>
      </c>
      <c r="G1731">
        <v>178274</v>
      </c>
      <c r="H1731" s="116"/>
      <c r="I1731" s="116"/>
      <c r="L1731" s="170">
        <v>44553</v>
      </c>
      <c r="M1731" s="116">
        <v>112.765</v>
      </c>
      <c r="N1731" s="116">
        <v>114.68</v>
      </c>
      <c r="O1731" s="116">
        <v>112.02</v>
      </c>
      <c r="P1731" s="116">
        <v>113.8</v>
      </c>
      <c r="Q1731" s="116">
        <v>1127.6500000000001</v>
      </c>
      <c r="R1731">
        <v>4621478</v>
      </c>
    </row>
    <row r="1732" spans="1:18" x14ac:dyDescent="0.25">
      <c r="A1732" s="170">
        <v>44554</v>
      </c>
      <c r="B1732" s="116">
        <v>113.25</v>
      </c>
      <c r="C1732" s="116">
        <v>111.55500000000001</v>
      </c>
      <c r="D1732" s="116">
        <v>110.455</v>
      </c>
      <c r="E1732" s="116">
        <v>112.735</v>
      </c>
      <c r="F1732" s="116">
        <v>1115.55</v>
      </c>
      <c r="G1732">
        <v>313289</v>
      </c>
      <c r="H1732" s="116"/>
      <c r="I1732" s="116"/>
      <c r="L1732" s="170">
        <v>44554</v>
      </c>
      <c r="M1732" s="116">
        <v>111.545</v>
      </c>
      <c r="N1732" s="116">
        <v>113.345</v>
      </c>
      <c r="O1732" s="116">
        <v>110.38500000000001</v>
      </c>
      <c r="P1732" s="116">
        <v>113.005</v>
      </c>
      <c r="Q1732" s="116">
        <v>1115.45</v>
      </c>
      <c r="R1732">
        <v>4093630</v>
      </c>
    </row>
    <row r="1733" spans="1:18" x14ac:dyDescent="0.25">
      <c r="A1733" s="170">
        <v>44557</v>
      </c>
      <c r="B1733" s="116">
        <v>112.435</v>
      </c>
      <c r="C1733" s="116">
        <v>112.235</v>
      </c>
      <c r="D1733" s="116">
        <v>110.22</v>
      </c>
      <c r="E1733" s="116">
        <v>111.33</v>
      </c>
      <c r="F1733" s="116">
        <v>1122.3499999999999</v>
      </c>
      <c r="G1733">
        <v>282863</v>
      </c>
      <c r="H1733" s="116"/>
      <c r="I1733" s="116"/>
      <c r="L1733" s="170">
        <v>44557</v>
      </c>
      <c r="M1733" s="116">
        <v>112.18</v>
      </c>
      <c r="N1733" s="116">
        <v>112.47</v>
      </c>
      <c r="O1733" s="116">
        <v>110.235</v>
      </c>
      <c r="P1733" s="116">
        <v>111.105</v>
      </c>
      <c r="Q1733" s="116">
        <v>1121.8</v>
      </c>
      <c r="R1733">
        <v>2758851</v>
      </c>
    </row>
    <row r="1734" spans="1:18" x14ac:dyDescent="0.25">
      <c r="A1734" s="170">
        <v>44558</v>
      </c>
      <c r="B1734" s="116">
        <v>113.13500000000001</v>
      </c>
      <c r="C1734" s="116">
        <v>112.74</v>
      </c>
      <c r="D1734" s="116">
        <v>112.2</v>
      </c>
      <c r="E1734" s="116">
        <v>112.5</v>
      </c>
      <c r="F1734" s="116">
        <v>1127.4000000000001</v>
      </c>
      <c r="G1734">
        <v>225372</v>
      </c>
      <c r="H1734" s="116"/>
      <c r="I1734" s="116"/>
      <c r="L1734" s="170">
        <v>44558</v>
      </c>
      <c r="M1734" s="116">
        <v>112.745</v>
      </c>
      <c r="N1734" s="116">
        <v>113.15</v>
      </c>
      <c r="O1734" s="116">
        <v>112.2</v>
      </c>
      <c r="P1734" s="116">
        <v>112.7</v>
      </c>
      <c r="Q1734" s="116">
        <v>1127.45</v>
      </c>
      <c r="R1734">
        <v>2880781</v>
      </c>
    </row>
    <row r="1735" spans="1:18" x14ac:dyDescent="0.25">
      <c r="A1735" s="170">
        <v>44559</v>
      </c>
      <c r="B1735" s="116">
        <v>112.66</v>
      </c>
      <c r="C1735" s="116">
        <v>111.61</v>
      </c>
      <c r="D1735" s="116">
        <v>110.815</v>
      </c>
      <c r="E1735" s="116">
        <v>112.3</v>
      </c>
      <c r="F1735" s="116">
        <v>1116.0999999999999</v>
      </c>
      <c r="G1735">
        <v>193937</v>
      </c>
      <c r="H1735" s="116"/>
      <c r="I1735" s="116"/>
      <c r="L1735" s="170">
        <v>44559</v>
      </c>
      <c r="M1735" s="116">
        <v>111.625</v>
      </c>
      <c r="N1735" s="116">
        <v>112.66500000000001</v>
      </c>
      <c r="O1735" s="116">
        <v>110.8</v>
      </c>
      <c r="P1735" s="116">
        <v>112</v>
      </c>
      <c r="Q1735" s="116">
        <v>1116.25</v>
      </c>
      <c r="R1735">
        <v>4193520</v>
      </c>
    </row>
    <row r="1736" spans="1:18" x14ac:dyDescent="0.25">
      <c r="A1736" s="170">
        <v>44560</v>
      </c>
      <c r="B1736" s="116">
        <v>112.735</v>
      </c>
      <c r="C1736" s="116">
        <v>110.11</v>
      </c>
      <c r="D1736" s="116">
        <v>109.91</v>
      </c>
      <c r="E1736" s="116">
        <v>111.8</v>
      </c>
      <c r="F1736" s="116">
        <v>1101.0999999999999</v>
      </c>
      <c r="G1736">
        <v>182647</v>
      </c>
      <c r="H1736" s="116"/>
      <c r="I1736" s="116"/>
      <c r="L1736" s="170">
        <v>44560</v>
      </c>
      <c r="M1736" s="116">
        <v>110.1</v>
      </c>
      <c r="N1736" s="116">
        <v>112.7</v>
      </c>
      <c r="O1736" s="116">
        <v>109.9</v>
      </c>
      <c r="P1736" s="116">
        <v>111.79</v>
      </c>
      <c r="Q1736" s="116">
        <v>1101</v>
      </c>
      <c r="R1736">
        <v>4114093</v>
      </c>
    </row>
    <row r="1737" spans="1:18" x14ac:dyDescent="0.25">
      <c r="A1737" s="170">
        <v>44561</v>
      </c>
      <c r="B1737" s="116">
        <v>112.33</v>
      </c>
      <c r="C1737" s="116">
        <v>111.15</v>
      </c>
      <c r="D1737" s="116">
        <v>110.325</v>
      </c>
      <c r="E1737" s="116">
        <v>110.325</v>
      </c>
      <c r="F1737" s="116">
        <v>1111.5</v>
      </c>
      <c r="G1737">
        <v>254574</v>
      </c>
      <c r="H1737" s="116"/>
      <c r="I1737" s="116"/>
      <c r="L1737" s="170">
        <v>44561</v>
      </c>
      <c r="M1737" s="116">
        <v>111.145</v>
      </c>
      <c r="N1737" s="116">
        <v>112.35</v>
      </c>
      <c r="O1737" s="116">
        <v>110.265</v>
      </c>
      <c r="P1737" s="116">
        <v>110.5</v>
      </c>
      <c r="Q1737" s="116">
        <v>1111.45</v>
      </c>
      <c r="R1737">
        <v>3687021</v>
      </c>
    </row>
    <row r="1738" spans="1:18" x14ac:dyDescent="0.25">
      <c r="A1738" s="170">
        <v>44564</v>
      </c>
      <c r="B1738" s="116">
        <v>115</v>
      </c>
      <c r="C1738" s="116">
        <v>114.315</v>
      </c>
      <c r="D1738" s="116">
        <v>111.15</v>
      </c>
      <c r="E1738" s="116">
        <v>111.15</v>
      </c>
      <c r="F1738" s="116">
        <v>1143.1500000000001</v>
      </c>
      <c r="G1738">
        <v>326994</v>
      </c>
      <c r="H1738" s="116"/>
      <c r="I1738" s="116"/>
      <c r="L1738" s="170">
        <v>44564</v>
      </c>
      <c r="M1738" s="116">
        <v>114.245</v>
      </c>
      <c r="N1738" s="116">
        <v>115.1</v>
      </c>
      <c r="O1738" s="116">
        <v>111.5</v>
      </c>
      <c r="P1738" s="116">
        <v>111.5</v>
      </c>
      <c r="Q1738" s="116">
        <v>1142.45</v>
      </c>
      <c r="R1738">
        <v>3865803</v>
      </c>
    </row>
    <row r="1739" spans="1:18" x14ac:dyDescent="0.25">
      <c r="A1739" s="170">
        <v>44565</v>
      </c>
      <c r="B1739" s="116">
        <v>115.96</v>
      </c>
      <c r="C1739" s="116">
        <v>114.895</v>
      </c>
      <c r="D1739" s="116">
        <v>113.63500000000001</v>
      </c>
      <c r="E1739" s="116">
        <v>115.315</v>
      </c>
      <c r="F1739" s="116">
        <v>1148.95</v>
      </c>
      <c r="G1739">
        <v>385974</v>
      </c>
      <c r="H1739" s="116"/>
      <c r="I1739" s="116"/>
      <c r="L1739" s="170">
        <v>44565</v>
      </c>
      <c r="M1739" s="116">
        <v>114.88</v>
      </c>
      <c r="N1739" s="116">
        <v>115.97</v>
      </c>
      <c r="O1739" s="116">
        <v>113.65</v>
      </c>
      <c r="P1739" s="116">
        <v>115.3</v>
      </c>
      <c r="Q1739" s="116">
        <v>1148.8</v>
      </c>
      <c r="R1739">
        <v>5975731</v>
      </c>
    </row>
    <row r="1740" spans="1:18" x14ac:dyDescent="0.25">
      <c r="A1740" s="170">
        <v>44566</v>
      </c>
      <c r="B1740" s="116">
        <v>118.05</v>
      </c>
      <c r="C1740" s="116">
        <v>117.72499999999999</v>
      </c>
      <c r="D1740" s="116">
        <v>114.08</v>
      </c>
      <c r="E1740" s="116">
        <v>114.5</v>
      </c>
      <c r="F1740" s="116">
        <v>1177.25</v>
      </c>
      <c r="G1740">
        <v>455029</v>
      </c>
      <c r="H1740" s="116"/>
      <c r="I1740" s="116"/>
      <c r="L1740" s="170">
        <v>44566</v>
      </c>
      <c r="M1740" s="116">
        <v>117.76</v>
      </c>
      <c r="N1740" s="116">
        <v>118.08</v>
      </c>
      <c r="O1740" s="116">
        <v>114.125</v>
      </c>
      <c r="P1740" s="116">
        <v>114.7</v>
      </c>
      <c r="Q1740" s="116">
        <v>1177.5999999999999</v>
      </c>
      <c r="R1740">
        <v>6186176</v>
      </c>
    </row>
    <row r="1741" spans="1:18" x14ac:dyDescent="0.25">
      <c r="A1741" s="170">
        <v>44567</v>
      </c>
      <c r="B1741" s="116">
        <v>118.22</v>
      </c>
      <c r="C1741" s="116">
        <v>116.34</v>
      </c>
      <c r="D1741" s="116">
        <v>115.57</v>
      </c>
      <c r="E1741" s="116">
        <v>117.575</v>
      </c>
      <c r="F1741" s="116">
        <v>1163.4000000000001</v>
      </c>
      <c r="G1741">
        <v>212356</v>
      </c>
      <c r="H1741" s="116"/>
      <c r="I1741" s="116"/>
      <c r="L1741" s="170">
        <v>44567</v>
      </c>
      <c r="M1741" s="116">
        <v>116.325</v>
      </c>
      <c r="N1741" s="116">
        <v>118.3</v>
      </c>
      <c r="O1741" s="116">
        <v>115.55500000000001</v>
      </c>
      <c r="P1741" s="116">
        <v>117.2</v>
      </c>
      <c r="Q1741" s="116">
        <v>1163.25</v>
      </c>
      <c r="R1741">
        <v>5335400</v>
      </c>
    </row>
    <row r="1742" spans="1:18" x14ac:dyDescent="0.25">
      <c r="A1742" s="170">
        <v>44568</v>
      </c>
      <c r="B1742" s="116">
        <v>117.42</v>
      </c>
      <c r="C1742" s="116">
        <v>116.02</v>
      </c>
      <c r="D1742" s="116">
        <v>114.78</v>
      </c>
      <c r="E1742" s="116">
        <v>116.2</v>
      </c>
      <c r="F1742" s="116">
        <v>1160.2</v>
      </c>
      <c r="G1742">
        <v>293749</v>
      </c>
      <c r="H1742" s="116"/>
      <c r="I1742" s="116"/>
      <c r="L1742" s="170">
        <v>44568</v>
      </c>
      <c r="M1742" s="116">
        <v>116.035</v>
      </c>
      <c r="N1742" s="116">
        <v>117.4</v>
      </c>
      <c r="O1742" s="116">
        <v>114.785</v>
      </c>
      <c r="P1742" s="116">
        <v>116.52</v>
      </c>
      <c r="Q1742" s="116">
        <v>1160.3499999999999</v>
      </c>
      <c r="R1742">
        <v>3973857</v>
      </c>
    </row>
    <row r="1743" spans="1:18" x14ac:dyDescent="0.25">
      <c r="A1743" s="170">
        <v>44571</v>
      </c>
      <c r="B1743" s="116">
        <v>117.31</v>
      </c>
      <c r="C1743" s="116">
        <v>116.895</v>
      </c>
      <c r="D1743" s="116">
        <v>115.41500000000001</v>
      </c>
      <c r="E1743" s="116">
        <v>116.7</v>
      </c>
      <c r="F1743" s="116">
        <v>1168.95</v>
      </c>
      <c r="G1743">
        <v>188280</v>
      </c>
      <c r="H1743" s="116"/>
      <c r="I1743" s="116"/>
      <c r="L1743" s="170">
        <v>44571</v>
      </c>
      <c r="M1743" s="116">
        <v>116.905</v>
      </c>
      <c r="N1743" s="116">
        <v>117.34</v>
      </c>
      <c r="O1743" s="116">
        <v>115.38500000000001</v>
      </c>
      <c r="P1743" s="116">
        <v>116.5</v>
      </c>
      <c r="Q1743" s="116">
        <v>1169.05</v>
      </c>
      <c r="R1743">
        <v>3822500</v>
      </c>
    </row>
    <row r="1744" spans="1:18" x14ac:dyDescent="0.25">
      <c r="A1744" s="170">
        <v>44572</v>
      </c>
      <c r="B1744" s="116">
        <v>116.35</v>
      </c>
      <c r="C1744" s="116">
        <v>113.015</v>
      </c>
      <c r="D1744" s="116">
        <v>111.285</v>
      </c>
      <c r="E1744" s="116">
        <v>115.7</v>
      </c>
      <c r="F1744" s="116">
        <v>1130.1500000000001</v>
      </c>
      <c r="G1744">
        <v>355413</v>
      </c>
      <c r="H1744" s="116"/>
      <c r="I1744" s="116"/>
      <c r="L1744" s="170">
        <v>44572</v>
      </c>
      <c r="M1744" s="116">
        <v>113.02500000000001</v>
      </c>
      <c r="N1744" s="116">
        <v>116.27</v>
      </c>
      <c r="O1744" s="116">
        <v>111.3</v>
      </c>
      <c r="P1744" s="116">
        <v>115.86499999999999</v>
      </c>
      <c r="Q1744" s="116">
        <v>1130.25</v>
      </c>
      <c r="R1744">
        <v>9697885</v>
      </c>
    </row>
    <row r="1745" spans="1:18" x14ac:dyDescent="0.25">
      <c r="A1745" s="170">
        <v>44573</v>
      </c>
      <c r="B1745" s="116">
        <v>115.095</v>
      </c>
      <c r="C1745" s="116">
        <v>114.72</v>
      </c>
      <c r="D1745" s="116">
        <v>113.27</v>
      </c>
      <c r="E1745" s="116">
        <v>114.18</v>
      </c>
      <c r="F1745" s="116">
        <v>1147.2</v>
      </c>
      <c r="G1745">
        <v>209174</v>
      </c>
      <c r="H1745" s="116"/>
      <c r="I1745" s="116"/>
      <c r="L1745" s="170">
        <v>44573</v>
      </c>
      <c r="M1745" s="116">
        <v>114.72</v>
      </c>
      <c r="N1745" s="116">
        <v>115.08</v>
      </c>
      <c r="O1745" s="116">
        <v>113.24</v>
      </c>
      <c r="P1745" s="116">
        <v>113.985</v>
      </c>
      <c r="Q1745" s="116">
        <v>1147.2</v>
      </c>
      <c r="R1745">
        <v>5035843</v>
      </c>
    </row>
    <row r="1746" spans="1:18" x14ac:dyDescent="0.25">
      <c r="A1746" s="170">
        <v>44574</v>
      </c>
      <c r="B1746" s="116">
        <v>122.5</v>
      </c>
      <c r="C1746" s="116">
        <v>122.06</v>
      </c>
      <c r="D1746" s="116">
        <v>115.2</v>
      </c>
      <c r="E1746" s="116">
        <v>115.2</v>
      </c>
      <c r="F1746" s="116">
        <v>1220.5999999999999</v>
      </c>
      <c r="G1746">
        <v>1283836</v>
      </c>
      <c r="H1746" s="116"/>
      <c r="I1746" s="116"/>
      <c r="L1746" s="170">
        <v>44574</v>
      </c>
      <c r="M1746" s="116">
        <v>122.11499999999999</v>
      </c>
      <c r="N1746" s="116">
        <v>122.55</v>
      </c>
      <c r="O1746" s="116">
        <v>115.215</v>
      </c>
      <c r="P1746" s="116">
        <v>115.4</v>
      </c>
      <c r="Q1746" s="116">
        <v>1221.1500000000001</v>
      </c>
      <c r="R1746">
        <v>15723116</v>
      </c>
    </row>
    <row r="1747" spans="1:18" x14ac:dyDescent="0.25">
      <c r="A1747" s="170">
        <v>44575</v>
      </c>
      <c r="B1747" s="116">
        <v>122.6</v>
      </c>
      <c r="C1747" s="116">
        <v>121.33499999999999</v>
      </c>
      <c r="D1747" s="116">
        <v>120.61</v>
      </c>
      <c r="E1747" s="116">
        <v>121.4</v>
      </c>
      <c r="F1747" s="116">
        <v>1213.3499999999999</v>
      </c>
      <c r="G1747">
        <v>321735</v>
      </c>
      <c r="H1747" s="116"/>
      <c r="I1747" s="116"/>
      <c r="L1747" s="170">
        <v>44575</v>
      </c>
      <c r="M1747" s="116">
        <v>121.36</v>
      </c>
      <c r="N1747" s="116">
        <v>122.63</v>
      </c>
      <c r="O1747" s="116">
        <v>120.61</v>
      </c>
      <c r="P1747" s="116">
        <v>121.3</v>
      </c>
      <c r="Q1747" s="116">
        <v>1213.5999999999999</v>
      </c>
      <c r="R1747">
        <v>5267907</v>
      </c>
    </row>
    <row r="1748" spans="1:18" x14ac:dyDescent="0.25">
      <c r="A1748" s="170">
        <v>44578</v>
      </c>
      <c r="B1748" s="116">
        <v>124.44499999999999</v>
      </c>
      <c r="C1748" s="116">
        <v>122.97</v>
      </c>
      <c r="D1748" s="116">
        <v>119.07</v>
      </c>
      <c r="E1748" s="116">
        <v>121.5</v>
      </c>
      <c r="F1748" s="116">
        <v>1229.7</v>
      </c>
      <c r="G1748">
        <v>445130</v>
      </c>
      <c r="H1748" s="116"/>
      <c r="I1748" s="116"/>
      <c r="L1748" s="170">
        <v>44578</v>
      </c>
      <c r="M1748" s="116">
        <v>122.97499999999999</v>
      </c>
      <c r="N1748" s="116">
        <v>124.5</v>
      </c>
      <c r="O1748" s="116">
        <v>119.035</v>
      </c>
      <c r="P1748" s="116">
        <v>121.5</v>
      </c>
      <c r="Q1748" s="116">
        <v>1229.75</v>
      </c>
      <c r="R1748">
        <v>8969607</v>
      </c>
    </row>
    <row r="1749" spans="1:18" x14ac:dyDescent="0.25">
      <c r="A1749" s="170">
        <v>44579</v>
      </c>
      <c r="B1749" s="116">
        <v>123.295</v>
      </c>
      <c r="C1749" s="116">
        <v>119.45</v>
      </c>
      <c r="D1749" s="116">
        <v>119</v>
      </c>
      <c r="E1749" s="116">
        <v>123.2</v>
      </c>
      <c r="F1749" s="116">
        <v>1194.5</v>
      </c>
      <c r="G1749">
        <v>321480</v>
      </c>
      <c r="H1749" s="116"/>
      <c r="I1749" s="116"/>
      <c r="L1749" s="170">
        <v>44579</v>
      </c>
      <c r="M1749" s="116">
        <v>119.485</v>
      </c>
      <c r="N1749" s="116">
        <v>123.375</v>
      </c>
      <c r="O1749" s="116">
        <v>119</v>
      </c>
      <c r="P1749" s="116">
        <v>123</v>
      </c>
      <c r="Q1749" s="116">
        <v>1194.8499999999999</v>
      </c>
      <c r="R1749">
        <v>5840897</v>
      </c>
    </row>
    <row r="1750" spans="1:18" x14ac:dyDescent="0.25">
      <c r="A1750" s="170">
        <v>44580</v>
      </c>
      <c r="B1750" s="116">
        <v>122.06</v>
      </c>
      <c r="C1750" s="116">
        <v>120.875</v>
      </c>
      <c r="D1750" s="116">
        <v>118.31</v>
      </c>
      <c r="E1750" s="116">
        <v>119.7</v>
      </c>
      <c r="F1750" s="116">
        <v>1208.75</v>
      </c>
      <c r="G1750">
        <v>487852</v>
      </c>
      <c r="H1750" s="116"/>
      <c r="I1750" s="116"/>
      <c r="L1750" s="170">
        <v>44580</v>
      </c>
      <c r="M1750" s="116">
        <v>120.96</v>
      </c>
      <c r="N1750" s="116">
        <v>122.09</v>
      </c>
      <c r="O1750" s="116">
        <v>118.3</v>
      </c>
      <c r="P1750" s="116">
        <v>119.6</v>
      </c>
      <c r="Q1750" s="116">
        <v>1209.5999999999999</v>
      </c>
      <c r="R1750">
        <v>7304321</v>
      </c>
    </row>
    <row r="1751" spans="1:18" x14ac:dyDescent="0.25">
      <c r="A1751" s="170">
        <v>44581</v>
      </c>
      <c r="B1751" s="116">
        <v>122.37</v>
      </c>
      <c r="C1751" s="116">
        <v>120.75</v>
      </c>
      <c r="D1751" s="116">
        <v>119.755</v>
      </c>
      <c r="E1751" s="116">
        <v>120.875</v>
      </c>
      <c r="F1751" s="116">
        <v>1207.5</v>
      </c>
      <c r="G1751">
        <v>246656</v>
      </c>
      <c r="H1751" s="116"/>
      <c r="I1751" s="116"/>
      <c r="L1751" s="170">
        <v>44581</v>
      </c>
      <c r="M1751" s="116">
        <v>120.67</v>
      </c>
      <c r="N1751" s="116">
        <v>122.4</v>
      </c>
      <c r="O1751" s="116">
        <v>119.7</v>
      </c>
      <c r="P1751" s="116">
        <v>121.01</v>
      </c>
      <c r="Q1751" s="116">
        <v>1206.7</v>
      </c>
      <c r="R1751">
        <v>5920597</v>
      </c>
    </row>
    <row r="1752" spans="1:18" x14ac:dyDescent="0.25">
      <c r="A1752" s="170">
        <v>44582</v>
      </c>
      <c r="B1752" s="116">
        <v>120.41500000000001</v>
      </c>
      <c r="C1752" s="116">
        <v>116.905</v>
      </c>
      <c r="D1752" s="116">
        <v>115.63500000000001</v>
      </c>
      <c r="E1752" s="116">
        <v>120.05</v>
      </c>
      <c r="F1752" s="116">
        <v>1169.05</v>
      </c>
      <c r="G1752">
        <v>505177</v>
      </c>
      <c r="H1752" s="116"/>
      <c r="I1752" s="116"/>
      <c r="L1752" s="170">
        <v>44582</v>
      </c>
      <c r="M1752" s="116">
        <v>116.97</v>
      </c>
      <c r="N1752" s="116">
        <v>120.43</v>
      </c>
      <c r="O1752" s="116">
        <v>115.63500000000001</v>
      </c>
      <c r="P1752" s="116">
        <v>120</v>
      </c>
      <c r="Q1752" s="116">
        <v>1169.7</v>
      </c>
      <c r="R1752">
        <v>7166267</v>
      </c>
    </row>
    <row r="1753" spans="1:18" x14ac:dyDescent="0.25">
      <c r="A1753" s="170">
        <v>44585</v>
      </c>
      <c r="B1753" s="116">
        <v>116.44</v>
      </c>
      <c r="C1753" s="116">
        <v>109.91500000000001</v>
      </c>
      <c r="D1753" s="116">
        <v>109.01</v>
      </c>
      <c r="E1753" s="116">
        <v>116.44</v>
      </c>
      <c r="F1753" s="116">
        <v>1099.1500000000001</v>
      </c>
      <c r="G1753">
        <v>412253</v>
      </c>
      <c r="H1753" s="116"/>
      <c r="I1753" s="116"/>
      <c r="L1753" s="170">
        <v>44585</v>
      </c>
      <c r="M1753" s="116">
        <v>109.92</v>
      </c>
      <c r="N1753" s="116">
        <v>116.36499999999999</v>
      </c>
      <c r="O1753" s="116">
        <v>109</v>
      </c>
      <c r="P1753" s="116">
        <v>116</v>
      </c>
      <c r="Q1753" s="116">
        <v>1099.2</v>
      </c>
      <c r="R1753">
        <v>8392076</v>
      </c>
    </row>
    <row r="1754" spans="1:18" x14ac:dyDescent="0.25">
      <c r="A1754" s="170">
        <v>44586</v>
      </c>
      <c r="B1754" s="116">
        <v>112.09</v>
      </c>
      <c r="C1754" s="116">
        <v>110.87</v>
      </c>
      <c r="D1754" s="116">
        <v>108.815</v>
      </c>
      <c r="E1754" s="116">
        <v>110.25</v>
      </c>
      <c r="F1754" s="116">
        <v>1108.7</v>
      </c>
      <c r="G1754">
        <v>302898</v>
      </c>
      <c r="H1754" s="116"/>
      <c r="I1754" s="116"/>
      <c r="L1754" s="170">
        <v>44586</v>
      </c>
      <c r="M1754" s="116">
        <v>110.91</v>
      </c>
      <c r="N1754" s="116">
        <v>112.1</v>
      </c>
      <c r="O1754" s="116">
        <v>108.705</v>
      </c>
      <c r="P1754" s="116">
        <v>109.47</v>
      </c>
      <c r="Q1754" s="116">
        <v>1109.0999999999999</v>
      </c>
      <c r="R1754">
        <v>5733063</v>
      </c>
    </row>
    <row r="1755" spans="1:18" x14ac:dyDescent="0.25">
      <c r="A1755" s="170">
        <v>44588</v>
      </c>
      <c r="B1755" s="116">
        <v>110.36499999999999</v>
      </c>
      <c r="C1755" s="116">
        <v>108.875</v>
      </c>
      <c r="D1755" s="116">
        <v>106.17</v>
      </c>
      <c r="E1755" s="116">
        <v>110.3</v>
      </c>
      <c r="F1755" s="116">
        <v>1088.75</v>
      </c>
      <c r="G1755">
        <v>356609</v>
      </c>
      <c r="H1755" s="116"/>
      <c r="I1755" s="116"/>
      <c r="L1755" s="170">
        <v>44588</v>
      </c>
      <c r="M1755" s="116">
        <v>108.83499999999999</v>
      </c>
      <c r="N1755" s="116">
        <v>110.345</v>
      </c>
      <c r="O1755" s="116">
        <v>106.13</v>
      </c>
      <c r="P1755" s="116">
        <v>109</v>
      </c>
      <c r="Q1755" s="116">
        <v>1088.3499999999999</v>
      </c>
      <c r="R1755">
        <v>9056656</v>
      </c>
    </row>
    <row r="1756" spans="1:18" x14ac:dyDescent="0.25">
      <c r="A1756" s="170">
        <v>44589</v>
      </c>
      <c r="B1756" s="116">
        <v>112.6</v>
      </c>
      <c r="C1756" s="116">
        <v>108.46</v>
      </c>
      <c r="D1756" s="116">
        <v>108.075</v>
      </c>
      <c r="E1756" s="116">
        <v>110.68</v>
      </c>
      <c r="F1756" s="116">
        <v>1084.5999999999999</v>
      </c>
      <c r="G1756">
        <v>471877</v>
      </c>
      <c r="H1756" s="116"/>
      <c r="I1756" s="116"/>
      <c r="L1756" s="170">
        <v>44589</v>
      </c>
      <c r="M1756" s="116">
        <v>108.465</v>
      </c>
      <c r="N1756" s="116">
        <v>112.575</v>
      </c>
      <c r="O1756" s="116">
        <v>108.095</v>
      </c>
      <c r="P1756" s="116">
        <v>110.58499999999999</v>
      </c>
      <c r="Q1756" s="116">
        <v>1084.6500000000001</v>
      </c>
      <c r="R1756">
        <v>7864893</v>
      </c>
    </row>
    <row r="1757" spans="1:18" x14ac:dyDescent="0.25">
      <c r="A1757" s="170">
        <v>44592</v>
      </c>
      <c r="B1757" s="116">
        <v>111.47499999999999</v>
      </c>
      <c r="C1757" s="116">
        <v>108.545</v>
      </c>
      <c r="D1757" s="116">
        <v>108.11</v>
      </c>
      <c r="E1757" s="116">
        <v>111.3</v>
      </c>
      <c r="F1757" s="116">
        <v>1085.45</v>
      </c>
      <c r="G1757">
        <v>236414</v>
      </c>
      <c r="H1757" s="116"/>
      <c r="I1757" s="116"/>
      <c r="L1757" s="170">
        <v>44592</v>
      </c>
      <c r="M1757" s="116">
        <v>108.55500000000001</v>
      </c>
      <c r="N1757" s="116">
        <v>111.46</v>
      </c>
      <c r="O1757" s="116">
        <v>108.05</v>
      </c>
      <c r="P1757" s="116">
        <v>110.99</v>
      </c>
      <c r="Q1757" s="116">
        <v>1085.55</v>
      </c>
      <c r="R1757">
        <v>5570939</v>
      </c>
    </row>
    <row r="1758" spans="1:18" x14ac:dyDescent="0.25">
      <c r="A1758" s="170">
        <v>44593</v>
      </c>
      <c r="B1758" s="116">
        <v>117.39</v>
      </c>
      <c r="C1758" s="116">
        <v>116.765</v>
      </c>
      <c r="D1758" s="116">
        <v>108.66</v>
      </c>
      <c r="E1758" s="116">
        <v>111</v>
      </c>
      <c r="F1758" s="116">
        <v>1167.6500000000001</v>
      </c>
      <c r="G1758">
        <v>701137</v>
      </c>
      <c r="H1758" s="116"/>
      <c r="I1758" s="116"/>
      <c r="L1758" s="170">
        <v>44593</v>
      </c>
      <c r="M1758" s="116">
        <v>116.735</v>
      </c>
      <c r="N1758" s="116">
        <v>117.44499999999999</v>
      </c>
      <c r="O1758" s="116">
        <v>108.64</v>
      </c>
      <c r="P1758" s="116">
        <v>110.49</v>
      </c>
      <c r="Q1758" s="116">
        <v>1167.3499999999999</v>
      </c>
      <c r="R1758">
        <v>17075268</v>
      </c>
    </row>
    <row r="1759" spans="1:18" x14ac:dyDescent="0.25">
      <c r="A1759" s="170">
        <v>44594</v>
      </c>
      <c r="B1759" s="116">
        <v>118.28</v>
      </c>
      <c r="C1759" s="116">
        <v>116.75</v>
      </c>
      <c r="D1759" s="116">
        <v>115.82</v>
      </c>
      <c r="E1759" s="116">
        <v>118.08</v>
      </c>
      <c r="F1759" s="116">
        <v>1167.5</v>
      </c>
      <c r="G1759">
        <v>438474</v>
      </c>
      <c r="H1759" s="116"/>
      <c r="I1759" s="116"/>
      <c r="L1759" s="170">
        <v>44594</v>
      </c>
      <c r="M1759" s="116">
        <v>116.75</v>
      </c>
      <c r="N1759" s="116">
        <v>117.99</v>
      </c>
      <c r="O1759" s="116">
        <v>115.83</v>
      </c>
      <c r="P1759" s="116">
        <v>117.99</v>
      </c>
      <c r="Q1759" s="116">
        <v>1167.5</v>
      </c>
      <c r="R1759">
        <v>7524734</v>
      </c>
    </row>
    <row r="1760" spans="1:18" x14ac:dyDescent="0.25">
      <c r="A1760" s="170">
        <v>44595</v>
      </c>
      <c r="B1760" s="116">
        <v>118.2</v>
      </c>
      <c r="C1760" s="116">
        <v>116.565</v>
      </c>
      <c r="D1760" s="116">
        <v>114.59</v>
      </c>
      <c r="E1760" s="116">
        <v>115.2</v>
      </c>
      <c r="F1760" s="116">
        <v>1165.6500000000001</v>
      </c>
      <c r="G1760">
        <v>459785</v>
      </c>
      <c r="H1760" s="116"/>
      <c r="I1760" s="116"/>
      <c r="L1760" s="170">
        <v>44595</v>
      </c>
      <c r="M1760" s="116">
        <v>116.66</v>
      </c>
      <c r="N1760" s="116">
        <v>118.17</v>
      </c>
      <c r="O1760" s="116">
        <v>114.63</v>
      </c>
      <c r="P1760" s="116">
        <v>115.3</v>
      </c>
      <c r="Q1760" s="116">
        <v>1166.5999999999999</v>
      </c>
      <c r="R1760">
        <v>6514090</v>
      </c>
    </row>
    <row r="1761" spans="1:18" x14ac:dyDescent="0.25">
      <c r="A1761" s="170">
        <v>44596</v>
      </c>
      <c r="B1761" s="116">
        <v>119.77500000000001</v>
      </c>
      <c r="C1761" s="116">
        <v>117.61499999999999</v>
      </c>
      <c r="D1761" s="116">
        <v>117.01</v>
      </c>
      <c r="E1761" s="116">
        <v>117.75</v>
      </c>
      <c r="F1761" s="116">
        <v>1176.1500000000001</v>
      </c>
      <c r="G1761">
        <v>447675</v>
      </c>
      <c r="H1761" s="116"/>
      <c r="I1761" s="116"/>
      <c r="L1761" s="170">
        <v>44596</v>
      </c>
      <c r="M1761" s="116">
        <v>117.63</v>
      </c>
      <c r="N1761" s="116">
        <v>119.77500000000001</v>
      </c>
      <c r="O1761" s="116">
        <v>117.02500000000001</v>
      </c>
      <c r="P1761" s="116">
        <v>117.38</v>
      </c>
      <c r="Q1761" s="116">
        <v>1176.3</v>
      </c>
      <c r="R1761">
        <v>9317418</v>
      </c>
    </row>
    <row r="1762" spans="1:18" x14ac:dyDescent="0.25">
      <c r="A1762" s="170">
        <v>44599</v>
      </c>
      <c r="B1762" s="116">
        <v>121.44499999999999</v>
      </c>
      <c r="C1762" s="116">
        <v>118.29</v>
      </c>
      <c r="D1762" s="116">
        <v>116.61</v>
      </c>
      <c r="E1762" s="116">
        <v>116.97</v>
      </c>
      <c r="F1762" s="116">
        <v>1182.9000000000001</v>
      </c>
      <c r="G1762">
        <v>526971</v>
      </c>
      <c r="H1762" s="116"/>
      <c r="I1762" s="116"/>
      <c r="L1762" s="170">
        <v>44599</v>
      </c>
      <c r="M1762" s="116">
        <v>118.3</v>
      </c>
      <c r="N1762" s="116">
        <v>121.46</v>
      </c>
      <c r="O1762" s="116">
        <v>116.1</v>
      </c>
      <c r="P1762" s="116">
        <v>116.83</v>
      </c>
      <c r="Q1762" s="116">
        <v>1183</v>
      </c>
      <c r="R1762">
        <v>14510525</v>
      </c>
    </row>
    <row r="1763" spans="1:18" x14ac:dyDescent="0.25">
      <c r="A1763" s="170">
        <v>44600</v>
      </c>
      <c r="B1763" s="116">
        <v>122.2</v>
      </c>
      <c r="C1763" s="116">
        <v>121.955</v>
      </c>
      <c r="D1763" s="116">
        <v>117.16</v>
      </c>
      <c r="E1763" s="116">
        <v>119.655</v>
      </c>
      <c r="F1763" s="116">
        <v>1219.55</v>
      </c>
      <c r="G1763">
        <v>527525</v>
      </c>
      <c r="H1763" s="116"/>
      <c r="I1763" s="116"/>
      <c r="L1763" s="170">
        <v>44600</v>
      </c>
      <c r="M1763" s="116">
        <v>121.96</v>
      </c>
      <c r="N1763" s="116">
        <v>122.24</v>
      </c>
      <c r="O1763" s="116">
        <v>117.15</v>
      </c>
      <c r="P1763" s="116">
        <v>119.5</v>
      </c>
      <c r="Q1763" s="116">
        <v>1219.5999999999999</v>
      </c>
      <c r="R1763">
        <v>14083984</v>
      </c>
    </row>
    <row r="1764" spans="1:18" x14ac:dyDescent="0.25">
      <c r="A1764" s="170">
        <v>44601</v>
      </c>
      <c r="B1764" s="116">
        <v>123.33</v>
      </c>
      <c r="C1764" s="116">
        <v>122.24</v>
      </c>
      <c r="D1764" s="116">
        <v>120.82</v>
      </c>
      <c r="E1764" s="116">
        <v>123</v>
      </c>
      <c r="F1764" s="116">
        <v>1222.4000000000001</v>
      </c>
      <c r="G1764">
        <v>303168</v>
      </c>
      <c r="H1764" s="116"/>
      <c r="I1764" s="116"/>
      <c r="L1764" s="170">
        <v>44601</v>
      </c>
      <c r="M1764" s="116">
        <v>122.235</v>
      </c>
      <c r="N1764" s="116">
        <v>123.4</v>
      </c>
      <c r="O1764" s="116">
        <v>120.815</v>
      </c>
      <c r="P1764" s="116">
        <v>123.1</v>
      </c>
      <c r="Q1764" s="116">
        <v>1222.3499999999999</v>
      </c>
      <c r="R1764">
        <v>7352060</v>
      </c>
    </row>
    <row r="1765" spans="1:18" x14ac:dyDescent="0.25">
      <c r="A1765" s="170">
        <v>44602</v>
      </c>
      <c r="B1765" s="116">
        <v>125.4</v>
      </c>
      <c r="C1765" s="116">
        <v>124.825</v>
      </c>
      <c r="D1765" s="116">
        <v>122.6</v>
      </c>
      <c r="E1765" s="116">
        <v>123</v>
      </c>
      <c r="F1765" s="116">
        <v>1248.25</v>
      </c>
      <c r="G1765">
        <v>808721</v>
      </c>
      <c r="H1765" s="116"/>
      <c r="I1765" s="116"/>
      <c r="L1765" s="170">
        <v>44602</v>
      </c>
      <c r="M1765" s="116">
        <v>124.83499999999999</v>
      </c>
      <c r="N1765" s="116">
        <v>125.425</v>
      </c>
      <c r="O1765" s="116">
        <v>122.6</v>
      </c>
      <c r="P1765" s="116">
        <v>123</v>
      </c>
      <c r="Q1765" s="116">
        <v>1248.3499999999999</v>
      </c>
      <c r="R1765">
        <v>9392057</v>
      </c>
    </row>
    <row r="1766" spans="1:18" x14ac:dyDescent="0.25">
      <c r="A1766" s="170">
        <v>44603</v>
      </c>
      <c r="B1766" s="116">
        <v>126.5</v>
      </c>
      <c r="C1766" s="116">
        <v>125.47499999999999</v>
      </c>
      <c r="D1766" s="116">
        <v>123.33499999999999</v>
      </c>
      <c r="E1766" s="116">
        <v>124.1</v>
      </c>
      <c r="F1766" s="116">
        <v>1254.75</v>
      </c>
      <c r="G1766">
        <v>391971</v>
      </c>
      <c r="H1766" s="116"/>
      <c r="I1766" s="116"/>
      <c r="L1766" s="170">
        <v>44603</v>
      </c>
      <c r="M1766" s="116">
        <v>125.44499999999999</v>
      </c>
      <c r="N1766" s="116">
        <v>126.495</v>
      </c>
      <c r="O1766" s="116">
        <v>123.31</v>
      </c>
      <c r="P1766" s="116">
        <v>123.9</v>
      </c>
      <c r="Q1766" s="116">
        <v>1254.45</v>
      </c>
      <c r="R1766">
        <v>9676226</v>
      </c>
    </row>
    <row r="1767" spans="1:18" x14ac:dyDescent="0.25">
      <c r="A1767" s="170">
        <v>44606</v>
      </c>
      <c r="B1767" s="116">
        <v>122.6</v>
      </c>
      <c r="C1767" s="116">
        <v>118.59</v>
      </c>
      <c r="D1767" s="116">
        <v>118</v>
      </c>
      <c r="E1767" s="116">
        <v>120.6</v>
      </c>
      <c r="F1767" s="116">
        <v>1185.9000000000001</v>
      </c>
      <c r="G1767">
        <v>650375</v>
      </c>
      <c r="H1767" s="116"/>
      <c r="I1767" s="116"/>
      <c r="L1767" s="170">
        <v>44606</v>
      </c>
      <c r="M1767" s="116">
        <v>118.685</v>
      </c>
      <c r="N1767" s="116">
        <v>122.77500000000001</v>
      </c>
      <c r="O1767" s="116">
        <v>118.01</v>
      </c>
      <c r="P1767" s="116">
        <v>122.01</v>
      </c>
      <c r="Q1767" s="116">
        <v>1186.8499999999999</v>
      </c>
      <c r="R1767">
        <v>8021613</v>
      </c>
    </row>
    <row r="1768" spans="1:18" x14ac:dyDescent="0.25">
      <c r="A1768" s="170">
        <v>44607</v>
      </c>
      <c r="B1768" s="116">
        <v>121.2</v>
      </c>
      <c r="C1768" s="116">
        <v>120.755</v>
      </c>
      <c r="D1768" s="116">
        <v>115.155</v>
      </c>
      <c r="E1768" s="116">
        <v>119</v>
      </c>
      <c r="F1768" s="116">
        <v>1207.55</v>
      </c>
      <c r="G1768">
        <v>586179</v>
      </c>
      <c r="H1768" s="116"/>
      <c r="I1768" s="116"/>
      <c r="L1768" s="170">
        <v>44607</v>
      </c>
      <c r="M1768" s="116">
        <v>120.77500000000001</v>
      </c>
      <c r="N1768" s="116">
        <v>121.2</v>
      </c>
      <c r="O1768" s="116">
        <v>115.155</v>
      </c>
      <c r="P1768" s="116">
        <v>119.685</v>
      </c>
      <c r="Q1768" s="116">
        <v>1207.75</v>
      </c>
      <c r="R1768">
        <v>10188921</v>
      </c>
    </row>
    <row r="1769" spans="1:18" x14ac:dyDescent="0.25">
      <c r="A1769" s="170">
        <v>44608</v>
      </c>
      <c r="B1769" s="116">
        <v>121.8</v>
      </c>
      <c r="C1769" s="116">
        <v>119.205</v>
      </c>
      <c r="D1769" s="116">
        <v>118.7</v>
      </c>
      <c r="E1769" s="116">
        <v>121.1</v>
      </c>
      <c r="F1769" s="116">
        <v>1192.05</v>
      </c>
      <c r="G1769">
        <v>290938</v>
      </c>
      <c r="H1769" s="116"/>
      <c r="I1769" s="116"/>
      <c r="L1769" s="170">
        <v>44608</v>
      </c>
      <c r="M1769" s="116">
        <v>119.18</v>
      </c>
      <c r="N1769" s="116">
        <v>121.79</v>
      </c>
      <c r="O1769" s="116">
        <v>118.65</v>
      </c>
      <c r="P1769" s="116">
        <v>121.5</v>
      </c>
      <c r="Q1769" s="116">
        <v>1191.8</v>
      </c>
      <c r="R1769">
        <v>6609214</v>
      </c>
    </row>
    <row r="1770" spans="1:18" x14ac:dyDescent="0.25">
      <c r="A1770" s="170">
        <v>44609</v>
      </c>
      <c r="B1770" s="116">
        <v>120.955</v>
      </c>
      <c r="C1770" s="116">
        <v>119.05</v>
      </c>
      <c r="D1770" s="116">
        <v>118.63</v>
      </c>
      <c r="E1770" s="116">
        <v>120.27</v>
      </c>
      <c r="F1770" s="116">
        <v>1190.5</v>
      </c>
      <c r="G1770">
        <v>344602</v>
      </c>
      <c r="H1770" s="116"/>
      <c r="I1770" s="116"/>
      <c r="L1770" s="170">
        <v>44609</v>
      </c>
      <c r="M1770" s="116">
        <v>119.095</v>
      </c>
      <c r="N1770" s="116">
        <v>120.95</v>
      </c>
      <c r="O1770" s="116">
        <v>118.61499999999999</v>
      </c>
      <c r="P1770" s="116">
        <v>120.11</v>
      </c>
      <c r="Q1770" s="116">
        <v>1190.95</v>
      </c>
      <c r="R1770">
        <v>5655792</v>
      </c>
    </row>
    <row r="1771" spans="1:18" x14ac:dyDescent="0.25">
      <c r="A1771" s="170">
        <v>44610</v>
      </c>
      <c r="B1771" s="116">
        <v>120.5</v>
      </c>
      <c r="C1771" s="116">
        <v>119.08499999999999</v>
      </c>
      <c r="D1771" s="116">
        <v>118.265</v>
      </c>
      <c r="E1771" s="116">
        <v>118.5</v>
      </c>
      <c r="F1771" s="116">
        <v>1190.8499999999999</v>
      </c>
      <c r="G1771">
        <v>199149</v>
      </c>
      <c r="H1771" s="116"/>
      <c r="I1771" s="116"/>
      <c r="L1771" s="170">
        <v>44610</v>
      </c>
      <c r="M1771" s="116">
        <v>119.08</v>
      </c>
      <c r="N1771" s="116">
        <v>120.5</v>
      </c>
      <c r="O1771" s="116">
        <v>118.3</v>
      </c>
      <c r="P1771" s="116">
        <v>118.7</v>
      </c>
      <c r="Q1771" s="116">
        <v>1190.8</v>
      </c>
      <c r="R1771">
        <v>4725120</v>
      </c>
    </row>
    <row r="1772" spans="1:18" x14ac:dyDescent="0.25">
      <c r="A1772" s="170">
        <v>44613</v>
      </c>
      <c r="B1772" s="116">
        <v>120.2</v>
      </c>
      <c r="C1772" s="116">
        <v>118.15</v>
      </c>
      <c r="D1772" s="116">
        <v>117.455</v>
      </c>
      <c r="E1772" s="116">
        <v>118.62</v>
      </c>
      <c r="F1772" s="116">
        <v>1181.5</v>
      </c>
      <c r="G1772">
        <v>409535</v>
      </c>
      <c r="H1772" s="116"/>
      <c r="I1772" s="116"/>
      <c r="L1772" s="170">
        <v>44613</v>
      </c>
      <c r="M1772" s="116">
        <v>118.185</v>
      </c>
      <c r="N1772" s="116">
        <v>120.2</v>
      </c>
      <c r="O1772" s="116">
        <v>117.44</v>
      </c>
      <c r="P1772" s="116">
        <v>118.8</v>
      </c>
      <c r="Q1772" s="116">
        <v>1181.8499999999999</v>
      </c>
      <c r="R1772">
        <v>4978732</v>
      </c>
    </row>
    <row r="1773" spans="1:18" x14ac:dyDescent="0.25">
      <c r="A1773" s="170">
        <v>44614</v>
      </c>
      <c r="B1773" s="116">
        <v>116.62</v>
      </c>
      <c r="C1773" s="116">
        <v>113.845</v>
      </c>
      <c r="D1773" s="116">
        <v>111.94499999999999</v>
      </c>
      <c r="E1773" s="116">
        <v>115.505</v>
      </c>
      <c r="F1773" s="116">
        <v>1138.45</v>
      </c>
      <c r="G1773">
        <v>383940</v>
      </c>
      <c r="H1773" s="116"/>
      <c r="I1773" s="116"/>
      <c r="L1773" s="170">
        <v>44614</v>
      </c>
      <c r="M1773" s="116">
        <v>113.87</v>
      </c>
      <c r="N1773" s="116">
        <v>116.66500000000001</v>
      </c>
      <c r="O1773" s="116">
        <v>111.925</v>
      </c>
      <c r="P1773" s="116">
        <v>115.8</v>
      </c>
      <c r="Q1773" s="116">
        <v>1138.7</v>
      </c>
      <c r="R1773">
        <v>9385857</v>
      </c>
    </row>
    <row r="1774" spans="1:18" x14ac:dyDescent="0.25">
      <c r="A1774" s="170">
        <v>44615</v>
      </c>
      <c r="B1774" s="116">
        <v>115.22</v>
      </c>
      <c r="C1774" s="116">
        <v>113.88</v>
      </c>
      <c r="D1774" s="116">
        <v>113.435</v>
      </c>
      <c r="E1774" s="116">
        <v>114.98</v>
      </c>
      <c r="F1774" s="116">
        <v>1138.8</v>
      </c>
      <c r="G1774">
        <v>206261</v>
      </c>
      <c r="H1774" s="116"/>
      <c r="I1774" s="116"/>
      <c r="L1774" s="170">
        <v>44615</v>
      </c>
      <c r="M1774" s="116">
        <v>113.9</v>
      </c>
      <c r="N1774" s="116">
        <v>115.26</v>
      </c>
      <c r="O1774" s="116">
        <v>113.4</v>
      </c>
      <c r="P1774" s="116">
        <v>114.8</v>
      </c>
      <c r="Q1774" s="116">
        <v>1139</v>
      </c>
      <c r="R1774">
        <v>4960838</v>
      </c>
    </row>
    <row r="1775" spans="1:18" x14ac:dyDescent="0.25">
      <c r="A1775" s="170">
        <v>44616</v>
      </c>
      <c r="B1775" s="116">
        <v>111.94499999999999</v>
      </c>
      <c r="C1775" s="116">
        <v>107.495</v>
      </c>
      <c r="D1775" s="116">
        <v>106.8</v>
      </c>
      <c r="E1775" s="116">
        <v>109.5</v>
      </c>
      <c r="F1775" s="116">
        <v>1074.95</v>
      </c>
      <c r="G1775">
        <v>516821</v>
      </c>
      <c r="H1775" s="116"/>
      <c r="I1775" s="116"/>
      <c r="L1775" s="170">
        <v>44616</v>
      </c>
      <c r="M1775" s="116">
        <v>107.4</v>
      </c>
      <c r="N1775" s="116">
        <v>111.995</v>
      </c>
      <c r="O1775" s="116">
        <v>106.71</v>
      </c>
      <c r="P1775" s="116">
        <v>109.4</v>
      </c>
      <c r="Q1775" s="116">
        <v>1074</v>
      </c>
      <c r="R1775">
        <v>12126867</v>
      </c>
    </row>
    <row r="1776" spans="1:18" x14ac:dyDescent="0.25">
      <c r="A1776" s="170">
        <v>44617</v>
      </c>
      <c r="B1776" s="116">
        <v>115</v>
      </c>
      <c r="C1776" s="116">
        <v>114.52</v>
      </c>
      <c r="D1776" s="116">
        <v>109.13</v>
      </c>
      <c r="E1776" s="116">
        <v>109.13</v>
      </c>
      <c r="F1776" s="116">
        <v>1145.2</v>
      </c>
      <c r="G1776">
        <v>611567</v>
      </c>
      <c r="H1776" s="116"/>
      <c r="I1776" s="116"/>
      <c r="L1776" s="170">
        <v>44617</v>
      </c>
      <c r="M1776" s="116">
        <v>114.535</v>
      </c>
      <c r="N1776" s="116">
        <v>115.07</v>
      </c>
      <c r="O1776" s="116">
        <v>109.56</v>
      </c>
      <c r="P1776" s="116">
        <v>109.77</v>
      </c>
      <c r="Q1776" s="116">
        <v>1145.3499999999999</v>
      </c>
      <c r="R1776">
        <v>9212886</v>
      </c>
    </row>
    <row r="1777" spans="1:18" x14ac:dyDescent="0.25">
      <c r="A1777" s="170">
        <v>44620</v>
      </c>
      <c r="B1777" s="116">
        <v>122.5</v>
      </c>
      <c r="C1777" s="116">
        <v>122.09</v>
      </c>
      <c r="D1777" s="116">
        <v>113.005</v>
      </c>
      <c r="E1777" s="116">
        <v>113.8</v>
      </c>
      <c r="F1777" s="116">
        <v>1220.9000000000001</v>
      </c>
      <c r="G1777">
        <v>744142</v>
      </c>
      <c r="H1777" s="116"/>
      <c r="I1777" s="116"/>
      <c r="L1777" s="170">
        <v>44620</v>
      </c>
      <c r="M1777" s="116">
        <v>122.075</v>
      </c>
      <c r="N1777" s="116">
        <v>122.5</v>
      </c>
      <c r="O1777" s="116">
        <v>112.92</v>
      </c>
      <c r="P1777" s="116">
        <v>113.4</v>
      </c>
      <c r="Q1777" s="116">
        <v>1220.75</v>
      </c>
      <c r="R1777">
        <v>17605446</v>
      </c>
    </row>
    <row r="1778" spans="1:18" x14ac:dyDescent="0.25">
      <c r="A1778" s="170">
        <v>44622</v>
      </c>
      <c r="B1778" s="116">
        <v>129.97</v>
      </c>
      <c r="C1778" s="116">
        <v>128.85</v>
      </c>
      <c r="D1778" s="116">
        <v>120.8</v>
      </c>
      <c r="E1778" s="116">
        <v>120.8</v>
      </c>
      <c r="F1778" s="116">
        <v>1288.5</v>
      </c>
      <c r="G1778">
        <v>1982073</v>
      </c>
      <c r="H1778" s="116"/>
      <c r="I1778" s="116"/>
      <c r="L1778" s="170">
        <v>44622</v>
      </c>
      <c r="M1778" s="116">
        <v>128.935</v>
      </c>
      <c r="N1778" s="116">
        <v>129.96</v>
      </c>
      <c r="O1778" s="116">
        <v>121.855</v>
      </c>
      <c r="P1778" s="116">
        <v>122.075</v>
      </c>
      <c r="Q1778" s="116">
        <v>1289.3499999999999</v>
      </c>
      <c r="R1778">
        <v>24847532</v>
      </c>
    </row>
    <row r="1779" spans="1:18" x14ac:dyDescent="0.25">
      <c r="A1779" s="170">
        <v>44623</v>
      </c>
      <c r="B1779" s="116">
        <v>132.81</v>
      </c>
      <c r="C1779" s="116">
        <v>130.315</v>
      </c>
      <c r="D1779" s="116">
        <v>129.38499999999999</v>
      </c>
      <c r="E1779" s="116">
        <v>130.5</v>
      </c>
      <c r="F1779" s="116">
        <v>1303.1500000000001</v>
      </c>
      <c r="G1779">
        <v>712074</v>
      </c>
      <c r="H1779" s="116"/>
      <c r="I1779" s="116"/>
      <c r="L1779" s="170">
        <v>44623</v>
      </c>
      <c r="M1779" s="116">
        <v>130.33000000000001</v>
      </c>
      <c r="N1779" s="116">
        <v>132.86500000000001</v>
      </c>
      <c r="O1779" s="116">
        <v>129.36500000000001</v>
      </c>
      <c r="P1779" s="116">
        <v>130.6</v>
      </c>
      <c r="Q1779" s="116">
        <v>1303.3</v>
      </c>
      <c r="R1779">
        <v>17450338</v>
      </c>
    </row>
    <row r="1780" spans="1:18" x14ac:dyDescent="0.25">
      <c r="A1780" s="170">
        <v>44624</v>
      </c>
      <c r="B1780" s="116">
        <v>132</v>
      </c>
      <c r="C1780" s="116">
        <v>127.74</v>
      </c>
      <c r="D1780" s="116">
        <v>127.35</v>
      </c>
      <c r="E1780" s="116">
        <v>130.30000000000001</v>
      </c>
      <c r="F1780" s="116">
        <v>1277.4000000000001</v>
      </c>
      <c r="G1780">
        <v>719184</v>
      </c>
      <c r="H1780" s="116"/>
      <c r="I1780" s="116"/>
      <c r="L1780" s="170">
        <v>44624</v>
      </c>
      <c r="M1780" s="116">
        <v>127.71</v>
      </c>
      <c r="N1780" s="116">
        <v>131.98500000000001</v>
      </c>
      <c r="O1780" s="116">
        <v>127.3</v>
      </c>
      <c r="P1780" s="116">
        <v>130.24</v>
      </c>
      <c r="Q1780" s="116">
        <v>1277.0999999999999</v>
      </c>
      <c r="R1780">
        <v>16282923</v>
      </c>
    </row>
    <row r="1781" spans="1:18" x14ac:dyDescent="0.25">
      <c r="A1781" s="170">
        <v>44627</v>
      </c>
      <c r="B1781" s="116">
        <v>130.16999999999999</v>
      </c>
      <c r="C1781" s="116">
        <v>129.17500000000001</v>
      </c>
      <c r="D1781" s="116">
        <v>126.38500000000001</v>
      </c>
      <c r="E1781" s="116">
        <v>127.8</v>
      </c>
      <c r="F1781" s="116">
        <v>1291.75</v>
      </c>
      <c r="G1781">
        <v>1263781</v>
      </c>
      <c r="H1781" s="116"/>
      <c r="I1781" s="116"/>
      <c r="L1781" s="170">
        <v>44627</v>
      </c>
      <c r="M1781" s="116">
        <v>129.19</v>
      </c>
      <c r="N1781" s="116">
        <v>130.18</v>
      </c>
      <c r="O1781" s="116">
        <v>126.4</v>
      </c>
      <c r="P1781" s="116">
        <v>127.59</v>
      </c>
      <c r="Q1781" s="116">
        <v>1291.9000000000001</v>
      </c>
      <c r="R1781">
        <v>11040001</v>
      </c>
    </row>
    <row r="1782" spans="1:18" x14ac:dyDescent="0.25">
      <c r="A1782" s="170">
        <v>44628</v>
      </c>
      <c r="B1782" s="116">
        <v>129.69999999999999</v>
      </c>
      <c r="C1782" s="116">
        <v>126.935</v>
      </c>
      <c r="D1782" s="116">
        <v>124.45</v>
      </c>
      <c r="E1782" s="116">
        <v>129.69999999999999</v>
      </c>
      <c r="F1782" s="116">
        <v>1269.3499999999999</v>
      </c>
      <c r="G1782">
        <v>720326</v>
      </c>
      <c r="H1782" s="116"/>
      <c r="I1782" s="116"/>
      <c r="L1782" s="170">
        <v>44628</v>
      </c>
      <c r="M1782" s="116">
        <v>126.95</v>
      </c>
      <c r="N1782" s="116">
        <v>129.4</v>
      </c>
      <c r="O1782" s="116">
        <v>124.4</v>
      </c>
      <c r="P1782" s="116">
        <v>129.30000000000001</v>
      </c>
      <c r="Q1782" s="116">
        <v>1269.5</v>
      </c>
      <c r="R1782">
        <v>9107822</v>
      </c>
    </row>
    <row r="1783" spans="1:18" x14ac:dyDescent="0.25">
      <c r="A1783" s="170">
        <v>44629</v>
      </c>
      <c r="B1783" s="116">
        <v>127.655</v>
      </c>
      <c r="C1783" s="116">
        <v>125.48</v>
      </c>
      <c r="D1783" s="116">
        <v>124.845</v>
      </c>
      <c r="E1783" s="116">
        <v>127.22</v>
      </c>
      <c r="F1783" s="116">
        <v>1254.8</v>
      </c>
      <c r="G1783">
        <v>415041</v>
      </c>
      <c r="H1783" s="116"/>
      <c r="I1783" s="116"/>
      <c r="L1783" s="170">
        <v>44629</v>
      </c>
      <c r="M1783" s="116">
        <v>125.535</v>
      </c>
      <c r="N1783" s="116">
        <v>127.68</v>
      </c>
      <c r="O1783" s="116">
        <v>124.86</v>
      </c>
      <c r="P1783" s="116">
        <v>127.39</v>
      </c>
      <c r="Q1783" s="116">
        <v>1255.3499999999999</v>
      </c>
      <c r="R1783">
        <v>6934888</v>
      </c>
    </row>
    <row r="1784" spans="1:18" x14ac:dyDescent="0.25">
      <c r="A1784" s="170">
        <v>44630</v>
      </c>
      <c r="B1784" s="116">
        <v>131.38</v>
      </c>
      <c r="C1784" s="116">
        <v>130.84</v>
      </c>
      <c r="D1784" s="116">
        <v>124.12</v>
      </c>
      <c r="E1784" s="116">
        <v>126.37</v>
      </c>
      <c r="F1784" s="116">
        <v>1308.4000000000001</v>
      </c>
      <c r="G1784">
        <v>531413</v>
      </c>
      <c r="H1784" s="116"/>
      <c r="I1784" s="116"/>
      <c r="L1784" s="170">
        <v>44630</v>
      </c>
      <c r="M1784" s="116">
        <v>130.87</v>
      </c>
      <c r="N1784" s="116">
        <v>131.38</v>
      </c>
      <c r="O1784" s="116">
        <v>124.1</v>
      </c>
      <c r="P1784" s="116">
        <v>125.785</v>
      </c>
      <c r="Q1784" s="116">
        <v>1308.7</v>
      </c>
      <c r="R1784">
        <v>13674062</v>
      </c>
    </row>
    <row r="1785" spans="1:18" x14ac:dyDescent="0.25">
      <c r="A1785" s="170">
        <v>44631</v>
      </c>
      <c r="B1785" s="116">
        <v>133.97</v>
      </c>
      <c r="C1785" s="116">
        <v>130.14500000000001</v>
      </c>
      <c r="D1785" s="116">
        <v>129.65</v>
      </c>
      <c r="E1785" s="116">
        <v>131.25</v>
      </c>
      <c r="F1785" s="116">
        <v>1301.45</v>
      </c>
      <c r="G1785">
        <v>1092484</v>
      </c>
      <c r="H1785" s="116"/>
      <c r="I1785" s="116"/>
      <c r="L1785" s="170">
        <v>44631</v>
      </c>
      <c r="M1785" s="116">
        <v>130.16999999999999</v>
      </c>
      <c r="N1785" s="116">
        <v>133.99</v>
      </c>
      <c r="O1785" s="116">
        <v>129.62</v>
      </c>
      <c r="P1785" s="116">
        <v>131.5</v>
      </c>
      <c r="Q1785" s="116">
        <v>1301.7</v>
      </c>
      <c r="R1785">
        <v>11882299</v>
      </c>
    </row>
    <row r="1786" spans="1:18" x14ac:dyDescent="0.25">
      <c r="A1786" s="170">
        <v>44634</v>
      </c>
      <c r="B1786" s="116">
        <v>131.18</v>
      </c>
      <c r="C1786" s="116">
        <v>129.71</v>
      </c>
      <c r="D1786" s="116">
        <v>127.86</v>
      </c>
      <c r="E1786" s="116">
        <v>130.77500000000001</v>
      </c>
      <c r="F1786" s="116">
        <v>1297.0999999999999</v>
      </c>
      <c r="G1786">
        <v>245627</v>
      </c>
      <c r="H1786" s="116"/>
      <c r="I1786" s="116"/>
      <c r="L1786" s="170">
        <v>44634</v>
      </c>
      <c r="M1786" s="116">
        <v>129.69999999999999</v>
      </c>
      <c r="N1786" s="116">
        <v>131.16999999999999</v>
      </c>
      <c r="O1786" s="116">
        <v>127.77</v>
      </c>
      <c r="P1786" s="116">
        <v>130.5</v>
      </c>
      <c r="Q1786" s="116">
        <v>1297</v>
      </c>
      <c r="R1786">
        <v>5278082</v>
      </c>
    </row>
    <row r="1787" spans="1:18" x14ac:dyDescent="0.25">
      <c r="A1787" s="170">
        <v>44635</v>
      </c>
      <c r="B1787" s="116">
        <v>129.4</v>
      </c>
      <c r="C1787" s="116">
        <v>123.36499999999999</v>
      </c>
      <c r="D1787" s="116">
        <v>122.845</v>
      </c>
      <c r="E1787" s="116">
        <v>129.4</v>
      </c>
      <c r="F1787" s="116">
        <v>1233.6500000000001</v>
      </c>
      <c r="G1787">
        <v>480590</v>
      </c>
      <c r="H1787" s="116"/>
      <c r="I1787" s="116"/>
      <c r="L1787" s="170">
        <v>44635</v>
      </c>
      <c r="M1787" s="116">
        <v>123.375</v>
      </c>
      <c r="N1787" s="116">
        <v>129.30000000000001</v>
      </c>
      <c r="O1787" s="116">
        <v>122.8</v>
      </c>
      <c r="P1787" s="116">
        <v>129.18</v>
      </c>
      <c r="Q1787" s="116">
        <v>1233.75</v>
      </c>
      <c r="R1787">
        <v>9614313</v>
      </c>
    </row>
    <row r="1788" spans="1:18" x14ac:dyDescent="0.25">
      <c r="A1788" s="170">
        <v>44636</v>
      </c>
      <c r="B1788" s="116">
        <v>127.1</v>
      </c>
      <c r="C1788" s="116">
        <v>126.52</v>
      </c>
      <c r="D1788" s="116">
        <v>124.005</v>
      </c>
      <c r="E1788" s="116">
        <v>124.59</v>
      </c>
      <c r="F1788" s="116">
        <v>1265.2</v>
      </c>
      <c r="G1788">
        <v>245731</v>
      </c>
      <c r="H1788" s="116"/>
      <c r="I1788" s="116"/>
      <c r="L1788" s="170">
        <v>44636</v>
      </c>
      <c r="M1788" s="116">
        <v>126.52500000000001</v>
      </c>
      <c r="N1788" s="116">
        <v>127.12</v>
      </c>
      <c r="O1788" s="116">
        <v>124.02</v>
      </c>
      <c r="P1788" s="116">
        <v>124.5</v>
      </c>
      <c r="Q1788" s="116">
        <v>1265.25</v>
      </c>
      <c r="R1788">
        <v>6302451</v>
      </c>
    </row>
    <row r="1789" spans="1:18" x14ac:dyDescent="0.25">
      <c r="A1789" s="170">
        <v>44637</v>
      </c>
      <c r="B1789" s="116">
        <v>131.77000000000001</v>
      </c>
      <c r="C1789" s="116">
        <v>130.33500000000001</v>
      </c>
      <c r="D1789" s="116">
        <v>127.005</v>
      </c>
      <c r="E1789" s="116">
        <v>127.005</v>
      </c>
      <c r="F1789" s="116">
        <v>1303.3499999999999</v>
      </c>
      <c r="G1789">
        <v>451805</v>
      </c>
      <c r="H1789" s="116"/>
      <c r="I1789" s="116"/>
      <c r="L1789" s="170">
        <v>44637</v>
      </c>
      <c r="M1789" s="116">
        <v>130.345</v>
      </c>
      <c r="N1789" s="116">
        <v>131.78</v>
      </c>
      <c r="O1789" s="116">
        <v>127.11</v>
      </c>
      <c r="P1789" s="116">
        <v>127.5</v>
      </c>
      <c r="Q1789" s="116">
        <v>1303.45</v>
      </c>
      <c r="R1789">
        <v>10623976</v>
      </c>
    </row>
    <row r="1790" spans="1:18" x14ac:dyDescent="0.25">
      <c r="A1790" s="170">
        <v>44641</v>
      </c>
      <c r="B1790" s="116">
        <v>133.4</v>
      </c>
      <c r="C1790" s="116">
        <v>130.22499999999999</v>
      </c>
      <c r="D1790" s="116">
        <v>129.505</v>
      </c>
      <c r="E1790" s="116">
        <v>131.80000000000001</v>
      </c>
      <c r="F1790" s="116">
        <v>1302.25</v>
      </c>
      <c r="G1790">
        <v>350101</v>
      </c>
      <c r="H1790" s="116"/>
      <c r="I1790" s="116"/>
      <c r="L1790" s="170">
        <v>44641</v>
      </c>
      <c r="M1790" s="116">
        <v>130.29499999999999</v>
      </c>
      <c r="N1790" s="116">
        <v>133.4</v>
      </c>
      <c r="O1790" s="116">
        <v>129.44999999999999</v>
      </c>
      <c r="P1790" s="116">
        <v>130.80000000000001</v>
      </c>
      <c r="Q1790" s="116">
        <v>1302.95</v>
      </c>
      <c r="R1790">
        <v>8422763</v>
      </c>
    </row>
    <row r="1791" spans="1:18" x14ac:dyDescent="0.25">
      <c r="A1791" s="170">
        <v>44642</v>
      </c>
      <c r="B1791" s="116">
        <v>133</v>
      </c>
      <c r="C1791" s="116">
        <v>130.245</v>
      </c>
      <c r="D1791" s="116">
        <v>128.80000000000001</v>
      </c>
      <c r="E1791" s="116">
        <v>131.5</v>
      </c>
      <c r="F1791" s="116">
        <v>1302.45</v>
      </c>
      <c r="G1791">
        <v>325972</v>
      </c>
      <c r="H1791" s="116"/>
      <c r="I1791" s="116"/>
      <c r="L1791" s="170">
        <v>44642</v>
      </c>
      <c r="M1791" s="116">
        <v>130.19999999999999</v>
      </c>
      <c r="N1791" s="116">
        <v>133</v>
      </c>
      <c r="O1791" s="116">
        <v>128.80500000000001</v>
      </c>
      <c r="P1791" s="116">
        <v>132</v>
      </c>
      <c r="Q1791" s="116">
        <v>1302</v>
      </c>
      <c r="R1791">
        <v>8179588</v>
      </c>
    </row>
    <row r="1792" spans="1:18" x14ac:dyDescent="0.25">
      <c r="A1792" s="170">
        <v>44643</v>
      </c>
      <c r="B1792" s="116">
        <v>134.74</v>
      </c>
      <c r="C1792" s="116">
        <v>133.05000000000001</v>
      </c>
      <c r="D1792" s="116">
        <v>129.22</v>
      </c>
      <c r="E1792" s="116">
        <v>132.25</v>
      </c>
      <c r="F1792" s="116">
        <v>1330.5</v>
      </c>
      <c r="G1792">
        <v>913956</v>
      </c>
      <c r="H1792" s="116"/>
      <c r="I1792" s="116"/>
      <c r="L1792" s="170">
        <v>44643</v>
      </c>
      <c r="M1792" s="116">
        <v>133.1</v>
      </c>
      <c r="N1792" s="116">
        <v>134.78</v>
      </c>
      <c r="O1792" s="116">
        <v>129.23500000000001</v>
      </c>
      <c r="P1792" s="116">
        <v>132.4</v>
      </c>
      <c r="Q1792" s="116">
        <v>1331</v>
      </c>
      <c r="R1792">
        <v>13055238</v>
      </c>
    </row>
    <row r="1793" spans="1:18" x14ac:dyDescent="0.25">
      <c r="A1793" s="170">
        <v>44644</v>
      </c>
      <c r="B1793" s="116">
        <v>135.92500000000001</v>
      </c>
      <c r="C1793" s="116">
        <v>135.02000000000001</v>
      </c>
      <c r="D1793" s="116">
        <v>132.57499999999999</v>
      </c>
      <c r="E1793" s="116">
        <v>133</v>
      </c>
      <c r="F1793" s="116">
        <v>1350.2</v>
      </c>
      <c r="G1793">
        <v>417056</v>
      </c>
      <c r="H1793" s="116"/>
      <c r="I1793" s="116"/>
      <c r="L1793" s="170">
        <v>44644</v>
      </c>
      <c r="M1793" s="116">
        <v>135.05500000000001</v>
      </c>
      <c r="N1793" s="116">
        <v>135.94999999999999</v>
      </c>
      <c r="O1793" s="116">
        <v>132.595</v>
      </c>
      <c r="P1793" s="116">
        <v>133.095</v>
      </c>
      <c r="Q1793" s="116">
        <v>1350.55</v>
      </c>
      <c r="R1793">
        <v>9460527</v>
      </c>
    </row>
    <row r="1794" spans="1:18" x14ac:dyDescent="0.25">
      <c r="A1794" s="170">
        <v>44645</v>
      </c>
      <c r="B1794" s="116">
        <v>136.62</v>
      </c>
      <c r="C1794" s="116">
        <v>133.88499999999999</v>
      </c>
      <c r="D1794" s="116">
        <v>133.41499999999999</v>
      </c>
      <c r="E1794" s="116">
        <v>135.4</v>
      </c>
      <c r="F1794" s="116">
        <v>1338.85</v>
      </c>
      <c r="G1794">
        <v>306832</v>
      </c>
      <c r="H1794" s="116"/>
      <c r="I1794" s="116"/>
      <c r="L1794" s="170">
        <v>44645</v>
      </c>
      <c r="M1794" s="116">
        <v>133.89500000000001</v>
      </c>
      <c r="N1794" s="116">
        <v>136.6</v>
      </c>
      <c r="O1794" s="116">
        <v>133.35499999999999</v>
      </c>
      <c r="P1794" s="116">
        <v>135.49</v>
      </c>
      <c r="Q1794" s="116">
        <v>1338.95</v>
      </c>
      <c r="R1794">
        <v>6945744</v>
      </c>
    </row>
    <row r="1795" spans="1:18" x14ac:dyDescent="0.25">
      <c r="A1795" s="170">
        <v>44648</v>
      </c>
      <c r="B1795" s="116">
        <v>135.5</v>
      </c>
      <c r="C1795" s="116">
        <v>133.9</v>
      </c>
      <c r="D1795" s="116">
        <v>132.80500000000001</v>
      </c>
      <c r="E1795" s="116">
        <v>133.69999999999999</v>
      </c>
      <c r="F1795" s="116">
        <v>1339</v>
      </c>
      <c r="G1795">
        <v>205126</v>
      </c>
      <c r="H1795" s="116"/>
      <c r="I1795" s="116"/>
      <c r="L1795" s="170">
        <v>44648</v>
      </c>
      <c r="M1795" s="116">
        <v>133.89500000000001</v>
      </c>
      <c r="N1795" s="116">
        <v>135.5</v>
      </c>
      <c r="O1795" s="116">
        <v>132.76</v>
      </c>
      <c r="P1795" s="116">
        <v>134</v>
      </c>
      <c r="Q1795" s="116">
        <v>1338.95</v>
      </c>
      <c r="R1795">
        <v>4655491</v>
      </c>
    </row>
    <row r="1796" spans="1:18" x14ac:dyDescent="0.25">
      <c r="A1796" s="170">
        <v>44649</v>
      </c>
      <c r="B1796" s="116">
        <v>134.80000000000001</v>
      </c>
      <c r="C1796" s="116">
        <v>133.44</v>
      </c>
      <c r="D1796" s="116">
        <v>132.68</v>
      </c>
      <c r="E1796" s="116">
        <v>134.11000000000001</v>
      </c>
      <c r="F1796" s="116">
        <v>1334.4</v>
      </c>
      <c r="G1796">
        <v>260505</v>
      </c>
      <c r="H1796" s="116"/>
      <c r="I1796" s="116"/>
      <c r="L1796" s="170">
        <v>44649</v>
      </c>
      <c r="M1796" s="116">
        <v>133.465</v>
      </c>
      <c r="N1796" s="116">
        <v>134.61500000000001</v>
      </c>
      <c r="O1796" s="116">
        <v>132.69999999999999</v>
      </c>
      <c r="P1796" s="116">
        <v>134.4</v>
      </c>
      <c r="Q1796" s="116">
        <v>1334.65</v>
      </c>
      <c r="R1796">
        <v>4320237</v>
      </c>
    </row>
    <row r="1797" spans="1:18" x14ac:dyDescent="0.25">
      <c r="A1797" s="170">
        <v>44650</v>
      </c>
      <c r="B1797" s="116">
        <v>133.595</v>
      </c>
      <c r="C1797" s="116">
        <v>130.79499999999999</v>
      </c>
      <c r="D1797" s="116">
        <v>130.01</v>
      </c>
      <c r="E1797" s="116">
        <v>133.5</v>
      </c>
      <c r="F1797" s="116">
        <v>1307.95</v>
      </c>
      <c r="G1797">
        <v>237301</v>
      </c>
      <c r="H1797" s="116"/>
      <c r="I1797" s="116"/>
      <c r="L1797" s="170">
        <v>44650</v>
      </c>
      <c r="M1797" s="116">
        <v>130.80500000000001</v>
      </c>
      <c r="N1797" s="116">
        <v>133.55500000000001</v>
      </c>
      <c r="O1797" s="116">
        <v>130</v>
      </c>
      <c r="P1797" s="116">
        <v>133.5</v>
      </c>
      <c r="Q1797" s="116">
        <v>1308.05</v>
      </c>
      <c r="R1797">
        <v>5848316</v>
      </c>
    </row>
    <row r="1798" spans="1:18" x14ac:dyDescent="0.25">
      <c r="A1798" s="170">
        <v>44651</v>
      </c>
      <c r="B1798" s="116">
        <v>132.04499999999999</v>
      </c>
      <c r="C1798" s="116">
        <v>130.70500000000001</v>
      </c>
      <c r="D1798" s="116">
        <v>129.94999999999999</v>
      </c>
      <c r="E1798" s="116">
        <v>130.79499999999999</v>
      </c>
      <c r="F1798" s="116">
        <v>1307.05</v>
      </c>
      <c r="G1798">
        <v>167212</v>
      </c>
      <c r="H1798" s="116"/>
      <c r="I1798" s="116"/>
      <c r="L1798" s="170">
        <v>44651</v>
      </c>
      <c r="M1798" s="116">
        <v>130.72</v>
      </c>
      <c r="N1798" s="116">
        <v>132.04499999999999</v>
      </c>
      <c r="O1798" s="116">
        <v>130.01</v>
      </c>
      <c r="P1798" s="116">
        <v>130.80000000000001</v>
      </c>
      <c r="Q1798" s="116">
        <v>1307.2</v>
      </c>
      <c r="R1798">
        <v>4006795</v>
      </c>
    </row>
    <row r="1799" spans="1:18" x14ac:dyDescent="0.25">
      <c r="A1799" s="170">
        <v>44652</v>
      </c>
      <c r="B1799" s="116">
        <v>134.095</v>
      </c>
      <c r="C1799" s="116">
        <v>131.61500000000001</v>
      </c>
      <c r="D1799" s="116">
        <v>130.57499999999999</v>
      </c>
      <c r="E1799" s="116">
        <v>131.02000000000001</v>
      </c>
      <c r="F1799" s="116">
        <v>1316.15</v>
      </c>
      <c r="G1799">
        <v>241380</v>
      </c>
      <c r="H1799" s="116"/>
      <c r="I1799" s="116"/>
      <c r="L1799" s="170">
        <v>44652</v>
      </c>
      <c r="M1799" s="116">
        <v>131.71</v>
      </c>
      <c r="N1799" s="116">
        <v>134.09</v>
      </c>
      <c r="O1799" s="116">
        <v>130.54499999999999</v>
      </c>
      <c r="P1799" s="116">
        <v>131</v>
      </c>
      <c r="Q1799" s="116">
        <v>1317.1</v>
      </c>
      <c r="R1799">
        <v>5532159</v>
      </c>
    </row>
    <row r="1800" spans="1:18" x14ac:dyDescent="0.25">
      <c r="A1800" s="170">
        <v>44655</v>
      </c>
      <c r="B1800" s="116">
        <v>135.38999999999999</v>
      </c>
      <c r="C1800" s="116">
        <v>133.94499999999999</v>
      </c>
      <c r="D1800" s="116">
        <v>131.6</v>
      </c>
      <c r="E1800" s="116">
        <v>131.71</v>
      </c>
      <c r="F1800" s="116">
        <v>1339.45</v>
      </c>
      <c r="G1800">
        <v>344548</v>
      </c>
      <c r="H1800" s="116"/>
      <c r="I1800" s="116"/>
      <c r="L1800" s="170">
        <v>44655</v>
      </c>
      <c r="M1800" s="116">
        <v>134.19</v>
      </c>
      <c r="N1800" s="116">
        <v>135.4</v>
      </c>
      <c r="O1800" s="116">
        <v>131.44499999999999</v>
      </c>
      <c r="P1800" s="116">
        <v>131.71</v>
      </c>
      <c r="Q1800" s="116">
        <v>1341.9</v>
      </c>
      <c r="R1800">
        <v>6967032</v>
      </c>
    </row>
    <row r="1801" spans="1:18" x14ac:dyDescent="0.25">
      <c r="A1801" s="170">
        <v>44656</v>
      </c>
      <c r="B1801" s="116">
        <v>135.80000000000001</v>
      </c>
      <c r="C1801" s="116">
        <v>134.49</v>
      </c>
      <c r="D1801" s="116">
        <v>132.94</v>
      </c>
      <c r="E1801" s="116">
        <v>135.18</v>
      </c>
      <c r="F1801" s="116">
        <v>1344.9</v>
      </c>
      <c r="G1801">
        <v>323900</v>
      </c>
      <c r="H1801" s="116"/>
      <c r="I1801" s="116"/>
      <c r="L1801" s="170">
        <v>44656</v>
      </c>
      <c r="M1801" s="116">
        <v>134.49</v>
      </c>
      <c r="N1801" s="116">
        <v>135.80000000000001</v>
      </c>
      <c r="O1801" s="116">
        <v>132.92500000000001</v>
      </c>
      <c r="P1801" s="116">
        <v>134.845</v>
      </c>
      <c r="Q1801" s="116">
        <v>1344.9</v>
      </c>
      <c r="R1801">
        <v>6329642</v>
      </c>
    </row>
    <row r="1802" spans="1:18" x14ac:dyDescent="0.25">
      <c r="A1802" s="170">
        <v>44657</v>
      </c>
      <c r="B1802" s="116">
        <v>138.625</v>
      </c>
      <c r="C1802" s="116">
        <v>137.1</v>
      </c>
      <c r="D1802" s="116">
        <v>134.49</v>
      </c>
      <c r="E1802" s="116">
        <v>135.19999999999999</v>
      </c>
      <c r="F1802" s="116">
        <v>1371</v>
      </c>
      <c r="G1802">
        <v>949495</v>
      </c>
      <c r="H1802" s="116"/>
      <c r="I1802" s="116"/>
      <c r="L1802" s="170">
        <v>44657</v>
      </c>
      <c r="M1802" s="116">
        <v>137.07499999999999</v>
      </c>
      <c r="N1802" s="116">
        <v>138.66999999999999</v>
      </c>
      <c r="O1802" s="116">
        <v>134.68</v>
      </c>
      <c r="P1802" s="116">
        <v>135</v>
      </c>
      <c r="Q1802" s="116">
        <v>1370.75</v>
      </c>
      <c r="R1802">
        <v>11409754</v>
      </c>
    </row>
    <row r="1803" spans="1:18" x14ac:dyDescent="0.25">
      <c r="A1803" s="170">
        <v>44658</v>
      </c>
      <c r="B1803" s="116">
        <v>138.20500000000001</v>
      </c>
      <c r="C1803" s="116">
        <v>134.94</v>
      </c>
      <c r="D1803" s="116">
        <v>134.125</v>
      </c>
      <c r="E1803" s="116">
        <v>137.4</v>
      </c>
      <c r="F1803" s="116">
        <v>1349.4</v>
      </c>
      <c r="G1803">
        <v>468582</v>
      </c>
      <c r="H1803" s="116"/>
      <c r="I1803" s="116"/>
      <c r="L1803" s="170">
        <v>44658</v>
      </c>
      <c r="M1803" s="116">
        <v>134.94999999999999</v>
      </c>
      <c r="N1803" s="116">
        <v>138.1</v>
      </c>
      <c r="O1803" s="116">
        <v>134.1</v>
      </c>
      <c r="P1803" s="116">
        <v>137.69999999999999</v>
      </c>
      <c r="Q1803" s="116">
        <v>1349.5</v>
      </c>
      <c r="R1803">
        <v>5565064</v>
      </c>
    </row>
    <row r="1804" spans="1:18" x14ac:dyDescent="0.25">
      <c r="A1804" s="170">
        <v>44659</v>
      </c>
      <c r="B1804" s="116">
        <v>137.97</v>
      </c>
      <c r="C1804" s="116">
        <v>137.11000000000001</v>
      </c>
      <c r="D1804" s="116">
        <v>135.68</v>
      </c>
      <c r="E1804" s="116">
        <v>135.69999999999999</v>
      </c>
      <c r="F1804" s="116">
        <v>1371.1</v>
      </c>
      <c r="G1804">
        <v>326122</v>
      </c>
      <c r="H1804" s="116"/>
      <c r="I1804" s="116"/>
      <c r="L1804" s="170">
        <v>44659</v>
      </c>
      <c r="M1804" s="116">
        <v>137.07499999999999</v>
      </c>
      <c r="N1804" s="116">
        <v>137.995</v>
      </c>
      <c r="O1804" s="116">
        <v>135.625</v>
      </c>
      <c r="P1804" s="116">
        <v>136.095</v>
      </c>
      <c r="Q1804" s="116">
        <v>1370.75</v>
      </c>
      <c r="R1804">
        <v>5228771</v>
      </c>
    </row>
    <row r="1805" spans="1:18" x14ac:dyDescent="0.25">
      <c r="A1805" s="170">
        <v>44662</v>
      </c>
      <c r="B1805" s="116">
        <v>138.38499999999999</v>
      </c>
      <c r="C1805" s="116">
        <v>135.80000000000001</v>
      </c>
      <c r="D1805" s="116">
        <v>135.5</v>
      </c>
      <c r="E1805" s="116">
        <v>137</v>
      </c>
      <c r="F1805" s="116">
        <v>1358</v>
      </c>
      <c r="G1805">
        <v>331490</v>
      </c>
      <c r="H1805" s="116"/>
      <c r="I1805" s="116"/>
      <c r="L1805" s="170">
        <v>44662</v>
      </c>
      <c r="M1805" s="116">
        <v>135.79</v>
      </c>
      <c r="N1805" s="116">
        <v>138.4</v>
      </c>
      <c r="O1805" s="116">
        <v>135.30000000000001</v>
      </c>
      <c r="P1805" s="116">
        <v>137.07</v>
      </c>
      <c r="Q1805" s="116">
        <v>1357.9</v>
      </c>
      <c r="R1805">
        <v>4477882</v>
      </c>
    </row>
    <row r="1806" spans="1:18" x14ac:dyDescent="0.25">
      <c r="A1806" s="170">
        <v>44663</v>
      </c>
      <c r="B1806" s="116">
        <v>135.95500000000001</v>
      </c>
      <c r="C1806" s="116">
        <v>132.05500000000001</v>
      </c>
      <c r="D1806" s="116">
        <v>129.655</v>
      </c>
      <c r="E1806" s="116">
        <v>135.5</v>
      </c>
      <c r="F1806" s="116">
        <v>1320.55</v>
      </c>
      <c r="G1806">
        <v>538554</v>
      </c>
      <c r="H1806" s="116"/>
      <c r="I1806" s="116"/>
      <c r="L1806" s="170">
        <v>44663</v>
      </c>
      <c r="M1806" s="116">
        <v>132.02500000000001</v>
      </c>
      <c r="N1806" s="116">
        <v>135.995</v>
      </c>
      <c r="O1806" s="116">
        <v>129.61000000000001</v>
      </c>
      <c r="P1806" s="116">
        <v>135.30000000000001</v>
      </c>
      <c r="Q1806" s="116">
        <v>1320.25</v>
      </c>
      <c r="R1806">
        <v>6919168</v>
      </c>
    </row>
    <row r="1807" spans="1:18" x14ac:dyDescent="0.25">
      <c r="A1807" s="170">
        <v>44664</v>
      </c>
      <c r="B1807" s="116">
        <v>134.6</v>
      </c>
      <c r="C1807" s="116">
        <v>131.92500000000001</v>
      </c>
      <c r="D1807" s="116">
        <v>131.5</v>
      </c>
      <c r="E1807" s="116">
        <v>133.88</v>
      </c>
      <c r="F1807" s="116">
        <v>1319.25</v>
      </c>
      <c r="G1807">
        <v>337816</v>
      </c>
      <c r="H1807" s="116"/>
      <c r="I1807" s="116"/>
      <c r="L1807" s="170">
        <v>44664</v>
      </c>
      <c r="M1807" s="116">
        <v>131.94999999999999</v>
      </c>
      <c r="N1807" s="116">
        <v>134.6</v>
      </c>
      <c r="O1807" s="116">
        <v>131.5</v>
      </c>
      <c r="P1807" s="116">
        <v>133.495</v>
      </c>
      <c r="Q1807" s="116">
        <v>1319.5</v>
      </c>
      <c r="R1807">
        <v>4493780</v>
      </c>
    </row>
    <row r="1808" spans="1:18" x14ac:dyDescent="0.25">
      <c r="A1808" s="170">
        <v>44669</v>
      </c>
      <c r="B1808" s="116">
        <v>135.845</v>
      </c>
      <c r="C1808" s="116">
        <v>133.91999999999999</v>
      </c>
      <c r="D1808" s="116">
        <v>132.9</v>
      </c>
      <c r="E1808" s="116">
        <v>133.5</v>
      </c>
      <c r="F1808" s="116">
        <v>1339.2</v>
      </c>
      <c r="G1808">
        <v>497140</v>
      </c>
      <c r="H1808" s="116"/>
      <c r="I1808" s="116"/>
      <c r="L1808" s="170">
        <v>44669</v>
      </c>
      <c r="M1808" s="116">
        <v>133.91</v>
      </c>
      <c r="N1808" s="116">
        <v>135.80500000000001</v>
      </c>
      <c r="O1808" s="116">
        <v>132.88499999999999</v>
      </c>
      <c r="P1808" s="116">
        <v>133.19</v>
      </c>
      <c r="Q1808" s="116">
        <v>1339.1</v>
      </c>
      <c r="R1808">
        <v>8070042</v>
      </c>
    </row>
    <row r="1809" spans="1:18" x14ac:dyDescent="0.25">
      <c r="A1809" s="170">
        <v>44670</v>
      </c>
      <c r="B1809" s="116">
        <v>136.655</v>
      </c>
      <c r="C1809" s="116">
        <v>132.54499999999999</v>
      </c>
      <c r="D1809" s="116">
        <v>130.905</v>
      </c>
      <c r="E1809" s="116">
        <v>135.4</v>
      </c>
      <c r="F1809" s="116">
        <v>1325.45</v>
      </c>
      <c r="G1809">
        <v>358569</v>
      </c>
      <c r="H1809" s="116"/>
      <c r="I1809" s="116"/>
      <c r="L1809" s="170">
        <v>44670</v>
      </c>
      <c r="M1809" s="116">
        <v>132.66</v>
      </c>
      <c r="N1809" s="116">
        <v>136.66499999999999</v>
      </c>
      <c r="O1809" s="116">
        <v>130.9</v>
      </c>
      <c r="P1809" s="116">
        <v>135.26</v>
      </c>
      <c r="Q1809" s="116">
        <v>1326.6</v>
      </c>
      <c r="R1809">
        <v>6477219</v>
      </c>
    </row>
    <row r="1810" spans="1:18" x14ac:dyDescent="0.25">
      <c r="A1810" s="170">
        <v>44671</v>
      </c>
      <c r="B1810" s="116">
        <v>133.67500000000001</v>
      </c>
      <c r="C1810" s="116">
        <v>131.37</v>
      </c>
      <c r="D1810" s="116">
        <v>130.4</v>
      </c>
      <c r="E1810" s="116">
        <v>133.27000000000001</v>
      </c>
      <c r="F1810" s="116">
        <v>1313.7</v>
      </c>
      <c r="G1810">
        <v>189013</v>
      </c>
      <c r="H1810" s="116"/>
      <c r="I1810" s="116"/>
      <c r="L1810" s="170">
        <v>44671</v>
      </c>
      <c r="M1810" s="116">
        <v>131.42500000000001</v>
      </c>
      <c r="N1810" s="116">
        <v>133.64500000000001</v>
      </c>
      <c r="O1810" s="116">
        <v>130.30500000000001</v>
      </c>
      <c r="P1810" s="116">
        <v>132.97</v>
      </c>
      <c r="Q1810" s="116">
        <v>1314.25</v>
      </c>
      <c r="R1810">
        <v>5410021</v>
      </c>
    </row>
    <row r="1811" spans="1:18" x14ac:dyDescent="0.25">
      <c r="A1811" s="170">
        <v>44672</v>
      </c>
      <c r="B1811" s="116">
        <v>132.28</v>
      </c>
      <c r="C1811" s="116">
        <v>130.22</v>
      </c>
      <c r="D1811" s="116">
        <v>128.6</v>
      </c>
      <c r="E1811" s="116">
        <v>131.98500000000001</v>
      </c>
      <c r="F1811" s="116">
        <v>1302.2</v>
      </c>
      <c r="G1811">
        <v>319006</v>
      </c>
      <c r="H1811" s="116"/>
      <c r="I1811" s="116"/>
      <c r="L1811" s="170">
        <v>44672</v>
      </c>
      <c r="M1811" s="116">
        <v>130.215</v>
      </c>
      <c r="N1811" s="116">
        <v>132.27500000000001</v>
      </c>
      <c r="O1811" s="116">
        <v>128.58500000000001</v>
      </c>
      <c r="P1811" s="116">
        <v>131.6</v>
      </c>
      <c r="Q1811" s="116">
        <v>1302.1500000000001</v>
      </c>
      <c r="R1811">
        <v>6669028</v>
      </c>
    </row>
    <row r="1812" spans="1:18" x14ac:dyDescent="0.25">
      <c r="A1812" s="170">
        <v>44673</v>
      </c>
      <c r="B1812" s="116">
        <v>131.13499999999999</v>
      </c>
      <c r="C1812" s="116">
        <v>127.77500000000001</v>
      </c>
      <c r="D1812" s="116">
        <v>127.4</v>
      </c>
      <c r="E1812" s="116">
        <v>130.22</v>
      </c>
      <c r="F1812" s="116">
        <v>1277.75</v>
      </c>
      <c r="G1812">
        <v>507224</v>
      </c>
      <c r="H1812" s="116"/>
      <c r="I1812" s="116"/>
      <c r="L1812" s="170">
        <v>44673</v>
      </c>
      <c r="M1812" s="116">
        <v>127.755</v>
      </c>
      <c r="N1812" s="116">
        <v>131.155</v>
      </c>
      <c r="O1812" s="116">
        <v>127.375</v>
      </c>
      <c r="P1812" s="116">
        <v>130.16</v>
      </c>
      <c r="Q1812" s="116">
        <v>1277.55</v>
      </c>
      <c r="R1812">
        <v>5584823</v>
      </c>
    </row>
    <row r="1813" spans="1:18" x14ac:dyDescent="0.25">
      <c r="A1813" s="170">
        <v>44676</v>
      </c>
      <c r="B1813" s="116">
        <v>126</v>
      </c>
      <c r="C1813" s="116">
        <v>122.06</v>
      </c>
      <c r="D1813" s="116">
        <v>121.3</v>
      </c>
      <c r="E1813" s="116">
        <v>125.1</v>
      </c>
      <c r="F1813" s="116">
        <v>1220.5999999999999</v>
      </c>
      <c r="G1813">
        <v>612402</v>
      </c>
      <c r="H1813" s="116"/>
      <c r="I1813" s="116"/>
      <c r="L1813" s="170">
        <v>44676</v>
      </c>
      <c r="M1813" s="116">
        <v>122.035</v>
      </c>
      <c r="N1813" s="116">
        <v>126.295</v>
      </c>
      <c r="O1813" s="116">
        <v>121.28</v>
      </c>
      <c r="P1813" s="116">
        <v>125</v>
      </c>
      <c r="Q1813" s="116">
        <v>1220.3499999999999</v>
      </c>
      <c r="R1813">
        <v>7231046</v>
      </c>
    </row>
    <row r="1814" spans="1:18" x14ac:dyDescent="0.25">
      <c r="A1814" s="170">
        <v>44677</v>
      </c>
      <c r="B1814" s="116">
        <v>124.15</v>
      </c>
      <c r="C1814" s="116">
        <v>123.355</v>
      </c>
      <c r="D1814" s="116">
        <v>122.515</v>
      </c>
      <c r="E1814" s="116">
        <v>123.5</v>
      </c>
      <c r="F1814" s="116">
        <v>1233.55</v>
      </c>
      <c r="G1814">
        <v>229264</v>
      </c>
      <c r="H1814" s="116"/>
      <c r="I1814" s="116"/>
      <c r="L1814" s="170">
        <v>44677</v>
      </c>
      <c r="M1814" s="116">
        <v>123.36</v>
      </c>
      <c r="N1814" s="116">
        <v>124.17</v>
      </c>
      <c r="O1814" s="116">
        <v>122.5</v>
      </c>
      <c r="P1814" s="116">
        <v>123.5</v>
      </c>
      <c r="Q1814" s="116">
        <v>1233.5999999999999</v>
      </c>
      <c r="R1814">
        <v>4481271</v>
      </c>
    </row>
    <row r="1815" spans="1:18" x14ac:dyDescent="0.25">
      <c r="A1815" s="170">
        <v>44678</v>
      </c>
      <c r="B1815" s="116">
        <v>125.49</v>
      </c>
      <c r="C1815" s="116">
        <v>124.65</v>
      </c>
      <c r="D1815" s="116">
        <v>121.02</v>
      </c>
      <c r="E1815" s="116">
        <v>122.8</v>
      </c>
      <c r="F1815" s="116">
        <v>1246.5</v>
      </c>
      <c r="G1815">
        <v>271776</v>
      </c>
      <c r="H1815" s="116"/>
      <c r="I1815" s="116"/>
      <c r="L1815" s="170">
        <v>44678</v>
      </c>
      <c r="M1815" s="116">
        <v>124.67</v>
      </c>
      <c r="N1815" s="116">
        <v>125.5</v>
      </c>
      <c r="O1815" s="116">
        <v>121.04</v>
      </c>
      <c r="P1815" s="116">
        <v>122.7</v>
      </c>
      <c r="Q1815" s="116">
        <v>1246.7</v>
      </c>
      <c r="R1815">
        <v>7120974</v>
      </c>
    </row>
    <row r="1816" spans="1:18" x14ac:dyDescent="0.25">
      <c r="A1816" s="170">
        <v>44679</v>
      </c>
      <c r="B1816" s="116">
        <v>126.81</v>
      </c>
      <c r="C1816" s="116">
        <v>126.11</v>
      </c>
      <c r="D1816" s="116">
        <v>124.30500000000001</v>
      </c>
      <c r="E1816" s="116">
        <v>126</v>
      </c>
      <c r="F1816" s="116">
        <v>1261.0999999999999</v>
      </c>
      <c r="G1816">
        <v>228686</v>
      </c>
      <c r="H1816" s="116"/>
      <c r="I1816" s="116"/>
      <c r="L1816" s="170">
        <v>44679</v>
      </c>
      <c r="M1816" s="116">
        <v>126.08499999999999</v>
      </c>
      <c r="N1816" s="116">
        <v>126.86499999999999</v>
      </c>
      <c r="O1816" s="116">
        <v>124.3</v>
      </c>
      <c r="P1816" s="116">
        <v>125.95</v>
      </c>
      <c r="Q1816" s="116">
        <v>1260.8499999999999</v>
      </c>
      <c r="R1816">
        <v>5129583</v>
      </c>
    </row>
    <row r="1817" spans="1:18" x14ac:dyDescent="0.25">
      <c r="A1817" s="170">
        <v>44680</v>
      </c>
      <c r="B1817" s="116">
        <v>129.13999999999999</v>
      </c>
      <c r="C1817" s="116">
        <v>127.17</v>
      </c>
      <c r="D1817" s="116">
        <v>126.405</v>
      </c>
      <c r="E1817" s="116">
        <v>126.5</v>
      </c>
      <c r="F1817" s="116">
        <v>1271.7</v>
      </c>
      <c r="G1817">
        <v>368508</v>
      </c>
      <c r="H1817" s="116"/>
      <c r="I1817" s="116"/>
      <c r="L1817" s="170">
        <v>44680</v>
      </c>
      <c r="M1817" s="116">
        <v>127.105</v>
      </c>
      <c r="N1817" s="116">
        <v>129.16999999999999</v>
      </c>
      <c r="O1817" s="116">
        <v>126.565</v>
      </c>
      <c r="P1817" s="116">
        <v>126.8</v>
      </c>
      <c r="Q1817" s="116">
        <v>1271.05</v>
      </c>
      <c r="R1817">
        <v>5717352</v>
      </c>
    </row>
    <row r="1818" spans="1:18" x14ac:dyDescent="0.25">
      <c r="A1818" s="170">
        <v>44683</v>
      </c>
      <c r="B1818" s="116">
        <v>130.27000000000001</v>
      </c>
      <c r="C1818" s="116">
        <v>129.51</v>
      </c>
      <c r="D1818" s="116">
        <v>124.875</v>
      </c>
      <c r="E1818" s="116">
        <v>125.5</v>
      </c>
      <c r="F1818" s="116">
        <v>1295.0999999999999</v>
      </c>
      <c r="G1818">
        <v>458759</v>
      </c>
      <c r="H1818" s="116"/>
      <c r="I1818" s="116"/>
      <c r="L1818" s="170">
        <v>44683</v>
      </c>
      <c r="M1818" s="116">
        <v>129.52000000000001</v>
      </c>
      <c r="N1818" s="116">
        <v>130.27500000000001</v>
      </c>
      <c r="O1818" s="116">
        <v>124.875</v>
      </c>
      <c r="P1818" s="116">
        <v>125.7</v>
      </c>
      <c r="Q1818" s="116">
        <v>1295.2</v>
      </c>
      <c r="R1818">
        <v>5442617</v>
      </c>
    </row>
    <row r="1819" spans="1:18" x14ac:dyDescent="0.25">
      <c r="A1819" s="170">
        <v>44685</v>
      </c>
      <c r="B1819" s="116">
        <v>133</v>
      </c>
      <c r="C1819" s="116">
        <v>126.145</v>
      </c>
      <c r="D1819" s="116">
        <v>125.5</v>
      </c>
      <c r="E1819" s="116">
        <v>133</v>
      </c>
      <c r="F1819" s="116">
        <v>1261.45</v>
      </c>
      <c r="G1819">
        <v>1347222</v>
      </c>
      <c r="H1819" s="116"/>
      <c r="I1819" s="116"/>
      <c r="L1819" s="170">
        <v>44685</v>
      </c>
      <c r="M1819" s="116">
        <v>126.13500000000001</v>
      </c>
      <c r="N1819" s="116">
        <v>133</v>
      </c>
      <c r="O1819" s="116">
        <v>125.45</v>
      </c>
      <c r="P1819" s="116">
        <v>132.72999999999999</v>
      </c>
      <c r="Q1819" s="116">
        <v>1261.3499999999999</v>
      </c>
      <c r="R1819">
        <v>13837402</v>
      </c>
    </row>
    <row r="1820" spans="1:18" x14ac:dyDescent="0.25">
      <c r="A1820" s="170">
        <v>44686</v>
      </c>
      <c r="B1820" s="116">
        <v>131.655</v>
      </c>
      <c r="C1820" s="116">
        <v>128.44999999999999</v>
      </c>
      <c r="D1820" s="116">
        <v>127.68</v>
      </c>
      <c r="E1820" s="116">
        <v>128.19999999999999</v>
      </c>
      <c r="F1820" s="116">
        <v>1284.5</v>
      </c>
      <c r="G1820">
        <v>609955</v>
      </c>
      <c r="H1820" s="116"/>
      <c r="I1820" s="116"/>
      <c r="L1820" s="170">
        <v>44686</v>
      </c>
      <c r="M1820" s="116">
        <v>128.42500000000001</v>
      </c>
      <c r="N1820" s="116">
        <v>131.65</v>
      </c>
      <c r="O1820" s="116">
        <v>127.8</v>
      </c>
      <c r="P1820" s="116">
        <v>128</v>
      </c>
      <c r="Q1820" s="116">
        <v>1284.25</v>
      </c>
      <c r="R1820">
        <v>8733816</v>
      </c>
    </row>
    <row r="1821" spans="1:18" x14ac:dyDescent="0.25">
      <c r="A1821" s="170">
        <v>44687</v>
      </c>
      <c r="B1821" s="116">
        <v>128.965</v>
      </c>
      <c r="C1821" s="116">
        <v>128.43</v>
      </c>
      <c r="D1821" s="116">
        <v>124.3</v>
      </c>
      <c r="E1821" s="116">
        <v>127</v>
      </c>
      <c r="F1821" s="116">
        <v>1284.3</v>
      </c>
      <c r="G1821">
        <v>500061</v>
      </c>
      <c r="H1821" s="116"/>
      <c r="I1821" s="116"/>
      <c r="L1821" s="170">
        <v>44687</v>
      </c>
      <c r="M1821" s="116">
        <v>128.37</v>
      </c>
      <c r="N1821" s="116">
        <v>129</v>
      </c>
      <c r="O1821" s="116">
        <v>124.3</v>
      </c>
      <c r="P1821" s="116">
        <v>126.8</v>
      </c>
      <c r="Q1821" s="116">
        <v>1283.7</v>
      </c>
      <c r="R1821">
        <v>6925676</v>
      </c>
    </row>
    <row r="1822" spans="1:18" x14ac:dyDescent="0.25">
      <c r="A1822" s="170">
        <v>44690</v>
      </c>
      <c r="B1822" s="116">
        <v>127.4</v>
      </c>
      <c r="C1822" s="116">
        <v>125.24</v>
      </c>
      <c r="D1822" s="116">
        <v>124.41</v>
      </c>
      <c r="E1822" s="116">
        <v>126.99</v>
      </c>
      <c r="F1822" s="116">
        <v>1252.4000000000001</v>
      </c>
      <c r="G1822">
        <v>334613</v>
      </c>
      <c r="H1822" s="116"/>
      <c r="I1822" s="116"/>
      <c r="L1822" s="170">
        <v>44690</v>
      </c>
      <c r="M1822" s="116">
        <v>125.22499999999999</v>
      </c>
      <c r="N1822" s="116">
        <v>127.42</v>
      </c>
      <c r="O1822" s="116">
        <v>124.4</v>
      </c>
      <c r="P1822" s="116">
        <v>126</v>
      </c>
      <c r="Q1822" s="116">
        <v>1252.25</v>
      </c>
      <c r="R1822">
        <v>5055297</v>
      </c>
    </row>
    <row r="1823" spans="1:18" x14ac:dyDescent="0.25">
      <c r="A1823" s="170">
        <v>44691</v>
      </c>
      <c r="B1823" s="116">
        <v>125.47499999999999</v>
      </c>
      <c r="C1823" s="116">
        <v>116.54</v>
      </c>
      <c r="D1823" s="116">
        <v>115.825</v>
      </c>
      <c r="E1823" s="116">
        <v>125.2</v>
      </c>
      <c r="F1823" s="116">
        <v>1165.4000000000001</v>
      </c>
      <c r="G1823">
        <v>873173</v>
      </c>
      <c r="H1823" s="116"/>
      <c r="I1823" s="116"/>
      <c r="L1823" s="170">
        <v>44691</v>
      </c>
      <c r="M1823" s="116">
        <v>116.49</v>
      </c>
      <c r="N1823" s="116">
        <v>125.465</v>
      </c>
      <c r="O1823" s="116">
        <v>115.855</v>
      </c>
      <c r="P1823" s="116">
        <v>125.1</v>
      </c>
      <c r="Q1823" s="116">
        <v>1164.9000000000001</v>
      </c>
      <c r="R1823">
        <v>14553742</v>
      </c>
    </row>
    <row r="1824" spans="1:18" x14ac:dyDescent="0.25">
      <c r="A1824" s="170">
        <v>44692</v>
      </c>
      <c r="B1824" s="116">
        <v>119.06</v>
      </c>
      <c r="C1824" s="116">
        <v>116.63</v>
      </c>
      <c r="D1824" s="116">
        <v>112.355</v>
      </c>
      <c r="E1824" s="116">
        <v>117.11499999999999</v>
      </c>
      <c r="F1824" s="116">
        <v>1166.3</v>
      </c>
      <c r="G1824">
        <v>672074</v>
      </c>
      <c r="H1824" s="116"/>
      <c r="I1824" s="116"/>
      <c r="L1824" s="170">
        <v>44692</v>
      </c>
      <c r="M1824" s="116">
        <v>116.57</v>
      </c>
      <c r="N1824" s="116">
        <v>119.09</v>
      </c>
      <c r="O1824" s="116">
        <v>112.34</v>
      </c>
      <c r="P1824" s="116">
        <v>117.5</v>
      </c>
      <c r="Q1824" s="116">
        <v>1165.7</v>
      </c>
      <c r="R1824">
        <v>10706315</v>
      </c>
    </row>
    <row r="1825" spans="1:18" x14ac:dyDescent="0.25">
      <c r="A1825" s="170">
        <v>44693</v>
      </c>
      <c r="B1825" s="116">
        <v>116.2</v>
      </c>
      <c r="C1825" s="116">
        <v>111.815</v>
      </c>
      <c r="D1825" s="116">
        <v>110.33499999999999</v>
      </c>
      <c r="E1825" s="116">
        <v>115.71</v>
      </c>
      <c r="F1825" s="116">
        <v>1118.1500000000001</v>
      </c>
      <c r="G1825">
        <v>559841</v>
      </c>
      <c r="H1825" s="116"/>
      <c r="I1825" s="116"/>
      <c r="L1825" s="170">
        <v>44693</v>
      </c>
      <c r="M1825" s="116">
        <v>111.77</v>
      </c>
      <c r="N1825" s="116">
        <v>116.24</v>
      </c>
      <c r="O1825" s="116">
        <v>110.3</v>
      </c>
      <c r="P1825" s="116">
        <v>115.69</v>
      </c>
      <c r="Q1825" s="116">
        <v>1117.7</v>
      </c>
      <c r="R1825">
        <v>9419161</v>
      </c>
    </row>
    <row r="1826" spans="1:18" x14ac:dyDescent="0.25">
      <c r="A1826" s="170">
        <v>44694</v>
      </c>
      <c r="B1826" s="116">
        <v>115.215</v>
      </c>
      <c r="C1826" s="116">
        <v>109.645</v>
      </c>
      <c r="D1826" s="116">
        <v>109.25</v>
      </c>
      <c r="E1826" s="116">
        <v>113</v>
      </c>
      <c r="F1826" s="116">
        <v>1096.45</v>
      </c>
      <c r="G1826">
        <v>533206</v>
      </c>
      <c r="H1826" s="116"/>
      <c r="I1826" s="116"/>
      <c r="L1826" s="170">
        <v>44694</v>
      </c>
      <c r="M1826" s="116">
        <v>109.7</v>
      </c>
      <c r="N1826" s="116">
        <v>115.18</v>
      </c>
      <c r="O1826" s="116">
        <v>109.2</v>
      </c>
      <c r="P1826" s="116">
        <v>113.5</v>
      </c>
      <c r="Q1826" s="116">
        <v>1097</v>
      </c>
      <c r="R1826">
        <v>8292441</v>
      </c>
    </row>
    <row r="1827" spans="1:18" x14ac:dyDescent="0.25">
      <c r="A1827" s="170">
        <v>44697</v>
      </c>
      <c r="B1827" s="116">
        <v>113.49</v>
      </c>
      <c r="C1827" s="116">
        <v>110.425</v>
      </c>
      <c r="D1827" s="116">
        <v>109.375</v>
      </c>
      <c r="E1827" s="116">
        <v>112.19</v>
      </c>
      <c r="F1827" s="116">
        <v>1104.25</v>
      </c>
      <c r="G1827">
        <v>302963</v>
      </c>
      <c r="H1827" s="116"/>
      <c r="I1827" s="116"/>
      <c r="L1827" s="170">
        <v>44697</v>
      </c>
      <c r="M1827" s="116">
        <v>110.35</v>
      </c>
      <c r="N1827" s="116">
        <v>113.48</v>
      </c>
      <c r="O1827" s="116">
        <v>109.4</v>
      </c>
      <c r="P1827" s="116">
        <v>111.9</v>
      </c>
      <c r="Q1827" s="116">
        <v>1103.5</v>
      </c>
      <c r="R1827">
        <v>6266527</v>
      </c>
    </row>
    <row r="1828" spans="1:18" x14ac:dyDescent="0.25">
      <c r="A1828" s="170">
        <v>44698</v>
      </c>
      <c r="B1828" s="116">
        <v>119.685</v>
      </c>
      <c r="C1828" s="116">
        <v>118.83499999999999</v>
      </c>
      <c r="D1828" s="116">
        <v>111.79</v>
      </c>
      <c r="E1828" s="116">
        <v>112.5</v>
      </c>
      <c r="F1828" s="116">
        <v>1188.3499999999999</v>
      </c>
      <c r="G1828">
        <v>732820</v>
      </c>
      <c r="H1828" s="116"/>
      <c r="I1828" s="116"/>
      <c r="L1828" s="170">
        <v>44698</v>
      </c>
      <c r="M1828" s="116">
        <v>118.87</v>
      </c>
      <c r="N1828" s="116">
        <v>119.72</v>
      </c>
      <c r="O1828" s="116">
        <v>111.535</v>
      </c>
      <c r="P1828" s="116">
        <v>112.4</v>
      </c>
      <c r="Q1828" s="116">
        <v>1188.7</v>
      </c>
      <c r="R1828">
        <v>11287601</v>
      </c>
    </row>
    <row r="1829" spans="1:18" x14ac:dyDescent="0.25">
      <c r="A1829" s="170">
        <v>44699</v>
      </c>
      <c r="B1829" s="116">
        <v>120.9</v>
      </c>
      <c r="C1829" s="116">
        <v>118.02500000000001</v>
      </c>
      <c r="D1829" s="116">
        <v>117.56</v>
      </c>
      <c r="E1829" s="116">
        <v>119.43</v>
      </c>
      <c r="F1829" s="116">
        <v>1180.25</v>
      </c>
      <c r="G1829">
        <v>359705</v>
      </c>
      <c r="H1829" s="116"/>
      <c r="I1829" s="116"/>
      <c r="L1829" s="170">
        <v>44699</v>
      </c>
      <c r="M1829" s="116">
        <v>118.02500000000001</v>
      </c>
      <c r="N1829" s="116">
        <v>120.9</v>
      </c>
      <c r="O1829" s="116">
        <v>117.5</v>
      </c>
      <c r="P1829" s="116">
        <v>119.7</v>
      </c>
      <c r="Q1829" s="116">
        <v>1180.25</v>
      </c>
      <c r="R1829">
        <v>8157580</v>
      </c>
    </row>
    <row r="1830" spans="1:18" x14ac:dyDescent="0.25">
      <c r="A1830" s="170">
        <v>44700</v>
      </c>
      <c r="B1830" s="116">
        <v>115.56</v>
      </c>
      <c r="C1830" s="116">
        <v>112.285</v>
      </c>
      <c r="D1830" s="116">
        <v>111.52</v>
      </c>
      <c r="E1830" s="116">
        <v>115</v>
      </c>
      <c r="F1830" s="116">
        <v>1122.8499999999999</v>
      </c>
      <c r="G1830">
        <v>414937</v>
      </c>
      <c r="H1830" s="116"/>
      <c r="I1830" s="116"/>
      <c r="L1830" s="170">
        <v>44700</v>
      </c>
      <c r="M1830" s="116">
        <v>112.215</v>
      </c>
      <c r="N1830" s="116">
        <v>115.49</v>
      </c>
      <c r="O1830" s="116">
        <v>111.52</v>
      </c>
      <c r="P1830" s="116">
        <v>115.1</v>
      </c>
      <c r="Q1830" s="116">
        <v>1122.1500000000001</v>
      </c>
      <c r="R1830">
        <v>6654563</v>
      </c>
    </row>
    <row r="1831" spans="1:18" x14ac:dyDescent="0.25">
      <c r="A1831" s="170">
        <v>44701</v>
      </c>
      <c r="B1831" s="116">
        <v>117.82</v>
      </c>
      <c r="C1831" s="116">
        <v>117.02</v>
      </c>
      <c r="D1831" s="116">
        <v>114.15</v>
      </c>
      <c r="E1831" s="116">
        <v>116</v>
      </c>
      <c r="F1831" s="116">
        <v>1170.2</v>
      </c>
      <c r="G1831">
        <v>419791</v>
      </c>
      <c r="H1831" s="116"/>
      <c r="I1831" s="116"/>
      <c r="L1831" s="170">
        <v>44701</v>
      </c>
      <c r="M1831" s="116">
        <v>117.06</v>
      </c>
      <c r="N1831" s="116">
        <v>117.84</v>
      </c>
      <c r="O1831" s="116">
        <v>114.12</v>
      </c>
      <c r="P1831" s="116">
        <v>116.235</v>
      </c>
      <c r="Q1831" s="116">
        <v>1170.5999999999999</v>
      </c>
      <c r="R1831">
        <v>6552750</v>
      </c>
    </row>
    <row r="1832" spans="1:18" x14ac:dyDescent="0.25">
      <c r="A1832" s="170">
        <v>44704</v>
      </c>
      <c r="B1832" s="116">
        <v>111</v>
      </c>
      <c r="C1832" s="116">
        <v>102.36</v>
      </c>
      <c r="D1832" s="116">
        <v>100.315</v>
      </c>
      <c r="E1832" s="116">
        <v>111</v>
      </c>
      <c r="F1832" s="116">
        <v>1023.6</v>
      </c>
      <c r="G1832">
        <v>1426786</v>
      </c>
      <c r="H1832" s="116"/>
      <c r="I1832" s="116"/>
      <c r="L1832" s="170">
        <v>44704</v>
      </c>
      <c r="M1832" s="116">
        <v>102.295</v>
      </c>
      <c r="N1832" s="116">
        <v>109.7</v>
      </c>
      <c r="O1832" s="116">
        <v>100.155</v>
      </c>
      <c r="P1832" s="116">
        <v>109.7</v>
      </c>
      <c r="Q1832" s="116">
        <v>1022.95</v>
      </c>
      <c r="R1832">
        <v>27388346</v>
      </c>
    </row>
    <row r="1833" spans="1:18" x14ac:dyDescent="0.25">
      <c r="A1833" s="170">
        <v>44705</v>
      </c>
      <c r="B1833" s="116">
        <v>103.98</v>
      </c>
      <c r="C1833" s="116">
        <v>100.62</v>
      </c>
      <c r="D1833" s="116">
        <v>100.25</v>
      </c>
      <c r="E1833" s="116">
        <v>103.4</v>
      </c>
      <c r="F1833" s="116">
        <v>1006.2</v>
      </c>
      <c r="G1833">
        <v>807601</v>
      </c>
      <c r="H1833" s="116"/>
      <c r="I1833" s="116"/>
      <c r="L1833" s="170">
        <v>44705</v>
      </c>
      <c r="M1833" s="116">
        <v>100.63500000000001</v>
      </c>
      <c r="N1833" s="116">
        <v>103.99</v>
      </c>
      <c r="O1833" s="116">
        <v>100.2</v>
      </c>
      <c r="P1833" s="116">
        <v>103.1</v>
      </c>
      <c r="Q1833" s="116">
        <v>1006.35</v>
      </c>
      <c r="R1833">
        <v>12311666</v>
      </c>
    </row>
    <row r="1834" spans="1:18" x14ac:dyDescent="0.25">
      <c r="A1834" s="170">
        <v>44706</v>
      </c>
      <c r="B1834" s="116">
        <v>101.815</v>
      </c>
      <c r="C1834" s="116">
        <v>99.92</v>
      </c>
      <c r="D1834" s="116">
        <v>99.2</v>
      </c>
      <c r="E1834" s="116">
        <v>100.3</v>
      </c>
      <c r="F1834" s="116">
        <v>999.2</v>
      </c>
      <c r="G1834">
        <v>403505</v>
      </c>
      <c r="H1834" s="116"/>
      <c r="I1834" s="116"/>
      <c r="L1834" s="170">
        <v>44706</v>
      </c>
      <c r="M1834" s="116">
        <v>99.91</v>
      </c>
      <c r="N1834" s="116">
        <v>101.83499999999999</v>
      </c>
      <c r="O1834" s="116">
        <v>99.18</v>
      </c>
      <c r="P1834" s="116">
        <v>100.63500000000001</v>
      </c>
      <c r="Q1834" s="116">
        <v>999.1</v>
      </c>
      <c r="R1834">
        <v>9934340</v>
      </c>
    </row>
    <row r="1835" spans="1:18" x14ac:dyDescent="0.25">
      <c r="A1835" s="170">
        <v>44707</v>
      </c>
      <c r="B1835" s="116">
        <v>106.73</v>
      </c>
      <c r="C1835" s="116">
        <v>105.185</v>
      </c>
      <c r="D1835" s="116">
        <v>99.56</v>
      </c>
      <c r="E1835" s="116">
        <v>100.7</v>
      </c>
      <c r="F1835" s="116">
        <v>1051.8499999999999</v>
      </c>
      <c r="G1835">
        <v>1043666</v>
      </c>
      <c r="H1835" s="116"/>
      <c r="I1835" s="116"/>
      <c r="L1835" s="170">
        <v>44707</v>
      </c>
      <c r="M1835" s="116">
        <v>105.2</v>
      </c>
      <c r="N1835" s="116">
        <v>106.755</v>
      </c>
      <c r="O1835" s="116">
        <v>99.525000000000006</v>
      </c>
      <c r="P1835" s="116">
        <v>100.7</v>
      </c>
      <c r="Q1835" s="116">
        <v>1052</v>
      </c>
      <c r="R1835">
        <v>15053673</v>
      </c>
    </row>
    <row r="1836" spans="1:18" x14ac:dyDescent="0.25">
      <c r="A1836" s="170">
        <v>44708</v>
      </c>
      <c r="B1836" s="116">
        <v>106.88</v>
      </c>
      <c r="C1836" s="116">
        <v>104.33499999999999</v>
      </c>
      <c r="D1836" s="116">
        <v>103.205</v>
      </c>
      <c r="E1836" s="116">
        <v>106.38</v>
      </c>
      <c r="F1836" s="116">
        <v>1043.3499999999999</v>
      </c>
      <c r="G1836">
        <v>345807</v>
      </c>
      <c r="H1836" s="116"/>
      <c r="I1836" s="116"/>
      <c r="L1836" s="170">
        <v>44708</v>
      </c>
      <c r="M1836" s="116">
        <v>104.35</v>
      </c>
      <c r="N1836" s="116">
        <v>106.765</v>
      </c>
      <c r="O1836" s="116">
        <v>103.2</v>
      </c>
      <c r="P1836" s="116">
        <v>106.25</v>
      </c>
      <c r="Q1836" s="116">
        <v>1043.5</v>
      </c>
      <c r="R1836">
        <v>7477220</v>
      </c>
    </row>
    <row r="1837" spans="1:18" x14ac:dyDescent="0.25">
      <c r="A1837" s="170">
        <v>44711</v>
      </c>
      <c r="B1837" s="116">
        <v>106.395</v>
      </c>
      <c r="C1837" s="116">
        <v>104.74</v>
      </c>
      <c r="D1837" s="116">
        <v>104.4</v>
      </c>
      <c r="E1837" s="116">
        <v>106</v>
      </c>
      <c r="F1837" s="116">
        <v>1047.4000000000001</v>
      </c>
      <c r="G1837">
        <v>308196</v>
      </c>
      <c r="H1837" s="116"/>
      <c r="I1837" s="116"/>
      <c r="L1837" s="170">
        <v>44711</v>
      </c>
      <c r="M1837" s="116">
        <v>104.745</v>
      </c>
      <c r="N1837" s="116">
        <v>106.38</v>
      </c>
      <c r="O1837" s="116">
        <v>104.35</v>
      </c>
      <c r="P1837" s="116">
        <v>105.9</v>
      </c>
      <c r="Q1837" s="116">
        <v>1047.45</v>
      </c>
      <c r="R1837">
        <v>7270159</v>
      </c>
    </row>
    <row r="1838" spans="1:18" x14ac:dyDescent="0.25">
      <c r="A1838" s="170">
        <v>44712</v>
      </c>
      <c r="B1838" s="116">
        <v>107.19</v>
      </c>
      <c r="C1838" s="116">
        <v>105.55500000000001</v>
      </c>
      <c r="D1838" s="116">
        <v>103.72499999999999</v>
      </c>
      <c r="E1838" s="116">
        <v>104.49</v>
      </c>
      <c r="F1838" s="116">
        <v>1055.55</v>
      </c>
      <c r="G1838">
        <v>350630</v>
      </c>
      <c r="H1838" s="116"/>
      <c r="I1838" s="116"/>
      <c r="L1838" s="170">
        <v>44712</v>
      </c>
      <c r="M1838" s="116">
        <v>105.565</v>
      </c>
      <c r="N1838" s="116">
        <v>107.19</v>
      </c>
      <c r="O1838" s="116">
        <v>103.7</v>
      </c>
      <c r="P1838" s="116">
        <v>104.5</v>
      </c>
      <c r="Q1838" s="116">
        <v>1055.6500000000001</v>
      </c>
      <c r="R1838">
        <v>12124885</v>
      </c>
    </row>
    <row r="1839" spans="1:18" x14ac:dyDescent="0.25">
      <c r="A1839" s="170">
        <v>44713</v>
      </c>
      <c r="B1839" s="116">
        <v>107.9</v>
      </c>
      <c r="C1839" s="116">
        <v>106.295</v>
      </c>
      <c r="D1839" s="116">
        <v>105.44</v>
      </c>
      <c r="E1839" s="116">
        <v>106.105</v>
      </c>
      <c r="F1839" s="116">
        <v>1062.95</v>
      </c>
      <c r="G1839">
        <v>370412</v>
      </c>
      <c r="H1839" s="116"/>
      <c r="I1839" s="116"/>
      <c r="L1839" s="170">
        <v>44713</v>
      </c>
      <c r="M1839" s="116">
        <v>106.355</v>
      </c>
      <c r="N1839" s="116">
        <v>107.9</v>
      </c>
      <c r="O1839" s="116">
        <v>105.33</v>
      </c>
      <c r="P1839" s="116">
        <v>106.55</v>
      </c>
      <c r="Q1839" s="116">
        <v>1063.55</v>
      </c>
      <c r="R1839">
        <v>9405529</v>
      </c>
    </row>
    <row r="1840" spans="1:18" x14ac:dyDescent="0.25">
      <c r="A1840" s="170">
        <v>44714</v>
      </c>
      <c r="B1840" s="116">
        <v>108.46</v>
      </c>
      <c r="C1840" s="116">
        <v>108.125</v>
      </c>
      <c r="D1840" s="116">
        <v>105.9</v>
      </c>
      <c r="E1840" s="116">
        <v>106.8</v>
      </c>
      <c r="F1840" s="116">
        <v>1081.25</v>
      </c>
      <c r="G1840">
        <v>345733</v>
      </c>
      <c r="H1840" s="116"/>
      <c r="I1840" s="116"/>
      <c r="L1840" s="170">
        <v>44714</v>
      </c>
      <c r="M1840" s="116">
        <v>108.155</v>
      </c>
      <c r="N1840" s="116">
        <v>108.47499999999999</v>
      </c>
      <c r="O1840" s="116">
        <v>105.91</v>
      </c>
      <c r="P1840" s="116">
        <v>106.77500000000001</v>
      </c>
      <c r="Q1840" s="116">
        <v>1081.55</v>
      </c>
      <c r="R1840">
        <v>7917704</v>
      </c>
    </row>
    <row r="1841" spans="1:18" x14ac:dyDescent="0.25">
      <c r="A1841" s="170">
        <v>44715</v>
      </c>
      <c r="B1841" s="116">
        <v>109.285</v>
      </c>
      <c r="C1841" s="116">
        <v>106.765</v>
      </c>
      <c r="D1841" s="116">
        <v>106.5</v>
      </c>
      <c r="E1841" s="116">
        <v>108.92</v>
      </c>
      <c r="F1841" s="116">
        <v>1067.6500000000001</v>
      </c>
      <c r="G1841">
        <v>227820</v>
      </c>
      <c r="H1841" s="116"/>
      <c r="I1841" s="116"/>
      <c r="L1841" s="170">
        <v>44715</v>
      </c>
      <c r="M1841" s="116">
        <v>106.73</v>
      </c>
      <c r="N1841" s="116">
        <v>109.28</v>
      </c>
      <c r="O1841" s="116">
        <v>106.5</v>
      </c>
      <c r="P1841" s="116">
        <v>109.2</v>
      </c>
      <c r="Q1841" s="116">
        <v>1067.3</v>
      </c>
      <c r="R1841">
        <v>5395486</v>
      </c>
    </row>
    <row r="1842" spans="1:18" x14ac:dyDescent="0.25">
      <c r="A1842" s="170">
        <v>44718</v>
      </c>
      <c r="B1842" s="116">
        <v>108.3</v>
      </c>
      <c r="C1842" s="116">
        <v>107.82</v>
      </c>
      <c r="D1842" s="116">
        <v>104.94499999999999</v>
      </c>
      <c r="E1842" s="116">
        <v>106.23</v>
      </c>
      <c r="F1842" s="116">
        <v>1078.2</v>
      </c>
      <c r="G1842">
        <v>466086</v>
      </c>
      <c r="H1842" s="116"/>
      <c r="I1842" s="116"/>
      <c r="L1842" s="170">
        <v>44718</v>
      </c>
      <c r="M1842" s="116">
        <v>107.81</v>
      </c>
      <c r="N1842" s="116">
        <v>108.29</v>
      </c>
      <c r="O1842" s="116">
        <v>104.92</v>
      </c>
      <c r="P1842" s="116">
        <v>106.5</v>
      </c>
      <c r="Q1842" s="116">
        <v>1078.0999999999999</v>
      </c>
      <c r="R1842">
        <v>5726249</v>
      </c>
    </row>
    <row r="1843" spans="1:18" x14ac:dyDescent="0.25">
      <c r="A1843" s="170">
        <v>44719</v>
      </c>
      <c r="B1843" s="116">
        <v>108.14</v>
      </c>
      <c r="C1843" s="116">
        <v>106.855</v>
      </c>
      <c r="D1843" s="116">
        <v>106.355</v>
      </c>
      <c r="E1843" s="116">
        <v>107</v>
      </c>
      <c r="F1843" s="116">
        <v>1068.55</v>
      </c>
      <c r="G1843">
        <v>308585</v>
      </c>
      <c r="H1843" s="116"/>
      <c r="I1843" s="116"/>
      <c r="L1843" s="170">
        <v>44719</v>
      </c>
      <c r="M1843" s="116">
        <v>106.85</v>
      </c>
      <c r="N1843" s="116">
        <v>108.15</v>
      </c>
      <c r="O1843" s="116">
        <v>106.355</v>
      </c>
      <c r="P1843" s="116">
        <v>106.7</v>
      </c>
      <c r="Q1843" s="116">
        <v>1068.5</v>
      </c>
      <c r="R1843">
        <v>4334157</v>
      </c>
    </row>
    <row r="1844" spans="1:18" x14ac:dyDescent="0.25">
      <c r="A1844" s="170">
        <v>44720</v>
      </c>
      <c r="B1844" s="116">
        <v>108.85</v>
      </c>
      <c r="C1844" s="116">
        <v>108.675</v>
      </c>
      <c r="D1844" s="116">
        <v>107.4</v>
      </c>
      <c r="E1844" s="116">
        <v>107.4</v>
      </c>
      <c r="F1844" s="116">
        <v>1086.75</v>
      </c>
      <c r="G1844">
        <v>390582</v>
      </c>
      <c r="H1844" s="116"/>
      <c r="I1844" s="116"/>
      <c r="L1844" s="170">
        <v>44720</v>
      </c>
      <c r="M1844" s="116">
        <v>108.675</v>
      </c>
      <c r="N1844" s="116">
        <v>108.89</v>
      </c>
      <c r="O1844" s="116">
        <v>107.405</v>
      </c>
      <c r="P1844" s="116">
        <v>108.1</v>
      </c>
      <c r="Q1844" s="116">
        <v>1086.75</v>
      </c>
      <c r="R1844">
        <v>6473434</v>
      </c>
    </row>
    <row r="1845" spans="1:18" x14ac:dyDescent="0.25">
      <c r="A1845" s="170">
        <v>44721</v>
      </c>
      <c r="B1845" s="116">
        <v>108.74</v>
      </c>
      <c r="C1845" s="116">
        <v>104.535</v>
      </c>
      <c r="D1845" s="116">
        <v>104.15</v>
      </c>
      <c r="E1845" s="116">
        <v>107.955</v>
      </c>
      <c r="F1845" s="116">
        <v>1045.3499999999999</v>
      </c>
      <c r="G1845">
        <v>530413</v>
      </c>
      <c r="H1845" s="116"/>
      <c r="I1845" s="116"/>
      <c r="L1845" s="170">
        <v>44721</v>
      </c>
      <c r="M1845" s="116">
        <v>104.485</v>
      </c>
      <c r="N1845" s="116">
        <v>108.72499999999999</v>
      </c>
      <c r="O1845" s="116">
        <v>104.12</v>
      </c>
      <c r="P1845" s="116">
        <v>107.495</v>
      </c>
      <c r="Q1845" s="116">
        <v>1044.8499999999999</v>
      </c>
      <c r="R1845">
        <v>9854781</v>
      </c>
    </row>
    <row r="1846" spans="1:18" x14ac:dyDescent="0.25">
      <c r="A1846" s="170">
        <v>44722</v>
      </c>
      <c r="B1846" s="116">
        <v>103.2</v>
      </c>
      <c r="C1846" s="116">
        <v>102.35</v>
      </c>
      <c r="D1846" s="116">
        <v>101.1</v>
      </c>
      <c r="E1846" s="116">
        <v>103.2</v>
      </c>
      <c r="F1846" s="116">
        <v>1023.5</v>
      </c>
      <c r="G1846">
        <v>502413</v>
      </c>
      <c r="H1846" s="116"/>
      <c r="I1846" s="116"/>
      <c r="L1846" s="170">
        <v>44722</v>
      </c>
      <c r="M1846" s="116">
        <v>102.37</v>
      </c>
      <c r="N1846" s="116">
        <v>103.14</v>
      </c>
      <c r="O1846" s="116">
        <v>101.065</v>
      </c>
      <c r="P1846" s="116">
        <v>103</v>
      </c>
      <c r="Q1846" s="116">
        <v>1023.7</v>
      </c>
      <c r="R1846">
        <v>9522563</v>
      </c>
    </row>
    <row r="1847" spans="1:18" x14ac:dyDescent="0.25">
      <c r="A1847" s="170">
        <v>44725</v>
      </c>
      <c r="B1847" s="116">
        <v>101.19</v>
      </c>
      <c r="C1847" s="116">
        <v>99.27</v>
      </c>
      <c r="D1847" s="116">
        <v>99</v>
      </c>
      <c r="E1847" s="116">
        <v>100.8</v>
      </c>
      <c r="F1847" s="116">
        <v>992.7</v>
      </c>
      <c r="G1847">
        <v>349925</v>
      </c>
      <c r="H1847" s="116"/>
      <c r="I1847" s="116"/>
      <c r="L1847" s="170">
        <v>44725</v>
      </c>
      <c r="M1847" s="116">
        <v>99.194999999999993</v>
      </c>
      <c r="N1847" s="116">
        <v>101.2</v>
      </c>
      <c r="O1847" s="116">
        <v>99</v>
      </c>
      <c r="P1847" s="116">
        <v>100.43</v>
      </c>
      <c r="Q1847" s="116">
        <v>991.95</v>
      </c>
      <c r="R1847">
        <v>8223575</v>
      </c>
    </row>
    <row r="1848" spans="1:18" x14ac:dyDescent="0.25">
      <c r="A1848" s="170">
        <v>44726</v>
      </c>
      <c r="B1848" s="116">
        <v>101.375</v>
      </c>
      <c r="C1848" s="116">
        <v>99.63</v>
      </c>
      <c r="D1848" s="116">
        <v>98.765000000000001</v>
      </c>
      <c r="E1848" s="116">
        <v>98.9</v>
      </c>
      <c r="F1848" s="116">
        <v>996.3</v>
      </c>
      <c r="G1848">
        <v>465800</v>
      </c>
      <c r="H1848" s="116"/>
      <c r="I1848" s="116"/>
      <c r="L1848" s="170">
        <v>44726</v>
      </c>
      <c r="M1848" s="116">
        <v>99.614999999999995</v>
      </c>
      <c r="N1848" s="116">
        <v>101.37</v>
      </c>
      <c r="O1848" s="116">
        <v>98.555000000000007</v>
      </c>
      <c r="P1848" s="116">
        <v>98.825000000000003</v>
      </c>
      <c r="Q1848" s="116">
        <v>996.15</v>
      </c>
      <c r="R1848">
        <v>7720260</v>
      </c>
    </row>
    <row r="1849" spans="1:18" x14ac:dyDescent="0.25">
      <c r="A1849" s="170">
        <v>44727</v>
      </c>
      <c r="B1849" s="116">
        <v>97.415000000000006</v>
      </c>
      <c r="C1849" s="116">
        <v>95.97</v>
      </c>
      <c r="D1849" s="116">
        <v>95.15</v>
      </c>
      <c r="E1849" s="116">
        <v>95.4</v>
      </c>
      <c r="F1849" s="116">
        <v>959.7</v>
      </c>
      <c r="G1849">
        <v>516594</v>
      </c>
      <c r="H1849" s="116"/>
      <c r="I1849" s="116"/>
      <c r="L1849" s="170">
        <v>44727</v>
      </c>
      <c r="M1849" s="116">
        <v>95.954999999999998</v>
      </c>
      <c r="N1849" s="116">
        <v>97.424999999999997</v>
      </c>
      <c r="O1849" s="116">
        <v>95.064999999999998</v>
      </c>
      <c r="P1849" s="116">
        <v>95.394999999999996</v>
      </c>
      <c r="Q1849" s="116">
        <v>959.55</v>
      </c>
      <c r="R1849">
        <v>9244333</v>
      </c>
    </row>
    <row r="1850" spans="1:18" x14ac:dyDescent="0.25">
      <c r="A1850" s="170">
        <v>44728</v>
      </c>
      <c r="B1850" s="116">
        <v>97.5</v>
      </c>
      <c r="C1850" s="116">
        <v>90.17</v>
      </c>
      <c r="D1850" s="116">
        <v>89.85</v>
      </c>
      <c r="E1850" s="116">
        <v>97</v>
      </c>
      <c r="F1850" s="116">
        <v>901.7</v>
      </c>
      <c r="G1850">
        <v>878420</v>
      </c>
      <c r="H1850" s="116"/>
      <c r="I1850" s="116"/>
      <c r="L1850" s="170">
        <v>44728</v>
      </c>
      <c r="M1850" s="116">
        <v>90.17</v>
      </c>
      <c r="N1850" s="116">
        <v>97.5</v>
      </c>
      <c r="O1850" s="116">
        <v>89.82</v>
      </c>
      <c r="P1850" s="116">
        <v>97.5</v>
      </c>
      <c r="Q1850" s="116">
        <v>901.7</v>
      </c>
      <c r="R1850">
        <v>12274105</v>
      </c>
    </row>
    <row r="1851" spans="1:18" x14ac:dyDescent="0.25">
      <c r="A1851" s="170">
        <v>44729</v>
      </c>
      <c r="B1851" s="116">
        <v>92.76</v>
      </c>
      <c r="C1851" s="116">
        <v>90.685000000000002</v>
      </c>
      <c r="D1851" s="116">
        <v>89.5</v>
      </c>
      <c r="E1851" s="116">
        <v>90.14</v>
      </c>
      <c r="F1851" s="116">
        <v>906.85</v>
      </c>
      <c r="G1851">
        <v>830195</v>
      </c>
      <c r="H1851" s="116"/>
      <c r="I1851" s="116"/>
      <c r="L1851" s="170">
        <v>44729</v>
      </c>
      <c r="M1851" s="116">
        <v>90.67</v>
      </c>
      <c r="N1851" s="116">
        <v>92.74</v>
      </c>
      <c r="O1851" s="116">
        <v>89.55</v>
      </c>
      <c r="P1851" s="116">
        <v>89.8</v>
      </c>
      <c r="Q1851" s="116">
        <v>906.7</v>
      </c>
      <c r="R1851">
        <v>12129026</v>
      </c>
    </row>
    <row r="1852" spans="1:18" x14ac:dyDescent="0.25">
      <c r="A1852" s="170">
        <v>44732</v>
      </c>
      <c r="B1852" s="116">
        <v>90.784999999999997</v>
      </c>
      <c r="C1852" s="116">
        <v>86.12</v>
      </c>
      <c r="D1852" s="116">
        <v>84.3</v>
      </c>
      <c r="E1852" s="116">
        <v>90.784999999999997</v>
      </c>
      <c r="F1852" s="116">
        <v>861.2</v>
      </c>
      <c r="G1852">
        <v>1130435</v>
      </c>
      <c r="H1852" s="116"/>
      <c r="I1852" s="116"/>
      <c r="L1852" s="170">
        <v>44732</v>
      </c>
      <c r="M1852" s="116">
        <v>86.14</v>
      </c>
      <c r="N1852" s="116">
        <v>90.5</v>
      </c>
      <c r="O1852" s="116">
        <v>84.265000000000001</v>
      </c>
      <c r="P1852" s="116">
        <v>90.5</v>
      </c>
      <c r="Q1852" s="116">
        <v>861.4</v>
      </c>
      <c r="R1852">
        <v>13986689</v>
      </c>
    </row>
    <row r="1853" spans="1:18" x14ac:dyDescent="0.25">
      <c r="A1853" s="170">
        <v>44733</v>
      </c>
      <c r="B1853" s="116">
        <v>89.515000000000001</v>
      </c>
      <c r="C1853" s="116">
        <v>88.424999999999997</v>
      </c>
      <c r="D1853" s="116">
        <v>86.4</v>
      </c>
      <c r="E1853" s="116">
        <v>87.7</v>
      </c>
      <c r="F1853" s="116">
        <v>884.25</v>
      </c>
      <c r="G1853">
        <v>529022</v>
      </c>
      <c r="H1853" s="116"/>
      <c r="I1853" s="116"/>
      <c r="L1853" s="170">
        <v>44733</v>
      </c>
      <c r="M1853" s="116">
        <v>88.48</v>
      </c>
      <c r="N1853" s="116">
        <v>89.55</v>
      </c>
      <c r="O1853" s="116">
        <v>86.4</v>
      </c>
      <c r="P1853" s="116">
        <v>87.5</v>
      </c>
      <c r="Q1853" s="116">
        <v>884.8</v>
      </c>
      <c r="R1853">
        <v>12452697</v>
      </c>
    </row>
    <row r="1854" spans="1:18" x14ac:dyDescent="0.25">
      <c r="A1854" s="170">
        <v>44734</v>
      </c>
      <c r="B1854" s="116">
        <v>87.69</v>
      </c>
      <c r="C1854" s="116">
        <v>83.795000000000002</v>
      </c>
      <c r="D1854" s="116">
        <v>83.56</v>
      </c>
      <c r="E1854" s="116">
        <v>87.69</v>
      </c>
      <c r="F1854" s="116">
        <v>837.95</v>
      </c>
      <c r="G1854">
        <v>497760</v>
      </c>
      <c r="H1854" s="116"/>
      <c r="I1854" s="116"/>
      <c r="L1854" s="170">
        <v>44734</v>
      </c>
      <c r="M1854" s="116">
        <v>83.81</v>
      </c>
      <c r="N1854" s="116">
        <v>87.385000000000005</v>
      </c>
      <c r="O1854" s="116">
        <v>83.57</v>
      </c>
      <c r="P1854" s="116">
        <v>87.295000000000002</v>
      </c>
      <c r="Q1854" s="116">
        <v>838.1</v>
      </c>
      <c r="R1854">
        <v>10987739</v>
      </c>
    </row>
    <row r="1855" spans="1:18" x14ac:dyDescent="0.25">
      <c r="A1855" s="170">
        <v>44735</v>
      </c>
      <c r="B1855" s="116">
        <v>85.6</v>
      </c>
      <c r="C1855" s="116">
        <v>84.094999999999999</v>
      </c>
      <c r="D1855" s="116">
        <v>82.71</v>
      </c>
      <c r="E1855" s="116">
        <v>84</v>
      </c>
      <c r="F1855" s="116">
        <v>840.95</v>
      </c>
      <c r="G1855">
        <v>442799</v>
      </c>
      <c r="H1855" s="116"/>
      <c r="I1855" s="116"/>
      <c r="L1855" s="170">
        <v>44735</v>
      </c>
      <c r="M1855" s="116">
        <v>84.13</v>
      </c>
      <c r="N1855" s="116">
        <v>85.594999999999999</v>
      </c>
      <c r="O1855" s="116">
        <v>82.7</v>
      </c>
      <c r="P1855" s="116">
        <v>84</v>
      </c>
      <c r="Q1855" s="116">
        <v>841.3</v>
      </c>
      <c r="R1855">
        <v>11151584</v>
      </c>
    </row>
    <row r="1856" spans="1:18" x14ac:dyDescent="0.25">
      <c r="A1856" s="170">
        <v>44736</v>
      </c>
      <c r="B1856" s="116">
        <v>86.474999999999994</v>
      </c>
      <c r="C1856" s="116">
        <v>85.284999999999997</v>
      </c>
      <c r="D1856" s="116">
        <v>84.46</v>
      </c>
      <c r="E1856" s="116">
        <v>84.8</v>
      </c>
      <c r="F1856" s="116">
        <v>852.85</v>
      </c>
      <c r="G1856">
        <v>420917</v>
      </c>
      <c r="H1856" s="116"/>
      <c r="I1856" s="116"/>
      <c r="L1856" s="170">
        <v>44736</v>
      </c>
      <c r="M1856" s="116">
        <v>85.284999999999997</v>
      </c>
      <c r="N1856" s="116">
        <v>86.474999999999994</v>
      </c>
      <c r="O1856" s="116">
        <v>84.465000000000003</v>
      </c>
      <c r="P1856" s="116">
        <v>85</v>
      </c>
      <c r="Q1856" s="116">
        <v>852.85</v>
      </c>
      <c r="R1856">
        <v>8543381</v>
      </c>
    </row>
    <row r="1857" spans="1:18" x14ac:dyDescent="0.25">
      <c r="A1857" s="170">
        <v>44739</v>
      </c>
      <c r="B1857" s="116">
        <v>87.87</v>
      </c>
      <c r="C1857" s="116">
        <v>86.775000000000006</v>
      </c>
      <c r="D1857" s="116">
        <v>86.31</v>
      </c>
      <c r="E1857" s="116">
        <v>86.704999999999998</v>
      </c>
      <c r="F1857" s="116">
        <v>867.75</v>
      </c>
      <c r="G1857">
        <v>483988</v>
      </c>
      <c r="H1857" s="116"/>
      <c r="I1857" s="116"/>
      <c r="L1857" s="170">
        <v>44739</v>
      </c>
      <c r="M1857" s="116">
        <v>86.784999999999997</v>
      </c>
      <c r="N1857" s="116">
        <v>87.885000000000005</v>
      </c>
      <c r="O1857" s="116">
        <v>86.305000000000007</v>
      </c>
      <c r="P1857" s="116">
        <v>87.05</v>
      </c>
      <c r="Q1857" s="116">
        <v>867.85</v>
      </c>
      <c r="R1857">
        <v>7281473</v>
      </c>
    </row>
    <row r="1858" spans="1:18" x14ac:dyDescent="0.25">
      <c r="A1858" s="170">
        <v>44740</v>
      </c>
      <c r="B1858" s="116">
        <v>88.42</v>
      </c>
      <c r="C1858" s="116">
        <v>87.94</v>
      </c>
      <c r="D1858" s="116">
        <v>86.06</v>
      </c>
      <c r="E1858" s="116">
        <v>86.87</v>
      </c>
      <c r="F1858" s="116">
        <v>879.4</v>
      </c>
      <c r="G1858">
        <v>326517</v>
      </c>
      <c r="H1858" s="116"/>
      <c r="I1858" s="116"/>
      <c r="L1858" s="170">
        <v>44740</v>
      </c>
      <c r="M1858" s="116">
        <v>87.89</v>
      </c>
      <c r="N1858" s="116">
        <v>88.44</v>
      </c>
      <c r="O1858" s="116">
        <v>86.04</v>
      </c>
      <c r="P1858" s="116">
        <v>86.6</v>
      </c>
      <c r="Q1858" s="116">
        <v>878.9</v>
      </c>
      <c r="R1858">
        <v>8464733</v>
      </c>
    </row>
    <row r="1859" spans="1:18" x14ac:dyDescent="0.25">
      <c r="A1859" s="170">
        <v>44741</v>
      </c>
      <c r="B1859" s="116">
        <v>88.86</v>
      </c>
      <c r="C1859" s="116">
        <v>88.144999999999996</v>
      </c>
      <c r="D1859" s="116">
        <v>86.5</v>
      </c>
      <c r="E1859" s="116">
        <v>87.2</v>
      </c>
      <c r="F1859" s="116">
        <v>881.45</v>
      </c>
      <c r="G1859">
        <v>401386</v>
      </c>
      <c r="H1859" s="116"/>
      <c r="I1859" s="116"/>
      <c r="L1859" s="170">
        <v>44741</v>
      </c>
      <c r="M1859" s="116">
        <v>88.16</v>
      </c>
      <c r="N1859" s="116">
        <v>88.88</v>
      </c>
      <c r="O1859" s="116">
        <v>86.85</v>
      </c>
      <c r="P1859" s="116">
        <v>87</v>
      </c>
      <c r="Q1859" s="116">
        <v>881.6</v>
      </c>
      <c r="R1859">
        <v>7231847</v>
      </c>
    </row>
    <row r="1860" spans="1:18" x14ac:dyDescent="0.25">
      <c r="A1860" s="170">
        <v>44742</v>
      </c>
      <c r="B1860" s="116">
        <v>89.454999999999998</v>
      </c>
      <c r="C1860" s="116">
        <v>86.694999999999993</v>
      </c>
      <c r="D1860" s="116">
        <v>86.424999999999997</v>
      </c>
      <c r="E1860" s="116">
        <v>88.4</v>
      </c>
      <c r="F1860" s="116">
        <v>866.95</v>
      </c>
      <c r="G1860">
        <v>238321</v>
      </c>
      <c r="H1860" s="116"/>
      <c r="I1860" s="116"/>
      <c r="L1860" s="170">
        <v>44742</v>
      </c>
      <c r="M1860" s="116">
        <v>86.704999999999998</v>
      </c>
      <c r="N1860" s="116">
        <v>89.45</v>
      </c>
      <c r="O1860" s="116">
        <v>86.33</v>
      </c>
      <c r="P1860" s="116">
        <v>88.15</v>
      </c>
      <c r="Q1860" s="116">
        <v>867.05</v>
      </c>
      <c r="R1860">
        <v>8467209</v>
      </c>
    </row>
    <row r="1861" spans="1:18" x14ac:dyDescent="0.25">
      <c r="A1861" s="170">
        <v>44743</v>
      </c>
      <c r="B1861" s="116">
        <v>87.525000000000006</v>
      </c>
      <c r="C1861" s="116">
        <v>87.33</v>
      </c>
      <c r="D1861" s="116">
        <v>85.935000000000002</v>
      </c>
      <c r="E1861" s="116">
        <v>87.2</v>
      </c>
      <c r="F1861" s="116">
        <v>873.3</v>
      </c>
      <c r="G1861">
        <v>274943</v>
      </c>
      <c r="H1861" s="116"/>
      <c r="I1861" s="116"/>
      <c r="L1861" s="170">
        <v>44743</v>
      </c>
      <c r="M1861" s="116">
        <v>87.284999999999997</v>
      </c>
      <c r="N1861" s="116">
        <v>87.5</v>
      </c>
      <c r="O1861" s="116">
        <v>85.91</v>
      </c>
      <c r="P1861" s="116">
        <v>86.694999999999993</v>
      </c>
      <c r="Q1861" s="116">
        <v>872.85</v>
      </c>
      <c r="R1861">
        <v>5476189</v>
      </c>
    </row>
    <row r="1862" spans="1:18" x14ac:dyDescent="0.25">
      <c r="A1862" s="170">
        <v>44746</v>
      </c>
      <c r="B1862" s="116">
        <v>87.11</v>
      </c>
      <c r="C1862" s="116">
        <v>85.454999999999998</v>
      </c>
      <c r="D1862" s="116">
        <v>84.4</v>
      </c>
      <c r="E1862" s="116">
        <v>87</v>
      </c>
      <c r="F1862" s="116">
        <v>854.55</v>
      </c>
      <c r="G1862">
        <v>482064</v>
      </c>
      <c r="H1862" s="116"/>
      <c r="I1862" s="116"/>
      <c r="L1862" s="170">
        <v>44746</v>
      </c>
      <c r="M1862" s="116">
        <v>85.454999999999998</v>
      </c>
      <c r="N1862" s="116">
        <v>87.12</v>
      </c>
      <c r="O1862" s="116">
        <v>84.33</v>
      </c>
      <c r="P1862" s="116">
        <v>86.85</v>
      </c>
      <c r="Q1862" s="116">
        <v>854.55</v>
      </c>
      <c r="R1862">
        <v>7755441</v>
      </c>
    </row>
    <row r="1863" spans="1:18" x14ac:dyDescent="0.25">
      <c r="A1863" s="170">
        <v>44747</v>
      </c>
      <c r="B1863" s="116">
        <v>87.9</v>
      </c>
      <c r="C1863" s="116">
        <v>86.03</v>
      </c>
      <c r="D1863" s="116">
        <v>85.805000000000007</v>
      </c>
      <c r="E1863" s="116">
        <v>86.204999999999998</v>
      </c>
      <c r="F1863" s="116">
        <v>860.3</v>
      </c>
      <c r="G1863">
        <v>497137</v>
      </c>
      <c r="H1863" s="116"/>
      <c r="I1863" s="116"/>
      <c r="L1863" s="170">
        <v>44747</v>
      </c>
      <c r="M1863" s="116">
        <v>86.015000000000001</v>
      </c>
      <c r="N1863" s="116">
        <v>87.92</v>
      </c>
      <c r="O1863" s="116">
        <v>85.78</v>
      </c>
      <c r="P1863" s="116">
        <v>86.2</v>
      </c>
      <c r="Q1863" s="116">
        <v>860.15</v>
      </c>
      <c r="R1863">
        <v>7905829</v>
      </c>
    </row>
    <row r="1864" spans="1:18" x14ac:dyDescent="0.25">
      <c r="A1864" s="170">
        <v>44748</v>
      </c>
      <c r="B1864" s="116">
        <v>86.1</v>
      </c>
      <c r="C1864" s="116">
        <v>85.84</v>
      </c>
      <c r="D1864" s="116">
        <v>83.83</v>
      </c>
      <c r="E1864" s="116">
        <v>86.03</v>
      </c>
      <c r="F1864" s="116">
        <v>858.4</v>
      </c>
      <c r="G1864">
        <v>576147</v>
      </c>
      <c r="H1864" s="116"/>
      <c r="I1864" s="116"/>
      <c r="L1864" s="170">
        <v>44748</v>
      </c>
      <c r="M1864" s="116">
        <v>85.814999999999998</v>
      </c>
      <c r="N1864" s="116">
        <v>86.11</v>
      </c>
      <c r="O1864" s="116">
        <v>83.805000000000007</v>
      </c>
      <c r="P1864" s="116">
        <v>85.844999999999999</v>
      </c>
      <c r="Q1864" s="116">
        <v>858.15</v>
      </c>
      <c r="R1864">
        <v>8143971</v>
      </c>
    </row>
    <row r="1865" spans="1:18" x14ac:dyDescent="0.25">
      <c r="A1865" s="170">
        <v>44749</v>
      </c>
      <c r="B1865" s="116">
        <v>90.6</v>
      </c>
      <c r="C1865" s="116">
        <v>90.03</v>
      </c>
      <c r="D1865" s="116">
        <v>85.8</v>
      </c>
      <c r="E1865" s="116">
        <v>86.5</v>
      </c>
      <c r="F1865" s="116">
        <v>900.3</v>
      </c>
      <c r="G1865">
        <v>822127</v>
      </c>
      <c r="H1865" s="116"/>
      <c r="I1865" s="116"/>
      <c r="L1865" s="170">
        <v>44749</v>
      </c>
      <c r="M1865" s="116">
        <v>90</v>
      </c>
      <c r="N1865" s="116">
        <v>90.655000000000001</v>
      </c>
      <c r="O1865" s="116">
        <v>85.85</v>
      </c>
      <c r="P1865" s="116">
        <v>86.7</v>
      </c>
      <c r="Q1865" s="116">
        <v>900</v>
      </c>
      <c r="R1865">
        <v>11100794</v>
      </c>
    </row>
    <row r="1866" spans="1:18" x14ac:dyDescent="0.25">
      <c r="A1866" s="170">
        <v>44750</v>
      </c>
      <c r="B1866" s="116">
        <v>91.9</v>
      </c>
      <c r="C1866" s="116">
        <v>88.575000000000003</v>
      </c>
      <c r="D1866" s="116">
        <v>88.05</v>
      </c>
      <c r="E1866" s="116">
        <v>91.9</v>
      </c>
      <c r="F1866" s="116">
        <v>885.75</v>
      </c>
      <c r="G1866">
        <v>708772</v>
      </c>
      <c r="H1866" s="116"/>
      <c r="I1866" s="116"/>
      <c r="L1866" s="170">
        <v>44750</v>
      </c>
      <c r="M1866" s="116">
        <v>88.59</v>
      </c>
      <c r="N1866" s="116">
        <v>91.79</v>
      </c>
      <c r="O1866" s="116">
        <v>88.05</v>
      </c>
      <c r="P1866" s="116">
        <v>91.79</v>
      </c>
      <c r="Q1866" s="116">
        <v>885.9</v>
      </c>
      <c r="R1866">
        <v>11200063</v>
      </c>
    </row>
    <row r="1867" spans="1:18" x14ac:dyDescent="0.25">
      <c r="A1867" s="170">
        <v>44753</v>
      </c>
      <c r="B1867" s="116">
        <v>92.85</v>
      </c>
      <c r="C1867" s="116">
        <v>91.27</v>
      </c>
      <c r="D1867" s="116">
        <v>87.605000000000004</v>
      </c>
      <c r="E1867" s="116">
        <v>88.88</v>
      </c>
      <c r="F1867" s="116">
        <v>912.7</v>
      </c>
      <c r="G1867">
        <v>634460</v>
      </c>
      <c r="H1867" s="116"/>
      <c r="I1867" s="116"/>
      <c r="L1867" s="170">
        <v>44753</v>
      </c>
      <c r="M1867" s="116">
        <v>91.275000000000006</v>
      </c>
      <c r="N1867" s="116">
        <v>92.9</v>
      </c>
      <c r="O1867" s="116">
        <v>87.504999999999995</v>
      </c>
      <c r="P1867" s="116">
        <v>88.52</v>
      </c>
      <c r="Q1867" s="116">
        <v>912.75</v>
      </c>
      <c r="R1867">
        <v>15019334</v>
      </c>
    </row>
    <row r="1868" spans="1:18" x14ac:dyDescent="0.25">
      <c r="A1868" s="170">
        <v>44754</v>
      </c>
      <c r="B1868" s="116">
        <v>91.594999999999999</v>
      </c>
      <c r="C1868" s="116">
        <v>90.21</v>
      </c>
      <c r="D1868" s="116">
        <v>89.38</v>
      </c>
      <c r="E1868" s="116">
        <v>90.9</v>
      </c>
      <c r="F1868" s="116">
        <v>902.1</v>
      </c>
      <c r="G1868">
        <v>448623</v>
      </c>
      <c r="H1868" s="116"/>
      <c r="I1868" s="116"/>
      <c r="L1868" s="170">
        <v>44754</v>
      </c>
      <c r="M1868" s="116">
        <v>90.21</v>
      </c>
      <c r="N1868" s="116">
        <v>91.594999999999999</v>
      </c>
      <c r="O1868" s="116">
        <v>89.36</v>
      </c>
      <c r="P1868" s="116">
        <v>90.49</v>
      </c>
      <c r="Q1868" s="116">
        <v>902.1</v>
      </c>
      <c r="R1868">
        <v>10017505</v>
      </c>
    </row>
    <row r="1869" spans="1:18" x14ac:dyDescent="0.25">
      <c r="A1869" s="170">
        <v>44755</v>
      </c>
      <c r="B1869" s="116">
        <v>91.4</v>
      </c>
      <c r="C1869" s="116">
        <v>90.45</v>
      </c>
      <c r="D1869" s="116">
        <v>90.1</v>
      </c>
      <c r="E1869" s="116">
        <v>90.4</v>
      </c>
      <c r="F1869" s="116">
        <v>904.5</v>
      </c>
      <c r="G1869">
        <v>499286</v>
      </c>
      <c r="H1869" s="116"/>
      <c r="I1869" s="116"/>
      <c r="L1869" s="170">
        <v>44755</v>
      </c>
      <c r="M1869" s="116">
        <v>90.484999999999999</v>
      </c>
      <c r="N1869" s="116">
        <v>91.42</v>
      </c>
      <c r="O1869" s="116">
        <v>90.064999999999998</v>
      </c>
      <c r="P1869" s="116">
        <v>90.594999999999999</v>
      </c>
      <c r="Q1869" s="116">
        <v>904.85</v>
      </c>
      <c r="R1869">
        <v>7013511</v>
      </c>
    </row>
    <row r="1870" spans="1:18" x14ac:dyDescent="0.25">
      <c r="A1870" s="170">
        <v>44756</v>
      </c>
      <c r="B1870" s="116">
        <v>91.09</v>
      </c>
      <c r="C1870" s="116">
        <v>90.81</v>
      </c>
      <c r="D1870" s="116">
        <v>89.5</v>
      </c>
      <c r="E1870" s="116">
        <v>90.504999999999995</v>
      </c>
      <c r="F1870" s="116">
        <v>908.1</v>
      </c>
      <c r="G1870">
        <v>298400</v>
      </c>
      <c r="H1870" s="116"/>
      <c r="I1870" s="116"/>
      <c r="L1870" s="170">
        <v>44756</v>
      </c>
      <c r="M1870" s="116">
        <v>90.8</v>
      </c>
      <c r="N1870" s="116">
        <v>91.1</v>
      </c>
      <c r="O1870" s="116">
        <v>89.5</v>
      </c>
      <c r="P1870" s="116">
        <v>91</v>
      </c>
      <c r="Q1870" s="116">
        <v>908</v>
      </c>
      <c r="R1870">
        <v>7449858</v>
      </c>
    </row>
    <row r="1871" spans="1:18" x14ac:dyDescent="0.25">
      <c r="A1871" s="170">
        <v>44757</v>
      </c>
      <c r="B1871" s="116">
        <v>91.02</v>
      </c>
      <c r="C1871" s="116">
        <v>88.36</v>
      </c>
      <c r="D1871" s="116">
        <v>87.75</v>
      </c>
      <c r="E1871" s="116">
        <v>90.25</v>
      </c>
      <c r="F1871" s="116">
        <v>883.6</v>
      </c>
      <c r="G1871">
        <v>580076</v>
      </c>
      <c r="H1871" s="116"/>
      <c r="I1871" s="116"/>
      <c r="L1871" s="170">
        <v>44757</v>
      </c>
      <c r="M1871" s="116">
        <v>88.38</v>
      </c>
      <c r="N1871" s="116">
        <v>91.03</v>
      </c>
      <c r="O1871" s="116">
        <v>87.75</v>
      </c>
      <c r="P1871" s="116">
        <v>90.5</v>
      </c>
      <c r="Q1871" s="116">
        <v>883.8</v>
      </c>
      <c r="R1871">
        <v>8125351</v>
      </c>
    </row>
    <row r="1872" spans="1:18" x14ac:dyDescent="0.25">
      <c r="A1872" s="170">
        <v>44760</v>
      </c>
      <c r="B1872" s="116">
        <v>90.784999999999997</v>
      </c>
      <c r="C1872" s="116">
        <v>90.43</v>
      </c>
      <c r="D1872" s="116">
        <v>89.224999999999994</v>
      </c>
      <c r="E1872" s="116">
        <v>89.495000000000005</v>
      </c>
      <c r="F1872" s="116">
        <v>904.3</v>
      </c>
      <c r="G1872">
        <v>1265850</v>
      </c>
      <c r="H1872" s="116"/>
      <c r="I1872" s="116"/>
      <c r="L1872" s="170">
        <v>44760</v>
      </c>
      <c r="M1872" s="116">
        <v>90.43</v>
      </c>
      <c r="N1872" s="116">
        <v>90.8</v>
      </c>
      <c r="O1872" s="116">
        <v>89.224999999999994</v>
      </c>
      <c r="P1872" s="116">
        <v>89.7</v>
      </c>
      <c r="Q1872" s="116">
        <v>904.3</v>
      </c>
      <c r="R1872">
        <v>7306081</v>
      </c>
    </row>
    <row r="1873" spans="1:18" x14ac:dyDescent="0.25">
      <c r="A1873" s="170">
        <v>44761</v>
      </c>
      <c r="B1873" s="116">
        <v>92.2</v>
      </c>
      <c r="C1873" s="116">
        <v>91.924999999999997</v>
      </c>
      <c r="D1873" s="116">
        <v>90.1</v>
      </c>
      <c r="E1873" s="116">
        <v>90.41</v>
      </c>
      <c r="F1873" s="116">
        <v>919.25</v>
      </c>
      <c r="G1873">
        <v>573149</v>
      </c>
      <c r="H1873" s="116"/>
      <c r="I1873" s="116"/>
      <c r="L1873" s="170">
        <v>44761</v>
      </c>
      <c r="M1873" s="116">
        <v>91.944999999999993</v>
      </c>
      <c r="N1873" s="116">
        <v>92.19</v>
      </c>
      <c r="O1873" s="116">
        <v>90.1</v>
      </c>
      <c r="P1873" s="116">
        <v>90.1</v>
      </c>
      <c r="Q1873" s="116">
        <v>919.45</v>
      </c>
      <c r="R1873">
        <v>8534158</v>
      </c>
    </row>
    <row r="1874" spans="1:18" x14ac:dyDescent="0.25">
      <c r="A1874" s="170">
        <v>44762</v>
      </c>
      <c r="B1874" s="116">
        <v>93.775000000000006</v>
      </c>
      <c r="C1874" s="116">
        <v>92.82</v>
      </c>
      <c r="D1874" s="116">
        <v>92.5</v>
      </c>
      <c r="E1874" s="116">
        <v>93.424999999999997</v>
      </c>
      <c r="F1874" s="116">
        <v>928.2</v>
      </c>
      <c r="G1874">
        <v>275649</v>
      </c>
      <c r="H1874" s="116"/>
      <c r="I1874" s="116"/>
      <c r="L1874" s="170">
        <v>44762</v>
      </c>
      <c r="M1874" s="116">
        <v>92.844999999999999</v>
      </c>
      <c r="N1874" s="116">
        <v>93.8</v>
      </c>
      <c r="O1874" s="116">
        <v>92.52</v>
      </c>
      <c r="P1874" s="116">
        <v>93.594999999999999</v>
      </c>
      <c r="Q1874" s="116">
        <v>928.45</v>
      </c>
      <c r="R1874">
        <v>7708865</v>
      </c>
    </row>
    <row r="1875" spans="1:18" x14ac:dyDescent="0.25">
      <c r="A1875" s="170">
        <v>44763</v>
      </c>
      <c r="B1875" s="116">
        <v>93.9</v>
      </c>
      <c r="C1875" s="116">
        <v>93.45</v>
      </c>
      <c r="D1875" s="116">
        <v>92.465000000000003</v>
      </c>
      <c r="E1875" s="116">
        <v>93</v>
      </c>
      <c r="F1875" s="116">
        <v>934.5</v>
      </c>
      <c r="G1875">
        <v>217970</v>
      </c>
      <c r="H1875" s="116"/>
      <c r="I1875" s="116"/>
      <c r="L1875" s="170">
        <v>44763</v>
      </c>
      <c r="M1875" s="116">
        <v>93.43</v>
      </c>
      <c r="N1875" s="116">
        <v>93.885000000000005</v>
      </c>
      <c r="O1875" s="116">
        <v>92.45</v>
      </c>
      <c r="P1875" s="116">
        <v>93</v>
      </c>
      <c r="Q1875" s="116">
        <v>934.3</v>
      </c>
      <c r="R1875">
        <v>5087714</v>
      </c>
    </row>
    <row r="1876" spans="1:18" x14ac:dyDescent="0.25">
      <c r="A1876" s="170">
        <v>44764</v>
      </c>
      <c r="B1876" s="116">
        <v>94.4</v>
      </c>
      <c r="C1876" s="116">
        <v>93.6</v>
      </c>
      <c r="D1876" s="116">
        <v>93.204999999999998</v>
      </c>
      <c r="E1876" s="116">
        <v>94</v>
      </c>
      <c r="F1876" s="116">
        <v>936</v>
      </c>
      <c r="G1876">
        <v>337543</v>
      </c>
      <c r="H1876" s="116"/>
      <c r="I1876" s="116"/>
      <c r="L1876" s="170">
        <v>44764</v>
      </c>
      <c r="M1876" s="116">
        <v>93.605000000000004</v>
      </c>
      <c r="N1876" s="116">
        <v>94.4</v>
      </c>
      <c r="O1876" s="116">
        <v>93.2</v>
      </c>
      <c r="P1876" s="116">
        <v>94.25</v>
      </c>
      <c r="Q1876" s="116">
        <v>936.05</v>
      </c>
      <c r="R1876">
        <v>4860894</v>
      </c>
    </row>
    <row r="1877" spans="1:18" x14ac:dyDescent="0.25">
      <c r="A1877" s="170">
        <v>44767</v>
      </c>
      <c r="B1877" s="116">
        <v>96.614999999999995</v>
      </c>
      <c r="C1877" s="116">
        <v>96.09</v>
      </c>
      <c r="D1877" s="116">
        <v>93.355000000000004</v>
      </c>
      <c r="E1877" s="116">
        <v>93.6</v>
      </c>
      <c r="F1877" s="116">
        <v>960.9</v>
      </c>
      <c r="G1877">
        <v>425825</v>
      </c>
      <c r="H1877" s="116"/>
      <c r="I1877" s="116"/>
      <c r="L1877" s="170">
        <v>44767</v>
      </c>
      <c r="M1877" s="116">
        <v>96.07</v>
      </c>
      <c r="N1877" s="116">
        <v>96.484999999999999</v>
      </c>
      <c r="O1877" s="116">
        <v>93.36</v>
      </c>
      <c r="P1877" s="116">
        <v>93.5</v>
      </c>
      <c r="Q1877" s="116">
        <v>960.7</v>
      </c>
      <c r="R1877">
        <v>9963563</v>
      </c>
    </row>
    <row r="1878" spans="1:18" x14ac:dyDescent="0.25">
      <c r="A1878" s="170">
        <v>44768</v>
      </c>
      <c r="B1878" s="116">
        <v>97.4</v>
      </c>
      <c r="C1878" s="116">
        <v>94.944999999999993</v>
      </c>
      <c r="D1878" s="116">
        <v>94.59</v>
      </c>
      <c r="E1878" s="116">
        <v>96.9</v>
      </c>
      <c r="F1878" s="116">
        <v>949.45</v>
      </c>
      <c r="G1878">
        <v>727859</v>
      </c>
      <c r="H1878" s="116"/>
      <c r="I1878" s="116"/>
      <c r="L1878" s="170">
        <v>44768</v>
      </c>
      <c r="M1878" s="116">
        <v>94.95</v>
      </c>
      <c r="N1878" s="116">
        <v>97.67</v>
      </c>
      <c r="O1878" s="116">
        <v>94.605000000000004</v>
      </c>
      <c r="P1878" s="116">
        <v>97.2</v>
      </c>
      <c r="Q1878" s="116">
        <v>949.5</v>
      </c>
      <c r="R1878">
        <v>12626469</v>
      </c>
    </row>
    <row r="1879" spans="1:18" x14ac:dyDescent="0.25">
      <c r="A1879" s="170">
        <v>44769</v>
      </c>
      <c r="B1879" s="116">
        <v>96.155000000000001</v>
      </c>
      <c r="C1879" s="116">
        <v>95.944999999999993</v>
      </c>
      <c r="D1879" s="116">
        <v>94.36</v>
      </c>
      <c r="E1879" s="116">
        <v>94.905000000000001</v>
      </c>
      <c r="F1879" s="116">
        <v>959.45</v>
      </c>
      <c r="G1879">
        <v>269487</v>
      </c>
      <c r="H1879" s="116"/>
      <c r="I1879" s="116"/>
      <c r="L1879" s="170">
        <v>44769</v>
      </c>
      <c r="M1879" s="116">
        <v>95.94</v>
      </c>
      <c r="N1879" s="116">
        <v>96.155000000000001</v>
      </c>
      <c r="O1879" s="116">
        <v>94.36</v>
      </c>
      <c r="P1879" s="116">
        <v>95.1</v>
      </c>
      <c r="Q1879" s="116">
        <v>959.4</v>
      </c>
      <c r="R1879">
        <v>5255902</v>
      </c>
    </row>
    <row r="1880" spans="1:18" x14ac:dyDescent="0.25">
      <c r="A1880" s="170">
        <v>44770</v>
      </c>
      <c r="B1880" s="116">
        <v>102.05</v>
      </c>
      <c r="C1880" s="116">
        <v>100.35</v>
      </c>
      <c r="D1880" s="116">
        <v>97.4</v>
      </c>
      <c r="E1880" s="116">
        <v>98</v>
      </c>
      <c r="F1880" s="116">
        <v>100.35</v>
      </c>
      <c r="G1880">
        <v>8730002</v>
      </c>
      <c r="H1880" s="116"/>
      <c r="I1880" s="116"/>
      <c r="L1880" s="170">
        <v>44770</v>
      </c>
      <c r="M1880" s="116">
        <v>100.35</v>
      </c>
      <c r="N1880" s="116">
        <v>102</v>
      </c>
      <c r="O1880" s="116">
        <v>97.15</v>
      </c>
      <c r="P1880" s="116">
        <v>98.1</v>
      </c>
      <c r="Q1880" s="116">
        <v>100.35</v>
      </c>
      <c r="R1880">
        <v>137156107</v>
      </c>
    </row>
    <row r="1881" spans="1:18" x14ac:dyDescent="0.25">
      <c r="A1881" s="170">
        <v>44771</v>
      </c>
      <c r="B1881" s="116">
        <v>109.3</v>
      </c>
      <c r="C1881" s="116">
        <v>107.65</v>
      </c>
      <c r="D1881" s="116">
        <v>102.1</v>
      </c>
      <c r="E1881" s="116">
        <v>103</v>
      </c>
      <c r="F1881" s="116">
        <v>107.65</v>
      </c>
      <c r="G1881">
        <v>11659958</v>
      </c>
      <c r="H1881" s="116"/>
      <c r="I1881" s="116"/>
      <c r="L1881" s="170">
        <v>44771</v>
      </c>
      <c r="M1881" s="116">
        <v>107.6</v>
      </c>
      <c r="N1881" s="116">
        <v>109.3</v>
      </c>
      <c r="O1881" s="116">
        <v>102.15</v>
      </c>
      <c r="P1881" s="116">
        <v>103</v>
      </c>
      <c r="Q1881" s="116">
        <v>107.6</v>
      </c>
      <c r="R1881">
        <v>166959934</v>
      </c>
    </row>
    <row r="1882" spans="1:18" x14ac:dyDescent="0.25">
      <c r="A1882" s="170">
        <v>44774</v>
      </c>
      <c r="B1882" s="116">
        <v>111.45</v>
      </c>
      <c r="C1882" s="116">
        <v>108.25</v>
      </c>
      <c r="D1882" s="116">
        <v>106.1</v>
      </c>
      <c r="E1882" s="116">
        <v>110.1</v>
      </c>
      <c r="F1882" s="116">
        <v>108.25</v>
      </c>
      <c r="G1882">
        <v>12783082</v>
      </c>
      <c r="H1882" s="116"/>
      <c r="I1882" s="116"/>
      <c r="L1882" s="170">
        <v>44774</v>
      </c>
      <c r="M1882" s="116">
        <v>108.25</v>
      </c>
      <c r="N1882" s="116">
        <v>111.45</v>
      </c>
      <c r="O1882" s="116">
        <v>106.15</v>
      </c>
      <c r="P1882" s="116">
        <v>110.5</v>
      </c>
      <c r="Q1882" s="116">
        <v>108.25</v>
      </c>
      <c r="R1882">
        <v>125365761</v>
      </c>
    </row>
    <row r="1883" spans="1:18" x14ac:dyDescent="0.25">
      <c r="A1883" s="170">
        <v>44775</v>
      </c>
      <c r="B1883" s="116">
        <v>108.2</v>
      </c>
      <c r="C1883" s="116">
        <v>106.95</v>
      </c>
      <c r="D1883" s="116">
        <v>105.3</v>
      </c>
      <c r="E1883" s="116">
        <v>108.2</v>
      </c>
      <c r="F1883" s="116">
        <v>106.95</v>
      </c>
      <c r="G1883">
        <v>3719535</v>
      </c>
      <c r="H1883" s="116"/>
      <c r="I1883" s="116"/>
      <c r="L1883" s="170">
        <v>44775</v>
      </c>
      <c r="M1883" s="116">
        <v>107</v>
      </c>
      <c r="N1883" s="116">
        <v>108</v>
      </c>
      <c r="O1883" s="116">
        <v>105.35</v>
      </c>
      <c r="P1883" s="116">
        <v>108</v>
      </c>
      <c r="Q1883" s="116">
        <v>107</v>
      </c>
      <c r="R1883">
        <v>64935371</v>
      </c>
    </row>
    <row r="1884" spans="1:18" x14ac:dyDescent="0.25">
      <c r="A1884" s="170">
        <v>44776</v>
      </c>
      <c r="B1884" s="116">
        <v>108.5</v>
      </c>
      <c r="C1884" s="116">
        <v>107</v>
      </c>
      <c r="D1884" s="116">
        <v>106</v>
      </c>
      <c r="E1884" s="116">
        <v>106.85</v>
      </c>
      <c r="F1884" s="116">
        <v>107</v>
      </c>
      <c r="G1884">
        <v>3280717</v>
      </c>
      <c r="H1884" s="116"/>
      <c r="I1884" s="116"/>
      <c r="L1884" s="170">
        <v>44776</v>
      </c>
      <c r="M1884" s="116">
        <v>107.05</v>
      </c>
      <c r="N1884" s="116">
        <v>108.45</v>
      </c>
      <c r="O1884" s="116">
        <v>106</v>
      </c>
      <c r="P1884" s="116">
        <v>107</v>
      </c>
      <c r="Q1884" s="116">
        <v>107.05</v>
      </c>
      <c r="R1884">
        <v>61428846</v>
      </c>
    </row>
    <row r="1885" spans="1:18" x14ac:dyDescent="0.25">
      <c r="A1885" s="170">
        <v>44777</v>
      </c>
      <c r="B1885" s="116">
        <v>109.5</v>
      </c>
      <c r="C1885" s="116">
        <v>107.7</v>
      </c>
      <c r="D1885" s="116">
        <v>106.05</v>
      </c>
      <c r="E1885" s="116">
        <v>108.15</v>
      </c>
      <c r="F1885" s="116">
        <v>107.7</v>
      </c>
      <c r="G1885">
        <v>4298457</v>
      </c>
      <c r="H1885" s="116"/>
      <c r="I1885" s="116"/>
      <c r="L1885" s="170">
        <v>44777</v>
      </c>
      <c r="M1885" s="116">
        <v>107.7</v>
      </c>
      <c r="N1885" s="116">
        <v>109.5</v>
      </c>
      <c r="O1885" s="116">
        <v>106.05</v>
      </c>
      <c r="P1885" s="116">
        <v>107.5</v>
      </c>
      <c r="Q1885" s="116">
        <v>107.7</v>
      </c>
      <c r="R1885">
        <v>79526154</v>
      </c>
    </row>
    <row r="1886" spans="1:18" x14ac:dyDescent="0.25">
      <c r="A1886" s="170">
        <v>44778</v>
      </c>
      <c r="B1886" s="116">
        <v>109.25</v>
      </c>
      <c r="C1886" s="116">
        <v>107.35</v>
      </c>
      <c r="D1886" s="116">
        <v>107.05</v>
      </c>
      <c r="E1886" s="116">
        <v>107.85</v>
      </c>
      <c r="F1886" s="116">
        <v>107.35</v>
      </c>
      <c r="G1886">
        <v>5034443</v>
      </c>
      <c r="H1886" s="116"/>
      <c r="I1886" s="116"/>
      <c r="L1886" s="170">
        <v>44778</v>
      </c>
      <c r="M1886" s="116">
        <v>107.35</v>
      </c>
      <c r="N1886" s="116">
        <v>109.25</v>
      </c>
      <c r="O1886" s="116">
        <v>107.1</v>
      </c>
      <c r="P1886" s="116">
        <v>107.65</v>
      </c>
      <c r="Q1886" s="116">
        <v>107.35</v>
      </c>
      <c r="R1886">
        <v>54469112</v>
      </c>
    </row>
    <row r="1887" spans="1:18" x14ac:dyDescent="0.25">
      <c r="A1887" s="170">
        <v>44781</v>
      </c>
      <c r="B1887" s="116">
        <v>108.2</v>
      </c>
      <c r="C1887" s="116">
        <v>107.2</v>
      </c>
      <c r="D1887" s="116">
        <v>106.7</v>
      </c>
      <c r="E1887" s="116">
        <v>107.5</v>
      </c>
      <c r="F1887" s="116">
        <v>107.2</v>
      </c>
      <c r="G1887">
        <v>3616970</v>
      </c>
      <c r="H1887" s="116"/>
      <c r="I1887" s="116"/>
      <c r="L1887" s="170">
        <v>44781</v>
      </c>
      <c r="M1887" s="116">
        <v>107.2</v>
      </c>
      <c r="N1887" s="116">
        <v>108.15</v>
      </c>
      <c r="O1887" s="116">
        <v>106.7</v>
      </c>
      <c r="P1887" s="116">
        <v>107.85</v>
      </c>
      <c r="Q1887" s="116">
        <v>107.2</v>
      </c>
      <c r="R1887">
        <v>41384943</v>
      </c>
    </row>
    <row r="1888" spans="1:18" x14ac:dyDescent="0.25">
      <c r="A1888" s="170">
        <v>44783</v>
      </c>
      <c r="B1888" s="116">
        <v>109.9</v>
      </c>
      <c r="C1888" s="116">
        <v>109.25</v>
      </c>
      <c r="D1888" s="116">
        <v>106.45</v>
      </c>
      <c r="E1888" s="116">
        <v>107.9</v>
      </c>
      <c r="F1888" s="116">
        <v>109.25</v>
      </c>
      <c r="G1888">
        <v>4002923</v>
      </c>
      <c r="H1888" s="116"/>
      <c r="I1888" s="116"/>
      <c r="L1888" s="170">
        <v>44783</v>
      </c>
      <c r="M1888" s="116">
        <v>109.2</v>
      </c>
      <c r="N1888" s="116">
        <v>109.9</v>
      </c>
      <c r="O1888" s="116">
        <v>106.5</v>
      </c>
      <c r="P1888" s="116">
        <v>107.9</v>
      </c>
      <c r="Q1888" s="116">
        <v>109.2</v>
      </c>
      <c r="R1888">
        <v>73880698</v>
      </c>
    </row>
    <row r="1889" spans="1:18" x14ac:dyDescent="0.25">
      <c r="A1889" s="170">
        <v>44784</v>
      </c>
      <c r="B1889" s="116">
        <v>110.65</v>
      </c>
      <c r="C1889" s="116">
        <v>109.1</v>
      </c>
      <c r="D1889" s="116">
        <v>108.6</v>
      </c>
      <c r="E1889" s="116">
        <v>110.1</v>
      </c>
      <c r="F1889" s="116">
        <v>109.1</v>
      </c>
      <c r="G1889">
        <v>5233551</v>
      </c>
      <c r="H1889" s="116"/>
      <c r="I1889" s="116"/>
      <c r="L1889" s="170">
        <v>44784</v>
      </c>
      <c r="M1889" s="116">
        <v>109.1</v>
      </c>
      <c r="N1889" s="116">
        <v>110.65</v>
      </c>
      <c r="O1889" s="116">
        <v>108.6</v>
      </c>
      <c r="P1889" s="116">
        <v>110.3</v>
      </c>
      <c r="Q1889" s="116">
        <v>109.1</v>
      </c>
      <c r="R1889">
        <v>75321498</v>
      </c>
    </row>
    <row r="1890" spans="1:18" x14ac:dyDescent="0.25">
      <c r="A1890" s="170">
        <v>44785</v>
      </c>
      <c r="B1890" s="116">
        <v>112.9</v>
      </c>
      <c r="C1890" s="116">
        <v>112.65</v>
      </c>
      <c r="D1890" s="116">
        <v>108.7</v>
      </c>
      <c r="E1890" s="116">
        <v>109.2</v>
      </c>
      <c r="F1890" s="116">
        <v>112.65</v>
      </c>
      <c r="G1890">
        <v>9455716</v>
      </c>
      <c r="H1890" s="116"/>
      <c r="I1890" s="116"/>
      <c r="L1890" s="170">
        <v>44785</v>
      </c>
      <c r="M1890" s="116">
        <v>112.65</v>
      </c>
      <c r="N1890" s="116">
        <v>112.9</v>
      </c>
      <c r="O1890" s="116">
        <v>108.8</v>
      </c>
      <c r="P1890" s="116">
        <v>109.35</v>
      </c>
      <c r="Q1890" s="116">
        <v>112.65</v>
      </c>
      <c r="R1890">
        <v>95942333</v>
      </c>
    </row>
    <row r="1891" spans="1:18" x14ac:dyDescent="0.25">
      <c r="A1891" s="170">
        <v>44789</v>
      </c>
      <c r="B1891" s="116">
        <v>113.8</v>
      </c>
      <c r="C1891" s="116">
        <v>113</v>
      </c>
      <c r="D1891" s="116">
        <v>111.05</v>
      </c>
      <c r="E1891" s="116">
        <v>113.7</v>
      </c>
      <c r="F1891" s="116">
        <v>113</v>
      </c>
      <c r="G1891">
        <v>5462751</v>
      </c>
      <c r="H1891" s="116"/>
      <c r="I1891" s="116"/>
      <c r="L1891" s="170">
        <v>44789</v>
      </c>
      <c r="M1891" s="116">
        <v>113</v>
      </c>
      <c r="N1891" s="116">
        <v>113.7</v>
      </c>
      <c r="O1891" s="116">
        <v>111.1</v>
      </c>
      <c r="P1891" s="116">
        <v>113.7</v>
      </c>
      <c r="Q1891" s="116">
        <v>113</v>
      </c>
      <c r="R1891">
        <v>69207437</v>
      </c>
    </row>
    <row r="1892" spans="1:18" x14ac:dyDescent="0.25">
      <c r="A1892" s="170">
        <v>44790</v>
      </c>
      <c r="B1892" s="116">
        <v>113.7</v>
      </c>
      <c r="C1892" s="116">
        <v>112.5</v>
      </c>
      <c r="D1892" s="116">
        <v>112.25</v>
      </c>
      <c r="E1892" s="116">
        <v>113.7</v>
      </c>
      <c r="F1892" s="116">
        <v>112.5</v>
      </c>
      <c r="G1892">
        <v>4520838</v>
      </c>
      <c r="H1892" s="116"/>
      <c r="I1892" s="116"/>
      <c r="L1892" s="170">
        <v>44790</v>
      </c>
      <c r="M1892" s="116">
        <v>112.5</v>
      </c>
      <c r="N1892" s="116">
        <v>113.5</v>
      </c>
      <c r="O1892" s="116">
        <v>112.25</v>
      </c>
      <c r="P1892" s="116">
        <v>113.5</v>
      </c>
      <c r="Q1892" s="116">
        <v>112.5</v>
      </c>
      <c r="R1892">
        <v>54008422</v>
      </c>
    </row>
    <row r="1893" spans="1:18" x14ac:dyDescent="0.25">
      <c r="A1893" s="170">
        <v>44791</v>
      </c>
      <c r="B1893" s="116">
        <v>113</v>
      </c>
      <c r="C1893" s="116">
        <v>112.55</v>
      </c>
      <c r="D1893" s="116">
        <v>111.35</v>
      </c>
      <c r="E1893" s="116">
        <v>112.5</v>
      </c>
      <c r="F1893" s="116">
        <v>112.55</v>
      </c>
      <c r="G1893">
        <v>3917906</v>
      </c>
      <c r="H1893" s="116"/>
      <c r="I1893" s="116"/>
      <c r="L1893" s="170">
        <v>44791</v>
      </c>
      <c r="M1893" s="116">
        <v>112.55</v>
      </c>
      <c r="N1893" s="116">
        <v>113</v>
      </c>
      <c r="O1893" s="116">
        <v>111.4</v>
      </c>
      <c r="P1893" s="116">
        <v>112.5</v>
      </c>
      <c r="Q1893" s="116">
        <v>112.55</v>
      </c>
      <c r="R1893">
        <v>49396425</v>
      </c>
    </row>
    <row r="1894" spans="1:18" x14ac:dyDescent="0.25">
      <c r="A1894" s="170">
        <v>44792</v>
      </c>
      <c r="B1894" s="116">
        <v>112.8</v>
      </c>
      <c r="C1894" s="116">
        <v>110</v>
      </c>
      <c r="D1894" s="116">
        <v>109.5</v>
      </c>
      <c r="E1894" s="116">
        <v>112.8</v>
      </c>
      <c r="F1894" s="116">
        <v>110</v>
      </c>
      <c r="G1894">
        <v>5041359</v>
      </c>
      <c r="H1894" s="116"/>
      <c r="I1894" s="116"/>
      <c r="L1894" s="170">
        <v>44792</v>
      </c>
      <c r="M1894" s="116">
        <v>110.05</v>
      </c>
      <c r="N1894" s="116">
        <v>112.9</v>
      </c>
      <c r="O1894" s="116">
        <v>109.55</v>
      </c>
      <c r="P1894" s="116">
        <v>112.55</v>
      </c>
      <c r="Q1894" s="116">
        <v>110.05</v>
      </c>
      <c r="R1894">
        <v>57134813</v>
      </c>
    </row>
    <row r="1895" spans="1:18" x14ac:dyDescent="0.25">
      <c r="A1895" s="170">
        <v>44795</v>
      </c>
      <c r="B1895" s="116">
        <v>109.7</v>
      </c>
      <c r="C1895" s="116">
        <v>105.05</v>
      </c>
      <c r="D1895" s="116">
        <v>104.7</v>
      </c>
      <c r="E1895" s="116">
        <v>109.7</v>
      </c>
      <c r="F1895" s="116">
        <v>105.05</v>
      </c>
      <c r="G1895">
        <v>4276721</v>
      </c>
      <c r="H1895" s="116"/>
      <c r="I1895" s="116"/>
      <c r="L1895" s="170">
        <v>44795</v>
      </c>
      <c r="M1895" s="116">
        <v>105.05</v>
      </c>
      <c r="N1895" s="116">
        <v>109.6</v>
      </c>
      <c r="O1895" s="116">
        <v>104.7</v>
      </c>
      <c r="P1895" s="116">
        <v>109.5</v>
      </c>
      <c r="Q1895" s="116">
        <v>105.05</v>
      </c>
      <c r="R1895">
        <v>74037526</v>
      </c>
    </row>
    <row r="1896" spans="1:18" x14ac:dyDescent="0.25">
      <c r="A1896" s="170">
        <v>44796</v>
      </c>
      <c r="B1896" s="116">
        <v>108.25</v>
      </c>
      <c r="C1896" s="116">
        <v>107.55</v>
      </c>
      <c r="D1896" s="116">
        <v>103.45</v>
      </c>
      <c r="E1896" s="116">
        <v>104.2</v>
      </c>
      <c r="F1896" s="116">
        <v>107.55</v>
      </c>
      <c r="G1896">
        <v>7046063</v>
      </c>
      <c r="H1896" s="116"/>
      <c r="I1896" s="116"/>
      <c r="L1896" s="170">
        <v>44796</v>
      </c>
      <c r="M1896" s="116">
        <v>107.6</v>
      </c>
      <c r="N1896" s="116">
        <v>108.25</v>
      </c>
      <c r="O1896" s="116">
        <v>103.5</v>
      </c>
      <c r="P1896" s="116">
        <v>104.2</v>
      </c>
      <c r="Q1896" s="116">
        <v>107.6</v>
      </c>
      <c r="R1896">
        <v>70531639</v>
      </c>
    </row>
    <row r="1897" spans="1:18" x14ac:dyDescent="0.25">
      <c r="A1897" s="170">
        <v>44797</v>
      </c>
      <c r="B1897" s="116">
        <v>108.2</v>
      </c>
      <c r="C1897" s="116">
        <v>106.55</v>
      </c>
      <c r="D1897" s="116">
        <v>105.8</v>
      </c>
      <c r="E1897" s="116">
        <v>107.85</v>
      </c>
      <c r="F1897" s="116">
        <v>106.55</v>
      </c>
      <c r="G1897">
        <v>3396443</v>
      </c>
      <c r="H1897" s="116"/>
      <c r="I1897" s="116"/>
      <c r="L1897" s="170">
        <v>44797</v>
      </c>
      <c r="M1897" s="116">
        <v>106.55</v>
      </c>
      <c r="N1897" s="116">
        <v>108.15</v>
      </c>
      <c r="O1897" s="116">
        <v>105.75</v>
      </c>
      <c r="P1897" s="116">
        <v>107.55</v>
      </c>
      <c r="Q1897" s="116">
        <v>106.55</v>
      </c>
      <c r="R1897">
        <v>55686404</v>
      </c>
    </row>
    <row r="1898" spans="1:18" x14ac:dyDescent="0.25">
      <c r="A1898" s="170">
        <v>44798</v>
      </c>
      <c r="B1898" s="116">
        <v>107.85</v>
      </c>
      <c r="C1898" s="116">
        <v>106.2</v>
      </c>
      <c r="D1898" s="116">
        <v>105.8</v>
      </c>
      <c r="E1898" s="116">
        <v>106.85</v>
      </c>
      <c r="F1898" s="116">
        <v>106.2</v>
      </c>
      <c r="G1898">
        <v>3978457</v>
      </c>
      <c r="H1898" s="116"/>
      <c r="I1898" s="116"/>
      <c r="L1898" s="170">
        <v>44798</v>
      </c>
      <c r="M1898" s="116">
        <v>106.25</v>
      </c>
      <c r="N1898" s="116">
        <v>107.9</v>
      </c>
      <c r="O1898" s="116">
        <v>105.75</v>
      </c>
      <c r="P1898" s="116">
        <v>107.05</v>
      </c>
      <c r="Q1898" s="116">
        <v>106.25</v>
      </c>
      <c r="R1898">
        <v>42186335</v>
      </c>
    </row>
    <row r="1899" spans="1:18" x14ac:dyDescent="0.25">
      <c r="A1899" s="170">
        <v>44799</v>
      </c>
      <c r="B1899" s="116">
        <v>109.2</v>
      </c>
      <c r="C1899" s="116">
        <v>107.4</v>
      </c>
      <c r="D1899" s="116">
        <v>107.1</v>
      </c>
      <c r="E1899" s="116">
        <v>107.3</v>
      </c>
      <c r="F1899" s="116">
        <v>107.4</v>
      </c>
      <c r="G1899">
        <v>2408297</v>
      </c>
      <c r="H1899" s="116"/>
      <c r="I1899" s="116"/>
      <c r="L1899" s="170">
        <v>44799</v>
      </c>
      <c r="M1899" s="116">
        <v>107.35</v>
      </c>
      <c r="N1899" s="116">
        <v>109.2</v>
      </c>
      <c r="O1899" s="116">
        <v>107.1</v>
      </c>
      <c r="P1899" s="116">
        <v>107.25</v>
      </c>
      <c r="Q1899" s="116">
        <v>107.35</v>
      </c>
      <c r="R1899">
        <v>71257092</v>
      </c>
    </row>
    <row r="1900" spans="1:18" x14ac:dyDescent="0.25">
      <c r="A1900" s="170">
        <v>44802</v>
      </c>
      <c r="B1900" s="116">
        <v>105.65</v>
      </c>
      <c r="C1900" s="116">
        <v>104.85</v>
      </c>
      <c r="D1900" s="116">
        <v>101.2</v>
      </c>
      <c r="E1900" s="116">
        <v>101.2</v>
      </c>
      <c r="F1900" s="116">
        <v>104.85</v>
      </c>
      <c r="G1900">
        <v>5943071</v>
      </c>
      <c r="H1900" s="116"/>
      <c r="I1900" s="116"/>
      <c r="L1900" s="170">
        <v>44802</v>
      </c>
      <c r="M1900" s="116">
        <v>104.85</v>
      </c>
      <c r="N1900" s="116">
        <v>105.65</v>
      </c>
      <c r="O1900" s="116">
        <v>103.25</v>
      </c>
      <c r="P1900" s="116">
        <v>104.05</v>
      </c>
      <c r="Q1900" s="116">
        <v>104.85</v>
      </c>
      <c r="R1900">
        <v>59895805</v>
      </c>
    </row>
    <row r="1901" spans="1:18" x14ac:dyDescent="0.25">
      <c r="A1901" s="170">
        <v>44803</v>
      </c>
      <c r="B1901" s="116">
        <v>108.45</v>
      </c>
      <c r="C1901" s="116">
        <v>108.3</v>
      </c>
      <c r="D1901" s="116">
        <v>106</v>
      </c>
      <c r="E1901" s="116">
        <v>106.3</v>
      </c>
      <c r="F1901" s="116">
        <v>108.3</v>
      </c>
      <c r="G1901">
        <v>5754654</v>
      </c>
      <c r="H1901" s="116"/>
      <c r="I1901" s="116"/>
      <c r="L1901" s="170">
        <v>44803</v>
      </c>
      <c r="M1901" s="116">
        <v>108.3</v>
      </c>
      <c r="N1901" s="116">
        <v>108.5</v>
      </c>
      <c r="O1901" s="116">
        <v>106.05</v>
      </c>
      <c r="P1901" s="116">
        <v>106.5</v>
      </c>
      <c r="Q1901" s="116">
        <v>108.3</v>
      </c>
      <c r="R1901">
        <v>67401780</v>
      </c>
    </row>
    <row r="1902" spans="1:18" x14ac:dyDescent="0.25">
      <c r="A1902" s="170">
        <v>44805</v>
      </c>
      <c r="B1902" s="116">
        <v>107.8</v>
      </c>
      <c r="C1902" s="116">
        <v>106.45</v>
      </c>
      <c r="D1902" s="116">
        <v>105.85</v>
      </c>
      <c r="E1902" s="116">
        <v>107.2</v>
      </c>
      <c r="F1902" s="116">
        <v>106.45</v>
      </c>
      <c r="G1902">
        <v>4250740</v>
      </c>
      <c r="H1902" s="116"/>
      <c r="I1902" s="116"/>
      <c r="L1902" s="170">
        <v>44805</v>
      </c>
      <c r="M1902" s="116">
        <v>106.4</v>
      </c>
      <c r="N1902" s="116">
        <v>107.75</v>
      </c>
      <c r="O1902" s="116">
        <v>105.9</v>
      </c>
      <c r="P1902" s="116">
        <v>107</v>
      </c>
      <c r="Q1902" s="116">
        <v>106.4</v>
      </c>
      <c r="R1902">
        <v>52454732</v>
      </c>
    </row>
    <row r="1903" spans="1:18" x14ac:dyDescent="0.25">
      <c r="A1903" s="170">
        <v>44806</v>
      </c>
      <c r="B1903" s="116">
        <v>107.05</v>
      </c>
      <c r="C1903" s="116">
        <v>105.55</v>
      </c>
      <c r="D1903" s="116">
        <v>105</v>
      </c>
      <c r="E1903" s="116">
        <v>106.9</v>
      </c>
      <c r="F1903" s="116">
        <v>105.55</v>
      </c>
      <c r="G1903">
        <v>4160902</v>
      </c>
      <c r="H1903" s="116"/>
      <c r="I1903" s="116"/>
      <c r="L1903" s="170">
        <v>44806</v>
      </c>
      <c r="M1903" s="116">
        <v>105.5</v>
      </c>
      <c r="N1903" s="116">
        <v>107</v>
      </c>
      <c r="O1903" s="116">
        <v>105</v>
      </c>
      <c r="P1903" s="116">
        <v>107</v>
      </c>
      <c r="Q1903" s="116">
        <v>105.5</v>
      </c>
      <c r="R1903">
        <v>45601352</v>
      </c>
    </row>
    <row r="1904" spans="1:18" x14ac:dyDescent="0.25">
      <c r="A1904" s="170">
        <v>44809</v>
      </c>
      <c r="B1904" s="116">
        <v>107.25</v>
      </c>
      <c r="C1904" s="116">
        <v>106.9</v>
      </c>
      <c r="D1904" s="116">
        <v>105.9</v>
      </c>
      <c r="E1904" s="116">
        <v>105.9</v>
      </c>
      <c r="F1904" s="116">
        <v>106.9</v>
      </c>
      <c r="G1904">
        <v>4969281</v>
      </c>
      <c r="H1904" s="116"/>
      <c r="I1904" s="116"/>
      <c r="L1904" s="170">
        <v>44809</v>
      </c>
      <c r="M1904" s="116">
        <v>106.9</v>
      </c>
      <c r="N1904" s="116">
        <v>107.3</v>
      </c>
      <c r="O1904" s="116">
        <v>105.8</v>
      </c>
      <c r="P1904" s="116">
        <v>106.05</v>
      </c>
      <c r="Q1904" s="116">
        <v>106.9</v>
      </c>
      <c r="R1904">
        <v>40352735</v>
      </c>
    </row>
    <row r="1905" spans="1:18" x14ac:dyDescent="0.25">
      <c r="A1905" s="170">
        <v>44810</v>
      </c>
      <c r="B1905" s="116">
        <v>108.75</v>
      </c>
      <c r="C1905" s="116">
        <v>108.55</v>
      </c>
      <c r="D1905" s="116">
        <v>106.05</v>
      </c>
      <c r="E1905" s="116">
        <v>107.15</v>
      </c>
      <c r="F1905" s="116">
        <v>108.55</v>
      </c>
      <c r="G1905">
        <v>6000201</v>
      </c>
      <c r="H1905" s="116"/>
      <c r="I1905" s="116"/>
      <c r="L1905" s="170">
        <v>44810</v>
      </c>
      <c r="M1905" s="116">
        <v>108.6</v>
      </c>
      <c r="N1905" s="116">
        <v>108.8</v>
      </c>
      <c r="O1905" s="116">
        <v>106.05</v>
      </c>
      <c r="P1905" s="116">
        <v>107.4</v>
      </c>
      <c r="Q1905" s="116">
        <v>108.6</v>
      </c>
      <c r="R1905">
        <v>59505849</v>
      </c>
    </row>
    <row r="1906" spans="1:18" x14ac:dyDescent="0.25">
      <c r="A1906" s="170">
        <v>44811</v>
      </c>
      <c r="B1906" s="116">
        <v>108.8</v>
      </c>
      <c r="C1906" s="116">
        <v>107.6</v>
      </c>
      <c r="D1906" s="116">
        <v>107.1</v>
      </c>
      <c r="E1906" s="116">
        <v>107.3</v>
      </c>
      <c r="F1906" s="116">
        <v>107.6</v>
      </c>
      <c r="G1906">
        <v>2104970</v>
      </c>
      <c r="H1906" s="116"/>
      <c r="I1906" s="116"/>
      <c r="L1906" s="170">
        <v>44811</v>
      </c>
      <c r="M1906" s="116">
        <v>107.6</v>
      </c>
      <c r="N1906" s="116">
        <v>108.9</v>
      </c>
      <c r="O1906" s="116">
        <v>107.1</v>
      </c>
      <c r="P1906" s="116">
        <v>107.55</v>
      </c>
      <c r="Q1906" s="116">
        <v>107.6</v>
      </c>
      <c r="R1906">
        <v>43945660</v>
      </c>
    </row>
    <row r="1907" spans="1:18" x14ac:dyDescent="0.25">
      <c r="A1907" s="170">
        <v>44812</v>
      </c>
      <c r="B1907" s="116">
        <v>108.5</v>
      </c>
      <c r="C1907" s="116">
        <v>105.85</v>
      </c>
      <c r="D1907" s="116">
        <v>105.3</v>
      </c>
      <c r="E1907" s="116">
        <v>108.15</v>
      </c>
      <c r="F1907" s="116">
        <v>105.85</v>
      </c>
      <c r="G1907">
        <v>4463250</v>
      </c>
      <c r="H1907" s="116"/>
      <c r="I1907" s="116"/>
      <c r="L1907" s="170">
        <v>44812</v>
      </c>
      <c r="M1907" s="116">
        <v>105.85</v>
      </c>
      <c r="N1907" s="116">
        <v>108.4</v>
      </c>
      <c r="O1907" s="116">
        <v>105.35</v>
      </c>
      <c r="P1907" s="116">
        <v>108.4</v>
      </c>
      <c r="Q1907" s="116">
        <v>105.85</v>
      </c>
      <c r="R1907">
        <v>71228405</v>
      </c>
    </row>
    <row r="1908" spans="1:18" x14ac:dyDescent="0.25">
      <c r="A1908" s="170">
        <v>44813</v>
      </c>
      <c r="B1908" s="116">
        <v>107.35</v>
      </c>
      <c r="C1908" s="116">
        <v>105.75</v>
      </c>
      <c r="D1908" s="116">
        <v>105.55</v>
      </c>
      <c r="E1908" s="116">
        <v>106.8</v>
      </c>
      <c r="F1908" s="116">
        <v>105.75</v>
      </c>
      <c r="G1908">
        <v>4350354</v>
      </c>
      <c r="H1908" s="116"/>
      <c r="I1908" s="116"/>
      <c r="L1908" s="170">
        <v>44813</v>
      </c>
      <c r="M1908" s="116">
        <v>105.7</v>
      </c>
      <c r="N1908" s="116">
        <v>107.35</v>
      </c>
      <c r="O1908" s="116">
        <v>105.5</v>
      </c>
      <c r="P1908" s="116">
        <v>107</v>
      </c>
      <c r="Q1908" s="116">
        <v>105.7</v>
      </c>
      <c r="R1908">
        <v>63647166</v>
      </c>
    </row>
    <row r="1909" spans="1:18" x14ac:dyDescent="0.25">
      <c r="A1909" s="170">
        <v>44816</v>
      </c>
      <c r="B1909" s="116">
        <v>107.9</v>
      </c>
      <c r="C1909" s="116">
        <v>107.7</v>
      </c>
      <c r="D1909" s="116">
        <v>106.45</v>
      </c>
      <c r="E1909" s="116">
        <v>106.7</v>
      </c>
      <c r="F1909" s="116">
        <v>107.7</v>
      </c>
      <c r="G1909">
        <v>5496065</v>
      </c>
      <c r="H1909" s="116"/>
      <c r="I1909" s="116"/>
      <c r="L1909" s="170">
        <v>44816</v>
      </c>
      <c r="M1909" s="116">
        <v>107.75</v>
      </c>
      <c r="N1909" s="116">
        <v>107.95</v>
      </c>
      <c r="O1909" s="116">
        <v>106.5</v>
      </c>
      <c r="P1909" s="116">
        <v>106.8</v>
      </c>
      <c r="Q1909" s="116">
        <v>107.75</v>
      </c>
      <c r="R1909">
        <v>40838533</v>
      </c>
    </row>
    <row r="1910" spans="1:18" x14ac:dyDescent="0.25">
      <c r="A1910" s="170">
        <v>44817</v>
      </c>
      <c r="B1910" s="116">
        <v>108.65</v>
      </c>
      <c r="C1910" s="116">
        <v>107.75</v>
      </c>
      <c r="D1910" s="116">
        <v>107.55</v>
      </c>
      <c r="E1910" s="116">
        <v>107.7</v>
      </c>
      <c r="F1910" s="116">
        <v>107.75</v>
      </c>
      <c r="G1910">
        <v>2080612</v>
      </c>
      <c r="H1910" s="116"/>
      <c r="I1910" s="116"/>
      <c r="L1910" s="170">
        <v>44817</v>
      </c>
      <c r="M1910" s="116">
        <v>107.75</v>
      </c>
      <c r="N1910" s="116">
        <v>108.7</v>
      </c>
      <c r="O1910" s="116">
        <v>107.55</v>
      </c>
      <c r="P1910" s="116">
        <v>108</v>
      </c>
      <c r="Q1910" s="116">
        <v>107.75</v>
      </c>
      <c r="R1910">
        <v>44179394</v>
      </c>
    </row>
    <row r="1911" spans="1:18" x14ac:dyDescent="0.25">
      <c r="A1911" s="170">
        <v>44818</v>
      </c>
      <c r="B1911" s="116">
        <v>110.4</v>
      </c>
      <c r="C1911" s="116">
        <v>109.1</v>
      </c>
      <c r="D1911" s="116">
        <v>105.8</v>
      </c>
      <c r="E1911" s="116">
        <v>106.1</v>
      </c>
      <c r="F1911" s="116">
        <v>109.1</v>
      </c>
      <c r="G1911">
        <v>8346563</v>
      </c>
      <c r="H1911" s="116"/>
      <c r="I1911" s="116"/>
      <c r="L1911" s="170">
        <v>44818</v>
      </c>
      <c r="M1911" s="116">
        <v>109.15</v>
      </c>
      <c r="N1911" s="116">
        <v>110.4</v>
      </c>
      <c r="O1911" s="116">
        <v>105.8</v>
      </c>
      <c r="P1911" s="116">
        <v>106.3</v>
      </c>
      <c r="Q1911" s="116">
        <v>109.15</v>
      </c>
      <c r="R1911">
        <v>86379872</v>
      </c>
    </row>
    <row r="1912" spans="1:18" x14ac:dyDescent="0.25">
      <c r="A1912" s="170">
        <v>44819</v>
      </c>
      <c r="B1912" s="116">
        <v>109</v>
      </c>
      <c r="C1912" s="116">
        <v>107</v>
      </c>
      <c r="D1912" s="116">
        <v>106.5</v>
      </c>
      <c r="E1912" s="116">
        <v>109</v>
      </c>
      <c r="F1912" s="116">
        <v>107</v>
      </c>
      <c r="G1912">
        <v>2776687</v>
      </c>
      <c r="H1912" s="116"/>
      <c r="I1912" s="116"/>
      <c r="L1912" s="170">
        <v>44819</v>
      </c>
      <c r="M1912" s="116">
        <v>107</v>
      </c>
      <c r="N1912" s="116">
        <v>109</v>
      </c>
      <c r="O1912" s="116">
        <v>106.5</v>
      </c>
      <c r="P1912" s="116">
        <v>108.65</v>
      </c>
      <c r="Q1912" s="116">
        <v>107</v>
      </c>
      <c r="R1912">
        <v>62926791</v>
      </c>
    </row>
    <row r="1913" spans="1:18" x14ac:dyDescent="0.25">
      <c r="A1913" s="170">
        <v>44820</v>
      </c>
      <c r="B1913" s="116">
        <v>107.55</v>
      </c>
      <c r="C1913" s="116">
        <v>105.8</v>
      </c>
      <c r="D1913" s="116">
        <v>105</v>
      </c>
      <c r="E1913" s="116">
        <v>106.35</v>
      </c>
      <c r="F1913" s="116">
        <v>105.8</v>
      </c>
      <c r="G1913">
        <v>4808283</v>
      </c>
      <c r="H1913" s="116"/>
      <c r="I1913" s="116"/>
      <c r="L1913" s="170">
        <v>44820</v>
      </c>
      <c r="M1913" s="116">
        <v>105.7</v>
      </c>
      <c r="N1913" s="116">
        <v>107.5</v>
      </c>
      <c r="O1913" s="116">
        <v>105</v>
      </c>
      <c r="P1913" s="116">
        <v>106.2</v>
      </c>
      <c r="Q1913" s="116">
        <v>105.7</v>
      </c>
      <c r="R1913">
        <v>107967267</v>
      </c>
    </row>
    <row r="1914" spans="1:18" x14ac:dyDescent="0.25">
      <c r="A1914" s="170">
        <v>44823</v>
      </c>
      <c r="B1914" s="116">
        <v>106.25</v>
      </c>
      <c r="C1914" s="116">
        <v>103.15</v>
      </c>
      <c r="D1914" s="116">
        <v>103</v>
      </c>
      <c r="E1914" s="116">
        <v>106.05</v>
      </c>
      <c r="F1914" s="116">
        <v>103.15</v>
      </c>
      <c r="G1914">
        <v>10985828</v>
      </c>
      <c r="H1914" s="116"/>
      <c r="I1914" s="116"/>
      <c r="L1914" s="170">
        <v>44823</v>
      </c>
      <c r="M1914" s="116">
        <v>103.1</v>
      </c>
      <c r="N1914" s="116">
        <v>106.2</v>
      </c>
      <c r="O1914" s="116">
        <v>103</v>
      </c>
      <c r="P1914" s="116">
        <v>106.2</v>
      </c>
      <c r="Q1914" s="116">
        <v>103.1</v>
      </c>
      <c r="R1914">
        <v>51146568</v>
      </c>
    </row>
    <row r="1915" spans="1:18" x14ac:dyDescent="0.25">
      <c r="A1915" s="170">
        <v>44824</v>
      </c>
      <c r="B1915" s="116">
        <v>106.35</v>
      </c>
      <c r="C1915" s="116">
        <v>105.85</v>
      </c>
      <c r="D1915" s="116">
        <v>104</v>
      </c>
      <c r="E1915" s="116">
        <v>104.25</v>
      </c>
      <c r="F1915" s="116">
        <v>105.85</v>
      </c>
      <c r="G1915">
        <v>4415941</v>
      </c>
      <c r="H1915" s="116"/>
      <c r="I1915" s="116"/>
      <c r="L1915" s="170">
        <v>44824</v>
      </c>
      <c r="M1915" s="116">
        <v>105.8</v>
      </c>
      <c r="N1915" s="116">
        <v>106.35</v>
      </c>
      <c r="O1915" s="116">
        <v>104</v>
      </c>
      <c r="P1915" s="116">
        <v>104.2</v>
      </c>
      <c r="Q1915" s="116">
        <v>105.8</v>
      </c>
      <c r="R1915">
        <v>52140254</v>
      </c>
    </row>
    <row r="1916" spans="1:18" x14ac:dyDescent="0.25">
      <c r="A1916" s="170">
        <v>44825</v>
      </c>
      <c r="B1916" s="116">
        <v>107.2</v>
      </c>
      <c r="C1916" s="116">
        <v>104.5</v>
      </c>
      <c r="D1916" s="116">
        <v>104.3</v>
      </c>
      <c r="E1916" s="116">
        <v>105.85</v>
      </c>
      <c r="F1916" s="116">
        <v>104.5</v>
      </c>
      <c r="G1916">
        <v>4045221</v>
      </c>
      <c r="H1916" s="116"/>
      <c r="I1916" s="116"/>
      <c r="L1916" s="170">
        <v>44825</v>
      </c>
      <c r="M1916" s="116">
        <v>104.45</v>
      </c>
      <c r="N1916" s="116">
        <v>107.2</v>
      </c>
      <c r="O1916" s="116">
        <v>104.3</v>
      </c>
      <c r="P1916" s="116">
        <v>105.8</v>
      </c>
      <c r="Q1916" s="116">
        <v>104.45</v>
      </c>
      <c r="R1916">
        <v>46142823</v>
      </c>
    </row>
    <row r="1917" spans="1:18" x14ac:dyDescent="0.25">
      <c r="A1917" s="170">
        <v>44826</v>
      </c>
      <c r="B1917" s="116">
        <v>105.3</v>
      </c>
      <c r="C1917" s="116">
        <v>103.65</v>
      </c>
      <c r="D1917" s="116">
        <v>103.5</v>
      </c>
      <c r="E1917" s="116">
        <v>104.5</v>
      </c>
      <c r="F1917" s="116">
        <v>103.65</v>
      </c>
      <c r="G1917">
        <v>4167273</v>
      </c>
      <c r="H1917" s="116"/>
      <c r="I1917" s="116"/>
      <c r="L1917" s="170">
        <v>44826</v>
      </c>
      <c r="M1917" s="116">
        <v>103.6</v>
      </c>
      <c r="N1917" s="116">
        <v>105.3</v>
      </c>
      <c r="O1917" s="116">
        <v>103.5</v>
      </c>
      <c r="P1917" s="116">
        <v>104.45</v>
      </c>
      <c r="Q1917" s="116">
        <v>103.6</v>
      </c>
      <c r="R1917">
        <v>61380323</v>
      </c>
    </row>
    <row r="1918" spans="1:18" x14ac:dyDescent="0.25">
      <c r="A1918" s="170">
        <v>44827</v>
      </c>
      <c r="B1918" s="116">
        <v>107.9</v>
      </c>
      <c r="C1918" s="116">
        <v>104.25</v>
      </c>
      <c r="D1918" s="116">
        <v>103.75</v>
      </c>
      <c r="E1918" s="116">
        <v>106.2</v>
      </c>
      <c r="F1918" s="116">
        <v>104.25</v>
      </c>
      <c r="G1918">
        <v>7815307</v>
      </c>
      <c r="H1918" s="116"/>
      <c r="I1918" s="116"/>
      <c r="L1918" s="170">
        <v>44827</v>
      </c>
      <c r="M1918" s="116">
        <v>104.3</v>
      </c>
      <c r="N1918" s="116">
        <v>107.9</v>
      </c>
      <c r="O1918" s="116">
        <v>103.75</v>
      </c>
      <c r="P1918" s="116">
        <v>106.2</v>
      </c>
      <c r="Q1918" s="116">
        <v>104.3</v>
      </c>
      <c r="R1918">
        <v>109765520</v>
      </c>
    </row>
    <row r="1919" spans="1:18" x14ac:dyDescent="0.25">
      <c r="A1919" s="170">
        <v>44830</v>
      </c>
      <c r="B1919" s="116">
        <v>104.5</v>
      </c>
      <c r="C1919" s="116">
        <v>99.85</v>
      </c>
      <c r="D1919" s="116">
        <v>98.5</v>
      </c>
      <c r="E1919" s="116">
        <v>104.5</v>
      </c>
      <c r="F1919" s="116">
        <v>99.85</v>
      </c>
      <c r="G1919">
        <v>5309642</v>
      </c>
      <c r="H1919" s="116"/>
      <c r="I1919" s="116"/>
      <c r="L1919" s="170">
        <v>44830</v>
      </c>
      <c r="M1919" s="116">
        <v>99.85</v>
      </c>
      <c r="N1919" s="116">
        <v>104.45</v>
      </c>
      <c r="O1919" s="116">
        <v>98.5</v>
      </c>
      <c r="P1919" s="116">
        <v>104.4</v>
      </c>
      <c r="Q1919" s="116">
        <v>99.85</v>
      </c>
      <c r="R1919">
        <v>101291962</v>
      </c>
    </row>
    <row r="1920" spans="1:18" x14ac:dyDescent="0.25">
      <c r="A1920" s="170">
        <v>44831</v>
      </c>
      <c r="B1920" s="116">
        <v>101.3</v>
      </c>
      <c r="C1920" s="116">
        <v>97.6</v>
      </c>
      <c r="D1920" s="116">
        <v>96.55</v>
      </c>
      <c r="E1920" s="116">
        <v>101.1</v>
      </c>
      <c r="F1920" s="116">
        <v>97.6</v>
      </c>
      <c r="G1920">
        <v>8194478</v>
      </c>
      <c r="H1920" s="116"/>
      <c r="I1920" s="116"/>
      <c r="L1920" s="170">
        <v>44831</v>
      </c>
      <c r="M1920" s="116">
        <v>97.65</v>
      </c>
      <c r="N1920" s="116">
        <v>101.35</v>
      </c>
      <c r="O1920" s="116">
        <v>96.5</v>
      </c>
      <c r="P1920" s="116">
        <v>101.35</v>
      </c>
      <c r="Q1920" s="116">
        <v>97.65</v>
      </c>
      <c r="R1920">
        <v>104949032</v>
      </c>
    </row>
    <row r="1921" spans="1:18" x14ac:dyDescent="0.25">
      <c r="A1921" s="170">
        <v>44832</v>
      </c>
      <c r="B1921" s="116">
        <v>97.85</v>
      </c>
      <c r="C1921" s="116">
        <v>95.25</v>
      </c>
      <c r="D1921" s="116">
        <v>95</v>
      </c>
      <c r="E1921" s="116">
        <v>96.65</v>
      </c>
      <c r="F1921" s="116">
        <v>95.25</v>
      </c>
      <c r="G1921">
        <v>3254693</v>
      </c>
      <c r="H1921" s="116"/>
      <c r="I1921" s="116"/>
      <c r="L1921" s="170">
        <v>44832</v>
      </c>
      <c r="M1921" s="116">
        <v>95.2</v>
      </c>
      <c r="N1921" s="116">
        <v>97.85</v>
      </c>
      <c r="O1921" s="116">
        <v>95</v>
      </c>
      <c r="P1921" s="116">
        <v>96.55</v>
      </c>
      <c r="Q1921" s="116">
        <v>95.2</v>
      </c>
      <c r="R1921">
        <v>71724106</v>
      </c>
    </row>
    <row r="1922" spans="1:18" x14ac:dyDescent="0.25">
      <c r="A1922" s="170">
        <v>44833</v>
      </c>
      <c r="B1922" s="116">
        <v>98.3</v>
      </c>
      <c r="C1922" s="116">
        <v>96.85</v>
      </c>
      <c r="D1922" s="116">
        <v>96.4</v>
      </c>
      <c r="E1922" s="116">
        <v>96.9</v>
      </c>
      <c r="F1922" s="116">
        <v>96.85</v>
      </c>
      <c r="G1922">
        <v>4897702</v>
      </c>
      <c r="H1922" s="116"/>
      <c r="I1922" s="116"/>
      <c r="L1922" s="170">
        <v>44833</v>
      </c>
      <c r="M1922" s="116">
        <v>96.85</v>
      </c>
      <c r="N1922" s="116">
        <v>98.25</v>
      </c>
      <c r="O1922" s="116">
        <v>96.4</v>
      </c>
      <c r="P1922" s="116">
        <v>97</v>
      </c>
      <c r="Q1922" s="116">
        <v>96.85</v>
      </c>
      <c r="R1922">
        <v>60884592</v>
      </c>
    </row>
    <row r="1923" spans="1:18" x14ac:dyDescent="0.25">
      <c r="A1923" s="170">
        <v>44834</v>
      </c>
      <c r="B1923" s="116">
        <v>100.4</v>
      </c>
      <c r="C1923" s="116">
        <v>99.3</v>
      </c>
      <c r="D1923" s="116">
        <v>95.7</v>
      </c>
      <c r="E1923" s="116">
        <v>96.7</v>
      </c>
      <c r="F1923" s="116">
        <v>99.3</v>
      </c>
      <c r="G1923">
        <v>5196062</v>
      </c>
      <c r="H1923" s="116"/>
      <c r="I1923" s="116"/>
      <c r="L1923" s="170">
        <v>44834</v>
      </c>
      <c r="M1923" s="116">
        <v>99.3</v>
      </c>
      <c r="N1923" s="116">
        <v>100.4</v>
      </c>
      <c r="O1923" s="116">
        <v>95.7</v>
      </c>
      <c r="P1923" s="116">
        <v>96.85</v>
      </c>
      <c r="Q1923" s="116">
        <v>99.3</v>
      </c>
      <c r="R1923">
        <v>66436616</v>
      </c>
    </row>
    <row r="1924" spans="1:18" x14ac:dyDescent="0.25">
      <c r="A1924" s="170">
        <v>44837</v>
      </c>
      <c r="B1924" s="116">
        <v>99.6</v>
      </c>
      <c r="C1924" s="116">
        <v>98.3</v>
      </c>
      <c r="D1924" s="116">
        <v>98</v>
      </c>
      <c r="E1924" s="116">
        <v>99.4</v>
      </c>
      <c r="F1924" s="116">
        <v>98.3</v>
      </c>
      <c r="G1924">
        <v>3479333</v>
      </c>
      <c r="H1924" s="116"/>
      <c r="I1924" s="116"/>
      <c r="L1924" s="170">
        <v>44837</v>
      </c>
      <c r="M1924" s="116">
        <v>98.35</v>
      </c>
      <c r="N1924" s="116">
        <v>99.65</v>
      </c>
      <c r="O1924" s="116">
        <v>98</v>
      </c>
      <c r="P1924" s="116">
        <v>99.6</v>
      </c>
      <c r="Q1924" s="116">
        <v>98.35</v>
      </c>
      <c r="R1924">
        <v>37282313</v>
      </c>
    </row>
    <row r="1925" spans="1:18" x14ac:dyDescent="0.25">
      <c r="A1925" s="170">
        <v>44838</v>
      </c>
      <c r="B1925" s="116">
        <v>101.5</v>
      </c>
      <c r="C1925" s="116">
        <v>101.15</v>
      </c>
      <c r="D1925" s="116">
        <v>99.6</v>
      </c>
      <c r="E1925" s="116">
        <v>99.6</v>
      </c>
      <c r="F1925" s="116">
        <v>101.15</v>
      </c>
      <c r="G1925">
        <v>1919491</v>
      </c>
      <c r="H1925" s="116"/>
      <c r="I1925" s="116"/>
      <c r="L1925" s="170">
        <v>44838</v>
      </c>
      <c r="M1925" s="116">
        <v>101.15</v>
      </c>
      <c r="N1925" s="116">
        <v>101.5</v>
      </c>
      <c r="O1925" s="116">
        <v>100</v>
      </c>
      <c r="P1925" s="116">
        <v>100.3</v>
      </c>
      <c r="Q1925" s="116">
        <v>101.15</v>
      </c>
      <c r="R1925">
        <v>40186702</v>
      </c>
    </row>
    <row r="1926" spans="1:18" x14ac:dyDescent="0.25">
      <c r="A1926" s="170">
        <v>44840</v>
      </c>
      <c r="B1926" s="116">
        <v>103.8</v>
      </c>
      <c r="C1926" s="116">
        <v>103.45</v>
      </c>
      <c r="D1926" s="116">
        <v>101.75</v>
      </c>
      <c r="E1926" s="116">
        <v>102</v>
      </c>
      <c r="F1926" s="116">
        <v>103.45</v>
      </c>
      <c r="G1926">
        <v>4893642</v>
      </c>
      <c r="H1926" s="116"/>
      <c r="I1926" s="116"/>
      <c r="L1926" s="170">
        <v>44840</v>
      </c>
      <c r="M1926" s="116">
        <v>103.55</v>
      </c>
      <c r="N1926" s="116">
        <v>103.8</v>
      </c>
      <c r="O1926" s="116">
        <v>101.75</v>
      </c>
      <c r="P1926" s="116">
        <v>102</v>
      </c>
      <c r="Q1926" s="116">
        <v>103.55</v>
      </c>
      <c r="R1926">
        <v>48169310</v>
      </c>
    </row>
    <row r="1927" spans="1:18" x14ac:dyDescent="0.25">
      <c r="A1927" s="170">
        <v>44841</v>
      </c>
      <c r="B1927" s="116">
        <v>103.45</v>
      </c>
      <c r="C1927" s="116">
        <v>103.2</v>
      </c>
      <c r="D1927" s="116">
        <v>101.85</v>
      </c>
      <c r="E1927" s="116">
        <v>103.35</v>
      </c>
      <c r="F1927" s="116">
        <v>103.2</v>
      </c>
      <c r="G1927">
        <v>1716013</v>
      </c>
      <c r="H1927" s="116"/>
      <c r="I1927" s="116"/>
      <c r="L1927" s="170">
        <v>44841</v>
      </c>
      <c r="M1927" s="116">
        <v>103.3</v>
      </c>
      <c r="N1927" s="116">
        <v>103.5</v>
      </c>
      <c r="O1927" s="116">
        <v>101.9</v>
      </c>
      <c r="P1927" s="116">
        <v>103.3</v>
      </c>
      <c r="Q1927" s="116">
        <v>103.3</v>
      </c>
      <c r="R1927">
        <v>36080875</v>
      </c>
    </row>
    <row r="1928" spans="1:18" x14ac:dyDescent="0.25">
      <c r="A1928" s="170">
        <v>44844</v>
      </c>
      <c r="B1928" s="116">
        <v>103.9</v>
      </c>
      <c r="C1928" s="116">
        <v>103.25</v>
      </c>
      <c r="D1928" s="116">
        <v>101.2</v>
      </c>
      <c r="E1928" s="116">
        <v>102</v>
      </c>
      <c r="F1928" s="116">
        <v>103.25</v>
      </c>
      <c r="G1928">
        <v>1748242</v>
      </c>
      <c r="H1928" s="116"/>
      <c r="I1928" s="116"/>
      <c r="L1928" s="170">
        <v>44844</v>
      </c>
      <c r="M1928" s="116">
        <v>103.2</v>
      </c>
      <c r="N1928" s="116">
        <v>103.5</v>
      </c>
      <c r="O1928" s="116">
        <v>101.15</v>
      </c>
      <c r="P1928" s="116">
        <v>102</v>
      </c>
      <c r="Q1928" s="116">
        <v>103.2</v>
      </c>
      <c r="R1928">
        <v>36641275</v>
      </c>
    </row>
    <row r="1929" spans="1:18" x14ac:dyDescent="0.25">
      <c r="A1929" s="170">
        <v>44845</v>
      </c>
      <c r="B1929" s="116">
        <v>103.5</v>
      </c>
      <c r="C1929" s="116">
        <v>100.3</v>
      </c>
      <c r="D1929" s="116">
        <v>99.9</v>
      </c>
      <c r="E1929" s="116">
        <v>103.3</v>
      </c>
      <c r="F1929" s="116">
        <v>100.3</v>
      </c>
      <c r="G1929">
        <v>12749057</v>
      </c>
      <c r="H1929" s="116"/>
      <c r="I1929" s="116"/>
      <c r="L1929" s="170">
        <v>44845</v>
      </c>
      <c r="M1929" s="116">
        <v>100.35</v>
      </c>
      <c r="N1929" s="116">
        <v>103.65</v>
      </c>
      <c r="O1929" s="116">
        <v>99.8</v>
      </c>
      <c r="P1929" s="116">
        <v>103.55</v>
      </c>
      <c r="Q1929" s="116">
        <v>100.35</v>
      </c>
      <c r="R1929">
        <v>41083734</v>
      </c>
    </row>
    <row r="1930" spans="1:18" x14ac:dyDescent="0.25">
      <c r="A1930" s="170">
        <v>44846</v>
      </c>
      <c r="B1930" s="116">
        <v>101.15</v>
      </c>
      <c r="C1930" s="116">
        <v>100.55</v>
      </c>
      <c r="D1930" s="116">
        <v>99</v>
      </c>
      <c r="E1930" s="116">
        <v>100.5</v>
      </c>
      <c r="F1930" s="116">
        <v>100.55</v>
      </c>
      <c r="G1930">
        <v>2423376</v>
      </c>
      <c r="H1930" s="116"/>
      <c r="I1930" s="116"/>
      <c r="L1930" s="170">
        <v>44846</v>
      </c>
      <c r="M1930" s="116">
        <v>100.55</v>
      </c>
      <c r="N1930" s="116">
        <v>101.2</v>
      </c>
      <c r="O1930" s="116">
        <v>99</v>
      </c>
      <c r="P1930" s="116">
        <v>100.35</v>
      </c>
      <c r="Q1930" s="116">
        <v>100.55</v>
      </c>
      <c r="R1930">
        <v>41357469</v>
      </c>
    </row>
    <row r="1931" spans="1:18" x14ac:dyDescent="0.25">
      <c r="A1931" s="170">
        <v>44847</v>
      </c>
      <c r="B1931" s="116">
        <v>101.8</v>
      </c>
      <c r="C1931" s="116">
        <v>100.1</v>
      </c>
      <c r="D1931" s="116">
        <v>98.85</v>
      </c>
      <c r="E1931" s="116">
        <v>100.7</v>
      </c>
      <c r="F1931" s="116">
        <v>100.1</v>
      </c>
      <c r="G1931">
        <v>3107555</v>
      </c>
      <c r="H1931" s="116"/>
      <c r="I1931" s="116"/>
      <c r="L1931" s="170">
        <v>44847</v>
      </c>
      <c r="M1931" s="116">
        <v>100.1</v>
      </c>
      <c r="N1931" s="116">
        <v>101.8</v>
      </c>
      <c r="O1931" s="116">
        <v>98.8</v>
      </c>
      <c r="P1931" s="116">
        <v>101.1</v>
      </c>
      <c r="Q1931" s="116">
        <v>100.1</v>
      </c>
      <c r="R1931">
        <v>34668093</v>
      </c>
    </row>
    <row r="1932" spans="1:18" x14ac:dyDescent="0.25">
      <c r="A1932" s="170">
        <v>44848</v>
      </c>
      <c r="B1932" s="116">
        <v>102.7</v>
      </c>
      <c r="C1932" s="116">
        <v>100.1</v>
      </c>
      <c r="D1932" s="116">
        <v>99.85</v>
      </c>
      <c r="E1932" s="116">
        <v>101.6</v>
      </c>
      <c r="F1932" s="116">
        <v>100.1</v>
      </c>
      <c r="G1932">
        <v>3020846</v>
      </c>
      <c r="H1932" s="116"/>
      <c r="I1932" s="116"/>
      <c r="L1932" s="170">
        <v>44848</v>
      </c>
      <c r="M1932" s="116">
        <v>100.1</v>
      </c>
      <c r="N1932" s="116">
        <v>102.8</v>
      </c>
      <c r="O1932" s="116">
        <v>99.9</v>
      </c>
      <c r="P1932" s="116">
        <v>101.85</v>
      </c>
      <c r="Q1932" s="116">
        <v>100.1</v>
      </c>
      <c r="R1932">
        <v>32456805</v>
      </c>
    </row>
    <row r="1933" spans="1:18" x14ac:dyDescent="0.25">
      <c r="A1933" s="170">
        <v>44851</v>
      </c>
      <c r="B1933" s="116">
        <v>100.4</v>
      </c>
      <c r="C1933" s="116">
        <v>99.55</v>
      </c>
      <c r="D1933" s="116">
        <v>98.1</v>
      </c>
      <c r="E1933" s="116">
        <v>99.85</v>
      </c>
      <c r="F1933" s="116">
        <v>99.55</v>
      </c>
      <c r="G1933">
        <v>12754082</v>
      </c>
      <c r="H1933" s="116"/>
      <c r="I1933" s="116"/>
      <c r="L1933" s="170">
        <v>44851</v>
      </c>
      <c r="M1933" s="116">
        <v>99.55</v>
      </c>
      <c r="N1933" s="116">
        <v>100.4</v>
      </c>
      <c r="O1933" s="116">
        <v>98.1</v>
      </c>
      <c r="P1933" s="116">
        <v>99.75</v>
      </c>
      <c r="Q1933" s="116">
        <v>99.55</v>
      </c>
      <c r="R1933">
        <v>37568783</v>
      </c>
    </row>
    <row r="1934" spans="1:18" x14ac:dyDescent="0.25">
      <c r="A1934" s="170">
        <v>44852</v>
      </c>
      <c r="B1934" s="116">
        <v>101</v>
      </c>
      <c r="C1934" s="116">
        <v>100.6</v>
      </c>
      <c r="D1934" s="116">
        <v>99.8</v>
      </c>
      <c r="E1934" s="116">
        <v>100.1</v>
      </c>
      <c r="F1934" s="116">
        <v>100.6</v>
      </c>
      <c r="G1934">
        <v>2827302</v>
      </c>
      <c r="H1934" s="116"/>
      <c r="I1934" s="116"/>
      <c r="L1934" s="170">
        <v>44852</v>
      </c>
      <c r="M1934" s="116">
        <v>100.65</v>
      </c>
      <c r="N1934" s="116">
        <v>101</v>
      </c>
      <c r="O1934" s="116">
        <v>99.8</v>
      </c>
      <c r="P1934" s="116">
        <v>100.3</v>
      </c>
      <c r="Q1934" s="116">
        <v>100.65</v>
      </c>
      <c r="R1934">
        <v>30722156</v>
      </c>
    </row>
    <row r="1935" spans="1:18" x14ac:dyDescent="0.25">
      <c r="A1935" s="170">
        <v>44853</v>
      </c>
      <c r="B1935" s="116">
        <v>101.2</v>
      </c>
      <c r="C1935" s="116">
        <v>100.05</v>
      </c>
      <c r="D1935" s="116">
        <v>99.7</v>
      </c>
      <c r="E1935" s="116">
        <v>100.6</v>
      </c>
      <c r="F1935" s="116">
        <v>100.05</v>
      </c>
      <c r="G1935">
        <v>2331137</v>
      </c>
      <c r="H1935" s="116"/>
      <c r="I1935" s="116"/>
      <c r="L1935" s="170">
        <v>44853</v>
      </c>
      <c r="M1935" s="116">
        <v>100.05</v>
      </c>
      <c r="N1935" s="116">
        <v>101.25</v>
      </c>
      <c r="O1935" s="116">
        <v>99.7</v>
      </c>
      <c r="P1935" s="116">
        <v>100.6</v>
      </c>
      <c r="Q1935" s="116">
        <v>100.05</v>
      </c>
      <c r="R1935">
        <v>38764542</v>
      </c>
    </row>
    <row r="1936" spans="1:18" x14ac:dyDescent="0.25">
      <c r="A1936" s="170">
        <v>44854</v>
      </c>
      <c r="B1936" s="116">
        <v>101.1</v>
      </c>
      <c r="C1936" s="116">
        <v>100.9</v>
      </c>
      <c r="D1936" s="116">
        <v>98.8</v>
      </c>
      <c r="E1936" s="116">
        <v>99.5</v>
      </c>
      <c r="F1936" s="116">
        <v>100.9</v>
      </c>
      <c r="G1936">
        <v>3573785</v>
      </c>
      <c r="H1936" s="116"/>
      <c r="I1936" s="116"/>
      <c r="L1936" s="170">
        <v>44854</v>
      </c>
      <c r="M1936" s="116">
        <v>100.9</v>
      </c>
      <c r="N1936" s="116">
        <v>101.2</v>
      </c>
      <c r="O1936" s="116">
        <v>98.8</v>
      </c>
      <c r="P1936" s="116">
        <v>99.5</v>
      </c>
      <c r="Q1936" s="116">
        <v>100.9</v>
      </c>
      <c r="R1936">
        <v>38091315</v>
      </c>
    </row>
    <row r="1937" spans="1:18" x14ac:dyDescent="0.25">
      <c r="A1937" s="170">
        <v>44855</v>
      </c>
      <c r="B1937" s="116">
        <v>101.45</v>
      </c>
      <c r="C1937" s="116">
        <v>100.15</v>
      </c>
      <c r="D1937" s="116">
        <v>99.35</v>
      </c>
      <c r="E1937" s="116">
        <v>100.65</v>
      </c>
      <c r="F1937" s="116">
        <v>100.15</v>
      </c>
      <c r="G1937">
        <v>2488930</v>
      </c>
      <c r="H1937" s="116"/>
      <c r="I1937" s="116"/>
      <c r="L1937" s="170">
        <v>44855</v>
      </c>
      <c r="M1937" s="116">
        <v>100.2</v>
      </c>
      <c r="N1937" s="116">
        <v>101.45</v>
      </c>
      <c r="O1937" s="116">
        <v>99.35</v>
      </c>
      <c r="P1937" s="116">
        <v>100.85</v>
      </c>
      <c r="Q1937" s="116">
        <v>100.2</v>
      </c>
      <c r="R1937">
        <v>30973997</v>
      </c>
    </row>
    <row r="1938" spans="1:18" x14ac:dyDescent="0.25">
      <c r="A1938" s="170">
        <v>44858</v>
      </c>
      <c r="B1938" s="116">
        <v>102</v>
      </c>
      <c r="C1938" s="116">
        <v>101.2</v>
      </c>
      <c r="D1938" s="116">
        <v>101</v>
      </c>
      <c r="E1938" s="116">
        <v>102</v>
      </c>
      <c r="F1938" s="116">
        <v>101.2</v>
      </c>
      <c r="G1938">
        <v>496638</v>
      </c>
      <c r="H1938" s="116"/>
      <c r="I1938" s="116"/>
      <c r="L1938" s="170">
        <v>44858</v>
      </c>
      <c r="M1938" s="116">
        <v>101.2</v>
      </c>
      <c r="N1938" s="116">
        <v>102.1</v>
      </c>
      <c r="O1938" s="116">
        <v>101</v>
      </c>
      <c r="P1938" s="116">
        <v>102</v>
      </c>
      <c r="Q1938" s="116">
        <v>101.2</v>
      </c>
      <c r="R1938">
        <v>7480281</v>
      </c>
    </row>
    <row r="1939" spans="1:18" x14ac:dyDescent="0.25">
      <c r="A1939" s="170">
        <v>44859</v>
      </c>
      <c r="B1939" s="116">
        <v>102.5</v>
      </c>
      <c r="C1939" s="116">
        <v>101.15</v>
      </c>
      <c r="D1939" s="116">
        <v>100.65</v>
      </c>
      <c r="E1939" s="116">
        <v>101</v>
      </c>
      <c r="F1939" s="116">
        <v>101.15</v>
      </c>
      <c r="G1939">
        <v>3108326</v>
      </c>
      <c r="H1939" s="116"/>
      <c r="I1939" s="116"/>
      <c r="L1939" s="170">
        <v>44859</v>
      </c>
      <c r="M1939" s="116">
        <v>101.2</v>
      </c>
      <c r="N1939" s="116">
        <v>102.5</v>
      </c>
      <c r="O1939" s="116">
        <v>100.7</v>
      </c>
      <c r="P1939" s="116">
        <v>101.15</v>
      </c>
      <c r="Q1939" s="116">
        <v>101.2</v>
      </c>
      <c r="R1939">
        <v>37163180</v>
      </c>
    </row>
    <row r="1940" spans="1:18" x14ac:dyDescent="0.25">
      <c r="A1940" s="170">
        <v>44861</v>
      </c>
      <c r="B1940" s="116">
        <v>104.65</v>
      </c>
      <c r="C1940" s="116">
        <v>104.2</v>
      </c>
      <c r="D1940" s="116">
        <v>102.05</v>
      </c>
      <c r="E1940" s="116">
        <v>102.05</v>
      </c>
      <c r="F1940" s="116">
        <v>104.2</v>
      </c>
      <c r="G1940">
        <v>3699848</v>
      </c>
      <c r="H1940" s="116"/>
      <c r="I1940" s="116"/>
      <c r="L1940" s="170">
        <v>44861</v>
      </c>
      <c r="M1940" s="116">
        <v>104.2</v>
      </c>
      <c r="N1940" s="116">
        <v>104.65</v>
      </c>
      <c r="O1940" s="116">
        <v>102.05</v>
      </c>
      <c r="P1940" s="116">
        <v>102.25</v>
      </c>
      <c r="Q1940" s="116">
        <v>104.2</v>
      </c>
      <c r="R1940">
        <v>74349009</v>
      </c>
    </row>
    <row r="1941" spans="1:18" x14ac:dyDescent="0.25">
      <c r="A1941" s="170">
        <v>44862</v>
      </c>
      <c r="B1941" s="116">
        <v>104.5</v>
      </c>
      <c r="C1941" s="116">
        <v>101.55</v>
      </c>
      <c r="D1941" s="116">
        <v>100.8</v>
      </c>
      <c r="E1941" s="116">
        <v>104.05</v>
      </c>
      <c r="F1941" s="116">
        <v>101.55</v>
      </c>
      <c r="G1941">
        <v>3814661</v>
      </c>
      <c r="H1941" s="116"/>
      <c r="I1941" s="116"/>
      <c r="L1941" s="170">
        <v>44862</v>
      </c>
      <c r="M1941" s="116">
        <v>101.6</v>
      </c>
      <c r="N1941" s="116">
        <v>104.6</v>
      </c>
      <c r="O1941" s="116">
        <v>100.8</v>
      </c>
      <c r="P1941" s="116">
        <v>104.1</v>
      </c>
      <c r="Q1941" s="116">
        <v>101.6</v>
      </c>
      <c r="R1941">
        <v>51006232</v>
      </c>
    </row>
    <row r="1942" spans="1:18" x14ac:dyDescent="0.25">
      <c r="A1942" s="170">
        <v>44865</v>
      </c>
      <c r="B1942" s="116">
        <v>102.15</v>
      </c>
      <c r="C1942" s="116">
        <v>101.55</v>
      </c>
      <c r="D1942" s="116">
        <v>100.3</v>
      </c>
      <c r="E1942" s="116">
        <v>101.7</v>
      </c>
      <c r="F1942" s="116">
        <v>101.55</v>
      </c>
      <c r="G1942">
        <v>1897296</v>
      </c>
      <c r="H1942" s="116"/>
      <c r="I1942" s="116"/>
      <c r="L1942" s="170">
        <v>44865</v>
      </c>
      <c r="M1942" s="116">
        <v>101.55</v>
      </c>
      <c r="N1942" s="116">
        <v>102.15</v>
      </c>
      <c r="O1942" s="116">
        <v>100.3</v>
      </c>
      <c r="P1942" s="116">
        <v>101.9</v>
      </c>
      <c r="Q1942" s="116">
        <v>101.55</v>
      </c>
      <c r="R1942">
        <v>38715841</v>
      </c>
    </row>
    <row r="1943" spans="1:18" x14ac:dyDescent="0.25">
      <c r="A1943" s="170">
        <v>44866</v>
      </c>
      <c r="B1943" s="116">
        <v>101.45</v>
      </c>
      <c r="C1943" s="116">
        <v>101.2</v>
      </c>
      <c r="D1943" s="116">
        <v>98.15</v>
      </c>
      <c r="E1943" s="116">
        <v>98.15</v>
      </c>
      <c r="F1943" s="116">
        <v>101.2</v>
      </c>
      <c r="G1943">
        <v>6014204</v>
      </c>
      <c r="H1943" s="116"/>
      <c r="I1943" s="116"/>
      <c r="L1943" s="170">
        <v>44866</v>
      </c>
      <c r="M1943" s="116">
        <v>101.2</v>
      </c>
      <c r="N1943" s="116">
        <v>101.45</v>
      </c>
      <c r="O1943" s="116">
        <v>98.55</v>
      </c>
      <c r="P1943" s="116">
        <v>98.55</v>
      </c>
      <c r="Q1943" s="116">
        <v>101.2</v>
      </c>
      <c r="R1943">
        <v>69031178</v>
      </c>
    </row>
    <row r="1944" spans="1:18" x14ac:dyDescent="0.25">
      <c r="A1944" s="170">
        <v>44867</v>
      </c>
      <c r="B1944" s="116">
        <v>102.9</v>
      </c>
      <c r="C1944" s="116">
        <v>101.2</v>
      </c>
      <c r="D1944" s="116">
        <v>100.8</v>
      </c>
      <c r="E1944" s="116">
        <v>100.9</v>
      </c>
      <c r="F1944" s="116">
        <v>101.2</v>
      </c>
      <c r="G1944">
        <v>4184733</v>
      </c>
      <c r="H1944" s="116"/>
      <c r="I1944" s="116"/>
      <c r="L1944" s="170">
        <v>44867</v>
      </c>
      <c r="M1944" s="116">
        <v>101.25</v>
      </c>
      <c r="N1944" s="116">
        <v>103</v>
      </c>
      <c r="O1944" s="116">
        <v>100.8</v>
      </c>
      <c r="P1944" s="116">
        <v>101</v>
      </c>
      <c r="Q1944" s="116">
        <v>101.25</v>
      </c>
      <c r="R1944">
        <v>42336049</v>
      </c>
    </row>
    <row r="1945" spans="1:18" x14ac:dyDescent="0.25">
      <c r="A1945" s="170">
        <v>44868</v>
      </c>
      <c r="B1945" s="116">
        <v>102.6</v>
      </c>
      <c r="C1945" s="116">
        <v>102.2</v>
      </c>
      <c r="D1945" s="116">
        <v>100.05</v>
      </c>
      <c r="E1945" s="116">
        <v>100.6</v>
      </c>
      <c r="F1945" s="116">
        <v>102.2</v>
      </c>
      <c r="G1945">
        <v>2317113</v>
      </c>
      <c r="H1945" s="116"/>
      <c r="I1945" s="116"/>
      <c r="L1945" s="170">
        <v>44868</v>
      </c>
      <c r="M1945" s="116">
        <v>102</v>
      </c>
      <c r="N1945" s="116">
        <v>102.45</v>
      </c>
      <c r="O1945" s="116">
        <v>100</v>
      </c>
      <c r="P1945" s="116">
        <v>100.75</v>
      </c>
      <c r="Q1945" s="116">
        <v>102</v>
      </c>
      <c r="R1945">
        <v>39110676</v>
      </c>
    </row>
    <row r="1946" spans="1:18" x14ac:dyDescent="0.25">
      <c r="A1946" s="170">
        <v>44869</v>
      </c>
      <c r="B1946" s="116">
        <v>105</v>
      </c>
      <c r="C1946" s="116">
        <v>104.75</v>
      </c>
      <c r="D1946" s="116">
        <v>102.25</v>
      </c>
      <c r="E1946" s="116">
        <v>102.25</v>
      </c>
      <c r="F1946" s="116">
        <v>104.75</v>
      </c>
      <c r="G1946">
        <v>8220902</v>
      </c>
      <c r="H1946" s="116"/>
      <c r="I1946" s="116"/>
      <c r="L1946" s="170">
        <v>44869</v>
      </c>
      <c r="M1946" s="116">
        <v>104.75</v>
      </c>
      <c r="N1946" s="116">
        <v>105</v>
      </c>
      <c r="O1946" s="116">
        <v>102.2</v>
      </c>
      <c r="P1946" s="116">
        <v>102.5</v>
      </c>
      <c r="Q1946" s="116">
        <v>104.75</v>
      </c>
      <c r="R1946">
        <v>70299020</v>
      </c>
    </row>
    <row r="1947" spans="1:18" x14ac:dyDescent="0.25">
      <c r="A1947" s="170">
        <v>44872</v>
      </c>
      <c r="B1947" s="116">
        <v>107.4</v>
      </c>
      <c r="C1947" s="116">
        <v>106.65</v>
      </c>
      <c r="D1947" s="116">
        <v>104.55</v>
      </c>
      <c r="E1947" s="116">
        <v>105.1</v>
      </c>
      <c r="F1947" s="116">
        <v>106.65</v>
      </c>
      <c r="G1947">
        <v>8160890</v>
      </c>
      <c r="H1947" s="116"/>
      <c r="I1947" s="116"/>
      <c r="L1947" s="170">
        <v>44872</v>
      </c>
      <c r="M1947" s="116">
        <v>106.7</v>
      </c>
      <c r="N1947" s="116">
        <v>107.45</v>
      </c>
      <c r="O1947" s="116">
        <v>104.6</v>
      </c>
      <c r="P1947" s="116">
        <v>105.9</v>
      </c>
      <c r="Q1947" s="116">
        <v>106.7</v>
      </c>
      <c r="R1947">
        <v>74426059</v>
      </c>
    </row>
    <row r="1948" spans="1:18" x14ac:dyDescent="0.25">
      <c r="A1948" s="170">
        <v>44874</v>
      </c>
      <c r="B1948" s="116">
        <v>107.5</v>
      </c>
      <c r="C1948" s="116">
        <v>106.15</v>
      </c>
      <c r="D1948" s="116">
        <v>105.55</v>
      </c>
      <c r="E1948" s="116">
        <v>107</v>
      </c>
      <c r="F1948" s="116">
        <v>106.15</v>
      </c>
      <c r="G1948">
        <v>2405877</v>
      </c>
      <c r="H1948" s="116"/>
      <c r="I1948" s="116"/>
      <c r="L1948" s="170">
        <v>44874</v>
      </c>
      <c r="M1948" s="116">
        <v>106.1</v>
      </c>
      <c r="N1948" s="116">
        <v>107.55</v>
      </c>
      <c r="O1948" s="116">
        <v>105.55</v>
      </c>
      <c r="P1948" s="116">
        <v>107.25</v>
      </c>
      <c r="Q1948" s="116">
        <v>106.1</v>
      </c>
      <c r="R1948">
        <v>38295904</v>
      </c>
    </row>
    <row r="1949" spans="1:18" x14ac:dyDescent="0.25">
      <c r="A1949" s="170">
        <v>44875</v>
      </c>
      <c r="B1949" s="116">
        <v>106</v>
      </c>
      <c r="C1949" s="116">
        <v>104.65</v>
      </c>
      <c r="D1949" s="116">
        <v>104.45</v>
      </c>
      <c r="E1949" s="116">
        <v>105.05</v>
      </c>
      <c r="F1949" s="116">
        <v>104.65</v>
      </c>
      <c r="G1949">
        <v>3073273</v>
      </c>
      <c r="H1949" s="116"/>
      <c r="I1949" s="116"/>
      <c r="L1949" s="170">
        <v>44875</v>
      </c>
      <c r="M1949" s="116">
        <v>104.7</v>
      </c>
      <c r="N1949" s="116">
        <v>106</v>
      </c>
      <c r="O1949" s="116">
        <v>104.45</v>
      </c>
      <c r="P1949" s="116">
        <v>105.2</v>
      </c>
      <c r="Q1949" s="116">
        <v>104.7</v>
      </c>
      <c r="R1949">
        <v>27864285</v>
      </c>
    </row>
    <row r="1950" spans="1:18" x14ac:dyDescent="0.25">
      <c r="A1950" s="170">
        <v>44876</v>
      </c>
      <c r="B1950" s="116">
        <v>108.2</v>
      </c>
      <c r="C1950" s="116">
        <v>107.5</v>
      </c>
      <c r="D1950" s="116">
        <v>106.15</v>
      </c>
      <c r="E1950" s="116">
        <v>106.2</v>
      </c>
      <c r="F1950" s="116">
        <v>107.5</v>
      </c>
      <c r="G1950">
        <v>3403076</v>
      </c>
      <c r="H1950" s="116"/>
      <c r="I1950" s="116"/>
      <c r="L1950" s="170">
        <v>44876</v>
      </c>
      <c r="M1950" s="116">
        <v>107.55</v>
      </c>
      <c r="N1950" s="116">
        <v>108.2</v>
      </c>
      <c r="O1950" s="116">
        <v>106.25</v>
      </c>
      <c r="P1950" s="116">
        <v>106.25</v>
      </c>
      <c r="Q1950" s="116">
        <v>107.55</v>
      </c>
      <c r="R1950">
        <v>77933417</v>
      </c>
    </row>
    <row r="1951" spans="1:18" x14ac:dyDescent="0.25">
      <c r="A1951" s="170">
        <v>44879</v>
      </c>
      <c r="B1951" s="116">
        <v>110</v>
      </c>
      <c r="C1951" s="116">
        <v>108.65</v>
      </c>
      <c r="D1951" s="116">
        <v>108.15</v>
      </c>
      <c r="E1951" s="116">
        <v>108.15</v>
      </c>
      <c r="F1951" s="116">
        <v>108.65</v>
      </c>
      <c r="G1951">
        <v>2600489</v>
      </c>
      <c r="H1951" s="116"/>
      <c r="I1951" s="116"/>
      <c r="L1951" s="170">
        <v>44879</v>
      </c>
      <c r="M1951" s="116">
        <v>108.7</v>
      </c>
      <c r="N1951" s="116">
        <v>110</v>
      </c>
      <c r="O1951" s="116">
        <v>108.25</v>
      </c>
      <c r="P1951" s="116">
        <v>108.5</v>
      </c>
      <c r="Q1951" s="116">
        <v>108.7</v>
      </c>
      <c r="R1951">
        <v>55474425</v>
      </c>
    </row>
    <row r="1952" spans="1:18" x14ac:dyDescent="0.25">
      <c r="A1952" s="170">
        <v>44880</v>
      </c>
      <c r="B1952" s="116">
        <v>109.35</v>
      </c>
      <c r="C1952" s="116">
        <v>108.5</v>
      </c>
      <c r="D1952" s="116">
        <v>107.25</v>
      </c>
      <c r="E1952" s="116">
        <v>108.8</v>
      </c>
      <c r="F1952" s="116">
        <v>108.5</v>
      </c>
      <c r="G1952">
        <v>2855557</v>
      </c>
      <c r="H1952" s="116"/>
      <c r="I1952" s="116"/>
      <c r="L1952" s="170">
        <v>44880</v>
      </c>
      <c r="M1952" s="116">
        <v>108.55</v>
      </c>
      <c r="N1952" s="116">
        <v>109.35</v>
      </c>
      <c r="O1952" s="116">
        <v>107.2</v>
      </c>
      <c r="P1952" s="116">
        <v>109</v>
      </c>
      <c r="Q1952" s="116">
        <v>108.55</v>
      </c>
      <c r="R1952">
        <v>35007427</v>
      </c>
    </row>
    <row r="1953" spans="1:18" x14ac:dyDescent="0.25">
      <c r="A1953" s="170">
        <v>44881</v>
      </c>
      <c r="B1953" s="116">
        <v>108.8</v>
      </c>
      <c r="C1953" s="116">
        <v>106.55</v>
      </c>
      <c r="D1953" s="116">
        <v>105.25</v>
      </c>
      <c r="E1953" s="116">
        <v>108.3</v>
      </c>
      <c r="F1953" s="116">
        <v>106.55</v>
      </c>
      <c r="G1953">
        <v>1540453</v>
      </c>
      <c r="H1953" s="116"/>
      <c r="I1953" s="116"/>
      <c r="L1953" s="170">
        <v>44881</v>
      </c>
      <c r="M1953" s="116">
        <v>106.55</v>
      </c>
      <c r="N1953" s="116">
        <v>108.8</v>
      </c>
      <c r="O1953" s="116">
        <v>105.2</v>
      </c>
      <c r="P1953" s="116">
        <v>108.45</v>
      </c>
      <c r="Q1953" s="116">
        <v>106.55</v>
      </c>
      <c r="R1953">
        <v>40404167</v>
      </c>
    </row>
    <row r="1954" spans="1:18" x14ac:dyDescent="0.25">
      <c r="A1954" s="170">
        <v>44882</v>
      </c>
      <c r="B1954" s="116">
        <v>106.75</v>
      </c>
      <c r="C1954" s="116">
        <v>105.85</v>
      </c>
      <c r="D1954" s="116">
        <v>104.5</v>
      </c>
      <c r="E1954" s="116">
        <v>106</v>
      </c>
      <c r="F1954" s="116">
        <v>105.85</v>
      </c>
      <c r="G1954">
        <v>2476199</v>
      </c>
      <c r="H1954" s="116"/>
      <c r="I1954" s="116"/>
      <c r="L1954" s="170">
        <v>44882</v>
      </c>
      <c r="M1954" s="116">
        <v>105.85</v>
      </c>
      <c r="N1954" s="116">
        <v>106.8</v>
      </c>
      <c r="O1954" s="116">
        <v>104.5</v>
      </c>
      <c r="P1954" s="116">
        <v>105.9</v>
      </c>
      <c r="Q1954" s="116">
        <v>105.85</v>
      </c>
      <c r="R1954">
        <v>32894825</v>
      </c>
    </row>
    <row r="1955" spans="1:18" x14ac:dyDescent="0.25">
      <c r="A1955" s="170">
        <v>44883</v>
      </c>
      <c r="B1955" s="116">
        <v>106.3</v>
      </c>
      <c r="C1955" s="116">
        <v>105.5</v>
      </c>
      <c r="D1955" s="116">
        <v>104.7</v>
      </c>
      <c r="E1955" s="116">
        <v>105.85</v>
      </c>
      <c r="F1955" s="116">
        <v>105.5</v>
      </c>
      <c r="G1955">
        <v>1973041</v>
      </c>
      <c r="H1955" s="116"/>
      <c r="I1955" s="116"/>
      <c r="L1955" s="170">
        <v>44883</v>
      </c>
      <c r="M1955" s="116">
        <v>105.5</v>
      </c>
      <c r="N1955" s="116">
        <v>106.3</v>
      </c>
      <c r="O1955" s="116">
        <v>104.7</v>
      </c>
      <c r="P1955" s="116">
        <v>105.85</v>
      </c>
      <c r="Q1955" s="116">
        <v>105.5</v>
      </c>
      <c r="R1955">
        <v>28992538</v>
      </c>
    </row>
    <row r="1956" spans="1:18" x14ac:dyDescent="0.25">
      <c r="A1956" s="170">
        <v>44886</v>
      </c>
      <c r="B1956" s="116">
        <v>107.9</v>
      </c>
      <c r="C1956" s="116">
        <v>104.2</v>
      </c>
      <c r="D1956" s="116">
        <v>103.9</v>
      </c>
      <c r="E1956" s="116">
        <v>107.9</v>
      </c>
      <c r="F1956" s="116">
        <v>104.2</v>
      </c>
      <c r="G1956">
        <v>4222910</v>
      </c>
      <c r="H1956" s="116"/>
      <c r="I1956" s="116"/>
      <c r="L1956" s="170">
        <v>44886</v>
      </c>
      <c r="M1956" s="116">
        <v>104.25</v>
      </c>
      <c r="N1956" s="116">
        <v>107.7</v>
      </c>
      <c r="O1956" s="116">
        <v>103.85</v>
      </c>
      <c r="P1956" s="116">
        <v>107.7</v>
      </c>
      <c r="Q1956" s="116">
        <v>104.25</v>
      </c>
      <c r="R1956">
        <v>58404309</v>
      </c>
    </row>
    <row r="1957" spans="1:18" x14ac:dyDescent="0.25">
      <c r="A1957" s="170">
        <v>44887</v>
      </c>
      <c r="B1957" s="116">
        <v>105.4</v>
      </c>
      <c r="C1957" s="116">
        <v>105.15</v>
      </c>
      <c r="D1957" s="116">
        <v>103.55</v>
      </c>
      <c r="E1957" s="116">
        <v>104.25</v>
      </c>
      <c r="F1957" s="116">
        <v>105.15</v>
      </c>
      <c r="G1957">
        <v>1417435</v>
      </c>
      <c r="H1957" s="116"/>
      <c r="I1957" s="116"/>
      <c r="L1957" s="170">
        <v>44887</v>
      </c>
      <c r="M1957" s="116">
        <v>105.2</v>
      </c>
      <c r="N1957" s="116">
        <v>105.4</v>
      </c>
      <c r="O1957" s="116">
        <v>103.55</v>
      </c>
      <c r="P1957" s="116">
        <v>104.4</v>
      </c>
      <c r="Q1957" s="116">
        <v>105.2</v>
      </c>
      <c r="R1957">
        <v>27846186</v>
      </c>
    </row>
    <row r="1958" spans="1:18" x14ac:dyDescent="0.25">
      <c r="A1958" s="170">
        <v>44888</v>
      </c>
      <c r="B1958" s="116">
        <v>105.95</v>
      </c>
      <c r="C1958" s="116">
        <v>105.6</v>
      </c>
      <c r="D1958" s="116">
        <v>104.9</v>
      </c>
      <c r="E1958" s="116">
        <v>105.9</v>
      </c>
      <c r="F1958" s="116">
        <v>105.6</v>
      </c>
      <c r="G1958">
        <v>1326989</v>
      </c>
      <c r="H1958" s="116"/>
      <c r="I1958" s="116"/>
      <c r="L1958" s="170">
        <v>44888</v>
      </c>
      <c r="M1958" s="116">
        <v>105.45</v>
      </c>
      <c r="N1958" s="116">
        <v>106</v>
      </c>
      <c r="O1958" s="116">
        <v>104.95</v>
      </c>
      <c r="P1958" s="116">
        <v>105.7</v>
      </c>
      <c r="Q1958" s="116">
        <v>105.45</v>
      </c>
      <c r="R1958">
        <v>22809651</v>
      </c>
    </row>
    <row r="1959" spans="1:18" x14ac:dyDescent="0.25">
      <c r="A1959" s="170">
        <v>44889</v>
      </c>
      <c r="B1959" s="116">
        <v>105.95</v>
      </c>
      <c r="C1959" s="116">
        <v>105.45</v>
      </c>
      <c r="D1959" s="116">
        <v>104.6</v>
      </c>
      <c r="E1959" s="116">
        <v>105.65</v>
      </c>
      <c r="F1959" s="116">
        <v>105.45</v>
      </c>
      <c r="G1959">
        <v>2049473</v>
      </c>
      <c r="H1959" s="116"/>
      <c r="I1959" s="116"/>
      <c r="L1959" s="170">
        <v>44889</v>
      </c>
      <c r="M1959" s="116">
        <v>105.5</v>
      </c>
      <c r="N1959" s="116">
        <v>105.95</v>
      </c>
      <c r="O1959" s="116">
        <v>104.6</v>
      </c>
      <c r="P1959" s="116">
        <v>105.85</v>
      </c>
      <c r="Q1959" s="116">
        <v>105.5</v>
      </c>
      <c r="R1959">
        <v>23737867</v>
      </c>
    </row>
    <row r="1960" spans="1:18" x14ac:dyDescent="0.25">
      <c r="A1960" s="170">
        <v>44890</v>
      </c>
      <c r="B1960" s="116">
        <v>106.5</v>
      </c>
      <c r="C1960" s="116">
        <v>106.2</v>
      </c>
      <c r="D1960" s="116">
        <v>105.1</v>
      </c>
      <c r="E1960" s="116">
        <v>105.55</v>
      </c>
      <c r="F1960" s="116">
        <v>106.2</v>
      </c>
      <c r="G1960">
        <v>1266476</v>
      </c>
      <c r="H1960" s="116"/>
      <c r="I1960" s="116"/>
      <c r="L1960" s="170">
        <v>44890</v>
      </c>
      <c r="M1960" s="116">
        <v>106.2</v>
      </c>
      <c r="N1960" s="116">
        <v>106.5</v>
      </c>
      <c r="O1960" s="116">
        <v>105.1</v>
      </c>
      <c r="P1960" s="116">
        <v>105.6</v>
      </c>
      <c r="Q1960" s="116">
        <v>106.2</v>
      </c>
      <c r="R1960">
        <v>27361785</v>
      </c>
    </row>
    <row r="1961" spans="1:18" x14ac:dyDescent="0.25">
      <c r="A1961" s="170">
        <v>44893</v>
      </c>
      <c r="B1961" s="116">
        <v>106.4</v>
      </c>
      <c r="C1961" s="116">
        <v>104.9</v>
      </c>
      <c r="D1961" s="116">
        <v>104.55</v>
      </c>
      <c r="E1961" s="116">
        <v>105.9</v>
      </c>
      <c r="F1961" s="116">
        <v>104.9</v>
      </c>
      <c r="G1961">
        <v>2663200</v>
      </c>
      <c r="H1961" s="116"/>
      <c r="I1961" s="116"/>
      <c r="L1961" s="170">
        <v>44893</v>
      </c>
      <c r="M1961" s="116">
        <v>104.9</v>
      </c>
      <c r="N1961" s="116">
        <v>106.4</v>
      </c>
      <c r="O1961" s="116">
        <v>104.5</v>
      </c>
      <c r="P1961" s="116">
        <v>106</v>
      </c>
      <c r="Q1961" s="116">
        <v>104.9</v>
      </c>
      <c r="R1961">
        <v>33516118</v>
      </c>
    </row>
    <row r="1962" spans="1:18" x14ac:dyDescent="0.25">
      <c r="A1962" s="170">
        <v>44894</v>
      </c>
      <c r="B1962" s="116">
        <v>107.6</v>
      </c>
      <c r="C1962" s="116">
        <v>106.1</v>
      </c>
      <c r="D1962" s="116">
        <v>104.8</v>
      </c>
      <c r="E1962" s="116">
        <v>104.8</v>
      </c>
      <c r="F1962" s="116">
        <v>106.1</v>
      </c>
      <c r="G1962">
        <v>4589186</v>
      </c>
      <c r="H1962" s="116"/>
      <c r="I1962" s="116"/>
      <c r="L1962" s="170">
        <v>44894</v>
      </c>
      <c r="M1962" s="116">
        <v>106.1</v>
      </c>
      <c r="N1962" s="116">
        <v>107.65</v>
      </c>
      <c r="O1962" s="116">
        <v>104.95</v>
      </c>
      <c r="P1962" s="116">
        <v>105</v>
      </c>
      <c r="Q1962" s="116">
        <v>106.1</v>
      </c>
      <c r="R1962">
        <v>40661568</v>
      </c>
    </row>
    <row r="1963" spans="1:18" x14ac:dyDescent="0.25">
      <c r="A1963" s="170">
        <v>44895</v>
      </c>
      <c r="B1963" s="116">
        <v>107.9</v>
      </c>
      <c r="C1963" s="116">
        <v>107.7</v>
      </c>
      <c r="D1963" s="116">
        <v>105.9</v>
      </c>
      <c r="E1963" s="116">
        <v>106.1</v>
      </c>
      <c r="F1963" s="116">
        <v>107.7</v>
      </c>
      <c r="G1963">
        <v>4451220</v>
      </c>
      <c r="H1963" s="116"/>
      <c r="I1963" s="116"/>
      <c r="L1963" s="170">
        <v>44895</v>
      </c>
      <c r="M1963" s="116">
        <v>107.65</v>
      </c>
      <c r="N1963" s="116">
        <v>107.95</v>
      </c>
      <c r="O1963" s="116">
        <v>105.9</v>
      </c>
      <c r="P1963" s="116">
        <v>106.1</v>
      </c>
      <c r="Q1963" s="116">
        <v>107.65</v>
      </c>
      <c r="R1963">
        <v>61142050</v>
      </c>
    </row>
    <row r="1964" spans="1:18" x14ac:dyDescent="0.25">
      <c r="A1964" s="170">
        <v>44896</v>
      </c>
      <c r="B1964" s="116">
        <v>111.3</v>
      </c>
      <c r="C1964" s="116">
        <v>110.7</v>
      </c>
      <c r="D1964" s="116">
        <v>108</v>
      </c>
      <c r="E1964" s="116">
        <v>108.2</v>
      </c>
      <c r="F1964" s="116">
        <v>110.7</v>
      </c>
      <c r="G1964">
        <v>11872545</v>
      </c>
      <c r="H1964" s="116"/>
      <c r="I1964" s="116"/>
      <c r="L1964" s="170">
        <v>44896</v>
      </c>
      <c r="M1964" s="116">
        <v>110.75</v>
      </c>
      <c r="N1964" s="116">
        <v>111.3</v>
      </c>
      <c r="O1964" s="116">
        <v>108</v>
      </c>
      <c r="P1964" s="116">
        <v>108.7</v>
      </c>
      <c r="Q1964" s="116">
        <v>110.75</v>
      </c>
      <c r="R1964">
        <v>91702642</v>
      </c>
    </row>
    <row r="1965" spans="1:18" x14ac:dyDescent="0.25">
      <c r="A1965" s="170">
        <v>44897</v>
      </c>
      <c r="B1965" s="116">
        <v>112.5</v>
      </c>
      <c r="C1965" s="116">
        <v>112.05</v>
      </c>
      <c r="D1965" s="116">
        <v>110.25</v>
      </c>
      <c r="E1965" s="116">
        <v>110.25</v>
      </c>
      <c r="F1965" s="116">
        <v>112.05</v>
      </c>
      <c r="G1965">
        <v>3506966</v>
      </c>
      <c r="H1965" s="116"/>
      <c r="I1965" s="116"/>
      <c r="L1965" s="170">
        <v>44897</v>
      </c>
      <c r="M1965" s="116">
        <v>112</v>
      </c>
      <c r="N1965" s="116">
        <v>112.5</v>
      </c>
      <c r="O1965" s="116">
        <v>110.15</v>
      </c>
      <c r="P1965" s="116">
        <v>110.8</v>
      </c>
      <c r="Q1965" s="116">
        <v>112</v>
      </c>
      <c r="R1965">
        <v>70541914</v>
      </c>
    </row>
    <row r="1966" spans="1:18" x14ac:dyDescent="0.25">
      <c r="A1966" s="170">
        <v>44900</v>
      </c>
      <c r="B1966" s="116">
        <v>116.05</v>
      </c>
      <c r="C1966" s="116">
        <v>115.8</v>
      </c>
      <c r="D1966" s="116">
        <v>112.6</v>
      </c>
      <c r="E1966" s="116">
        <v>113.05</v>
      </c>
      <c r="F1966" s="116">
        <v>115.8</v>
      </c>
      <c r="G1966">
        <v>9902771</v>
      </c>
      <c r="H1966" s="116"/>
      <c r="I1966" s="116"/>
      <c r="L1966" s="170">
        <v>44900</v>
      </c>
      <c r="M1966" s="116">
        <v>115.85</v>
      </c>
      <c r="N1966" s="116">
        <v>116.1</v>
      </c>
      <c r="O1966" s="116">
        <v>112.65</v>
      </c>
      <c r="P1966" s="116">
        <v>113.3</v>
      </c>
      <c r="Q1966" s="116">
        <v>115.85</v>
      </c>
      <c r="R1966">
        <v>96441799</v>
      </c>
    </row>
    <row r="1967" spans="1:18" x14ac:dyDescent="0.25">
      <c r="A1967" s="170">
        <v>44901</v>
      </c>
      <c r="B1967" s="116">
        <v>115.6</v>
      </c>
      <c r="C1967" s="116">
        <v>112.9</v>
      </c>
      <c r="D1967" s="116">
        <v>112.25</v>
      </c>
      <c r="E1967" s="116">
        <v>115.6</v>
      </c>
      <c r="F1967" s="116">
        <v>112.9</v>
      </c>
      <c r="G1967">
        <v>2856264</v>
      </c>
      <c r="H1967" s="116"/>
      <c r="I1967" s="116"/>
      <c r="L1967" s="170">
        <v>44901</v>
      </c>
      <c r="M1967" s="116">
        <v>112.95</v>
      </c>
      <c r="N1967" s="116">
        <v>115.35</v>
      </c>
      <c r="O1967" s="116">
        <v>112.25</v>
      </c>
      <c r="P1967" s="116">
        <v>115.35</v>
      </c>
      <c r="Q1967" s="116">
        <v>112.95</v>
      </c>
      <c r="R1967">
        <v>50581245</v>
      </c>
    </row>
    <row r="1968" spans="1:18" x14ac:dyDescent="0.25">
      <c r="A1968" s="170">
        <v>44902</v>
      </c>
      <c r="B1968" s="116">
        <v>113.5</v>
      </c>
      <c r="C1968" s="116">
        <v>111.25</v>
      </c>
      <c r="D1968" s="116">
        <v>110.9</v>
      </c>
      <c r="E1968" s="116">
        <v>113.1</v>
      </c>
      <c r="F1968" s="116">
        <v>111.25</v>
      </c>
      <c r="G1968">
        <v>1930243</v>
      </c>
      <c r="H1968" s="116"/>
      <c r="I1968" s="116"/>
      <c r="L1968" s="170">
        <v>44902</v>
      </c>
      <c r="M1968" s="116">
        <v>111.2</v>
      </c>
      <c r="N1968" s="116">
        <v>113.5</v>
      </c>
      <c r="O1968" s="116">
        <v>110.85</v>
      </c>
      <c r="P1968" s="116">
        <v>113.4</v>
      </c>
      <c r="Q1968" s="116">
        <v>111.2</v>
      </c>
      <c r="R1968">
        <v>39494279</v>
      </c>
    </row>
    <row r="1969" spans="1:18" x14ac:dyDescent="0.25">
      <c r="A1969" s="170">
        <v>44903</v>
      </c>
      <c r="B1969" s="116">
        <v>112.95</v>
      </c>
      <c r="C1969" s="116">
        <v>111.85</v>
      </c>
      <c r="D1969" s="116">
        <v>110.8</v>
      </c>
      <c r="E1969" s="116">
        <v>111.5</v>
      </c>
      <c r="F1969" s="116">
        <v>111.85</v>
      </c>
      <c r="G1969">
        <v>3107262</v>
      </c>
      <c r="H1969" s="116"/>
      <c r="I1969" s="116"/>
      <c r="L1969" s="170">
        <v>44903</v>
      </c>
      <c r="M1969" s="116">
        <v>111.85</v>
      </c>
      <c r="N1969" s="116">
        <v>113</v>
      </c>
      <c r="O1969" s="116">
        <v>110.8</v>
      </c>
      <c r="P1969" s="116">
        <v>111.75</v>
      </c>
      <c r="Q1969" s="116">
        <v>111.85</v>
      </c>
      <c r="R1969">
        <v>32416724</v>
      </c>
    </row>
    <row r="1970" spans="1:18" x14ac:dyDescent="0.25">
      <c r="A1970" s="170">
        <v>44904</v>
      </c>
      <c r="B1970" s="116">
        <v>113.8</v>
      </c>
      <c r="C1970" s="116">
        <v>110.45</v>
      </c>
      <c r="D1970" s="116">
        <v>109.7</v>
      </c>
      <c r="E1970" s="116">
        <v>112.6</v>
      </c>
      <c r="F1970" s="116">
        <v>110.45</v>
      </c>
      <c r="G1970">
        <v>3226905</v>
      </c>
      <c r="H1970" s="116"/>
      <c r="I1970" s="116"/>
      <c r="L1970" s="170">
        <v>44904</v>
      </c>
      <c r="M1970" s="116">
        <v>110.45</v>
      </c>
      <c r="N1970" s="116">
        <v>113.75</v>
      </c>
      <c r="O1970" s="116">
        <v>109.7</v>
      </c>
      <c r="P1970" s="116">
        <v>112.8</v>
      </c>
      <c r="Q1970" s="116">
        <v>110.45</v>
      </c>
      <c r="R1970">
        <v>35665257</v>
      </c>
    </row>
    <row r="1971" spans="1:18" x14ac:dyDescent="0.25">
      <c r="A1971" s="170">
        <v>44907</v>
      </c>
      <c r="B1971" s="116">
        <v>112.1</v>
      </c>
      <c r="C1971" s="116">
        <v>111.75</v>
      </c>
      <c r="D1971" s="116">
        <v>108.7</v>
      </c>
      <c r="E1971" s="116">
        <v>110</v>
      </c>
      <c r="F1971" s="116">
        <v>111.75</v>
      </c>
      <c r="G1971">
        <v>3114190</v>
      </c>
      <c r="H1971" s="116"/>
      <c r="I1971" s="116"/>
      <c r="L1971" s="170">
        <v>44907</v>
      </c>
      <c r="M1971" s="116">
        <v>111.7</v>
      </c>
      <c r="N1971" s="116">
        <v>112.1</v>
      </c>
      <c r="O1971" s="116">
        <v>108.7</v>
      </c>
      <c r="P1971" s="116">
        <v>110.2</v>
      </c>
      <c r="Q1971" s="116">
        <v>111.7</v>
      </c>
      <c r="R1971">
        <v>37082389</v>
      </c>
    </row>
    <row r="1972" spans="1:18" x14ac:dyDescent="0.25">
      <c r="A1972" s="170">
        <v>44908</v>
      </c>
      <c r="B1972" s="116">
        <v>112.75</v>
      </c>
      <c r="C1972" s="116">
        <v>111.15</v>
      </c>
      <c r="D1972" s="116">
        <v>110.8</v>
      </c>
      <c r="E1972" s="116">
        <v>112.35</v>
      </c>
      <c r="F1972" s="116">
        <v>111.15</v>
      </c>
      <c r="G1972">
        <v>2009016</v>
      </c>
      <c r="H1972" s="116"/>
      <c r="I1972" s="116"/>
      <c r="L1972" s="170">
        <v>44908</v>
      </c>
      <c r="M1972" s="116">
        <v>111.2</v>
      </c>
      <c r="N1972" s="116">
        <v>112.85</v>
      </c>
      <c r="O1972" s="116">
        <v>110.8</v>
      </c>
      <c r="P1972" s="116">
        <v>112.55</v>
      </c>
      <c r="Q1972" s="116">
        <v>111.2</v>
      </c>
      <c r="R1972">
        <v>32264080</v>
      </c>
    </row>
    <row r="1973" spans="1:18" x14ac:dyDescent="0.25">
      <c r="A1973" s="170">
        <v>44909</v>
      </c>
      <c r="B1973" s="116">
        <v>113.2</v>
      </c>
      <c r="C1973" s="116">
        <v>113</v>
      </c>
      <c r="D1973" s="116">
        <v>111.15</v>
      </c>
      <c r="E1973" s="116">
        <v>111.3</v>
      </c>
      <c r="F1973" s="116">
        <v>113</v>
      </c>
      <c r="G1973">
        <v>1448648</v>
      </c>
      <c r="H1973" s="116"/>
      <c r="I1973" s="116"/>
      <c r="L1973" s="170">
        <v>44909</v>
      </c>
      <c r="M1973" s="116">
        <v>113.05</v>
      </c>
      <c r="N1973" s="116">
        <v>113.2</v>
      </c>
      <c r="O1973" s="116">
        <v>111.1</v>
      </c>
      <c r="P1973" s="116">
        <v>111.6</v>
      </c>
      <c r="Q1973" s="116">
        <v>113.05</v>
      </c>
      <c r="R1973">
        <v>38606984</v>
      </c>
    </row>
    <row r="1974" spans="1:18" x14ac:dyDescent="0.25">
      <c r="A1974" s="170">
        <v>44910</v>
      </c>
      <c r="B1974" s="116">
        <v>113.5</v>
      </c>
      <c r="C1974" s="116">
        <v>110.95</v>
      </c>
      <c r="D1974" s="116">
        <v>110.7</v>
      </c>
      <c r="E1974" s="116">
        <v>112.75</v>
      </c>
      <c r="F1974" s="116">
        <v>110.95</v>
      </c>
      <c r="G1974">
        <v>1493831</v>
      </c>
      <c r="H1974" s="116"/>
      <c r="I1974" s="116"/>
      <c r="L1974" s="170">
        <v>44910</v>
      </c>
      <c r="M1974" s="116">
        <v>110.95</v>
      </c>
      <c r="N1974" s="116">
        <v>113.45</v>
      </c>
      <c r="O1974" s="116">
        <v>110.7</v>
      </c>
      <c r="P1974" s="116">
        <v>112.65</v>
      </c>
      <c r="Q1974" s="116">
        <v>110.95</v>
      </c>
      <c r="R1974">
        <v>34361613</v>
      </c>
    </row>
    <row r="1975" spans="1:18" x14ac:dyDescent="0.25">
      <c r="A1975" s="170">
        <v>44911</v>
      </c>
      <c r="B1975" s="116">
        <v>112.05</v>
      </c>
      <c r="C1975" s="116">
        <v>111</v>
      </c>
      <c r="D1975" s="116">
        <v>109.4</v>
      </c>
      <c r="E1975" s="116">
        <v>110.15</v>
      </c>
      <c r="F1975" s="116">
        <v>111</v>
      </c>
      <c r="G1975">
        <v>2897166</v>
      </c>
      <c r="H1975" s="116"/>
      <c r="I1975" s="116"/>
      <c r="L1975" s="170">
        <v>44911</v>
      </c>
      <c r="M1975" s="116">
        <v>111.05</v>
      </c>
      <c r="N1975" s="116">
        <v>112.1</v>
      </c>
      <c r="O1975" s="116">
        <v>109.45</v>
      </c>
      <c r="P1975" s="116">
        <v>110.35</v>
      </c>
      <c r="Q1975" s="116">
        <v>111.05</v>
      </c>
      <c r="R1975">
        <v>34736665</v>
      </c>
    </row>
    <row r="1976" spans="1:18" x14ac:dyDescent="0.25">
      <c r="A1976" s="170">
        <v>44914</v>
      </c>
      <c r="B1976" s="116">
        <v>112.1</v>
      </c>
      <c r="C1976" s="116">
        <v>111.75</v>
      </c>
      <c r="D1976" s="116">
        <v>110.75</v>
      </c>
      <c r="E1976" s="116">
        <v>110.75</v>
      </c>
      <c r="F1976" s="116">
        <v>111.75</v>
      </c>
      <c r="G1976">
        <v>921499</v>
      </c>
      <c r="H1976" s="116"/>
      <c r="I1976" s="116"/>
      <c r="L1976" s="170">
        <v>44914</v>
      </c>
      <c r="M1976" s="116">
        <v>111.8</v>
      </c>
      <c r="N1976" s="116">
        <v>112.1</v>
      </c>
      <c r="O1976" s="116">
        <v>110.8</v>
      </c>
      <c r="P1976" s="116">
        <v>111.05</v>
      </c>
      <c r="Q1976" s="116">
        <v>111.8</v>
      </c>
      <c r="R1976">
        <v>17297590</v>
      </c>
    </row>
    <row r="1977" spans="1:18" x14ac:dyDescent="0.25">
      <c r="A1977" s="170">
        <v>44915</v>
      </c>
      <c r="B1977" s="116">
        <v>111.5</v>
      </c>
      <c r="C1977" s="116">
        <v>110.9</v>
      </c>
      <c r="D1977" s="116">
        <v>109.05</v>
      </c>
      <c r="E1977" s="116">
        <v>111.2</v>
      </c>
      <c r="F1977" s="116">
        <v>110.9</v>
      </c>
      <c r="G1977">
        <v>1257515</v>
      </c>
      <c r="H1977" s="116"/>
      <c r="I1977" s="116"/>
      <c r="L1977" s="170">
        <v>44915</v>
      </c>
      <c r="M1977" s="116">
        <v>110.95</v>
      </c>
      <c r="N1977" s="116">
        <v>111.5</v>
      </c>
      <c r="O1977" s="116">
        <v>109</v>
      </c>
      <c r="P1977" s="116">
        <v>111.15</v>
      </c>
      <c r="Q1977" s="116">
        <v>110.95</v>
      </c>
      <c r="R1977">
        <v>34836506</v>
      </c>
    </row>
    <row r="1978" spans="1:18" x14ac:dyDescent="0.25">
      <c r="A1978" s="170">
        <v>44916</v>
      </c>
      <c r="B1978" s="116">
        <v>111.95</v>
      </c>
      <c r="C1978" s="116">
        <v>109.35</v>
      </c>
      <c r="D1978" s="116">
        <v>108.75</v>
      </c>
      <c r="E1978" s="116">
        <v>111.65</v>
      </c>
      <c r="F1978" s="116">
        <v>109.35</v>
      </c>
      <c r="G1978">
        <v>1579701</v>
      </c>
      <c r="H1978" s="116"/>
      <c r="I1978" s="116"/>
      <c r="L1978" s="170">
        <v>44916</v>
      </c>
      <c r="M1978" s="116">
        <v>109.4</v>
      </c>
      <c r="N1978" s="116">
        <v>112</v>
      </c>
      <c r="O1978" s="116">
        <v>108.7</v>
      </c>
      <c r="P1978" s="116">
        <v>111.8</v>
      </c>
      <c r="Q1978" s="116">
        <v>109.4</v>
      </c>
      <c r="R1978">
        <v>32303565</v>
      </c>
    </row>
    <row r="1979" spans="1:18" x14ac:dyDescent="0.25">
      <c r="A1979" s="170">
        <v>44917</v>
      </c>
      <c r="B1979" s="116">
        <v>110.6</v>
      </c>
      <c r="C1979" s="116">
        <v>107.55</v>
      </c>
      <c r="D1979" s="116">
        <v>106.4</v>
      </c>
      <c r="E1979" s="116">
        <v>109.4</v>
      </c>
      <c r="F1979" s="116">
        <v>107.55</v>
      </c>
      <c r="G1979">
        <v>2251051</v>
      </c>
      <c r="H1979" s="116"/>
      <c r="I1979" s="116"/>
      <c r="L1979" s="170">
        <v>44917</v>
      </c>
      <c r="M1979" s="116">
        <v>107.65</v>
      </c>
      <c r="N1979" s="116">
        <v>110.6</v>
      </c>
      <c r="O1979" s="116">
        <v>106.35</v>
      </c>
      <c r="P1979" s="116">
        <v>110</v>
      </c>
      <c r="Q1979" s="116">
        <v>107.65</v>
      </c>
      <c r="R1979">
        <v>39639329</v>
      </c>
    </row>
    <row r="1980" spans="1:18" x14ac:dyDescent="0.25">
      <c r="A1980" s="170">
        <v>44918</v>
      </c>
      <c r="B1980" s="116">
        <v>106.5</v>
      </c>
      <c r="C1980" s="116">
        <v>102.2</v>
      </c>
      <c r="D1980" s="116">
        <v>101.9</v>
      </c>
      <c r="E1980" s="116">
        <v>105.8</v>
      </c>
      <c r="F1980" s="116">
        <v>102.2</v>
      </c>
      <c r="G1980">
        <v>2389781</v>
      </c>
      <c r="H1980" s="116"/>
      <c r="I1980" s="116"/>
      <c r="L1980" s="170">
        <v>44918</v>
      </c>
      <c r="M1980" s="116">
        <v>102.25</v>
      </c>
      <c r="N1980" s="116">
        <v>106.75</v>
      </c>
      <c r="O1980" s="116">
        <v>101.95</v>
      </c>
      <c r="P1980" s="116">
        <v>106</v>
      </c>
      <c r="Q1980" s="116">
        <v>102.25</v>
      </c>
      <c r="R1980">
        <v>46756489</v>
      </c>
    </row>
    <row r="1981" spans="1:18" x14ac:dyDescent="0.25">
      <c r="A1981" s="170">
        <v>44921</v>
      </c>
      <c r="B1981" s="116">
        <v>105.6</v>
      </c>
      <c r="C1981" s="116">
        <v>105</v>
      </c>
      <c r="D1981" s="116">
        <v>101.6</v>
      </c>
      <c r="E1981" s="116">
        <v>102</v>
      </c>
      <c r="F1981" s="116">
        <v>105</v>
      </c>
      <c r="G1981">
        <v>1652036</v>
      </c>
      <c r="H1981" s="116"/>
      <c r="I1981" s="116"/>
      <c r="L1981" s="170">
        <v>44921</v>
      </c>
      <c r="M1981" s="116">
        <v>105</v>
      </c>
      <c r="N1981" s="116">
        <v>105.55</v>
      </c>
      <c r="O1981" s="116">
        <v>101.65</v>
      </c>
      <c r="P1981" s="116">
        <v>102.8</v>
      </c>
      <c r="Q1981" s="116">
        <v>105</v>
      </c>
      <c r="R1981">
        <v>33995681</v>
      </c>
    </row>
    <row r="1982" spans="1:18" x14ac:dyDescent="0.25">
      <c r="A1982" s="170">
        <v>44922</v>
      </c>
      <c r="B1982" s="116">
        <v>111.5</v>
      </c>
      <c r="C1982" s="116">
        <v>111.15</v>
      </c>
      <c r="D1982" s="116">
        <v>105.8</v>
      </c>
      <c r="E1982" s="116">
        <v>106.6</v>
      </c>
      <c r="F1982" s="116">
        <v>111.15</v>
      </c>
      <c r="G1982">
        <v>5297075</v>
      </c>
      <c r="H1982" s="116"/>
      <c r="I1982" s="116"/>
      <c r="L1982" s="170">
        <v>44922</v>
      </c>
      <c r="M1982" s="116">
        <v>111.15</v>
      </c>
      <c r="N1982" s="116">
        <v>111.55</v>
      </c>
      <c r="O1982" s="116">
        <v>105.85</v>
      </c>
      <c r="P1982" s="116">
        <v>106.65</v>
      </c>
      <c r="Q1982" s="116">
        <v>111.15</v>
      </c>
      <c r="R1982">
        <v>76033410</v>
      </c>
    </row>
    <row r="1983" spans="1:18" x14ac:dyDescent="0.25">
      <c r="A1983" s="170">
        <v>44923</v>
      </c>
      <c r="B1983" s="116">
        <v>112.25</v>
      </c>
      <c r="C1983" s="116">
        <v>109.95</v>
      </c>
      <c r="D1983" s="116">
        <v>109.7</v>
      </c>
      <c r="E1983" s="116">
        <v>111.15</v>
      </c>
      <c r="F1983" s="116">
        <v>109.95</v>
      </c>
      <c r="G1983">
        <v>3691519</v>
      </c>
      <c r="H1983" s="116"/>
      <c r="I1983" s="116"/>
      <c r="L1983" s="170">
        <v>44923</v>
      </c>
      <c r="M1983" s="116">
        <v>110</v>
      </c>
      <c r="N1983" s="116">
        <v>112.3</v>
      </c>
      <c r="O1983" s="116">
        <v>109.7</v>
      </c>
      <c r="P1983" s="116">
        <v>111.05</v>
      </c>
      <c r="Q1983" s="116">
        <v>110</v>
      </c>
      <c r="R1983">
        <v>50660601</v>
      </c>
    </row>
    <row r="1984" spans="1:18" x14ac:dyDescent="0.25">
      <c r="A1984" s="170">
        <v>44924</v>
      </c>
      <c r="B1984" s="116">
        <v>112</v>
      </c>
      <c r="C1984" s="116">
        <v>111.75</v>
      </c>
      <c r="D1984" s="116">
        <v>108.8</v>
      </c>
      <c r="E1984" s="116">
        <v>108.8</v>
      </c>
      <c r="F1984" s="116">
        <v>111.75</v>
      </c>
      <c r="G1984">
        <v>2414638</v>
      </c>
      <c r="H1984" s="116"/>
      <c r="I1984" s="116"/>
      <c r="L1984" s="170">
        <v>44924</v>
      </c>
      <c r="M1984" s="116">
        <v>111.75</v>
      </c>
      <c r="N1984" s="116">
        <v>112</v>
      </c>
      <c r="O1984" s="116">
        <v>108.85</v>
      </c>
      <c r="P1984" s="116">
        <v>109</v>
      </c>
      <c r="Q1984" s="116">
        <v>111.75</v>
      </c>
      <c r="R1984">
        <v>51751642</v>
      </c>
    </row>
    <row r="1985" spans="1:18" x14ac:dyDescent="0.25">
      <c r="A1985" s="170">
        <v>44925</v>
      </c>
      <c r="B1985" s="116">
        <v>114.7</v>
      </c>
      <c r="C1985" s="116">
        <v>112.65</v>
      </c>
      <c r="D1985" s="116">
        <v>112.1</v>
      </c>
      <c r="E1985" s="116">
        <v>112.55</v>
      </c>
      <c r="F1985" s="116">
        <v>112.65</v>
      </c>
      <c r="G1985">
        <v>4484636</v>
      </c>
      <c r="H1985" s="116"/>
      <c r="I1985" s="116"/>
      <c r="L1985" s="170">
        <v>44925</v>
      </c>
      <c r="M1985" s="116">
        <v>112.65</v>
      </c>
      <c r="N1985" s="116">
        <v>114.75</v>
      </c>
      <c r="O1985" s="116">
        <v>112.1</v>
      </c>
      <c r="P1985" s="116">
        <v>112.9</v>
      </c>
      <c r="Q1985" s="116">
        <v>112.65</v>
      </c>
      <c r="R1985">
        <v>56048485</v>
      </c>
    </row>
    <row r="1986" spans="1:18" x14ac:dyDescent="0.25">
      <c r="A1986" s="170">
        <v>44928</v>
      </c>
      <c r="B1986" s="116">
        <v>119.6</v>
      </c>
      <c r="C1986" s="116">
        <v>119.25</v>
      </c>
      <c r="D1986" s="116">
        <v>113.75</v>
      </c>
      <c r="E1986" s="116">
        <v>114.2</v>
      </c>
      <c r="F1986" s="116">
        <v>119.25</v>
      </c>
      <c r="G1986">
        <v>12754227</v>
      </c>
      <c r="H1986" s="116"/>
      <c r="I1986" s="116"/>
      <c r="L1986" s="170">
        <v>44928</v>
      </c>
      <c r="M1986" s="116">
        <v>119.25</v>
      </c>
      <c r="N1986" s="116">
        <v>119.7</v>
      </c>
      <c r="O1986" s="116">
        <v>113.75</v>
      </c>
      <c r="P1986" s="116">
        <v>114.4</v>
      </c>
      <c r="Q1986" s="116">
        <v>119.25</v>
      </c>
      <c r="R1986">
        <v>143444095</v>
      </c>
    </row>
    <row r="1987" spans="1:18" x14ac:dyDescent="0.25">
      <c r="A1987" s="170">
        <v>44929</v>
      </c>
      <c r="B1987" s="116">
        <v>120.5</v>
      </c>
      <c r="C1987" s="116">
        <v>118.45</v>
      </c>
      <c r="D1987" s="116">
        <v>117.75</v>
      </c>
      <c r="E1987" s="116">
        <v>119.75</v>
      </c>
      <c r="F1987" s="116">
        <v>118.45</v>
      </c>
      <c r="G1987">
        <v>3278960</v>
      </c>
      <c r="H1987" s="116"/>
      <c r="I1987" s="116"/>
      <c r="L1987" s="170">
        <v>44929</v>
      </c>
      <c r="M1987" s="116">
        <v>118.45</v>
      </c>
      <c r="N1987" s="116">
        <v>120.5</v>
      </c>
      <c r="O1987" s="116">
        <v>117.75</v>
      </c>
      <c r="P1987" s="116">
        <v>119.8</v>
      </c>
      <c r="Q1987" s="116">
        <v>118.45</v>
      </c>
      <c r="R1987">
        <v>74419090</v>
      </c>
    </row>
    <row r="1988" spans="1:18" x14ac:dyDescent="0.25">
      <c r="A1988" s="170">
        <v>44930</v>
      </c>
      <c r="B1988" s="116">
        <v>119.1</v>
      </c>
      <c r="C1988" s="116">
        <v>115.7</v>
      </c>
      <c r="D1988" s="116">
        <v>115.35</v>
      </c>
      <c r="E1988" s="116">
        <v>118.55</v>
      </c>
      <c r="F1988" s="116">
        <v>115.7</v>
      </c>
      <c r="G1988">
        <v>2459449</v>
      </c>
      <c r="H1988" s="116"/>
      <c r="I1988" s="116"/>
      <c r="L1988" s="170">
        <v>44930</v>
      </c>
      <c r="M1988" s="116">
        <v>115.75</v>
      </c>
      <c r="N1988" s="116">
        <v>119.05</v>
      </c>
      <c r="O1988" s="116">
        <v>115.35</v>
      </c>
      <c r="P1988" s="116">
        <v>118.75</v>
      </c>
      <c r="Q1988" s="116">
        <v>115.75</v>
      </c>
      <c r="R1988">
        <v>55634568</v>
      </c>
    </row>
    <row r="1989" spans="1:18" x14ac:dyDescent="0.25">
      <c r="A1989" s="170">
        <v>44931</v>
      </c>
      <c r="B1989" s="116">
        <v>117</v>
      </c>
      <c r="C1989" s="116">
        <v>116.6</v>
      </c>
      <c r="D1989" s="116">
        <v>114.5</v>
      </c>
      <c r="E1989" s="116">
        <v>116.4</v>
      </c>
      <c r="F1989" s="116">
        <v>116.6</v>
      </c>
      <c r="G1989">
        <v>2330432</v>
      </c>
      <c r="H1989" s="116"/>
      <c r="I1989" s="116"/>
      <c r="L1989" s="170">
        <v>44931</v>
      </c>
      <c r="M1989" s="116">
        <v>116.55</v>
      </c>
      <c r="N1989" s="116">
        <v>117</v>
      </c>
      <c r="O1989" s="116">
        <v>114.5</v>
      </c>
      <c r="P1989" s="116">
        <v>116.5</v>
      </c>
      <c r="Q1989" s="116">
        <v>116.55</v>
      </c>
      <c r="R1989">
        <v>58806907</v>
      </c>
    </row>
    <row r="1990" spans="1:18" x14ac:dyDescent="0.25">
      <c r="A1990" s="170">
        <v>44932</v>
      </c>
      <c r="B1990" s="116">
        <v>117.8</v>
      </c>
      <c r="C1990" s="116">
        <v>115.6</v>
      </c>
      <c r="D1990" s="116">
        <v>115.25</v>
      </c>
      <c r="E1990" s="116">
        <v>116.8</v>
      </c>
      <c r="F1990" s="116">
        <v>115.6</v>
      </c>
      <c r="G1990">
        <v>3823792</v>
      </c>
      <c r="H1990" s="116"/>
      <c r="I1990" s="116"/>
      <c r="L1990" s="170">
        <v>44932</v>
      </c>
      <c r="M1990" s="116">
        <v>115.65</v>
      </c>
      <c r="N1990" s="116">
        <v>117.85</v>
      </c>
      <c r="O1990" s="116">
        <v>115.25</v>
      </c>
      <c r="P1990" s="116">
        <v>117</v>
      </c>
      <c r="Q1990" s="116">
        <v>115.65</v>
      </c>
      <c r="R1990">
        <v>58551863</v>
      </c>
    </row>
    <row r="1991" spans="1:18" x14ac:dyDescent="0.25">
      <c r="A1991" s="170">
        <v>44935</v>
      </c>
      <c r="B1991" s="116">
        <v>118.15</v>
      </c>
      <c r="C1991" s="116">
        <v>117.5</v>
      </c>
      <c r="D1991" s="116">
        <v>116.6</v>
      </c>
      <c r="E1991" s="116">
        <v>116.8</v>
      </c>
      <c r="F1991" s="116">
        <v>117.5</v>
      </c>
      <c r="G1991">
        <v>1569990</v>
      </c>
      <c r="H1991" s="116"/>
      <c r="I1991" s="116"/>
      <c r="L1991" s="170">
        <v>44935</v>
      </c>
      <c r="M1991" s="116">
        <v>117.55</v>
      </c>
      <c r="N1991" s="116">
        <v>118.1</v>
      </c>
      <c r="O1991" s="116">
        <v>116.55</v>
      </c>
      <c r="P1991" s="116">
        <v>116.9</v>
      </c>
      <c r="Q1991" s="116">
        <v>117.55</v>
      </c>
      <c r="R1991">
        <v>37763131</v>
      </c>
    </row>
    <row r="1992" spans="1:18" x14ac:dyDescent="0.25">
      <c r="A1992" s="170">
        <v>44936</v>
      </c>
      <c r="B1992" s="116">
        <v>119.75</v>
      </c>
      <c r="C1992" s="116">
        <v>118.85</v>
      </c>
      <c r="D1992" s="116">
        <v>117.55</v>
      </c>
      <c r="E1992" s="116">
        <v>117.55</v>
      </c>
      <c r="F1992" s="116">
        <v>118.85</v>
      </c>
      <c r="G1992">
        <v>2370293</v>
      </c>
      <c r="H1992" s="116"/>
      <c r="I1992" s="116"/>
      <c r="L1992" s="170">
        <v>44936</v>
      </c>
      <c r="M1992" s="116">
        <v>118.85</v>
      </c>
      <c r="N1992" s="116">
        <v>119.75</v>
      </c>
      <c r="O1992" s="116">
        <v>117.55</v>
      </c>
      <c r="P1992" s="116">
        <v>117.65</v>
      </c>
      <c r="Q1992" s="116">
        <v>118.85</v>
      </c>
      <c r="R1992">
        <v>56750710</v>
      </c>
    </row>
    <row r="1993" spans="1:18" x14ac:dyDescent="0.25">
      <c r="A1993" s="170">
        <v>44937</v>
      </c>
      <c r="B1993" s="116">
        <v>120.35</v>
      </c>
      <c r="C1993" s="116">
        <v>118.8</v>
      </c>
      <c r="D1993" s="116">
        <v>118</v>
      </c>
      <c r="E1993" s="116">
        <v>119.3</v>
      </c>
      <c r="F1993" s="116">
        <v>118.8</v>
      </c>
      <c r="G1993">
        <v>1715860</v>
      </c>
      <c r="H1993" s="116"/>
      <c r="I1993" s="116"/>
      <c r="L1993" s="170">
        <v>44937</v>
      </c>
      <c r="M1993" s="116">
        <v>118.85</v>
      </c>
      <c r="N1993" s="116">
        <v>120.35</v>
      </c>
      <c r="O1993" s="116">
        <v>118</v>
      </c>
      <c r="P1993" s="116">
        <v>119.45</v>
      </c>
      <c r="Q1993" s="116">
        <v>118.85</v>
      </c>
      <c r="R1993">
        <v>49321252</v>
      </c>
    </row>
    <row r="1994" spans="1:18" x14ac:dyDescent="0.25">
      <c r="A1994" s="170">
        <v>44938</v>
      </c>
      <c r="B1994" s="116">
        <v>119.2</v>
      </c>
      <c r="C1994" s="116">
        <v>118.05</v>
      </c>
      <c r="D1994" s="116">
        <v>117.55</v>
      </c>
      <c r="E1994" s="116">
        <v>118.85</v>
      </c>
      <c r="F1994" s="116">
        <v>118.05</v>
      </c>
      <c r="G1994">
        <v>1343581</v>
      </c>
      <c r="H1994" s="116"/>
      <c r="I1994" s="116"/>
      <c r="L1994" s="170">
        <v>44938</v>
      </c>
      <c r="M1994" s="116">
        <v>118.1</v>
      </c>
      <c r="N1994" s="116">
        <v>119.25</v>
      </c>
      <c r="O1994" s="116">
        <v>117.6</v>
      </c>
      <c r="P1994" s="116">
        <v>118.95</v>
      </c>
      <c r="Q1994" s="116">
        <v>118.1</v>
      </c>
      <c r="R1994">
        <v>33740024</v>
      </c>
    </row>
    <row r="1995" spans="1:18" x14ac:dyDescent="0.25">
      <c r="A1995" s="170">
        <v>44939</v>
      </c>
      <c r="B1995" s="116">
        <v>121.6</v>
      </c>
      <c r="C1995" s="116">
        <v>120.45</v>
      </c>
      <c r="D1995" s="116">
        <v>118.15</v>
      </c>
      <c r="E1995" s="116">
        <v>118.35</v>
      </c>
      <c r="F1995" s="116">
        <v>120.45</v>
      </c>
      <c r="G1995">
        <v>3161530</v>
      </c>
      <c r="H1995" s="116"/>
      <c r="I1995" s="116"/>
      <c r="L1995" s="170">
        <v>44939</v>
      </c>
      <c r="M1995" s="116">
        <v>120.45</v>
      </c>
      <c r="N1995" s="116">
        <v>121.6</v>
      </c>
      <c r="O1995" s="116">
        <v>118.15</v>
      </c>
      <c r="P1995" s="116">
        <v>118.55</v>
      </c>
      <c r="Q1995" s="116">
        <v>120.45</v>
      </c>
      <c r="R1995">
        <v>68884010</v>
      </c>
    </row>
    <row r="1996" spans="1:18" x14ac:dyDescent="0.25">
      <c r="A1996" s="170">
        <v>44942</v>
      </c>
      <c r="B1996" s="116">
        <v>121.45</v>
      </c>
      <c r="C1996" s="116">
        <v>119.95</v>
      </c>
      <c r="D1996" s="116">
        <v>118.8</v>
      </c>
      <c r="E1996" s="116">
        <v>121.25</v>
      </c>
      <c r="F1996" s="116">
        <v>119.95</v>
      </c>
      <c r="G1996">
        <v>1597301</v>
      </c>
      <c r="H1996" s="116"/>
      <c r="I1996" s="116"/>
      <c r="L1996" s="170">
        <v>44942</v>
      </c>
      <c r="M1996" s="116">
        <v>119.95</v>
      </c>
      <c r="N1996" s="116">
        <v>121.45</v>
      </c>
      <c r="O1996" s="116">
        <v>118.8</v>
      </c>
      <c r="P1996" s="116">
        <v>121.45</v>
      </c>
      <c r="Q1996" s="116">
        <v>119.95</v>
      </c>
      <c r="R1996">
        <v>44362359</v>
      </c>
    </row>
    <row r="1997" spans="1:18" x14ac:dyDescent="0.25">
      <c r="A1997" s="170">
        <v>44943</v>
      </c>
      <c r="B1997" s="116">
        <v>119.85</v>
      </c>
      <c r="C1997" s="116">
        <v>119.35</v>
      </c>
      <c r="D1997" s="116">
        <v>118</v>
      </c>
      <c r="E1997" s="116">
        <v>119.85</v>
      </c>
      <c r="F1997" s="116">
        <v>119.35</v>
      </c>
      <c r="G1997">
        <v>1523585</v>
      </c>
      <c r="H1997" s="116"/>
      <c r="I1997" s="116"/>
      <c r="L1997" s="170">
        <v>44943</v>
      </c>
      <c r="M1997" s="116">
        <v>119.35</v>
      </c>
      <c r="N1997" s="116">
        <v>119.9</v>
      </c>
      <c r="O1997" s="116">
        <v>118</v>
      </c>
      <c r="P1997" s="116">
        <v>119.75</v>
      </c>
      <c r="Q1997" s="116">
        <v>119.35</v>
      </c>
      <c r="R1997">
        <v>27880531</v>
      </c>
    </row>
    <row r="1998" spans="1:18" x14ac:dyDescent="0.25">
      <c r="A1998" s="170">
        <v>44944</v>
      </c>
      <c r="B1998" s="116">
        <v>123</v>
      </c>
      <c r="C1998" s="116">
        <v>122.6</v>
      </c>
      <c r="D1998" s="116">
        <v>119.85</v>
      </c>
      <c r="E1998" s="116">
        <v>119.85</v>
      </c>
      <c r="F1998" s="116">
        <v>122.6</v>
      </c>
      <c r="G1998">
        <v>3336506</v>
      </c>
      <c r="H1998" s="116"/>
      <c r="I1998" s="116"/>
      <c r="L1998" s="170">
        <v>44944</v>
      </c>
      <c r="M1998" s="116">
        <v>122.45</v>
      </c>
      <c r="N1998" s="116">
        <v>123</v>
      </c>
      <c r="O1998" s="116">
        <v>120</v>
      </c>
      <c r="P1998" s="116">
        <v>120</v>
      </c>
      <c r="Q1998" s="116">
        <v>122.45</v>
      </c>
      <c r="R1998">
        <v>64749065</v>
      </c>
    </row>
    <row r="1999" spans="1:18" x14ac:dyDescent="0.25">
      <c r="A1999" s="170">
        <v>44945</v>
      </c>
      <c r="B1999" s="116">
        <v>124.3</v>
      </c>
      <c r="C1999" s="116">
        <v>123.5</v>
      </c>
      <c r="D1999" s="116">
        <v>120.25</v>
      </c>
      <c r="E1999" s="116">
        <v>121.95</v>
      </c>
      <c r="F1999" s="116">
        <v>123.5</v>
      </c>
      <c r="G1999">
        <v>4882667</v>
      </c>
      <c r="H1999" s="116"/>
      <c r="I1999" s="116"/>
      <c r="L1999" s="170">
        <v>44945</v>
      </c>
      <c r="M1999" s="116">
        <v>123.55</v>
      </c>
      <c r="N1999" s="116">
        <v>124.3</v>
      </c>
      <c r="O1999" s="116">
        <v>121.15</v>
      </c>
      <c r="P1999" s="116">
        <v>121.8</v>
      </c>
      <c r="Q1999" s="116">
        <v>123.55</v>
      </c>
      <c r="R1999">
        <v>53564076</v>
      </c>
    </row>
    <row r="2000" spans="1:18" x14ac:dyDescent="0.25">
      <c r="A2000" s="170">
        <v>44946</v>
      </c>
      <c r="B2000" s="116">
        <v>124.2</v>
      </c>
      <c r="C2000" s="116">
        <v>122.9</v>
      </c>
      <c r="D2000" s="116">
        <v>122</v>
      </c>
      <c r="E2000" s="116">
        <v>123.5</v>
      </c>
      <c r="F2000" s="116">
        <v>122.9</v>
      </c>
      <c r="G2000">
        <v>1891853</v>
      </c>
      <c r="H2000" s="116"/>
      <c r="I2000" s="116"/>
      <c r="L2000" s="170">
        <v>44946</v>
      </c>
      <c r="M2000" s="116">
        <v>122.95</v>
      </c>
      <c r="N2000" s="116">
        <v>124.2</v>
      </c>
      <c r="O2000" s="116">
        <v>122</v>
      </c>
      <c r="P2000" s="116">
        <v>123.4</v>
      </c>
      <c r="Q2000" s="116">
        <v>122.95</v>
      </c>
      <c r="R2000">
        <v>37784498</v>
      </c>
    </row>
    <row r="2001" spans="1:18" x14ac:dyDescent="0.25">
      <c r="A2001" s="170">
        <v>44949</v>
      </c>
      <c r="B2001" s="116">
        <v>123.85</v>
      </c>
      <c r="C2001" s="116">
        <v>122</v>
      </c>
      <c r="D2001" s="116">
        <v>121.5</v>
      </c>
      <c r="E2001" s="116">
        <v>123.3</v>
      </c>
      <c r="F2001" s="116">
        <v>122</v>
      </c>
      <c r="G2001">
        <v>2010820</v>
      </c>
      <c r="H2001" s="116"/>
      <c r="I2001" s="116"/>
      <c r="L2001" s="170">
        <v>44949</v>
      </c>
      <c r="M2001" s="116">
        <v>122</v>
      </c>
      <c r="N2001" s="116">
        <v>123.85</v>
      </c>
      <c r="O2001" s="116">
        <v>121.5</v>
      </c>
      <c r="P2001" s="116">
        <v>123.4</v>
      </c>
      <c r="Q2001" s="116">
        <v>122</v>
      </c>
      <c r="R2001">
        <v>28601260</v>
      </c>
    </row>
    <row r="2002" spans="1:18" x14ac:dyDescent="0.25">
      <c r="A2002" s="170">
        <v>44950</v>
      </c>
      <c r="B2002" s="116">
        <v>122.55</v>
      </c>
      <c r="C2002" s="116">
        <v>120.35</v>
      </c>
      <c r="D2002" s="116">
        <v>120.1</v>
      </c>
      <c r="E2002" s="116">
        <v>122.3</v>
      </c>
      <c r="F2002" s="116">
        <v>120.35</v>
      </c>
      <c r="G2002">
        <v>1632781</v>
      </c>
      <c r="H2002" s="116"/>
      <c r="I2002" s="116"/>
      <c r="L2002" s="170">
        <v>44950</v>
      </c>
      <c r="M2002" s="116">
        <v>120.4</v>
      </c>
      <c r="N2002" s="116">
        <v>122.55</v>
      </c>
      <c r="O2002" s="116">
        <v>120.1</v>
      </c>
      <c r="P2002" s="116">
        <v>122.5</v>
      </c>
      <c r="Q2002" s="116">
        <v>120.4</v>
      </c>
      <c r="R2002">
        <v>27707765</v>
      </c>
    </row>
    <row r="2003" spans="1:18" x14ac:dyDescent="0.25">
      <c r="A2003" s="170">
        <v>44951</v>
      </c>
      <c r="B2003" s="116">
        <v>122.25</v>
      </c>
      <c r="C2003" s="116">
        <v>121</v>
      </c>
      <c r="D2003" s="116">
        <v>120</v>
      </c>
      <c r="E2003" s="116">
        <v>120.25</v>
      </c>
      <c r="F2003" s="116">
        <v>121</v>
      </c>
      <c r="G2003">
        <v>2065147</v>
      </c>
      <c r="H2003" s="116"/>
      <c r="I2003" s="116"/>
      <c r="L2003" s="170">
        <v>44951</v>
      </c>
      <c r="M2003" s="116">
        <v>121</v>
      </c>
      <c r="N2003" s="116">
        <v>122.25</v>
      </c>
      <c r="O2003" s="116">
        <v>120.1</v>
      </c>
      <c r="P2003" s="116">
        <v>120.35</v>
      </c>
      <c r="Q2003" s="116">
        <v>121</v>
      </c>
      <c r="R2003">
        <v>46522102</v>
      </c>
    </row>
    <row r="2004" spans="1:18" x14ac:dyDescent="0.25">
      <c r="A2004" s="170">
        <v>44953</v>
      </c>
      <c r="B2004" s="116">
        <v>123.2</v>
      </c>
      <c r="C2004" s="116">
        <v>120.65</v>
      </c>
      <c r="D2004" s="116">
        <v>119.1</v>
      </c>
      <c r="E2004" s="116">
        <v>121.6</v>
      </c>
      <c r="F2004" s="116">
        <v>120.65</v>
      </c>
      <c r="G2004">
        <v>2413700</v>
      </c>
      <c r="H2004" s="116"/>
      <c r="I2004" s="116"/>
      <c r="L2004" s="170">
        <v>44953</v>
      </c>
      <c r="M2004" s="116">
        <v>120.65</v>
      </c>
      <c r="N2004" s="116">
        <v>123.25</v>
      </c>
      <c r="O2004" s="116">
        <v>119.1</v>
      </c>
      <c r="P2004" s="116">
        <v>121.9</v>
      </c>
      <c r="Q2004" s="116">
        <v>120.65</v>
      </c>
      <c r="R2004">
        <v>58771746</v>
      </c>
    </row>
    <row r="2005" spans="1:18" x14ac:dyDescent="0.25">
      <c r="A2005" s="170">
        <v>44956</v>
      </c>
      <c r="B2005" s="116">
        <v>121.05</v>
      </c>
      <c r="C2005" s="116">
        <v>118.7</v>
      </c>
      <c r="D2005" s="116">
        <v>116.9</v>
      </c>
      <c r="E2005" s="116">
        <v>120.6</v>
      </c>
      <c r="F2005" s="116">
        <v>118.7</v>
      </c>
      <c r="G2005">
        <v>2244982</v>
      </c>
      <c r="H2005" s="116"/>
      <c r="I2005" s="116"/>
      <c r="L2005" s="170">
        <v>44956</v>
      </c>
      <c r="M2005" s="116">
        <v>118.75</v>
      </c>
      <c r="N2005" s="116">
        <v>121.1</v>
      </c>
      <c r="O2005" s="116">
        <v>116.9</v>
      </c>
      <c r="P2005" s="116">
        <v>120.45</v>
      </c>
      <c r="Q2005" s="116">
        <v>118.75</v>
      </c>
      <c r="R2005">
        <v>46551837</v>
      </c>
    </row>
    <row r="2006" spans="1:18" x14ac:dyDescent="0.25">
      <c r="A2006" s="170">
        <v>44957</v>
      </c>
      <c r="B2006" s="116">
        <v>120.4</v>
      </c>
      <c r="C2006" s="116">
        <v>119.65</v>
      </c>
      <c r="D2006" s="116">
        <v>117.85</v>
      </c>
      <c r="E2006" s="116">
        <v>118.7</v>
      </c>
      <c r="F2006" s="116">
        <v>119.65</v>
      </c>
      <c r="G2006">
        <v>2315624</v>
      </c>
      <c r="H2006" s="116"/>
      <c r="I2006" s="116"/>
      <c r="L2006" s="170">
        <v>44957</v>
      </c>
      <c r="M2006" s="116">
        <v>119.7</v>
      </c>
      <c r="N2006" s="116">
        <v>120.45</v>
      </c>
      <c r="O2006" s="116">
        <v>117.75</v>
      </c>
      <c r="P2006" s="116">
        <v>118.75</v>
      </c>
      <c r="Q2006" s="116">
        <v>119.7</v>
      </c>
      <c r="R2006">
        <v>43986769</v>
      </c>
    </row>
    <row r="2007" spans="1:18" x14ac:dyDescent="0.25">
      <c r="A2007" s="170">
        <v>44958</v>
      </c>
      <c r="B2007" s="116">
        <v>124.15</v>
      </c>
      <c r="C2007" s="116">
        <v>122.05</v>
      </c>
      <c r="D2007" s="116">
        <v>119.35</v>
      </c>
      <c r="E2007" s="116">
        <v>120</v>
      </c>
      <c r="F2007" s="116">
        <v>122.05</v>
      </c>
      <c r="G2007">
        <v>4241140</v>
      </c>
      <c r="H2007" s="116"/>
      <c r="I2007" s="116"/>
      <c r="L2007" s="170">
        <v>44958</v>
      </c>
      <c r="M2007" s="116">
        <v>122.05</v>
      </c>
      <c r="N2007" s="116">
        <v>124.15</v>
      </c>
      <c r="O2007" s="116">
        <v>119.3</v>
      </c>
      <c r="P2007" s="116">
        <v>120.1</v>
      </c>
      <c r="Q2007" s="116">
        <v>122.05</v>
      </c>
      <c r="R2007">
        <v>72919626</v>
      </c>
    </row>
    <row r="2008" spans="1:18" x14ac:dyDescent="0.25">
      <c r="A2008" s="170">
        <v>44959</v>
      </c>
      <c r="B2008" s="116">
        <v>122.45</v>
      </c>
      <c r="C2008" s="116">
        <v>119.9</v>
      </c>
      <c r="D2008" s="116">
        <v>118.4</v>
      </c>
      <c r="E2008" s="116">
        <v>122</v>
      </c>
      <c r="F2008" s="116">
        <v>119.9</v>
      </c>
      <c r="G2008">
        <v>1535468</v>
      </c>
      <c r="H2008" s="116"/>
      <c r="I2008" s="116"/>
      <c r="L2008" s="170">
        <v>44959</v>
      </c>
      <c r="M2008" s="116">
        <v>119.95</v>
      </c>
      <c r="N2008" s="116">
        <v>122.5</v>
      </c>
      <c r="O2008" s="116">
        <v>118.4</v>
      </c>
      <c r="P2008" s="116">
        <v>121.95</v>
      </c>
      <c r="Q2008" s="116">
        <v>119.95</v>
      </c>
      <c r="R2008">
        <v>38768010</v>
      </c>
    </row>
    <row r="2009" spans="1:18" x14ac:dyDescent="0.25">
      <c r="A2009" s="170">
        <v>44960</v>
      </c>
      <c r="B2009" s="116">
        <v>120.95</v>
      </c>
      <c r="C2009" s="116">
        <v>120.1</v>
      </c>
      <c r="D2009" s="116">
        <v>117.2</v>
      </c>
      <c r="E2009" s="116">
        <v>120</v>
      </c>
      <c r="F2009" s="116">
        <v>120.1</v>
      </c>
      <c r="G2009">
        <v>2091368</v>
      </c>
      <c r="H2009" s="116"/>
      <c r="I2009" s="116"/>
      <c r="L2009" s="170">
        <v>44960</v>
      </c>
      <c r="M2009" s="116">
        <v>120.35</v>
      </c>
      <c r="N2009" s="116">
        <v>121</v>
      </c>
      <c r="O2009" s="116">
        <v>117.2</v>
      </c>
      <c r="P2009" s="116">
        <v>120.05</v>
      </c>
      <c r="Q2009" s="116">
        <v>120.35</v>
      </c>
      <c r="R2009">
        <v>46977350</v>
      </c>
    </row>
    <row r="2010" spans="1:18" x14ac:dyDescent="0.25">
      <c r="A2010" s="170">
        <v>44963</v>
      </c>
      <c r="B2010" s="116">
        <v>120</v>
      </c>
      <c r="C2010" s="116">
        <v>117.6</v>
      </c>
      <c r="D2010" s="116">
        <v>117.05</v>
      </c>
      <c r="E2010" s="116">
        <v>120</v>
      </c>
      <c r="F2010" s="116">
        <v>117.6</v>
      </c>
      <c r="G2010">
        <v>1869435</v>
      </c>
      <c r="H2010" s="116"/>
      <c r="I2010" s="116"/>
      <c r="L2010" s="170">
        <v>44963</v>
      </c>
      <c r="M2010" s="116">
        <v>117.45</v>
      </c>
      <c r="N2010" s="116">
        <v>120</v>
      </c>
      <c r="O2010" s="116">
        <v>117</v>
      </c>
      <c r="P2010" s="116">
        <v>120</v>
      </c>
      <c r="Q2010" s="116">
        <v>117.45</v>
      </c>
      <c r="R2010">
        <v>49546361</v>
      </c>
    </row>
    <row r="2011" spans="1:18" x14ac:dyDescent="0.25">
      <c r="A2011" s="170">
        <v>44964</v>
      </c>
      <c r="B2011" s="116">
        <v>115.3</v>
      </c>
      <c r="C2011" s="116">
        <v>111.45</v>
      </c>
      <c r="D2011" s="116">
        <v>110.55</v>
      </c>
      <c r="E2011" s="116">
        <v>112</v>
      </c>
      <c r="F2011" s="116">
        <v>111.45</v>
      </c>
      <c r="G2011">
        <v>8882368</v>
      </c>
      <c r="H2011" s="116"/>
      <c r="I2011" s="116"/>
      <c r="L2011" s="170">
        <v>44964</v>
      </c>
      <c r="M2011" s="116">
        <v>111.45</v>
      </c>
      <c r="N2011" s="116">
        <v>115.35</v>
      </c>
      <c r="O2011" s="116">
        <v>110.55</v>
      </c>
      <c r="P2011" s="116">
        <v>112.6</v>
      </c>
      <c r="Q2011" s="116">
        <v>111.45</v>
      </c>
      <c r="R2011">
        <v>110953246</v>
      </c>
    </row>
    <row r="2012" spans="1:18" x14ac:dyDescent="0.25">
      <c r="A2012" s="170">
        <v>44965</v>
      </c>
      <c r="B2012" s="116">
        <v>112.7</v>
      </c>
      <c r="C2012" s="116">
        <v>111.5</v>
      </c>
      <c r="D2012" s="116">
        <v>110.05</v>
      </c>
      <c r="E2012" s="116">
        <v>111.4</v>
      </c>
      <c r="F2012" s="116">
        <v>111.5</v>
      </c>
      <c r="G2012">
        <v>8634481</v>
      </c>
      <c r="H2012" s="116"/>
      <c r="I2012" s="116"/>
      <c r="L2012" s="170">
        <v>44965</v>
      </c>
      <c r="M2012" s="116">
        <v>111.45</v>
      </c>
      <c r="N2012" s="116">
        <v>112.75</v>
      </c>
      <c r="O2012" s="116">
        <v>110.1</v>
      </c>
      <c r="P2012" s="116">
        <v>111.45</v>
      </c>
      <c r="Q2012" s="116">
        <v>111.45</v>
      </c>
      <c r="R2012">
        <v>66523699</v>
      </c>
    </row>
    <row r="2013" spans="1:18" x14ac:dyDescent="0.25">
      <c r="A2013" s="170">
        <v>44966</v>
      </c>
      <c r="B2013" s="116">
        <v>112.95</v>
      </c>
      <c r="C2013" s="116">
        <v>111.25</v>
      </c>
      <c r="D2013" s="116">
        <v>109.95</v>
      </c>
      <c r="E2013" s="116">
        <v>111.8</v>
      </c>
      <c r="F2013" s="116">
        <v>111.25</v>
      </c>
      <c r="G2013">
        <v>4795924</v>
      </c>
      <c r="H2013" s="116"/>
      <c r="I2013" s="116"/>
      <c r="L2013" s="170">
        <v>44966</v>
      </c>
      <c r="M2013" s="116">
        <v>111.25</v>
      </c>
      <c r="N2013" s="116">
        <v>112.95</v>
      </c>
      <c r="O2013" s="116">
        <v>109.95</v>
      </c>
      <c r="P2013" s="116">
        <v>112.15</v>
      </c>
      <c r="Q2013" s="116">
        <v>111.25</v>
      </c>
      <c r="R2013">
        <v>64710455</v>
      </c>
    </row>
    <row r="2014" spans="1:18" x14ac:dyDescent="0.25">
      <c r="A2014" s="170">
        <v>44967</v>
      </c>
      <c r="B2014" s="116">
        <v>111.05</v>
      </c>
      <c r="C2014" s="116">
        <v>108.8</v>
      </c>
      <c r="D2014" s="116">
        <v>108.3</v>
      </c>
      <c r="E2014" s="116">
        <v>111.05</v>
      </c>
      <c r="F2014" s="116">
        <v>108.8</v>
      </c>
      <c r="G2014">
        <v>2077013</v>
      </c>
      <c r="H2014" s="116"/>
      <c r="I2014" s="116"/>
      <c r="L2014" s="170">
        <v>44967</v>
      </c>
      <c r="M2014" s="116">
        <v>108.8</v>
      </c>
      <c r="N2014" s="116">
        <v>111.25</v>
      </c>
      <c r="O2014" s="116">
        <v>108.3</v>
      </c>
      <c r="P2014" s="116">
        <v>111</v>
      </c>
      <c r="Q2014" s="116">
        <v>108.8</v>
      </c>
      <c r="R2014">
        <v>60810058</v>
      </c>
    </row>
    <row r="2015" spans="1:18" x14ac:dyDescent="0.25">
      <c r="A2015" s="170">
        <v>44970</v>
      </c>
      <c r="B2015" s="116">
        <v>110.6</v>
      </c>
      <c r="C2015" s="116">
        <v>108.8</v>
      </c>
      <c r="D2015" s="116">
        <v>108.45</v>
      </c>
      <c r="E2015" s="116">
        <v>108.95</v>
      </c>
      <c r="F2015" s="116">
        <v>108.8</v>
      </c>
      <c r="G2015">
        <v>2306040</v>
      </c>
      <c r="H2015" s="116"/>
      <c r="I2015" s="116"/>
      <c r="L2015" s="170">
        <v>44970</v>
      </c>
      <c r="M2015" s="116">
        <v>108.75</v>
      </c>
      <c r="N2015" s="116">
        <v>110.6</v>
      </c>
      <c r="O2015" s="116">
        <v>108.4</v>
      </c>
      <c r="P2015" s="116">
        <v>108.8</v>
      </c>
      <c r="Q2015" s="116">
        <v>108.75</v>
      </c>
      <c r="R2015">
        <v>56186469</v>
      </c>
    </row>
    <row r="2016" spans="1:18" x14ac:dyDescent="0.25">
      <c r="A2016" s="170">
        <v>44971</v>
      </c>
      <c r="B2016" s="116">
        <v>109.9</v>
      </c>
      <c r="C2016" s="116">
        <v>109.25</v>
      </c>
      <c r="D2016" s="116">
        <v>108.3</v>
      </c>
      <c r="E2016" s="116">
        <v>109.5</v>
      </c>
      <c r="F2016" s="116">
        <v>109.25</v>
      </c>
      <c r="G2016">
        <v>2690788</v>
      </c>
      <c r="H2016" s="116"/>
      <c r="I2016" s="116"/>
      <c r="L2016" s="170">
        <v>44971</v>
      </c>
      <c r="M2016" s="116">
        <v>109.25</v>
      </c>
      <c r="N2016" s="116">
        <v>109.9</v>
      </c>
      <c r="O2016" s="116">
        <v>108.25</v>
      </c>
      <c r="P2016" s="116">
        <v>109.55</v>
      </c>
      <c r="Q2016" s="116">
        <v>109.25</v>
      </c>
      <c r="R2016">
        <v>31163587</v>
      </c>
    </row>
    <row r="2017" spans="1:18" x14ac:dyDescent="0.25">
      <c r="A2017" s="170">
        <v>44972</v>
      </c>
      <c r="B2017" s="116">
        <v>110.6</v>
      </c>
      <c r="C2017" s="116">
        <v>110.35</v>
      </c>
      <c r="D2017" s="116">
        <v>108.8</v>
      </c>
      <c r="E2017" s="116">
        <v>108.9</v>
      </c>
      <c r="F2017" s="116">
        <v>110.35</v>
      </c>
      <c r="G2017">
        <v>1674034</v>
      </c>
      <c r="H2017" s="116"/>
      <c r="I2017" s="116"/>
      <c r="L2017" s="170">
        <v>44972</v>
      </c>
      <c r="M2017" s="116">
        <v>110.3</v>
      </c>
      <c r="N2017" s="116">
        <v>110.6</v>
      </c>
      <c r="O2017" s="116">
        <v>108.8</v>
      </c>
      <c r="P2017" s="116">
        <v>109</v>
      </c>
      <c r="Q2017" s="116">
        <v>110.3</v>
      </c>
      <c r="R2017">
        <v>35544190</v>
      </c>
    </row>
    <row r="2018" spans="1:18" x14ac:dyDescent="0.25">
      <c r="A2018" s="170">
        <v>44973</v>
      </c>
      <c r="B2018" s="116">
        <v>112.2</v>
      </c>
      <c r="C2018" s="116">
        <v>112</v>
      </c>
      <c r="D2018" s="116">
        <v>110.35</v>
      </c>
      <c r="E2018" s="116">
        <v>110.35</v>
      </c>
      <c r="F2018" s="116">
        <v>112</v>
      </c>
      <c r="G2018">
        <v>2681342</v>
      </c>
      <c r="H2018" s="116"/>
      <c r="I2018" s="116"/>
      <c r="L2018" s="170">
        <v>44973</v>
      </c>
      <c r="M2018" s="116">
        <v>112</v>
      </c>
      <c r="N2018" s="116">
        <v>112.2</v>
      </c>
      <c r="O2018" s="116">
        <v>110.65</v>
      </c>
      <c r="P2018" s="116">
        <v>111</v>
      </c>
      <c r="Q2018" s="116">
        <v>112</v>
      </c>
      <c r="R2018">
        <v>30956191</v>
      </c>
    </row>
    <row r="2019" spans="1:18" x14ac:dyDescent="0.25">
      <c r="A2019" s="170">
        <v>44974</v>
      </c>
      <c r="B2019" s="116">
        <v>113.1</v>
      </c>
      <c r="C2019" s="116">
        <v>112.3</v>
      </c>
      <c r="D2019" s="116">
        <v>111.35</v>
      </c>
      <c r="E2019" s="116">
        <v>111.8</v>
      </c>
      <c r="F2019" s="116">
        <v>112.3</v>
      </c>
      <c r="G2019">
        <v>3186663</v>
      </c>
      <c r="H2019" s="116"/>
      <c r="I2019" s="116"/>
      <c r="L2019" s="170">
        <v>44974</v>
      </c>
      <c r="M2019" s="116">
        <v>112.25</v>
      </c>
      <c r="N2019" s="116">
        <v>113.1</v>
      </c>
      <c r="O2019" s="116">
        <v>111.3</v>
      </c>
      <c r="P2019" s="116">
        <v>111.55</v>
      </c>
      <c r="Q2019" s="116">
        <v>112.25</v>
      </c>
      <c r="R2019">
        <v>34107244</v>
      </c>
    </row>
    <row r="2020" spans="1:18" x14ac:dyDescent="0.25">
      <c r="A2020" s="170">
        <v>44977</v>
      </c>
      <c r="B2020" s="116">
        <v>112.75</v>
      </c>
      <c r="C2020" s="116">
        <v>112.35</v>
      </c>
      <c r="D2020" s="116">
        <v>111.05</v>
      </c>
      <c r="E2020" s="116">
        <v>112.55</v>
      </c>
      <c r="F2020" s="116">
        <v>112.35</v>
      </c>
      <c r="G2020">
        <v>2335671</v>
      </c>
      <c r="H2020" s="116"/>
      <c r="I2020" s="116"/>
      <c r="L2020" s="170">
        <v>44977</v>
      </c>
      <c r="M2020" s="116">
        <v>112.35</v>
      </c>
      <c r="N2020" s="116">
        <v>112.7</v>
      </c>
      <c r="O2020" s="116">
        <v>111.05</v>
      </c>
      <c r="P2020" s="116">
        <v>112.3</v>
      </c>
      <c r="Q2020" s="116">
        <v>112.35</v>
      </c>
      <c r="R2020">
        <v>19896764</v>
      </c>
    </row>
    <row r="2021" spans="1:18" x14ac:dyDescent="0.25">
      <c r="A2021" s="170">
        <v>44978</v>
      </c>
      <c r="B2021" s="116">
        <v>114.15</v>
      </c>
      <c r="C2021" s="116">
        <v>113.2</v>
      </c>
      <c r="D2021" s="116">
        <v>112.7</v>
      </c>
      <c r="E2021" s="116">
        <v>112.7</v>
      </c>
      <c r="F2021" s="116">
        <v>113.2</v>
      </c>
      <c r="G2021">
        <v>1589193</v>
      </c>
      <c r="H2021" s="116"/>
      <c r="I2021" s="116"/>
      <c r="L2021" s="170">
        <v>44978</v>
      </c>
      <c r="M2021" s="116">
        <v>113.15</v>
      </c>
      <c r="N2021" s="116">
        <v>114.2</v>
      </c>
      <c r="O2021" s="116">
        <v>112.75</v>
      </c>
      <c r="P2021" s="116">
        <v>112.9</v>
      </c>
      <c r="Q2021" s="116">
        <v>113.15</v>
      </c>
      <c r="R2021">
        <v>29830864</v>
      </c>
    </row>
    <row r="2022" spans="1:18" x14ac:dyDescent="0.25">
      <c r="A2022" s="170">
        <v>44979</v>
      </c>
      <c r="B2022" s="116">
        <v>113.65</v>
      </c>
      <c r="C2022" s="116">
        <v>111.15</v>
      </c>
      <c r="D2022" s="116">
        <v>110.65</v>
      </c>
      <c r="E2022" s="116">
        <v>113.05</v>
      </c>
      <c r="F2022" s="116">
        <v>111.15</v>
      </c>
      <c r="G2022">
        <v>2528641</v>
      </c>
      <c r="H2022" s="116"/>
      <c r="I2022" s="116"/>
      <c r="L2022" s="170">
        <v>44979</v>
      </c>
      <c r="M2022" s="116">
        <v>111.15</v>
      </c>
      <c r="N2022" s="116">
        <v>113.7</v>
      </c>
      <c r="O2022" s="116">
        <v>110.65</v>
      </c>
      <c r="P2022" s="116">
        <v>113.25</v>
      </c>
      <c r="Q2022" s="116">
        <v>111.15</v>
      </c>
      <c r="R2022">
        <v>24391211</v>
      </c>
    </row>
    <row r="2023" spans="1:18" x14ac:dyDescent="0.25">
      <c r="A2023" s="170">
        <v>44980</v>
      </c>
      <c r="B2023" s="116">
        <v>113.7</v>
      </c>
      <c r="C2023" s="116">
        <v>111.9</v>
      </c>
      <c r="D2023" s="116">
        <v>111.3</v>
      </c>
      <c r="E2023" s="116">
        <v>111.3</v>
      </c>
      <c r="F2023" s="116">
        <v>111.9</v>
      </c>
      <c r="G2023">
        <v>1512761</v>
      </c>
      <c r="H2023" s="116"/>
      <c r="I2023" s="116"/>
      <c r="L2023" s="170">
        <v>44980</v>
      </c>
      <c r="M2023" s="116">
        <v>112.05</v>
      </c>
      <c r="N2023" s="116">
        <v>113.65</v>
      </c>
      <c r="O2023" s="116">
        <v>111.35</v>
      </c>
      <c r="P2023" s="116">
        <v>111.55</v>
      </c>
      <c r="Q2023" s="116">
        <v>112.05</v>
      </c>
      <c r="R2023">
        <v>30845778</v>
      </c>
    </row>
    <row r="2024" spans="1:18" x14ac:dyDescent="0.25">
      <c r="A2024" s="170">
        <v>44981</v>
      </c>
      <c r="B2024" s="116">
        <v>112.85</v>
      </c>
      <c r="C2024" s="116">
        <v>109.8</v>
      </c>
      <c r="D2024" s="116">
        <v>109.55</v>
      </c>
      <c r="E2024" s="116">
        <v>112.5</v>
      </c>
      <c r="F2024" s="116">
        <v>109.8</v>
      </c>
      <c r="G2024">
        <v>1748290</v>
      </c>
      <c r="H2024" s="116"/>
      <c r="I2024" s="116"/>
      <c r="L2024" s="170">
        <v>44981</v>
      </c>
      <c r="M2024" s="116">
        <v>109.75</v>
      </c>
      <c r="N2024" s="116">
        <v>112.9</v>
      </c>
      <c r="O2024" s="116">
        <v>109.55</v>
      </c>
      <c r="P2024" s="116">
        <v>112.5</v>
      </c>
      <c r="Q2024" s="116">
        <v>109.75</v>
      </c>
      <c r="R2024">
        <v>34326940</v>
      </c>
    </row>
    <row r="2025" spans="1:18" x14ac:dyDescent="0.25">
      <c r="A2025" s="170">
        <v>44984</v>
      </c>
      <c r="B2025" s="116">
        <v>109.95</v>
      </c>
      <c r="C2025" s="116">
        <v>106.1</v>
      </c>
      <c r="D2025" s="116">
        <v>105.2</v>
      </c>
      <c r="E2025" s="116">
        <v>109.8</v>
      </c>
      <c r="F2025" s="116">
        <v>106.1</v>
      </c>
      <c r="G2025">
        <v>3837980</v>
      </c>
      <c r="H2025" s="116"/>
      <c r="I2025" s="116"/>
      <c r="L2025" s="170">
        <v>44984</v>
      </c>
      <c r="M2025" s="116">
        <v>106.1</v>
      </c>
      <c r="N2025" s="116">
        <v>110.05</v>
      </c>
      <c r="O2025" s="116">
        <v>105.15</v>
      </c>
      <c r="P2025" s="116">
        <v>109.8</v>
      </c>
      <c r="Q2025" s="116">
        <v>106.1</v>
      </c>
      <c r="R2025">
        <v>56217189</v>
      </c>
    </row>
    <row r="2026" spans="1:18" x14ac:dyDescent="0.25">
      <c r="A2026" s="170">
        <v>44985</v>
      </c>
      <c r="B2026" s="116">
        <v>107.05</v>
      </c>
      <c r="C2026" s="116">
        <v>103.95</v>
      </c>
      <c r="D2026" s="116">
        <v>103.7</v>
      </c>
      <c r="E2026" s="116">
        <v>106.6</v>
      </c>
      <c r="F2026" s="116">
        <v>103.95</v>
      </c>
      <c r="G2026">
        <v>2074518</v>
      </c>
      <c r="H2026" s="116"/>
      <c r="I2026" s="116"/>
      <c r="L2026" s="170">
        <v>44985</v>
      </c>
      <c r="M2026" s="116">
        <v>103.95</v>
      </c>
      <c r="N2026" s="116">
        <v>107.05</v>
      </c>
      <c r="O2026" s="116">
        <v>103.55</v>
      </c>
      <c r="P2026" s="116">
        <v>106.85</v>
      </c>
      <c r="Q2026" s="116">
        <v>103.95</v>
      </c>
      <c r="R2026">
        <v>76540448</v>
      </c>
    </row>
    <row r="2027" spans="1:18" x14ac:dyDescent="0.25">
      <c r="A2027" s="170">
        <v>44986</v>
      </c>
      <c r="B2027" s="116">
        <v>107.1</v>
      </c>
      <c r="C2027" s="116">
        <v>105.5</v>
      </c>
      <c r="D2027" s="116">
        <v>104.35</v>
      </c>
      <c r="E2027" s="116">
        <v>104.35</v>
      </c>
      <c r="F2027" s="116">
        <v>105.5</v>
      </c>
      <c r="G2027">
        <v>2109745</v>
      </c>
      <c r="H2027" s="116"/>
      <c r="I2027" s="116"/>
      <c r="L2027" s="170">
        <v>44986</v>
      </c>
      <c r="M2027" s="116">
        <v>105.5</v>
      </c>
      <c r="N2027" s="116">
        <v>107.1</v>
      </c>
      <c r="O2027" s="116">
        <v>104.5</v>
      </c>
      <c r="P2027" s="116">
        <v>104.7</v>
      </c>
      <c r="Q2027" s="116">
        <v>105.5</v>
      </c>
      <c r="R2027">
        <v>76175319</v>
      </c>
    </row>
    <row r="2028" spans="1:18" x14ac:dyDescent="0.25">
      <c r="A2028" s="170">
        <v>44987</v>
      </c>
      <c r="B2028" s="116">
        <v>106.9</v>
      </c>
      <c r="C2028" s="116">
        <v>104.65</v>
      </c>
      <c r="D2028" s="116">
        <v>104.35</v>
      </c>
      <c r="E2028" s="116">
        <v>105.85</v>
      </c>
      <c r="F2028" s="116">
        <v>104.65</v>
      </c>
      <c r="G2028">
        <v>1903955</v>
      </c>
      <c r="H2028" s="116"/>
      <c r="I2028" s="116"/>
      <c r="L2028" s="170">
        <v>44987</v>
      </c>
      <c r="M2028" s="116">
        <v>104.65</v>
      </c>
      <c r="N2028" s="116">
        <v>106.9</v>
      </c>
      <c r="O2028" s="116">
        <v>104.35</v>
      </c>
      <c r="P2028" s="116">
        <v>106.05</v>
      </c>
      <c r="Q2028" s="116">
        <v>104.65</v>
      </c>
      <c r="R2028">
        <v>55276248</v>
      </c>
    </row>
    <row r="2029" spans="1:18" x14ac:dyDescent="0.25">
      <c r="A2029" s="170">
        <v>44988</v>
      </c>
      <c r="B2029" s="116">
        <v>107.4</v>
      </c>
      <c r="C2029" s="116">
        <v>106.95</v>
      </c>
      <c r="D2029" s="116">
        <v>105.05</v>
      </c>
      <c r="E2029" s="116">
        <v>105.75</v>
      </c>
      <c r="F2029" s="116">
        <v>106.95</v>
      </c>
      <c r="G2029">
        <v>3357351</v>
      </c>
      <c r="H2029" s="116"/>
      <c r="I2029" s="116"/>
      <c r="L2029" s="170">
        <v>44988</v>
      </c>
      <c r="M2029" s="116">
        <v>107</v>
      </c>
      <c r="N2029" s="116">
        <v>107.45</v>
      </c>
      <c r="O2029" s="116">
        <v>105</v>
      </c>
      <c r="P2029" s="116">
        <v>106</v>
      </c>
      <c r="Q2029" s="116">
        <v>107</v>
      </c>
      <c r="R2029">
        <v>117175295</v>
      </c>
    </row>
    <row r="2030" spans="1:18" x14ac:dyDescent="0.25">
      <c r="A2030" s="170">
        <v>44991</v>
      </c>
      <c r="B2030" s="116">
        <v>107.7</v>
      </c>
      <c r="C2030" s="116">
        <v>105.65</v>
      </c>
      <c r="D2030" s="116">
        <v>105.05</v>
      </c>
      <c r="E2030" s="116">
        <v>107.2</v>
      </c>
      <c r="F2030" s="116">
        <v>105.65</v>
      </c>
      <c r="G2030">
        <v>1973758</v>
      </c>
      <c r="H2030" s="116"/>
      <c r="I2030" s="116"/>
      <c r="L2030" s="170">
        <v>44991</v>
      </c>
      <c r="M2030" s="116">
        <v>105.65</v>
      </c>
      <c r="N2030" s="116">
        <v>107.6</v>
      </c>
      <c r="O2030" s="116">
        <v>105</v>
      </c>
      <c r="P2030" s="116">
        <v>107.5</v>
      </c>
      <c r="Q2030" s="116">
        <v>105.65</v>
      </c>
      <c r="R2030">
        <v>106868143</v>
      </c>
    </row>
    <row r="2031" spans="1:18" x14ac:dyDescent="0.25">
      <c r="A2031" s="170">
        <v>44993</v>
      </c>
      <c r="B2031" s="116">
        <v>106.95</v>
      </c>
      <c r="C2031" s="116">
        <v>106.55</v>
      </c>
      <c r="D2031" s="116">
        <v>103.9</v>
      </c>
      <c r="E2031" s="116">
        <v>105.3</v>
      </c>
      <c r="F2031" s="116">
        <v>106.55</v>
      </c>
      <c r="G2031">
        <v>1517735</v>
      </c>
      <c r="H2031" s="116"/>
      <c r="I2031" s="116"/>
      <c r="L2031" s="170">
        <v>44993</v>
      </c>
      <c r="M2031" s="116">
        <v>106.5</v>
      </c>
      <c r="N2031" s="116">
        <v>106.9</v>
      </c>
      <c r="O2031" s="116">
        <v>104</v>
      </c>
      <c r="P2031" s="116">
        <v>105.3</v>
      </c>
      <c r="Q2031" s="116">
        <v>106.5</v>
      </c>
      <c r="R2031">
        <v>43939583</v>
      </c>
    </row>
    <row r="2032" spans="1:18" x14ac:dyDescent="0.25">
      <c r="A2032" s="170">
        <v>44994</v>
      </c>
      <c r="B2032" s="116">
        <v>108.95</v>
      </c>
      <c r="C2032" s="116">
        <v>108.2</v>
      </c>
      <c r="D2032" s="116">
        <v>107.45</v>
      </c>
      <c r="E2032" s="116">
        <v>107.6</v>
      </c>
      <c r="F2032" s="116">
        <v>108.2</v>
      </c>
      <c r="G2032">
        <v>3776802</v>
      </c>
      <c r="H2032" s="116"/>
      <c r="I2032" s="116"/>
      <c r="L2032" s="170">
        <v>44994</v>
      </c>
      <c r="M2032" s="116">
        <v>108.2</v>
      </c>
      <c r="N2032" s="116">
        <v>108.95</v>
      </c>
      <c r="O2032" s="116">
        <v>107.5</v>
      </c>
      <c r="P2032" s="116">
        <v>107.85</v>
      </c>
      <c r="Q2032" s="116">
        <v>108.2</v>
      </c>
      <c r="R2032">
        <v>51967449</v>
      </c>
    </row>
    <row r="2033" spans="1:18" x14ac:dyDescent="0.25">
      <c r="A2033" s="170">
        <v>44995</v>
      </c>
      <c r="B2033" s="116">
        <v>108.35</v>
      </c>
      <c r="C2033" s="116">
        <v>108.05</v>
      </c>
      <c r="D2033" s="116">
        <v>106.6</v>
      </c>
      <c r="E2033" s="116">
        <v>107.5</v>
      </c>
      <c r="F2033" s="116">
        <v>108.05</v>
      </c>
      <c r="G2033">
        <v>1753556</v>
      </c>
      <c r="H2033" s="116"/>
      <c r="I2033" s="116"/>
      <c r="L2033" s="170">
        <v>44995</v>
      </c>
      <c r="M2033" s="116">
        <v>108.1</v>
      </c>
      <c r="N2033" s="116">
        <v>108.35</v>
      </c>
      <c r="O2033" s="116">
        <v>106.6</v>
      </c>
      <c r="P2033" s="116">
        <v>107</v>
      </c>
      <c r="Q2033" s="116">
        <v>108.1</v>
      </c>
      <c r="R2033">
        <v>47699832</v>
      </c>
    </row>
    <row r="2034" spans="1:18" x14ac:dyDescent="0.25">
      <c r="A2034" s="170">
        <v>44998</v>
      </c>
      <c r="B2034" s="116">
        <v>109</v>
      </c>
      <c r="C2034" s="116">
        <v>106.85</v>
      </c>
      <c r="D2034" s="116">
        <v>106.35</v>
      </c>
      <c r="E2034" s="116">
        <v>108.1</v>
      </c>
      <c r="F2034" s="116">
        <v>106.85</v>
      </c>
      <c r="G2034">
        <v>1616530</v>
      </c>
      <c r="H2034" s="116"/>
      <c r="I2034" s="116"/>
      <c r="L2034" s="170">
        <v>44998</v>
      </c>
      <c r="M2034" s="116">
        <v>106.8</v>
      </c>
      <c r="N2034" s="116">
        <v>109</v>
      </c>
      <c r="O2034" s="116">
        <v>106.35</v>
      </c>
      <c r="P2034" s="116">
        <v>108.25</v>
      </c>
      <c r="Q2034" s="116">
        <v>106.8</v>
      </c>
      <c r="R2034">
        <v>34552596</v>
      </c>
    </row>
    <row r="2035" spans="1:18" x14ac:dyDescent="0.25">
      <c r="A2035" s="170">
        <v>44999</v>
      </c>
      <c r="B2035" s="116">
        <v>108.6</v>
      </c>
      <c r="C2035" s="116">
        <v>106.45</v>
      </c>
      <c r="D2035" s="116">
        <v>106.2</v>
      </c>
      <c r="E2035" s="116">
        <v>106.9</v>
      </c>
      <c r="F2035" s="116">
        <v>106.45</v>
      </c>
      <c r="G2035">
        <v>3233979</v>
      </c>
      <c r="H2035" s="116"/>
      <c r="I2035" s="116"/>
      <c r="L2035" s="170">
        <v>44999</v>
      </c>
      <c r="M2035" s="116">
        <v>106.4</v>
      </c>
      <c r="N2035" s="116">
        <v>108.55</v>
      </c>
      <c r="O2035" s="116">
        <v>106.2</v>
      </c>
      <c r="P2035" s="116">
        <v>107</v>
      </c>
      <c r="Q2035" s="116">
        <v>106.4</v>
      </c>
      <c r="R2035">
        <v>48584984</v>
      </c>
    </row>
    <row r="2036" spans="1:18" x14ac:dyDescent="0.25">
      <c r="A2036" s="170">
        <v>45000</v>
      </c>
      <c r="B2036" s="116">
        <v>109.1</v>
      </c>
      <c r="C2036" s="116">
        <v>108.65</v>
      </c>
      <c r="D2036" s="116">
        <v>107.3</v>
      </c>
      <c r="E2036" s="116">
        <v>107.3</v>
      </c>
      <c r="F2036" s="116">
        <v>108.65</v>
      </c>
      <c r="G2036">
        <v>3108758</v>
      </c>
      <c r="H2036" s="116"/>
      <c r="I2036" s="116"/>
      <c r="L2036" s="170">
        <v>45000</v>
      </c>
      <c r="M2036" s="116">
        <v>108.65</v>
      </c>
      <c r="N2036" s="116">
        <v>109.15</v>
      </c>
      <c r="O2036" s="116">
        <v>107.4</v>
      </c>
      <c r="P2036" s="116">
        <v>107.5</v>
      </c>
      <c r="Q2036" s="116">
        <v>108.65</v>
      </c>
      <c r="R2036">
        <v>38930902</v>
      </c>
    </row>
    <row r="2037" spans="1:18" x14ac:dyDescent="0.25">
      <c r="A2037" s="170">
        <v>45001</v>
      </c>
      <c r="B2037" s="116">
        <v>107.45</v>
      </c>
      <c r="C2037" s="116">
        <v>105.05</v>
      </c>
      <c r="D2037" s="116">
        <v>103.75</v>
      </c>
      <c r="E2037" s="116">
        <v>107.45</v>
      </c>
      <c r="F2037" s="116">
        <v>105.05</v>
      </c>
      <c r="G2037">
        <v>2889347</v>
      </c>
      <c r="H2037" s="116"/>
      <c r="I2037" s="116"/>
      <c r="L2037" s="170">
        <v>45001</v>
      </c>
      <c r="M2037" s="116">
        <v>105.05</v>
      </c>
      <c r="N2037" s="116">
        <v>107.25</v>
      </c>
      <c r="O2037" s="116">
        <v>103.7</v>
      </c>
      <c r="P2037" s="116">
        <v>107.25</v>
      </c>
      <c r="Q2037" s="116">
        <v>105.05</v>
      </c>
      <c r="R2037">
        <v>81088340</v>
      </c>
    </row>
    <row r="2038" spans="1:18" x14ac:dyDescent="0.25">
      <c r="A2038" s="170">
        <v>45002</v>
      </c>
      <c r="B2038" s="116">
        <v>107.35</v>
      </c>
      <c r="C2038" s="116">
        <v>107.05</v>
      </c>
      <c r="D2038" s="116">
        <v>105</v>
      </c>
      <c r="E2038" s="116">
        <v>106.15</v>
      </c>
      <c r="F2038" s="116">
        <v>107.05</v>
      </c>
      <c r="G2038">
        <v>1669299</v>
      </c>
      <c r="H2038" s="116"/>
      <c r="I2038" s="116"/>
      <c r="L2038" s="170">
        <v>45002</v>
      </c>
      <c r="M2038" s="116">
        <v>107</v>
      </c>
      <c r="N2038" s="116">
        <v>107.35</v>
      </c>
      <c r="O2038" s="116">
        <v>105</v>
      </c>
      <c r="P2038" s="116">
        <v>106.45</v>
      </c>
      <c r="Q2038" s="116">
        <v>107</v>
      </c>
      <c r="R2038">
        <v>48962238</v>
      </c>
    </row>
    <row r="2039" spans="1:18" x14ac:dyDescent="0.25">
      <c r="A2039" s="170">
        <v>45005</v>
      </c>
      <c r="B2039" s="116">
        <v>106.5</v>
      </c>
      <c r="C2039" s="116">
        <v>104.5</v>
      </c>
      <c r="D2039" s="116">
        <v>103.85</v>
      </c>
      <c r="E2039" s="116">
        <v>105.5</v>
      </c>
      <c r="F2039" s="116">
        <v>104.5</v>
      </c>
      <c r="G2039">
        <v>2477463</v>
      </c>
      <c r="H2039" s="116"/>
      <c r="I2039" s="116"/>
      <c r="L2039" s="170">
        <v>45005</v>
      </c>
      <c r="M2039" s="116">
        <v>104.5</v>
      </c>
      <c r="N2039" s="116">
        <v>106.45</v>
      </c>
      <c r="O2039" s="116">
        <v>103.85</v>
      </c>
      <c r="P2039" s="116">
        <v>106.1</v>
      </c>
      <c r="Q2039" s="116">
        <v>104.5</v>
      </c>
      <c r="R2039">
        <v>41569640</v>
      </c>
    </row>
    <row r="2040" spans="1:18" x14ac:dyDescent="0.25">
      <c r="A2040" s="170">
        <v>45006</v>
      </c>
      <c r="B2040" s="116">
        <v>105.85</v>
      </c>
      <c r="C2040" s="116">
        <v>104.9</v>
      </c>
      <c r="D2040" s="116">
        <v>104.25</v>
      </c>
      <c r="E2040" s="116">
        <v>105.85</v>
      </c>
      <c r="F2040" s="116">
        <v>104.9</v>
      </c>
      <c r="G2040">
        <v>1486553</v>
      </c>
      <c r="H2040" s="116"/>
      <c r="I2040" s="116"/>
      <c r="L2040" s="170">
        <v>45006</v>
      </c>
      <c r="M2040" s="116">
        <v>104.75</v>
      </c>
      <c r="N2040" s="116">
        <v>105.4</v>
      </c>
      <c r="O2040" s="116">
        <v>104.3</v>
      </c>
      <c r="P2040" s="116">
        <v>105.1</v>
      </c>
      <c r="Q2040" s="116">
        <v>104.75</v>
      </c>
      <c r="R2040">
        <v>26434897</v>
      </c>
    </row>
    <row r="2041" spans="1:18" x14ac:dyDescent="0.25">
      <c r="A2041" s="170">
        <v>45007</v>
      </c>
      <c r="B2041" s="116">
        <v>105.95</v>
      </c>
      <c r="C2041" s="116">
        <v>104.8</v>
      </c>
      <c r="D2041" s="116">
        <v>104.45</v>
      </c>
      <c r="E2041" s="116">
        <v>104.9</v>
      </c>
      <c r="F2041" s="116">
        <v>104.8</v>
      </c>
      <c r="G2041">
        <v>1691150</v>
      </c>
      <c r="H2041" s="116"/>
      <c r="I2041" s="116"/>
      <c r="L2041" s="170">
        <v>45007</v>
      </c>
      <c r="M2041" s="116">
        <v>104.8</v>
      </c>
      <c r="N2041" s="116">
        <v>105.95</v>
      </c>
      <c r="O2041" s="116">
        <v>104.4</v>
      </c>
      <c r="P2041" s="116">
        <v>104.75</v>
      </c>
      <c r="Q2041" s="116">
        <v>104.8</v>
      </c>
      <c r="R2041">
        <v>25891259</v>
      </c>
    </row>
    <row r="2042" spans="1:18" x14ac:dyDescent="0.25">
      <c r="A2042" s="170">
        <v>45008</v>
      </c>
      <c r="B2042" s="116">
        <v>105.5</v>
      </c>
      <c r="C2042" s="116">
        <v>104.85</v>
      </c>
      <c r="D2042" s="116">
        <v>104.3</v>
      </c>
      <c r="E2042" s="116">
        <v>104.5</v>
      </c>
      <c r="F2042" s="116">
        <v>104.85</v>
      </c>
      <c r="G2042">
        <v>1510121</v>
      </c>
      <c r="H2042" s="116"/>
      <c r="I2042" s="116"/>
      <c r="L2042" s="170">
        <v>45008</v>
      </c>
      <c r="M2042" s="116">
        <v>104.9</v>
      </c>
      <c r="N2042" s="116">
        <v>105.5</v>
      </c>
      <c r="O2042" s="116">
        <v>104.35</v>
      </c>
      <c r="P2042" s="116">
        <v>104.4</v>
      </c>
      <c r="Q2042" s="116">
        <v>104.9</v>
      </c>
      <c r="R2042">
        <v>20913844</v>
      </c>
    </row>
    <row r="2043" spans="1:18" x14ac:dyDescent="0.25">
      <c r="A2043" s="170">
        <v>45009</v>
      </c>
      <c r="B2043" s="116">
        <v>105.2</v>
      </c>
      <c r="C2043" s="116">
        <v>102.15</v>
      </c>
      <c r="D2043" s="116">
        <v>101.7</v>
      </c>
      <c r="E2043" s="116">
        <v>104.85</v>
      </c>
      <c r="F2043" s="116">
        <v>102.15</v>
      </c>
      <c r="G2043">
        <v>2033239</v>
      </c>
      <c r="H2043" s="116"/>
      <c r="I2043" s="116"/>
      <c r="L2043" s="170">
        <v>45009</v>
      </c>
      <c r="M2043" s="116">
        <v>102.1</v>
      </c>
      <c r="N2043" s="116">
        <v>105.05</v>
      </c>
      <c r="O2043" s="116">
        <v>101.55</v>
      </c>
      <c r="P2043" s="116">
        <v>105</v>
      </c>
      <c r="Q2043" s="116">
        <v>102.1</v>
      </c>
      <c r="R2043">
        <v>39014278</v>
      </c>
    </row>
    <row r="2044" spans="1:18" x14ac:dyDescent="0.25">
      <c r="A2044" s="170">
        <v>45012</v>
      </c>
      <c r="B2044" s="116">
        <v>103.4</v>
      </c>
      <c r="C2044" s="116">
        <v>102.3</v>
      </c>
      <c r="D2044" s="116">
        <v>102.1</v>
      </c>
      <c r="E2044" s="116">
        <v>102.55</v>
      </c>
      <c r="F2044" s="116">
        <v>102.3</v>
      </c>
      <c r="G2044">
        <v>2149318</v>
      </c>
      <c r="H2044" s="116"/>
      <c r="I2044" s="116"/>
      <c r="L2044" s="170">
        <v>45012</v>
      </c>
      <c r="M2044" s="116">
        <v>102.3</v>
      </c>
      <c r="N2044" s="116">
        <v>103.4</v>
      </c>
      <c r="O2044" s="116">
        <v>102.1</v>
      </c>
      <c r="P2044" s="116">
        <v>102.55</v>
      </c>
      <c r="Q2044" s="116">
        <v>102.3</v>
      </c>
      <c r="R2044">
        <v>24753289</v>
      </c>
    </row>
    <row r="2045" spans="1:18" x14ac:dyDescent="0.25">
      <c r="A2045" s="170">
        <v>45013</v>
      </c>
      <c r="B2045" s="116">
        <v>103.15</v>
      </c>
      <c r="C2045" s="116">
        <v>102.5</v>
      </c>
      <c r="D2045" s="116">
        <v>102.35</v>
      </c>
      <c r="E2045" s="116">
        <v>102.75</v>
      </c>
      <c r="F2045" s="116">
        <v>102.5</v>
      </c>
      <c r="G2045">
        <v>1428675</v>
      </c>
      <c r="H2045" s="116"/>
      <c r="I2045" s="116"/>
      <c r="L2045" s="170">
        <v>45013</v>
      </c>
      <c r="M2045" s="116">
        <v>102.5</v>
      </c>
      <c r="N2045" s="116">
        <v>103.1</v>
      </c>
      <c r="O2045" s="116">
        <v>102.35</v>
      </c>
      <c r="P2045" s="116">
        <v>102.85</v>
      </c>
      <c r="Q2045" s="116">
        <v>102.5</v>
      </c>
      <c r="R2045">
        <v>18703734</v>
      </c>
    </row>
    <row r="2046" spans="1:18" x14ac:dyDescent="0.25">
      <c r="A2046" s="170">
        <v>45014</v>
      </c>
      <c r="B2046" s="116">
        <v>104.1</v>
      </c>
      <c r="C2046" s="116">
        <v>103.6</v>
      </c>
      <c r="D2046" s="116">
        <v>101.65</v>
      </c>
      <c r="E2046" s="116">
        <v>102.45</v>
      </c>
      <c r="F2046" s="116">
        <v>103.6</v>
      </c>
      <c r="G2046">
        <v>1916462</v>
      </c>
      <c r="H2046" s="116"/>
      <c r="I2046" s="116"/>
      <c r="L2046" s="170">
        <v>45014</v>
      </c>
      <c r="M2046" s="116">
        <v>103.6</v>
      </c>
      <c r="N2046" s="116">
        <v>104.5</v>
      </c>
      <c r="O2046" s="116">
        <v>101.65</v>
      </c>
      <c r="P2046" s="116">
        <v>102.5</v>
      </c>
      <c r="Q2046" s="116">
        <v>103.6</v>
      </c>
      <c r="R2046">
        <v>37221124</v>
      </c>
    </row>
    <row r="2047" spans="1:18" x14ac:dyDescent="0.25">
      <c r="A2047" s="170">
        <v>45016</v>
      </c>
      <c r="B2047" s="116">
        <v>105.45</v>
      </c>
      <c r="C2047" s="116">
        <v>104.5</v>
      </c>
      <c r="D2047" s="116">
        <v>104.05</v>
      </c>
      <c r="E2047" s="116">
        <v>104.1</v>
      </c>
      <c r="F2047" s="116">
        <v>104.5</v>
      </c>
      <c r="G2047">
        <v>2224878</v>
      </c>
      <c r="H2047" s="116"/>
      <c r="I2047" s="116"/>
      <c r="L2047" s="170">
        <v>45016</v>
      </c>
      <c r="M2047" s="116">
        <v>104.5</v>
      </c>
      <c r="N2047" s="116">
        <v>105.5</v>
      </c>
      <c r="O2047" s="116">
        <v>104.1</v>
      </c>
      <c r="P2047" s="116">
        <v>105</v>
      </c>
      <c r="Q2047" s="116">
        <v>104.5</v>
      </c>
      <c r="R2047">
        <v>34579415</v>
      </c>
    </row>
    <row r="2048" spans="1:18" x14ac:dyDescent="0.25">
      <c r="A2048" s="170">
        <v>45019</v>
      </c>
      <c r="B2048" s="116">
        <v>105.3</v>
      </c>
      <c r="C2048" s="116">
        <v>104.05</v>
      </c>
      <c r="D2048" s="116">
        <v>103.8</v>
      </c>
      <c r="E2048" s="116">
        <v>104.6</v>
      </c>
      <c r="F2048" s="116">
        <v>104.05</v>
      </c>
      <c r="G2048">
        <v>1095552</v>
      </c>
      <c r="H2048" s="116"/>
      <c r="I2048" s="116"/>
      <c r="L2048" s="170">
        <v>45019</v>
      </c>
      <c r="M2048" s="116">
        <v>104.1</v>
      </c>
      <c r="N2048" s="116">
        <v>105.25</v>
      </c>
      <c r="O2048" s="116">
        <v>103.8</v>
      </c>
      <c r="P2048" s="116">
        <v>105.1</v>
      </c>
      <c r="Q2048" s="116">
        <v>104.1</v>
      </c>
      <c r="R2048">
        <v>21840428</v>
      </c>
    </row>
    <row r="2049" spans="1:18" x14ac:dyDescent="0.25">
      <c r="A2049" s="170">
        <v>45021</v>
      </c>
      <c r="B2049" s="116">
        <v>105</v>
      </c>
      <c r="C2049" s="116">
        <v>104.85</v>
      </c>
      <c r="D2049" s="116">
        <v>103.25</v>
      </c>
      <c r="E2049" s="116">
        <v>104.05</v>
      </c>
      <c r="F2049" s="116">
        <v>104.85</v>
      </c>
      <c r="G2049">
        <v>1293344</v>
      </c>
      <c r="H2049" s="116"/>
      <c r="I2049" s="116"/>
      <c r="L2049" s="170">
        <v>45021</v>
      </c>
      <c r="M2049" s="116">
        <v>104.85</v>
      </c>
      <c r="N2049" s="116">
        <v>105</v>
      </c>
      <c r="O2049" s="116">
        <v>103.2</v>
      </c>
      <c r="P2049" s="116">
        <v>104.1</v>
      </c>
      <c r="Q2049" s="116">
        <v>104.85</v>
      </c>
      <c r="R2049">
        <v>25194802</v>
      </c>
    </row>
    <row r="2050" spans="1:18" x14ac:dyDescent="0.25">
      <c r="A2050" s="170">
        <v>45022</v>
      </c>
      <c r="B2050" s="116">
        <v>105.1</v>
      </c>
      <c r="C2050" s="116">
        <v>104.4</v>
      </c>
      <c r="D2050" s="116">
        <v>104.2</v>
      </c>
      <c r="E2050" s="116">
        <v>104.75</v>
      </c>
      <c r="F2050" s="116">
        <v>104.4</v>
      </c>
      <c r="G2050">
        <v>1120442</v>
      </c>
      <c r="H2050" s="116"/>
      <c r="I2050" s="116"/>
      <c r="L2050" s="170">
        <v>45022</v>
      </c>
      <c r="M2050" s="116">
        <v>104.35</v>
      </c>
      <c r="N2050" s="116">
        <v>105.1</v>
      </c>
      <c r="O2050" s="116">
        <v>104.2</v>
      </c>
      <c r="P2050" s="116">
        <v>104.85</v>
      </c>
      <c r="Q2050" s="116">
        <v>104.35</v>
      </c>
      <c r="R2050">
        <v>21053782</v>
      </c>
    </row>
    <row r="2051" spans="1:18" x14ac:dyDescent="0.25">
      <c r="A2051" s="170">
        <v>45026</v>
      </c>
      <c r="B2051" s="116">
        <v>105.75</v>
      </c>
      <c r="C2051" s="116">
        <v>104.95</v>
      </c>
      <c r="D2051" s="116">
        <v>104.3</v>
      </c>
      <c r="E2051" s="116">
        <v>104.3</v>
      </c>
      <c r="F2051" s="116">
        <v>104.95</v>
      </c>
      <c r="G2051">
        <v>2033100</v>
      </c>
      <c r="H2051" s="116"/>
      <c r="I2051" s="116"/>
      <c r="L2051" s="170">
        <v>45026</v>
      </c>
      <c r="M2051" s="116">
        <v>104.95</v>
      </c>
      <c r="N2051" s="116">
        <v>105.75</v>
      </c>
      <c r="O2051" s="116">
        <v>104.5</v>
      </c>
      <c r="P2051" s="116">
        <v>104.5</v>
      </c>
      <c r="Q2051" s="116">
        <v>104.95</v>
      </c>
      <c r="R2051">
        <v>19992257</v>
      </c>
    </row>
    <row r="2052" spans="1:18" x14ac:dyDescent="0.25">
      <c r="A2052" s="170">
        <v>45027</v>
      </c>
      <c r="B2052" s="116">
        <v>107.85</v>
      </c>
      <c r="C2052" s="116">
        <v>107.5</v>
      </c>
      <c r="D2052" s="116">
        <v>105.1</v>
      </c>
      <c r="E2052" s="116">
        <v>105.2</v>
      </c>
      <c r="F2052" s="116">
        <v>107.5</v>
      </c>
      <c r="G2052">
        <v>1430932</v>
      </c>
      <c r="H2052" s="116"/>
      <c r="I2052" s="116"/>
      <c r="L2052" s="170">
        <v>45027</v>
      </c>
      <c r="M2052" s="116">
        <v>107.55</v>
      </c>
      <c r="N2052" s="116">
        <v>107.85</v>
      </c>
      <c r="O2052" s="116">
        <v>105.1</v>
      </c>
      <c r="P2052" s="116">
        <v>105.55</v>
      </c>
      <c r="Q2052" s="116">
        <v>107.55</v>
      </c>
      <c r="R2052">
        <v>49304956</v>
      </c>
    </row>
    <row r="2053" spans="1:18" x14ac:dyDescent="0.25">
      <c r="A2053" s="170">
        <v>45028</v>
      </c>
      <c r="B2053" s="116">
        <v>108.4</v>
      </c>
      <c r="C2053" s="116">
        <v>107.6</v>
      </c>
      <c r="D2053" s="116">
        <v>106.9</v>
      </c>
      <c r="E2053" s="116">
        <v>107.85</v>
      </c>
      <c r="F2053" s="116">
        <v>107.6</v>
      </c>
      <c r="G2053">
        <v>1145000</v>
      </c>
      <c r="H2053" s="116"/>
      <c r="I2053" s="116"/>
      <c r="L2053" s="170">
        <v>45028</v>
      </c>
      <c r="M2053" s="116">
        <v>107.6</v>
      </c>
      <c r="N2053" s="116">
        <v>108.4</v>
      </c>
      <c r="O2053" s="116">
        <v>106.95</v>
      </c>
      <c r="P2053" s="116">
        <v>108.2</v>
      </c>
      <c r="Q2053" s="116">
        <v>107.6</v>
      </c>
      <c r="R2053">
        <v>27349538</v>
      </c>
    </row>
    <row r="2054" spans="1:18" x14ac:dyDescent="0.25">
      <c r="A2054" s="170">
        <v>45029</v>
      </c>
      <c r="B2054" s="116">
        <v>108.2</v>
      </c>
      <c r="C2054" s="116">
        <v>107.45</v>
      </c>
      <c r="D2054" s="116">
        <v>105.9</v>
      </c>
      <c r="E2054" s="116">
        <v>107.55</v>
      </c>
      <c r="F2054" s="116">
        <v>107.45</v>
      </c>
      <c r="G2054">
        <v>1122282</v>
      </c>
      <c r="H2054" s="116"/>
      <c r="I2054" s="116"/>
      <c r="L2054" s="170">
        <v>45029</v>
      </c>
      <c r="M2054" s="116">
        <v>107.5</v>
      </c>
      <c r="N2054" s="116">
        <v>108.15</v>
      </c>
      <c r="O2054" s="116">
        <v>105.9</v>
      </c>
      <c r="P2054" s="116">
        <v>107.5</v>
      </c>
      <c r="Q2054" s="116">
        <v>107.5</v>
      </c>
      <c r="R2054">
        <v>34880922</v>
      </c>
    </row>
    <row r="2055" spans="1:18" x14ac:dyDescent="0.25">
      <c r="A2055" s="170">
        <v>45033</v>
      </c>
      <c r="B2055" s="116">
        <v>108.35</v>
      </c>
      <c r="C2055" s="116">
        <v>107.2</v>
      </c>
      <c r="D2055" s="116">
        <v>106.75</v>
      </c>
      <c r="E2055" s="116">
        <v>107.3</v>
      </c>
      <c r="F2055" s="116">
        <v>107.2</v>
      </c>
      <c r="G2055">
        <v>6029923</v>
      </c>
      <c r="H2055" s="116"/>
      <c r="I2055" s="116"/>
      <c r="L2055" s="170">
        <v>45033</v>
      </c>
      <c r="M2055" s="116">
        <v>107.15</v>
      </c>
      <c r="N2055" s="116">
        <v>108.3</v>
      </c>
      <c r="O2055" s="116">
        <v>106.75</v>
      </c>
      <c r="P2055" s="116">
        <v>107.6</v>
      </c>
      <c r="Q2055" s="116">
        <v>107.15</v>
      </c>
      <c r="R2055">
        <v>24642162</v>
      </c>
    </row>
    <row r="2056" spans="1:18" x14ac:dyDescent="0.25">
      <c r="A2056" s="170">
        <v>45034</v>
      </c>
      <c r="B2056" s="116">
        <v>107.9</v>
      </c>
      <c r="C2056" s="116">
        <v>107.6</v>
      </c>
      <c r="D2056" s="116">
        <v>106.85</v>
      </c>
      <c r="E2056" s="116">
        <v>107.2</v>
      </c>
      <c r="F2056" s="116">
        <v>107.6</v>
      </c>
      <c r="G2056">
        <v>1539166</v>
      </c>
      <c r="H2056" s="116"/>
      <c r="I2056" s="116"/>
      <c r="L2056" s="170">
        <v>45034</v>
      </c>
      <c r="M2056" s="116">
        <v>107.6</v>
      </c>
      <c r="N2056" s="116">
        <v>107.9</v>
      </c>
      <c r="O2056" s="116">
        <v>106.85</v>
      </c>
      <c r="P2056" s="116">
        <v>107.2</v>
      </c>
      <c r="Q2056" s="116">
        <v>107.6</v>
      </c>
      <c r="R2056">
        <v>25476339</v>
      </c>
    </row>
    <row r="2057" spans="1:18" x14ac:dyDescent="0.25">
      <c r="A2057" s="170">
        <v>45035</v>
      </c>
      <c r="B2057" s="116">
        <v>110.4</v>
      </c>
      <c r="C2057" s="116">
        <v>108.15</v>
      </c>
      <c r="D2057" s="116">
        <v>107.7</v>
      </c>
      <c r="E2057" s="116">
        <v>107.7</v>
      </c>
      <c r="F2057" s="116">
        <v>108.15</v>
      </c>
      <c r="G2057">
        <v>2556534</v>
      </c>
      <c r="H2057" s="116"/>
      <c r="I2057" s="116"/>
      <c r="L2057" s="170">
        <v>45035</v>
      </c>
      <c r="M2057" s="116">
        <v>108.1</v>
      </c>
      <c r="N2057" s="116">
        <v>110.4</v>
      </c>
      <c r="O2057" s="116">
        <v>107.75</v>
      </c>
      <c r="P2057" s="116">
        <v>107.85</v>
      </c>
      <c r="Q2057" s="116">
        <v>108.1</v>
      </c>
      <c r="R2057">
        <v>62100775</v>
      </c>
    </row>
    <row r="2058" spans="1:18" x14ac:dyDescent="0.25">
      <c r="A2058" s="170">
        <v>45036</v>
      </c>
      <c r="B2058" s="116">
        <v>108.7</v>
      </c>
      <c r="C2058" s="116">
        <v>108</v>
      </c>
      <c r="D2058" s="116">
        <v>107.35</v>
      </c>
      <c r="E2058" s="116">
        <v>108.15</v>
      </c>
      <c r="F2058" s="116">
        <v>108</v>
      </c>
      <c r="G2058">
        <v>1490033</v>
      </c>
      <c r="H2058" s="116"/>
      <c r="I2058" s="116"/>
      <c r="L2058" s="170">
        <v>45036</v>
      </c>
      <c r="M2058" s="116">
        <v>108</v>
      </c>
      <c r="N2058" s="116">
        <v>108.7</v>
      </c>
      <c r="O2058" s="116">
        <v>107.4</v>
      </c>
      <c r="P2058" s="116">
        <v>108.2</v>
      </c>
      <c r="Q2058" s="116">
        <v>108</v>
      </c>
      <c r="R2058">
        <v>18337948</v>
      </c>
    </row>
    <row r="2059" spans="1:18" x14ac:dyDescent="0.25">
      <c r="A2059" s="170">
        <v>45037</v>
      </c>
      <c r="B2059" s="116">
        <v>108.2</v>
      </c>
      <c r="C2059" s="116">
        <v>106.15</v>
      </c>
      <c r="D2059" s="116">
        <v>105.35</v>
      </c>
      <c r="E2059" s="116">
        <v>107.8</v>
      </c>
      <c r="F2059" s="116">
        <v>106.15</v>
      </c>
      <c r="G2059">
        <v>1399471</v>
      </c>
      <c r="H2059" s="116"/>
      <c r="I2059" s="116"/>
      <c r="L2059" s="170">
        <v>45037</v>
      </c>
      <c r="M2059" s="116">
        <v>106.15</v>
      </c>
      <c r="N2059" s="116">
        <v>108.1</v>
      </c>
      <c r="O2059" s="116">
        <v>105.35</v>
      </c>
      <c r="P2059" s="116">
        <v>108</v>
      </c>
      <c r="Q2059" s="116">
        <v>106.15</v>
      </c>
      <c r="R2059">
        <v>37638506</v>
      </c>
    </row>
    <row r="2060" spans="1:18" x14ac:dyDescent="0.25">
      <c r="A2060" s="170">
        <v>45040</v>
      </c>
      <c r="B2060" s="116">
        <v>106.7</v>
      </c>
      <c r="C2060" s="116">
        <v>106.5</v>
      </c>
      <c r="D2060" s="116">
        <v>105.35</v>
      </c>
      <c r="E2060" s="116">
        <v>106.25</v>
      </c>
      <c r="F2060" s="116">
        <v>106.5</v>
      </c>
      <c r="G2060">
        <v>1282229</v>
      </c>
      <c r="H2060" s="116"/>
      <c r="I2060" s="116"/>
      <c r="L2060" s="170">
        <v>45040</v>
      </c>
      <c r="M2060" s="116">
        <v>106.5</v>
      </c>
      <c r="N2060" s="116">
        <v>106.7</v>
      </c>
      <c r="O2060" s="116">
        <v>105.35</v>
      </c>
      <c r="P2060" s="116">
        <v>106.4</v>
      </c>
      <c r="Q2060" s="116">
        <v>106.5</v>
      </c>
      <c r="R2060">
        <v>23475012</v>
      </c>
    </row>
    <row r="2061" spans="1:18" x14ac:dyDescent="0.25">
      <c r="A2061" s="170">
        <v>45041</v>
      </c>
      <c r="B2061" s="116">
        <v>107.6</v>
      </c>
      <c r="C2061" s="116">
        <v>107.05</v>
      </c>
      <c r="D2061" s="116">
        <v>106.25</v>
      </c>
      <c r="E2061" s="116">
        <v>106.5</v>
      </c>
      <c r="F2061" s="116">
        <v>107.05</v>
      </c>
      <c r="G2061">
        <v>1172156</v>
      </c>
      <c r="H2061" s="116"/>
      <c r="I2061" s="116"/>
      <c r="L2061" s="170">
        <v>45041</v>
      </c>
      <c r="M2061" s="116">
        <v>107.05</v>
      </c>
      <c r="N2061" s="116">
        <v>107.6</v>
      </c>
      <c r="O2061" s="116">
        <v>106.25</v>
      </c>
      <c r="P2061" s="116">
        <v>106.7</v>
      </c>
      <c r="Q2061" s="116">
        <v>107.05</v>
      </c>
      <c r="R2061">
        <v>23333425</v>
      </c>
    </row>
    <row r="2062" spans="1:18" x14ac:dyDescent="0.25">
      <c r="A2062" s="170">
        <v>45042</v>
      </c>
      <c r="B2062" s="116">
        <v>107.05</v>
      </c>
      <c r="C2062" s="116">
        <v>106.8</v>
      </c>
      <c r="D2062" s="116">
        <v>105.9</v>
      </c>
      <c r="E2062" s="116">
        <v>106.3</v>
      </c>
      <c r="F2062" s="116">
        <v>106.8</v>
      </c>
      <c r="G2062">
        <v>1104936</v>
      </c>
      <c r="H2062" s="116"/>
      <c r="I2062" s="116"/>
      <c r="L2062" s="170">
        <v>45042</v>
      </c>
      <c r="M2062" s="116">
        <v>106.85</v>
      </c>
      <c r="N2062" s="116">
        <v>107.05</v>
      </c>
      <c r="O2062" s="116">
        <v>105.85</v>
      </c>
      <c r="P2062" s="116">
        <v>106.5</v>
      </c>
      <c r="Q2062" s="116">
        <v>106.85</v>
      </c>
      <c r="R2062">
        <v>23590297</v>
      </c>
    </row>
    <row r="2063" spans="1:18" x14ac:dyDescent="0.25">
      <c r="A2063" s="170">
        <v>45043</v>
      </c>
      <c r="B2063" s="116">
        <v>107.8</v>
      </c>
      <c r="C2063" s="116">
        <v>107.6</v>
      </c>
      <c r="D2063" s="116">
        <v>106.3</v>
      </c>
      <c r="E2063" s="116">
        <v>106.9</v>
      </c>
      <c r="F2063" s="116">
        <v>107.6</v>
      </c>
      <c r="G2063">
        <v>1024729</v>
      </c>
      <c r="H2063" s="116"/>
      <c r="I2063" s="116"/>
      <c r="L2063" s="170">
        <v>45043</v>
      </c>
      <c r="M2063" s="116">
        <v>107.65</v>
      </c>
      <c r="N2063" s="116">
        <v>107.85</v>
      </c>
      <c r="O2063" s="116">
        <v>106.3</v>
      </c>
      <c r="P2063" s="116">
        <v>106.3</v>
      </c>
      <c r="Q2063" s="116">
        <v>107.65</v>
      </c>
      <c r="R2063">
        <v>22364308</v>
      </c>
    </row>
    <row r="2064" spans="1:18" x14ac:dyDescent="0.25">
      <c r="A2064" s="170">
        <v>45044</v>
      </c>
      <c r="B2064" s="116">
        <v>108.55</v>
      </c>
      <c r="C2064" s="116">
        <v>107.9</v>
      </c>
      <c r="D2064" s="116">
        <v>107.3</v>
      </c>
      <c r="E2064" s="116">
        <v>107.8</v>
      </c>
      <c r="F2064" s="116">
        <v>107.9</v>
      </c>
      <c r="G2064">
        <v>1293303</v>
      </c>
      <c r="H2064" s="116"/>
      <c r="I2064" s="116"/>
      <c r="L2064" s="170">
        <v>45044</v>
      </c>
      <c r="M2064" s="116">
        <v>107.95</v>
      </c>
      <c r="N2064" s="116">
        <v>108.5</v>
      </c>
      <c r="O2064" s="116">
        <v>107.3</v>
      </c>
      <c r="P2064" s="116">
        <v>107.8</v>
      </c>
      <c r="Q2064" s="116">
        <v>107.95</v>
      </c>
      <c r="R2064">
        <v>30072920</v>
      </c>
    </row>
    <row r="2065" spans="1:18" x14ac:dyDescent="0.25">
      <c r="A2065" s="170">
        <v>45048</v>
      </c>
      <c r="B2065" s="116">
        <v>110.85</v>
      </c>
      <c r="C2065" s="116">
        <v>110.3</v>
      </c>
      <c r="D2065" s="116">
        <v>107.9</v>
      </c>
      <c r="E2065" s="116">
        <v>107.9</v>
      </c>
      <c r="F2065" s="116">
        <v>110.3</v>
      </c>
      <c r="G2065">
        <v>2119800</v>
      </c>
      <c r="H2065" s="116"/>
      <c r="I2065" s="116"/>
      <c r="L2065" s="170">
        <v>45048</v>
      </c>
      <c r="M2065" s="116">
        <v>110.3</v>
      </c>
      <c r="N2065" s="116">
        <v>110.85</v>
      </c>
      <c r="O2065" s="116">
        <v>108</v>
      </c>
      <c r="P2065" s="116">
        <v>108</v>
      </c>
      <c r="Q2065" s="116">
        <v>110.3</v>
      </c>
      <c r="R2065">
        <v>52822162</v>
      </c>
    </row>
    <row r="2066" spans="1:18" x14ac:dyDescent="0.25">
      <c r="A2066" s="170">
        <v>45049</v>
      </c>
      <c r="B2066" s="116">
        <v>111.05</v>
      </c>
      <c r="C2066" s="116">
        <v>109.8</v>
      </c>
      <c r="D2066" s="116">
        <v>108.75</v>
      </c>
      <c r="E2066" s="116">
        <v>110.5</v>
      </c>
      <c r="F2066" s="116">
        <v>109.8</v>
      </c>
      <c r="G2066">
        <v>2137095</v>
      </c>
      <c r="H2066" s="116"/>
      <c r="I2066" s="116"/>
      <c r="L2066" s="170">
        <v>45049</v>
      </c>
      <c r="M2066" s="116">
        <v>109.7</v>
      </c>
      <c r="N2066" s="116">
        <v>111</v>
      </c>
      <c r="O2066" s="116">
        <v>108.75</v>
      </c>
      <c r="P2066" s="116">
        <v>109.8</v>
      </c>
      <c r="Q2066" s="116">
        <v>109.7</v>
      </c>
      <c r="R2066">
        <v>51272624</v>
      </c>
    </row>
    <row r="2067" spans="1:18" x14ac:dyDescent="0.25">
      <c r="A2067" s="170">
        <v>45050</v>
      </c>
      <c r="B2067" s="116">
        <v>111.85</v>
      </c>
      <c r="C2067" s="116">
        <v>111.05</v>
      </c>
      <c r="D2067" s="116">
        <v>109.55</v>
      </c>
      <c r="E2067" s="116">
        <v>109.85</v>
      </c>
      <c r="F2067" s="116">
        <v>111.05</v>
      </c>
      <c r="G2067">
        <v>3662341</v>
      </c>
      <c r="H2067" s="116"/>
      <c r="I2067" s="116"/>
      <c r="L2067" s="170">
        <v>45050</v>
      </c>
      <c r="M2067" s="116">
        <v>111.05</v>
      </c>
      <c r="N2067" s="116">
        <v>111.9</v>
      </c>
      <c r="O2067" s="116">
        <v>109.5</v>
      </c>
      <c r="P2067" s="116">
        <v>110</v>
      </c>
      <c r="Q2067" s="116">
        <v>111.05</v>
      </c>
      <c r="R2067">
        <v>38636907</v>
      </c>
    </row>
    <row r="2068" spans="1:18" x14ac:dyDescent="0.25">
      <c r="A2068" s="170">
        <v>45051</v>
      </c>
      <c r="B2068" s="116">
        <v>110.95</v>
      </c>
      <c r="C2068" s="116">
        <v>108.65</v>
      </c>
      <c r="D2068" s="116">
        <v>108.4</v>
      </c>
      <c r="E2068" s="116">
        <v>110.95</v>
      </c>
      <c r="F2068" s="116">
        <v>108.65</v>
      </c>
      <c r="G2068">
        <v>1553831</v>
      </c>
      <c r="H2068" s="116"/>
      <c r="I2068" s="116"/>
      <c r="L2068" s="170">
        <v>45051</v>
      </c>
      <c r="M2068" s="116">
        <v>108.65</v>
      </c>
      <c r="N2068" s="116">
        <v>110.85</v>
      </c>
      <c r="O2068" s="116">
        <v>108.4</v>
      </c>
      <c r="P2068" s="116">
        <v>110.85</v>
      </c>
      <c r="Q2068" s="116">
        <v>108.65</v>
      </c>
      <c r="R2068">
        <v>32958346</v>
      </c>
    </row>
    <row r="2069" spans="1:18" x14ac:dyDescent="0.25">
      <c r="A2069" s="170">
        <v>45054</v>
      </c>
      <c r="B2069" s="116">
        <v>109.8</v>
      </c>
      <c r="C2069" s="116">
        <v>109.55</v>
      </c>
      <c r="D2069" s="116">
        <v>108.35</v>
      </c>
      <c r="E2069" s="116">
        <v>109.1</v>
      </c>
      <c r="F2069" s="116">
        <v>109.55</v>
      </c>
      <c r="G2069">
        <v>1095557</v>
      </c>
      <c r="H2069" s="116"/>
      <c r="I2069" s="116"/>
      <c r="L2069" s="170">
        <v>45054</v>
      </c>
      <c r="M2069" s="116">
        <v>109.55</v>
      </c>
      <c r="N2069" s="116">
        <v>109.85</v>
      </c>
      <c r="O2069" s="116">
        <v>108.25</v>
      </c>
      <c r="P2069" s="116">
        <v>109.25</v>
      </c>
      <c r="Q2069" s="116">
        <v>109.55</v>
      </c>
      <c r="R2069">
        <v>23130472</v>
      </c>
    </row>
    <row r="2070" spans="1:18" x14ac:dyDescent="0.25">
      <c r="A2070" s="170">
        <v>45055</v>
      </c>
      <c r="B2070" s="116">
        <v>111.2</v>
      </c>
      <c r="C2070" s="116">
        <v>109.55</v>
      </c>
      <c r="D2070" s="116">
        <v>109.15</v>
      </c>
      <c r="E2070" s="116">
        <v>109.55</v>
      </c>
      <c r="F2070" s="116">
        <v>109.55</v>
      </c>
      <c r="G2070">
        <v>1646859</v>
      </c>
      <c r="H2070" s="116"/>
      <c r="I2070" s="116"/>
      <c r="L2070" s="170">
        <v>45055</v>
      </c>
      <c r="M2070" s="116">
        <v>109.55</v>
      </c>
      <c r="N2070" s="116">
        <v>111.2</v>
      </c>
      <c r="O2070" s="116">
        <v>109.15</v>
      </c>
      <c r="P2070" s="116">
        <v>109.6</v>
      </c>
      <c r="Q2070" s="116">
        <v>109.55</v>
      </c>
      <c r="R2070">
        <v>27999202</v>
      </c>
    </row>
    <row r="2071" spans="1:18" x14ac:dyDescent="0.25">
      <c r="A2071" s="170">
        <v>45056</v>
      </c>
      <c r="B2071" s="116">
        <v>110.05</v>
      </c>
      <c r="C2071" s="116">
        <v>109.2</v>
      </c>
      <c r="D2071" s="116">
        <v>108.6</v>
      </c>
      <c r="E2071" s="116">
        <v>109.6</v>
      </c>
      <c r="F2071" s="116">
        <v>109.2</v>
      </c>
      <c r="G2071">
        <v>742028</v>
      </c>
      <c r="H2071" s="116"/>
      <c r="I2071" s="116"/>
      <c r="L2071" s="170">
        <v>45056</v>
      </c>
      <c r="M2071" s="116">
        <v>109.25</v>
      </c>
      <c r="N2071" s="116">
        <v>110</v>
      </c>
      <c r="O2071" s="116">
        <v>108.6</v>
      </c>
      <c r="P2071" s="116">
        <v>109.6</v>
      </c>
      <c r="Q2071" s="116">
        <v>109.25</v>
      </c>
      <c r="R2071">
        <v>19213215</v>
      </c>
    </row>
    <row r="2072" spans="1:18" x14ac:dyDescent="0.25">
      <c r="A2072" s="170">
        <v>45057</v>
      </c>
      <c r="B2072" s="116">
        <v>109.5</v>
      </c>
      <c r="C2072" s="116">
        <v>108.55</v>
      </c>
      <c r="D2072" s="116">
        <v>108.3</v>
      </c>
      <c r="E2072" s="116">
        <v>109.2</v>
      </c>
      <c r="F2072" s="116">
        <v>108.55</v>
      </c>
      <c r="G2072">
        <v>1490070</v>
      </c>
      <c r="H2072" s="116"/>
      <c r="I2072" s="116"/>
      <c r="L2072" s="170">
        <v>45057</v>
      </c>
      <c r="M2072" s="116">
        <v>108.55</v>
      </c>
      <c r="N2072" s="116">
        <v>109.5</v>
      </c>
      <c r="O2072" s="116">
        <v>108.25</v>
      </c>
      <c r="P2072" s="116">
        <v>109.2</v>
      </c>
      <c r="Q2072" s="116">
        <v>108.55</v>
      </c>
      <c r="R2072">
        <v>19817637</v>
      </c>
    </row>
    <row r="2073" spans="1:18" x14ac:dyDescent="0.25">
      <c r="A2073" s="170">
        <v>45058</v>
      </c>
      <c r="B2073" s="116">
        <v>108.4</v>
      </c>
      <c r="C2073" s="116">
        <v>106.75</v>
      </c>
      <c r="D2073" s="116">
        <v>106.55</v>
      </c>
      <c r="E2073" s="116">
        <v>108.25</v>
      </c>
      <c r="F2073" s="116">
        <v>106.75</v>
      </c>
      <c r="G2073">
        <v>1516518</v>
      </c>
      <c r="H2073" s="116"/>
      <c r="I2073" s="116"/>
      <c r="L2073" s="170">
        <v>45058</v>
      </c>
      <c r="M2073" s="116">
        <v>106.75</v>
      </c>
      <c r="N2073" s="116">
        <v>108.4</v>
      </c>
      <c r="O2073" s="116">
        <v>106.55</v>
      </c>
      <c r="P2073" s="116">
        <v>108.35</v>
      </c>
      <c r="Q2073" s="116">
        <v>106.75</v>
      </c>
      <c r="R2073">
        <v>36794838</v>
      </c>
    </row>
    <row r="2074" spans="1:18" x14ac:dyDescent="0.25">
      <c r="A2074" s="170">
        <v>45061</v>
      </c>
      <c r="B2074" s="116">
        <v>108.15</v>
      </c>
      <c r="C2074" s="116">
        <v>107.7</v>
      </c>
      <c r="D2074" s="116">
        <v>105.65</v>
      </c>
      <c r="E2074" s="116">
        <v>107</v>
      </c>
      <c r="F2074" s="116">
        <v>107.7</v>
      </c>
      <c r="G2074">
        <v>1040115</v>
      </c>
      <c r="H2074" s="116"/>
      <c r="I2074" s="116"/>
      <c r="L2074" s="170">
        <v>45061</v>
      </c>
      <c r="M2074" s="116">
        <v>107.7</v>
      </c>
      <c r="N2074" s="116">
        <v>108.2</v>
      </c>
      <c r="O2074" s="116">
        <v>105.65</v>
      </c>
      <c r="P2074" s="116">
        <v>107.05</v>
      </c>
      <c r="Q2074" s="116">
        <v>107.7</v>
      </c>
      <c r="R2074">
        <v>22148028</v>
      </c>
    </row>
    <row r="2075" spans="1:18" x14ac:dyDescent="0.25">
      <c r="A2075" s="170">
        <v>45062</v>
      </c>
      <c r="B2075" s="116">
        <v>108.65</v>
      </c>
      <c r="C2075" s="116">
        <v>107.35</v>
      </c>
      <c r="D2075" s="116">
        <v>107.2</v>
      </c>
      <c r="E2075" s="116">
        <v>108.2</v>
      </c>
      <c r="F2075" s="116">
        <v>107.35</v>
      </c>
      <c r="G2075">
        <v>903375</v>
      </c>
      <c r="H2075" s="116"/>
      <c r="I2075" s="116"/>
      <c r="L2075" s="170">
        <v>45062</v>
      </c>
      <c r="M2075" s="116">
        <v>107.4</v>
      </c>
      <c r="N2075" s="116">
        <v>108.65</v>
      </c>
      <c r="O2075" s="116">
        <v>107.2</v>
      </c>
      <c r="P2075" s="116">
        <v>108.2</v>
      </c>
      <c r="Q2075" s="116">
        <v>107.4</v>
      </c>
      <c r="R2075">
        <v>18587658</v>
      </c>
    </row>
    <row r="2076" spans="1:18" x14ac:dyDescent="0.25">
      <c r="A2076" s="170">
        <v>45063</v>
      </c>
      <c r="B2076" s="116">
        <v>107.45</v>
      </c>
      <c r="C2076" s="116">
        <v>106</v>
      </c>
      <c r="D2076" s="116">
        <v>105.65</v>
      </c>
      <c r="E2076" s="116">
        <v>107.35</v>
      </c>
      <c r="F2076" s="116">
        <v>106</v>
      </c>
      <c r="G2076">
        <v>1247101</v>
      </c>
      <c r="H2076" s="116"/>
      <c r="I2076" s="116"/>
      <c r="L2076" s="170">
        <v>45063</v>
      </c>
      <c r="M2076" s="116">
        <v>106</v>
      </c>
      <c r="N2076" s="116">
        <v>107.5</v>
      </c>
      <c r="O2076" s="116">
        <v>105.55</v>
      </c>
      <c r="P2076" s="116">
        <v>107.4</v>
      </c>
      <c r="Q2076" s="116">
        <v>106</v>
      </c>
      <c r="R2076">
        <v>28895465</v>
      </c>
    </row>
    <row r="2077" spans="1:18" x14ac:dyDescent="0.25">
      <c r="A2077" s="170">
        <v>45064</v>
      </c>
      <c r="B2077" s="116">
        <v>107.15</v>
      </c>
      <c r="C2077" s="116">
        <v>105.2</v>
      </c>
      <c r="D2077" s="116">
        <v>105.1</v>
      </c>
      <c r="E2077" s="116">
        <v>106.15</v>
      </c>
      <c r="F2077" s="116">
        <v>105.2</v>
      </c>
      <c r="G2077">
        <v>1183969</v>
      </c>
      <c r="H2077" s="116"/>
      <c r="I2077" s="116"/>
      <c r="L2077" s="170">
        <v>45064</v>
      </c>
      <c r="M2077" s="116">
        <v>105.2</v>
      </c>
      <c r="N2077" s="116">
        <v>107.15</v>
      </c>
      <c r="O2077" s="116">
        <v>105.1</v>
      </c>
      <c r="P2077" s="116">
        <v>106.5</v>
      </c>
      <c r="Q2077" s="116">
        <v>105.2</v>
      </c>
      <c r="R2077">
        <v>24208481</v>
      </c>
    </row>
    <row r="2078" spans="1:18" x14ac:dyDescent="0.25">
      <c r="A2078" s="170">
        <v>45065</v>
      </c>
      <c r="B2078" s="116">
        <v>105.7</v>
      </c>
      <c r="C2078" s="116">
        <v>104.65</v>
      </c>
      <c r="D2078" s="116">
        <v>104.1</v>
      </c>
      <c r="E2078" s="116">
        <v>105.25</v>
      </c>
      <c r="F2078" s="116">
        <v>104.65</v>
      </c>
      <c r="G2078">
        <v>1588251</v>
      </c>
      <c r="H2078" s="116"/>
      <c r="I2078" s="116"/>
      <c r="L2078" s="170">
        <v>45065</v>
      </c>
      <c r="M2078" s="116">
        <v>104.65</v>
      </c>
      <c r="N2078" s="116">
        <v>105.7</v>
      </c>
      <c r="O2078" s="116">
        <v>104.05</v>
      </c>
      <c r="P2078" s="116">
        <v>105.6</v>
      </c>
      <c r="Q2078" s="116">
        <v>104.65</v>
      </c>
      <c r="R2078">
        <v>29848841</v>
      </c>
    </row>
    <row r="2079" spans="1:18" x14ac:dyDescent="0.25">
      <c r="A2079" s="170">
        <v>45068</v>
      </c>
      <c r="B2079" s="116">
        <v>105.25</v>
      </c>
      <c r="C2079" s="116">
        <v>104.95</v>
      </c>
      <c r="D2079" s="116">
        <v>104.4</v>
      </c>
      <c r="E2079" s="116">
        <v>104.7</v>
      </c>
      <c r="F2079" s="116">
        <v>104.95</v>
      </c>
      <c r="G2079">
        <v>1291714</v>
      </c>
      <c r="H2079" s="116"/>
      <c r="I2079" s="116"/>
      <c r="L2079" s="170">
        <v>45068</v>
      </c>
      <c r="M2079" s="116">
        <v>105</v>
      </c>
      <c r="N2079" s="116">
        <v>105.25</v>
      </c>
      <c r="O2079" s="116">
        <v>104.3</v>
      </c>
      <c r="P2079" s="116">
        <v>105</v>
      </c>
      <c r="Q2079" s="116">
        <v>105</v>
      </c>
      <c r="R2079">
        <v>21588716</v>
      </c>
    </row>
    <row r="2080" spans="1:18" x14ac:dyDescent="0.25">
      <c r="A2080" s="170">
        <v>45069</v>
      </c>
      <c r="B2080" s="116">
        <v>106.05</v>
      </c>
      <c r="C2080" s="116">
        <v>105.7</v>
      </c>
      <c r="D2080" s="116">
        <v>104.95</v>
      </c>
      <c r="E2080" s="116">
        <v>104.95</v>
      </c>
      <c r="F2080" s="116">
        <v>105.7</v>
      </c>
      <c r="G2080">
        <v>3142917</v>
      </c>
      <c r="H2080" s="116"/>
      <c r="I2080" s="116"/>
      <c r="L2080" s="170">
        <v>45069</v>
      </c>
      <c r="M2080" s="116">
        <v>105.6</v>
      </c>
      <c r="N2080" s="116">
        <v>106.05</v>
      </c>
      <c r="O2080" s="116">
        <v>105</v>
      </c>
      <c r="P2080" s="116">
        <v>105.1</v>
      </c>
      <c r="Q2080" s="116">
        <v>105.6</v>
      </c>
      <c r="R2080">
        <v>21304034</v>
      </c>
    </row>
    <row r="2081" spans="1:18" x14ac:dyDescent="0.25">
      <c r="A2081" s="170">
        <v>45070</v>
      </c>
      <c r="B2081" s="116">
        <v>105.7</v>
      </c>
      <c r="C2081" s="116">
        <v>105.3</v>
      </c>
      <c r="D2081" s="116">
        <v>104.85</v>
      </c>
      <c r="E2081" s="116">
        <v>105.05</v>
      </c>
      <c r="F2081" s="116">
        <v>105.3</v>
      </c>
      <c r="G2081">
        <v>2527063</v>
      </c>
      <c r="H2081" s="116"/>
      <c r="I2081" s="116"/>
      <c r="L2081" s="170">
        <v>45070</v>
      </c>
      <c r="M2081" s="116">
        <v>105.2</v>
      </c>
      <c r="N2081" s="116">
        <v>105.8</v>
      </c>
      <c r="O2081" s="116">
        <v>104.9</v>
      </c>
      <c r="P2081" s="116">
        <v>105.1</v>
      </c>
      <c r="Q2081" s="116">
        <v>105.2</v>
      </c>
      <c r="R2081">
        <v>28454367</v>
      </c>
    </row>
    <row r="2082" spans="1:18" x14ac:dyDescent="0.25">
      <c r="A2082" s="170">
        <v>45071</v>
      </c>
      <c r="B2082" s="116">
        <v>105.25</v>
      </c>
      <c r="C2082" s="116">
        <v>104.9</v>
      </c>
      <c r="D2082" s="116">
        <v>104.3</v>
      </c>
      <c r="E2082" s="116">
        <v>105</v>
      </c>
      <c r="F2082" s="116">
        <v>104.9</v>
      </c>
      <c r="G2082">
        <v>4686073</v>
      </c>
      <c r="H2082" s="116"/>
      <c r="I2082" s="116"/>
      <c r="L2082" s="170">
        <v>45071</v>
      </c>
      <c r="M2082" s="116">
        <v>104.85</v>
      </c>
      <c r="N2082" s="116">
        <v>105.2</v>
      </c>
      <c r="O2082" s="116">
        <v>104.3</v>
      </c>
      <c r="P2082" s="116">
        <v>105</v>
      </c>
      <c r="Q2082" s="116">
        <v>104.85</v>
      </c>
      <c r="R2082">
        <v>25885062</v>
      </c>
    </row>
    <row r="2083" spans="1:18" x14ac:dyDescent="0.25">
      <c r="A2083" s="170">
        <v>45072</v>
      </c>
      <c r="B2083" s="116">
        <v>106.7</v>
      </c>
      <c r="C2083" s="116">
        <v>106.4</v>
      </c>
      <c r="D2083" s="116">
        <v>104.9</v>
      </c>
      <c r="E2083" s="116">
        <v>104.9</v>
      </c>
      <c r="F2083" s="116">
        <v>106.4</v>
      </c>
      <c r="G2083">
        <v>4455105</v>
      </c>
      <c r="H2083" s="116"/>
      <c r="I2083" s="116"/>
      <c r="L2083" s="170">
        <v>45072</v>
      </c>
      <c r="M2083" s="116">
        <v>106.4</v>
      </c>
      <c r="N2083" s="116">
        <v>106.75</v>
      </c>
      <c r="O2083" s="116">
        <v>104.95</v>
      </c>
      <c r="P2083" s="116">
        <v>105</v>
      </c>
      <c r="Q2083" s="116">
        <v>106.4</v>
      </c>
      <c r="R2083">
        <v>28362042</v>
      </c>
    </row>
    <row r="2084" spans="1:18" x14ac:dyDescent="0.25">
      <c r="A2084" s="170">
        <v>45075</v>
      </c>
      <c r="B2084" s="116">
        <v>108.85</v>
      </c>
      <c r="C2084" s="116">
        <v>108.4</v>
      </c>
      <c r="D2084" s="116">
        <v>106.3</v>
      </c>
      <c r="E2084" s="116">
        <v>106.8</v>
      </c>
      <c r="F2084" s="116">
        <v>108.4</v>
      </c>
      <c r="G2084">
        <v>3063817</v>
      </c>
      <c r="H2084" s="116"/>
      <c r="I2084" s="116"/>
      <c r="L2084" s="170">
        <v>45075</v>
      </c>
      <c r="M2084" s="116">
        <v>108.45</v>
      </c>
      <c r="N2084" s="116">
        <v>108.85</v>
      </c>
      <c r="O2084" s="116">
        <v>106.3</v>
      </c>
      <c r="P2084" s="116">
        <v>107</v>
      </c>
      <c r="Q2084" s="116">
        <v>108.45</v>
      </c>
      <c r="R2084">
        <v>41062311</v>
      </c>
    </row>
    <row r="2085" spans="1:18" x14ac:dyDescent="0.25">
      <c r="A2085" s="170">
        <v>45076</v>
      </c>
      <c r="B2085" s="116">
        <v>108.95</v>
      </c>
      <c r="C2085" s="116">
        <v>107.15</v>
      </c>
      <c r="D2085" s="116">
        <v>106.9</v>
      </c>
      <c r="E2085" s="116">
        <v>108.8</v>
      </c>
      <c r="F2085" s="116">
        <v>107.15</v>
      </c>
      <c r="G2085">
        <v>2965395</v>
      </c>
      <c r="H2085" s="116"/>
      <c r="I2085" s="116"/>
      <c r="L2085" s="170">
        <v>45076</v>
      </c>
      <c r="M2085" s="116">
        <v>107.05</v>
      </c>
      <c r="N2085" s="116">
        <v>108.95</v>
      </c>
      <c r="O2085" s="116">
        <v>106.9</v>
      </c>
      <c r="P2085" s="116">
        <v>108.95</v>
      </c>
      <c r="Q2085" s="116">
        <v>107.05</v>
      </c>
      <c r="R2085">
        <v>33475211</v>
      </c>
    </row>
    <row r="2086" spans="1:18" x14ac:dyDescent="0.25">
      <c r="A2086" s="170">
        <v>45077</v>
      </c>
      <c r="B2086" s="116">
        <v>106.95</v>
      </c>
      <c r="C2086" s="116">
        <v>105.85</v>
      </c>
      <c r="D2086" s="116">
        <v>105.65</v>
      </c>
      <c r="E2086" s="116">
        <v>106.2</v>
      </c>
      <c r="F2086" s="116">
        <v>105.85</v>
      </c>
      <c r="G2086">
        <v>1905545</v>
      </c>
      <c r="H2086" s="116"/>
      <c r="I2086" s="116"/>
      <c r="L2086" s="170">
        <v>45077</v>
      </c>
      <c r="M2086" s="116">
        <v>105.8</v>
      </c>
      <c r="N2086" s="116">
        <v>106.95</v>
      </c>
      <c r="O2086" s="116">
        <v>105.6</v>
      </c>
      <c r="P2086" s="116">
        <v>106.4</v>
      </c>
      <c r="Q2086" s="116">
        <v>105.8</v>
      </c>
      <c r="R2086">
        <v>41249944</v>
      </c>
    </row>
    <row r="2087" spans="1:18" x14ac:dyDescent="0.25">
      <c r="A2087" s="170">
        <v>45078</v>
      </c>
      <c r="B2087" s="116">
        <v>106.65</v>
      </c>
      <c r="C2087" s="116">
        <v>105.95</v>
      </c>
      <c r="D2087" s="116">
        <v>105.8</v>
      </c>
      <c r="E2087" s="116">
        <v>105.85</v>
      </c>
      <c r="F2087" s="116">
        <v>105.95</v>
      </c>
      <c r="G2087">
        <v>2263042</v>
      </c>
      <c r="H2087" s="116"/>
      <c r="I2087" s="116"/>
      <c r="L2087" s="170">
        <v>45078</v>
      </c>
      <c r="M2087" s="116">
        <v>105.95</v>
      </c>
      <c r="N2087" s="116">
        <v>106.7</v>
      </c>
      <c r="O2087" s="116">
        <v>105.8</v>
      </c>
      <c r="P2087" s="116">
        <v>105.9</v>
      </c>
      <c r="Q2087" s="116">
        <v>105.95</v>
      </c>
      <c r="R2087">
        <v>21211538</v>
      </c>
    </row>
    <row r="2088" spans="1:18" x14ac:dyDescent="0.25">
      <c r="A2088" s="170">
        <v>45079</v>
      </c>
      <c r="B2088" s="116">
        <v>108.25</v>
      </c>
      <c r="C2088" s="116">
        <v>108</v>
      </c>
      <c r="D2088" s="116">
        <v>106.3</v>
      </c>
      <c r="E2088" s="116">
        <v>106.3</v>
      </c>
      <c r="F2088" s="116">
        <v>108</v>
      </c>
      <c r="G2088">
        <v>2043639</v>
      </c>
      <c r="H2088" s="116"/>
      <c r="I2088" s="116"/>
      <c r="L2088" s="170">
        <v>45079</v>
      </c>
      <c r="M2088" s="116">
        <v>108</v>
      </c>
      <c r="N2088" s="116">
        <v>108.3</v>
      </c>
      <c r="O2088" s="116">
        <v>106.5</v>
      </c>
      <c r="P2088" s="116">
        <v>106.5</v>
      </c>
      <c r="Q2088" s="116">
        <v>108</v>
      </c>
      <c r="R2088">
        <v>46686933</v>
      </c>
    </row>
    <row r="2089" spans="1:18" x14ac:dyDescent="0.25">
      <c r="A2089" s="170">
        <v>45082</v>
      </c>
      <c r="B2089" s="116">
        <v>109.9</v>
      </c>
      <c r="C2089" s="116">
        <v>109.35</v>
      </c>
      <c r="D2089" s="116">
        <v>107.8</v>
      </c>
      <c r="E2089" s="116">
        <v>108.5</v>
      </c>
      <c r="F2089" s="116">
        <v>109.35</v>
      </c>
      <c r="G2089">
        <v>2291788</v>
      </c>
      <c r="H2089" s="116"/>
      <c r="I2089" s="116"/>
      <c r="L2089" s="170">
        <v>45082</v>
      </c>
      <c r="M2089" s="116">
        <v>109.4</v>
      </c>
      <c r="N2089" s="116">
        <v>109.9</v>
      </c>
      <c r="O2089" s="116">
        <v>107.8</v>
      </c>
      <c r="P2089" s="116">
        <v>108.65</v>
      </c>
      <c r="Q2089" s="116">
        <v>109.4</v>
      </c>
      <c r="R2089">
        <v>39642539</v>
      </c>
    </row>
    <row r="2090" spans="1:18" x14ac:dyDescent="0.25">
      <c r="A2090" s="170">
        <v>45083</v>
      </c>
      <c r="B2090" s="116">
        <v>109.85</v>
      </c>
      <c r="C2090" s="116">
        <v>109</v>
      </c>
      <c r="D2090" s="116">
        <v>108.3</v>
      </c>
      <c r="E2090" s="116">
        <v>109.65</v>
      </c>
      <c r="F2090" s="116">
        <v>109</v>
      </c>
      <c r="G2090">
        <v>1036468</v>
      </c>
      <c r="H2090" s="116"/>
      <c r="I2090" s="116"/>
      <c r="L2090" s="170">
        <v>45083</v>
      </c>
      <c r="M2090" s="116">
        <v>109</v>
      </c>
      <c r="N2090" s="116">
        <v>109.85</v>
      </c>
      <c r="O2090" s="116">
        <v>108.3</v>
      </c>
      <c r="P2090" s="116">
        <v>109.75</v>
      </c>
      <c r="Q2090" s="116">
        <v>109</v>
      </c>
      <c r="R2090">
        <v>26751372</v>
      </c>
    </row>
    <row r="2091" spans="1:18" x14ac:dyDescent="0.25">
      <c r="A2091" s="170">
        <v>45084</v>
      </c>
      <c r="B2091" s="116">
        <v>111.75</v>
      </c>
      <c r="C2091" s="116">
        <v>111.5</v>
      </c>
      <c r="D2091" s="116">
        <v>108.95</v>
      </c>
      <c r="E2091" s="116">
        <v>109.3</v>
      </c>
      <c r="F2091" s="116">
        <v>111.5</v>
      </c>
      <c r="G2091">
        <v>2351841</v>
      </c>
      <c r="H2091" s="116"/>
      <c r="I2091" s="116"/>
      <c r="L2091" s="170">
        <v>45084</v>
      </c>
      <c r="M2091" s="116">
        <v>111.5</v>
      </c>
      <c r="N2091" s="116">
        <v>111.75</v>
      </c>
      <c r="O2091" s="116">
        <v>108.9</v>
      </c>
      <c r="P2091" s="116">
        <v>109.5</v>
      </c>
      <c r="Q2091" s="116">
        <v>111.5</v>
      </c>
      <c r="R2091">
        <v>45157197</v>
      </c>
    </row>
    <row r="2092" spans="1:18" x14ac:dyDescent="0.25">
      <c r="A2092" s="170">
        <v>45085</v>
      </c>
      <c r="B2092" s="116">
        <v>113</v>
      </c>
      <c r="C2092" s="116">
        <v>111.1</v>
      </c>
      <c r="D2092" s="116">
        <v>110.95</v>
      </c>
      <c r="E2092" s="116">
        <v>111.5</v>
      </c>
      <c r="F2092" s="116">
        <v>111.1</v>
      </c>
      <c r="G2092">
        <v>4115281</v>
      </c>
      <c r="H2092" s="116"/>
      <c r="I2092" s="116"/>
      <c r="L2092" s="170">
        <v>45085</v>
      </c>
      <c r="M2092" s="116">
        <v>111.15</v>
      </c>
      <c r="N2092" s="116">
        <v>113</v>
      </c>
      <c r="O2092" s="116">
        <v>110.95</v>
      </c>
      <c r="P2092" s="116">
        <v>111.5</v>
      </c>
      <c r="Q2092" s="116">
        <v>111.15</v>
      </c>
      <c r="R2092">
        <v>46380294</v>
      </c>
    </row>
    <row r="2093" spans="1:18" x14ac:dyDescent="0.25">
      <c r="A2093" s="170">
        <v>45086</v>
      </c>
      <c r="B2093" s="116">
        <v>111.6</v>
      </c>
      <c r="C2093" s="116">
        <v>108.9</v>
      </c>
      <c r="D2093" s="116">
        <v>108.7</v>
      </c>
      <c r="E2093" s="116">
        <v>111.15</v>
      </c>
      <c r="F2093" s="116">
        <v>108.9</v>
      </c>
      <c r="G2093">
        <v>1732236</v>
      </c>
      <c r="H2093" s="116"/>
      <c r="I2093" s="116"/>
      <c r="L2093" s="170">
        <v>45086</v>
      </c>
      <c r="M2093" s="116">
        <v>108.9</v>
      </c>
      <c r="N2093" s="116">
        <v>111.65</v>
      </c>
      <c r="O2093" s="116">
        <v>108.65</v>
      </c>
      <c r="P2093" s="116">
        <v>111.25</v>
      </c>
      <c r="Q2093" s="116">
        <v>108.9</v>
      </c>
      <c r="R2093">
        <v>36392617</v>
      </c>
    </row>
    <row r="2094" spans="1:18" x14ac:dyDescent="0.25">
      <c r="A2094" s="170">
        <v>45089</v>
      </c>
      <c r="B2094" s="116">
        <v>110.6</v>
      </c>
      <c r="C2094" s="116">
        <v>109.5</v>
      </c>
      <c r="D2094" s="116">
        <v>108.9</v>
      </c>
      <c r="E2094" s="116">
        <v>108.9</v>
      </c>
      <c r="F2094" s="116">
        <v>109.5</v>
      </c>
      <c r="G2094">
        <v>1219844</v>
      </c>
      <c r="H2094" s="116"/>
      <c r="I2094" s="116"/>
      <c r="L2094" s="170">
        <v>45089</v>
      </c>
      <c r="M2094" s="116">
        <v>109.5</v>
      </c>
      <c r="N2094" s="116">
        <v>110.6</v>
      </c>
      <c r="O2094" s="116">
        <v>109.15</v>
      </c>
      <c r="P2094" s="116">
        <v>109.15</v>
      </c>
      <c r="Q2094" s="116">
        <v>109.5</v>
      </c>
      <c r="R2094">
        <v>23472313</v>
      </c>
    </row>
    <row r="2095" spans="1:18" x14ac:dyDescent="0.25">
      <c r="A2095" s="170">
        <v>45090</v>
      </c>
      <c r="B2095" s="116">
        <v>111.85</v>
      </c>
      <c r="C2095" s="116">
        <v>111.1</v>
      </c>
      <c r="D2095" s="116">
        <v>109.7</v>
      </c>
      <c r="E2095" s="116">
        <v>110</v>
      </c>
      <c r="F2095" s="116">
        <v>111.1</v>
      </c>
      <c r="G2095">
        <v>1772727</v>
      </c>
      <c r="H2095" s="116"/>
      <c r="I2095" s="116"/>
      <c r="L2095" s="170">
        <v>45090</v>
      </c>
      <c r="M2095" s="116">
        <v>111.15</v>
      </c>
      <c r="N2095" s="116">
        <v>111.85</v>
      </c>
      <c r="O2095" s="116">
        <v>109.65</v>
      </c>
      <c r="P2095" s="116">
        <v>110</v>
      </c>
      <c r="Q2095" s="116">
        <v>111.15</v>
      </c>
      <c r="R2095">
        <v>30018212</v>
      </c>
    </row>
    <row r="2096" spans="1:18" x14ac:dyDescent="0.25">
      <c r="A2096" s="170">
        <v>45091</v>
      </c>
      <c r="B2096" s="116">
        <v>114</v>
      </c>
      <c r="C2096" s="116">
        <v>113.75</v>
      </c>
      <c r="D2096" s="116">
        <v>111.1</v>
      </c>
      <c r="E2096" s="116">
        <v>111.1</v>
      </c>
      <c r="F2096" s="116">
        <v>113.75</v>
      </c>
      <c r="G2096">
        <v>3168206</v>
      </c>
      <c r="H2096" s="116"/>
      <c r="I2096" s="116"/>
      <c r="L2096" s="170">
        <v>45091</v>
      </c>
      <c r="M2096" s="116">
        <v>113.8</v>
      </c>
      <c r="N2096" s="116">
        <v>114</v>
      </c>
      <c r="O2096" s="116">
        <v>111.4</v>
      </c>
      <c r="P2096" s="116">
        <v>111.5</v>
      </c>
      <c r="Q2096" s="116">
        <v>113.8</v>
      </c>
      <c r="R2096">
        <v>66696433</v>
      </c>
    </row>
    <row r="2097" spans="1:18" x14ac:dyDescent="0.25">
      <c r="A2097" s="170">
        <v>45092</v>
      </c>
      <c r="B2097" s="116">
        <v>114.2</v>
      </c>
      <c r="C2097" s="116">
        <v>113.7</v>
      </c>
      <c r="D2097" s="116">
        <v>113.25</v>
      </c>
      <c r="E2097" s="116">
        <v>113.8</v>
      </c>
      <c r="F2097" s="116">
        <v>113.7</v>
      </c>
      <c r="G2097">
        <v>1759871</v>
      </c>
      <c r="H2097" s="116"/>
      <c r="I2097" s="116"/>
      <c r="L2097" s="170">
        <v>45092</v>
      </c>
      <c r="M2097" s="116">
        <v>113.75</v>
      </c>
      <c r="N2097" s="116">
        <v>114.2</v>
      </c>
      <c r="O2097" s="116">
        <v>113.25</v>
      </c>
      <c r="P2097" s="116">
        <v>113.9</v>
      </c>
      <c r="Q2097" s="116">
        <v>113.75</v>
      </c>
      <c r="R2097">
        <v>39430138</v>
      </c>
    </row>
    <row r="2098" spans="1:18" x14ac:dyDescent="0.25">
      <c r="A2098" s="170">
        <v>45093</v>
      </c>
      <c r="B2098" s="116">
        <v>114.85</v>
      </c>
      <c r="C2098" s="116">
        <v>114.25</v>
      </c>
      <c r="D2098" s="116">
        <v>113.85</v>
      </c>
      <c r="E2098" s="116">
        <v>114.25</v>
      </c>
      <c r="F2098" s="116">
        <v>114.25</v>
      </c>
      <c r="G2098">
        <v>1974464</v>
      </c>
      <c r="H2098" s="116"/>
      <c r="I2098" s="116"/>
      <c r="L2098" s="170">
        <v>45093</v>
      </c>
      <c r="M2098" s="116">
        <v>114.25</v>
      </c>
      <c r="N2098" s="116">
        <v>114.8</v>
      </c>
      <c r="O2098" s="116">
        <v>113.85</v>
      </c>
      <c r="P2098" s="116">
        <v>114.4</v>
      </c>
      <c r="Q2098" s="116">
        <v>114.25</v>
      </c>
      <c r="R2098">
        <v>31715807</v>
      </c>
    </row>
    <row r="2099" spans="1:18" x14ac:dyDescent="0.25">
      <c r="A2099" s="170">
        <v>45096</v>
      </c>
      <c r="B2099" s="116">
        <v>115.5</v>
      </c>
      <c r="C2099" s="116">
        <v>114</v>
      </c>
      <c r="D2099" s="116">
        <v>113.05</v>
      </c>
      <c r="E2099" s="116">
        <v>115.25</v>
      </c>
      <c r="F2099" s="116">
        <v>114</v>
      </c>
      <c r="G2099">
        <v>2185075</v>
      </c>
      <c r="H2099" s="116"/>
      <c r="I2099" s="116"/>
      <c r="L2099" s="170">
        <v>45096</v>
      </c>
      <c r="M2099" s="116">
        <v>114.1</v>
      </c>
      <c r="N2099" s="116">
        <v>115.6</v>
      </c>
      <c r="O2099" s="116">
        <v>113.05</v>
      </c>
      <c r="P2099" s="116">
        <v>115.45</v>
      </c>
      <c r="Q2099" s="116">
        <v>114.1</v>
      </c>
      <c r="R2099">
        <v>33502185</v>
      </c>
    </row>
    <row r="2100" spans="1:18" x14ac:dyDescent="0.25">
      <c r="A2100" s="170">
        <v>45097</v>
      </c>
      <c r="B2100" s="116">
        <v>115.25</v>
      </c>
      <c r="C2100" s="116">
        <v>114.3</v>
      </c>
      <c r="D2100" s="116">
        <v>113.5</v>
      </c>
      <c r="E2100" s="116">
        <v>114.05</v>
      </c>
      <c r="F2100" s="116">
        <v>114.3</v>
      </c>
      <c r="G2100">
        <v>1727582</v>
      </c>
      <c r="H2100" s="116"/>
      <c r="I2100" s="116"/>
      <c r="L2100" s="170">
        <v>45097</v>
      </c>
      <c r="M2100" s="116">
        <v>114.25</v>
      </c>
      <c r="N2100" s="116">
        <v>115.25</v>
      </c>
      <c r="O2100" s="116">
        <v>113.5</v>
      </c>
      <c r="P2100" s="116">
        <v>114.1</v>
      </c>
      <c r="Q2100" s="116">
        <v>114.25</v>
      </c>
      <c r="R2100">
        <v>30371599</v>
      </c>
    </row>
    <row r="2101" spans="1:18" x14ac:dyDescent="0.25">
      <c r="A2101" s="170">
        <v>45098</v>
      </c>
      <c r="B2101" s="116">
        <v>114.85</v>
      </c>
      <c r="C2101" s="116">
        <v>113.9</v>
      </c>
      <c r="D2101" s="116">
        <v>112.85</v>
      </c>
      <c r="E2101" s="116">
        <v>114.7</v>
      </c>
      <c r="F2101" s="116">
        <v>113.9</v>
      </c>
      <c r="G2101">
        <v>3197604</v>
      </c>
      <c r="H2101" s="116"/>
      <c r="I2101" s="116"/>
      <c r="L2101" s="170">
        <v>45098</v>
      </c>
      <c r="M2101" s="116">
        <v>113.9</v>
      </c>
      <c r="N2101" s="116">
        <v>114.9</v>
      </c>
      <c r="O2101" s="116">
        <v>112.85</v>
      </c>
      <c r="P2101" s="116">
        <v>114.9</v>
      </c>
      <c r="Q2101" s="116">
        <v>113.9</v>
      </c>
      <c r="R2101">
        <v>35627983</v>
      </c>
    </row>
    <row r="2102" spans="1:18" x14ac:dyDescent="0.25">
      <c r="A2102" s="170">
        <v>45099</v>
      </c>
      <c r="B2102" s="116">
        <v>112.15</v>
      </c>
      <c r="C2102" s="116">
        <v>111.1</v>
      </c>
      <c r="D2102" s="116">
        <v>110.6</v>
      </c>
      <c r="E2102" s="116">
        <v>111.3</v>
      </c>
      <c r="F2102" s="116">
        <v>111.1</v>
      </c>
      <c r="G2102">
        <v>2540093</v>
      </c>
      <c r="H2102" s="116"/>
      <c r="I2102" s="116"/>
      <c r="L2102" s="170">
        <v>45099</v>
      </c>
      <c r="M2102" s="116">
        <v>111.1</v>
      </c>
      <c r="N2102" s="116">
        <v>112.2</v>
      </c>
      <c r="O2102" s="116">
        <v>110.55</v>
      </c>
      <c r="P2102" s="116">
        <v>110.6</v>
      </c>
      <c r="Q2102" s="116">
        <v>111.1</v>
      </c>
      <c r="R2102">
        <v>34769987</v>
      </c>
    </row>
    <row r="2103" spans="1:18" x14ac:dyDescent="0.25">
      <c r="A2103" s="170">
        <v>45100</v>
      </c>
      <c r="B2103" s="116">
        <v>110.7</v>
      </c>
      <c r="C2103" s="116">
        <v>109.6</v>
      </c>
      <c r="D2103" s="116">
        <v>109.2</v>
      </c>
      <c r="E2103" s="116">
        <v>110.65</v>
      </c>
      <c r="F2103" s="116">
        <v>109.6</v>
      </c>
      <c r="G2103">
        <v>1791270</v>
      </c>
      <c r="H2103" s="116"/>
      <c r="I2103" s="116"/>
      <c r="L2103" s="170">
        <v>45100</v>
      </c>
      <c r="M2103" s="116">
        <v>109.6</v>
      </c>
      <c r="N2103" s="116">
        <v>110.75</v>
      </c>
      <c r="O2103" s="116">
        <v>109.2</v>
      </c>
      <c r="P2103" s="116">
        <v>110.5</v>
      </c>
      <c r="Q2103" s="116">
        <v>109.6</v>
      </c>
      <c r="R2103">
        <v>22190233</v>
      </c>
    </row>
    <row r="2104" spans="1:18" x14ac:dyDescent="0.25">
      <c r="A2104" s="170">
        <v>45103</v>
      </c>
      <c r="B2104" s="116">
        <v>110.25</v>
      </c>
      <c r="C2104" s="116">
        <v>109.85</v>
      </c>
      <c r="D2104" s="116">
        <v>108.15</v>
      </c>
      <c r="E2104" s="116">
        <v>109.55</v>
      </c>
      <c r="F2104" s="116">
        <v>109.85</v>
      </c>
      <c r="G2104">
        <v>1669468</v>
      </c>
      <c r="H2104" s="116"/>
      <c r="I2104" s="116"/>
      <c r="L2104" s="170">
        <v>45103</v>
      </c>
      <c r="M2104" s="116">
        <v>109.85</v>
      </c>
      <c r="N2104" s="116">
        <v>110.2</v>
      </c>
      <c r="O2104" s="116">
        <v>108.1</v>
      </c>
      <c r="P2104" s="116">
        <v>109.6</v>
      </c>
      <c r="Q2104" s="116">
        <v>109.85</v>
      </c>
      <c r="R2104">
        <v>25332751</v>
      </c>
    </row>
    <row r="2105" spans="1:18" x14ac:dyDescent="0.25">
      <c r="A2105" s="170">
        <v>45104</v>
      </c>
      <c r="B2105" s="116">
        <v>111.5</v>
      </c>
      <c r="C2105" s="116">
        <v>110.7</v>
      </c>
      <c r="D2105" s="116">
        <v>110.2</v>
      </c>
      <c r="E2105" s="116">
        <v>110.8</v>
      </c>
      <c r="F2105" s="116">
        <v>110.7</v>
      </c>
      <c r="G2105">
        <v>1290683</v>
      </c>
      <c r="H2105" s="116"/>
      <c r="I2105" s="116"/>
      <c r="L2105" s="170">
        <v>45104</v>
      </c>
      <c r="M2105" s="116">
        <v>110.75</v>
      </c>
      <c r="N2105" s="116">
        <v>111.5</v>
      </c>
      <c r="O2105" s="116">
        <v>110.15</v>
      </c>
      <c r="P2105" s="116">
        <v>110.6</v>
      </c>
      <c r="Q2105" s="116">
        <v>110.75</v>
      </c>
      <c r="R2105">
        <v>24129403</v>
      </c>
    </row>
    <row r="2106" spans="1:18" x14ac:dyDescent="0.25">
      <c r="A2106" s="170">
        <v>45105</v>
      </c>
      <c r="B2106" s="116">
        <v>112.1</v>
      </c>
      <c r="C2106" s="116">
        <v>111.55</v>
      </c>
      <c r="D2106" s="116">
        <v>110.9</v>
      </c>
      <c r="E2106" s="116">
        <v>111.15</v>
      </c>
      <c r="F2106" s="116">
        <v>111.55</v>
      </c>
      <c r="G2106">
        <v>1107194</v>
      </c>
      <c r="H2106" s="116"/>
      <c r="I2106" s="116"/>
      <c r="L2106" s="170">
        <v>45105</v>
      </c>
      <c r="M2106" s="116">
        <v>111.55</v>
      </c>
      <c r="N2106" s="116">
        <v>112.05</v>
      </c>
      <c r="O2106" s="116">
        <v>110.9</v>
      </c>
      <c r="P2106" s="116">
        <v>111.5</v>
      </c>
      <c r="Q2106" s="116">
        <v>111.55</v>
      </c>
      <c r="R2106">
        <v>23895274</v>
      </c>
    </row>
    <row r="2107" spans="1:18" x14ac:dyDescent="0.25">
      <c r="A2107" s="170">
        <v>45107</v>
      </c>
      <c r="B2107" s="116">
        <v>112.2</v>
      </c>
      <c r="C2107" s="116">
        <v>112</v>
      </c>
      <c r="D2107" s="116">
        <v>110.5</v>
      </c>
      <c r="E2107" s="116">
        <v>111.5</v>
      </c>
      <c r="F2107" s="116">
        <v>112</v>
      </c>
      <c r="G2107">
        <v>1117221</v>
      </c>
      <c r="H2107" s="116"/>
      <c r="I2107" s="116"/>
      <c r="L2107" s="170">
        <v>45107</v>
      </c>
      <c r="M2107" s="116">
        <v>112</v>
      </c>
      <c r="N2107" s="116">
        <v>112.2</v>
      </c>
      <c r="O2107" s="116">
        <v>110.4</v>
      </c>
      <c r="P2107" s="116">
        <v>111.6</v>
      </c>
      <c r="Q2107" s="116">
        <v>112</v>
      </c>
      <c r="R2107">
        <v>26741918</v>
      </c>
    </row>
    <row r="2108" spans="1:18" x14ac:dyDescent="0.25">
      <c r="A2108" s="170">
        <v>45110</v>
      </c>
      <c r="B2108" s="116">
        <v>114.25</v>
      </c>
      <c r="C2108" s="116">
        <v>113.05</v>
      </c>
      <c r="D2108" s="116">
        <v>112.05</v>
      </c>
      <c r="E2108" s="116">
        <v>112.05</v>
      </c>
      <c r="F2108" s="116">
        <v>113.05</v>
      </c>
      <c r="G2108">
        <v>3273509</v>
      </c>
      <c r="H2108" s="116"/>
      <c r="I2108" s="116"/>
      <c r="L2108" s="170">
        <v>45110</v>
      </c>
      <c r="M2108" s="116">
        <v>113.1</v>
      </c>
      <c r="N2108" s="116">
        <v>114.25</v>
      </c>
      <c r="O2108" s="116">
        <v>112.05</v>
      </c>
      <c r="P2108" s="116">
        <v>112.25</v>
      </c>
      <c r="Q2108" s="116">
        <v>113.1</v>
      </c>
      <c r="R2108">
        <v>30979256</v>
      </c>
    </row>
    <row r="2109" spans="1:18" x14ac:dyDescent="0.25">
      <c r="A2109" s="170">
        <v>45111</v>
      </c>
      <c r="B2109" s="116">
        <v>113.4</v>
      </c>
      <c r="C2109" s="116">
        <v>112.4</v>
      </c>
      <c r="D2109" s="116">
        <v>112.1</v>
      </c>
      <c r="E2109" s="116">
        <v>112.8</v>
      </c>
      <c r="F2109" s="116">
        <v>112.4</v>
      </c>
      <c r="G2109">
        <v>1820977</v>
      </c>
      <c r="H2109" s="116"/>
      <c r="I2109" s="116"/>
      <c r="L2109" s="170">
        <v>45111</v>
      </c>
      <c r="M2109" s="116">
        <v>112.4</v>
      </c>
      <c r="N2109" s="116">
        <v>113.4</v>
      </c>
      <c r="O2109" s="116">
        <v>112.1</v>
      </c>
      <c r="P2109" s="116">
        <v>113.2</v>
      </c>
      <c r="Q2109" s="116">
        <v>112.4</v>
      </c>
      <c r="R2109">
        <v>25080307</v>
      </c>
    </row>
    <row r="2110" spans="1:18" x14ac:dyDescent="0.25">
      <c r="A2110" s="170">
        <v>45112</v>
      </c>
      <c r="B2110" s="116">
        <v>113.6</v>
      </c>
      <c r="C2110" s="116">
        <v>112.9</v>
      </c>
      <c r="D2110" s="116">
        <v>112.35</v>
      </c>
      <c r="E2110" s="116">
        <v>112.4</v>
      </c>
      <c r="F2110" s="116">
        <v>112.9</v>
      </c>
      <c r="G2110">
        <v>2624312</v>
      </c>
      <c r="H2110" s="116"/>
      <c r="I2110" s="116"/>
      <c r="L2110" s="170">
        <v>45112</v>
      </c>
      <c r="M2110" s="116">
        <v>112.95</v>
      </c>
      <c r="N2110" s="116">
        <v>113.55</v>
      </c>
      <c r="O2110" s="116">
        <v>112.2</v>
      </c>
      <c r="P2110" s="116">
        <v>112.55</v>
      </c>
      <c r="Q2110" s="116">
        <v>112.95</v>
      </c>
      <c r="R2110">
        <v>27877180</v>
      </c>
    </row>
    <row r="2111" spans="1:18" x14ac:dyDescent="0.25">
      <c r="A2111" s="170">
        <v>45113</v>
      </c>
      <c r="B2111" s="116">
        <v>112.85</v>
      </c>
      <c r="C2111" s="116">
        <v>112.65</v>
      </c>
      <c r="D2111" s="116">
        <v>111.45</v>
      </c>
      <c r="E2111" s="116">
        <v>112.35</v>
      </c>
      <c r="F2111" s="116">
        <v>112.65</v>
      </c>
      <c r="G2111">
        <v>1462894</v>
      </c>
      <c r="H2111" s="116"/>
      <c r="I2111" s="116"/>
      <c r="L2111" s="170">
        <v>45113</v>
      </c>
      <c r="M2111" s="116">
        <v>112.65</v>
      </c>
      <c r="N2111" s="116">
        <v>112.85</v>
      </c>
      <c r="O2111" s="116">
        <v>111.5</v>
      </c>
      <c r="P2111" s="116">
        <v>112</v>
      </c>
      <c r="Q2111" s="116">
        <v>112.65</v>
      </c>
      <c r="R2111">
        <v>34320086</v>
      </c>
    </row>
    <row r="2112" spans="1:18" x14ac:dyDescent="0.25">
      <c r="A2112" s="170">
        <v>45114</v>
      </c>
      <c r="B2112" s="116">
        <v>113.3</v>
      </c>
      <c r="C2112" s="116">
        <v>111.6</v>
      </c>
      <c r="D2112" s="116">
        <v>111.3</v>
      </c>
      <c r="E2112" s="116">
        <v>112.4</v>
      </c>
      <c r="F2112" s="116">
        <v>111.6</v>
      </c>
      <c r="G2112">
        <v>2156772</v>
      </c>
      <c r="H2112" s="116"/>
      <c r="I2112" s="116"/>
      <c r="L2112" s="170">
        <v>45114</v>
      </c>
      <c r="M2112" s="116">
        <v>111.6</v>
      </c>
      <c r="N2112" s="116">
        <v>113.3</v>
      </c>
      <c r="O2112" s="116">
        <v>111.25</v>
      </c>
      <c r="P2112" s="116">
        <v>112</v>
      </c>
      <c r="Q2112" s="116">
        <v>111.6</v>
      </c>
      <c r="R2112">
        <v>30034274</v>
      </c>
    </row>
    <row r="2113" spans="1:18" x14ac:dyDescent="0.25">
      <c r="A2113" s="170">
        <v>45117</v>
      </c>
      <c r="B2113" s="116">
        <v>115.7</v>
      </c>
      <c r="C2113" s="116">
        <v>115.35</v>
      </c>
      <c r="D2113" s="116">
        <v>111.6</v>
      </c>
      <c r="E2113" s="116">
        <v>112</v>
      </c>
      <c r="F2113" s="116">
        <v>115.35</v>
      </c>
      <c r="G2113">
        <v>7669368</v>
      </c>
      <c r="H2113" s="116"/>
      <c r="I2113" s="116"/>
      <c r="L2113" s="170">
        <v>45117</v>
      </c>
      <c r="M2113" s="116">
        <v>115.3</v>
      </c>
      <c r="N2113" s="116">
        <v>115.7</v>
      </c>
      <c r="O2113" s="116">
        <v>111.65</v>
      </c>
      <c r="P2113" s="116">
        <v>112.25</v>
      </c>
      <c r="Q2113" s="116">
        <v>115.3</v>
      </c>
      <c r="R2113">
        <v>60652690</v>
      </c>
    </row>
    <row r="2114" spans="1:18" x14ac:dyDescent="0.25">
      <c r="A2114" s="170">
        <v>45118</v>
      </c>
      <c r="B2114" s="116">
        <v>116.1</v>
      </c>
      <c r="C2114" s="116">
        <v>115.15</v>
      </c>
      <c r="D2114" s="116">
        <v>114.8</v>
      </c>
      <c r="E2114" s="116">
        <v>115.5</v>
      </c>
      <c r="F2114" s="116">
        <v>115.15</v>
      </c>
      <c r="G2114">
        <v>4043227</v>
      </c>
      <c r="H2114" s="116"/>
      <c r="I2114" s="116"/>
      <c r="L2114" s="170">
        <v>45118</v>
      </c>
      <c r="M2114" s="116">
        <v>115.15</v>
      </c>
      <c r="N2114" s="116">
        <v>116.1</v>
      </c>
      <c r="O2114" s="116">
        <v>114.8</v>
      </c>
      <c r="P2114" s="116">
        <v>115.6</v>
      </c>
      <c r="Q2114" s="116">
        <v>115.15</v>
      </c>
      <c r="R2114">
        <v>37999385</v>
      </c>
    </row>
    <row r="2115" spans="1:18" x14ac:dyDescent="0.25">
      <c r="A2115" s="170">
        <v>45119</v>
      </c>
      <c r="B2115" s="116">
        <v>116.25</v>
      </c>
      <c r="C2115" s="116">
        <v>114.6</v>
      </c>
      <c r="D2115" s="116">
        <v>114</v>
      </c>
      <c r="E2115" s="116">
        <v>115.1</v>
      </c>
      <c r="F2115" s="116">
        <v>114.6</v>
      </c>
      <c r="G2115">
        <v>2152272</v>
      </c>
      <c r="H2115" s="116"/>
      <c r="I2115" s="116"/>
      <c r="L2115" s="170">
        <v>45119</v>
      </c>
      <c r="M2115" s="116">
        <v>114.7</v>
      </c>
      <c r="N2115" s="116">
        <v>116.05</v>
      </c>
      <c r="O2115" s="116">
        <v>114</v>
      </c>
      <c r="P2115" s="116">
        <v>115.15</v>
      </c>
      <c r="Q2115" s="116">
        <v>114.7</v>
      </c>
      <c r="R2115">
        <v>32771204</v>
      </c>
    </row>
    <row r="2116" spans="1:18" x14ac:dyDescent="0.25">
      <c r="A2116" s="170">
        <v>45120</v>
      </c>
      <c r="B2116" s="116">
        <v>116.95</v>
      </c>
      <c r="C2116" s="116">
        <v>114.85</v>
      </c>
      <c r="D2116" s="116">
        <v>114.55</v>
      </c>
      <c r="E2116" s="116">
        <v>115.8</v>
      </c>
      <c r="F2116" s="116">
        <v>114.85</v>
      </c>
      <c r="G2116">
        <v>3282379</v>
      </c>
      <c r="H2116" s="116"/>
      <c r="I2116" s="116"/>
      <c r="L2116" s="170">
        <v>45120</v>
      </c>
      <c r="M2116" s="116">
        <v>114.85</v>
      </c>
      <c r="N2116" s="116">
        <v>116.95</v>
      </c>
      <c r="O2116" s="116">
        <v>114.5</v>
      </c>
      <c r="P2116" s="116">
        <v>116</v>
      </c>
      <c r="Q2116" s="116">
        <v>114.85</v>
      </c>
      <c r="R2116">
        <v>44847814</v>
      </c>
    </row>
    <row r="2117" spans="1:18" x14ac:dyDescent="0.25">
      <c r="A2117" s="170">
        <v>45121</v>
      </c>
      <c r="B2117" s="116">
        <v>117.75</v>
      </c>
      <c r="C2117" s="116">
        <v>117.05</v>
      </c>
      <c r="D2117" s="116">
        <v>114.8</v>
      </c>
      <c r="E2117" s="116">
        <v>115.8</v>
      </c>
      <c r="F2117" s="116">
        <v>117.05</v>
      </c>
      <c r="G2117">
        <v>2001927</v>
      </c>
      <c r="H2117" s="116"/>
      <c r="I2117" s="116"/>
      <c r="L2117" s="170">
        <v>45121</v>
      </c>
      <c r="M2117" s="116">
        <v>117.15</v>
      </c>
      <c r="N2117" s="116">
        <v>117.9</v>
      </c>
      <c r="O2117" s="116">
        <v>114.8</v>
      </c>
      <c r="P2117" s="116">
        <v>115.7</v>
      </c>
      <c r="Q2117" s="116">
        <v>117.15</v>
      </c>
      <c r="R2117">
        <v>34521821</v>
      </c>
    </row>
    <row r="2118" spans="1:18" x14ac:dyDescent="0.25">
      <c r="A2118" s="170">
        <v>45124</v>
      </c>
      <c r="B2118" s="116">
        <v>119.3</v>
      </c>
      <c r="C2118" s="116">
        <v>117.7</v>
      </c>
      <c r="D2118" s="116">
        <v>117.1</v>
      </c>
      <c r="E2118" s="116">
        <v>117.75</v>
      </c>
      <c r="F2118" s="116">
        <v>117.7</v>
      </c>
      <c r="G2118">
        <v>2026925</v>
      </c>
      <c r="H2118" s="116"/>
      <c r="I2118" s="116"/>
      <c r="L2118" s="170">
        <v>45124</v>
      </c>
      <c r="M2118" s="116">
        <v>117.75</v>
      </c>
      <c r="N2118" s="116">
        <v>119.35</v>
      </c>
      <c r="O2118" s="116">
        <v>117.1</v>
      </c>
      <c r="P2118" s="116">
        <v>117.95</v>
      </c>
      <c r="Q2118" s="116">
        <v>117.75</v>
      </c>
      <c r="R2118">
        <v>49115369</v>
      </c>
    </row>
    <row r="2119" spans="1:18" x14ac:dyDescent="0.25">
      <c r="A2119" s="170">
        <v>45125</v>
      </c>
      <c r="B2119" s="116">
        <v>118.2</v>
      </c>
      <c r="C2119" s="116">
        <v>116.5</v>
      </c>
      <c r="D2119" s="116">
        <v>116.35</v>
      </c>
      <c r="E2119" s="116">
        <v>117.8</v>
      </c>
      <c r="F2119" s="116">
        <v>116.5</v>
      </c>
      <c r="G2119">
        <v>1344828</v>
      </c>
      <c r="H2119" s="116"/>
      <c r="I2119" s="116"/>
      <c r="L2119" s="170">
        <v>45125</v>
      </c>
      <c r="M2119" s="116">
        <v>116.6</v>
      </c>
      <c r="N2119" s="116">
        <v>118.15</v>
      </c>
      <c r="O2119" s="116">
        <v>116.4</v>
      </c>
      <c r="P2119" s="116">
        <v>118</v>
      </c>
      <c r="Q2119" s="116">
        <v>116.6</v>
      </c>
      <c r="R2119">
        <v>23433431</v>
      </c>
    </row>
    <row r="2120" spans="1:18" x14ac:dyDescent="0.25">
      <c r="A2120" s="170">
        <v>45126</v>
      </c>
      <c r="B2120" s="116">
        <v>117.15</v>
      </c>
      <c r="C2120" s="116">
        <v>116.45</v>
      </c>
      <c r="D2120" s="116">
        <v>115</v>
      </c>
      <c r="E2120" s="116">
        <v>116.8</v>
      </c>
      <c r="F2120" s="116">
        <v>116.45</v>
      </c>
      <c r="G2120">
        <v>1086485</v>
      </c>
      <c r="H2120" s="116"/>
      <c r="I2120" s="116"/>
      <c r="L2120" s="170">
        <v>45126</v>
      </c>
      <c r="M2120" s="116">
        <v>116.7</v>
      </c>
      <c r="N2120" s="116">
        <v>117.2</v>
      </c>
      <c r="O2120" s="116">
        <v>116.1</v>
      </c>
      <c r="P2120" s="116">
        <v>116.7</v>
      </c>
      <c r="Q2120" s="116">
        <v>116.7</v>
      </c>
      <c r="R2120">
        <v>17222355</v>
      </c>
    </row>
    <row r="2121" spans="1:18" x14ac:dyDescent="0.25">
      <c r="A2121" s="170">
        <v>45127</v>
      </c>
      <c r="B2121" s="116">
        <v>117.25</v>
      </c>
      <c r="C2121" s="116">
        <v>116.9</v>
      </c>
      <c r="D2121" s="116">
        <v>116.35</v>
      </c>
      <c r="E2121" s="116">
        <v>116.6</v>
      </c>
      <c r="F2121" s="116">
        <v>116.9</v>
      </c>
      <c r="G2121">
        <v>713710</v>
      </c>
      <c r="H2121" s="116"/>
      <c r="I2121" s="116"/>
      <c r="L2121" s="170">
        <v>45127</v>
      </c>
      <c r="M2121" s="116">
        <v>116.95</v>
      </c>
      <c r="N2121" s="116">
        <v>117.25</v>
      </c>
      <c r="O2121" s="116">
        <v>116.35</v>
      </c>
      <c r="P2121" s="116">
        <v>116.7</v>
      </c>
      <c r="Q2121" s="116">
        <v>116.95</v>
      </c>
      <c r="R2121">
        <v>22303831</v>
      </c>
    </row>
    <row r="2122" spans="1:18" x14ac:dyDescent="0.25">
      <c r="A2122" s="170">
        <v>45128</v>
      </c>
      <c r="B2122" s="116">
        <v>117.95</v>
      </c>
      <c r="C2122" s="116">
        <v>116.65</v>
      </c>
      <c r="D2122" s="116">
        <v>115.45</v>
      </c>
      <c r="E2122" s="116">
        <v>116.85</v>
      </c>
      <c r="F2122" s="116">
        <v>116.65</v>
      </c>
      <c r="G2122">
        <v>1380535</v>
      </c>
      <c r="H2122" s="116"/>
      <c r="I2122" s="116"/>
      <c r="L2122" s="170">
        <v>45128</v>
      </c>
      <c r="M2122" s="116">
        <v>116.6</v>
      </c>
      <c r="N2122" s="116">
        <v>117.95</v>
      </c>
      <c r="O2122" s="116">
        <v>115.5</v>
      </c>
      <c r="P2122" s="116">
        <v>116.6</v>
      </c>
      <c r="Q2122" s="116">
        <v>116.6</v>
      </c>
      <c r="R2122">
        <v>31546136</v>
      </c>
    </row>
    <row r="2123" spans="1:18" x14ac:dyDescent="0.25">
      <c r="A2123" s="170">
        <v>45131</v>
      </c>
      <c r="B2123" s="116">
        <v>116.35</v>
      </c>
      <c r="C2123" s="116">
        <v>115.45</v>
      </c>
      <c r="D2123" s="116">
        <v>114.4</v>
      </c>
      <c r="E2123" s="116">
        <v>116.1</v>
      </c>
      <c r="F2123" s="116">
        <v>115.45</v>
      </c>
      <c r="G2123">
        <v>2821065</v>
      </c>
      <c r="H2123" s="116"/>
      <c r="I2123" s="116"/>
      <c r="L2123" s="170">
        <v>45131</v>
      </c>
      <c r="M2123" s="116">
        <v>115.5</v>
      </c>
      <c r="N2123" s="116">
        <v>116.5</v>
      </c>
      <c r="O2123" s="116">
        <v>114.35</v>
      </c>
      <c r="P2123" s="116">
        <v>116.5</v>
      </c>
      <c r="Q2123" s="116">
        <v>115.5</v>
      </c>
      <c r="R2123">
        <v>38113555</v>
      </c>
    </row>
    <row r="2124" spans="1:18" x14ac:dyDescent="0.25">
      <c r="A2124" s="170">
        <v>45132</v>
      </c>
      <c r="B2124" s="116">
        <v>119.9</v>
      </c>
      <c r="C2124" s="116">
        <v>119.2</v>
      </c>
      <c r="D2124" s="116">
        <v>114.35</v>
      </c>
      <c r="E2124" s="116">
        <v>114.75</v>
      </c>
      <c r="F2124" s="116">
        <v>119.2</v>
      </c>
      <c r="G2124">
        <v>3786894</v>
      </c>
      <c r="H2124" s="116"/>
      <c r="I2124" s="116"/>
      <c r="L2124" s="170">
        <v>45132</v>
      </c>
      <c r="M2124" s="116">
        <v>119.25</v>
      </c>
      <c r="N2124" s="116">
        <v>119.9</v>
      </c>
      <c r="O2124" s="116">
        <v>114.35</v>
      </c>
      <c r="P2124" s="116">
        <v>115</v>
      </c>
      <c r="Q2124" s="116">
        <v>119.25</v>
      </c>
      <c r="R2124">
        <v>88035259</v>
      </c>
    </row>
    <row r="2125" spans="1:18" x14ac:dyDescent="0.25">
      <c r="A2125" s="170">
        <v>45133</v>
      </c>
      <c r="B2125" s="116">
        <v>120.6</v>
      </c>
      <c r="C2125" s="116">
        <v>119.95</v>
      </c>
      <c r="D2125" s="116">
        <v>118.8</v>
      </c>
      <c r="E2125" s="116">
        <v>119.35</v>
      </c>
      <c r="F2125" s="116">
        <v>119.95</v>
      </c>
      <c r="G2125">
        <v>1580099</v>
      </c>
      <c r="H2125" s="116"/>
      <c r="I2125" s="116"/>
      <c r="L2125" s="170">
        <v>45133</v>
      </c>
      <c r="M2125" s="116">
        <v>119.95</v>
      </c>
      <c r="N2125" s="116">
        <v>120.6</v>
      </c>
      <c r="O2125" s="116">
        <v>118.85</v>
      </c>
      <c r="P2125" s="116">
        <v>119.8</v>
      </c>
      <c r="Q2125" s="116">
        <v>119.95</v>
      </c>
      <c r="R2125">
        <v>29716336</v>
      </c>
    </row>
    <row r="2126" spans="1:18" x14ac:dyDescent="0.25">
      <c r="A2126" s="170">
        <v>45134</v>
      </c>
      <c r="B2126" s="116">
        <v>121.45</v>
      </c>
      <c r="C2126" s="116">
        <v>119.8</v>
      </c>
      <c r="D2126" s="116">
        <v>119.15</v>
      </c>
      <c r="E2126" s="116">
        <v>120.1</v>
      </c>
      <c r="F2126" s="116">
        <v>119.8</v>
      </c>
      <c r="G2126">
        <v>2604373</v>
      </c>
      <c r="H2126" s="116"/>
      <c r="I2126" s="116"/>
      <c r="L2126" s="170">
        <v>45134</v>
      </c>
      <c r="M2126" s="116">
        <v>119.8</v>
      </c>
      <c r="N2126" s="116">
        <v>121.45</v>
      </c>
      <c r="O2126" s="116">
        <v>119.15</v>
      </c>
      <c r="P2126" s="116">
        <v>120.25</v>
      </c>
      <c r="Q2126" s="116">
        <v>119.8</v>
      </c>
      <c r="R2126">
        <v>39664251</v>
      </c>
    </row>
    <row r="2127" spans="1:18" x14ac:dyDescent="0.25">
      <c r="A2127" s="170">
        <v>45135</v>
      </c>
      <c r="B2127" s="116">
        <v>121.1</v>
      </c>
      <c r="C2127" s="116">
        <v>120.55</v>
      </c>
      <c r="D2127" s="116">
        <v>118.75</v>
      </c>
      <c r="E2127" s="116">
        <v>120.1</v>
      </c>
      <c r="F2127" s="116">
        <v>120.55</v>
      </c>
      <c r="G2127">
        <v>1071367</v>
      </c>
      <c r="H2127" s="116"/>
      <c r="I2127" s="116"/>
      <c r="L2127" s="170">
        <v>45135</v>
      </c>
      <c r="M2127" s="116">
        <v>120.6</v>
      </c>
      <c r="N2127" s="116">
        <v>121.1</v>
      </c>
      <c r="O2127" s="116">
        <v>118.7</v>
      </c>
      <c r="P2127" s="116">
        <v>120.2</v>
      </c>
      <c r="Q2127" s="116">
        <v>120.6</v>
      </c>
      <c r="R2127">
        <v>33996691</v>
      </c>
    </row>
    <row r="2128" spans="1:18" x14ac:dyDescent="0.25">
      <c r="A2128" s="170">
        <v>45138</v>
      </c>
      <c r="B2128" s="116">
        <v>123.9</v>
      </c>
      <c r="C2128" s="116">
        <v>123.15</v>
      </c>
      <c r="D2128" s="116">
        <v>120.4</v>
      </c>
      <c r="E2128" s="116">
        <v>120.4</v>
      </c>
      <c r="F2128" s="116">
        <v>123.15</v>
      </c>
      <c r="G2128">
        <v>2171435</v>
      </c>
      <c r="H2128" s="116"/>
      <c r="I2128" s="116"/>
      <c r="L2128" s="170">
        <v>45138</v>
      </c>
      <c r="M2128" s="116">
        <v>123.15</v>
      </c>
      <c r="N2128" s="116">
        <v>123.85</v>
      </c>
      <c r="O2128" s="116">
        <v>120.6</v>
      </c>
      <c r="P2128" s="116">
        <v>120.6</v>
      </c>
      <c r="Q2128" s="116">
        <v>123.15</v>
      </c>
      <c r="R2128">
        <v>52330311</v>
      </c>
    </row>
    <row r="2129" spans="1:18" x14ac:dyDescent="0.25">
      <c r="A2129" s="170">
        <v>45139</v>
      </c>
      <c r="B2129" s="116">
        <v>124.1</v>
      </c>
      <c r="C2129" s="116">
        <v>123.2</v>
      </c>
      <c r="D2129" s="116">
        <v>122.55</v>
      </c>
      <c r="E2129" s="116">
        <v>123.2</v>
      </c>
      <c r="F2129" s="116">
        <v>123.2</v>
      </c>
      <c r="G2129">
        <v>2364325</v>
      </c>
      <c r="H2129" s="116"/>
      <c r="I2129" s="116"/>
      <c r="L2129" s="170">
        <v>45139</v>
      </c>
      <c r="M2129" s="116">
        <v>123.2</v>
      </c>
      <c r="N2129" s="116">
        <v>124.15</v>
      </c>
      <c r="O2129" s="116">
        <v>122.55</v>
      </c>
      <c r="P2129" s="116">
        <v>123.55</v>
      </c>
      <c r="Q2129" s="116">
        <v>123.2</v>
      </c>
      <c r="R2129">
        <v>27863562</v>
      </c>
    </row>
    <row r="2130" spans="1:18" x14ac:dyDescent="0.25">
      <c r="A2130" s="170">
        <v>45140</v>
      </c>
      <c r="B2130" s="116">
        <v>123</v>
      </c>
      <c r="C2130" s="116">
        <v>118.95</v>
      </c>
      <c r="D2130" s="116">
        <v>118.3</v>
      </c>
      <c r="E2130" s="116">
        <v>123</v>
      </c>
      <c r="F2130" s="116">
        <v>118.95</v>
      </c>
      <c r="G2130">
        <v>2088495</v>
      </c>
      <c r="H2130" s="116"/>
      <c r="I2130" s="116"/>
      <c r="L2130" s="170">
        <v>45140</v>
      </c>
      <c r="M2130" s="116">
        <v>118.95</v>
      </c>
      <c r="N2130" s="116">
        <v>122.9</v>
      </c>
      <c r="O2130" s="116">
        <v>118.25</v>
      </c>
      <c r="P2130" s="116">
        <v>122.9</v>
      </c>
      <c r="Q2130" s="116">
        <v>118.95</v>
      </c>
      <c r="R2130">
        <v>54951586</v>
      </c>
    </row>
    <row r="2131" spans="1:18" x14ac:dyDescent="0.25">
      <c r="A2131" s="170">
        <v>45141</v>
      </c>
      <c r="B2131" s="116">
        <v>119.65</v>
      </c>
      <c r="C2131" s="116">
        <v>118.3</v>
      </c>
      <c r="D2131" s="116">
        <v>117.4</v>
      </c>
      <c r="E2131" s="116">
        <v>118.25</v>
      </c>
      <c r="F2131" s="116">
        <v>118.3</v>
      </c>
      <c r="G2131">
        <v>1609070</v>
      </c>
      <c r="H2131" s="116"/>
      <c r="I2131" s="116"/>
      <c r="L2131" s="170">
        <v>45141</v>
      </c>
      <c r="M2131" s="116">
        <v>118.2</v>
      </c>
      <c r="N2131" s="116">
        <v>119.65</v>
      </c>
      <c r="O2131" s="116">
        <v>117.5</v>
      </c>
      <c r="P2131" s="116">
        <v>118.7</v>
      </c>
      <c r="Q2131" s="116">
        <v>118.2</v>
      </c>
      <c r="R2131">
        <v>34624188</v>
      </c>
    </row>
    <row r="2132" spans="1:18" x14ac:dyDescent="0.25">
      <c r="A2132" s="170">
        <v>45142</v>
      </c>
      <c r="B2132" s="116">
        <v>119.8</v>
      </c>
      <c r="C2132" s="116">
        <v>119</v>
      </c>
      <c r="D2132" s="116">
        <v>118</v>
      </c>
      <c r="E2132" s="116">
        <v>119.2</v>
      </c>
      <c r="F2132" s="116">
        <v>119</v>
      </c>
      <c r="G2132">
        <v>1598511</v>
      </c>
      <c r="H2132" s="116"/>
      <c r="I2132" s="116"/>
      <c r="L2132" s="170">
        <v>45142</v>
      </c>
      <c r="M2132" s="116">
        <v>119</v>
      </c>
      <c r="N2132" s="116">
        <v>119.75</v>
      </c>
      <c r="O2132" s="116">
        <v>118</v>
      </c>
      <c r="P2132" s="116">
        <v>119.4</v>
      </c>
      <c r="Q2132" s="116">
        <v>119</v>
      </c>
      <c r="R2132">
        <v>22303966</v>
      </c>
    </row>
    <row r="2133" spans="1:18" x14ac:dyDescent="0.25">
      <c r="A2133" s="170">
        <v>45145</v>
      </c>
      <c r="B2133" s="116">
        <v>119.5</v>
      </c>
      <c r="C2133" s="116">
        <v>118.8</v>
      </c>
      <c r="D2133" s="116">
        <v>118</v>
      </c>
      <c r="E2133" s="116">
        <v>119.3</v>
      </c>
      <c r="F2133" s="116">
        <v>118.8</v>
      </c>
      <c r="G2133">
        <v>1800625</v>
      </c>
      <c r="H2133" s="116"/>
      <c r="I2133" s="116"/>
      <c r="L2133" s="170">
        <v>45145</v>
      </c>
      <c r="M2133" s="116">
        <v>118.85</v>
      </c>
      <c r="N2133" s="116">
        <v>119.6</v>
      </c>
      <c r="O2133" s="116">
        <v>118</v>
      </c>
      <c r="P2133" s="116">
        <v>119.6</v>
      </c>
      <c r="Q2133" s="116">
        <v>118.85</v>
      </c>
      <c r="R2133">
        <v>20711952</v>
      </c>
    </row>
    <row r="2134" spans="1:18" x14ac:dyDescent="0.25">
      <c r="A2134" s="170">
        <v>45146</v>
      </c>
      <c r="B2134" s="116">
        <v>119.5</v>
      </c>
      <c r="C2134" s="116">
        <v>118.1</v>
      </c>
      <c r="D2134" s="116">
        <v>117.85</v>
      </c>
      <c r="E2134" s="116">
        <v>118.85</v>
      </c>
      <c r="F2134" s="116">
        <v>118.1</v>
      </c>
      <c r="G2134">
        <v>910235</v>
      </c>
      <c r="H2134" s="116"/>
      <c r="I2134" s="116"/>
      <c r="L2134" s="170">
        <v>45146</v>
      </c>
      <c r="M2134" s="116">
        <v>118.15</v>
      </c>
      <c r="N2134" s="116">
        <v>119.5</v>
      </c>
      <c r="O2134" s="116">
        <v>117.95</v>
      </c>
      <c r="P2134" s="116">
        <v>119</v>
      </c>
      <c r="Q2134" s="116">
        <v>118.15</v>
      </c>
      <c r="R2134">
        <v>21275054</v>
      </c>
    </row>
    <row r="2135" spans="1:18" x14ac:dyDescent="0.25">
      <c r="A2135" s="170">
        <v>45147</v>
      </c>
      <c r="B2135" s="116">
        <v>120.5</v>
      </c>
      <c r="C2135" s="116">
        <v>120.15</v>
      </c>
      <c r="D2135" s="116">
        <v>116.9</v>
      </c>
      <c r="E2135" s="116">
        <v>118.1</v>
      </c>
      <c r="F2135" s="116">
        <v>120.15</v>
      </c>
      <c r="G2135">
        <v>1289488</v>
      </c>
      <c r="H2135" s="116"/>
      <c r="I2135" s="116"/>
      <c r="L2135" s="170">
        <v>45147</v>
      </c>
      <c r="M2135" s="116">
        <v>120.2</v>
      </c>
      <c r="N2135" s="116">
        <v>120.5</v>
      </c>
      <c r="O2135" s="116">
        <v>116.9</v>
      </c>
      <c r="P2135" s="116">
        <v>118.35</v>
      </c>
      <c r="Q2135" s="116">
        <v>120.2</v>
      </c>
      <c r="R2135">
        <v>34154214</v>
      </c>
    </row>
    <row r="2136" spans="1:18" x14ac:dyDescent="0.25">
      <c r="A2136" s="170">
        <v>45148</v>
      </c>
      <c r="B2136" s="116">
        <v>120.6</v>
      </c>
      <c r="C2136" s="116">
        <v>120</v>
      </c>
      <c r="D2136" s="116">
        <v>119.25</v>
      </c>
      <c r="E2136" s="116">
        <v>120.15</v>
      </c>
      <c r="F2136" s="116">
        <v>120</v>
      </c>
      <c r="G2136">
        <v>1009300</v>
      </c>
      <c r="H2136" s="116"/>
      <c r="I2136" s="116"/>
      <c r="L2136" s="170">
        <v>45148</v>
      </c>
      <c r="M2136" s="116">
        <v>120</v>
      </c>
      <c r="N2136" s="116">
        <v>120.65</v>
      </c>
      <c r="O2136" s="116">
        <v>119.25</v>
      </c>
      <c r="P2136" s="116">
        <v>120</v>
      </c>
      <c r="Q2136" s="116">
        <v>120</v>
      </c>
      <c r="R2136">
        <v>24439101</v>
      </c>
    </row>
    <row r="2137" spans="1:18" x14ac:dyDescent="0.25">
      <c r="A2137" s="170">
        <v>45149</v>
      </c>
      <c r="B2137" s="116">
        <v>121.5</v>
      </c>
      <c r="C2137" s="116">
        <v>120.3</v>
      </c>
      <c r="D2137" s="116">
        <v>119.15</v>
      </c>
      <c r="E2137" s="116">
        <v>120.1</v>
      </c>
      <c r="F2137" s="116">
        <v>120.3</v>
      </c>
      <c r="G2137">
        <v>2211500</v>
      </c>
      <c r="H2137" s="116"/>
      <c r="I2137" s="116"/>
      <c r="L2137" s="170">
        <v>45149</v>
      </c>
      <c r="M2137" s="116">
        <v>120.3</v>
      </c>
      <c r="N2137" s="116">
        <v>121.4</v>
      </c>
      <c r="O2137" s="116">
        <v>119.15</v>
      </c>
      <c r="P2137" s="116">
        <v>120.3</v>
      </c>
      <c r="Q2137" s="116">
        <v>120.3</v>
      </c>
      <c r="R2137">
        <v>26337436</v>
      </c>
    </row>
    <row r="2138" spans="1:18" x14ac:dyDescent="0.25">
      <c r="A2138" s="170">
        <v>45152</v>
      </c>
      <c r="B2138" s="116">
        <v>120.3</v>
      </c>
      <c r="C2138" s="116">
        <v>118.15</v>
      </c>
      <c r="D2138" s="116">
        <v>117.35</v>
      </c>
      <c r="E2138" s="116">
        <v>120.1</v>
      </c>
      <c r="F2138" s="116">
        <v>118.15</v>
      </c>
      <c r="G2138">
        <v>1975241</v>
      </c>
      <c r="H2138" s="116"/>
      <c r="I2138" s="116"/>
      <c r="L2138" s="170">
        <v>45152</v>
      </c>
      <c r="M2138" s="116">
        <v>118.15</v>
      </c>
      <c r="N2138" s="116">
        <v>120.4</v>
      </c>
      <c r="O2138" s="116">
        <v>117.35</v>
      </c>
      <c r="P2138" s="116">
        <v>120.3</v>
      </c>
      <c r="Q2138" s="116">
        <v>118.15</v>
      </c>
      <c r="R2138">
        <v>33095516</v>
      </c>
    </row>
    <row r="2139" spans="1:18" x14ac:dyDescent="0.25">
      <c r="A2139" s="170">
        <v>45154</v>
      </c>
      <c r="B2139" s="116">
        <v>118</v>
      </c>
      <c r="C2139" s="116">
        <v>115.9</v>
      </c>
      <c r="D2139" s="116">
        <v>115.45</v>
      </c>
      <c r="E2139" s="116">
        <v>117.9</v>
      </c>
      <c r="F2139" s="116">
        <v>115.9</v>
      </c>
      <c r="G2139">
        <v>2211828</v>
      </c>
      <c r="H2139" s="116"/>
      <c r="I2139" s="116"/>
      <c r="L2139" s="170">
        <v>45154</v>
      </c>
      <c r="M2139" s="116">
        <v>115.95</v>
      </c>
      <c r="N2139" s="116">
        <v>117.95</v>
      </c>
      <c r="O2139" s="116">
        <v>115.4</v>
      </c>
      <c r="P2139" s="116">
        <v>117.95</v>
      </c>
      <c r="Q2139" s="116">
        <v>115.95</v>
      </c>
      <c r="R2139">
        <v>31252473</v>
      </c>
    </row>
    <row r="2140" spans="1:18" x14ac:dyDescent="0.25">
      <c r="A2140" s="170">
        <v>45155</v>
      </c>
      <c r="B2140" s="116">
        <v>116.85</v>
      </c>
      <c r="C2140" s="116">
        <v>116.05</v>
      </c>
      <c r="D2140" s="116">
        <v>114.7</v>
      </c>
      <c r="E2140" s="116">
        <v>115.9</v>
      </c>
      <c r="F2140" s="116">
        <v>116.05</v>
      </c>
      <c r="G2140">
        <v>1388246</v>
      </c>
      <c r="H2140" s="116"/>
      <c r="I2140" s="116"/>
      <c r="L2140" s="170">
        <v>45155</v>
      </c>
      <c r="M2140" s="116">
        <v>116.05</v>
      </c>
      <c r="N2140" s="116">
        <v>116.8</v>
      </c>
      <c r="O2140" s="116">
        <v>114.7</v>
      </c>
      <c r="P2140" s="116">
        <v>115.9</v>
      </c>
      <c r="Q2140" s="116">
        <v>116.05</v>
      </c>
      <c r="R2140">
        <v>28461865</v>
      </c>
    </row>
    <row r="2141" spans="1:18" x14ac:dyDescent="0.25">
      <c r="A2141" s="170">
        <v>45156</v>
      </c>
      <c r="B2141" s="116">
        <v>116.45</v>
      </c>
      <c r="C2141" s="116">
        <v>115.75</v>
      </c>
      <c r="D2141" s="116">
        <v>114.8</v>
      </c>
      <c r="E2141" s="116">
        <v>116.15</v>
      </c>
      <c r="F2141" s="116">
        <v>115.75</v>
      </c>
      <c r="G2141">
        <v>1538087</v>
      </c>
      <c r="H2141" s="116"/>
      <c r="I2141" s="116"/>
      <c r="L2141" s="170">
        <v>45156</v>
      </c>
      <c r="M2141" s="116">
        <v>115.8</v>
      </c>
      <c r="N2141" s="116">
        <v>116.4</v>
      </c>
      <c r="O2141" s="116">
        <v>114.75</v>
      </c>
      <c r="P2141" s="116">
        <v>116.3</v>
      </c>
      <c r="Q2141" s="116">
        <v>115.8</v>
      </c>
      <c r="R2141">
        <v>30381609</v>
      </c>
    </row>
    <row r="2142" spans="1:18" x14ac:dyDescent="0.25">
      <c r="A2142" s="170">
        <v>45159</v>
      </c>
      <c r="B2142" s="116">
        <v>117.1</v>
      </c>
      <c r="C2142" s="116">
        <v>116.85</v>
      </c>
      <c r="D2142" s="116">
        <v>115.85</v>
      </c>
      <c r="E2142" s="116">
        <v>116.65</v>
      </c>
      <c r="F2142" s="116">
        <v>116.85</v>
      </c>
      <c r="G2142">
        <v>792475</v>
      </c>
      <c r="H2142" s="116"/>
      <c r="I2142" s="116"/>
      <c r="L2142" s="170">
        <v>45159</v>
      </c>
      <c r="M2142" s="116">
        <v>116.9</v>
      </c>
      <c r="N2142" s="116">
        <v>117.1</v>
      </c>
      <c r="O2142" s="116">
        <v>115.85</v>
      </c>
      <c r="P2142" s="116">
        <v>116.75</v>
      </c>
      <c r="Q2142" s="116">
        <v>116.9</v>
      </c>
      <c r="R2142">
        <v>22629651</v>
      </c>
    </row>
    <row r="2143" spans="1:18" x14ac:dyDescent="0.25">
      <c r="A2143" s="170">
        <v>45160</v>
      </c>
      <c r="B2143" s="116">
        <v>117.75</v>
      </c>
      <c r="C2143" s="116">
        <v>117.55</v>
      </c>
      <c r="D2143" s="116">
        <v>116.5</v>
      </c>
      <c r="E2143" s="116">
        <v>117.05</v>
      </c>
      <c r="F2143" s="116">
        <v>117.55</v>
      </c>
      <c r="G2143">
        <v>829256</v>
      </c>
      <c r="H2143" s="116"/>
      <c r="I2143" s="116"/>
      <c r="L2143" s="170">
        <v>45160</v>
      </c>
      <c r="M2143" s="116">
        <v>117.55</v>
      </c>
      <c r="N2143" s="116">
        <v>117.75</v>
      </c>
      <c r="O2143" s="116">
        <v>116.5</v>
      </c>
      <c r="P2143" s="116">
        <v>117.15</v>
      </c>
      <c r="Q2143" s="116">
        <v>117.55</v>
      </c>
      <c r="R2143">
        <v>17343131</v>
      </c>
    </row>
    <row r="2144" spans="1:18" x14ac:dyDescent="0.25">
      <c r="A2144" s="170">
        <v>45161</v>
      </c>
      <c r="B2144" s="116">
        <v>119.25</v>
      </c>
      <c r="C2144" s="116">
        <v>118.9</v>
      </c>
      <c r="D2144" s="116">
        <v>117.65</v>
      </c>
      <c r="E2144" s="116">
        <v>117.65</v>
      </c>
      <c r="F2144" s="116">
        <v>118.9</v>
      </c>
      <c r="G2144">
        <v>2068069</v>
      </c>
      <c r="H2144" s="116"/>
      <c r="I2144" s="116"/>
      <c r="L2144" s="170">
        <v>45161</v>
      </c>
      <c r="M2144" s="116">
        <v>118.95</v>
      </c>
      <c r="N2144" s="116">
        <v>119.25</v>
      </c>
      <c r="O2144" s="116">
        <v>117.65</v>
      </c>
      <c r="P2144" s="116">
        <v>117.85</v>
      </c>
      <c r="Q2144" s="116">
        <v>118.95</v>
      </c>
      <c r="R2144">
        <v>43744909</v>
      </c>
    </row>
    <row r="2145" spans="1:18" x14ac:dyDescent="0.25">
      <c r="A2145" s="170">
        <v>45162</v>
      </c>
      <c r="B2145" s="116">
        <v>120.05</v>
      </c>
      <c r="C2145" s="116">
        <v>118.25</v>
      </c>
      <c r="D2145" s="116">
        <v>118.1</v>
      </c>
      <c r="E2145" s="116">
        <v>119.4</v>
      </c>
      <c r="F2145" s="116">
        <v>118.25</v>
      </c>
      <c r="G2145">
        <v>1109452</v>
      </c>
      <c r="H2145" s="116"/>
      <c r="I2145" s="116"/>
      <c r="L2145" s="170">
        <v>45162</v>
      </c>
      <c r="M2145" s="116">
        <v>118.25</v>
      </c>
      <c r="N2145" s="116">
        <v>120.1</v>
      </c>
      <c r="O2145" s="116">
        <v>118.05</v>
      </c>
      <c r="P2145" s="116">
        <v>119.5</v>
      </c>
      <c r="Q2145" s="116">
        <v>118.25</v>
      </c>
      <c r="R2145">
        <v>27103446</v>
      </c>
    </row>
    <row r="2146" spans="1:18" x14ac:dyDescent="0.25">
      <c r="A2146" s="170">
        <v>45163</v>
      </c>
      <c r="B2146" s="116">
        <v>118.1</v>
      </c>
      <c r="C2146" s="116">
        <v>116.9</v>
      </c>
      <c r="D2146" s="116">
        <v>116.65</v>
      </c>
      <c r="E2146" s="116">
        <v>118</v>
      </c>
      <c r="F2146" s="116">
        <v>116.9</v>
      </c>
      <c r="G2146">
        <v>1296139</v>
      </c>
      <c r="H2146" s="116"/>
      <c r="I2146" s="116"/>
      <c r="L2146" s="170">
        <v>45163</v>
      </c>
      <c r="M2146" s="116">
        <v>116.9</v>
      </c>
      <c r="N2146" s="116">
        <v>118.15</v>
      </c>
      <c r="O2146" s="116">
        <v>116.7</v>
      </c>
      <c r="P2146" s="116">
        <v>118</v>
      </c>
      <c r="Q2146" s="116">
        <v>116.9</v>
      </c>
      <c r="R2146">
        <v>23692527</v>
      </c>
    </row>
    <row r="2147" spans="1:18" x14ac:dyDescent="0.25">
      <c r="A2147" s="170">
        <v>45166</v>
      </c>
      <c r="B2147" s="116">
        <v>118.25</v>
      </c>
      <c r="C2147" s="116">
        <v>117.6</v>
      </c>
      <c r="D2147" s="116">
        <v>116.95</v>
      </c>
      <c r="E2147" s="116">
        <v>116.95</v>
      </c>
      <c r="F2147" s="116">
        <v>117.6</v>
      </c>
      <c r="G2147">
        <v>1293297</v>
      </c>
      <c r="H2147" s="116"/>
      <c r="I2147" s="116"/>
      <c r="L2147" s="170">
        <v>45166</v>
      </c>
      <c r="M2147" s="116">
        <v>117.6</v>
      </c>
      <c r="N2147" s="116">
        <v>118.25</v>
      </c>
      <c r="O2147" s="116">
        <v>117</v>
      </c>
      <c r="P2147" s="116">
        <v>117</v>
      </c>
      <c r="Q2147" s="116">
        <v>117.6</v>
      </c>
      <c r="R2147">
        <v>19218821</v>
      </c>
    </row>
    <row r="2148" spans="1:18" x14ac:dyDescent="0.25">
      <c r="A2148" s="170">
        <v>45167</v>
      </c>
      <c r="B2148" s="116">
        <v>120.15</v>
      </c>
      <c r="C2148" s="116">
        <v>119.55</v>
      </c>
      <c r="D2148" s="116">
        <v>117.7</v>
      </c>
      <c r="E2148" s="116">
        <v>118.5</v>
      </c>
      <c r="F2148" s="116">
        <v>119.55</v>
      </c>
      <c r="G2148">
        <v>2963694</v>
      </c>
      <c r="H2148" s="116"/>
      <c r="I2148" s="116"/>
      <c r="L2148" s="170">
        <v>45167</v>
      </c>
      <c r="M2148" s="116">
        <v>119.55</v>
      </c>
      <c r="N2148" s="116">
        <v>120.15</v>
      </c>
      <c r="O2148" s="116">
        <v>117.75</v>
      </c>
      <c r="P2148" s="116">
        <v>118.5</v>
      </c>
      <c r="Q2148" s="116">
        <v>119.55</v>
      </c>
      <c r="R2148">
        <v>36038317</v>
      </c>
    </row>
    <row r="2149" spans="1:18" x14ac:dyDescent="0.25">
      <c r="A2149" s="170">
        <v>45168</v>
      </c>
      <c r="B2149" s="116">
        <v>122.7</v>
      </c>
      <c r="C2149" s="116">
        <v>122.05</v>
      </c>
      <c r="D2149" s="116">
        <v>120.15</v>
      </c>
      <c r="E2149" s="116">
        <v>120.15</v>
      </c>
      <c r="F2149" s="116">
        <v>122.05</v>
      </c>
      <c r="G2149">
        <v>4486500</v>
      </c>
      <c r="H2149" s="116"/>
      <c r="I2149" s="116"/>
      <c r="L2149" s="170">
        <v>45168</v>
      </c>
      <c r="M2149" s="116">
        <v>122.1</v>
      </c>
      <c r="N2149" s="116">
        <v>122.7</v>
      </c>
      <c r="O2149" s="116">
        <v>120.25</v>
      </c>
      <c r="P2149" s="116">
        <v>120.5</v>
      </c>
      <c r="Q2149" s="116">
        <v>122.1</v>
      </c>
      <c r="R2149">
        <v>51467177</v>
      </c>
    </row>
    <row r="2150" spans="1:18" x14ac:dyDescent="0.25">
      <c r="A2150" s="170">
        <v>45169</v>
      </c>
      <c r="B2150" s="116">
        <v>123.35</v>
      </c>
      <c r="C2150" s="116">
        <v>123</v>
      </c>
      <c r="D2150" s="116">
        <v>122.15</v>
      </c>
      <c r="E2150" s="116">
        <v>122.7</v>
      </c>
      <c r="F2150" s="116">
        <v>123</v>
      </c>
      <c r="G2150">
        <v>1915859</v>
      </c>
      <c r="H2150" s="116"/>
      <c r="I2150" s="116"/>
      <c r="L2150" s="170">
        <v>45169</v>
      </c>
      <c r="M2150" s="116">
        <v>122.9</v>
      </c>
      <c r="N2150" s="116">
        <v>123.6</v>
      </c>
      <c r="O2150" s="116">
        <v>122.15</v>
      </c>
      <c r="P2150" s="116">
        <v>122.85</v>
      </c>
      <c r="Q2150" s="116">
        <v>122.9</v>
      </c>
      <c r="R2150">
        <v>60626985</v>
      </c>
    </row>
    <row r="2151" spans="1:18" x14ac:dyDescent="0.25">
      <c r="A2151" s="170">
        <v>45170</v>
      </c>
      <c r="B2151" s="116">
        <v>128.6</v>
      </c>
      <c r="C2151" s="116">
        <v>127.1</v>
      </c>
      <c r="D2151" s="116">
        <v>123.3</v>
      </c>
      <c r="E2151" s="116">
        <v>123.35</v>
      </c>
      <c r="F2151" s="116">
        <v>127.1</v>
      </c>
      <c r="G2151">
        <v>7615230</v>
      </c>
      <c r="H2151" s="116"/>
      <c r="I2151" s="116"/>
      <c r="L2151" s="170">
        <v>45170</v>
      </c>
      <c r="M2151" s="116">
        <v>127.05</v>
      </c>
      <c r="N2151" s="116">
        <v>128.69999999999999</v>
      </c>
      <c r="O2151" s="116">
        <v>123.4</v>
      </c>
      <c r="P2151" s="116">
        <v>123.5</v>
      </c>
      <c r="Q2151" s="116">
        <v>127.05</v>
      </c>
      <c r="R2151">
        <v>76460408</v>
      </c>
    </row>
    <row r="2152" spans="1:18" x14ac:dyDescent="0.25">
      <c r="A2152" s="170">
        <v>45173</v>
      </c>
      <c r="B2152" s="116">
        <v>132.85</v>
      </c>
      <c r="C2152" s="116">
        <v>131.69999999999999</v>
      </c>
      <c r="D2152" s="116">
        <v>128.85</v>
      </c>
      <c r="E2152" s="116">
        <v>128.85</v>
      </c>
      <c r="F2152" s="116">
        <v>131.69999999999999</v>
      </c>
      <c r="G2152">
        <v>6965920</v>
      </c>
      <c r="H2152" s="116"/>
      <c r="I2152" s="116"/>
      <c r="L2152" s="170">
        <v>45173</v>
      </c>
      <c r="M2152" s="116">
        <v>131.75</v>
      </c>
      <c r="N2152" s="116">
        <v>132.9</v>
      </c>
      <c r="O2152" s="116">
        <v>128.85</v>
      </c>
      <c r="P2152" s="116">
        <v>129.19999999999999</v>
      </c>
      <c r="Q2152" s="116">
        <v>131.75</v>
      </c>
      <c r="R2152">
        <v>68525900</v>
      </c>
    </row>
    <row r="2153" spans="1:18" x14ac:dyDescent="0.25">
      <c r="A2153" s="170">
        <v>45174</v>
      </c>
      <c r="B2153" s="116">
        <v>132.4</v>
      </c>
      <c r="C2153" s="116">
        <v>131.69999999999999</v>
      </c>
      <c r="D2153" s="116">
        <v>128.9</v>
      </c>
      <c r="E2153" s="116">
        <v>131.69999999999999</v>
      </c>
      <c r="F2153" s="116">
        <v>131.69999999999999</v>
      </c>
      <c r="G2153">
        <v>1923641</v>
      </c>
      <c r="H2153" s="116"/>
      <c r="I2153" s="116"/>
      <c r="L2153" s="170">
        <v>45174</v>
      </c>
      <c r="M2153" s="116">
        <v>131.69999999999999</v>
      </c>
      <c r="N2153" s="116">
        <v>132.44999999999999</v>
      </c>
      <c r="O2153" s="116">
        <v>128.85</v>
      </c>
      <c r="P2153" s="116">
        <v>131.75</v>
      </c>
      <c r="Q2153" s="116">
        <v>131.69999999999999</v>
      </c>
      <c r="R2153">
        <v>36466807</v>
      </c>
    </row>
    <row r="2154" spans="1:18" x14ac:dyDescent="0.25">
      <c r="A2154" s="170">
        <v>45175</v>
      </c>
      <c r="B2154" s="116">
        <v>132.44999999999999</v>
      </c>
      <c r="C2154" s="116">
        <v>129.5</v>
      </c>
      <c r="D2154" s="116">
        <v>128.19999999999999</v>
      </c>
      <c r="E2154" s="116">
        <v>132.4</v>
      </c>
      <c r="F2154" s="116">
        <v>129.5</v>
      </c>
      <c r="G2154">
        <v>2408629</v>
      </c>
      <c r="H2154" s="116"/>
      <c r="I2154" s="116"/>
      <c r="L2154" s="170">
        <v>45175</v>
      </c>
      <c r="M2154" s="116">
        <v>129.6</v>
      </c>
      <c r="N2154" s="116">
        <v>132.4</v>
      </c>
      <c r="O2154" s="116">
        <v>128.19999999999999</v>
      </c>
      <c r="P2154" s="116">
        <v>132.4</v>
      </c>
      <c r="Q2154" s="116">
        <v>129.6</v>
      </c>
      <c r="R2154">
        <v>36058850</v>
      </c>
    </row>
    <row r="2155" spans="1:18" x14ac:dyDescent="0.25">
      <c r="A2155" s="170">
        <v>45176</v>
      </c>
      <c r="B2155" s="116">
        <v>130.80000000000001</v>
      </c>
      <c r="C2155" s="116">
        <v>130.15</v>
      </c>
      <c r="D2155" s="116">
        <v>128.6</v>
      </c>
      <c r="E2155" s="116">
        <v>129.85</v>
      </c>
      <c r="F2155" s="116">
        <v>130.15</v>
      </c>
      <c r="G2155">
        <v>1129177</v>
      </c>
      <c r="H2155" s="116"/>
      <c r="I2155" s="116"/>
      <c r="L2155" s="170">
        <v>45176</v>
      </c>
      <c r="M2155" s="116">
        <v>130.15</v>
      </c>
      <c r="N2155" s="116">
        <v>130.80000000000001</v>
      </c>
      <c r="O2155" s="116">
        <v>128.6</v>
      </c>
      <c r="P2155" s="116">
        <v>129.5</v>
      </c>
      <c r="Q2155" s="116">
        <v>130.15</v>
      </c>
      <c r="R2155">
        <v>30268235</v>
      </c>
    </row>
    <row r="2156" spans="1:18" x14ac:dyDescent="0.25">
      <c r="A2156" s="170">
        <v>45177</v>
      </c>
      <c r="B2156" s="116">
        <v>131.6</v>
      </c>
      <c r="C2156" s="116">
        <v>129.55000000000001</v>
      </c>
      <c r="D2156" s="116">
        <v>129.19999999999999</v>
      </c>
      <c r="E2156" s="116">
        <v>131.15</v>
      </c>
      <c r="F2156" s="116">
        <v>129.55000000000001</v>
      </c>
      <c r="G2156">
        <v>2316933</v>
      </c>
      <c r="H2156" s="116"/>
      <c r="I2156" s="116"/>
      <c r="L2156" s="170">
        <v>45177</v>
      </c>
      <c r="M2156" s="116">
        <v>129.5</v>
      </c>
      <c r="N2156" s="116">
        <v>131.65</v>
      </c>
      <c r="O2156" s="116">
        <v>129.19999999999999</v>
      </c>
      <c r="P2156" s="116">
        <v>131.4</v>
      </c>
      <c r="Q2156" s="116">
        <v>129.5</v>
      </c>
      <c r="R2156">
        <v>34313523</v>
      </c>
    </row>
    <row r="2157" spans="1:18" x14ac:dyDescent="0.25">
      <c r="A2157" s="170">
        <v>45180</v>
      </c>
      <c r="B2157" s="116">
        <v>131.85</v>
      </c>
      <c r="C2157" s="116">
        <v>131.05000000000001</v>
      </c>
      <c r="D2157" s="116">
        <v>129.19999999999999</v>
      </c>
      <c r="E2157" s="116">
        <v>129.5</v>
      </c>
      <c r="F2157" s="116">
        <v>131.05000000000001</v>
      </c>
      <c r="G2157">
        <v>3065197</v>
      </c>
      <c r="H2157" s="116"/>
      <c r="I2157" s="116"/>
      <c r="L2157" s="170">
        <v>45180</v>
      </c>
      <c r="M2157" s="116">
        <v>131.15</v>
      </c>
      <c r="N2157" s="116">
        <v>131.85</v>
      </c>
      <c r="O2157" s="116">
        <v>129.19999999999999</v>
      </c>
      <c r="P2157" s="116">
        <v>129.5</v>
      </c>
      <c r="Q2157" s="116">
        <v>131.15</v>
      </c>
      <c r="R2157">
        <v>33377857</v>
      </c>
    </row>
    <row r="2158" spans="1:18" x14ac:dyDescent="0.25">
      <c r="A2158" s="170">
        <v>45181</v>
      </c>
      <c r="B2158" s="116">
        <v>133.19999999999999</v>
      </c>
      <c r="C2158" s="116">
        <v>128.85</v>
      </c>
      <c r="D2158" s="116">
        <v>128.65</v>
      </c>
      <c r="E2158" s="116">
        <v>132.65</v>
      </c>
      <c r="F2158" s="116">
        <v>128.85</v>
      </c>
      <c r="G2158">
        <v>1808401</v>
      </c>
      <c r="H2158" s="116"/>
      <c r="I2158" s="116"/>
      <c r="L2158" s="170">
        <v>45181</v>
      </c>
      <c r="M2158" s="116">
        <v>129</v>
      </c>
      <c r="N2158" s="116">
        <v>133.15</v>
      </c>
      <c r="O2158" s="116">
        <v>128.65</v>
      </c>
      <c r="P2158" s="116">
        <v>132.80000000000001</v>
      </c>
      <c r="Q2158" s="116">
        <v>129</v>
      </c>
      <c r="R2158">
        <v>38065283</v>
      </c>
    </row>
    <row r="2159" spans="1:18" x14ac:dyDescent="0.25">
      <c r="A2159" s="170">
        <v>45182</v>
      </c>
      <c r="B2159" s="116">
        <v>130.44999999999999</v>
      </c>
      <c r="C2159" s="116">
        <v>129.5</v>
      </c>
      <c r="D2159" s="116">
        <v>127.75</v>
      </c>
      <c r="E2159" s="116">
        <v>129.80000000000001</v>
      </c>
      <c r="F2159" s="116">
        <v>129.5</v>
      </c>
      <c r="G2159">
        <v>1301476</v>
      </c>
      <c r="H2159" s="116"/>
      <c r="I2159" s="116"/>
      <c r="L2159" s="170">
        <v>45182</v>
      </c>
      <c r="M2159" s="116">
        <v>129.55000000000001</v>
      </c>
      <c r="N2159" s="116">
        <v>130.5</v>
      </c>
      <c r="O2159" s="116">
        <v>127.7</v>
      </c>
      <c r="P2159" s="116">
        <v>129.6</v>
      </c>
      <c r="Q2159" s="116">
        <v>129.55000000000001</v>
      </c>
      <c r="R2159">
        <v>23371459</v>
      </c>
    </row>
    <row r="2160" spans="1:18" x14ac:dyDescent="0.25">
      <c r="A2160" s="170">
        <v>45183</v>
      </c>
      <c r="B2160" s="116">
        <v>134.25</v>
      </c>
      <c r="C2160" s="116">
        <v>131.65</v>
      </c>
      <c r="D2160" s="116">
        <v>130.65</v>
      </c>
      <c r="E2160" s="116">
        <v>131</v>
      </c>
      <c r="F2160" s="116">
        <v>131.65</v>
      </c>
      <c r="G2160">
        <v>2577690</v>
      </c>
      <c r="H2160" s="116"/>
      <c r="I2160" s="116"/>
      <c r="L2160" s="170">
        <v>45183</v>
      </c>
      <c r="M2160" s="116">
        <v>131.69999999999999</v>
      </c>
      <c r="N2160" s="116">
        <v>134.19999999999999</v>
      </c>
      <c r="O2160" s="116">
        <v>130.80000000000001</v>
      </c>
      <c r="P2160" s="116">
        <v>131</v>
      </c>
      <c r="Q2160" s="116">
        <v>131.69999999999999</v>
      </c>
      <c r="R2160">
        <v>58800620</v>
      </c>
    </row>
    <row r="2161" spans="1:18" x14ac:dyDescent="0.25">
      <c r="A2161" s="170">
        <v>45184</v>
      </c>
      <c r="B2161" s="116">
        <v>133.30000000000001</v>
      </c>
      <c r="C2161" s="116">
        <v>132.05000000000001</v>
      </c>
      <c r="D2161" s="116">
        <v>129.9</v>
      </c>
      <c r="E2161" s="116">
        <v>132.80000000000001</v>
      </c>
      <c r="F2161" s="116">
        <v>132.05000000000001</v>
      </c>
      <c r="G2161">
        <v>2050808</v>
      </c>
      <c r="H2161" s="116"/>
      <c r="I2161" s="116"/>
      <c r="L2161" s="170">
        <v>45184</v>
      </c>
      <c r="M2161" s="116">
        <v>131.94999999999999</v>
      </c>
      <c r="N2161" s="116">
        <v>133.30000000000001</v>
      </c>
      <c r="O2161" s="116">
        <v>129.85</v>
      </c>
      <c r="P2161" s="116">
        <v>132.6</v>
      </c>
      <c r="Q2161" s="116">
        <v>131.94999999999999</v>
      </c>
      <c r="R2161">
        <v>85058495</v>
      </c>
    </row>
    <row r="2162" spans="1:18" x14ac:dyDescent="0.25">
      <c r="A2162" s="170">
        <v>45187</v>
      </c>
      <c r="B2162" s="116">
        <v>134.85</v>
      </c>
      <c r="C2162" s="116">
        <v>130.44999999999999</v>
      </c>
      <c r="D2162" s="116">
        <v>130.1</v>
      </c>
      <c r="E2162" s="116">
        <v>134.75</v>
      </c>
      <c r="F2162" s="116">
        <v>130.44999999999999</v>
      </c>
      <c r="G2162">
        <v>4144936</v>
      </c>
      <c r="H2162" s="116"/>
      <c r="I2162" s="116"/>
      <c r="L2162" s="170">
        <v>45187</v>
      </c>
      <c r="M2162" s="116">
        <v>130.44999999999999</v>
      </c>
      <c r="N2162" s="116">
        <v>135</v>
      </c>
      <c r="O2162" s="116">
        <v>130.05000000000001</v>
      </c>
      <c r="P2162" s="116">
        <v>135</v>
      </c>
      <c r="Q2162" s="116">
        <v>130.44999999999999</v>
      </c>
      <c r="R2162">
        <v>62420823</v>
      </c>
    </row>
    <row r="2163" spans="1:18" x14ac:dyDescent="0.25">
      <c r="A2163" s="170">
        <v>45189</v>
      </c>
      <c r="B2163" s="116">
        <v>131.80000000000001</v>
      </c>
      <c r="C2163" s="116">
        <v>128.30000000000001</v>
      </c>
      <c r="D2163" s="116">
        <v>128</v>
      </c>
      <c r="E2163" s="116">
        <v>130.44999999999999</v>
      </c>
      <c r="F2163" s="116">
        <v>128.30000000000001</v>
      </c>
      <c r="G2163">
        <v>3507631</v>
      </c>
      <c r="H2163" s="116"/>
      <c r="I2163" s="116"/>
      <c r="L2163" s="170">
        <v>45189</v>
      </c>
      <c r="M2163" s="116">
        <v>128.30000000000001</v>
      </c>
      <c r="N2163" s="116">
        <v>131.80000000000001</v>
      </c>
      <c r="O2163" s="116">
        <v>128</v>
      </c>
      <c r="P2163" s="116">
        <v>130.44999999999999</v>
      </c>
      <c r="Q2163" s="116">
        <v>128.30000000000001</v>
      </c>
      <c r="R2163">
        <v>43627379</v>
      </c>
    </row>
    <row r="2164" spans="1:18" x14ac:dyDescent="0.25">
      <c r="A2164" s="170">
        <v>45190</v>
      </c>
      <c r="B2164" s="116">
        <v>129.25</v>
      </c>
      <c r="C2164" s="116">
        <v>127.8</v>
      </c>
      <c r="D2164" s="116">
        <v>127.25</v>
      </c>
      <c r="E2164" s="116">
        <v>128.30000000000001</v>
      </c>
      <c r="F2164" s="116">
        <v>127.8</v>
      </c>
      <c r="G2164">
        <v>2224454</v>
      </c>
      <c r="H2164" s="116"/>
      <c r="I2164" s="116"/>
      <c r="L2164" s="170">
        <v>45190</v>
      </c>
      <c r="M2164" s="116">
        <v>127.8</v>
      </c>
      <c r="N2164" s="116">
        <v>129.25</v>
      </c>
      <c r="O2164" s="116">
        <v>127.2</v>
      </c>
      <c r="P2164" s="116">
        <v>128.30000000000001</v>
      </c>
      <c r="Q2164" s="116">
        <v>127.8</v>
      </c>
      <c r="R2164">
        <v>29826091</v>
      </c>
    </row>
    <row r="2165" spans="1:18" x14ac:dyDescent="0.25">
      <c r="A2165" s="170">
        <v>45191</v>
      </c>
      <c r="B2165" s="116">
        <v>128.65</v>
      </c>
      <c r="C2165" s="116">
        <v>126.7</v>
      </c>
      <c r="D2165" s="116">
        <v>125.5</v>
      </c>
      <c r="E2165" s="116">
        <v>127.25</v>
      </c>
      <c r="F2165" s="116">
        <v>126.7</v>
      </c>
      <c r="G2165">
        <v>2211376</v>
      </c>
      <c r="H2165" s="116"/>
      <c r="I2165" s="116"/>
      <c r="L2165" s="170">
        <v>45191</v>
      </c>
      <c r="M2165" s="116">
        <v>126.75</v>
      </c>
      <c r="N2165" s="116">
        <v>128.69999999999999</v>
      </c>
      <c r="O2165" s="116">
        <v>125.5</v>
      </c>
      <c r="P2165" s="116">
        <v>127.15</v>
      </c>
      <c r="Q2165" s="116">
        <v>126.75</v>
      </c>
      <c r="R2165">
        <v>34059194</v>
      </c>
    </row>
    <row r="2166" spans="1:18" x14ac:dyDescent="0.25">
      <c r="A2166" s="170">
        <v>45194</v>
      </c>
      <c r="B2166" s="116">
        <v>128.30000000000001</v>
      </c>
      <c r="C2166" s="116">
        <v>127.35</v>
      </c>
      <c r="D2166" s="116">
        <v>126.15</v>
      </c>
      <c r="E2166" s="116">
        <v>127.05</v>
      </c>
      <c r="F2166" s="116">
        <v>127.35</v>
      </c>
      <c r="G2166">
        <v>1235666</v>
      </c>
      <c r="H2166" s="116"/>
      <c r="I2166" s="116"/>
      <c r="L2166" s="170">
        <v>45194</v>
      </c>
      <c r="M2166" s="116">
        <v>127.4</v>
      </c>
      <c r="N2166" s="116">
        <v>128.30000000000001</v>
      </c>
      <c r="O2166" s="116">
        <v>126.1</v>
      </c>
      <c r="P2166" s="116">
        <v>127.3</v>
      </c>
      <c r="Q2166" s="116">
        <v>127.4</v>
      </c>
      <c r="R2166">
        <v>23466981</v>
      </c>
    </row>
    <row r="2167" spans="1:18" x14ac:dyDescent="0.25">
      <c r="A2167" s="170">
        <v>45195</v>
      </c>
      <c r="B2167" s="116">
        <v>130.55000000000001</v>
      </c>
      <c r="C2167" s="116">
        <v>128.85</v>
      </c>
      <c r="D2167" s="116">
        <v>128.5</v>
      </c>
      <c r="E2167" s="116">
        <v>129.69999999999999</v>
      </c>
      <c r="F2167" s="116">
        <v>128.85</v>
      </c>
      <c r="G2167">
        <v>2398246</v>
      </c>
      <c r="H2167" s="116"/>
      <c r="I2167" s="116"/>
      <c r="L2167" s="170">
        <v>45195</v>
      </c>
      <c r="M2167" s="116">
        <v>128.9</v>
      </c>
      <c r="N2167" s="116">
        <v>130.55000000000001</v>
      </c>
      <c r="O2167" s="116">
        <v>128.4</v>
      </c>
      <c r="P2167" s="116">
        <v>129</v>
      </c>
      <c r="Q2167" s="116">
        <v>128.9</v>
      </c>
      <c r="R2167">
        <v>48936598</v>
      </c>
    </row>
    <row r="2168" spans="1:18" x14ac:dyDescent="0.25">
      <c r="A2168" s="170">
        <v>45196</v>
      </c>
      <c r="B2168" s="116">
        <v>128.94999999999999</v>
      </c>
      <c r="C2168" s="116">
        <v>128.15</v>
      </c>
      <c r="D2168" s="116">
        <v>126.7</v>
      </c>
      <c r="E2168" s="116">
        <v>128.94999999999999</v>
      </c>
      <c r="F2168" s="116">
        <v>128.15</v>
      </c>
      <c r="G2168">
        <v>1487212</v>
      </c>
      <c r="H2168" s="116"/>
      <c r="I2168" s="116"/>
      <c r="L2168" s="170">
        <v>45196</v>
      </c>
      <c r="M2168" s="116">
        <v>128.15</v>
      </c>
      <c r="N2168" s="116">
        <v>128.75</v>
      </c>
      <c r="O2168" s="116">
        <v>126.7</v>
      </c>
      <c r="P2168" s="116">
        <v>128.75</v>
      </c>
      <c r="Q2168" s="116">
        <v>128.15</v>
      </c>
      <c r="R2168">
        <v>33277329</v>
      </c>
    </row>
    <row r="2169" spans="1:18" x14ac:dyDescent="0.25">
      <c r="A2169" s="170">
        <v>45197</v>
      </c>
      <c r="B2169" s="116">
        <v>129.35</v>
      </c>
      <c r="C2169" s="116">
        <v>126.75</v>
      </c>
      <c r="D2169" s="116">
        <v>126.3</v>
      </c>
      <c r="E2169" s="116">
        <v>128.44999999999999</v>
      </c>
      <c r="F2169" s="116">
        <v>126.75</v>
      </c>
      <c r="G2169">
        <v>1838412</v>
      </c>
      <c r="H2169" s="116"/>
      <c r="I2169" s="116"/>
      <c r="L2169" s="170">
        <v>45197</v>
      </c>
      <c r="M2169" s="116">
        <v>126.8</v>
      </c>
      <c r="N2169" s="116">
        <v>129.30000000000001</v>
      </c>
      <c r="O2169" s="116">
        <v>126.3</v>
      </c>
      <c r="P2169" s="116">
        <v>128.35</v>
      </c>
      <c r="Q2169" s="116">
        <v>126.8</v>
      </c>
      <c r="R2169">
        <v>29982233</v>
      </c>
    </row>
    <row r="2170" spans="1:18" x14ac:dyDescent="0.25">
      <c r="A2170" s="170">
        <v>45198</v>
      </c>
      <c r="B2170" s="116">
        <v>129.6</v>
      </c>
      <c r="C2170" s="116">
        <v>129</v>
      </c>
      <c r="D2170" s="116">
        <v>127.6</v>
      </c>
      <c r="E2170" s="116">
        <v>128.05000000000001</v>
      </c>
      <c r="F2170" s="116">
        <v>129</v>
      </c>
      <c r="G2170">
        <v>1949677</v>
      </c>
      <c r="H2170" s="116"/>
      <c r="I2170" s="116"/>
      <c r="L2170" s="170">
        <v>45198</v>
      </c>
      <c r="M2170" s="116">
        <v>128.9</v>
      </c>
      <c r="N2170" s="116">
        <v>129.55000000000001</v>
      </c>
      <c r="O2170" s="116">
        <v>127.55</v>
      </c>
      <c r="P2170" s="116">
        <v>128.19999999999999</v>
      </c>
      <c r="Q2170" s="116">
        <v>128.9</v>
      </c>
      <c r="R2170">
        <v>28406435</v>
      </c>
    </row>
    <row r="2171" spans="1:18" x14ac:dyDescent="0.25">
      <c r="A2171" s="170">
        <v>45202</v>
      </c>
      <c r="B2171" s="116">
        <v>129</v>
      </c>
      <c r="C2171" s="116">
        <v>128</v>
      </c>
      <c r="D2171" s="116">
        <v>127.25</v>
      </c>
      <c r="E2171" s="116">
        <v>129</v>
      </c>
      <c r="F2171" s="116">
        <v>128</v>
      </c>
      <c r="G2171">
        <v>1892443</v>
      </c>
      <c r="H2171" s="116"/>
      <c r="I2171" s="116"/>
      <c r="L2171" s="170">
        <v>45202</v>
      </c>
      <c r="M2171" s="116">
        <v>128</v>
      </c>
      <c r="N2171" s="116">
        <v>129.1</v>
      </c>
      <c r="O2171" s="116">
        <v>127.25</v>
      </c>
      <c r="P2171" s="116">
        <v>129</v>
      </c>
      <c r="Q2171" s="116">
        <v>128</v>
      </c>
      <c r="R2171">
        <v>18613557</v>
      </c>
    </row>
    <row r="2172" spans="1:18" x14ac:dyDescent="0.25">
      <c r="A2172" s="170">
        <v>45203</v>
      </c>
      <c r="B2172" s="116">
        <v>127.7</v>
      </c>
      <c r="C2172" s="116">
        <v>125.3</v>
      </c>
      <c r="D2172" s="116">
        <v>124.55</v>
      </c>
      <c r="E2172" s="116">
        <v>127.7</v>
      </c>
      <c r="F2172" s="116">
        <v>125.3</v>
      </c>
      <c r="G2172">
        <v>1730924</v>
      </c>
      <c r="H2172" s="116"/>
      <c r="I2172" s="116"/>
      <c r="L2172" s="170">
        <v>45203</v>
      </c>
      <c r="M2172" s="116">
        <v>125.3</v>
      </c>
      <c r="N2172" s="116">
        <v>127.1</v>
      </c>
      <c r="O2172" s="116">
        <v>124.5</v>
      </c>
      <c r="P2172" s="116">
        <v>127</v>
      </c>
      <c r="Q2172" s="116">
        <v>125.3</v>
      </c>
      <c r="R2172">
        <v>33272725</v>
      </c>
    </row>
    <row r="2173" spans="1:18" x14ac:dyDescent="0.25">
      <c r="A2173" s="170">
        <v>45204</v>
      </c>
      <c r="B2173" s="116">
        <v>126.45</v>
      </c>
      <c r="C2173" s="116">
        <v>125.25</v>
      </c>
      <c r="D2173" s="116">
        <v>124.5</v>
      </c>
      <c r="E2173" s="116">
        <v>126.45</v>
      </c>
      <c r="F2173" s="116">
        <v>125.25</v>
      </c>
      <c r="G2173">
        <v>1603713</v>
      </c>
      <c r="H2173" s="116"/>
      <c r="I2173" s="116"/>
      <c r="L2173" s="170">
        <v>45204</v>
      </c>
      <c r="M2173" s="116">
        <v>125.25</v>
      </c>
      <c r="N2173" s="116">
        <v>126.15</v>
      </c>
      <c r="O2173" s="116">
        <v>124.55</v>
      </c>
      <c r="P2173" s="116">
        <v>125.9</v>
      </c>
      <c r="Q2173" s="116">
        <v>125.25</v>
      </c>
      <c r="R2173">
        <v>27063441</v>
      </c>
    </row>
    <row r="2174" spans="1:18" x14ac:dyDescent="0.25">
      <c r="A2174" s="170">
        <v>45205</v>
      </c>
      <c r="B2174" s="116">
        <v>127</v>
      </c>
      <c r="C2174" s="116">
        <v>125.9</v>
      </c>
      <c r="D2174" s="116">
        <v>125.1</v>
      </c>
      <c r="E2174" s="116">
        <v>126.15</v>
      </c>
      <c r="F2174" s="116">
        <v>125.9</v>
      </c>
      <c r="G2174">
        <v>1711667</v>
      </c>
      <c r="H2174" s="116"/>
      <c r="I2174" s="116"/>
      <c r="L2174" s="170">
        <v>45205</v>
      </c>
      <c r="M2174" s="116">
        <v>125.9</v>
      </c>
      <c r="N2174" s="116">
        <v>127</v>
      </c>
      <c r="O2174" s="116">
        <v>125.1</v>
      </c>
      <c r="P2174" s="116">
        <v>126.5</v>
      </c>
      <c r="Q2174" s="116">
        <v>125.9</v>
      </c>
      <c r="R2174">
        <v>21928671</v>
      </c>
    </row>
    <row r="2175" spans="1:18" x14ac:dyDescent="0.25">
      <c r="A2175" s="170">
        <v>45208</v>
      </c>
      <c r="B2175" s="116">
        <v>124.85</v>
      </c>
      <c r="C2175" s="116">
        <v>123.8</v>
      </c>
      <c r="D2175" s="116">
        <v>122.5</v>
      </c>
      <c r="E2175" s="116">
        <v>124.65</v>
      </c>
      <c r="F2175" s="116">
        <v>123.8</v>
      </c>
      <c r="G2175">
        <v>2218706</v>
      </c>
      <c r="H2175" s="116"/>
      <c r="I2175" s="116"/>
      <c r="L2175" s="170">
        <v>45208</v>
      </c>
      <c r="M2175" s="116">
        <v>123.85</v>
      </c>
      <c r="N2175" s="116">
        <v>124.9</v>
      </c>
      <c r="O2175" s="116">
        <v>122.6</v>
      </c>
      <c r="P2175" s="116">
        <v>124.8</v>
      </c>
      <c r="Q2175" s="116">
        <v>123.85</v>
      </c>
      <c r="R2175">
        <v>21457836</v>
      </c>
    </row>
    <row r="2176" spans="1:18" x14ac:dyDescent="0.25">
      <c r="A2176" s="170">
        <v>45209</v>
      </c>
      <c r="B2176" s="116">
        <v>125.9</v>
      </c>
      <c r="C2176" s="116">
        <v>125.25</v>
      </c>
      <c r="D2176" s="116">
        <v>123.75</v>
      </c>
      <c r="E2176" s="116">
        <v>124.35</v>
      </c>
      <c r="F2176" s="116">
        <v>125.25</v>
      </c>
      <c r="G2176">
        <v>1611342</v>
      </c>
      <c r="H2176" s="116"/>
      <c r="I2176" s="116"/>
      <c r="L2176" s="170">
        <v>45209</v>
      </c>
      <c r="M2176" s="116">
        <v>125.3</v>
      </c>
      <c r="N2176" s="116">
        <v>125.9</v>
      </c>
      <c r="O2176" s="116">
        <v>123.75</v>
      </c>
      <c r="P2176" s="116">
        <v>124.7</v>
      </c>
      <c r="Q2176" s="116">
        <v>125.3</v>
      </c>
      <c r="R2176">
        <v>28745957</v>
      </c>
    </row>
    <row r="2177" spans="1:18" x14ac:dyDescent="0.25">
      <c r="A2177" s="170">
        <v>45210</v>
      </c>
      <c r="B2177" s="116">
        <v>126.35</v>
      </c>
      <c r="C2177" s="116">
        <v>124.95</v>
      </c>
      <c r="D2177" s="116">
        <v>124.75</v>
      </c>
      <c r="E2177" s="116">
        <v>126</v>
      </c>
      <c r="F2177" s="116">
        <v>124.95</v>
      </c>
      <c r="G2177">
        <v>1386104</v>
      </c>
      <c r="H2177" s="116"/>
      <c r="I2177" s="116"/>
      <c r="L2177" s="170">
        <v>45210</v>
      </c>
      <c r="M2177" s="116">
        <v>124.95</v>
      </c>
      <c r="N2177" s="116">
        <v>126.3</v>
      </c>
      <c r="O2177" s="116">
        <v>124.7</v>
      </c>
      <c r="P2177" s="116">
        <v>126</v>
      </c>
      <c r="Q2177" s="116">
        <v>124.95</v>
      </c>
      <c r="R2177">
        <v>24455932</v>
      </c>
    </row>
    <row r="2178" spans="1:18" x14ac:dyDescent="0.25">
      <c r="A2178" s="170">
        <v>45211</v>
      </c>
      <c r="B2178" s="116">
        <v>126.9</v>
      </c>
      <c r="C2178" s="116">
        <v>125.85</v>
      </c>
      <c r="D2178" s="116">
        <v>125.15</v>
      </c>
      <c r="E2178" s="116">
        <v>125.85</v>
      </c>
      <c r="F2178" s="116">
        <v>125.85</v>
      </c>
      <c r="G2178">
        <v>1611668</v>
      </c>
      <c r="H2178" s="116"/>
      <c r="I2178" s="116"/>
      <c r="L2178" s="170">
        <v>45211</v>
      </c>
      <c r="M2178" s="116">
        <v>125.9</v>
      </c>
      <c r="N2178" s="116">
        <v>126.9</v>
      </c>
      <c r="O2178" s="116">
        <v>125.1</v>
      </c>
      <c r="P2178" s="116">
        <v>125.35</v>
      </c>
      <c r="Q2178" s="116">
        <v>125.9</v>
      </c>
      <c r="R2178">
        <v>19361688</v>
      </c>
    </row>
    <row r="2179" spans="1:18" x14ac:dyDescent="0.25">
      <c r="A2179" s="170">
        <v>45212</v>
      </c>
      <c r="B2179" s="116">
        <v>125.75</v>
      </c>
      <c r="C2179" s="116">
        <v>125</v>
      </c>
      <c r="D2179" s="116">
        <v>124.2</v>
      </c>
      <c r="E2179" s="116">
        <v>125.25</v>
      </c>
      <c r="F2179" s="116">
        <v>125</v>
      </c>
      <c r="G2179">
        <v>1304161</v>
      </c>
      <c r="H2179" s="116"/>
      <c r="I2179" s="116"/>
      <c r="L2179" s="170">
        <v>45212</v>
      </c>
      <c r="M2179" s="116">
        <v>125.05</v>
      </c>
      <c r="N2179" s="116">
        <v>125.75</v>
      </c>
      <c r="O2179" s="116">
        <v>124</v>
      </c>
      <c r="P2179" s="116">
        <v>125</v>
      </c>
      <c r="Q2179" s="116">
        <v>125.05</v>
      </c>
      <c r="R2179">
        <v>26912800</v>
      </c>
    </row>
    <row r="2180" spans="1:18" x14ac:dyDescent="0.25">
      <c r="A2180" s="170">
        <v>45215</v>
      </c>
      <c r="B2180" s="116">
        <v>127.25</v>
      </c>
      <c r="C2180" s="116">
        <v>127</v>
      </c>
      <c r="D2180" s="116">
        <v>125</v>
      </c>
      <c r="E2180" s="116">
        <v>125.1</v>
      </c>
      <c r="F2180" s="116">
        <v>127</v>
      </c>
      <c r="G2180">
        <v>1537794</v>
      </c>
      <c r="H2180" s="116"/>
      <c r="I2180" s="116"/>
      <c r="L2180" s="170">
        <v>45215</v>
      </c>
      <c r="M2180" s="116">
        <v>127</v>
      </c>
      <c r="N2180" s="116">
        <v>127.25</v>
      </c>
      <c r="O2180" s="116">
        <v>124.95</v>
      </c>
      <c r="P2180" s="116">
        <v>125.1</v>
      </c>
      <c r="Q2180" s="116">
        <v>127</v>
      </c>
      <c r="R2180">
        <v>23868700</v>
      </c>
    </row>
    <row r="2181" spans="1:18" x14ac:dyDescent="0.25">
      <c r="A2181" s="170">
        <v>45216</v>
      </c>
      <c r="B2181" s="116">
        <v>128.55000000000001</v>
      </c>
      <c r="C2181" s="116">
        <v>127.35</v>
      </c>
      <c r="D2181" s="116">
        <v>127.05</v>
      </c>
      <c r="E2181" s="116">
        <v>127.8</v>
      </c>
      <c r="F2181" s="116">
        <v>127.35</v>
      </c>
      <c r="G2181">
        <v>2368902</v>
      </c>
      <c r="H2181" s="116"/>
      <c r="I2181" s="116"/>
      <c r="L2181" s="170">
        <v>45216</v>
      </c>
      <c r="M2181" s="116">
        <v>127.4</v>
      </c>
      <c r="N2181" s="116">
        <v>128.55000000000001</v>
      </c>
      <c r="O2181" s="116">
        <v>127</v>
      </c>
      <c r="P2181" s="116">
        <v>127.9</v>
      </c>
      <c r="Q2181" s="116">
        <v>127.4</v>
      </c>
      <c r="R2181">
        <v>24241710</v>
      </c>
    </row>
    <row r="2182" spans="1:18" x14ac:dyDescent="0.25">
      <c r="A2182" s="170">
        <v>45217</v>
      </c>
      <c r="B2182" s="116">
        <v>128.75</v>
      </c>
      <c r="C2182" s="116">
        <v>127.1</v>
      </c>
      <c r="D2182" s="116">
        <v>126.65</v>
      </c>
      <c r="E2182" s="116">
        <v>128.25</v>
      </c>
      <c r="F2182" s="116">
        <v>127.1</v>
      </c>
      <c r="G2182">
        <v>1108103</v>
      </c>
      <c r="H2182" s="116"/>
      <c r="I2182" s="116"/>
      <c r="L2182" s="170">
        <v>45217</v>
      </c>
      <c r="M2182" s="116">
        <v>127.1</v>
      </c>
      <c r="N2182" s="116">
        <v>128.69999999999999</v>
      </c>
      <c r="O2182" s="116">
        <v>126.6</v>
      </c>
      <c r="P2182" s="116">
        <v>127.85</v>
      </c>
      <c r="Q2182" s="116">
        <v>127.1</v>
      </c>
      <c r="R2182">
        <v>20926079</v>
      </c>
    </row>
    <row r="2183" spans="1:18" x14ac:dyDescent="0.25">
      <c r="A2183" s="170">
        <v>45218</v>
      </c>
      <c r="B2183" s="116">
        <v>126.45</v>
      </c>
      <c r="C2183" s="116">
        <v>125.9</v>
      </c>
      <c r="D2183" s="116">
        <v>124.35</v>
      </c>
      <c r="E2183" s="116">
        <v>125.75</v>
      </c>
      <c r="F2183" s="116">
        <v>125.9</v>
      </c>
      <c r="G2183">
        <v>1703399</v>
      </c>
      <c r="H2183" s="116"/>
      <c r="I2183" s="116"/>
      <c r="L2183" s="170">
        <v>45218</v>
      </c>
      <c r="M2183" s="116">
        <v>126</v>
      </c>
      <c r="N2183" s="116">
        <v>126.5</v>
      </c>
      <c r="O2183" s="116">
        <v>124.35</v>
      </c>
      <c r="P2183" s="116">
        <v>125.5</v>
      </c>
      <c r="Q2183" s="116">
        <v>126</v>
      </c>
      <c r="R2183">
        <v>30941319</v>
      </c>
    </row>
    <row r="2184" spans="1:18" x14ac:dyDescent="0.25">
      <c r="A2184" s="170">
        <v>45219</v>
      </c>
      <c r="B2184" s="116">
        <v>125.75</v>
      </c>
      <c r="C2184" s="116">
        <v>123.1</v>
      </c>
      <c r="D2184" s="116">
        <v>122.8</v>
      </c>
      <c r="E2184" s="116">
        <v>125.1</v>
      </c>
      <c r="F2184" s="116">
        <v>123.1</v>
      </c>
      <c r="G2184">
        <v>1689714</v>
      </c>
      <c r="H2184" s="116"/>
      <c r="I2184" s="116"/>
      <c r="L2184" s="170">
        <v>45219</v>
      </c>
      <c r="M2184" s="116">
        <v>123.1</v>
      </c>
      <c r="N2184" s="116">
        <v>125.75</v>
      </c>
      <c r="O2184" s="116">
        <v>122.7</v>
      </c>
      <c r="P2184" s="116">
        <v>125</v>
      </c>
      <c r="Q2184" s="116">
        <v>123.1</v>
      </c>
      <c r="R2184">
        <v>30746140</v>
      </c>
    </row>
    <row r="2185" spans="1:18" x14ac:dyDescent="0.25">
      <c r="A2185" s="170">
        <v>45222</v>
      </c>
      <c r="B2185" s="116">
        <v>123.65</v>
      </c>
      <c r="C2185" s="116">
        <v>120</v>
      </c>
      <c r="D2185" s="116">
        <v>119.7</v>
      </c>
      <c r="E2185" s="116">
        <v>123.65</v>
      </c>
      <c r="F2185" s="116">
        <v>120</v>
      </c>
      <c r="G2185">
        <v>2554449</v>
      </c>
      <c r="H2185" s="116"/>
      <c r="I2185" s="116"/>
      <c r="L2185" s="170">
        <v>45222</v>
      </c>
      <c r="M2185" s="116">
        <v>120</v>
      </c>
      <c r="N2185" s="116">
        <v>123.4</v>
      </c>
      <c r="O2185" s="116">
        <v>119.7</v>
      </c>
      <c r="P2185" s="116">
        <v>123.35</v>
      </c>
      <c r="Q2185" s="116">
        <v>120</v>
      </c>
      <c r="R2185">
        <v>30699479</v>
      </c>
    </row>
    <row r="2186" spans="1:18" x14ac:dyDescent="0.25">
      <c r="A2186" s="170">
        <v>45224</v>
      </c>
      <c r="B2186" s="116">
        <v>122.8</v>
      </c>
      <c r="C2186" s="116">
        <v>121.35</v>
      </c>
      <c r="D2186" s="116">
        <v>120.5</v>
      </c>
      <c r="E2186" s="116">
        <v>120.5</v>
      </c>
      <c r="F2186" s="116">
        <v>121.35</v>
      </c>
      <c r="G2186">
        <v>2107116</v>
      </c>
      <c r="H2186" s="116"/>
      <c r="I2186" s="116"/>
      <c r="L2186" s="170">
        <v>45224</v>
      </c>
      <c r="M2186" s="116">
        <v>121.35</v>
      </c>
      <c r="N2186" s="116">
        <v>122.8</v>
      </c>
      <c r="O2186" s="116">
        <v>120.75</v>
      </c>
      <c r="P2186" s="116">
        <v>121.2</v>
      </c>
      <c r="Q2186" s="116">
        <v>121.35</v>
      </c>
      <c r="R2186">
        <v>27346103</v>
      </c>
    </row>
    <row r="2187" spans="1:18" x14ac:dyDescent="0.25">
      <c r="A2187" s="170">
        <v>45225</v>
      </c>
      <c r="B2187" s="116">
        <v>121.2</v>
      </c>
      <c r="C2187" s="116">
        <v>119.9</v>
      </c>
      <c r="D2187" s="116">
        <v>118.85</v>
      </c>
      <c r="E2187" s="116">
        <v>121.2</v>
      </c>
      <c r="F2187" s="116">
        <v>119.9</v>
      </c>
      <c r="G2187">
        <v>2743566</v>
      </c>
      <c r="H2187" s="116"/>
      <c r="I2187" s="116"/>
      <c r="L2187" s="170">
        <v>45225</v>
      </c>
      <c r="M2187" s="116">
        <v>119.9</v>
      </c>
      <c r="N2187" s="116">
        <v>120.9</v>
      </c>
      <c r="O2187" s="116">
        <v>118.9</v>
      </c>
      <c r="P2187" s="116">
        <v>120.85</v>
      </c>
      <c r="Q2187" s="116">
        <v>119.9</v>
      </c>
      <c r="R2187">
        <v>36298907</v>
      </c>
    </row>
    <row r="2188" spans="1:18" x14ac:dyDescent="0.25">
      <c r="A2188" s="170">
        <v>45226</v>
      </c>
      <c r="B2188" s="116">
        <v>121.65</v>
      </c>
      <c r="C2188" s="116">
        <v>119.9</v>
      </c>
      <c r="D2188" s="116">
        <v>119.5</v>
      </c>
      <c r="E2188" s="116">
        <v>120.3</v>
      </c>
      <c r="F2188" s="116">
        <v>119.9</v>
      </c>
      <c r="G2188">
        <v>2041378</v>
      </c>
      <c r="H2188" s="116"/>
      <c r="I2188" s="116"/>
      <c r="L2188" s="170">
        <v>45226</v>
      </c>
      <c r="M2188" s="116">
        <v>119.9</v>
      </c>
      <c r="N2188" s="116">
        <v>121.8</v>
      </c>
      <c r="O2188" s="116">
        <v>119.5</v>
      </c>
      <c r="P2188" s="116">
        <v>120.5</v>
      </c>
      <c r="Q2188" s="116">
        <v>119.9</v>
      </c>
      <c r="R2188">
        <v>28424007</v>
      </c>
    </row>
    <row r="2189" spans="1:18" x14ac:dyDescent="0.25">
      <c r="A2189" s="170">
        <v>45229</v>
      </c>
      <c r="B2189" s="116">
        <v>121.25</v>
      </c>
      <c r="C2189" s="116">
        <v>119.15</v>
      </c>
      <c r="D2189" s="116">
        <v>118.95</v>
      </c>
      <c r="E2189" s="116">
        <v>121.05</v>
      </c>
      <c r="F2189" s="116">
        <v>119.15</v>
      </c>
      <c r="G2189">
        <v>1298388</v>
      </c>
      <c r="H2189" s="116"/>
      <c r="I2189" s="116"/>
      <c r="L2189" s="170">
        <v>45229</v>
      </c>
      <c r="M2189" s="116">
        <v>119.15</v>
      </c>
      <c r="N2189" s="116">
        <v>121.25</v>
      </c>
      <c r="O2189" s="116">
        <v>118.95</v>
      </c>
      <c r="P2189" s="116">
        <v>121.05</v>
      </c>
      <c r="Q2189" s="116">
        <v>119.15</v>
      </c>
      <c r="R2189">
        <v>18753217</v>
      </c>
    </row>
    <row r="2190" spans="1:18" x14ac:dyDescent="0.25">
      <c r="A2190" s="170">
        <v>45230</v>
      </c>
      <c r="B2190" s="116">
        <v>120.15</v>
      </c>
      <c r="C2190" s="116">
        <v>118.75</v>
      </c>
      <c r="D2190" s="116">
        <v>118.4</v>
      </c>
      <c r="E2190" s="116">
        <v>119.75</v>
      </c>
      <c r="F2190" s="116">
        <v>118.75</v>
      </c>
      <c r="G2190">
        <v>1379525</v>
      </c>
      <c r="H2190" s="116"/>
      <c r="I2190" s="116"/>
      <c r="L2190" s="170">
        <v>45230</v>
      </c>
      <c r="M2190" s="116">
        <v>118.75</v>
      </c>
      <c r="N2190" s="116">
        <v>120.15</v>
      </c>
      <c r="O2190" s="116">
        <v>118.4</v>
      </c>
      <c r="P2190" s="116">
        <v>120</v>
      </c>
      <c r="Q2190" s="116">
        <v>118.75</v>
      </c>
      <c r="R2190">
        <v>22319950</v>
      </c>
    </row>
    <row r="2191" spans="1:18" x14ac:dyDescent="0.25">
      <c r="A2191" s="170">
        <v>45231</v>
      </c>
      <c r="B2191" s="116">
        <v>119.1</v>
      </c>
      <c r="C2191" s="116">
        <v>116.6</v>
      </c>
      <c r="D2191" s="116">
        <v>116</v>
      </c>
      <c r="E2191" s="116">
        <v>119</v>
      </c>
      <c r="F2191" s="116">
        <v>116.6</v>
      </c>
      <c r="G2191">
        <v>1913164</v>
      </c>
      <c r="H2191" s="116"/>
      <c r="I2191" s="116"/>
      <c r="L2191" s="170">
        <v>45231</v>
      </c>
      <c r="M2191" s="116">
        <v>116.6</v>
      </c>
      <c r="N2191" s="116">
        <v>119.1</v>
      </c>
      <c r="O2191" s="116">
        <v>116</v>
      </c>
      <c r="P2191" s="116">
        <v>119</v>
      </c>
      <c r="Q2191" s="116">
        <v>116.6</v>
      </c>
      <c r="R2191">
        <v>24717941</v>
      </c>
    </row>
    <row r="2192" spans="1:18" x14ac:dyDescent="0.25">
      <c r="A2192" s="170">
        <v>45232</v>
      </c>
      <c r="B2192" s="116">
        <v>118.6</v>
      </c>
      <c r="C2192" s="116">
        <v>118.15</v>
      </c>
      <c r="D2192" s="116">
        <v>114.25</v>
      </c>
      <c r="E2192" s="116">
        <v>114.25</v>
      </c>
      <c r="F2192" s="116">
        <v>118.15</v>
      </c>
      <c r="G2192">
        <v>2771553</v>
      </c>
      <c r="H2192" s="116"/>
      <c r="I2192" s="116"/>
      <c r="L2192" s="170">
        <v>45232</v>
      </c>
      <c r="M2192" s="116">
        <v>118.1</v>
      </c>
      <c r="N2192" s="116">
        <v>118.55</v>
      </c>
      <c r="O2192" s="116">
        <v>114.6</v>
      </c>
      <c r="P2192" s="116">
        <v>114.6</v>
      </c>
      <c r="Q2192" s="116">
        <v>118.1</v>
      </c>
      <c r="R2192">
        <v>72538804</v>
      </c>
    </row>
    <row r="2193" spans="1:18" x14ac:dyDescent="0.25">
      <c r="A2193" s="170">
        <v>45233</v>
      </c>
      <c r="B2193" s="116">
        <v>118.6</v>
      </c>
      <c r="C2193" s="116">
        <v>117.3</v>
      </c>
      <c r="D2193" s="116">
        <v>117.05</v>
      </c>
      <c r="E2193" s="116">
        <v>118.3</v>
      </c>
      <c r="F2193" s="116">
        <v>117.3</v>
      </c>
      <c r="G2193">
        <v>3973112</v>
      </c>
      <c r="H2193" s="116"/>
      <c r="I2193" s="116"/>
      <c r="L2193" s="170">
        <v>45233</v>
      </c>
      <c r="M2193" s="116">
        <v>117.3</v>
      </c>
      <c r="N2193" s="116">
        <v>118.6</v>
      </c>
      <c r="O2193" s="116">
        <v>117.1</v>
      </c>
      <c r="P2193" s="116">
        <v>118.2</v>
      </c>
      <c r="Q2193" s="116">
        <v>117.3</v>
      </c>
      <c r="R2193">
        <v>31747230</v>
      </c>
    </row>
    <row r="2194" spans="1:18" x14ac:dyDescent="0.25">
      <c r="A2194" s="170">
        <v>45236</v>
      </c>
      <c r="B2194" s="116">
        <v>119.65</v>
      </c>
      <c r="C2194" s="116">
        <v>119.4</v>
      </c>
      <c r="D2194" s="116">
        <v>117.5</v>
      </c>
      <c r="E2194" s="116">
        <v>118.9</v>
      </c>
      <c r="F2194" s="116">
        <v>119.4</v>
      </c>
      <c r="G2194">
        <v>2088729</v>
      </c>
      <c r="H2194" s="116"/>
      <c r="I2194" s="116"/>
      <c r="L2194" s="170">
        <v>45236</v>
      </c>
      <c r="M2194" s="116">
        <v>119.4</v>
      </c>
      <c r="N2194" s="116">
        <v>119.65</v>
      </c>
      <c r="O2194" s="116">
        <v>117.5</v>
      </c>
      <c r="P2194" s="116">
        <v>118.5</v>
      </c>
      <c r="Q2194" s="116">
        <v>119.4</v>
      </c>
      <c r="R2194">
        <v>27883152</v>
      </c>
    </row>
    <row r="2195" spans="1:18" x14ac:dyDescent="0.25">
      <c r="A2195" s="170">
        <v>45237</v>
      </c>
      <c r="B2195" s="116">
        <v>120.2</v>
      </c>
      <c r="C2195" s="116">
        <v>119.75</v>
      </c>
      <c r="D2195" s="116">
        <v>118.4</v>
      </c>
      <c r="E2195" s="116">
        <v>119.4</v>
      </c>
      <c r="F2195" s="116">
        <v>119.75</v>
      </c>
      <c r="G2195">
        <v>2208138</v>
      </c>
      <c r="H2195" s="116"/>
      <c r="I2195" s="116"/>
      <c r="L2195" s="170">
        <v>45237</v>
      </c>
      <c r="M2195" s="116">
        <v>119.65</v>
      </c>
      <c r="N2195" s="116">
        <v>120.2</v>
      </c>
      <c r="O2195" s="116">
        <v>118.4</v>
      </c>
      <c r="P2195" s="116">
        <v>119.3</v>
      </c>
      <c r="Q2195" s="116">
        <v>119.65</v>
      </c>
      <c r="R2195">
        <v>25818033</v>
      </c>
    </row>
    <row r="2196" spans="1:18" x14ac:dyDescent="0.25">
      <c r="A2196" s="170">
        <v>45238</v>
      </c>
      <c r="B2196" s="116">
        <v>120.45</v>
      </c>
      <c r="C2196" s="116">
        <v>119.05</v>
      </c>
      <c r="D2196" s="116">
        <v>118.55</v>
      </c>
      <c r="E2196" s="116">
        <v>119.95</v>
      </c>
      <c r="F2196" s="116">
        <v>119.05</v>
      </c>
      <c r="G2196">
        <v>1440860</v>
      </c>
      <c r="H2196" s="116"/>
      <c r="I2196" s="116"/>
      <c r="L2196" s="170">
        <v>45238</v>
      </c>
      <c r="M2196" s="116">
        <v>119.05</v>
      </c>
      <c r="N2196" s="116">
        <v>120.5</v>
      </c>
      <c r="O2196" s="116">
        <v>118.55</v>
      </c>
      <c r="P2196" s="116">
        <v>119.75</v>
      </c>
      <c r="Q2196" s="116">
        <v>119.05</v>
      </c>
      <c r="R2196">
        <v>22552386</v>
      </c>
    </row>
    <row r="2197" spans="1:18" x14ac:dyDescent="0.25">
      <c r="A2197" s="170">
        <v>45239</v>
      </c>
      <c r="B2197" s="116">
        <v>120.5</v>
      </c>
      <c r="C2197" s="116">
        <v>119.7</v>
      </c>
      <c r="D2197" s="116">
        <v>118.85</v>
      </c>
      <c r="E2197" s="116">
        <v>119.4</v>
      </c>
      <c r="F2197" s="116">
        <v>119.7</v>
      </c>
      <c r="G2197">
        <v>1420493</v>
      </c>
      <c r="H2197" s="116"/>
      <c r="I2197" s="116"/>
      <c r="L2197" s="170">
        <v>45239</v>
      </c>
      <c r="M2197" s="116">
        <v>119.65</v>
      </c>
      <c r="N2197" s="116">
        <v>120.5</v>
      </c>
      <c r="O2197" s="116">
        <v>118.85</v>
      </c>
      <c r="P2197" s="116">
        <v>119.2</v>
      </c>
      <c r="Q2197" s="116">
        <v>119.65</v>
      </c>
      <c r="R2197">
        <v>22979112</v>
      </c>
    </row>
    <row r="2198" spans="1:18" x14ac:dyDescent="0.25">
      <c r="A2198" s="170">
        <v>45240</v>
      </c>
      <c r="B2198" s="116">
        <v>120.45</v>
      </c>
      <c r="C2198" s="116">
        <v>120.1</v>
      </c>
      <c r="D2198" s="116">
        <v>118.8</v>
      </c>
      <c r="E2198" s="116">
        <v>119.65</v>
      </c>
      <c r="F2198" s="116">
        <v>120.1</v>
      </c>
      <c r="G2198">
        <v>2705132</v>
      </c>
      <c r="H2198" s="116"/>
      <c r="I2198" s="116"/>
      <c r="L2198" s="170">
        <v>45240</v>
      </c>
      <c r="M2198" s="116">
        <v>120.05</v>
      </c>
      <c r="N2198" s="116">
        <v>120.45</v>
      </c>
      <c r="O2198" s="116">
        <v>118.8</v>
      </c>
      <c r="P2198" s="116">
        <v>119.5</v>
      </c>
      <c r="Q2198" s="116">
        <v>120.05</v>
      </c>
      <c r="R2198">
        <v>23584510</v>
      </c>
    </row>
    <row r="2199" spans="1:18" x14ac:dyDescent="0.25">
      <c r="A2199" s="170">
        <v>45242</v>
      </c>
      <c r="B2199" s="116">
        <v>121.9</v>
      </c>
      <c r="C2199" s="116">
        <v>120.85</v>
      </c>
      <c r="D2199" s="116">
        <v>120.6</v>
      </c>
      <c r="E2199" s="116">
        <v>121.9</v>
      </c>
      <c r="F2199" s="116">
        <v>120.85</v>
      </c>
      <c r="G2199">
        <v>605381</v>
      </c>
      <c r="H2199" s="116"/>
      <c r="I2199" s="116"/>
      <c r="L2199" s="170">
        <v>45242</v>
      </c>
      <c r="M2199" s="116">
        <v>120.85</v>
      </c>
      <c r="N2199" s="116">
        <v>121.6</v>
      </c>
      <c r="O2199" s="116">
        <v>120.6</v>
      </c>
      <c r="P2199" s="116">
        <v>121.6</v>
      </c>
      <c r="Q2199" s="116">
        <v>120.85</v>
      </c>
      <c r="R2199">
        <v>3984034</v>
      </c>
    </row>
    <row r="2200" spans="1:18" x14ac:dyDescent="0.25">
      <c r="A2200" s="170">
        <v>45243</v>
      </c>
      <c r="B2200" s="116">
        <v>121.25</v>
      </c>
      <c r="C2200" s="116">
        <v>120.95</v>
      </c>
      <c r="D2200" s="116">
        <v>119.95</v>
      </c>
      <c r="E2200" s="116">
        <v>121</v>
      </c>
      <c r="F2200" s="116">
        <v>120.95</v>
      </c>
      <c r="G2200">
        <v>1359236</v>
      </c>
      <c r="H2200" s="116"/>
      <c r="I2200" s="116"/>
      <c r="L2200" s="170">
        <v>45243</v>
      </c>
      <c r="M2200" s="116">
        <v>121</v>
      </c>
      <c r="N2200" s="116">
        <v>121.25</v>
      </c>
      <c r="O2200" s="116">
        <v>119.9</v>
      </c>
      <c r="P2200" s="116">
        <v>120.85</v>
      </c>
      <c r="Q2200" s="116">
        <v>121</v>
      </c>
      <c r="R2200">
        <v>17951775</v>
      </c>
    </row>
    <row r="2201" spans="1:18" x14ac:dyDescent="0.25">
      <c r="A2201" s="170">
        <v>45245</v>
      </c>
      <c r="B2201" s="116">
        <v>124.35</v>
      </c>
      <c r="C2201" s="116">
        <v>124</v>
      </c>
      <c r="D2201" s="116">
        <v>121.55</v>
      </c>
      <c r="E2201" s="116">
        <v>121.55</v>
      </c>
      <c r="F2201" s="116">
        <v>124</v>
      </c>
      <c r="G2201">
        <v>1705165</v>
      </c>
      <c r="H2201" s="116"/>
      <c r="I2201" s="116"/>
      <c r="L2201" s="170">
        <v>45245</v>
      </c>
      <c r="M2201" s="116">
        <v>124.05</v>
      </c>
      <c r="N2201" s="116">
        <v>124.4</v>
      </c>
      <c r="O2201" s="116">
        <v>121.5</v>
      </c>
      <c r="P2201" s="116">
        <v>121.7</v>
      </c>
      <c r="Q2201" s="116">
        <v>124.05</v>
      </c>
      <c r="R2201">
        <v>38344393</v>
      </c>
    </row>
    <row r="2202" spans="1:18" x14ac:dyDescent="0.25">
      <c r="A2202" s="170">
        <v>45246</v>
      </c>
      <c r="B2202" s="116">
        <v>125.25</v>
      </c>
      <c r="C2202" s="116">
        <v>124.7</v>
      </c>
      <c r="D2202" s="116">
        <v>123</v>
      </c>
      <c r="E2202" s="116">
        <v>124</v>
      </c>
      <c r="F2202" s="116">
        <v>124.7</v>
      </c>
      <c r="G2202">
        <v>1185311</v>
      </c>
      <c r="H2202" s="116"/>
      <c r="I2202" s="116"/>
      <c r="L2202" s="170">
        <v>45246</v>
      </c>
      <c r="M2202" s="116">
        <v>124.7</v>
      </c>
      <c r="N2202" s="116">
        <v>125.25</v>
      </c>
      <c r="O2202" s="116">
        <v>123</v>
      </c>
      <c r="P2202" s="116">
        <v>124</v>
      </c>
      <c r="Q2202" s="116">
        <v>124.7</v>
      </c>
      <c r="R2202">
        <v>30836413</v>
      </c>
    </row>
    <row r="2203" spans="1:18" x14ac:dyDescent="0.25">
      <c r="A2203" s="170">
        <v>45247</v>
      </c>
      <c r="B2203" s="116">
        <v>126</v>
      </c>
      <c r="C2203" s="116">
        <v>125.15</v>
      </c>
      <c r="D2203" s="116">
        <v>124.3</v>
      </c>
      <c r="E2203" s="116">
        <v>124.7</v>
      </c>
      <c r="F2203" s="116">
        <v>125.15</v>
      </c>
      <c r="G2203">
        <v>2648173</v>
      </c>
      <c r="H2203" s="116"/>
      <c r="I2203" s="116"/>
      <c r="L2203" s="170">
        <v>45247</v>
      </c>
      <c r="M2203" s="116">
        <v>125.2</v>
      </c>
      <c r="N2203" s="116">
        <v>125.75</v>
      </c>
      <c r="O2203" s="116">
        <v>124.3</v>
      </c>
      <c r="P2203" s="116">
        <v>124.7</v>
      </c>
      <c r="Q2203" s="116">
        <v>125.2</v>
      </c>
      <c r="R2203">
        <v>23319439</v>
      </c>
    </row>
    <row r="2204" spans="1:18" x14ac:dyDescent="0.25">
      <c r="A2204" s="170">
        <v>45250</v>
      </c>
      <c r="B2204" s="116">
        <v>125.65</v>
      </c>
      <c r="C2204" s="116">
        <v>124.45</v>
      </c>
      <c r="D2204" s="116">
        <v>124.05</v>
      </c>
      <c r="E2204" s="116">
        <v>125.15</v>
      </c>
      <c r="F2204" s="116">
        <v>124.45</v>
      </c>
      <c r="G2204">
        <v>1762582</v>
      </c>
      <c r="H2204" s="116"/>
      <c r="I2204" s="116"/>
      <c r="L2204" s="170">
        <v>45250</v>
      </c>
      <c r="M2204" s="116">
        <v>124.35</v>
      </c>
      <c r="N2204" s="116">
        <v>125.65</v>
      </c>
      <c r="O2204" s="116">
        <v>124.05</v>
      </c>
      <c r="P2204" s="116">
        <v>125.05</v>
      </c>
      <c r="Q2204" s="116">
        <v>124.35</v>
      </c>
      <c r="R2204">
        <v>18780290</v>
      </c>
    </row>
    <row r="2205" spans="1:18" x14ac:dyDescent="0.25">
      <c r="A2205" s="170">
        <v>45251</v>
      </c>
      <c r="B2205" s="116">
        <v>126.35</v>
      </c>
      <c r="C2205" s="116">
        <v>126.25</v>
      </c>
      <c r="D2205" s="116">
        <v>124.95</v>
      </c>
      <c r="E2205" s="116">
        <v>124.95</v>
      </c>
      <c r="F2205" s="116">
        <v>126.25</v>
      </c>
      <c r="G2205">
        <v>2619204</v>
      </c>
      <c r="H2205" s="116"/>
      <c r="I2205" s="116"/>
      <c r="L2205" s="170">
        <v>45251</v>
      </c>
      <c r="M2205" s="116">
        <v>126.25</v>
      </c>
      <c r="N2205" s="116">
        <v>126.4</v>
      </c>
      <c r="O2205" s="116">
        <v>124.95</v>
      </c>
      <c r="P2205" s="116">
        <v>125.05</v>
      </c>
      <c r="Q2205" s="116">
        <v>126.25</v>
      </c>
      <c r="R2205">
        <v>29643312</v>
      </c>
    </row>
    <row r="2206" spans="1:18" x14ac:dyDescent="0.25">
      <c r="A2206" s="170">
        <v>45252</v>
      </c>
      <c r="B2206" s="116">
        <v>126.9</v>
      </c>
      <c r="C2206" s="116">
        <v>126.1</v>
      </c>
      <c r="D2206" s="116">
        <v>125.4</v>
      </c>
      <c r="E2206" s="116">
        <v>126.5</v>
      </c>
      <c r="F2206" s="116">
        <v>126.1</v>
      </c>
      <c r="G2206">
        <v>1402959</v>
      </c>
      <c r="H2206" s="116"/>
      <c r="I2206" s="116"/>
      <c r="L2206" s="170">
        <v>45252</v>
      </c>
      <c r="M2206" s="116">
        <v>126.1</v>
      </c>
      <c r="N2206" s="116">
        <v>126.9</v>
      </c>
      <c r="O2206" s="116">
        <v>125.5</v>
      </c>
      <c r="P2206" s="116">
        <v>126.4</v>
      </c>
      <c r="Q2206" s="116">
        <v>126.1</v>
      </c>
      <c r="R2206">
        <v>19588063</v>
      </c>
    </row>
    <row r="2207" spans="1:18" x14ac:dyDescent="0.25">
      <c r="A2207" s="170">
        <v>45253</v>
      </c>
      <c r="B2207" s="116">
        <v>127.4</v>
      </c>
      <c r="C2207" s="116">
        <v>126.7</v>
      </c>
      <c r="D2207" s="116">
        <v>125.9</v>
      </c>
      <c r="E2207" s="116">
        <v>126.2</v>
      </c>
      <c r="F2207" s="116">
        <v>126.7</v>
      </c>
      <c r="G2207">
        <v>3489392</v>
      </c>
      <c r="H2207" s="116"/>
      <c r="I2207" s="116"/>
      <c r="L2207" s="170">
        <v>45253</v>
      </c>
      <c r="M2207" s="116">
        <v>126.7</v>
      </c>
      <c r="N2207" s="116">
        <v>127.4</v>
      </c>
      <c r="O2207" s="116">
        <v>125.9</v>
      </c>
      <c r="P2207" s="116">
        <v>126.35</v>
      </c>
      <c r="Q2207" s="116">
        <v>126.7</v>
      </c>
      <c r="R2207">
        <v>30736851</v>
      </c>
    </row>
    <row r="2208" spans="1:18" x14ac:dyDescent="0.25">
      <c r="A2208" s="170">
        <v>45254</v>
      </c>
      <c r="B2208" s="116">
        <v>127.05</v>
      </c>
      <c r="C2208" s="116">
        <v>125.9</v>
      </c>
      <c r="D2208" s="116">
        <v>125.55</v>
      </c>
      <c r="E2208" s="116">
        <v>126.6</v>
      </c>
      <c r="F2208" s="116">
        <v>125.9</v>
      </c>
      <c r="G2208">
        <v>1396606</v>
      </c>
      <c r="H2208" s="116"/>
      <c r="I2208" s="116"/>
      <c r="L2208" s="170">
        <v>45254</v>
      </c>
      <c r="M2208" s="116">
        <v>125.95</v>
      </c>
      <c r="N2208" s="116">
        <v>127</v>
      </c>
      <c r="O2208" s="116">
        <v>125.55</v>
      </c>
      <c r="P2208" s="116">
        <v>126.7</v>
      </c>
      <c r="Q2208" s="116">
        <v>125.95</v>
      </c>
      <c r="R2208">
        <v>14719450</v>
      </c>
    </row>
    <row r="2209" spans="1:18" x14ac:dyDescent="0.25">
      <c r="A2209" s="170">
        <v>45258</v>
      </c>
      <c r="B2209" s="116">
        <v>127</v>
      </c>
      <c r="C2209" s="116">
        <v>126.85</v>
      </c>
      <c r="D2209" s="116">
        <v>126</v>
      </c>
      <c r="E2209" s="116">
        <v>126.75</v>
      </c>
      <c r="F2209" s="116">
        <v>126.85</v>
      </c>
      <c r="G2209">
        <v>798107</v>
      </c>
      <c r="H2209" s="116"/>
      <c r="I2209" s="116"/>
      <c r="L2209" s="170">
        <v>45258</v>
      </c>
      <c r="M2209" s="116">
        <v>126.85</v>
      </c>
      <c r="N2209" s="116">
        <v>127</v>
      </c>
      <c r="O2209" s="116">
        <v>126</v>
      </c>
      <c r="P2209" s="116">
        <v>127</v>
      </c>
      <c r="Q2209" s="116">
        <v>126.85</v>
      </c>
      <c r="R2209">
        <v>18377843</v>
      </c>
    </row>
    <row r="2210" spans="1:18" x14ac:dyDescent="0.25">
      <c r="A2210" s="170">
        <v>45259</v>
      </c>
      <c r="B2210" s="116">
        <v>128.15</v>
      </c>
      <c r="C2210" s="116">
        <v>127.7</v>
      </c>
      <c r="D2210" s="116">
        <v>126.75</v>
      </c>
      <c r="E2210" s="116">
        <v>127.05</v>
      </c>
      <c r="F2210" s="116">
        <v>127.7</v>
      </c>
      <c r="G2210">
        <v>1615708</v>
      </c>
      <c r="H2210" s="116"/>
      <c r="I2210" s="116"/>
      <c r="L2210" s="170">
        <v>45259</v>
      </c>
      <c r="M2210" s="116">
        <v>127.75</v>
      </c>
      <c r="N2210" s="116">
        <v>128.15</v>
      </c>
      <c r="O2210" s="116">
        <v>126.7</v>
      </c>
      <c r="P2210" s="116">
        <v>127.15</v>
      </c>
      <c r="Q2210" s="116">
        <v>127.75</v>
      </c>
      <c r="R2210">
        <v>23092165</v>
      </c>
    </row>
    <row r="2211" spans="1:18" x14ac:dyDescent="0.25">
      <c r="A2211" s="170">
        <v>45260</v>
      </c>
      <c r="B2211" s="116">
        <v>128.80000000000001</v>
      </c>
      <c r="C2211" s="116">
        <v>127.95</v>
      </c>
      <c r="D2211" s="116">
        <v>126.5</v>
      </c>
      <c r="E2211" s="116">
        <v>127.95</v>
      </c>
      <c r="F2211" s="116">
        <v>127.95</v>
      </c>
      <c r="G2211">
        <v>1005356</v>
      </c>
      <c r="H2211" s="116"/>
      <c r="I2211" s="116"/>
      <c r="L2211" s="170">
        <v>45260</v>
      </c>
      <c r="M2211" s="116">
        <v>127.9</v>
      </c>
      <c r="N2211" s="116">
        <v>128.85</v>
      </c>
      <c r="O2211" s="116">
        <v>126.5</v>
      </c>
      <c r="P2211" s="116">
        <v>127.8</v>
      </c>
      <c r="Q2211" s="116">
        <v>127.9</v>
      </c>
      <c r="R2211">
        <v>40165104</v>
      </c>
    </row>
    <row r="2212" spans="1:18" x14ac:dyDescent="0.25">
      <c r="A2212" s="170">
        <v>45261</v>
      </c>
      <c r="B2212" s="116">
        <v>130.35</v>
      </c>
      <c r="C2212" s="116">
        <v>129.94999999999999</v>
      </c>
      <c r="D2212" s="116">
        <v>127.95</v>
      </c>
      <c r="E2212" s="116">
        <v>128.6</v>
      </c>
      <c r="F2212" s="116">
        <v>129.94999999999999</v>
      </c>
      <c r="G2212">
        <v>4003538</v>
      </c>
      <c r="H2212" s="116"/>
      <c r="I2212" s="116"/>
      <c r="L2212" s="170">
        <v>45261</v>
      </c>
      <c r="M2212" s="116">
        <v>130</v>
      </c>
      <c r="N2212" s="116">
        <v>130.30000000000001</v>
      </c>
      <c r="O2212" s="116">
        <v>128.05000000000001</v>
      </c>
      <c r="P2212" s="116">
        <v>128.9</v>
      </c>
      <c r="Q2212" s="116">
        <v>130</v>
      </c>
      <c r="R2212">
        <v>31192397</v>
      </c>
    </row>
    <row r="2213" spans="1:18" x14ac:dyDescent="0.25">
      <c r="A2213" s="170">
        <v>45264</v>
      </c>
      <c r="B2213" s="116">
        <v>132.44999999999999</v>
      </c>
      <c r="C2213" s="116">
        <v>130.94999999999999</v>
      </c>
      <c r="D2213" s="116">
        <v>130.4</v>
      </c>
      <c r="E2213" s="116">
        <v>132.44999999999999</v>
      </c>
      <c r="F2213" s="116">
        <v>130.94999999999999</v>
      </c>
      <c r="G2213">
        <v>1672484</v>
      </c>
      <c r="H2213" s="116"/>
      <c r="I2213" s="116"/>
      <c r="L2213" s="170">
        <v>45264</v>
      </c>
      <c r="M2213" s="116">
        <v>131</v>
      </c>
      <c r="N2213" s="116">
        <v>132.35</v>
      </c>
      <c r="O2213" s="116">
        <v>130.4</v>
      </c>
      <c r="P2213" s="116">
        <v>132.19999999999999</v>
      </c>
      <c r="Q2213" s="116">
        <v>131</v>
      </c>
      <c r="R2213">
        <v>41230928</v>
      </c>
    </row>
    <row r="2214" spans="1:18" x14ac:dyDescent="0.25">
      <c r="A2214" s="170">
        <v>45265</v>
      </c>
      <c r="B2214" s="116">
        <v>132.5</v>
      </c>
      <c r="C2214" s="116">
        <v>131.6</v>
      </c>
      <c r="D2214" s="116">
        <v>130</v>
      </c>
      <c r="E2214" s="116">
        <v>131.15</v>
      </c>
      <c r="F2214" s="116">
        <v>131.6</v>
      </c>
      <c r="G2214">
        <v>1358781</v>
      </c>
      <c r="H2214" s="116"/>
      <c r="I2214" s="116"/>
      <c r="L2214" s="170">
        <v>45265</v>
      </c>
      <c r="M2214" s="116">
        <v>131.6</v>
      </c>
      <c r="N2214" s="116">
        <v>132.44999999999999</v>
      </c>
      <c r="O2214" s="116">
        <v>130</v>
      </c>
      <c r="P2214" s="116">
        <v>131</v>
      </c>
      <c r="Q2214" s="116">
        <v>131.6</v>
      </c>
      <c r="R2214">
        <v>35192149</v>
      </c>
    </row>
    <row r="2215" spans="1:18" x14ac:dyDescent="0.25">
      <c r="A2215" s="170">
        <v>45266</v>
      </c>
      <c r="B2215" s="116">
        <v>133.35</v>
      </c>
      <c r="C2215" s="116">
        <v>131.80000000000001</v>
      </c>
      <c r="D2215" s="116">
        <v>130.80000000000001</v>
      </c>
      <c r="E2215" s="116">
        <v>132.25</v>
      </c>
      <c r="F2215" s="116">
        <v>131.80000000000001</v>
      </c>
      <c r="G2215">
        <v>4085995</v>
      </c>
      <c r="H2215" s="116"/>
      <c r="I2215" s="116"/>
      <c r="L2215" s="170">
        <v>45266</v>
      </c>
      <c r="M2215" s="116">
        <v>131.85</v>
      </c>
      <c r="N2215" s="116">
        <v>133.4</v>
      </c>
      <c r="O2215" s="116">
        <v>130.80000000000001</v>
      </c>
      <c r="P2215" s="116">
        <v>132.5</v>
      </c>
      <c r="Q2215" s="116">
        <v>131.85</v>
      </c>
      <c r="R2215">
        <v>40753593</v>
      </c>
    </row>
    <row r="2216" spans="1:18" x14ac:dyDescent="0.25">
      <c r="A2216" s="170">
        <v>45267</v>
      </c>
      <c r="B2216" s="116">
        <v>132.19999999999999</v>
      </c>
      <c r="C2216" s="116">
        <v>130</v>
      </c>
      <c r="D2216" s="116">
        <v>129.75</v>
      </c>
      <c r="E2216" s="116">
        <v>131.94999999999999</v>
      </c>
      <c r="F2216" s="116">
        <v>130</v>
      </c>
      <c r="G2216">
        <v>1540920</v>
      </c>
      <c r="H2216" s="116"/>
      <c r="I2216" s="116"/>
      <c r="L2216" s="170">
        <v>45267</v>
      </c>
      <c r="M2216" s="116">
        <v>130</v>
      </c>
      <c r="N2216" s="116">
        <v>132.19999999999999</v>
      </c>
      <c r="O2216" s="116">
        <v>129.80000000000001</v>
      </c>
      <c r="P2216" s="116">
        <v>131.69999999999999</v>
      </c>
      <c r="Q2216" s="116">
        <v>130</v>
      </c>
      <c r="R2216">
        <v>34686333</v>
      </c>
    </row>
    <row r="2217" spans="1:18" x14ac:dyDescent="0.25">
      <c r="A2217" s="170">
        <v>45268</v>
      </c>
      <c r="B2217" s="116">
        <v>131.4</v>
      </c>
      <c r="C2217" s="116">
        <v>129.19999999999999</v>
      </c>
      <c r="D2217" s="116">
        <v>127.9</v>
      </c>
      <c r="E2217" s="116">
        <v>130.35</v>
      </c>
      <c r="F2217" s="116">
        <v>129.19999999999999</v>
      </c>
      <c r="G2217">
        <v>3449091</v>
      </c>
      <c r="H2217" s="116"/>
      <c r="I2217" s="116"/>
      <c r="L2217" s="170">
        <v>45268</v>
      </c>
      <c r="M2217" s="116">
        <v>129.19999999999999</v>
      </c>
      <c r="N2217" s="116">
        <v>131.4</v>
      </c>
      <c r="O2217" s="116">
        <v>127.95</v>
      </c>
      <c r="P2217" s="116">
        <v>130.15</v>
      </c>
      <c r="Q2217" s="116">
        <v>129.19999999999999</v>
      </c>
      <c r="R2217">
        <v>34393711</v>
      </c>
    </row>
    <row r="2218" spans="1:18" x14ac:dyDescent="0.25">
      <c r="A2218" s="170">
        <v>45271</v>
      </c>
      <c r="B2218" s="116">
        <v>130.5</v>
      </c>
      <c r="C2218" s="116">
        <v>130.05000000000001</v>
      </c>
      <c r="D2218" s="116">
        <v>128.69999999999999</v>
      </c>
      <c r="E2218" s="116">
        <v>129.69999999999999</v>
      </c>
      <c r="F2218" s="116">
        <v>130.05000000000001</v>
      </c>
      <c r="G2218">
        <v>3329500</v>
      </c>
      <c r="H2218" s="116"/>
      <c r="I2218" s="116"/>
      <c r="L2218" s="170">
        <v>45271</v>
      </c>
      <c r="M2218" s="116">
        <v>130.05000000000001</v>
      </c>
      <c r="N2218" s="116">
        <v>130.5</v>
      </c>
      <c r="O2218" s="116">
        <v>128.75</v>
      </c>
      <c r="P2218" s="116">
        <v>129.85</v>
      </c>
      <c r="Q2218" s="116">
        <v>130.05000000000001</v>
      </c>
      <c r="R2218">
        <v>24038059</v>
      </c>
    </row>
    <row r="2219" spans="1:18" x14ac:dyDescent="0.25">
      <c r="A2219" s="170">
        <v>45272</v>
      </c>
      <c r="B2219" s="116">
        <v>132.1</v>
      </c>
      <c r="C2219" s="116">
        <v>130.15</v>
      </c>
      <c r="D2219" s="116">
        <v>129.69999999999999</v>
      </c>
      <c r="E2219" s="116">
        <v>130.1</v>
      </c>
      <c r="F2219" s="116">
        <v>130.15</v>
      </c>
      <c r="G2219">
        <v>2856346</v>
      </c>
      <c r="H2219" s="116"/>
      <c r="I2219" s="116"/>
      <c r="L2219" s="170">
        <v>45272</v>
      </c>
      <c r="M2219" s="116">
        <v>130.1</v>
      </c>
      <c r="N2219" s="116">
        <v>132.15</v>
      </c>
      <c r="O2219" s="116">
        <v>129.69999999999999</v>
      </c>
      <c r="P2219" s="116">
        <v>130.05000000000001</v>
      </c>
      <c r="Q2219" s="116">
        <v>130.1</v>
      </c>
      <c r="R2219">
        <v>30696410</v>
      </c>
    </row>
    <row r="2220" spans="1:18" x14ac:dyDescent="0.25">
      <c r="A2220" s="170">
        <v>45273</v>
      </c>
      <c r="B2220" s="116">
        <v>131.55000000000001</v>
      </c>
      <c r="C2220" s="116">
        <v>131.35</v>
      </c>
      <c r="D2220" s="116">
        <v>129.15</v>
      </c>
      <c r="E2220" s="116">
        <v>130.69999999999999</v>
      </c>
      <c r="F2220" s="116">
        <v>131.35</v>
      </c>
      <c r="G2220">
        <v>2500924</v>
      </c>
      <c r="H2220" s="116"/>
      <c r="I2220" s="116"/>
      <c r="L2220" s="170">
        <v>45273</v>
      </c>
      <c r="M2220" s="116">
        <v>131.4</v>
      </c>
      <c r="N2220" s="116">
        <v>131.5</v>
      </c>
      <c r="O2220" s="116">
        <v>129.15</v>
      </c>
      <c r="P2220" s="116">
        <v>130.55000000000001</v>
      </c>
      <c r="Q2220" s="116">
        <v>131.4</v>
      </c>
      <c r="R2220">
        <v>22767972</v>
      </c>
    </row>
    <row r="2221" spans="1:18" x14ac:dyDescent="0.25">
      <c r="A2221" s="170">
        <v>45274</v>
      </c>
      <c r="B2221" s="116">
        <v>133.25</v>
      </c>
      <c r="C2221" s="116">
        <v>132</v>
      </c>
      <c r="D2221" s="116">
        <v>131.4</v>
      </c>
      <c r="E2221" s="116">
        <v>131.65</v>
      </c>
      <c r="F2221" s="116">
        <v>132</v>
      </c>
      <c r="G2221">
        <v>1937570</v>
      </c>
      <c r="H2221" s="116"/>
      <c r="I2221" s="116"/>
      <c r="L2221" s="170">
        <v>45274</v>
      </c>
      <c r="M2221" s="116">
        <v>132</v>
      </c>
      <c r="N2221" s="116">
        <v>133.25</v>
      </c>
      <c r="O2221" s="116">
        <v>131.5</v>
      </c>
      <c r="P2221" s="116">
        <v>132.30000000000001</v>
      </c>
      <c r="Q2221" s="116">
        <v>132</v>
      </c>
      <c r="R2221">
        <v>43372143</v>
      </c>
    </row>
    <row r="2222" spans="1:18" x14ac:dyDescent="0.25">
      <c r="A2222" s="170">
        <v>45275</v>
      </c>
      <c r="B2222" s="116">
        <v>136.69999999999999</v>
      </c>
      <c r="C2222" s="116">
        <v>136.4</v>
      </c>
      <c r="D2222" s="116">
        <v>133.05000000000001</v>
      </c>
      <c r="E2222" s="116">
        <v>133.05000000000001</v>
      </c>
      <c r="F2222" s="116">
        <v>136.4</v>
      </c>
      <c r="G2222">
        <v>6986877</v>
      </c>
      <c r="H2222" s="116"/>
      <c r="I2222" s="116"/>
      <c r="L2222" s="170">
        <v>45275</v>
      </c>
      <c r="M2222" s="116">
        <v>136.44999999999999</v>
      </c>
      <c r="N2222" s="116">
        <v>136.75</v>
      </c>
      <c r="O2222" s="116">
        <v>133</v>
      </c>
      <c r="P2222" s="116">
        <v>133.4</v>
      </c>
      <c r="Q2222" s="116">
        <v>136.44999999999999</v>
      </c>
      <c r="R2222">
        <v>77377446</v>
      </c>
    </row>
    <row r="2223" spans="1:18" x14ac:dyDescent="0.25">
      <c r="A2223" s="170">
        <v>45278</v>
      </c>
      <c r="B2223" s="116">
        <v>137.65</v>
      </c>
      <c r="C2223" s="116">
        <v>136.6</v>
      </c>
      <c r="D2223" s="116">
        <v>135.1</v>
      </c>
      <c r="E2223" s="116">
        <v>137.19999999999999</v>
      </c>
      <c r="F2223" s="116">
        <v>136.6</v>
      </c>
      <c r="G2223">
        <v>2184824</v>
      </c>
      <c r="H2223" s="116"/>
      <c r="I2223" s="116"/>
      <c r="L2223" s="170">
        <v>45278</v>
      </c>
      <c r="M2223" s="116">
        <v>136.6</v>
      </c>
      <c r="N2223" s="116">
        <v>137.6</v>
      </c>
      <c r="O2223" s="116">
        <v>135.1</v>
      </c>
      <c r="P2223" s="116">
        <v>136.85</v>
      </c>
      <c r="Q2223" s="116">
        <v>136.6</v>
      </c>
      <c r="R2223">
        <v>38461877</v>
      </c>
    </row>
    <row r="2224" spans="1:18" x14ac:dyDescent="0.25">
      <c r="A2224" s="170">
        <v>45279</v>
      </c>
      <c r="B2224" s="116">
        <v>137.55000000000001</v>
      </c>
      <c r="C2224" s="116">
        <v>135.4</v>
      </c>
      <c r="D2224" s="116">
        <v>134.80000000000001</v>
      </c>
      <c r="E2224" s="116">
        <v>137.25</v>
      </c>
      <c r="F2224" s="116">
        <v>135.4</v>
      </c>
      <c r="G2224">
        <v>2857310</v>
      </c>
      <c r="H2224" s="116"/>
      <c r="I2224" s="116"/>
      <c r="L2224" s="170">
        <v>45279</v>
      </c>
      <c r="M2224" s="116">
        <v>135.4</v>
      </c>
      <c r="N2224" s="116">
        <v>137.6</v>
      </c>
      <c r="O2224" s="116">
        <v>134.80000000000001</v>
      </c>
      <c r="P2224" s="116">
        <v>136.65</v>
      </c>
      <c r="Q2224" s="116">
        <v>135.4</v>
      </c>
      <c r="R2224">
        <v>27726431</v>
      </c>
    </row>
    <row r="2225" spans="1:18" x14ac:dyDescent="0.25">
      <c r="A2225" s="170">
        <v>45280</v>
      </c>
      <c r="B2225" s="116">
        <v>136</v>
      </c>
      <c r="C2225" s="116">
        <v>129.69999999999999</v>
      </c>
      <c r="D2225" s="116">
        <v>128.69999999999999</v>
      </c>
      <c r="E2225" s="116">
        <v>135.9</v>
      </c>
      <c r="F2225" s="116">
        <v>129.69999999999999</v>
      </c>
      <c r="G2225">
        <v>4182540</v>
      </c>
      <c r="H2225" s="116"/>
      <c r="I2225" s="116"/>
      <c r="L2225" s="170">
        <v>45280</v>
      </c>
      <c r="M2225" s="116">
        <v>129.75</v>
      </c>
      <c r="N2225" s="116">
        <v>136.15</v>
      </c>
      <c r="O2225" s="116">
        <v>128.75</v>
      </c>
      <c r="P2225" s="116">
        <v>135.9</v>
      </c>
      <c r="Q2225" s="116">
        <v>129.75</v>
      </c>
      <c r="R2225">
        <v>39495961</v>
      </c>
    </row>
    <row r="2226" spans="1:18" x14ac:dyDescent="0.25">
      <c r="A2226" s="170">
        <v>45281</v>
      </c>
      <c r="B2226" s="116">
        <v>131.4</v>
      </c>
      <c r="C2226" s="116">
        <v>131</v>
      </c>
      <c r="D2226" s="116">
        <v>127.8</v>
      </c>
      <c r="E2226" s="116">
        <v>128.9</v>
      </c>
      <c r="F2226" s="116">
        <v>131</v>
      </c>
      <c r="G2226">
        <v>3163705</v>
      </c>
      <c r="H2226" s="116"/>
      <c r="I2226" s="116"/>
      <c r="L2226" s="170">
        <v>45281</v>
      </c>
      <c r="M2226" s="116">
        <v>131</v>
      </c>
      <c r="N2226" s="116">
        <v>131.44999999999999</v>
      </c>
      <c r="O2226" s="116">
        <v>127.85</v>
      </c>
      <c r="P2226" s="116">
        <v>128.69999999999999</v>
      </c>
      <c r="Q2226" s="116">
        <v>131</v>
      </c>
      <c r="R2226">
        <v>34914399</v>
      </c>
    </row>
    <row r="2227" spans="1:18" x14ac:dyDescent="0.25">
      <c r="A2227" s="170">
        <v>45282</v>
      </c>
      <c r="B2227" s="116">
        <v>134.69999999999999</v>
      </c>
      <c r="C2227" s="116">
        <v>133.5</v>
      </c>
      <c r="D2227" s="116">
        <v>131.65</v>
      </c>
      <c r="E2227" s="116">
        <v>132.5</v>
      </c>
      <c r="F2227" s="116">
        <v>133.5</v>
      </c>
      <c r="G2227">
        <v>3466128</v>
      </c>
      <c r="H2227" s="116"/>
      <c r="I2227" s="116"/>
      <c r="L2227" s="170">
        <v>45282</v>
      </c>
      <c r="M2227" s="116">
        <v>133.55000000000001</v>
      </c>
      <c r="N2227" s="116">
        <v>134.75</v>
      </c>
      <c r="O2227" s="116">
        <v>131.75</v>
      </c>
      <c r="P2227" s="116">
        <v>132.4</v>
      </c>
      <c r="Q2227" s="116">
        <v>133.55000000000001</v>
      </c>
      <c r="R2227">
        <v>37357334</v>
      </c>
    </row>
    <row r="2228" spans="1:18" x14ac:dyDescent="0.25">
      <c r="A2228" s="170">
        <v>45286</v>
      </c>
      <c r="B2228" s="116">
        <v>136.1</v>
      </c>
      <c r="C2228" s="116">
        <v>135.19999999999999</v>
      </c>
      <c r="D2228" s="116">
        <v>134.5</v>
      </c>
      <c r="E2228" s="116">
        <v>134.94999999999999</v>
      </c>
      <c r="F2228" s="116">
        <v>135.19999999999999</v>
      </c>
      <c r="G2228">
        <v>1905194</v>
      </c>
      <c r="H2228" s="116"/>
      <c r="I2228" s="116"/>
      <c r="L2228" s="170">
        <v>45286</v>
      </c>
      <c r="M2228" s="116">
        <v>135.19999999999999</v>
      </c>
      <c r="N2228" s="116">
        <v>136.1</v>
      </c>
      <c r="O2228" s="116">
        <v>134.44999999999999</v>
      </c>
      <c r="P2228" s="116">
        <v>134.69999999999999</v>
      </c>
      <c r="Q2228" s="116">
        <v>135.19999999999999</v>
      </c>
      <c r="R2228">
        <v>25936447</v>
      </c>
    </row>
    <row r="2229" spans="1:18" x14ac:dyDescent="0.25">
      <c r="A2229" s="170">
        <v>45287</v>
      </c>
      <c r="B2229" s="116">
        <v>138.80000000000001</v>
      </c>
      <c r="C2229" s="116">
        <v>137.15</v>
      </c>
      <c r="D2229" s="116">
        <v>135.55000000000001</v>
      </c>
      <c r="E2229" s="116">
        <v>136.15</v>
      </c>
      <c r="F2229" s="116">
        <v>137.15</v>
      </c>
      <c r="G2229">
        <v>4193192</v>
      </c>
      <c r="H2229" s="116"/>
      <c r="I2229" s="116"/>
      <c r="L2229" s="170">
        <v>45287</v>
      </c>
      <c r="M2229" s="116">
        <v>137.19999999999999</v>
      </c>
      <c r="N2229" s="116">
        <v>138.9</v>
      </c>
      <c r="O2229" s="116">
        <v>135.5</v>
      </c>
      <c r="P2229" s="116">
        <v>135.85</v>
      </c>
      <c r="Q2229" s="116">
        <v>137.19999999999999</v>
      </c>
      <c r="R2229">
        <v>48101400</v>
      </c>
    </row>
    <row r="2230" spans="1:18" x14ac:dyDescent="0.25">
      <c r="A2230" s="170">
        <v>45288</v>
      </c>
      <c r="B2230" s="116">
        <v>138.80000000000001</v>
      </c>
      <c r="C2230" s="116">
        <v>138.15</v>
      </c>
      <c r="D2230" s="116">
        <v>136.9</v>
      </c>
      <c r="E2230" s="116">
        <v>138.75</v>
      </c>
      <c r="F2230" s="116">
        <v>138.15</v>
      </c>
      <c r="G2230">
        <v>2201616</v>
      </c>
      <c r="H2230" s="116"/>
      <c r="I2230" s="116"/>
      <c r="L2230" s="170">
        <v>45288</v>
      </c>
      <c r="M2230" s="116">
        <v>138.15</v>
      </c>
      <c r="N2230" s="116">
        <v>138.75</v>
      </c>
      <c r="O2230" s="116">
        <v>136.85</v>
      </c>
      <c r="P2230" s="116">
        <v>138.15</v>
      </c>
      <c r="Q2230" s="116">
        <v>138.15</v>
      </c>
      <c r="R2230">
        <v>34661176</v>
      </c>
    </row>
    <row r="2231" spans="1:18" x14ac:dyDescent="0.25">
      <c r="A2231" s="170">
        <v>45289</v>
      </c>
      <c r="B2231" s="116">
        <v>141.19999999999999</v>
      </c>
      <c r="C2231" s="116">
        <v>139.5</v>
      </c>
      <c r="D2231" s="116">
        <v>137.15</v>
      </c>
      <c r="E2231" s="116">
        <v>138.85</v>
      </c>
      <c r="F2231" s="116">
        <v>139.5</v>
      </c>
      <c r="G2231">
        <v>5050750</v>
      </c>
      <c r="H2231" s="116"/>
      <c r="I2231" s="116"/>
      <c r="L2231" s="170">
        <v>45289</v>
      </c>
      <c r="M2231" s="116">
        <v>139.6</v>
      </c>
      <c r="N2231" s="116">
        <v>141.25</v>
      </c>
      <c r="O2231" s="116">
        <v>137.15</v>
      </c>
      <c r="P2231" s="116">
        <v>138.6</v>
      </c>
      <c r="Q2231" s="116">
        <v>139.6</v>
      </c>
      <c r="R2231">
        <v>49202910</v>
      </c>
    </row>
    <row r="2232" spans="1:18" x14ac:dyDescent="0.25">
      <c r="A2232" s="170">
        <v>45292</v>
      </c>
      <c r="B2232" s="116">
        <v>142.15</v>
      </c>
      <c r="C2232" s="116">
        <v>139.9</v>
      </c>
      <c r="D2232" s="116">
        <v>139</v>
      </c>
      <c r="E2232" s="116">
        <v>142.15</v>
      </c>
      <c r="F2232" s="116">
        <v>139.9</v>
      </c>
      <c r="G2232">
        <v>1599477</v>
      </c>
      <c r="H2232" s="116"/>
      <c r="I2232" s="116"/>
      <c r="L2232" s="170">
        <v>45292</v>
      </c>
      <c r="M2232" s="116">
        <v>139.85</v>
      </c>
      <c r="N2232" s="116">
        <v>140.94999999999999</v>
      </c>
      <c r="O2232" s="116">
        <v>139.05000000000001</v>
      </c>
      <c r="P2232" s="116">
        <v>140</v>
      </c>
      <c r="Q2232" s="116">
        <v>139.85</v>
      </c>
      <c r="R2232">
        <v>21186105</v>
      </c>
    </row>
    <row r="2233" spans="1:18" x14ac:dyDescent="0.25">
      <c r="A2233" s="170">
        <v>45293</v>
      </c>
      <c r="B2233" s="116">
        <v>140.5</v>
      </c>
      <c r="C2233" s="116">
        <v>139.55000000000001</v>
      </c>
      <c r="D2233" s="116">
        <v>137.05000000000001</v>
      </c>
      <c r="E2233" s="116">
        <v>140.5</v>
      </c>
      <c r="F2233" s="116">
        <v>139.55000000000001</v>
      </c>
      <c r="G2233">
        <v>2589594</v>
      </c>
      <c r="H2233" s="116"/>
      <c r="I2233" s="116"/>
      <c r="L2233" s="170">
        <v>45293</v>
      </c>
      <c r="M2233" s="116">
        <v>139.6</v>
      </c>
      <c r="N2233" s="116">
        <v>140.6</v>
      </c>
      <c r="O2233" s="116">
        <v>137.05000000000001</v>
      </c>
      <c r="P2233" s="116">
        <v>140.5</v>
      </c>
      <c r="Q2233" s="116">
        <v>139.6</v>
      </c>
      <c r="R2233">
        <v>27764060</v>
      </c>
    </row>
    <row r="2234" spans="1:18" x14ac:dyDescent="0.25">
      <c r="A2234" s="170">
        <v>45294</v>
      </c>
      <c r="B2234" s="116">
        <v>139.65</v>
      </c>
      <c r="C2234" s="116">
        <v>135.30000000000001</v>
      </c>
      <c r="D2234" s="116">
        <v>134.35</v>
      </c>
      <c r="E2234" s="116">
        <v>139.65</v>
      </c>
      <c r="F2234" s="116">
        <v>135.30000000000001</v>
      </c>
      <c r="G2234">
        <v>1977166</v>
      </c>
      <c r="H2234" s="116"/>
      <c r="I2234" s="116"/>
      <c r="L2234" s="170">
        <v>45294</v>
      </c>
      <c r="M2234" s="116">
        <v>135.35</v>
      </c>
      <c r="N2234" s="116">
        <v>139.6</v>
      </c>
      <c r="O2234" s="116">
        <v>134.35</v>
      </c>
      <c r="P2234" s="116">
        <v>139.5</v>
      </c>
      <c r="Q2234" s="116">
        <v>135.35</v>
      </c>
      <c r="R2234">
        <v>45176618</v>
      </c>
    </row>
    <row r="2235" spans="1:18" x14ac:dyDescent="0.25">
      <c r="A2235" s="170">
        <v>45295</v>
      </c>
      <c r="B2235" s="116">
        <v>136.94999999999999</v>
      </c>
      <c r="C2235" s="116">
        <v>134.25</v>
      </c>
      <c r="D2235" s="116">
        <v>134</v>
      </c>
      <c r="E2235" s="116">
        <v>136.94999999999999</v>
      </c>
      <c r="F2235" s="116">
        <v>134.25</v>
      </c>
      <c r="G2235">
        <v>1937216</v>
      </c>
      <c r="H2235" s="116"/>
      <c r="I2235" s="116"/>
      <c r="L2235" s="170">
        <v>45295</v>
      </c>
      <c r="M2235" s="116">
        <v>134.25</v>
      </c>
      <c r="N2235" s="116">
        <v>136.35</v>
      </c>
      <c r="O2235" s="116">
        <v>134</v>
      </c>
      <c r="P2235" s="116">
        <v>136</v>
      </c>
      <c r="Q2235" s="116">
        <v>134.25</v>
      </c>
      <c r="R2235">
        <v>43913498</v>
      </c>
    </row>
    <row r="2236" spans="1:18" x14ac:dyDescent="0.25">
      <c r="A2236" s="170">
        <v>45296</v>
      </c>
      <c r="B2236" s="116">
        <v>135.94999999999999</v>
      </c>
      <c r="C2236" s="116">
        <v>133.65</v>
      </c>
      <c r="D2236" s="116">
        <v>132.9</v>
      </c>
      <c r="E2236" s="116">
        <v>135.15</v>
      </c>
      <c r="F2236" s="116">
        <v>133.65</v>
      </c>
      <c r="G2236">
        <v>3968146</v>
      </c>
      <c r="H2236" s="116"/>
      <c r="I2236" s="116"/>
      <c r="L2236" s="170">
        <v>45296</v>
      </c>
      <c r="M2236" s="116">
        <v>133.65</v>
      </c>
      <c r="N2236" s="116">
        <v>135.94999999999999</v>
      </c>
      <c r="O2236" s="116">
        <v>132.85</v>
      </c>
      <c r="P2236" s="116">
        <v>135</v>
      </c>
      <c r="Q2236" s="116">
        <v>133.65</v>
      </c>
      <c r="R2236">
        <v>71330190</v>
      </c>
    </row>
    <row r="2237" spans="1:18" x14ac:dyDescent="0.25">
      <c r="A2237" s="170">
        <v>45299</v>
      </c>
      <c r="B2237" s="116">
        <v>135.9</v>
      </c>
      <c r="C2237" s="116">
        <v>132.05000000000001</v>
      </c>
      <c r="D2237" s="116">
        <v>131.80000000000001</v>
      </c>
      <c r="E2237" s="116">
        <v>135.44999999999999</v>
      </c>
      <c r="F2237" s="116">
        <v>132.05000000000001</v>
      </c>
      <c r="G2237">
        <v>3616375</v>
      </c>
      <c r="H2237" s="116"/>
      <c r="I2237" s="116"/>
      <c r="L2237" s="170">
        <v>45299</v>
      </c>
      <c r="M2237" s="116">
        <v>132</v>
      </c>
      <c r="N2237" s="116">
        <v>135.94999999999999</v>
      </c>
      <c r="O2237" s="116">
        <v>131.75</v>
      </c>
      <c r="P2237" s="116">
        <v>135.30000000000001</v>
      </c>
      <c r="Q2237" s="116">
        <v>132</v>
      </c>
      <c r="R2237">
        <v>39559717</v>
      </c>
    </row>
    <row r="2238" spans="1:18" x14ac:dyDescent="0.25">
      <c r="A2238" s="170">
        <v>45300</v>
      </c>
      <c r="B2238" s="116">
        <v>134.69999999999999</v>
      </c>
      <c r="C2238" s="116">
        <v>133.65</v>
      </c>
      <c r="D2238" s="116">
        <v>132.5</v>
      </c>
      <c r="E2238" s="116">
        <v>133.5</v>
      </c>
      <c r="F2238" s="116">
        <v>133.65</v>
      </c>
      <c r="G2238">
        <v>3338783</v>
      </c>
      <c r="H2238" s="116"/>
      <c r="I2238" s="116"/>
      <c r="L2238" s="170">
        <v>45300</v>
      </c>
      <c r="M2238" s="116">
        <v>133.65</v>
      </c>
      <c r="N2238" s="116">
        <v>134.80000000000001</v>
      </c>
      <c r="O2238" s="116">
        <v>132.5</v>
      </c>
      <c r="P2238" s="116">
        <v>133.5</v>
      </c>
      <c r="Q2238" s="116">
        <v>133.65</v>
      </c>
      <c r="R2238">
        <v>30736868</v>
      </c>
    </row>
    <row r="2239" spans="1:18" x14ac:dyDescent="0.25">
      <c r="A2239" s="170">
        <v>45301</v>
      </c>
      <c r="B2239" s="116">
        <v>134.75</v>
      </c>
      <c r="C2239" s="116">
        <v>134.1</v>
      </c>
      <c r="D2239" s="116">
        <v>132.1</v>
      </c>
      <c r="E2239" s="116">
        <v>134</v>
      </c>
      <c r="F2239" s="116">
        <v>134.1</v>
      </c>
      <c r="G2239">
        <v>4170486</v>
      </c>
      <c r="H2239" s="116"/>
      <c r="I2239" s="116"/>
      <c r="L2239" s="170">
        <v>45301</v>
      </c>
      <c r="M2239" s="116">
        <v>134.1</v>
      </c>
      <c r="N2239" s="116">
        <v>134.69999999999999</v>
      </c>
      <c r="O2239" s="116">
        <v>132.1</v>
      </c>
      <c r="P2239" s="116">
        <v>133.80000000000001</v>
      </c>
      <c r="Q2239" s="116">
        <v>134.1</v>
      </c>
      <c r="R2239">
        <v>27213624</v>
      </c>
    </row>
    <row r="2240" spans="1:18" x14ac:dyDescent="0.25">
      <c r="A2240" s="170">
        <v>45302</v>
      </c>
      <c r="B2240" s="116">
        <v>135.75</v>
      </c>
      <c r="C2240" s="116">
        <v>134.9</v>
      </c>
      <c r="D2240" s="116">
        <v>134.15</v>
      </c>
      <c r="E2240" s="116">
        <v>135</v>
      </c>
      <c r="F2240" s="116">
        <v>134.9</v>
      </c>
      <c r="G2240">
        <v>3264036</v>
      </c>
      <c r="H2240" s="116"/>
      <c r="I2240" s="116"/>
      <c r="L2240" s="170">
        <v>45302</v>
      </c>
      <c r="M2240" s="116">
        <v>134.9</v>
      </c>
      <c r="N2240" s="116">
        <v>135.65</v>
      </c>
      <c r="O2240" s="116">
        <v>134.19999999999999</v>
      </c>
      <c r="P2240" s="116">
        <v>134.85</v>
      </c>
      <c r="Q2240" s="116">
        <v>134.9</v>
      </c>
      <c r="R2240">
        <v>23113349</v>
      </c>
    </row>
    <row r="2241" spans="1:18" x14ac:dyDescent="0.25">
      <c r="A2241" s="170">
        <v>45303</v>
      </c>
      <c r="B2241" s="116">
        <v>136.19999999999999</v>
      </c>
      <c r="C2241" s="116">
        <v>135.30000000000001</v>
      </c>
      <c r="D2241" s="116">
        <v>134.65</v>
      </c>
      <c r="E2241" s="116">
        <v>135.94999999999999</v>
      </c>
      <c r="F2241" s="116">
        <v>135.30000000000001</v>
      </c>
      <c r="G2241">
        <v>4618358</v>
      </c>
      <c r="H2241" s="116"/>
      <c r="I2241" s="116"/>
      <c r="L2241" s="170">
        <v>45303</v>
      </c>
      <c r="M2241" s="116">
        <v>135.30000000000001</v>
      </c>
      <c r="N2241" s="116">
        <v>136.25</v>
      </c>
      <c r="O2241" s="116">
        <v>134.65</v>
      </c>
      <c r="P2241" s="116">
        <v>135.80000000000001</v>
      </c>
      <c r="Q2241" s="116">
        <v>135.30000000000001</v>
      </c>
      <c r="R2241">
        <v>32883921</v>
      </c>
    </row>
    <row r="2242" spans="1:18" x14ac:dyDescent="0.25">
      <c r="A2242" s="170">
        <v>45306</v>
      </c>
      <c r="B2242" s="116">
        <v>136.25</v>
      </c>
      <c r="C2242" s="116">
        <v>134.94999999999999</v>
      </c>
      <c r="D2242" s="116">
        <v>134</v>
      </c>
      <c r="E2242" s="116">
        <v>136.25</v>
      </c>
      <c r="F2242" s="116">
        <v>134.94999999999999</v>
      </c>
      <c r="G2242">
        <v>3257429</v>
      </c>
      <c r="H2242" s="116"/>
      <c r="I2242" s="116"/>
      <c r="L2242" s="170">
        <v>45306</v>
      </c>
      <c r="M2242" s="116">
        <v>134.9</v>
      </c>
      <c r="N2242" s="116">
        <v>136.25</v>
      </c>
      <c r="O2242" s="116">
        <v>133.94999999999999</v>
      </c>
      <c r="P2242" s="116">
        <v>136</v>
      </c>
      <c r="Q2242" s="116">
        <v>134.9</v>
      </c>
      <c r="R2242">
        <v>34158775</v>
      </c>
    </row>
    <row r="2243" spans="1:18" x14ac:dyDescent="0.25">
      <c r="A2243" s="170">
        <v>45307</v>
      </c>
      <c r="B2243" s="116">
        <v>138.5</v>
      </c>
      <c r="C2243" s="116">
        <v>137.25</v>
      </c>
      <c r="D2243" s="116">
        <v>134.05000000000001</v>
      </c>
      <c r="E2243" s="116">
        <v>134.65</v>
      </c>
      <c r="F2243" s="116">
        <v>137.25</v>
      </c>
      <c r="G2243">
        <v>6566338</v>
      </c>
      <c r="H2243" s="116"/>
      <c r="I2243" s="116"/>
      <c r="L2243" s="170">
        <v>45307</v>
      </c>
      <c r="M2243" s="116">
        <v>137.25</v>
      </c>
      <c r="N2243" s="116">
        <v>138.5</v>
      </c>
      <c r="O2243" s="116">
        <v>134</v>
      </c>
      <c r="P2243" s="116">
        <v>134.69999999999999</v>
      </c>
      <c r="Q2243" s="116">
        <v>137.25</v>
      </c>
      <c r="R2243">
        <v>56361287</v>
      </c>
    </row>
    <row r="2244" spans="1:18" x14ac:dyDescent="0.25">
      <c r="A2244" s="170">
        <v>45308</v>
      </c>
      <c r="B2244" s="116">
        <v>136.35</v>
      </c>
      <c r="C2244" s="116">
        <v>131.65</v>
      </c>
      <c r="D2244" s="116">
        <v>131.5</v>
      </c>
      <c r="E2244" s="116">
        <v>136.35</v>
      </c>
      <c r="F2244" s="116">
        <v>131.65</v>
      </c>
      <c r="G2244">
        <v>4867771</v>
      </c>
      <c r="H2244" s="116"/>
      <c r="I2244" s="116"/>
      <c r="L2244" s="170">
        <v>45308</v>
      </c>
      <c r="M2244" s="116">
        <v>131.65</v>
      </c>
      <c r="N2244" s="116">
        <v>135.75</v>
      </c>
      <c r="O2244" s="116">
        <v>131.4</v>
      </c>
      <c r="P2244" s="116">
        <v>135.44999999999999</v>
      </c>
      <c r="Q2244" s="116">
        <v>131.65</v>
      </c>
      <c r="R2244">
        <v>58982971</v>
      </c>
    </row>
    <row r="2245" spans="1:18" x14ac:dyDescent="0.25">
      <c r="A2245" s="170">
        <v>45309</v>
      </c>
      <c r="B2245" s="116">
        <v>132.25</v>
      </c>
      <c r="C2245" s="116">
        <v>131.05000000000001</v>
      </c>
      <c r="D2245" s="116">
        <v>128.1</v>
      </c>
      <c r="E2245" s="116">
        <v>131.85</v>
      </c>
      <c r="F2245" s="116">
        <v>131.05000000000001</v>
      </c>
      <c r="G2245">
        <v>3377121</v>
      </c>
      <c r="H2245" s="116"/>
      <c r="I2245" s="116"/>
      <c r="L2245" s="170">
        <v>45309</v>
      </c>
      <c r="M2245" s="116">
        <v>131</v>
      </c>
      <c r="N2245" s="116">
        <v>132.25</v>
      </c>
      <c r="O2245" s="116">
        <v>128.19999999999999</v>
      </c>
      <c r="P2245" s="116">
        <v>131.65</v>
      </c>
      <c r="Q2245" s="116">
        <v>131</v>
      </c>
      <c r="R2245">
        <v>45273496</v>
      </c>
    </row>
    <row r="2246" spans="1:18" x14ac:dyDescent="0.25">
      <c r="A2246" s="170">
        <v>45310</v>
      </c>
      <c r="B2246" s="116">
        <v>134.69999999999999</v>
      </c>
      <c r="C2246" s="116">
        <v>134.19999999999999</v>
      </c>
      <c r="D2246" s="116">
        <v>131.69999999999999</v>
      </c>
      <c r="E2246" s="116">
        <v>132.6</v>
      </c>
      <c r="F2246" s="116">
        <v>134.19999999999999</v>
      </c>
      <c r="G2246">
        <v>4397203</v>
      </c>
      <c r="H2246" s="116"/>
      <c r="I2246" s="116"/>
      <c r="L2246" s="170">
        <v>45310</v>
      </c>
      <c r="M2246" s="116">
        <v>134.25</v>
      </c>
      <c r="N2246" s="116">
        <v>134.69999999999999</v>
      </c>
      <c r="O2246" s="116">
        <v>131.6</v>
      </c>
      <c r="P2246" s="116">
        <v>132.6</v>
      </c>
      <c r="Q2246" s="116">
        <v>134.25</v>
      </c>
      <c r="R2246">
        <v>32653013</v>
      </c>
    </row>
    <row r="2247" spans="1:18" x14ac:dyDescent="0.25">
      <c r="A2247" s="170">
        <v>45311</v>
      </c>
      <c r="B2247" s="116">
        <v>135.19999999999999</v>
      </c>
      <c r="C2247" s="116">
        <v>133.9</v>
      </c>
      <c r="D2247" s="116">
        <v>133.30000000000001</v>
      </c>
      <c r="E2247" s="116">
        <v>134.94999999999999</v>
      </c>
      <c r="F2247" s="116">
        <v>133.9</v>
      </c>
      <c r="G2247">
        <v>808725</v>
      </c>
      <c r="H2247" s="116"/>
      <c r="I2247" s="116"/>
      <c r="L2247" s="170">
        <v>45311</v>
      </c>
      <c r="M2247" s="116">
        <v>133.94999999999999</v>
      </c>
      <c r="N2247" s="116">
        <v>135.19999999999999</v>
      </c>
      <c r="O2247" s="116">
        <v>133.30000000000001</v>
      </c>
      <c r="P2247" s="116">
        <v>134.25</v>
      </c>
      <c r="Q2247" s="116">
        <v>133.94999999999999</v>
      </c>
      <c r="R2247">
        <v>16578179</v>
      </c>
    </row>
    <row r="2248" spans="1:18" x14ac:dyDescent="0.25">
      <c r="A2248" s="170">
        <v>45314</v>
      </c>
      <c r="B2248" s="116">
        <v>135.19999999999999</v>
      </c>
      <c r="C2248" s="116">
        <v>130.1</v>
      </c>
      <c r="D2248" s="116">
        <v>129.5</v>
      </c>
      <c r="E2248" s="116">
        <v>135.1</v>
      </c>
      <c r="F2248" s="116">
        <v>130.1</v>
      </c>
      <c r="G2248">
        <v>2015412</v>
      </c>
      <c r="H2248" s="116"/>
      <c r="I2248" s="116"/>
      <c r="L2248" s="170">
        <v>45314</v>
      </c>
      <c r="M2248" s="116">
        <v>130.1</v>
      </c>
      <c r="N2248" s="116">
        <v>135.19999999999999</v>
      </c>
      <c r="O2248" s="116">
        <v>129.30000000000001</v>
      </c>
      <c r="P2248" s="116">
        <v>134.80000000000001</v>
      </c>
      <c r="Q2248" s="116">
        <v>130.1</v>
      </c>
      <c r="R2248">
        <v>35373970</v>
      </c>
    </row>
    <row r="2249" spans="1:18" x14ac:dyDescent="0.25">
      <c r="A2249" s="170">
        <v>45315</v>
      </c>
      <c r="B2249" s="116">
        <v>135.44999999999999</v>
      </c>
      <c r="C2249" s="116">
        <v>135.15</v>
      </c>
      <c r="D2249" s="116">
        <v>130.19999999999999</v>
      </c>
      <c r="E2249" s="116">
        <v>131.94999999999999</v>
      </c>
      <c r="F2249" s="116">
        <v>135.15</v>
      </c>
      <c r="G2249">
        <v>4106914</v>
      </c>
      <c r="H2249" s="116"/>
      <c r="I2249" s="116"/>
      <c r="L2249" s="170">
        <v>45315</v>
      </c>
      <c r="M2249" s="116">
        <v>135.15</v>
      </c>
      <c r="N2249" s="116">
        <v>135.55000000000001</v>
      </c>
      <c r="O2249" s="116">
        <v>130.1</v>
      </c>
      <c r="P2249" s="116">
        <v>130.19999999999999</v>
      </c>
      <c r="Q2249" s="116">
        <v>135.15</v>
      </c>
      <c r="R2249">
        <v>39340119</v>
      </c>
    </row>
    <row r="2250" spans="1:18" x14ac:dyDescent="0.25">
      <c r="A2250" s="170">
        <v>45316</v>
      </c>
      <c r="B2250" s="116">
        <v>136.30000000000001</v>
      </c>
      <c r="C2250" s="116">
        <v>133.65</v>
      </c>
      <c r="D2250" s="116">
        <v>132</v>
      </c>
      <c r="E2250" s="116">
        <v>136.30000000000001</v>
      </c>
      <c r="F2250" s="116">
        <v>133.65</v>
      </c>
      <c r="G2250">
        <v>4747737</v>
      </c>
      <c r="H2250" s="116"/>
      <c r="I2250" s="116"/>
      <c r="L2250" s="170">
        <v>45316</v>
      </c>
      <c r="M2250" s="116">
        <v>133.75</v>
      </c>
      <c r="N2250" s="116">
        <v>136.5</v>
      </c>
      <c r="O2250" s="116">
        <v>132</v>
      </c>
      <c r="P2250" s="116">
        <v>136.5</v>
      </c>
      <c r="Q2250" s="116">
        <v>133.75</v>
      </c>
      <c r="R2250">
        <v>61358839</v>
      </c>
    </row>
    <row r="2251" spans="1:18" x14ac:dyDescent="0.25">
      <c r="A2251" s="170">
        <v>45320</v>
      </c>
      <c r="B2251" s="116">
        <v>135.69999999999999</v>
      </c>
      <c r="C2251" s="116">
        <v>135</v>
      </c>
      <c r="D2251" s="116">
        <v>133.5</v>
      </c>
      <c r="E2251" s="116">
        <v>135.69999999999999</v>
      </c>
      <c r="F2251" s="116">
        <v>135</v>
      </c>
      <c r="G2251">
        <v>2646940</v>
      </c>
      <c r="H2251" s="116"/>
      <c r="I2251" s="116"/>
      <c r="L2251" s="170">
        <v>45320</v>
      </c>
      <c r="M2251" s="116">
        <v>135</v>
      </c>
      <c r="N2251" s="116">
        <v>135.4</v>
      </c>
      <c r="O2251" s="116">
        <v>133.5</v>
      </c>
      <c r="P2251" s="116">
        <v>134.69999999999999</v>
      </c>
      <c r="Q2251" s="116">
        <v>135</v>
      </c>
      <c r="R2251">
        <v>29745400</v>
      </c>
    </row>
    <row r="2252" spans="1:18" x14ac:dyDescent="0.25">
      <c r="A2252" s="170">
        <v>45321</v>
      </c>
      <c r="B2252" s="116">
        <v>137.69999999999999</v>
      </c>
      <c r="C2252" s="116">
        <v>134.69999999999999</v>
      </c>
      <c r="D2252" s="116">
        <v>134.5</v>
      </c>
      <c r="E2252" s="116">
        <v>135.5</v>
      </c>
      <c r="F2252" s="116">
        <v>134.69999999999999</v>
      </c>
      <c r="G2252">
        <v>3864933</v>
      </c>
      <c r="H2252" s="116"/>
      <c r="I2252" s="116"/>
      <c r="L2252" s="170">
        <v>45321</v>
      </c>
      <c r="M2252" s="116">
        <v>134.69999999999999</v>
      </c>
      <c r="N2252" s="116">
        <v>137.69999999999999</v>
      </c>
      <c r="O2252" s="116">
        <v>134.5</v>
      </c>
      <c r="P2252" s="116">
        <v>135.6</v>
      </c>
      <c r="Q2252" s="116">
        <v>134.69999999999999</v>
      </c>
      <c r="R2252">
        <v>35704185</v>
      </c>
    </row>
    <row r="2253" spans="1:18" x14ac:dyDescent="0.25">
      <c r="A2253" s="170">
        <v>45322</v>
      </c>
      <c r="B2253" s="116">
        <v>136.69999999999999</v>
      </c>
      <c r="C2253" s="116">
        <v>135.9</v>
      </c>
      <c r="D2253" s="116">
        <v>134.44999999999999</v>
      </c>
      <c r="E2253" s="116">
        <v>135</v>
      </c>
      <c r="F2253" s="116">
        <v>135.9</v>
      </c>
      <c r="G2253">
        <v>2943293</v>
      </c>
      <c r="H2253" s="116"/>
      <c r="I2253" s="116"/>
      <c r="L2253" s="170">
        <v>45322</v>
      </c>
      <c r="M2253" s="116">
        <v>135.94999999999999</v>
      </c>
      <c r="N2253" s="116">
        <v>136.69999999999999</v>
      </c>
      <c r="O2253" s="116">
        <v>134.5</v>
      </c>
      <c r="P2253" s="116">
        <v>135</v>
      </c>
      <c r="Q2253" s="116">
        <v>135.94999999999999</v>
      </c>
      <c r="R2253">
        <v>36079354</v>
      </c>
    </row>
    <row r="2254" spans="1:18" x14ac:dyDescent="0.25">
      <c r="A2254" s="170">
        <v>45323</v>
      </c>
      <c r="B2254" s="116">
        <v>136.80000000000001</v>
      </c>
      <c r="C2254" s="116">
        <v>134.80000000000001</v>
      </c>
      <c r="D2254" s="116">
        <v>134.5</v>
      </c>
      <c r="E2254" s="116">
        <v>136.80000000000001</v>
      </c>
      <c r="F2254" s="116">
        <v>134.80000000000001</v>
      </c>
      <c r="G2254">
        <v>2605315</v>
      </c>
      <c r="H2254" s="116"/>
      <c r="I2254" s="116"/>
      <c r="L2254" s="170">
        <v>45323</v>
      </c>
      <c r="M2254" s="116">
        <v>134.80000000000001</v>
      </c>
      <c r="N2254" s="116">
        <v>136.75</v>
      </c>
      <c r="O2254" s="116">
        <v>134.5</v>
      </c>
      <c r="P2254" s="116">
        <v>136.4</v>
      </c>
      <c r="Q2254" s="116">
        <v>134.80000000000001</v>
      </c>
      <c r="R2254">
        <v>31701793</v>
      </c>
    </row>
    <row r="2255" spans="1:18" x14ac:dyDescent="0.25">
      <c r="A2255" s="170">
        <v>45324</v>
      </c>
      <c r="B2255" s="116">
        <v>139.6</v>
      </c>
      <c r="C2255" s="116">
        <v>138.69999999999999</v>
      </c>
      <c r="D2255" s="116">
        <v>134.9</v>
      </c>
      <c r="E2255" s="116">
        <v>135.05000000000001</v>
      </c>
      <c r="F2255" s="116">
        <v>138.69999999999999</v>
      </c>
      <c r="G2255">
        <v>4583616</v>
      </c>
      <c r="H2255" s="116"/>
      <c r="I2255" s="116"/>
      <c r="L2255" s="170">
        <v>45324</v>
      </c>
      <c r="M2255" s="116">
        <v>138.69999999999999</v>
      </c>
      <c r="N2255" s="116">
        <v>139.6</v>
      </c>
      <c r="O2255" s="116">
        <v>134.80000000000001</v>
      </c>
      <c r="P2255" s="116">
        <v>135.30000000000001</v>
      </c>
      <c r="Q2255" s="116">
        <v>138.69999999999999</v>
      </c>
      <c r="R2255">
        <v>69296192</v>
      </c>
    </row>
    <row r="2256" spans="1:18" x14ac:dyDescent="0.25">
      <c r="A2256" s="170">
        <v>45327</v>
      </c>
      <c r="B2256" s="116">
        <v>143.30000000000001</v>
      </c>
      <c r="C2256" s="116">
        <v>141.5</v>
      </c>
      <c r="D2256" s="116">
        <v>139.4</v>
      </c>
      <c r="E2256" s="116">
        <v>140</v>
      </c>
      <c r="F2256" s="116">
        <v>141.5</v>
      </c>
      <c r="G2256">
        <v>8008147</v>
      </c>
      <c r="H2256" s="116"/>
      <c r="I2256" s="116"/>
      <c r="L2256" s="170">
        <v>45327</v>
      </c>
      <c r="M2256" s="116">
        <v>141.55000000000001</v>
      </c>
      <c r="N2256" s="116">
        <v>143.35</v>
      </c>
      <c r="O2256" s="116">
        <v>139.35</v>
      </c>
      <c r="P2256" s="116">
        <v>140</v>
      </c>
      <c r="Q2256" s="116">
        <v>141.55000000000001</v>
      </c>
      <c r="R2256">
        <v>80737626</v>
      </c>
    </row>
    <row r="2257" spans="1:18" x14ac:dyDescent="0.25">
      <c r="A2257" s="170">
        <v>45328</v>
      </c>
      <c r="B2257" s="116">
        <v>145.1</v>
      </c>
      <c r="C2257" s="116">
        <v>144.69999999999999</v>
      </c>
      <c r="D2257" s="116">
        <v>140.4</v>
      </c>
      <c r="E2257" s="116">
        <v>143.1</v>
      </c>
      <c r="F2257" s="116">
        <v>144.69999999999999</v>
      </c>
      <c r="G2257">
        <v>2156149</v>
      </c>
      <c r="H2257" s="116"/>
      <c r="I2257" s="116"/>
      <c r="L2257" s="170">
        <v>45328</v>
      </c>
      <c r="M2257" s="116">
        <v>144.65</v>
      </c>
      <c r="N2257" s="116">
        <v>145.1</v>
      </c>
      <c r="O2257" s="116">
        <v>140.44999999999999</v>
      </c>
      <c r="P2257" s="116">
        <v>143</v>
      </c>
      <c r="Q2257" s="116">
        <v>144.65</v>
      </c>
      <c r="R2257">
        <v>53192936</v>
      </c>
    </row>
    <row r="2258" spans="1:18" x14ac:dyDescent="0.25">
      <c r="A2258" s="170">
        <v>45329</v>
      </c>
      <c r="B2258" s="116">
        <v>147.35</v>
      </c>
      <c r="C2258" s="116">
        <v>144.35</v>
      </c>
      <c r="D2258" s="116">
        <v>144</v>
      </c>
      <c r="E2258" s="116">
        <v>147</v>
      </c>
      <c r="F2258" s="116">
        <v>144.35</v>
      </c>
      <c r="G2258">
        <v>4419509</v>
      </c>
      <c r="H2258" s="116"/>
      <c r="I2258" s="116"/>
      <c r="L2258" s="170">
        <v>45329</v>
      </c>
      <c r="M2258" s="116">
        <v>144.4</v>
      </c>
      <c r="N2258" s="116">
        <v>147.4</v>
      </c>
      <c r="O2258" s="116">
        <v>144.05000000000001</v>
      </c>
      <c r="P2258" s="116">
        <v>146.85</v>
      </c>
      <c r="Q2258" s="116">
        <v>144.4</v>
      </c>
      <c r="R2258">
        <v>61517064</v>
      </c>
    </row>
    <row r="2259" spans="1:18" x14ac:dyDescent="0.25">
      <c r="A2259" s="170">
        <v>45330</v>
      </c>
      <c r="B2259" s="116">
        <v>146.1</v>
      </c>
      <c r="C2259" s="116">
        <v>143.69999999999999</v>
      </c>
      <c r="D2259" s="116">
        <v>143.05000000000001</v>
      </c>
      <c r="E2259" s="116">
        <v>146.1</v>
      </c>
      <c r="F2259" s="116">
        <v>143.69999999999999</v>
      </c>
      <c r="G2259">
        <v>1596455</v>
      </c>
      <c r="H2259" s="116"/>
      <c r="I2259" s="116"/>
      <c r="L2259" s="170">
        <v>45330</v>
      </c>
      <c r="M2259" s="116">
        <v>143.65</v>
      </c>
      <c r="N2259" s="116">
        <v>145.65</v>
      </c>
      <c r="O2259" s="116">
        <v>143.05000000000001</v>
      </c>
      <c r="P2259" s="116">
        <v>145.30000000000001</v>
      </c>
      <c r="Q2259" s="116">
        <v>143.65</v>
      </c>
      <c r="R2259">
        <v>38997666</v>
      </c>
    </row>
    <row r="2260" spans="1:18" x14ac:dyDescent="0.25">
      <c r="A2260" s="170">
        <v>45331</v>
      </c>
      <c r="B2260" s="116">
        <v>144.44999999999999</v>
      </c>
      <c r="C2260" s="116">
        <v>141.30000000000001</v>
      </c>
      <c r="D2260" s="116">
        <v>139.1</v>
      </c>
      <c r="E2260" s="116">
        <v>144.44999999999999</v>
      </c>
      <c r="F2260" s="116">
        <v>141.30000000000001</v>
      </c>
      <c r="G2260">
        <v>3563546</v>
      </c>
      <c r="H2260" s="116"/>
      <c r="I2260" s="116"/>
      <c r="L2260" s="170">
        <v>45331</v>
      </c>
      <c r="M2260" s="116">
        <v>141.30000000000001</v>
      </c>
      <c r="N2260" s="116">
        <v>144.44999999999999</v>
      </c>
      <c r="O2260" s="116">
        <v>139.15</v>
      </c>
      <c r="P2260" s="116">
        <v>144.19999999999999</v>
      </c>
      <c r="Q2260" s="116">
        <v>141.30000000000001</v>
      </c>
      <c r="R2260">
        <v>35961925</v>
      </c>
    </row>
    <row r="2261" spans="1:18" x14ac:dyDescent="0.25">
      <c r="A2261" s="170">
        <v>45334</v>
      </c>
      <c r="B2261" s="116">
        <v>142.94999999999999</v>
      </c>
      <c r="C2261" s="116">
        <v>137.4</v>
      </c>
      <c r="D2261" s="116">
        <v>136.69999999999999</v>
      </c>
      <c r="E2261" s="116">
        <v>142.25</v>
      </c>
      <c r="F2261" s="116">
        <v>137.4</v>
      </c>
      <c r="G2261">
        <v>2749580</v>
      </c>
      <c r="H2261" s="116"/>
      <c r="I2261" s="116"/>
      <c r="L2261" s="170">
        <v>45334</v>
      </c>
      <c r="M2261" s="116">
        <v>137.4</v>
      </c>
      <c r="N2261" s="116">
        <v>142.94999999999999</v>
      </c>
      <c r="O2261" s="116">
        <v>136.65</v>
      </c>
      <c r="P2261" s="116">
        <v>142</v>
      </c>
      <c r="Q2261" s="116">
        <v>137.4</v>
      </c>
      <c r="R2261">
        <v>36477544</v>
      </c>
    </row>
    <row r="2262" spans="1:18" x14ac:dyDescent="0.25">
      <c r="A2262" s="170">
        <v>45335</v>
      </c>
      <c r="B2262" s="116">
        <v>138.25</v>
      </c>
      <c r="C2262" s="116">
        <v>137.9</v>
      </c>
      <c r="D2262" s="116">
        <v>134.1</v>
      </c>
      <c r="E2262" s="116">
        <v>137.6</v>
      </c>
      <c r="F2262" s="116">
        <v>137.9</v>
      </c>
      <c r="G2262">
        <v>2263780</v>
      </c>
      <c r="H2262" s="116"/>
      <c r="I2262" s="116"/>
      <c r="L2262" s="170">
        <v>45335</v>
      </c>
      <c r="M2262" s="116">
        <v>137.85</v>
      </c>
      <c r="N2262" s="116">
        <v>138.25</v>
      </c>
      <c r="O2262" s="116">
        <v>134.1</v>
      </c>
      <c r="P2262" s="116">
        <v>137.75</v>
      </c>
      <c r="Q2262" s="116">
        <v>137.85</v>
      </c>
      <c r="R2262">
        <v>39155909</v>
      </c>
    </row>
    <row r="2263" spans="1:18" x14ac:dyDescent="0.25">
      <c r="A2263" s="170">
        <v>45336</v>
      </c>
      <c r="B2263" s="116">
        <v>141.5</v>
      </c>
      <c r="C2263" s="116">
        <v>141.15</v>
      </c>
      <c r="D2263" s="116">
        <v>135.75</v>
      </c>
      <c r="E2263" s="116">
        <v>136.80000000000001</v>
      </c>
      <c r="F2263" s="116">
        <v>141.15</v>
      </c>
      <c r="G2263">
        <v>2343936</v>
      </c>
      <c r="H2263" s="116"/>
      <c r="I2263" s="116"/>
      <c r="L2263" s="170">
        <v>45336</v>
      </c>
      <c r="M2263" s="116">
        <v>141.19999999999999</v>
      </c>
      <c r="N2263" s="116">
        <v>141.5</v>
      </c>
      <c r="O2263" s="116">
        <v>135.75</v>
      </c>
      <c r="P2263" s="116">
        <v>137</v>
      </c>
      <c r="Q2263" s="116">
        <v>141.19999999999999</v>
      </c>
      <c r="R2263">
        <v>29141690</v>
      </c>
    </row>
    <row r="2264" spans="1:18" x14ac:dyDescent="0.25">
      <c r="A2264" s="170">
        <v>45337</v>
      </c>
      <c r="B2264" s="116">
        <v>143.44999999999999</v>
      </c>
      <c r="C2264" s="116">
        <v>141.19999999999999</v>
      </c>
      <c r="D2264" s="116">
        <v>140.94999999999999</v>
      </c>
      <c r="E2264" s="116">
        <v>141.94999999999999</v>
      </c>
      <c r="F2264" s="116">
        <v>141.19999999999999</v>
      </c>
      <c r="G2264">
        <v>1092584</v>
      </c>
      <c r="H2264" s="116"/>
      <c r="I2264" s="116"/>
      <c r="L2264" s="170">
        <v>45337</v>
      </c>
      <c r="M2264" s="116">
        <v>141.19999999999999</v>
      </c>
      <c r="N2264" s="116">
        <v>143.44999999999999</v>
      </c>
      <c r="O2264" s="116">
        <v>141</v>
      </c>
      <c r="P2264" s="116">
        <v>141.5</v>
      </c>
      <c r="Q2264" s="116">
        <v>141.19999999999999</v>
      </c>
      <c r="R2264">
        <v>31587387</v>
      </c>
    </row>
    <row r="2265" spans="1:18" x14ac:dyDescent="0.25">
      <c r="A2265" s="170">
        <v>45338</v>
      </c>
      <c r="B2265" s="116">
        <v>143.44999999999999</v>
      </c>
      <c r="C2265" s="116">
        <v>142.35</v>
      </c>
      <c r="D2265" s="116">
        <v>141.44999999999999</v>
      </c>
      <c r="E2265" s="116">
        <v>141.94999999999999</v>
      </c>
      <c r="F2265" s="116">
        <v>142.35</v>
      </c>
      <c r="G2265">
        <v>2434173</v>
      </c>
      <c r="H2265" s="116"/>
      <c r="I2265" s="116"/>
      <c r="L2265" s="170">
        <v>45338</v>
      </c>
      <c r="M2265" s="116">
        <v>142.30000000000001</v>
      </c>
      <c r="N2265" s="116">
        <v>143.44999999999999</v>
      </c>
      <c r="O2265" s="116">
        <v>141.5</v>
      </c>
      <c r="P2265" s="116">
        <v>142.05000000000001</v>
      </c>
      <c r="Q2265" s="116">
        <v>142.30000000000001</v>
      </c>
      <c r="R2265">
        <v>22316127</v>
      </c>
    </row>
    <row r="2266" spans="1:18" x14ac:dyDescent="0.25">
      <c r="A2266" s="170">
        <v>45341</v>
      </c>
      <c r="B2266" s="116">
        <v>143.19999999999999</v>
      </c>
      <c r="C2266" s="116">
        <v>141.9</v>
      </c>
      <c r="D2266" s="116">
        <v>141.30000000000001</v>
      </c>
      <c r="E2266" s="116">
        <v>143.05000000000001</v>
      </c>
      <c r="F2266" s="116">
        <v>141.9</v>
      </c>
      <c r="G2266">
        <v>1674317</v>
      </c>
      <c r="H2266" s="116"/>
      <c r="I2266" s="116"/>
      <c r="L2266" s="170">
        <v>45341</v>
      </c>
      <c r="M2266" s="116">
        <v>141.94999999999999</v>
      </c>
      <c r="N2266" s="116">
        <v>143.35</v>
      </c>
      <c r="O2266" s="116">
        <v>141.35</v>
      </c>
      <c r="P2266" s="116">
        <v>142.94999999999999</v>
      </c>
      <c r="Q2266" s="116">
        <v>141.94999999999999</v>
      </c>
      <c r="R2266">
        <v>16973568</v>
      </c>
    </row>
    <row r="2267" spans="1:18" x14ac:dyDescent="0.25">
      <c r="A2267" s="170">
        <v>45342</v>
      </c>
      <c r="B2267" s="116">
        <v>142</v>
      </c>
      <c r="C2267" s="116">
        <v>141.05000000000001</v>
      </c>
      <c r="D2267" s="116">
        <v>140.05000000000001</v>
      </c>
      <c r="E2267" s="116">
        <v>141.9</v>
      </c>
      <c r="F2267" s="116">
        <v>141.05000000000001</v>
      </c>
      <c r="G2267">
        <v>930047</v>
      </c>
      <c r="H2267" s="116"/>
      <c r="I2267" s="116"/>
      <c r="L2267" s="170">
        <v>45342</v>
      </c>
      <c r="M2267" s="116">
        <v>141.05000000000001</v>
      </c>
      <c r="N2267" s="116">
        <v>142.25</v>
      </c>
      <c r="O2267" s="116">
        <v>140.05000000000001</v>
      </c>
      <c r="P2267" s="116">
        <v>141.94999999999999</v>
      </c>
      <c r="Q2267" s="116">
        <v>141.05000000000001</v>
      </c>
      <c r="R2267">
        <v>24291123</v>
      </c>
    </row>
    <row r="2268" spans="1:18" x14ac:dyDescent="0.25">
      <c r="A2268" s="170">
        <v>45343</v>
      </c>
      <c r="B2268" s="116">
        <v>146</v>
      </c>
      <c r="C2268" s="116">
        <v>143.85</v>
      </c>
      <c r="D2268" s="116">
        <v>141.5</v>
      </c>
      <c r="E2268" s="116">
        <v>141.69999999999999</v>
      </c>
      <c r="F2268" s="116">
        <v>143.85</v>
      </c>
      <c r="G2268">
        <v>5130893</v>
      </c>
      <c r="H2268" s="116"/>
      <c r="I2268" s="116"/>
      <c r="L2268" s="170">
        <v>45343</v>
      </c>
      <c r="M2268" s="116">
        <v>143.9</v>
      </c>
      <c r="N2268" s="116">
        <v>146.19999999999999</v>
      </c>
      <c r="O2268" s="116">
        <v>141.44999999999999</v>
      </c>
      <c r="P2268" s="116">
        <v>141.55000000000001</v>
      </c>
      <c r="Q2268" s="116">
        <v>143.9</v>
      </c>
      <c r="R2268">
        <v>88000833</v>
      </c>
    </row>
    <row r="2269" spans="1:18" x14ac:dyDescent="0.25">
      <c r="A2269" s="170">
        <v>45344</v>
      </c>
      <c r="B2269" s="116">
        <v>146.15</v>
      </c>
      <c r="C2269" s="116">
        <v>145.85</v>
      </c>
      <c r="D2269" s="116">
        <v>143.5</v>
      </c>
      <c r="E2269" s="116">
        <v>145.15</v>
      </c>
      <c r="F2269" s="116">
        <v>145.85</v>
      </c>
      <c r="G2269">
        <v>1801370</v>
      </c>
      <c r="H2269" s="116"/>
      <c r="I2269" s="116"/>
      <c r="L2269" s="170">
        <v>45344</v>
      </c>
      <c r="M2269" s="116">
        <v>145.9</v>
      </c>
      <c r="N2269" s="116">
        <v>146.15</v>
      </c>
      <c r="O2269" s="116">
        <v>143.5</v>
      </c>
      <c r="P2269" s="116">
        <v>145</v>
      </c>
      <c r="Q2269" s="116">
        <v>145.9</v>
      </c>
      <c r="R2269">
        <v>46728176</v>
      </c>
    </row>
    <row r="2270" spans="1:18" x14ac:dyDescent="0.25">
      <c r="A2270" s="170">
        <v>45345</v>
      </c>
      <c r="B2270" s="116">
        <v>147.1</v>
      </c>
      <c r="C2270" s="116">
        <v>145.5</v>
      </c>
      <c r="D2270" s="116">
        <v>144.94999999999999</v>
      </c>
      <c r="E2270" s="116">
        <v>146.9</v>
      </c>
      <c r="F2270" s="116">
        <v>145.5</v>
      </c>
      <c r="G2270">
        <v>1945861</v>
      </c>
      <c r="H2270" s="116"/>
      <c r="I2270" s="116"/>
      <c r="L2270" s="170">
        <v>45345</v>
      </c>
      <c r="M2270" s="116">
        <v>145.44999999999999</v>
      </c>
      <c r="N2270" s="116">
        <v>147.1</v>
      </c>
      <c r="O2270" s="116">
        <v>145</v>
      </c>
      <c r="P2270" s="116">
        <v>146.4</v>
      </c>
      <c r="Q2270" s="116">
        <v>145.44999999999999</v>
      </c>
      <c r="R2270">
        <v>28414697</v>
      </c>
    </row>
    <row r="2271" spans="1:18" x14ac:dyDescent="0.25">
      <c r="A2271" s="170">
        <v>45348</v>
      </c>
      <c r="B2271" s="116">
        <v>146</v>
      </c>
      <c r="C2271" s="116">
        <v>142.6</v>
      </c>
      <c r="D2271" s="116">
        <v>142.25</v>
      </c>
      <c r="E2271" s="116">
        <v>146</v>
      </c>
      <c r="F2271" s="116">
        <v>142.6</v>
      </c>
      <c r="G2271">
        <v>1781222</v>
      </c>
      <c r="H2271" s="116"/>
      <c r="I2271" s="116"/>
      <c r="L2271" s="170">
        <v>45348</v>
      </c>
      <c r="M2271" s="116">
        <v>142.65</v>
      </c>
      <c r="N2271" s="116">
        <v>145.94999999999999</v>
      </c>
      <c r="O2271" s="116">
        <v>142.25</v>
      </c>
      <c r="P2271" s="116">
        <v>145.85</v>
      </c>
      <c r="Q2271" s="116">
        <v>142.65</v>
      </c>
      <c r="R2271">
        <v>22570277</v>
      </c>
    </row>
    <row r="2272" spans="1:18" x14ac:dyDescent="0.25">
      <c r="A2272" s="170">
        <v>45349</v>
      </c>
      <c r="B2272" s="116">
        <v>145.85</v>
      </c>
      <c r="C2272" s="116">
        <v>144.15</v>
      </c>
      <c r="D2272" s="116">
        <v>142</v>
      </c>
      <c r="E2272" s="116">
        <v>143.80000000000001</v>
      </c>
      <c r="F2272" s="116">
        <v>144.15</v>
      </c>
      <c r="G2272">
        <v>1429056</v>
      </c>
      <c r="H2272" s="116"/>
      <c r="I2272" s="116"/>
      <c r="L2272" s="170">
        <v>45349</v>
      </c>
      <c r="M2272" s="116">
        <v>144.19999999999999</v>
      </c>
      <c r="N2272" s="116">
        <v>144.5</v>
      </c>
      <c r="O2272" s="116">
        <v>142</v>
      </c>
      <c r="P2272" s="116">
        <v>142.65</v>
      </c>
      <c r="Q2272" s="116">
        <v>144.19999999999999</v>
      </c>
      <c r="R2272">
        <v>24119469</v>
      </c>
    </row>
    <row r="2273" spans="1:18" x14ac:dyDescent="0.25">
      <c r="A2273" s="170">
        <v>45350</v>
      </c>
      <c r="B2273" s="116">
        <v>144.94999999999999</v>
      </c>
      <c r="C2273" s="116">
        <v>140.75</v>
      </c>
      <c r="D2273" s="116">
        <v>140.1</v>
      </c>
      <c r="E2273" s="116">
        <v>143.75</v>
      </c>
      <c r="F2273" s="116">
        <v>140.75</v>
      </c>
      <c r="G2273">
        <v>1012367</v>
      </c>
      <c r="H2273" s="116"/>
      <c r="I2273" s="116"/>
      <c r="L2273" s="170">
        <v>45350</v>
      </c>
      <c r="M2273" s="116">
        <v>140.75</v>
      </c>
      <c r="N2273" s="116">
        <v>144.94999999999999</v>
      </c>
      <c r="O2273" s="116">
        <v>140.05000000000001</v>
      </c>
      <c r="P2273" s="116">
        <v>144.05000000000001</v>
      </c>
      <c r="Q2273" s="116">
        <v>140.75</v>
      </c>
      <c r="R2273">
        <v>20721926</v>
      </c>
    </row>
    <row r="2274" spans="1:18" x14ac:dyDescent="0.25">
      <c r="A2274" s="170">
        <v>45351</v>
      </c>
      <c r="B2274" s="116">
        <v>141.75</v>
      </c>
      <c r="C2274" s="116">
        <v>140.9</v>
      </c>
      <c r="D2274" s="116">
        <v>139.35</v>
      </c>
      <c r="E2274" s="116">
        <v>140.9</v>
      </c>
      <c r="F2274" s="116">
        <v>140.9</v>
      </c>
      <c r="G2274">
        <v>2346366</v>
      </c>
      <c r="H2274" s="116"/>
      <c r="I2274" s="116"/>
      <c r="L2274" s="170">
        <v>45351</v>
      </c>
      <c r="M2274" s="116">
        <v>140.85</v>
      </c>
      <c r="N2274" s="116">
        <v>141.85</v>
      </c>
      <c r="O2274" s="116">
        <v>139.4</v>
      </c>
      <c r="P2274" s="116">
        <v>140.80000000000001</v>
      </c>
      <c r="Q2274" s="116">
        <v>140.85</v>
      </c>
      <c r="R2274">
        <v>32248156</v>
      </c>
    </row>
    <row r="2275" spans="1:18" x14ac:dyDescent="0.25">
      <c r="A2275" s="170">
        <v>45352</v>
      </c>
      <c r="B2275" s="116">
        <v>150.65</v>
      </c>
      <c r="C2275" s="116">
        <v>150</v>
      </c>
      <c r="D2275" s="116">
        <v>142.05000000000001</v>
      </c>
      <c r="E2275" s="116">
        <v>142.05000000000001</v>
      </c>
      <c r="F2275" s="116">
        <v>150</v>
      </c>
      <c r="G2275">
        <v>10093916</v>
      </c>
      <c r="H2275" s="116"/>
      <c r="I2275" s="116"/>
      <c r="L2275" s="170">
        <v>45352</v>
      </c>
      <c r="M2275" s="116">
        <v>149.94999999999999</v>
      </c>
      <c r="N2275" s="116">
        <v>150.65</v>
      </c>
      <c r="O2275" s="116">
        <v>143</v>
      </c>
      <c r="P2275" s="116">
        <v>143</v>
      </c>
      <c r="Q2275" s="116">
        <v>149.94999999999999</v>
      </c>
      <c r="R2275">
        <v>123709943</v>
      </c>
    </row>
    <row r="2276" spans="1:18" x14ac:dyDescent="0.25">
      <c r="A2276" s="170">
        <v>45353</v>
      </c>
      <c r="B2276" s="116">
        <v>156.1</v>
      </c>
      <c r="C2276" s="116">
        <v>155.15</v>
      </c>
      <c r="D2276" s="116">
        <v>151</v>
      </c>
      <c r="E2276" s="116">
        <v>152</v>
      </c>
      <c r="F2276" s="116">
        <v>155.15</v>
      </c>
      <c r="G2276">
        <v>2155073</v>
      </c>
      <c r="H2276" s="116"/>
      <c r="I2276" s="116"/>
      <c r="L2276" s="170">
        <v>45353</v>
      </c>
      <c r="M2276" s="116">
        <v>155.25</v>
      </c>
      <c r="N2276" s="116">
        <v>156.19999999999999</v>
      </c>
      <c r="O2276" s="116">
        <v>151</v>
      </c>
      <c r="P2276" s="116">
        <v>152</v>
      </c>
      <c r="Q2276" s="116">
        <v>155.25</v>
      </c>
      <c r="R2276">
        <v>21643047</v>
      </c>
    </row>
    <row r="2277" spans="1:18" x14ac:dyDescent="0.25">
      <c r="A2277" s="170">
        <v>45355</v>
      </c>
      <c r="B2277" s="116">
        <v>155.25</v>
      </c>
      <c r="C2277" s="116">
        <v>153.1</v>
      </c>
      <c r="D2277" s="116">
        <v>151.05000000000001</v>
      </c>
      <c r="E2277" s="116">
        <v>155.25</v>
      </c>
      <c r="F2277" s="116">
        <v>153.1</v>
      </c>
      <c r="G2277">
        <v>3592454</v>
      </c>
      <c r="H2277" s="116"/>
      <c r="I2277" s="116"/>
      <c r="L2277" s="170">
        <v>45355</v>
      </c>
      <c r="M2277" s="116">
        <v>153.1</v>
      </c>
      <c r="N2277" s="116">
        <v>154.9</v>
      </c>
      <c r="O2277" s="116">
        <v>151.05000000000001</v>
      </c>
      <c r="P2277" s="116">
        <v>154.9</v>
      </c>
      <c r="Q2277" s="116">
        <v>153.1</v>
      </c>
      <c r="R2277">
        <v>67577785</v>
      </c>
    </row>
    <row r="2278" spans="1:18" x14ac:dyDescent="0.25">
      <c r="A2278" s="170">
        <v>45356</v>
      </c>
      <c r="B2278" s="116">
        <v>154</v>
      </c>
      <c r="C2278" s="116">
        <v>151.85</v>
      </c>
      <c r="D2278" s="116">
        <v>150.80000000000001</v>
      </c>
      <c r="E2278" s="116">
        <v>153.85</v>
      </c>
      <c r="F2278" s="116">
        <v>151.85</v>
      </c>
      <c r="G2278">
        <v>2665016</v>
      </c>
      <c r="H2278" s="116"/>
      <c r="I2278" s="116"/>
      <c r="L2278" s="170">
        <v>45356</v>
      </c>
      <c r="M2278" s="116">
        <v>151.85</v>
      </c>
      <c r="N2278" s="116">
        <v>154</v>
      </c>
      <c r="O2278" s="116">
        <v>150.75</v>
      </c>
      <c r="P2278" s="116">
        <v>153.19999999999999</v>
      </c>
      <c r="Q2278" s="116">
        <v>151.85</v>
      </c>
      <c r="R2278">
        <v>37165490</v>
      </c>
    </row>
    <row r="2279" spans="1:18" x14ac:dyDescent="0.25">
      <c r="A2279" s="170">
        <v>45357</v>
      </c>
      <c r="B2279" s="116">
        <v>152.65</v>
      </c>
      <c r="C2279" s="116">
        <v>151.35</v>
      </c>
      <c r="D2279" s="116">
        <v>147.9</v>
      </c>
      <c r="E2279" s="116">
        <v>151.94999999999999</v>
      </c>
      <c r="F2279" s="116">
        <v>151.35</v>
      </c>
      <c r="G2279">
        <v>3541822</v>
      </c>
      <c r="H2279" s="116"/>
      <c r="I2279" s="116"/>
      <c r="L2279" s="170">
        <v>45357</v>
      </c>
      <c r="M2279" s="116">
        <v>151.6</v>
      </c>
      <c r="N2279" s="116">
        <v>152.65</v>
      </c>
      <c r="O2279" s="116">
        <v>147.9</v>
      </c>
      <c r="P2279" s="116">
        <v>151.80000000000001</v>
      </c>
      <c r="Q2279" s="116">
        <v>151.6</v>
      </c>
      <c r="R2279">
        <v>51782444</v>
      </c>
    </row>
    <row r="2280" spans="1:18" x14ac:dyDescent="0.25">
      <c r="A2280" s="170">
        <v>45358</v>
      </c>
      <c r="B2280" s="116">
        <v>159.15</v>
      </c>
      <c r="C2280" s="116">
        <v>157.25</v>
      </c>
      <c r="D2280" s="116">
        <v>152.35</v>
      </c>
      <c r="E2280" s="116">
        <v>152.5</v>
      </c>
      <c r="F2280" s="116">
        <v>157.25</v>
      </c>
      <c r="G2280">
        <v>5833064</v>
      </c>
      <c r="H2280" s="116"/>
      <c r="I2280" s="116"/>
      <c r="L2280" s="170">
        <v>45358</v>
      </c>
      <c r="M2280" s="116">
        <v>157.25</v>
      </c>
      <c r="N2280" s="116">
        <v>159.15</v>
      </c>
      <c r="O2280" s="116">
        <v>152.25</v>
      </c>
      <c r="P2280" s="116">
        <v>152.4</v>
      </c>
      <c r="Q2280" s="116">
        <v>157.25</v>
      </c>
      <c r="R2280">
        <v>124847699</v>
      </c>
    </row>
    <row r="2281" spans="1:18" x14ac:dyDescent="0.25">
      <c r="A2281" s="170">
        <v>45362</v>
      </c>
      <c r="B2281" s="116">
        <v>159.5</v>
      </c>
      <c r="C2281" s="116">
        <v>153.5</v>
      </c>
      <c r="D2281" s="116">
        <v>153.05000000000001</v>
      </c>
      <c r="E2281" s="116">
        <v>159.5</v>
      </c>
      <c r="F2281" s="116">
        <v>153.5</v>
      </c>
      <c r="G2281">
        <v>3500378</v>
      </c>
      <c r="H2281" s="116"/>
      <c r="I2281" s="116"/>
      <c r="L2281" s="170">
        <v>45362</v>
      </c>
      <c r="M2281" s="116">
        <v>153.44999999999999</v>
      </c>
      <c r="N2281" s="116">
        <v>158.9</v>
      </c>
      <c r="O2281" s="116">
        <v>153</v>
      </c>
      <c r="P2281" s="116">
        <v>158.9</v>
      </c>
      <c r="Q2281" s="116">
        <v>153.44999999999999</v>
      </c>
      <c r="R2281">
        <v>54155385</v>
      </c>
    </row>
    <row r="2282" spans="1:18" x14ac:dyDescent="0.25">
      <c r="A2282" s="170">
        <v>45363</v>
      </c>
      <c r="B2282" s="116">
        <v>154.5</v>
      </c>
      <c r="C2282" s="116">
        <v>152.44999999999999</v>
      </c>
      <c r="D2282" s="116">
        <v>150.9</v>
      </c>
      <c r="E2282" s="116">
        <v>154.5</v>
      </c>
      <c r="F2282" s="116">
        <v>152.44999999999999</v>
      </c>
      <c r="G2282">
        <v>2796656</v>
      </c>
      <c r="H2282" s="116"/>
      <c r="I2282" s="116"/>
      <c r="L2282" s="170">
        <v>45363</v>
      </c>
      <c r="M2282" s="116">
        <v>152.5</v>
      </c>
      <c r="N2282" s="116">
        <v>154.55000000000001</v>
      </c>
      <c r="O2282" s="116">
        <v>150.9</v>
      </c>
      <c r="P2282" s="116">
        <v>154.19999999999999</v>
      </c>
      <c r="Q2282" s="116">
        <v>152.5</v>
      </c>
      <c r="R2282">
        <v>34947937</v>
      </c>
    </row>
    <row r="2283" spans="1:18" x14ac:dyDescent="0.25">
      <c r="A2283" s="170">
        <v>45364</v>
      </c>
      <c r="B2283" s="116">
        <v>153</v>
      </c>
      <c r="C2283" s="116">
        <v>143.5</v>
      </c>
      <c r="D2283" s="116">
        <v>142.5</v>
      </c>
      <c r="E2283" s="116">
        <v>152.5</v>
      </c>
      <c r="F2283" s="116">
        <v>143.5</v>
      </c>
      <c r="G2283">
        <v>2641478</v>
      </c>
      <c r="H2283" s="116"/>
      <c r="I2283" s="116"/>
      <c r="L2283" s="170">
        <v>45364</v>
      </c>
      <c r="M2283" s="116">
        <v>143.65</v>
      </c>
      <c r="N2283" s="116">
        <v>152.9</v>
      </c>
      <c r="O2283" s="116">
        <v>142.5</v>
      </c>
      <c r="P2283" s="116">
        <v>152.80000000000001</v>
      </c>
      <c r="Q2283" s="116">
        <v>143.65</v>
      </c>
      <c r="R2283">
        <v>70937597</v>
      </c>
    </row>
    <row r="2284" spans="1:18" x14ac:dyDescent="0.25">
      <c r="A2284" s="170">
        <v>45365</v>
      </c>
      <c r="B2284" s="116">
        <v>143.80000000000001</v>
      </c>
      <c r="C2284" s="116">
        <v>142.5</v>
      </c>
      <c r="D2284" s="116">
        <v>138.4</v>
      </c>
      <c r="E2284" s="116">
        <v>143.80000000000001</v>
      </c>
      <c r="F2284" s="116">
        <v>142.5</v>
      </c>
      <c r="G2284">
        <v>3612814</v>
      </c>
      <c r="H2284" s="116"/>
      <c r="I2284" s="116"/>
      <c r="L2284" s="170">
        <v>45365</v>
      </c>
      <c r="M2284" s="116">
        <v>142.44999999999999</v>
      </c>
      <c r="N2284" s="116">
        <v>143.94999999999999</v>
      </c>
      <c r="O2284" s="116">
        <v>138.35</v>
      </c>
      <c r="P2284" s="116">
        <v>143.6</v>
      </c>
      <c r="Q2284" s="116">
        <v>142.44999999999999</v>
      </c>
      <c r="R2284">
        <v>91956952</v>
      </c>
    </row>
    <row r="2285" spans="1:18" x14ac:dyDescent="0.25">
      <c r="A2285" s="170">
        <v>45366</v>
      </c>
      <c r="B2285" s="116">
        <v>143.65</v>
      </c>
      <c r="C2285" s="116">
        <v>141.55000000000001</v>
      </c>
      <c r="D2285" s="116">
        <v>139.85</v>
      </c>
      <c r="E2285" s="116">
        <v>143.30000000000001</v>
      </c>
      <c r="F2285" s="116">
        <v>141.55000000000001</v>
      </c>
      <c r="G2285">
        <v>6336687</v>
      </c>
      <c r="H2285" s="116"/>
      <c r="I2285" s="116"/>
      <c r="L2285" s="170">
        <v>45366</v>
      </c>
      <c r="M2285" s="116">
        <v>141.69999999999999</v>
      </c>
      <c r="N2285" s="116">
        <v>143.69999999999999</v>
      </c>
      <c r="O2285" s="116">
        <v>139.85</v>
      </c>
      <c r="P2285" s="116">
        <v>142.9</v>
      </c>
      <c r="Q2285" s="116">
        <v>141.69999999999999</v>
      </c>
      <c r="R2285">
        <v>68482621</v>
      </c>
    </row>
    <row r="2286" spans="1:18" x14ac:dyDescent="0.25">
      <c r="A2286" s="170">
        <v>45369</v>
      </c>
      <c r="B2286" s="116">
        <v>150.25</v>
      </c>
      <c r="C2286" s="116">
        <v>149.6</v>
      </c>
      <c r="D2286" s="116">
        <v>142.19999999999999</v>
      </c>
      <c r="E2286" s="116">
        <v>143.85</v>
      </c>
      <c r="F2286" s="116">
        <v>149.6</v>
      </c>
      <c r="G2286">
        <v>5054171</v>
      </c>
      <c r="H2286" s="116"/>
      <c r="I2286" s="116"/>
      <c r="L2286" s="170">
        <v>45369</v>
      </c>
      <c r="M2286" s="116">
        <v>149.69999999999999</v>
      </c>
      <c r="N2286" s="116">
        <v>150.25</v>
      </c>
      <c r="O2286" s="116">
        <v>142.19999999999999</v>
      </c>
      <c r="P2286" s="116">
        <v>142.55000000000001</v>
      </c>
      <c r="Q2286" s="116">
        <v>149.69999999999999</v>
      </c>
      <c r="R2286">
        <v>166913078</v>
      </c>
    </row>
    <row r="2287" spans="1:18" x14ac:dyDescent="0.25">
      <c r="A2287" s="170">
        <v>45370</v>
      </c>
      <c r="B2287" s="116">
        <v>152.55000000000001</v>
      </c>
      <c r="C2287" s="116">
        <v>148.65</v>
      </c>
      <c r="D2287" s="116">
        <v>147.55000000000001</v>
      </c>
      <c r="E2287" s="116">
        <v>149.55000000000001</v>
      </c>
      <c r="F2287" s="116">
        <v>148.65</v>
      </c>
      <c r="G2287">
        <v>5109060</v>
      </c>
      <c r="H2287" s="116"/>
      <c r="I2287" s="116"/>
      <c r="L2287" s="170">
        <v>45370</v>
      </c>
      <c r="M2287" s="116">
        <v>148.75</v>
      </c>
      <c r="N2287" s="116">
        <v>152.44999999999999</v>
      </c>
      <c r="O2287" s="116">
        <v>147.6</v>
      </c>
      <c r="P2287" s="116">
        <v>149</v>
      </c>
      <c r="Q2287" s="116">
        <v>148.75</v>
      </c>
      <c r="R2287">
        <v>105004268</v>
      </c>
    </row>
    <row r="2288" spans="1:18" x14ac:dyDescent="0.25">
      <c r="A2288" s="170">
        <v>45371</v>
      </c>
      <c r="B2288" s="116">
        <v>150.69999999999999</v>
      </c>
      <c r="C2288" s="116">
        <v>145.69999999999999</v>
      </c>
      <c r="D2288" s="116">
        <v>143.85</v>
      </c>
      <c r="E2288" s="116">
        <v>149.69999999999999</v>
      </c>
      <c r="F2288" s="116">
        <v>145.69999999999999</v>
      </c>
      <c r="G2288">
        <v>4001336</v>
      </c>
      <c r="H2288" s="116"/>
      <c r="I2288" s="116"/>
      <c r="L2288" s="170">
        <v>45371</v>
      </c>
      <c r="M2288" s="116">
        <v>145.65</v>
      </c>
      <c r="N2288" s="116">
        <v>150.65</v>
      </c>
      <c r="O2288" s="116">
        <v>143.85</v>
      </c>
      <c r="P2288" s="116">
        <v>149.6</v>
      </c>
      <c r="Q2288" s="116">
        <v>145.65</v>
      </c>
      <c r="R2288">
        <v>77550319</v>
      </c>
    </row>
    <row r="2289" spans="1:18" x14ac:dyDescent="0.25">
      <c r="A2289" s="170">
        <v>45372</v>
      </c>
      <c r="B2289" s="116">
        <v>151.15</v>
      </c>
      <c r="C2289" s="116">
        <v>150.05000000000001</v>
      </c>
      <c r="D2289" s="116">
        <v>147.9</v>
      </c>
      <c r="E2289" s="116">
        <v>148.05000000000001</v>
      </c>
      <c r="F2289" s="116">
        <v>150.05000000000001</v>
      </c>
      <c r="G2289">
        <v>5496706</v>
      </c>
      <c r="H2289" s="116"/>
      <c r="I2289" s="116"/>
      <c r="L2289" s="170">
        <v>45372</v>
      </c>
      <c r="M2289" s="116">
        <v>150.1</v>
      </c>
      <c r="N2289" s="116">
        <v>151.19999999999999</v>
      </c>
      <c r="O2289" s="116">
        <v>147.80000000000001</v>
      </c>
      <c r="P2289" s="116">
        <v>148</v>
      </c>
      <c r="Q2289" s="116">
        <v>150.1</v>
      </c>
      <c r="R2289">
        <v>84225737</v>
      </c>
    </row>
    <row r="2290" spans="1:18" x14ac:dyDescent="0.25">
      <c r="A2290" s="170">
        <v>45373</v>
      </c>
      <c r="B2290" s="116">
        <v>152.75</v>
      </c>
      <c r="C2290" s="116">
        <v>151.94999999999999</v>
      </c>
      <c r="D2290" s="116">
        <v>148.55000000000001</v>
      </c>
      <c r="E2290" s="116">
        <v>149.19999999999999</v>
      </c>
      <c r="F2290" s="116">
        <v>151.94999999999999</v>
      </c>
      <c r="G2290">
        <v>4672236</v>
      </c>
      <c r="H2290" s="116"/>
      <c r="I2290" s="116"/>
      <c r="L2290" s="170">
        <v>45373</v>
      </c>
      <c r="M2290" s="116">
        <v>151.80000000000001</v>
      </c>
      <c r="N2290" s="116">
        <v>152.75</v>
      </c>
      <c r="O2290" s="116">
        <v>148.35</v>
      </c>
      <c r="P2290" s="116">
        <v>149</v>
      </c>
      <c r="Q2290" s="116">
        <v>151.80000000000001</v>
      </c>
      <c r="R2290">
        <v>68241556</v>
      </c>
    </row>
    <row r="2291" spans="1:18" x14ac:dyDescent="0.25">
      <c r="A2291" s="170">
        <v>45377</v>
      </c>
      <c r="B2291" s="116">
        <v>153.4</v>
      </c>
      <c r="C2291" s="116">
        <v>152.30000000000001</v>
      </c>
      <c r="D2291" s="116">
        <v>150.6</v>
      </c>
      <c r="E2291" s="116">
        <v>151.4</v>
      </c>
      <c r="F2291" s="116">
        <v>152.30000000000001</v>
      </c>
      <c r="G2291">
        <v>3757132</v>
      </c>
      <c r="H2291" s="116"/>
      <c r="I2291" s="116"/>
      <c r="L2291" s="170">
        <v>45377</v>
      </c>
      <c r="M2291" s="116">
        <v>152.4</v>
      </c>
      <c r="N2291" s="116">
        <v>153.4</v>
      </c>
      <c r="O2291" s="116">
        <v>150.5</v>
      </c>
      <c r="P2291" s="116">
        <v>151.15</v>
      </c>
      <c r="Q2291" s="116">
        <v>152.4</v>
      </c>
      <c r="R2291">
        <v>52965508</v>
      </c>
    </row>
    <row r="2292" spans="1:18" x14ac:dyDescent="0.25">
      <c r="A2292" s="170">
        <v>45378</v>
      </c>
      <c r="B2292" s="116">
        <v>154.05000000000001</v>
      </c>
      <c r="C2292" s="116">
        <v>152.85</v>
      </c>
      <c r="D2292" s="116">
        <v>152.05000000000001</v>
      </c>
      <c r="E2292" s="116">
        <v>152.65</v>
      </c>
      <c r="F2292" s="116">
        <v>152.85</v>
      </c>
      <c r="G2292">
        <v>1719445</v>
      </c>
      <c r="H2292" s="116"/>
      <c r="I2292" s="116"/>
      <c r="L2292" s="170">
        <v>45378</v>
      </c>
      <c r="M2292" s="116">
        <v>152.69999999999999</v>
      </c>
      <c r="N2292" s="116">
        <v>154.1</v>
      </c>
      <c r="O2292" s="116">
        <v>152</v>
      </c>
      <c r="P2292" s="116">
        <v>152.44999999999999</v>
      </c>
      <c r="Q2292" s="116">
        <v>152.69999999999999</v>
      </c>
      <c r="R2292">
        <v>35328794</v>
      </c>
    </row>
    <row r="2293" spans="1:18" x14ac:dyDescent="0.25">
      <c r="A2293" s="170">
        <v>45379</v>
      </c>
      <c r="B2293" s="116">
        <v>156.6</v>
      </c>
      <c r="C2293" s="116">
        <v>155.9</v>
      </c>
      <c r="D2293" s="116">
        <v>152.69999999999999</v>
      </c>
      <c r="E2293" s="116">
        <v>152.9</v>
      </c>
      <c r="F2293" s="116">
        <v>155.9</v>
      </c>
      <c r="G2293">
        <v>4739965</v>
      </c>
      <c r="H2293" s="116"/>
      <c r="I2293" s="116"/>
      <c r="L2293" s="170">
        <v>45379</v>
      </c>
      <c r="M2293" s="116">
        <v>155.85</v>
      </c>
      <c r="N2293" s="116">
        <v>157</v>
      </c>
      <c r="O2293" s="116">
        <v>152.69999999999999</v>
      </c>
      <c r="P2293" s="116">
        <v>152.69999999999999</v>
      </c>
      <c r="Q2293" s="116">
        <v>155.85</v>
      </c>
      <c r="R2293">
        <v>62575327</v>
      </c>
    </row>
    <row r="2294" spans="1:18" x14ac:dyDescent="0.25">
      <c r="A2294" s="170">
        <v>45383</v>
      </c>
      <c r="B2294" s="116">
        <v>163.9</v>
      </c>
      <c r="C2294" s="116">
        <v>163.1</v>
      </c>
      <c r="D2294" s="116">
        <v>156.55000000000001</v>
      </c>
      <c r="E2294" s="116">
        <v>156.85</v>
      </c>
      <c r="F2294" s="116">
        <v>163.1</v>
      </c>
      <c r="G2294">
        <v>6699918</v>
      </c>
      <c r="H2294" s="116"/>
      <c r="I2294" s="116"/>
      <c r="L2294" s="170">
        <v>45383</v>
      </c>
      <c r="M2294" s="116">
        <v>163.15</v>
      </c>
      <c r="N2294" s="116">
        <v>163.9</v>
      </c>
      <c r="O2294" s="116">
        <v>156.5</v>
      </c>
      <c r="P2294" s="116">
        <v>156.80000000000001</v>
      </c>
      <c r="Q2294" s="116">
        <v>163.15</v>
      </c>
      <c r="R2294">
        <v>84583929</v>
      </c>
    </row>
    <row r="2295" spans="1:18" x14ac:dyDescent="0.25">
      <c r="A2295" s="170">
        <v>45384</v>
      </c>
      <c r="B2295" s="116">
        <v>165.5</v>
      </c>
      <c r="C2295" s="116">
        <v>164.65</v>
      </c>
      <c r="D2295" s="116">
        <v>161.85</v>
      </c>
      <c r="E2295" s="116">
        <v>163.4</v>
      </c>
      <c r="F2295" s="116">
        <v>164.65</v>
      </c>
      <c r="G2295">
        <v>2897630</v>
      </c>
      <c r="H2295" s="116"/>
      <c r="I2295" s="116"/>
      <c r="L2295" s="170">
        <v>45384</v>
      </c>
      <c r="M2295" s="116">
        <v>164.65</v>
      </c>
      <c r="N2295" s="116">
        <v>165.5</v>
      </c>
      <c r="O2295" s="116">
        <v>161.80000000000001</v>
      </c>
      <c r="P2295" s="116">
        <v>162.94999999999999</v>
      </c>
      <c r="Q2295" s="116">
        <v>164.65</v>
      </c>
      <c r="R2295">
        <v>69533405</v>
      </c>
    </row>
    <row r="2296" spans="1:18" x14ac:dyDescent="0.25">
      <c r="A2296" s="170">
        <v>45385</v>
      </c>
      <c r="B2296" s="116">
        <v>166.3</v>
      </c>
      <c r="C2296" s="116">
        <v>163.6</v>
      </c>
      <c r="D2296" s="116">
        <v>163</v>
      </c>
      <c r="E2296" s="116">
        <v>164.95</v>
      </c>
      <c r="F2296" s="116">
        <v>163.6</v>
      </c>
      <c r="G2296">
        <v>3415706</v>
      </c>
      <c r="H2296" s="116"/>
      <c r="I2296" s="116"/>
      <c r="L2296" s="170">
        <v>45385</v>
      </c>
      <c r="M2296" s="116">
        <v>163.65</v>
      </c>
      <c r="N2296" s="116">
        <v>166.25</v>
      </c>
      <c r="O2296" s="116">
        <v>163.1</v>
      </c>
      <c r="P2296" s="116">
        <v>164.65</v>
      </c>
      <c r="Q2296" s="116">
        <v>163.65</v>
      </c>
      <c r="R2296">
        <v>50938559</v>
      </c>
    </row>
    <row r="2297" spans="1:18" x14ac:dyDescent="0.25">
      <c r="A2297" s="170">
        <v>45386</v>
      </c>
      <c r="B2297" s="116">
        <v>165.95</v>
      </c>
      <c r="C2297" s="116">
        <v>163.4</v>
      </c>
      <c r="D2297" s="116">
        <v>161</v>
      </c>
      <c r="E2297" s="116">
        <v>165.75</v>
      </c>
      <c r="F2297" s="116">
        <v>163.4</v>
      </c>
      <c r="G2297">
        <v>3505058</v>
      </c>
      <c r="H2297" s="116"/>
      <c r="I2297" s="116"/>
      <c r="L2297" s="170">
        <v>45386</v>
      </c>
      <c r="M2297" s="116">
        <v>163.4</v>
      </c>
      <c r="N2297" s="116">
        <v>165.95</v>
      </c>
      <c r="O2297" s="116">
        <v>161</v>
      </c>
      <c r="P2297" s="116">
        <v>165.55</v>
      </c>
      <c r="Q2297" s="116">
        <v>163.4</v>
      </c>
      <c r="R2297">
        <v>61094750</v>
      </c>
    </row>
    <row r="2298" spans="1:18" x14ac:dyDescent="0.25">
      <c r="A2298" s="170">
        <v>45387</v>
      </c>
      <c r="B2298" s="116">
        <v>164.1</v>
      </c>
      <c r="C2298" s="116">
        <v>163.35</v>
      </c>
      <c r="D2298" s="116">
        <v>160.85</v>
      </c>
      <c r="E2298" s="116">
        <v>163.65</v>
      </c>
      <c r="F2298" s="116">
        <v>163.35</v>
      </c>
      <c r="G2298">
        <v>2968236</v>
      </c>
      <c r="H2298" s="116"/>
      <c r="I2298" s="116"/>
      <c r="L2298" s="170">
        <v>45387</v>
      </c>
      <c r="M2298" s="116">
        <v>163.35</v>
      </c>
      <c r="N2298" s="116">
        <v>164.15</v>
      </c>
      <c r="O2298" s="116">
        <v>160.80000000000001</v>
      </c>
      <c r="P2298" s="116">
        <v>163.9</v>
      </c>
      <c r="Q2298" s="116">
        <v>163.35</v>
      </c>
      <c r="R2298">
        <v>44668121</v>
      </c>
    </row>
    <row r="2299" spans="1:18" x14ac:dyDescent="0.25">
      <c r="A2299" s="170">
        <v>45390</v>
      </c>
      <c r="B2299" s="116">
        <v>166.85</v>
      </c>
      <c r="C2299" s="116">
        <v>165.15</v>
      </c>
      <c r="D2299" s="116">
        <v>164.2</v>
      </c>
      <c r="E2299" s="116">
        <v>166.65</v>
      </c>
      <c r="F2299" s="116">
        <v>165.15</v>
      </c>
      <c r="G2299">
        <v>2884242</v>
      </c>
      <c r="H2299" s="116"/>
      <c r="I2299" s="116"/>
      <c r="L2299" s="170">
        <v>45390</v>
      </c>
      <c r="M2299" s="116">
        <v>165.2</v>
      </c>
      <c r="N2299" s="116">
        <v>166.95</v>
      </c>
      <c r="O2299" s="116">
        <v>164.2</v>
      </c>
      <c r="P2299" s="116">
        <v>166.95</v>
      </c>
      <c r="Q2299" s="116">
        <v>165.2</v>
      </c>
      <c r="R2299">
        <v>48255703</v>
      </c>
    </row>
    <row r="2300" spans="1:18" x14ac:dyDescent="0.25">
      <c r="A2300" s="170">
        <v>45391</v>
      </c>
      <c r="B2300" s="116">
        <v>169.75</v>
      </c>
      <c r="C2300" s="116">
        <v>165.95</v>
      </c>
      <c r="D2300" s="116">
        <v>165.25</v>
      </c>
      <c r="E2300" s="116">
        <v>166.15</v>
      </c>
      <c r="F2300" s="116">
        <v>165.95</v>
      </c>
      <c r="G2300">
        <v>2916598</v>
      </c>
      <c r="H2300" s="116"/>
      <c r="I2300" s="116"/>
      <c r="L2300" s="170">
        <v>45391</v>
      </c>
      <c r="M2300" s="116">
        <v>166</v>
      </c>
      <c r="N2300" s="116">
        <v>169.8</v>
      </c>
      <c r="O2300" s="116">
        <v>165.2</v>
      </c>
      <c r="P2300" s="116">
        <v>166</v>
      </c>
      <c r="Q2300" s="116">
        <v>166</v>
      </c>
      <c r="R2300">
        <v>63884687</v>
      </c>
    </row>
    <row r="2301" spans="1:18" x14ac:dyDescent="0.25">
      <c r="A2301" s="170">
        <v>45392</v>
      </c>
      <c r="B2301" s="116">
        <v>169.2</v>
      </c>
      <c r="C2301" s="116">
        <v>165.15</v>
      </c>
      <c r="D2301" s="116">
        <v>164.45</v>
      </c>
      <c r="E2301" s="116">
        <v>167.55</v>
      </c>
      <c r="F2301" s="116">
        <v>165.15</v>
      </c>
      <c r="G2301">
        <v>2448142</v>
      </c>
      <c r="H2301" s="116"/>
      <c r="I2301" s="116"/>
      <c r="L2301" s="170">
        <v>45392</v>
      </c>
      <c r="M2301" s="116">
        <v>165.05</v>
      </c>
      <c r="N2301" s="116">
        <v>169.2</v>
      </c>
      <c r="O2301" s="116">
        <v>164.5</v>
      </c>
      <c r="P2301" s="116">
        <v>167.3</v>
      </c>
      <c r="Q2301" s="116">
        <v>165.05</v>
      </c>
      <c r="R2301">
        <v>64134758</v>
      </c>
    </row>
    <row r="2302" spans="1:18" x14ac:dyDescent="0.25">
      <c r="A2302" s="170">
        <v>45394</v>
      </c>
      <c r="B2302" s="116">
        <v>166.95</v>
      </c>
      <c r="C2302" s="116">
        <v>163.5</v>
      </c>
      <c r="D2302" s="116">
        <v>163</v>
      </c>
      <c r="E2302" s="116">
        <v>166.95</v>
      </c>
      <c r="F2302" s="116">
        <v>163.5</v>
      </c>
      <c r="G2302">
        <v>3938276</v>
      </c>
      <c r="H2302" s="116"/>
      <c r="I2302" s="116"/>
      <c r="L2302" s="170">
        <v>45394</v>
      </c>
      <c r="M2302" s="116">
        <v>163.5</v>
      </c>
      <c r="N2302" s="116">
        <v>166</v>
      </c>
      <c r="O2302" s="116">
        <v>163</v>
      </c>
      <c r="P2302" s="116">
        <v>166</v>
      </c>
      <c r="Q2302" s="116">
        <v>163.5</v>
      </c>
      <c r="R2302">
        <v>55317636</v>
      </c>
    </row>
    <row r="2303" spans="1:18" x14ac:dyDescent="0.25">
      <c r="A2303" s="170">
        <v>45397</v>
      </c>
      <c r="B2303" s="116">
        <v>164.7</v>
      </c>
      <c r="C2303" s="116">
        <v>160.9</v>
      </c>
      <c r="D2303" s="116">
        <v>158.65</v>
      </c>
      <c r="E2303" s="116">
        <v>160.25</v>
      </c>
      <c r="F2303" s="116">
        <v>160.9</v>
      </c>
      <c r="G2303">
        <v>5102260</v>
      </c>
      <c r="H2303" s="116"/>
      <c r="I2303" s="116"/>
      <c r="L2303" s="170">
        <v>45397</v>
      </c>
      <c r="M2303" s="116">
        <v>160.85</v>
      </c>
      <c r="N2303" s="116">
        <v>164.7</v>
      </c>
      <c r="O2303" s="116">
        <v>158.6</v>
      </c>
      <c r="P2303" s="116">
        <v>161.80000000000001</v>
      </c>
      <c r="Q2303" s="116">
        <v>160.85</v>
      </c>
      <c r="R2303">
        <v>66426404</v>
      </c>
    </row>
    <row r="2304" spans="1:18" x14ac:dyDescent="0.25">
      <c r="A2304" s="170">
        <v>45398</v>
      </c>
      <c r="B2304" s="116">
        <v>162.4</v>
      </c>
      <c r="C2304" s="116">
        <v>160.05000000000001</v>
      </c>
      <c r="D2304" s="116">
        <v>158.94999999999999</v>
      </c>
      <c r="E2304" s="116">
        <v>160.9</v>
      </c>
      <c r="F2304" s="116">
        <v>160.05000000000001</v>
      </c>
      <c r="G2304">
        <v>2748399</v>
      </c>
      <c r="H2304" s="116"/>
      <c r="I2304" s="116"/>
      <c r="L2304" s="170">
        <v>45398</v>
      </c>
      <c r="M2304" s="116">
        <v>160.05000000000001</v>
      </c>
      <c r="N2304" s="116">
        <v>162.44999999999999</v>
      </c>
      <c r="O2304" s="116">
        <v>159</v>
      </c>
      <c r="P2304" s="116">
        <v>160.85</v>
      </c>
      <c r="Q2304" s="116">
        <v>160.05000000000001</v>
      </c>
      <c r="R2304">
        <v>41391261</v>
      </c>
    </row>
    <row r="2305" spans="1:18" x14ac:dyDescent="0.25">
      <c r="A2305" s="170">
        <v>45400</v>
      </c>
      <c r="B2305" s="116">
        <v>164</v>
      </c>
      <c r="C2305" s="116">
        <v>160</v>
      </c>
      <c r="D2305" s="116">
        <v>159.19999999999999</v>
      </c>
      <c r="E2305" s="116">
        <v>161</v>
      </c>
      <c r="F2305" s="116">
        <v>160</v>
      </c>
      <c r="G2305">
        <v>3948648</v>
      </c>
      <c r="H2305" s="116"/>
      <c r="I2305" s="116"/>
      <c r="L2305" s="170">
        <v>45400</v>
      </c>
      <c r="M2305" s="116">
        <v>160.05000000000001</v>
      </c>
      <c r="N2305" s="116">
        <v>164</v>
      </c>
      <c r="O2305" s="116">
        <v>159.15</v>
      </c>
      <c r="P2305" s="116">
        <v>160.9</v>
      </c>
      <c r="Q2305" s="116">
        <v>160.05000000000001</v>
      </c>
      <c r="R2305">
        <v>68093672</v>
      </c>
    </row>
    <row r="2306" spans="1:18" x14ac:dyDescent="0.25">
      <c r="A2306" s="170">
        <v>45401</v>
      </c>
      <c r="B2306" s="116">
        <v>162.5</v>
      </c>
      <c r="C2306" s="116">
        <v>162.1</v>
      </c>
      <c r="D2306" s="116">
        <v>157.35</v>
      </c>
      <c r="E2306" s="116">
        <v>160.15</v>
      </c>
      <c r="F2306" s="116">
        <v>162.1</v>
      </c>
      <c r="G2306">
        <v>3280439</v>
      </c>
      <c r="H2306" s="116"/>
      <c r="I2306" s="116"/>
      <c r="L2306" s="170">
        <v>45401</v>
      </c>
      <c r="M2306" s="116">
        <v>162.1</v>
      </c>
      <c r="N2306" s="116">
        <v>162.5</v>
      </c>
      <c r="O2306" s="116">
        <v>157.30000000000001</v>
      </c>
      <c r="P2306" s="116">
        <v>160</v>
      </c>
      <c r="Q2306" s="116">
        <v>162.1</v>
      </c>
      <c r="R2306">
        <v>60078229</v>
      </c>
    </row>
    <row r="2307" spans="1:18" x14ac:dyDescent="0.25">
      <c r="A2307" s="170">
        <v>45404</v>
      </c>
      <c r="B2307" s="116">
        <v>164.7</v>
      </c>
      <c r="C2307" s="116">
        <v>161.85</v>
      </c>
      <c r="D2307" s="116">
        <v>161.55000000000001</v>
      </c>
      <c r="E2307" s="116">
        <v>164.15</v>
      </c>
      <c r="F2307" s="116">
        <v>161.85</v>
      </c>
      <c r="G2307">
        <v>2947220</v>
      </c>
      <c r="H2307" s="116"/>
      <c r="I2307" s="116"/>
      <c r="L2307" s="170">
        <v>45404</v>
      </c>
      <c r="M2307" s="116">
        <v>161.85</v>
      </c>
      <c r="N2307" s="116">
        <v>164.7</v>
      </c>
      <c r="O2307" s="116">
        <v>161.5</v>
      </c>
      <c r="P2307" s="116">
        <v>163.80000000000001</v>
      </c>
      <c r="Q2307" s="116">
        <v>161.85</v>
      </c>
      <c r="R2307">
        <v>39304790</v>
      </c>
    </row>
    <row r="2308" spans="1:18" x14ac:dyDescent="0.25">
      <c r="A2308" s="170">
        <v>45405</v>
      </c>
      <c r="B2308" s="116">
        <v>163.85</v>
      </c>
      <c r="C2308" s="116">
        <v>161.1</v>
      </c>
      <c r="D2308" s="116">
        <v>160.9</v>
      </c>
      <c r="E2308" s="116">
        <v>163.85</v>
      </c>
      <c r="F2308" s="116">
        <v>161.1</v>
      </c>
      <c r="G2308">
        <v>1923979</v>
      </c>
      <c r="H2308" s="116"/>
      <c r="I2308" s="116"/>
      <c r="L2308" s="170">
        <v>45405</v>
      </c>
      <c r="M2308" s="116">
        <v>161.15</v>
      </c>
      <c r="N2308" s="116">
        <v>163.5</v>
      </c>
      <c r="O2308" s="116">
        <v>160.80000000000001</v>
      </c>
      <c r="P2308" s="116">
        <v>163.5</v>
      </c>
      <c r="Q2308" s="116">
        <v>161.15</v>
      </c>
      <c r="R2308">
        <v>30295177</v>
      </c>
    </row>
    <row r="2309" spans="1:18" x14ac:dyDescent="0.25">
      <c r="A2309" s="170">
        <v>45406</v>
      </c>
      <c r="B2309" s="116">
        <v>166.9</v>
      </c>
      <c r="C2309" s="116">
        <v>165.5</v>
      </c>
      <c r="D2309" s="116">
        <v>161.65</v>
      </c>
      <c r="E2309" s="116">
        <v>162.80000000000001</v>
      </c>
      <c r="F2309" s="116">
        <v>165.5</v>
      </c>
      <c r="G2309">
        <v>3101010</v>
      </c>
      <c r="H2309" s="116"/>
      <c r="I2309" s="116"/>
      <c r="L2309" s="170">
        <v>45406</v>
      </c>
      <c r="M2309" s="116">
        <v>165.55</v>
      </c>
      <c r="N2309" s="116">
        <v>166.9</v>
      </c>
      <c r="O2309" s="116">
        <v>161.44999999999999</v>
      </c>
      <c r="P2309" s="116">
        <v>162.44999999999999</v>
      </c>
      <c r="Q2309" s="116">
        <v>165.55</v>
      </c>
      <c r="R2309">
        <v>59894921</v>
      </c>
    </row>
    <row r="2310" spans="1:18" x14ac:dyDescent="0.25">
      <c r="A2310" s="170">
        <v>45407</v>
      </c>
      <c r="B2310" s="116">
        <v>168</v>
      </c>
      <c r="C2310" s="116">
        <v>167.6</v>
      </c>
      <c r="D2310" s="116">
        <v>164.15</v>
      </c>
      <c r="E2310" s="116">
        <v>165.5</v>
      </c>
      <c r="F2310" s="116">
        <v>167.6</v>
      </c>
      <c r="G2310">
        <v>1942957</v>
      </c>
      <c r="H2310" s="116"/>
      <c r="I2310" s="116"/>
      <c r="L2310" s="170">
        <v>45407</v>
      </c>
      <c r="M2310" s="116">
        <v>167.7</v>
      </c>
      <c r="N2310" s="116">
        <v>168</v>
      </c>
      <c r="O2310" s="116">
        <v>164.15</v>
      </c>
      <c r="P2310" s="116">
        <v>165.4</v>
      </c>
      <c r="Q2310" s="116">
        <v>167.7</v>
      </c>
      <c r="R2310">
        <v>50128523</v>
      </c>
    </row>
    <row r="2311" spans="1:18" x14ac:dyDescent="0.25">
      <c r="A2311" s="170">
        <v>45408</v>
      </c>
      <c r="B2311" s="116">
        <v>170.7</v>
      </c>
      <c r="C2311" s="116">
        <v>165.85</v>
      </c>
      <c r="D2311" s="116">
        <v>165.3</v>
      </c>
      <c r="E2311" s="116">
        <v>168</v>
      </c>
      <c r="F2311" s="116">
        <v>165.85</v>
      </c>
      <c r="G2311">
        <v>3037488</v>
      </c>
      <c r="H2311" s="116"/>
      <c r="I2311" s="116"/>
      <c r="L2311" s="170">
        <v>45408</v>
      </c>
      <c r="M2311" s="116">
        <v>165.8</v>
      </c>
      <c r="N2311" s="116">
        <v>170.7</v>
      </c>
      <c r="O2311" s="116">
        <v>165.25</v>
      </c>
      <c r="P2311" s="116">
        <v>168</v>
      </c>
      <c r="Q2311" s="116">
        <v>165.8</v>
      </c>
      <c r="R2311">
        <v>65355111</v>
      </c>
    </row>
    <row r="2312" spans="1:18" x14ac:dyDescent="0.25">
      <c r="A2312" s="170">
        <v>45411</v>
      </c>
      <c r="B2312" s="116">
        <v>169.6</v>
      </c>
      <c r="C2312" s="116">
        <v>167.4</v>
      </c>
      <c r="D2312" s="116">
        <v>166.95</v>
      </c>
      <c r="E2312" s="116">
        <v>168.25</v>
      </c>
      <c r="F2312" s="116">
        <v>167.4</v>
      </c>
      <c r="G2312">
        <v>3381906</v>
      </c>
      <c r="H2312" s="116"/>
      <c r="I2312" s="116"/>
      <c r="L2312" s="170">
        <v>45411</v>
      </c>
      <c r="M2312" s="116">
        <v>167.4</v>
      </c>
      <c r="N2312" s="116">
        <v>169.6</v>
      </c>
      <c r="O2312" s="116">
        <v>166.9</v>
      </c>
      <c r="P2312" s="116">
        <v>168.2</v>
      </c>
      <c r="Q2312" s="116">
        <v>167.4</v>
      </c>
      <c r="R2312">
        <v>44906151</v>
      </c>
    </row>
    <row r="2313" spans="1:18" x14ac:dyDescent="0.25">
      <c r="A2313" s="170">
        <v>45412</v>
      </c>
      <c r="B2313" s="116">
        <v>168.6</v>
      </c>
      <c r="C2313" s="116">
        <v>164.95</v>
      </c>
      <c r="D2313" s="116">
        <v>164.55</v>
      </c>
      <c r="E2313" s="116">
        <v>168.6</v>
      </c>
      <c r="F2313" s="116">
        <v>164.95</v>
      </c>
      <c r="G2313">
        <v>2692417</v>
      </c>
      <c r="H2313" s="116"/>
      <c r="I2313" s="116"/>
      <c r="L2313" s="170">
        <v>45412</v>
      </c>
      <c r="M2313" s="116">
        <v>165</v>
      </c>
      <c r="N2313" s="116">
        <v>168.4</v>
      </c>
      <c r="O2313" s="116">
        <v>164.5</v>
      </c>
      <c r="P2313" s="116">
        <v>168.4</v>
      </c>
      <c r="Q2313" s="116">
        <v>165</v>
      </c>
      <c r="R2313">
        <v>55043389</v>
      </c>
    </row>
    <row r="2314" spans="1:18" x14ac:dyDescent="0.25">
      <c r="A2314" s="170">
        <v>45414</v>
      </c>
      <c r="B2314" s="116">
        <v>168.85</v>
      </c>
      <c r="C2314" s="116">
        <v>167.35</v>
      </c>
      <c r="D2314" s="116">
        <v>165.1</v>
      </c>
      <c r="E2314" s="116">
        <v>165.2</v>
      </c>
      <c r="F2314" s="116">
        <v>167.35</v>
      </c>
      <c r="G2314">
        <v>2691002</v>
      </c>
      <c r="H2314" s="116"/>
      <c r="I2314" s="116"/>
      <c r="L2314" s="170">
        <v>45414</v>
      </c>
      <c r="M2314" s="116">
        <v>167.35</v>
      </c>
      <c r="N2314" s="116">
        <v>168.9</v>
      </c>
      <c r="O2314" s="116">
        <v>165</v>
      </c>
      <c r="P2314" s="116">
        <v>165</v>
      </c>
      <c r="Q2314" s="116">
        <v>167.35</v>
      </c>
      <c r="R2314">
        <v>69320283</v>
      </c>
    </row>
    <row r="2315" spans="1:18" x14ac:dyDescent="0.25">
      <c r="A2315" s="170">
        <v>45415</v>
      </c>
      <c r="B2315" s="116">
        <v>170.7</v>
      </c>
      <c r="C2315" s="116">
        <v>166.45</v>
      </c>
      <c r="D2315" s="116">
        <v>165.1</v>
      </c>
      <c r="E2315" s="116">
        <v>169</v>
      </c>
      <c r="F2315" s="116">
        <v>166.45</v>
      </c>
      <c r="G2315">
        <v>4463601</v>
      </c>
      <c r="H2315" s="116"/>
      <c r="I2315" s="116"/>
      <c r="L2315" s="170">
        <v>45415</v>
      </c>
      <c r="M2315" s="116">
        <v>166.5</v>
      </c>
      <c r="N2315" s="116">
        <v>170.75</v>
      </c>
      <c r="O2315" s="116">
        <v>165.15</v>
      </c>
      <c r="P2315" s="116">
        <v>168.95</v>
      </c>
      <c r="Q2315" s="116">
        <v>166.5</v>
      </c>
      <c r="R2315">
        <v>62573586</v>
      </c>
    </row>
    <row r="2316" spans="1:18" x14ac:dyDescent="0.25">
      <c r="A2316" s="170">
        <v>45418</v>
      </c>
      <c r="B2316" s="116">
        <v>168.6</v>
      </c>
      <c r="C2316" s="116">
        <v>167.6</v>
      </c>
      <c r="D2316" s="116">
        <v>164.7</v>
      </c>
      <c r="E2316" s="116">
        <v>168.2</v>
      </c>
      <c r="F2316" s="116">
        <v>167.6</v>
      </c>
      <c r="G2316">
        <v>2238221</v>
      </c>
      <c r="H2316" s="116"/>
      <c r="I2316" s="116"/>
      <c r="L2316" s="170">
        <v>45418</v>
      </c>
      <c r="M2316" s="116">
        <v>167.6</v>
      </c>
      <c r="N2316" s="116">
        <v>168.65</v>
      </c>
      <c r="O2316" s="116">
        <v>164.7</v>
      </c>
      <c r="P2316" s="116">
        <v>167.95</v>
      </c>
      <c r="Q2316" s="116">
        <v>167.6</v>
      </c>
      <c r="R2316">
        <v>37621296</v>
      </c>
    </row>
    <row r="2317" spans="1:18" x14ac:dyDescent="0.25">
      <c r="A2317" s="170">
        <v>45419</v>
      </c>
      <c r="B2317" s="116">
        <v>168.15</v>
      </c>
      <c r="C2317" s="116">
        <v>164.2</v>
      </c>
      <c r="D2317" s="116">
        <v>162.44999999999999</v>
      </c>
      <c r="E2317" s="116">
        <v>168.15</v>
      </c>
      <c r="F2317" s="116">
        <v>164.2</v>
      </c>
      <c r="G2317">
        <v>2481239</v>
      </c>
      <c r="H2317" s="116"/>
      <c r="I2317" s="116"/>
      <c r="L2317" s="170">
        <v>45419</v>
      </c>
      <c r="M2317" s="116">
        <v>164.25</v>
      </c>
      <c r="N2317" s="116">
        <v>167.95</v>
      </c>
      <c r="O2317" s="116">
        <v>162.30000000000001</v>
      </c>
      <c r="P2317" s="116">
        <v>167.95</v>
      </c>
      <c r="Q2317" s="116">
        <v>164.25</v>
      </c>
      <c r="R2317">
        <v>43611824</v>
      </c>
    </row>
    <row r="2318" spans="1:18" x14ac:dyDescent="0.25">
      <c r="A2318" s="170">
        <v>45420</v>
      </c>
      <c r="B2318" s="116">
        <v>167.1</v>
      </c>
      <c r="C2318" s="116">
        <v>166.05</v>
      </c>
      <c r="D2318" s="116">
        <v>163.4</v>
      </c>
      <c r="E2318" s="116">
        <v>164.4</v>
      </c>
      <c r="F2318" s="116">
        <v>166.05</v>
      </c>
      <c r="G2318">
        <v>1535314</v>
      </c>
      <c r="H2318" s="116"/>
      <c r="I2318" s="116"/>
      <c r="L2318" s="170">
        <v>45420</v>
      </c>
      <c r="M2318" s="116">
        <v>166.05</v>
      </c>
      <c r="N2318" s="116">
        <v>167.1</v>
      </c>
      <c r="O2318" s="116">
        <v>163.5</v>
      </c>
      <c r="P2318" s="116">
        <v>164.2</v>
      </c>
      <c r="Q2318" s="116">
        <v>166.05</v>
      </c>
      <c r="R2318">
        <v>30128705</v>
      </c>
    </row>
    <row r="2319" spans="1:18" x14ac:dyDescent="0.25">
      <c r="A2319" s="170">
        <v>45421</v>
      </c>
      <c r="B2319" s="116">
        <v>166.75</v>
      </c>
      <c r="C2319" s="116">
        <v>162</v>
      </c>
      <c r="D2319" s="116">
        <v>161.55000000000001</v>
      </c>
      <c r="E2319" s="116">
        <v>166.15</v>
      </c>
      <c r="F2319" s="116">
        <v>162</v>
      </c>
      <c r="G2319">
        <v>1957105</v>
      </c>
      <c r="H2319" s="116"/>
      <c r="I2319" s="116"/>
      <c r="L2319" s="170">
        <v>45421</v>
      </c>
      <c r="M2319" s="116">
        <v>161.9</v>
      </c>
      <c r="N2319" s="116">
        <v>166.7</v>
      </c>
      <c r="O2319" s="116">
        <v>161.5</v>
      </c>
      <c r="P2319" s="116">
        <v>165.95</v>
      </c>
      <c r="Q2319" s="116">
        <v>161.9</v>
      </c>
      <c r="R2319">
        <v>30223088</v>
      </c>
    </row>
    <row r="2320" spans="1:18" x14ac:dyDescent="0.25">
      <c r="A2320" s="170">
        <v>45422</v>
      </c>
      <c r="B2320" s="116">
        <v>164.35</v>
      </c>
      <c r="C2320" s="116">
        <v>162.35</v>
      </c>
      <c r="D2320" s="116">
        <v>161.9</v>
      </c>
      <c r="E2320" s="116">
        <v>163</v>
      </c>
      <c r="F2320" s="116">
        <v>162.35</v>
      </c>
      <c r="G2320">
        <v>2432651</v>
      </c>
      <c r="H2320" s="116"/>
      <c r="I2320" s="116"/>
      <c r="L2320" s="170">
        <v>45422</v>
      </c>
      <c r="M2320" s="116">
        <v>162.25</v>
      </c>
      <c r="N2320" s="116">
        <v>164.35</v>
      </c>
      <c r="O2320" s="116">
        <v>161.85</v>
      </c>
      <c r="P2320" s="116">
        <v>163.19999999999999</v>
      </c>
      <c r="Q2320" s="116">
        <v>162.25</v>
      </c>
      <c r="R2320">
        <v>31472419</v>
      </c>
    </row>
    <row r="2321" spans="1:18" x14ac:dyDescent="0.25">
      <c r="A2321" s="170">
        <v>45425</v>
      </c>
      <c r="B2321" s="116">
        <v>164.5</v>
      </c>
      <c r="C2321" s="116">
        <v>163.85</v>
      </c>
      <c r="D2321" s="116">
        <v>158.15</v>
      </c>
      <c r="E2321" s="116">
        <v>162.55000000000001</v>
      </c>
      <c r="F2321" s="116">
        <v>163.85</v>
      </c>
      <c r="G2321">
        <v>3298563</v>
      </c>
      <c r="H2321" s="116"/>
      <c r="I2321" s="116"/>
      <c r="L2321" s="170">
        <v>45425</v>
      </c>
      <c r="M2321" s="116">
        <v>163.85</v>
      </c>
      <c r="N2321" s="116">
        <v>164.5</v>
      </c>
      <c r="O2321" s="116">
        <v>158.05000000000001</v>
      </c>
      <c r="P2321" s="116">
        <v>162.44999999999999</v>
      </c>
      <c r="Q2321" s="116">
        <v>163.85</v>
      </c>
      <c r="R2321">
        <v>36561003</v>
      </c>
    </row>
    <row r="2322" spans="1:18" x14ac:dyDescent="0.25">
      <c r="A2322" s="170">
        <v>45426</v>
      </c>
      <c r="B2322" s="116">
        <v>166.45</v>
      </c>
      <c r="C2322" s="116">
        <v>164.95</v>
      </c>
      <c r="D2322" s="116">
        <v>163.6</v>
      </c>
      <c r="E2322" s="116">
        <v>163.9</v>
      </c>
      <c r="F2322" s="116">
        <v>164.95</v>
      </c>
      <c r="G2322">
        <v>2285513</v>
      </c>
      <c r="H2322" s="116"/>
      <c r="I2322" s="116"/>
      <c r="L2322" s="170">
        <v>45426</v>
      </c>
      <c r="M2322" s="116">
        <v>164.95</v>
      </c>
      <c r="N2322" s="116">
        <v>166.55</v>
      </c>
      <c r="O2322" s="116">
        <v>163.5</v>
      </c>
      <c r="P2322" s="116">
        <v>164.1</v>
      </c>
      <c r="Q2322" s="116">
        <v>164.95</v>
      </c>
      <c r="R2322">
        <v>46261468</v>
      </c>
    </row>
    <row r="2323" spans="1:18" x14ac:dyDescent="0.25">
      <c r="A2323" s="170">
        <v>45427</v>
      </c>
      <c r="B2323" s="116">
        <v>167.5</v>
      </c>
      <c r="C2323" s="116">
        <v>165.6</v>
      </c>
      <c r="D2323" s="116">
        <v>165</v>
      </c>
      <c r="E2323" s="116">
        <v>165.25</v>
      </c>
      <c r="F2323" s="116">
        <v>165.6</v>
      </c>
      <c r="G2323">
        <v>2342469</v>
      </c>
      <c r="H2323" s="116"/>
      <c r="I2323" s="116"/>
      <c r="L2323" s="170">
        <v>45427</v>
      </c>
      <c r="M2323" s="116">
        <v>165.6</v>
      </c>
      <c r="N2323" s="116">
        <v>167.55</v>
      </c>
      <c r="O2323" s="116">
        <v>164.95</v>
      </c>
      <c r="P2323" s="116">
        <v>164.95</v>
      </c>
      <c r="Q2323" s="116">
        <v>165.6</v>
      </c>
      <c r="R2323">
        <v>29601304</v>
      </c>
    </row>
    <row r="2324" spans="1:18" x14ac:dyDescent="0.25">
      <c r="A2324" s="170">
        <v>45428</v>
      </c>
      <c r="B2324" s="116">
        <v>168</v>
      </c>
      <c r="C2324" s="116">
        <v>165.9</v>
      </c>
      <c r="D2324" s="116">
        <v>162.25</v>
      </c>
      <c r="E2324" s="116">
        <v>167.3</v>
      </c>
      <c r="F2324" s="116">
        <v>165.9</v>
      </c>
      <c r="G2324">
        <v>2688803</v>
      </c>
      <c r="H2324" s="116"/>
      <c r="I2324" s="116"/>
      <c r="L2324" s="170">
        <v>45428</v>
      </c>
      <c r="M2324" s="116">
        <v>165.9</v>
      </c>
      <c r="N2324" s="116">
        <v>168</v>
      </c>
      <c r="O2324" s="116">
        <v>162.30000000000001</v>
      </c>
      <c r="P2324" s="116">
        <v>167.25</v>
      </c>
      <c r="Q2324" s="116">
        <v>165.9</v>
      </c>
      <c r="R2324">
        <v>41126570</v>
      </c>
    </row>
    <row r="2325" spans="1:18" x14ac:dyDescent="0.25">
      <c r="A2325" s="170">
        <v>45429</v>
      </c>
      <c r="B2325" s="116">
        <v>168.45</v>
      </c>
      <c r="C2325" s="116">
        <v>167.25</v>
      </c>
      <c r="D2325" s="116">
        <v>165.5</v>
      </c>
      <c r="E2325" s="116">
        <v>166.45</v>
      </c>
      <c r="F2325" s="116">
        <v>167.25</v>
      </c>
      <c r="G2325">
        <v>3248650</v>
      </c>
      <c r="H2325" s="116"/>
      <c r="I2325" s="116"/>
      <c r="L2325" s="170">
        <v>45429</v>
      </c>
      <c r="M2325" s="116">
        <v>167.35</v>
      </c>
      <c r="N2325" s="116">
        <v>168.45</v>
      </c>
      <c r="O2325" s="116">
        <v>165.45</v>
      </c>
      <c r="P2325" s="116">
        <v>166.6</v>
      </c>
      <c r="Q2325" s="116">
        <v>167.35</v>
      </c>
      <c r="R2325">
        <v>39181277</v>
      </c>
    </row>
    <row r="2326" spans="1:18" x14ac:dyDescent="0.25">
      <c r="A2326" s="170">
        <v>45430</v>
      </c>
      <c r="B2326" s="116">
        <v>168.4</v>
      </c>
      <c r="C2326" s="116">
        <v>167.9</v>
      </c>
      <c r="D2326" s="116">
        <v>167.35</v>
      </c>
      <c r="E2326" s="116">
        <v>167.95</v>
      </c>
      <c r="F2326" s="116">
        <v>167.9</v>
      </c>
      <c r="G2326">
        <v>140506</v>
      </c>
      <c r="H2326" s="116"/>
      <c r="I2326" s="116"/>
      <c r="L2326" s="170">
        <v>45430</v>
      </c>
      <c r="M2326" s="116">
        <v>167.9</v>
      </c>
      <c r="N2326" s="116">
        <v>168.3</v>
      </c>
      <c r="O2326" s="116">
        <v>167.3</v>
      </c>
      <c r="P2326" s="116">
        <v>168</v>
      </c>
      <c r="Q2326" s="116">
        <v>167.9</v>
      </c>
      <c r="R2326">
        <v>3601856</v>
      </c>
    </row>
    <row r="2327" spans="1:18" x14ac:dyDescent="0.25">
      <c r="A2327" s="170">
        <v>45433</v>
      </c>
      <c r="B2327" s="116">
        <v>175.2</v>
      </c>
      <c r="C2327" s="116">
        <v>174.3</v>
      </c>
      <c r="D2327" s="116">
        <v>168.05</v>
      </c>
      <c r="E2327" s="116">
        <v>168.05</v>
      </c>
      <c r="F2327" s="116">
        <v>174.3</v>
      </c>
      <c r="G2327">
        <v>6273389</v>
      </c>
      <c r="H2327" s="116"/>
      <c r="I2327" s="116"/>
      <c r="L2327" s="170">
        <v>45433</v>
      </c>
      <c r="M2327" s="116">
        <v>174.35</v>
      </c>
      <c r="N2327" s="116">
        <v>175.2</v>
      </c>
      <c r="O2327" s="116">
        <v>167.95</v>
      </c>
      <c r="P2327" s="116">
        <v>168.5</v>
      </c>
      <c r="Q2327" s="116">
        <v>174.35</v>
      </c>
      <c r="R2327">
        <v>84833644</v>
      </c>
    </row>
    <row r="2328" spans="1:18" x14ac:dyDescent="0.25">
      <c r="A2328" s="170">
        <v>45434</v>
      </c>
      <c r="B2328" s="116">
        <v>175.55</v>
      </c>
      <c r="C2328" s="116">
        <v>173.3</v>
      </c>
      <c r="D2328" s="116">
        <v>171.5</v>
      </c>
      <c r="E2328" s="116">
        <v>175.55</v>
      </c>
      <c r="F2328" s="116">
        <v>173.3</v>
      </c>
      <c r="G2328">
        <v>1460611</v>
      </c>
      <c r="H2328" s="116"/>
      <c r="I2328" s="116"/>
      <c r="L2328" s="170">
        <v>45434</v>
      </c>
      <c r="M2328" s="116">
        <v>173.3</v>
      </c>
      <c r="N2328" s="116">
        <v>175.5</v>
      </c>
      <c r="O2328" s="116">
        <v>171.5</v>
      </c>
      <c r="P2328" s="116">
        <v>175.45</v>
      </c>
      <c r="Q2328" s="116">
        <v>173.3</v>
      </c>
      <c r="R2328">
        <v>42919832</v>
      </c>
    </row>
    <row r="2329" spans="1:18" x14ac:dyDescent="0.25">
      <c r="A2329" s="170">
        <v>45435</v>
      </c>
      <c r="B2329" s="116">
        <v>175.7</v>
      </c>
      <c r="C2329" s="116">
        <v>175.45</v>
      </c>
      <c r="D2329" s="116">
        <v>170.5</v>
      </c>
      <c r="E2329" s="116">
        <v>173.25</v>
      </c>
      <c r="F2329" s="116">
        <v>175.45</v>
      </c>
      <c r="G2329">
        <v>2623066</v>
      </c>
      <c r="H2329" s="116"/>
      <c r="I2329" s="116"/>
      <c r="L2329" s="170">
        <v>45435</v>
      </c>
      <c r="M2329" s="116">
        <v>175.5</v>
      </c>
      <c r="N2329" s="116">
        <v>175.8</v>
      </c>
      <c r="O2329" s="116">
        <v>170.5</v>
      </c>
      <c r="P2329" s="116">
        <v>173.05</v>
      </c>
      <c r="Q2329" s="116">
        <v>175.5</v>
      </c>
      <c r="R2329">
        <v>49377680</v>
      </c>
    </row>
    <row r="2330" spans="1:18" x14ac:dyDescent="0.25">
      <c r="A2330" s="170">
        <v>45436</v>
      </c>
      <c r="B2330" s="116">
        <v>177.55</v>
      </c>
      <c r="C2330" s="116">
        <v>174.8</v>
      </c>
      <c r="D2330" s="116">
        <v>174.1</v>
      </c>
      <c r="E2330" s="116">
        <v>175.75</v>
      </c>
      <c r="F2330" s="116">
        <v>174.8</v>
      </c>
      <c r="G2330">
        <v>1914133</v>
      </c>
      <c r="H2330" s="116"/>
      <c r="I2330" s="116"/>
      <c r="L2330" s="170">
        <v>45436</v>
      </c>
      <c r="M2330" s="116">
        <v>174.85</v>
      </c>
      <c r="N2330" s="116">
        <v>177.55</v>
      </c>
      <c r="O2330" s="116">
        <v>174.15</v>
      </c>
      <c r="P2330" s="116">
        <v>174.95</v>
      </c>
      <c r="Q2330" s="116">
        <v>174.85</v>
      </c>
      <c r="R2330">
        <v>38674485</v>
      </c>
    </row>
    <row r="2331" spans="1:18" x14ac:dyDescent="0.25">
      <c r="A2331" s="170">
        <v>45439</v>
      </c>
      <c r="B2331" s="116">
        <v>178</v>
      </c>
      <c r="C2331" s="116">
        <v>175.5</v>
      </c>
      <c r="D2331" s="116">
        <v>174.9</v>
      </c>
      <c r="E2331" s="116">
        <v>178</v>
      </c>
      <c r="F2331" s="116">
        <v>175.5</v>
      </c>
      <c r="G2331">
        <v>1494030</v>
      </c>
      <c r="H2331" s="116"/>
      <c r="I2331" s="116"/>
      <c r="L2331" s="170">
        <v>45439</v>
      </c>
      <c r="M2331" s="116">
        <v>175.5</v>
      </c>
      <c r="N2331" s="116">
        <v>177.7</v>
      </c>
      <c r="O2331" s="116">
        <v>174.85</v>
      </c>
      <c r="P2331" s="116">
        <v>177.7</v>
      </c>
      <c r="Q2331" s="116">
        <v>175.5</v>
      </c>
      <c r="R2331">
        <v>30410585</v>
      </c>
    </row>
    <row r="2332" spans="1:18" x14ac:dyDescent="0.25">
      <c r="A2332" s="170">
        <v>45440</v>
      </c>
      <c r="B2332" s="116">
        <v>177.5</v>
      </c>
      <c r="C2332" s="116">
        <v>174.85</v>
      </c>
      <c r="D2332" s="116">
        <v>173.55</v>
      </c>
      <c r="E2332" s="116">
        <v>176.95</v>
      </c>
      <c r="F2332" s="116">
        <v>174.85</v>
      </c>
      <c r="G2332">
        <v>2499794</v>
      </c>
      <c r="H2332" s="116"/>
      <c r="I2332" s="116"/>
      <c r="L2332" s="170">
        <v>45440</v>
      </c>
      <c r="M2332" s="116">
        <v>174.9</v>
      </c>
      <c r="N2332" s="116">
        <v>177.5</v>
      </c>
      <c r="O2332" s="116">
        <v>173.45</v>
      </c>
      <c r="P2332" s="116">
        <v>175.9</v>
      </c>
      <c r="Q2332" s="116">
        <v>174.9</v>
      </c>
      <c r="R2332">
        <v>39208456</v>
      </c>
    </row>
    <row r="2333" spans="1:18" x14ac:dyDescent="0.25">
      <c r="A2333" s="170">
        <v>45441</v>
      </c>
      <c r="B2333" s="116">
        <v>176</v>
      </c>
      <c r="C2333" s="116">
        <v>174.2</v>
      </c>
      <c r="D2333" s="116">
        <v>173.45</v>
      </c>
      <c r="E2333" s="116">
        <v>174.85</v>
      </c>
      <c r="F2333" s="116">
        <v>174.2</v>
      </c>
      <c r="G2333">
        <v>1427273</v>
      </c>
      <c r="H2333" s="116"/>
      <c r="I2333" s="116"/>
      <c r="L2333" s="170">
        <v>45441</v>
      </c>
      <c r="M2333" s="116">
        <v>174.25</v>
      </c>
      <c r="N2333" s="116">
        <v>176</v>
      </c>
      <c r="O2333" s="116">
        <v>173.5</v>
      </c>
      <c r="P2333" s="116">
        <v>174.75</v>
      </c>
      <c r="Q2333" s="116">
        <v>174.25</v>
      </c>
      <c r="R2333">
        <v>36575550</v>
      </c>
    </row>
    <row r="2334" spans="1:18" x14ac:dyDescent="0.25">
      <c r="A2334" s="170">
        <v>45442</v>
      </c>
      <c r="B2334" s="116">
        <v>172.9</v>
      </c>
      <c r="C2334" s="116">
        <v>164.2</v>
      </c>
      <c r="D2334" s="116">
        <v>163.4</v>
      </c>
      <c r="E2334" s="116">
        <v>172.9</v>
      </c>
      <c r="F2334" s="116">
        <v>164.2</v>
      </c>
      <c r="G2334">
        <v>4953171</v>
      </c>
      <c r="H2334" s="116"/>
      <c r="I2334" s="116"/>
      <c r="L2334" s="170">
        <v>45442</v>
      </c>
      <c r="M2334" s="116">
        <v>164.15</v>
      </c>
      <c r="N2334" s="116">
        <v>172</v>
      </c>
      <c r="O2334" s="116">
        <v>163.35</v>
      </c>
      <c r="P2334" s="116">
        <v>172</v>
      </c>
      <c r="Q2334" s="116">
        <v>164.15</v>
      </c>
      <c r="R2334">
        <v>108813875</v>
      </c>
    </row>
    <row r="2335" spans="1:18" x14ac:dyDescent="0.25">
      <c r="A2335" s="170">
        <v>45443</v>
      </c>
      <c r="B2335" s="116">
        <v>167.9</v>
      </c>
      <c r="C2335" s="116">
        <v>167.15</v>
      </c>
      <c r="D2335" s="116">
        <v>164</v>
      </c>
      <c r="E2335" s="116">
        <v>166</v>
      </c>
      <c r="F2335" s="116">
        <v>167.15</v>
      </c>
      <c r="G2335">
        <v>4239440</v>
      </c>
      <c r="H2335" s="116"/>
      <c r="I2335" s="116"/>
      <c r="L2335" s="170">
        <v>45443</v>
      </c>
      <c r="M2335" s="116">
        <v>167.2</v>
      </c>
      <c r="N2335" s="116">
        <v>167.95</v>
      </c>
      <c r="O2335" s="116">
        <v>164</v>
      </c>
      <c r="P2335" s="116">
        <v>166.05</v>
      </c>
      <c r="Q2335" s="116">
        <v>167.2</v>
      </c>
      <c r="R2335">
        <v>83713848</v>
      </c>
    </row>
    <row r="2336" spans="1:18" x14ac:dyDescent="0.25">
      <c r="A2336" s="170">
        <v>45446</v>
      </c>
      <c r="B2336" s="116">
        <v>175</v>
      </c>
      <c r="C2336" s="116">
        <v>174.25</v>
      </c>
      <c r="D2336" s="116">
        <v>168.85</v>
      </c>
      <c r="E2336" s="116">
        <v>173.6</v>
      </c>
      <c r="F2336" s="116">
        <v>174.25</v>
      </c>
      <c r="G2336">
        <v>3081614</v>
      </c>
      <c r="H2336" s="116"/>
      <c r="I2336" s="116"/>
      <c r="L2336" s="170">
        <v>45446</v>
      </c>
      <c r="M2336" s="116">
        <v>174.25</v>
      </c>
      <c r="N2336" s="116">
        <v>175</v>
      </c>
      <c r="O2336" s="116">
        <v>168.85</v>
      </c>
      <c r="P2336" s="116">
        <v>173.25</v>
      </c>
      <c r="Q2336" s="116">
        <v>174.25</v>
      </c>
      <c r="R2336">
        <v>86397540</v>
      </c>
    </row>
    <row r="2337" spans="1:18" x14ac:dyDescent="0.25">
      <c r="A2337" s="170">
        <v>45447</v>
      </c>
      <c r="B2337" s="116">
        <v>175.95</v>
      </c>
      <c r="C2337" s="116">
        <v>158.80000000000001</v>
      </c>
      <c r="D2337" s="116">
        <v>148.15</v>
      </c>
      <c r="E2337" s="116">
        <v>175.95</v>
      </c>
      <c r="F2337" s="116">
        <v>158.80000000000001</v>
      </c>
      <c r="G2337">
        <v>6885190</v>
      </c>
      <c r="H2337" s="116"/>
      <c r="I2337" s="116"/>
      <c r="L2337" s="170">
        <v>45447</v>
      </c>
      <c r="M2337" s="116">
        <v>158.94999999999999</v>
      </c>
      <c r="N2337" s="116">
        <v>174.65</v>
      </c>
      <c r="O2337" s="116">
        <v>148.15</v>
      </c>
      <c r="P2337" s="116">
        <v>174.5</v>
      </c>
      <c r="Q2337" s="116">
        <v>158.94999999999999</v>
      </c>
      <c r="R2337">
        <v>125042158</v>
      </c>
    </row>
    <row r="2338" spans="1:18" x14ac:dyDescent="0.25">
      <c r="A2338" s="170">
        <v>45448</v>
      </c>
      <c r="B2338" s="116">
        <v>169.6</v>
      </c>
      <c r="C2338" s="116">
        <v>169.2</v>
      </c>
      <c r="D2338" s="116">
        <v>159</v>
      </c>
      <c r="E2338" s="116">
        <v>162.4</v>
      </c>
      <c r="F2338" s="116">
        <v>169.2</v>
      </c>
      <c r="G2338">
        <v>3056336</v>
      </c>
      <c r="H2338" s="116"/>
      <c r="I2338" s="116"/>
      <c r="L2338" s="170">
        <v>45448</v>
      </c>
      <c r="M2338" s="116">
        <v>169.2</v>
      </c>
      <c r="N2338" s="116">
        <v>169.6</v>
      </c>
      <c r="O2338" s="116">
        <v>159</v>
      </c>
      <c r="P2338" s="116">
        <v>162.15</v>
      </c>
      <c r="Q2338" s="116">
        <v>169.2</v>
      </c>
      <c r="R2338">
        <v>60098501</v>
      </c>
    </row>
    <row r="2339" spans="1:18" x14ac:dyDescent="0.25">
      <c r="A2339" s="170">
        <v>45449</v>
      </c>
      <c r="B2339" s="116">
        <v>174.7</v>
      </c>
      <c r="C2339" s="116">
        <v>172</v>
      </c>
      <c r="D2339" s="116">
        <v>169.45</v>
      </c>
      <c r="E2339" s="116">
        <v>170.95</v>
      </c>
      <c r="F2339" s="116">
        <v>172</v>
      </c>
      <c r="G2339">
        <v>4156381</v>
      </c>
      <c r="H2339" s="116"/>
      <c r="I2339" s="116"/>
      <c r="L2339" s="170">
        <v>45449</v>
      </c>
      <c r="M2339" s="116">
        <v>172.05</v>
      </c>
      <c r="N2339" s="116">
        <v>174.7</v>
      </c>
      <c r="O2339" s="116">
        <v>169.4</v>
      </c>
      <c r="P2339" s="116">
        <v>170</v>
      </c>
      <c r="Q2339" s="116">
        <v>172.05</v>
      </c>
      <c r="R2339">
        <v>57920819</v>
      </c>
    </row>
    <row r="2340" spans="1:18" x14ac:dyDescent="0.25">
      <c r="A2340" s="170">
        <v>45450</v>
      </c>
      <c r="B2340" s="116">
        <v>179.65</v>
      </c>
      <c r="C2340" s="116">
        <v>178.95</v>
      </c>
      <c r="D2340" s="116">
        <v>170.75</v>
      </c>
      <c r="E2340" s="116">
        <v>172</v>
      </c>
      <c r="F2340" s="116">
        <v>178.95</v>
      </c>
      <c r="G2340">
        <v>4121231</v>
      </c>
      <c r="H2340" s="116"/>
      <c r="I2340" s="116"/>
      <c r="L2340" s="170">
        <v>45450</v>
      </c>
      <c r="M2340" s="116">
        <v>178.9</v>
      </c>
      <c r="N2340" s="116">
        <v>179.65</v>
      </c>
      <c r="O2340" s="116">
        <v>170.8</v>
      </c>
      <c r="P2340" s="116">
        <v>172</v>
      </c>
      <c r="Q2340" s="116">
        <v>178.9</v>
      </c>
      <c r="R2340">
        <v>84319867</v>
      </c>
    </row>
    <row r="2341" spans="1:18" x14ac:dyDescent="0.25">
      <c r="A2341" s="170">
        <v>45453</v>
      </c>
      <c r="B2341" s="116">
        <v>182.1</v>
      </c>
      <c r="C2341" s="116">
        <v>180.2</v>
      </c>
      <c r="D2341" s="116">
        <v>177.3</v>
      </c>
      <c r="E2341" s="116">
        <v>180.75</v>
      </c>
      <c r="F2341" s="116">
        <v>180.2</v>
      </c>
      <c r="G2341">
        <v>5080280</v>
      </c>
      <c r="H2341" s="116"/>
      <c r="I2341" s="116"/>
      <c r="L2341" s="170">
        <v>45453</v>
      </c>
      <c r="M2341" s="116">
        <v>180.29</v>
      </c>
      <c r="N2341" s="116">
        <v>182.1</v>
      </c>
      <c r="O2341" s="116">
        <v>177.36</v>
      </c>
      <c r="P2341" s="116">
        <v>180.21</v>
      </c>
      <c r="Q2341" s="116">
        <v>180.29</v>
      </c>
      <c r="R2341">
        <v>74286848</v>
      </c>
    </row>
    <row r="2342" spans="1:18" x14ac:dyDescent="0.25">
      <c r="A2342" s="170">
        <v>45454</v>
      </c>
      <c r="B2342" s="116">
        <v>183.8</v>
      </c>
      <c r="C2342" s="116">
        <v>181.35</v>
      </c>
      <c r="D2342" s="116">
        <v>180.55</v>
      </c>
      <c r="E2342" s="116">
        <v>180.8</v>
      </c>
      <c r="F2342" s="116">
        <v>181.35</v>
      </c>
      <c r="G2342">
        <v>1921272</v>
      </c>
      <c r="H2342" s="116"/>
      <c r="I2342" s="116"/>
      <c r="L2342" s="170">
        <v>45454</v>
      </c>
      <c r="M2342" s="116">
        <v>181.33</v>
      </c>
      <c r="N2342" s="116">
        <v>183.75</v>
      </c>
      <c r="O2342" s="116">
        <v>180.5</v>
      </c>
      <c r="P2342" s="116">
        <v>180.5</v>
      </c>
      <c r="Q2342" s="116">
        <v>181.33</v>
      </c>
      <c r="R2342">
        <v>55555544</v>
      </c>
    </row>
    <row r="2343" spans="1:18" x14ac:dyDescent="0.25">
      <c r="A2343" s="170">
        <v>45455</v>
      </c>
      <c r="B2343" s="116">
        <v>183.85</v>
      </c>
      <c r="C2343" s="116">
        <v>182.25</v>
      </c>
      <c r="D2343" s="116">
        <v>181.55</v>
      </c>
      <c r="E2343" s="116">
        <v>182.4</v>
      </c>
      <c r="F2343" s="116">
        <v>182.25</v>
      </c>
      <c r="G2343">
        <v>3178308</v>
      </c>
      <c r="H2343" s="116"/>
      <c r="I2343" s="116"/>
      <c r="L2343" s="170">
        <v>45455</v>
      </c>
      <c r="M2343" s="116">
        <v>182.23</v>
      </c>
      <c r="N2343" s="116">
        <v>183.87</v>
      </c>
      <c r="O2343" s="116">
        <v>181.5</v>
      </c>
      <c r="P2343" s="116">
        <v>182.25</v>
      </c>
      <c r="Q2343" s="116">
        <v>182.23</v>
      </c>
      <c r="R2343">
        <v>33304643</v>
      </c>
    </row>
    <row r="2344" spans="1:18" x14ac:dyDescent="0.25">
      <c r="A2344" s="170">
        <v>45456</v>
      </c>
      <c r="B2344" s="116">
        <v>184.15</v>
      </c>
      <c r="C2344" s="116">
        <v>182.5</v>
      </c>
      <c r="D2344" s="116">
        <v>180.5</v>
      </c>
      <c r="E2344" s="116">
        <v>183.7</v>
      </c>
      <c r="F2344" s="116">
        <v>182.5</v>
      </c>
      <c r="G2344">
        <v>2597871</v>
      </c>
      <c r="H2344" s="116"/>
      <c r="I2344" s="116"/>
      <c r="L2344" s="170">
        <v>45456</v>
      </c>
      <c r="M2344" s="116">
        <v>182.56</v>
      </c>
      <c r="N2344" s="116">
        <v>184.1</v>
      </c>
      <c r="O2344" s="116">
        <v>180.51</v>
      </c>
      <c r="P2344" s="116">
        <v>183.4</v>
      </c>
      <c r="Q2344" s="116">
        <v>182.56</v>
      </c>
      <c r="R2344">
        <v>36669164</v>
      </c>
    </row>
    <row r="2345" spans="1:18" x14ac:dyDescent="0.25">
      <c r="A2345" s="170">
        <v>45457</v>
      </c>
      <c r="B2345" s="116">
        <v>183.5</v>
      </c>
      <c r="C2345" s="116">
        <v>183.05</v>
      </c>
      <c r="D2345" s="116">
        <v>181.45</v>
      </c>
      <c r="E2345" s="116">
        <v>183</v>
      </c>
      <c r="F2345" s="116">
        <v>183.05</v>
      </c>
      <c r="G2345">
        <v>1350213</v>
      </c>
      <c r="H2345" s="116"/>
      <c r="I2345" s="116"/>
      <c r="L2345" s="170">
        <v>45457</v>
      </c>
      <c r="M2345" s="116">
        <v>183.15</v>
      </c>
      <c r="N2345" s="116">
        <v>183.5</v>
      </c>
      <c r="O2345" s="116">
        <v>181.4</v>
      </c>
      <c r="P2345" s="116">
        <v>182.95</v>
      </c>
      <c r="Q2345" s="116">
        <v>183.15</v>
      </c>
      <c r="R2345">
        <v>28509237</v>
      </c>
    </row>
    <row r="2346" spans="1:18" x14ac:dyDescent="0.25">
      <c r="A2346" s="170">
        <v>45461</v>
      </c>
      <c r="B2346" s="116">
        <v>184.6</v>
      </c>
      <c r="C2346" s="116">
        <v>181.15</v>
      </c>
      <c r="D2346" s="116">
        <v>180.6</v>
      </c>
      <c r="E2346" s="116">
        <v>184</v>
      </c>
      <c r="F2346" s="116">
        <v>181.15</v>
      </c>
      <c r="G2346">
        <v>1392344</v>
      </c>
      <c r="H2346" s="116"/>
      <c r="I2346" s="116"/>
      <c r="L2346" s="170">
        <v>45461</v>
      </c>
      <c r="M2346" s="116">
        <v>181.12</v>
      </c>
      <c r="N2346" s="116">
        <v>184.6</v>
      </c>
      <c r="O2346" s="116">
        <v>180.6</v>
      </c>
      <c r="P2346" s="116">
        <v>183.8</v>
      </c>
      <c r="Q2346" s="116">
        <v>181.12</v>
      </c>
      <c r="R2346">
        <v>35032118</v>
      </c>
    </row>
    <row r="2347" spans="1:18" x14ac:dyDescent="0.25">
      <c r="A2347" s="170">
        <v>45462</v>
      </c>
      <c r="B2347" s="116">
        <v>182.6</v>
      </c>
      <c r="C2347" s="116">
        <v>180.05</v>
      </c>
      <c r="D2347" s="116">
        <v>179.3</v>
      </c>
      <c r="E2347" s="116">
        <v>182.6</v>
      </c>
      <c r="F2347" s="116">
        <v>180.05</v>
      </c>
      <c r="G2347">
        <v>1905634</v>
      </c>
      <c r="H2347" s="116"/>
      <c r="I2347" s="116"/>
      <c r="L2347" s="170">
        <v>45462</v>
      </c>
      <c r="M2347" s="116">
        <v>180.02</v>
      </c>
      <c r="N2347" s="116">
        <v>182.49</v>
      </c>
      <c r="O2347" s="116">
        <v>179.31</v>
      </c>
      <c r="P2347" s="116">
        <v>182.45</v>
      </c>
      <c r="Q2347" s="116">
        <v>180.02</v>
      </c>
      <c r="R2347">
        <v>27476795</v>
      </c>
    </row>
    <row r="2348" spans="1:18" x14ac:dyDescent="0.25">
      <c r="A2348" s="170">
        <v>45463</v>
      </c>
      <c r="B2348" s="116">
        <v>182.9</v>
      </c>
      <c r="C2348" s="116">
        <v>182.35</v>
      </c>
      <c r="D2348" s="116">
        <v>179.5</v>
      </c>
      <c r="E2348" s="116">
        <v>181.9</v>
      </c>
      <c r="F2348" s="116">
        <v>182.35</v>
      </c>
      <c r="G2348">
        <v>2520812</v>
      </c>
      <c r="H2348" s="116"/>
      <c r="I2348" s="116"/>
      <c r="L2348" s="170">
        <v>45463</v>
      </c>
      <c r="M2348" s="116">
        <v>182.28</v>
      </c>
      <c r="N2348" s="116">
        <v>182.95</v>
      </c>
      <c r="O2348" s="116">
        <v>179.37</v>
      </c>
      <c r="P2348" s="116">
        <v>181.6</v>
      </c>
      <c r="Q2348" s="116">
        <v>182.28</v>
      </c>
      <c r="R2348">
        <v>38837494</v>
      </c>
    </row>
    <row r="2349" spans="1:18" x14ac:dyDescent="0.25">
      <c r="A2349" s="170">
        <v>45464</v>
      </c>
      <c r="B2349" s="116">
        <v>180.95</v>
      </c>
      <c r="C2349" s="116">
        <v>179.85</v>
      </c>
      <c r="D2349" s="116">
        <v>178.2</v>
      </c>
      <c r="E2349" s="116">
        <v>180</v>
      </c>
      <c r="F2349" s="116">
        <v>179.85</v>
      </c>
      <c r="G2349">
        <v>3654088</v>
      </c>
      <c r="H2349" s="116"/>
      <c r="I2349" s="116"/>
      <c r="L2349" s="170">
        <v>45464</v>
      </c>
      <c r="M2349" s="116">
        <v>179.94</v>
      </c>
      <c r="N2349" s="116">
        <v>180.9</v>
      </c>
      <c r="O2349" s="116">
        <v>178.18</v>
      </c>
      <c r="P2349" s="116">
        <v>179.4</v>
      </c>
      <c r="Q2349" s="116">
        <v>179.94</v>
      </c>
      <c r="R2349">
        <v>65494855</v>
      </c>
    </row>
    <row r="2350" spans="1:18" x14ac:dyDescent="0.25">
      <c r="A2350" s="170">
        <v>45467</v>
      </c>
      <c r="B2350" s="116">
        <v>178.95</v>
      </c>
      <c r="C2350" s="116">
        <v>177.9</v>
      </c>
      <c r="D2350" s="116">
        <v>175.1</v>
      </c>
      <c r="E2350" s="116">
        <v>177.7</v>
      </c>
      <c r="F2350" s="116">
        <v>177.9</v>
      </c>
      <c r="G2350">
        <v>1683765</v>
      </c>
      <c r="H2350" s="116"/>
      <c r="I2350" s="116"/>
      <c r="L2350" s="170">
        <v>45467</v>
      </c>
      <c r="M2350" s="116">
        <v>177.96</v>
      </c>
      <c r="N2350" s="116">
        <v>178.95</v>
      </c>
      <c r="O2350" s="116">
        <v>175.1</v>
      </c>
      <c r="P2350" s="116">
        <v>177.44</v>
      </c>
      <c r="Q2350" s="116">
        <v>177.96</v>
      </c>
      <c r="R2350">
        <v>47597307</v>
      </c>
    </row>
    <row r="2351" spans="1:18" x14ac:dyDescent="0.25">
      <c r="A2351" s="170">
        <v>45468</v>
      </c>
      <c r="B2351" s="116">
        <v>179</v>
      </c>
      <c r="C2351" s="116">
        <v>175.7</v>
      </c>
      <c r="D2351" s="116">
        <v>175.2</v>
      </c>
      <c r="E2351" s="116">
        <v>177.85</v>
      </c>
      <c r="F2351" s="116">
        <v>175.7</v>
      </c>
      <c r="G2351">
        <v>865945</v>
      </c>
      <c r="H2351" s="116"/>
      <c r="I2351" s="116"/>
      <c r="L2351" s="170">
        <v>45468</v>
      </c>
      <c r="M2351" s="116">
        <v>175.68</v>
      </c>
      <c r="N2351" s="116">
        <v>179</v>
      </c>
      <c r="O2351" s="116">
        <v>175.25</v>
      </c>
      <c r="P2351" s="116">
        <v>177.99</v>
      </c>
      <c r="Q2351" s="116">
        <v>175.68</v>
      </c>
      <c r="R2351">
        <v>30599989</v>
      </c>
    </row>
    <row r="2352" spans="1:18" x14ac:dyDescent="0.25">
      <c r="A2352" s="170">
        <v>45469</v>
      </c>
      <c r="B2352" s="116">
        <v>175.7</v>
      </c>
      <c r="C2352" s="116">
        <v>172.55</v>
      </c>
      <c r="D2352" s="116">
        <v>171.8</v>
      </c>
      <c r="E2352" s="116">
        <v>175.5</v>
      </c>
      <c r="F2352" s="116">
        <v>172.55</v>
      </c>
      <c r="G2352">
        <v>2960795</v>
      </c>
      <c r="H2352" s="116"/>
      <c r="I2352" s="116"/>
      <c r="L2352" s="170">
        <v>45469</v>
      </c>
      <c r="M2352" s="116">
        <v>172.56</v>
      </c>
      <c r="N2352" s="116">
        <v>176</v>
      </c>
      <c r="O2352" s="116">
        <v>171.84</v>
      </c>
      <c r="P2352" s="116">
        <v>175.68</v>
      </c>
      <c r="Q2352" s="116">
        <v>172.56</v>
      </c>
      <c r="R2352">
        <v>44006436</v>
      </c>
    </row>
    <row r="2353" spans="1:18" x14ac:dyDescent="0.25">
      <c r="A2353" s="170">
        <v>45470</v>
      </c>
      <c r="B2353" s="116">
        <v>174.95</v>
      </c>
      <c r="C2353" s="116">
        <v>174.15</v>
      </c>
      <c r="D2353" s="116">
        <v>171.75</v>
      </c>
      <c r="E2353" s="116">
        <v>173.45</v>
      </c>
      <c r="F2353" s="116">
        <v>174.15</v>
      </c>
      <c r="G2353">
        <v>1613316</v>
      </c>
      <c r="H2353" s="116"/>
      <c r="I2353" s="116"/>
      <c r="L2353" s="170">
        <v>45470</v>
      </c>
      <c r="M2353" s="116">
        <v>174.16</v>
      </c>
      <c r="N2353" s="116">
        <v>174.95</v>
      </c>
      <c r="O2353" s="116">
        <v>171.8</v>
      </c>
      <c r="P2353" s="116">
        <v>172.56</v>
      </c>
      <c r="Q2353" s="116">
        <v>174.16</v>
      </c>
      <c r="R2353">
        <v>49767976</v>
      </c>
    </row>
    <row r="2354" spans="1:18" x14ac:dyDescent="0.25">
      <c r="A2354" s="170">
        <v>45471</v>
      </c>
      <c r="B2354" s="116">
        <v>177.1</v>
      </c>
      <c r="C2354" s="116">
        <v>174</v>
      </c>
      <c r="D2354" s="116">
        <v>173.55</v>
      </c>
      <c r="E2354" s="116">
        <v>174.55</v>
      </c>
      <c r="F2354" s="116">
        <v>174</v>
      </c>
      <c r="G2354">
        <v>1816487</v>
      </c>
      <c r="H2354" s="116"/>
      <c r="I2354" s="116"/>
      <c r="L2354" s="170">
        <v>45471</v>
      </c>
      <c r="M2354" s="116">
        <v>174.01</v>
      </c>
      <c r="N2354" s="116">
        <v>177.1</v>
      </c>
      <c r="O2354" s="116">
        <v>173.57</v>
      </c>
      <c r="P2354" s="116">
        <v>174.17</v>
      </c>
      <c r="Q2354" s="116">
        <v>174.01</v>
      </c>
      <c r="R2354">
        <v>37521949</v>
      </c>
    </row>
    <row r="2355" spans="1:18" x14ac:dyDescent="0.25">
      <c r="A2355" s="170">
        <v>45474</v>
      </c>
      <c r="B2355" s="116">
        <v>176</v>
      </c>
      <c r="C2355" s="116">
        <v>174.1</v>
      </c>
      <c r="D2355" s="116">
        <v>173.55</v>
      </c>
      <c r="E2355" s="116">
        <v>174.75</v>
      </c>
      <c r="F2355" s="116">
        <v>174.1</v>
      </c>
      <c r="G2355">
        <v>1874606</v>
      </c>
      <c r="H2355" s="116"/>
      <c r="I2355" s="116"/>
      <c r="L2355" s="170">
        <v>45474</v>
      </c>
      <c r="M2355" s="116">
        <v>174.07</v>
      </c>
      <c r="N2355" s="116">
        <v>175.99</v>
      </c>
      <c r="O2355" s="116">
        <v>173.51</v>
      </c>
      <c r="P2355" s="116">
        <v>174.5</v>
      </c>
      <c r="Q2355" s="116">
        <v>174.07</v>
      </c>
      <c r="R2355">
        <v>27807688</v>
      </c>
    </row>
    <row r="2356" spans="1:18" x14ac:dyDescent="0.25">
      <c r="A2356" s="170">
        <v>45475</v>
      </c>
      <c r="B2356" s="116">
        <v>175.7</v>
      </c>
      <c r="C2356" s="116">
        <v>174.5</v>
      </c>
      <c r="D2356" s="116">
        <v>173.55</v>
      </c>
      <c r="E2356" s="116">
        <v>175.15</v>
      </c>
      <c r="F2356" s="116">
        <v>174.5</v>
      </c>
      <c r="G2356">
        <v>2145796</v>
      </c>
      <c r="H2356" s="116"/>
      <c r="I2356" s="116"/>
      <c r="L2356" s="170">
        <v>45475</v>
      </c>
      <c r="M2356" s="116">
        <v>174.54</v>
      </c>
      <c r="N2356" s="116">
        <v>175.75</v>
      </c>
      <c r="O2356" s="116">
        <v>173.6</v>
      </c>
      <c r="P2356" s="116">
        <v>174.47</v>
      </c>
      <c r="Q2356" s="116">
        <v>174.54</v>
      </c>
      <c r="R2356">
        <v>33359495</v>
      </c>
    </row>
    <row r="2357" spans="1:18" x14ac:dyDescent="0.25">
      <c r="A2357" s="170">
        <v>45476</v>
      </c>
      <c r="B2357" s="116">
        <v>176.75</v>
      </c>
      <c r="C2357" s="116">
        <v>176.35</v>
      </c>
      <c r="D2357" s="116">
        <v>174.5</v>
      </c>
      <c r="E2357" s="116">
        <v>174.55</v>
      </c>
      <c r="F2357" s="116">
        <v>176.35</v>
      </c>
      <c r="G2357">
        <v>1567263</v>
      </c>
      <c r="H2357" s="116"/>
      <c r="I2357" s="116"/>
      <c r="L2357" s="170">
        <v>45476</v>
      </c>
      <c r="M2357" s="116">
        <v>176.37</v>
      </c>
      <c r="N2357" s="116">
        <v>176.88</v>
      </c>
      <c r="O2357" s="116">
        <v>174.4</v>
      </c>
      <c r="P2357" s="116">
        <v>174.54</v>
      </c>
      <c r="Q2357" s="116">
        <v>176.37</v>
      </c>
      <c r="R2357">
        <v>29090492</v>
      </c>
    </row>
    <row r="2358" spans="1:18" x14ac:dyDescent="0.25">
      <c r="A2358" s="170">
        <v>45477</v>
      </c>
      <c r="B2358" s="116">
        <v>178.15</v>
      </c>
      <c r="C2358" s="116">
        <v>176.25</v>
      </c>
      <c r="D2358" s="116">
        <v>175.85</v>
      </c>
      <c r="E2358" s="116">
        <v>176.9</v>
      </c>
      <c r="F2358" s="116">
        <v>176.25</v>
      </c>
      <c r="G2358">
        <v>1114391</v>
      </c>
      <c r="H2358" s="116"/>
      <c r="I2358" s="116"/>
      <c r="L2358" s="170">
        <v>45477</v>
      </c>
      <c r="M2358" s="116">
        <v>176.29</v>
      </c>
      <c r="N2358" s="116">
        <v>178.19</v>
      </c>
      <c r="O2358" s="116">
        <v>175.82</v>
      </c>
      <c r="P2358" s="116">
        <v>177</v>
      </c>
      <c r="Q2358" s="116">
        <v>176.29</v>
      </c>
      <c r="R2358">
        <v>29504744</v>
      </c>
    </row>
    <row r="2359" spans="1:18" x14ac:dyDescent="0.25">
      <c r="A2359" s="170">
        <v>45478</v>
      </c>
      <c r="B2359" s="116">
        <v>176.45</v>
      </c>
      <c r="C2359" s="116">
        <v>174.75</v>
      </c>
      <c r="D2359" s="116">
        <v>173.4</v>
      </c>
      <c r="E2359" s="116">
        <v>176.45</v>
      </c>
      <c r="F2359" s="116">
        <v>174.75</v>
      </c>
      <c r="G2359">
        <v>2507769</v>
      </c>
      <c r="H2359" s="116"/>
      <c r="I2359" s="116"/>
      <c r="L2359" s="170">
        <v>45478</v>
      </c>
      <c r="M2359" s="116">
        <v>174.71</v>
      </c>
      <c r="N2359" s="116">
        <v>176.2</v>
      </c>
      <c r="O2359" s="116">
        <v>173.4</v>
      </c>
      <c r="P2359" s="116">
        <v>176.2</v>
      </c>
      <c r="Q2359" s="116">
        <v>174.71</v>
      </c>
      <c r="R2359">
        <v>38123217</v>
      </c>
    </row>
    <row r="2360" spans="1:18" x14ac:dyDescent="0.25">
      <c r="A2360" s="170">
        <v>45481</v>
      </c>
      <c r="B2360" s="116">
        <v>175.45</v>
      </c>
      <c r="C2360" s="116">
        <v>172.3</v>
      </c>
      <c r="D2360" s="116">
        <v>172.1</v>
      </c>
      <c r="E2360" s="116">
        <v>174.75</v>
      </c>
      <c r="F2360" s="116">
        <v>172.3</v>
      </c>
      <c r="G2360">
        <v>4074473</v>
      </c>
      <c r="H2360" s="116"/>
      <c r="I2360" s="116"/>
      <c r="L2360" s="170">
        <v>45481</v>
      </c>
      <c r="M2360" s="116">
        <v>172.28</v>
      </c>
      <c r="N2360" s="116">
        <v>175.47</v>
      </c>
      <c r="O2360" s="116">
        <v>172.09</v>
      </c>
      <c r="P2360" s="116">
        <v>174.6</v>
      </c>
      <c r="Q2360" s="116">
        <v>172.28</v>
      </c>
      <c r="R2360">
        <v>31479861</v>
      </c>
    </row>
    <row r="2361" spans="1:18" x14ac:dyDescent="0.25">
      <c r="A2361" s="170">
        <v>45482</v>
      </c>
      <c r="B2361" s="116">
        <v>173.95</v>
      </c>
      <c r="C2361" s="116">
        <v>171.8</v>
      </c>
      <c r="D2361" s="116">
        <v>171.5</v>
      </c>
      <c r="E2361" s="116">
        <v>173.95</v>
      </c>
      <c r="F2361" s="116">
        <v>171.8</v>
      </c>
      <c r="G2361">
        <v>1715352</v>
      </c>
      <c r="H2361" s="116"/>
      <c r="I2361" s="116"/>
      <c r="L2361" s="170">
        <v>45482</v>
      </c>
      <c r="M2361" s="116">
        <v>171.8</v>
      </c>
      <c r="N2361" s="116">
        <v>173.7</v>
      </c>
      <c r="O2361" s="116">
        <v>171.51</v>
      </c>
      <c r="P2361" s="116">
        <v>173.6</v>
      </c>
      <c r="Q2361" s="116">
        <v>171.8</v>
      </c>
      <c r="R2361">
        <v>25127904</v>
      </c>
    </row>
    <row r="2362" spans="1:18" x14ac:dyDescent="0.25">
      <c r="A2362" s="170">
        <v>45483</v>
      </c>
      <c r="B2362" s="116">
        <v>172.95</v>
      </c>
      <c r="C2362" s="116">
        <v>168</v>
      </c>
      <c r="D2362" s="116">
        <v>167.05</v>
      </c>
      <c r="E2362" s="116">
        <v>172.5</v>
      </c>
      <c r="F2362" s="116">
        <v>168</v>
      </c>
      <c r="G2362">
        <v>3280315</v>
      </c>
      <c r="H2362" s="116"/>
      <c r="I2362" s="116"/>
      <c r="L2362" s="170">
        <v>45483</v>
      </c>
      <c r="M2362" s="116">
        <v>167.98</v>
      </c>
      <c r="N2362" s="116">
        <v>172.89</v>
      </c>
      <c r="O2362" s="116">
        <v>167.02</v>
      </c>
      <c r="P2362" s="116">
        <v>172.5</v>
      </c>
      <c r="Q2362" s="116">
        <v>167.98</v>
      </c>
      <c r="R2362">
        <v>41525591</v>
      </c>
    </row>
    <row r="2363" spans="1:18" x14ac:dyDescent="0.25">
      <c r="A2363" s="170">
        <v>45484</v>
      </c>
      <c r="B2363" s="116">
        <v>170.9</v>
      </c>
      <c r="C2363" s="116">
        <v>169</v>
      </c>
      <c r="D2363" s="116">
        <v>168.65</v>
      </c>
      <c r="E2363" s="116">
        <v>170</v>
      </c>
      <c r="F2363" s="116">
        <v>169</v>
      </c>
      <c r="G2363">
        <v>2512614</v>
      </c>
      <c r="H2363" s="116"/>
      <c r="I2363" s="116"/>
      <c r="L2363" s="170">
        <v>45484</v>
      </c>
      <c r="M2363" s="116">
        <v>168.92</v>
      </c>
      <c r="N2363" s="116">
        <v>170.95</v>
      </c>
      <c r="O2363" s="116">
        <v>168.67</v>
      </c>
      <c r="P2363" s="116">
        <v>170</v>
      </c>
      <c r="Q2363" s="116">
        <v>168.92</v>
      </c>
      <c r="R2363">
        <v>33987236</v>
      </c>
    </row>
    <row r="2364" spans="1:18" x14ac:dyDescent="0.25">
      <c r="A2364" s="170">
        <v>45485</v>
      </c>
      <c r="B2364" s="116">
        <v>170.4</v>
      </c>
      <c r="C2364" s="116">
        <v>168.7</v>
      </c>
      <c r="D2364" s="116">
        <v>168.05</v>
      </c>
      <c r="E2364" s="116">
        <v>170.4</v>
      </c>
      <c r="F2364" s="116">
        <v>168.7</v>
      </c>
      <c r="G2364">
        <v>2767382</v>
      </c>
      <c r="H2364" s="116"/>
      <c r="I2364" s="116"/>
      <c r="L2364" s="170">
        <v>45485</v>
      </c>
      <c r="M2364" s="116">
        <v>168.69</v>
      </c>
      <c r="N2364" s="116">
        <v>170.39</v>
      </c>
      <c r="O2364" s="116">
        <v>168.01</v>
      </c>
      <c r="P2364" s="116">
        <v>170.2</v>
      </c>
      <c r="Q2364" s="116">
        <v>168.69</v>
      </c>
      <c r="R2364">
        <v>33311402</v>
      </c>
    </row>
    <row r="2365" spans="1:18" x14ac:dyDescent="0.25">
      <c r="A2365" s="170">
        <v>45488</v>
      </c>
      <c r="B2365" s="116">
        <v>168.75</v>
      </c>
      <c r="C2365" s="116">
        <v>166.8</v>
      </c>
      <c r="D2365" s="116">
        <v>165.8</v>
      </c>
      <c r="E2365" s="116">
        <v>168.7</v>
      </c>
      <c r="F2365" s="116">
        <v>166.8</v>
      </c>
      <c r="G2365">
        <v>2975454</v>
      </c>
      <c r="H2365" s="116"/>
      <c r="I2365" s="116"/>
      <c r="L2365" s="170">
        <v>45488</v>
      </c>
      <c r="M2365" s="116">
        <v>166.76</v>
      </c>
      <c r="N2365" s="116">
        <v>168.99</v>
      </c>
      <c r="O2365" s="116">
        <v>165.8</v>
      </c>
      <c r="P2365" s="116">
        <v>168.69</v>
      </c>
      <c r="Q2365" s="116">
        <v>166.76</v>
      </c>
      <c r="R2365">
        <v>32635187</v>
      </c>
    </row>
    <row r="2366" spans="1:18" x14ac:dyDescent="0.25">
      <c r="A2366" s="170">
        <v>45489</v>
      </c>
      <c r="B2366" s="116">
        <v>169.8</v>
      </c>
      <c r="C2366" s="116">
        <v>167.05</v>
      </c>
      <c r="D2366" s="116">
        <v>166.8</v>
      </c>
      <c r="E2366" s="116">
        <v>168</v>
      </c>
      <c r="F2366" s="116">
        <v>167.05</v>
      </c>
      <c r="G2366">
        <v>3105057</v>
      </c>
      <c r="H2366" s="116"/>
      <c r="I2366" s="116"/>
      <c r="L2366" s="170">
        <v>45489</v>
      </c>
      <c r="M2366" s="116">
        <v>167.07</v>
      </c>
      <c r="N2366" s="116">
        <v>169.82</v>
      </c>
      <c r="O2366" s="116">
        <v>166.7</v>
      </c>
      <c r="P2366" s="116">
        <v>167.8</v>
      </c>
      <c r="Q2366" s="116">
        <v>167.07</v>
      </c>
      <c r="R2366">
        <v>26506026</v>
      </c>
    </row>
    <row r="2367" spans="1:18" x14ac:dyDescent="0.25">
      <c r="A2367" s="170">
        <v>45491</v>
      </c>
      <c r="B2367" s="116">
        <v>167.9</v>
      </c>
      <c r="C2367" s="116">
        <v>166.35</v>
      </c>
      <c r="D2367" s="116">
        <v>164.45</v>
      </c>
      <c r="E2367" s="116">
        <v>167.9</v>
      </c>
      <c r="F2367" s="116">
        <v>166.35</v>
      </c>
      <c r="G2367">
        <v>1702015</v>
      </c>
      <c r="H2367" s="116"/>
      <c r="I2367" s="116"/>
      <c r="L2367" s="170">
        <v>45491</v>
      </c>
      <c r="M2367" s="116">
        <v>166.36</v>
      </c>
      <c r="N2367" s="116">
        <v>167.61</v>
      </c>
      <c r="O2367" s="116">
        <v>164.44</v>
      </c>
      <c r="P2367" s="116">
        <v>167.61</v>
      </c>
      <c r="Q2367" s="116">
        <v>166.36</v>
      </c>
      <c r="R2367">
        <v>36568852</v>
      </c>
    </row>
    <row r="2368" spans="1:18" x14ac:dyDescent="0.25">
      <c r="A2368" s="170">
        <v>45492</v>
      </c>
      <c r="B2368" s="116">
        <v>166.3</v>
      </c>
      <c r="C2368" s="116">
        <v>157.75</v>
      </c>
      <c r="D2368" s="116">
        <v>157.30000000000001</v>
      </c>
      <c r="E2368" s="116">
        <v>166.3</v>
      </c>
      <c r="F2368" s="116">
        <v>157.75</v>
      </c>
      <c r="G2368">
        <v>3649993</v>
      </c>
      <c r="H2368" s="116"/>
      <c r="I2368" s="116"/>
      <c r="L2368" s="170">
        <v>45492</v>
      </c>
      <c r="M2368" s="116">
        <v>157.77000000000001</v>
      </c>
      <c r="N2368" s="116">
        <v>166.09</v>
      </c>
      <c r="O2368" s="116">
        <v>157.19999999999999</v>
      </c>
      <c r="P2368" s="116">
        <v>166</v>
      </c>
      <c r="Q2368" s="116">
        <v>157.77000000000001</v>
      </c>
      <c r="R2368">
        <v>77987514</v>
      </c>
    </row>
    <row r="2369" spans="1:18" x14ac:dyDescent="0.25">
      <c r="A2369" s="170">
        <v>45495</v>
      </c>
      <c r="B2369" s="116">
        <v>160.69999999999999</v>
      </c>
      <c r="C2369" s="116">
        <v>160.35</v>
      </c>
      <c r="D2369" s="116">
        <v>156.5</v>
      </c>
      <c r="E2369" s="116">
        <v>159.6</v>
      </c>
      <c r="F2369" s="116">
        <v>160.35</v>
      </c>
      <c r="G2369">
        <v>2329122</v>
      </c>
      <c r="H2369" s="116"/>
      <c r="I2369" s="116"/>
      <c r="L2369" s="170">
        <v>45495</v>
      </c>
      <c r="M2369" s="116">
        <v>160.32</v>
      </c>
      <c r="N2369" s="116">
        <v>160.69999999999999</v>
      </c>
      <c r="O2369" s="116">
        <v>156.41</v>
      </c>
      <c r="P2369" s="116">
        <v>158.4</v>
      </c>
      <c r="Q2369" s="116">
        <v>160.32</v>
      </c>
      <c r="R2369">
        <v>40353690</v>
      </c>
    </row>
    <row r="2370" spans="1:18" x14ac:dyDescent="0.25">
      <c r="A2370" s="170">
        <v>45496</v>
      </c>
      <c r="B2370" s="116">
        <v>162</v>
      </c>
      <c r="C2370" s="116">
        <v>160.05000000000001</v>
      </c>
      <c r="D2370" s="116">
        <v>155</v>
      </c>
      <c r="E2370" s="116">
        <v>161.69999999999999</v>
      </c>
      <c r="F2370" s="116">
        <v>160.05000000000001</v>
      </c>
      <c r="G2370">
        <v>3666875</v>
      </c>
      <c r="H2370" s="116"/>
      <c r="I2370" s="116"/>
      <c r="L2370" s="170">
        <v>45496</v>
      </c>
      <c r="M2370" s="116">
        <v>160.02000000000001</v>
      </c>
      <c r="N2370" s="116">
        <v>161.97</v>
      </c>
      <c r="O2370" s="116">
        <v>155</v>
      </c>
      <c r="P2370" s="116">
        <v>161.6</v>
      </c>
      <c r="Q2370" s="116">
        <v>160.02000000000001</v>
      </c>
      <c r="R2370">
        <v>37077411</v>
      </c>
    </row>
    <row r="2371" spans="1:18" x14ac:dyDescent="0.25">
      <c r="A2371" s="170">
        <v>45497</v>
      </c>
      <c r="B2371" s="116">
        <v>162.05000000000001</v>
      </c>
      <c r="C2371" s="116">
        <v>160.30000000000001</v>
      </c>
      <c r="D2371" s="116">
        <v>159.15</v>
      </c>
      <c r="E2371" s="116">
        <v>160</v>
      </c>
      <c r="F2371" s="116">
        <v>160.30000000000001</v>
      </c>
      <c r="G2371">
        <v>2249635</v>
      </c>
      <c r="H2371" s="116"/>
      <c r="I2371" s="116"/>
      <c r="L2371" s="170">
        <v>45497</v>
      </c>
      <c r="M2371" s="116">
        <v>160.31</v>
      </c>
      <c r="N2371" s="116">
        <v>162.02000000000001</v>
      </c>
      <c r="O2371" s="116">
        <v>159.19</v>
      </c>
      <c r="P2371" s="116">
        <v>160.02000000000001</v>
      </c>
      <c r="Q2371" s="116">
        <v>160.31</v>
      </c>
      <c r="R2371">
        <v>28086566</v>
      </c>
    </row>
    <row r="2372" spans="1:18" x14ac:dyDescent="0.25">
      <c r="A2372" s="170">
        <v>45498</v>
      </c>
      <c r="B2372" s="116">
        <v>158.94999999999999</v>
      </c>
      <c r="C2372" s="116">
        <v>157.44999999999999</v>
      </c>
      <c r="D2372" s="116">
        <v>156.94999999999999</v>
      </c>
      <c r="E2372" s="116">
        <v>158.94999999999999</v>
      </c>
      <c r="F2372" s="116">
        <v>157.44999999999999</v>
      </c>
      <c r="G2372">
        <v>1407059</v>
      </c>
      <c r="H2372" s="116"/>
      <c r="I2372" s="116"/>
      <c r="L2372" s="170">
        <v>45498</v>
      </c>
      <c r="M2372" s="116">
        <v>157.38999999999999</v>
      </c>
      <c r="N2372" s="116">
        <v>158.5</v>
      </c>
      <c r="O2372" s="116">
        <v>156.9</v>
      </c>
      <c r="P2372" s="116">
        <v>158.5</v>
      </c>
      <c r="Q2372" s="116">
        <v>157.38999999999999</v>
      </c>
      <c r="R2372">
        <v>45155876</v>
      </c>
    </row>
    <row r="2373" spans="1:18" x14ac:dyDescent="0.25">
      <c r="A2373" s="170">
        <v>45499</v>
      </c>
      <c r="B2373" s="116">
        <v>162.9</v>
      </c>
      <c r="C2373" s="116">
        <v>162.6</v>
      </c>
      <c r="D2373" s="116">
        <v>158.19999999999999</v>
      </c>
      <c r="E2373" s="116">
        <v>158.44999999999999</v>
      </c>
      <c r="F2373" s="116">
        <v>162.6</v>
      </c>
      <c r="G2373">
        <v>4109598</v>
      </c>
      <c r="H2373" s="116"/>
      <c r="I2373" s="116"/>
      <c r="L2373" s="170">
        <v>45499</v>
      </c>
      <c r="M2373" s="116">
        <v>162.55000000000001</v>
      </c>
      <c r="N2373" s="116">
        <v>162.94999999999999</v>
      </c>
      <c r="O2373" s="116">
        <v>158.21</v>
      </c>
      <c r="P2373" s="116">
        <v>158.75</v>
      </c>
      <c r="Q2373" s="116">
        <v>162.55000000000001</v>
      </c>
      <c r="R2373">
        <v>45642032</v>
      </c>
    </row>
    <row r="2374" spans="1:18" x14ac:dyDescent="0.25">
      <c r="A2374" s="170">
        <v>45502</v>
      </c>
      <c r="B2374" s="116">
        <v>164.8</v>
      </c>
      <c r="C2374" s="116">
        <v>162.85</v>
      </c>
      <c r="D2374" s="116">
        <v>162.35</v>
      </c>
      <c r="E2374" s="116">
        <v>164.8</v>
      </c>
      <c r="F2374" s="116">
        <v>162.85</v>
      </c>
      <c r="G2374">
        <v>3237608</v>
      </c>
      <c r="H2374" s="116"/>
      <c r="I2374" s="116"/>
      <c r="L2374" s="170">
        <v>45502</v>
      </c>
      <c r="M2374" s="116">
        <v>162.87</v>
      </c>
      <c r="N2374" s="116">
        <v>164.7</v>
      </c>
      <c r="O2374" s="116">
        <v>162.33000000000001</v>
      </c>
      <c r="P2374" s="116">
        <v>164.7</v>
      </c>
      <c r="Q2374" s="116">
        <v>162.87</v>
      </c>
      <c r="R2374">
        <v>31754833</v>
      </c>
    </row>
    <row r="2375" spans="1:18" x14ac:dyDescent="0.25">
      <c r="A2375" s="170">
        <v>45503</v>
      </c>
      <c r="B2375" s="116">
        <v>165.35</v>
      </c>
      <c r="C2375" s="116">
        <v>164.05</v>
      </c>
      <c r="D2375" s="116">
        <v>161.30000000000001</v>
      </c>
      <c r="E2375" s="116">
        <v>163.4</v>
      </c>
      <c r="F2375" s="116">
        <v>164.05</v>
      </c>
      <c r="G2375">
        <v>2756963</v>
      </c>
      <c r="H2375" s="116"/>
      <c r="I2375" s="116"/>
      <c r="L2375" s="170">
        <v>45503</v>
      </c>
      <c r="M2375" s="116">
        <v>164.07</v>
      </c>
      <c r="N2375" s="116">
        <v>165.3</v>
      </c>
      <c r="O2375" s="116">
        <v>161.31</v>
      </c>
      <c r="P2375" s="116">
        <v>162.9</v>
      </c>
      <c r="Q2375" s="116">
        <v>164.07</v>
      </c>
      <c r="R2375">
        <v>42824600</v>
      </c>
    </row>
    <row r="2376" spans="1:18" x14ac:dyDescent="0.25">
      <c r="A2376" s="170">
        <v>45504</v>
      </c>
      <c r="B2376" s="116">
        <v>166.6</v>
      </c>
      <c r="C2376" s="116">
        <v>165.35</v>
      </c>
      <c r="D2376" s="116">
        <v>163.5</v>
      </c>
      <c r="E2376" s="116">
        <v>166.6</v>
      </c>
      <c r="F2376" s="116">
        <v>165.35</v>
      </c>
      <c r="G2376">
        <v>1756430</v>
      </c>
      <c r="H2376" s="116"/>
      <c r="I2376" s="116"/>
      <c r="L2376" s="170">
        <v>45504</v>
      </c>
      <c r="M2376" s="116">
        <v>165.33</v>
      </c>
      <c r="N2376" s="116">
        <v>166.5</v>
      </c>
      <c r="O2376" s="116">
        <v>163.55000000000001</v>
      </c>
      <c r="P2376" s="116">
        <v>166.29</v>
      </c>
      <c r="Q2376" s="116">
        <v>165.33</v>
      </c>
      <c r="R2376">
        <v>52769925</v>
      </c>
    </row>
    <row r="2377" spans="1:18" x14ac:dyDescent="0.25">
      <c r="A2377" s="170">
        <v>45505</v>
      </c>
      <c r="B2377" s="116">
        <v>168.9</v>
      </c>
      <c r="C2377" s="116">
        <v>163.05000000000001</v>
      </c>
      <c r="D2377" s="116">
        <v>160.9</v>
      </c>
      <c r="E2377" s="116">
        <v>168</v>
      </c>
      <c r="F2377" s="116">
        <v>163.05000000000001</v>
      </c>
      <c r="G2377">
        <v>7237330</v>
      </c>
      <c r="H2377" s="116"/>
      <c r="I2377" s="116"/>
      <c r="L2377" s="170">
        <v>45505</v>
      </c>
      <c r="M2377" s="116">
        <v>163.06</v>
      </c>
      <c r="N2377" s="116">
        <v>168.95</v>
      </c>
      <c r="O2377" s="116">
        <v>160.9</v>
      </c>
      <c r="P2377" s="116">
        <v>168.2</v>
      </c>
      <c r="Q2377" s="116">
        <v>163.06</v>
      </c>
      <c r="R2377">
        <v>118341338</v>
      </c>
    </row>
    <row r="2378" spans="1:18" x14ac:dyDescent="0.25">
      <c r="A2378" s="170">
        <v>45506</v>
      </c>
      <c r="B2378" s="116">
        <v>162</v>
      </c>
      <c r="C2378" s="116">
        <v>158.19999999999999</v>
      </c>
      <c r="D2378" s="116">
        <v>154.6</v>
      </c>
      <c r="E2378" s="116">
        <v>162</v>
      </c>
      <c r="F2378" s="116">
        <v>158.19999999999999</v>
      </c>
      <c r="G2378">
        <v>3888501</v>
      </c>
      <c r="H2378" s="116"/>
      <c r="I2378" s="116"/>
      <c r="L2378" s="170">
        <v>45506</v>
      </c>
      <c r="M2378" s="116">
        <v>158.22</v>
      </c>
      <c r="N2378" s="116">
        <v>161.19</v>
      </c>
      <c r="O2378" s="116">
        <v>154.72</v>
      </c>
      <c r="P2378" s="116">
        <v>161</v>
      </c>
      <c r="Q2378" s="116">
        <v>158.22</v>
      </c>
      <c r="R2378">
        <v>72427529</v>
      </c>
    </row>
    <row r="2379" spans="1:18" x14ac:dyDescent="0.25">
      <c r="A2379" s="170">
        <v>45509</v>
      </c>
      <c r="B2379" s="116">
        <v>155</v>
      </c>
      <c r="C2379" s="116">
        <v>149.80000000000001</v>
      </c>
      <c r="D2379" s="116">
        <v>149</v>
      </c>
      <c r="E2379" s="116">
        <v>155</v>
      </c>
      <c r="F2379" s="116">
        <v>149.80000000000001</v>
      </c>
      <c r="G2379">
        <v>4720926</v>
      </c>
      <c r="H2379" s="116"/>
      <c r="I2379" s="116"/>
      <c r="L2379" s="170">
        <v>45509</v>
      </c>
      <c r="M2379" s="116">
        <v>149.82</v>
      </c>
      <c r="N2379" s="116">
        <v>154</v>
      </c>
      <c r="O2379" s="116">
        <v>149</v>
      </c>
      <c r="P2379" s="116">
        <v>153.66</v>
      </c>
      <c r="Q2379" s="116">
        <v>149.82</v>
      </c>
      <c r="R2379">
        <v>102883971</v>
      </c>
    </row>
    <row r="2380" spans="1:18" x14ac:dyDescent="0.25">
      <c r="A2380" s="170">
        <v>45510</v>
      </c>
      <c r="B2380" s="116">
        <v>153.9</v>
      </c>
      <c r="C2380" s="116">
        <v>150.25</v>
      </c>
      <c r="D2380" s="116">
        <v>149.6</v>
      </c>
      <c r="E2380" s="116">
        <v>151.35</v>
      </c>
      <c r="F2380" s="116">
        <v>150.25</v>
      </c>
      <c r="G2380">
        <v>2180374</v>
      </c>
      <c r="H2380" s="116"/>
      <c r="I2380" s="116"/>
      <c r="L2380" s="170">
        <v>45510</v>
      </c>
      <c r="M2380" s="116">
        <v>150.32</v>
      </c>
      <c r="N2380" s="116">
        <v>153.80000000000001</v>
      </c>
      <c r="O2380" s="116">
        <v>149.61000000000001</v>
      </c>
      <c r="P2380" s="116">
        <v>151.21</v>
      </c>
      <c r="Q2380" s="116">
        <v>150.32</v>
      </c>
      <c r="R2380">
        <v>53507102</v>
      </c>
    </row>
    <row r="2381" spans="1:18" x14ac:dyDescent="0.25">
      <c r="A2381" s="170">
        <v>45511</v>
      </c>
      <c r="B2381" s="116">
        <v>154.25</v>
      </c>
      <c r="C2381" s="116">
        <v>153.85</v>
      </c>
      <c r="D2381" s="116">
        <v>151.94999999999999</v>
      </c>
      <c r="E2381" s="116">
        <v>153.94999999999999</v>
      </c>
      <c r="F2381" s="116">
        <v>153.85</v>
      </c>
      <c r="G2381">
        <v>3213538</v>
      </c>
      <c r="H2381" s="116"/>
      <c r="I2381" s="116"/>
      <c r="L2381" s="170">
        <v>45511</v>
      </c>
      <c r="M2381" s="116">
        <v>153.86000000000001</v>
      </c>
      <c r="N2381" s="116">
        <v>154.30000000000001</v>
      </c>
      <c r="O2381" s="116">
        <v>151.9</v>
      </c>
      <c r="P2381" s="116">
        <v>153.69999999999999</v>
      </c>
      <c r="Q2381" s="116">
        <v>153.86000000000001</v>
      </c>
      <c r="R2381">
        <v>32029697</v>
      </c>
    </row>
    <row r="2382" spans="1:18" x14ac:dyDescent="0.25">
      <c r="A2382" s="170">
        <v>45512</v>
      </c>
      <c r="B2382" s="116">
        <v>153.94999999999999</v>
      </c>
      <c r="C2382" s="116">
        <v>150.5</v>
      </c>
      <c r="D2382" s="116">
        <v>150</v>
      </c>
      <c r="E2382" s="116">
        <v>153.94999999999999</v>
      </c>
      <c r="F2382" s="116">
        <v>150.5</v>
      </c>
      <c r="G2382">
        <v>3320904</v>
      </c>
      <c r="H2382" s="116"/>
      <c r="I2382" s="116"/>
      <c r="L2382" s="170">
        <v>45512</v>
      </c>
      <c r="M2382" s="116">
        <v>150.28</v>
      </c>
      <c r="N2382" s="116">
        <v>153.44</v>
      </c>
      <c r="O2382" s="116">
        <v>150</v>
      </c>
      <c r="P2382" s="116">
        <v>153.4</v>
      </c>
      <c r="Q2382" s="116">
        <v>150.28</v>
      </c>
      <c r="R2382">
        <v>51858615</v>
      </c>
    </row>
    <row r="2383" spans="1:18" x14ac:dyDescent="0.25">
      <c r="A2383" s="170">
        <v>45513</v>
      </c>
      <c r="B2383" s="116">
        <v>153</v>
      </c>
      <c r="C2383" s="116">
        <v>151.80000000000001</v>
      </c>
      <c r="D2383" s="116">
        <v>151.25</v>
      </c>
      <c r="E2383" s="116">
        <v>153</v>
      </c>
      <c r="F2383" s="116">
        <v>151.80000000000001</v>
      </c>
      <c r="G2383">
        <v>2084284</v>
      </c>
      <c r="H2383" s="116"/>
      <c r="I2383" s="116"/>
      <c r="L2383" s="170">
        <v>45513</v>
      </c>
      <c r="M2383" s="116">
        <v>151.81</v>
      </c>
      <c r="N2383" s="116">
        <v>153</v>
      </c>
      <c r="O2383" s="116">
        <v>151.25</v>
      </c>
      <c r="P2383" s="116">
        <v>153</v>
      </c>
      <c r="Q2383" s="116">
        <v>151.81</v>
      </c>
      <c r="R2383">
        <v>23290101</v>
      </c>
    </row>
    <row r="2384" spans="1:18" x14ac:dyDescent="0.25">
      <c r="A2384" s="170">
        <v>45516</v>
      </c>
      <c r="B2384" s="116">
        <v>153.4</v>
      </c>
      <c r="C2384" s="116">
        <v>152.05000000000001</v>
      </c>
      <c r="D2384" s="116">
        <v>149.85</v>
      </c>
      <c r="E2384" s="116">
        <v>151.05000000000001</v>
      </c>
      <c r="F2384" s="116">
        <v>152.05000000000001</v>
      </c>
      <c r="G2384">
        <v>1279459</v>
      </c>
      <c r="H2384" s="116"/>
      <c r="I2384" s="116"/>
      <c r="L2384" s="170">
        <v>45516</v>
      </c>
      <c r="M2384" s="116">
        <v>152.06</v>
      </c>
      <c r="N2384" s="116">
        <v>153.4</v>
      </c>
      <c r="O2384" s="116">
        <v>149.88</v>
      </c>
      <c r="P2384" s="116">
        <v>151</v>
      </c>
      <c r="Q2384" s="116">
        <v>152.06</v>
      </c>
      <c r="R2384">
        <v>30550334</v>
      </c>
    </row>
    <row r="2385" spans="1:18" x14ac:dyDescent="0.25">
      <c r="A2385" s="170">
        <v>45517</v>
      </c>
      <c r="B2385" s="116">
        <v>152.94999999999999</v>
      </c>
      <c r="C2385" s="116">
        <v>148.9</v>
      </c>
      <c r="D2385" s="116">
        <v>148.44999999999999</v>
      </c>
      <c r="E2385" s="116">
        <v>152.6</v>
      </c>
      <c r="F2385" s="116">
        <v>148.9</v>
      </c>
      <c r="G2385">
        <v>1248455</v>
      </c>
      <c r="H2385" s="116"/>
      <c r="I2385" s="116"/>
      <c r="L2385" s="170">
        <v>45517</v>
      </c>
      <c r="M2385" s="116">
        <v>148.88</v>
      </c>
      <c r="N2385" s="116">
        <v>152.94999999999999</v>
      </c>
      <c r="O2385" s="116">
        <v>148.5</v>
      </c>
      <c r="P2385" s="116">
        <v>152.1</v>
      </c>
      <c r="Q2385" s="116">
        <v>148.88</v>
      </c>
      <c r="R2385">
        <v>29396493</v>
      </c>
    </row>
    <row r="2386" spans="1:18" x14ac:dyDescent="0.25">
      <c r="A2386" s="170">
        <v>45518</v>
      </c>
      <c r="B2386" s="116">
        <v>150.05000000000001</v>
      </c>
      <c r="C2386" s="116">
        <v>146.19999999999999</v>
      </c>
      <c r="D2386" s="116">
        <v>142.35</v>
      </c>
      <c r="E2386" s="116">
        <v>150.05000000000001</v>
      </c>
      <c r="F2386" s="116">
        <v>146.19999999999999</v>
      </c>
      <c r="G2386">
        <v>6971802</v>
      </c>
      <c r="H2386" s="116"/>
      <c r="I2386" s="116"/>
      <c r="L2386" s="170">
        <v>45518</v>
      </c>
      <c r="M2386" s="116">
        <v>146.16999999999999</v>
      </c>
      <c r="N2386" s="116">
        <v>149.9</v>
      </c>
      <c r="O2386" s="116">
        <v>142.35</v>
      </c>
      <c r="P2386" s="116">
        <v>149.9</v>
      </c>
      <c r="Q2386" s="116">
        <v>146.16999999999999</v>
      </c>
      <c r="R2386">
        <v>97911180</v>
      </c>
    </row>
    <row r="2387" spans="1:18" x14ac:dyDescent="0.25">
      <c r="A2387" s="170">
        <v>45520</v>
      </c>
      <c r="B2387" s="116">
        <v>150</v>
      </c>
      <c r="C2387" s="116">
        <v>149.55000000000001</v>
      </c>
      <c r="D2387" s="116">
        <v>146.5</v>
      </c>
      <c r="E2387" s="116">
        <v>148.30000000000001</v>
      </c>
      <c r="F2387" s="116">
        <v>149.55000000000001</v>
      </c>
      <c r="G2387">
        <v>3787246</v>
      </c>
      <c r="H2387" s="116"/>
      <c r="I2387" s="116"/>
      <c r="L2387" s="170">
        <v>45520</v>
      </c>
      <c r="M2387" s="116">
        <v>149.52000000000001</v>
      </c>
      <c r="N2387" s="116">
        <v>150</v>
      </c>
      <c r="O2387" s="116">
        <v>146.46</v>
      </c>
      <c r="P2387" s="116">
        <v>148</v>
      </c>
      <c r="Q2387" s="116">
        <v>149.52000000000001</v>
      </c>
      <c r="R2387">
        <v>54131721</v>
      </c>
    </row>
    <row r="2388" spans="1:18" x14ac:dyDescent="0.25">
      <c r="A2388" s="170">
        <v>45523</v>
      </c>
      <c r="B2388" s="116">
        <v>154.25</v>
      </c>
      <c r="C2388" s="116">
        <v>153.94999999999999</v>
      </c>
      <c r="D2388" s="116">
        <v>150.35</v>
      </c>
      <c r="E2388" s="116">
        <v>151</v>
      </c>
      <c r="F2388" s="116">
        <v>153.94999999999999</v>
      </c>
      <c r="G2388">
        <v>4325180</v>
      </c>
      <c r="H2388" s="116"/>
      <c r="I2388" s="116"/>
      <c r="L2388" s="170">
        <v>45523</v>
      </c>
      <c r="M2388" s="116">
        <v>153.96</v>
      </c>
      <c r="N2388" s="116">
        <v>154.30000000000001</v>
      </c>
      <c r="O2388" s="116">
        <v>150.38999999999999</v>
      </c>
      <c r="P2388" s="116">
        <v>150.85</v>
      </c>
      <c r="Q2388" s="116">
        <v>153.96</v>
      </c>
      <c r="R2388">
        <v>62889770</v>
      </c>
    </row>
    <row r="2389" spans="1:18" x14ac:dyDescent="0.25">
      <c r="A2389" s="170">
        <v>45524</v>
      </c>
      <c r="B2389" s="116">
        <v>155.9</v>
      </c>
      <c r="C2389" s="116">
        <v>154</v>
      </c>
      <c r="D2389" s="116">
        <v>152.75</v>
      </c>
      <c r="E2389" s="116">
        <v>155.9</v>
      </c>
      <c r="F2389" s="116">
        <v>154</v>
      </c>
      <c r="G2389">
        <v>3096463</v>
      </c>
      <c r="H2389" s="116"/>
      <c r="I2389" s="116"/>
      <c r="L2389" s="170">
        <v>45524</v>
      </c>
      <c r="M2389" s="116">
        <v>153.93</v>
      </c>
      <c r="N2389" s="116">
        <v>155.69999999999999</v>
      </c>
      <c r="O2389" s="116">
        <v>152.80000000000001</v>
      </c>
      <c r="P2389" s="116">
        <v>155.69999999999999</v>
      </c>
      <c r="Q2389" s="116">
        <v>153.93</v>
      </c>
      <c r="R2389">
        <v>37559016</v>
      </c>
    </row>
    <row r="2390" spans="1:18" x14ac:dyDescent="0.25">
      <c r="A2390" s="170">
        <v>45525</v>
      </c>
      <c r="B2390" s="116">
        <v>154.15</v>
      </c>
      <c r="C2390" s="116">
        <v>151.9</v>
      </c>
      <c r="D2390" s="116">
        <v>151.65</v>
      </c>
      <c r="E2390" s="116">
        <v>153.19999999999999</v>
      </c>
      <c r="F2390" s="116">
        <v>151.9</v>
      </c>
      <c r="G2390">
        <v>2260331</v>
      </c>
      <c r="H2390" s="116"/>
      <c r="I2390" s="116"/>
      <c r="L2390" s="170">
        <v>45525</v>
      </c>
      <c r="M2390" s="116">
        <v>151.91999999999999</v>
      </c>
      <c r="N2390" s="116">
        <v>154.18</v>
      </c>
      <c r="O2390" s="116">
        <v>151.77000000000001</v>
      </c>
      <c r="P2390" s="116">
        <v>153</v>
      </c>
      <c r="Q2390" s="116">
        <v>151.91999999999999</v>
      </c>
      <c r="R2390">
        <v>49749381</v>
      </c>
    </row>
    <row r="2391" spans="1:18" x14ac:dyDescent="0.25">
      <c r="A2391" s="170">
        <v>45526</v>
      </c>
      <c r="B2391" s="116">
        <v>154.35</v>
      </c>
      <c r="C2391" s="116">
        <v>154.1</v>
      </c>
      <c r="D2391" s="116">
        <v>152.25</v>
      </c>
      <c r="E2391" s="116">
        <v>152.30000000000001</v>
      </c>
      <c r="F2391" s="116">
        <v>154.1</v>
      </c>
      <c r="G2391">
        <v>1424506</v>
      </c>
      <c r="H2391" s="116"/>
      <c r="I2391" s="116"/>
      <c r="L2391" s="170">
        <v>45526</v>
      </c>
      <c r="M2391" s="116">
        <v>154.13999999999999</v>
      </c>
      <c r="N2391" s="116">
        <v>154.35</v>
      </c>
      <c r="O2391" s="116">
        <v>152.51</v>
      </c>
      <c r="P2391" s="116">
        <v>152.51</v>
      </c>
      <c r="Q2391" s="116">
        <v>154.13999999999999</v>
      </c>
      <c r="R2391">
        <v>36719176</v>
      </c>
    </row>
    <row r="2392" spans="1:18" x14ac:dyDescent="0.25">
      <c r="A2392" s="170">
        <v>45527</v>
      </c>
      <c r="B2392" s="116">
        <v>154.55000000000001</v>
      </c>
      <c r="C2392" s="116">
        <v>154.15</v>
      </c>
      <c r="D2392" s="116">
        <v>152.6</v>
      </c>
      <c r="E2392" s="116">
        <v>154</v>
      </c>
      <c r="F2392" s="116">
        <v>154.15</v>
      </c>
      <c r="G2392">
        <v>2128487</v>
      </c>
      <c r="H2392" s="116"/>
      <c r="I2392" s="116"/>
      <c r="L2392" s="170">
        <v>45527</v>
      </c>
      <c r="M2392" s="116">
        <v>154.19999999999999</v>
      </c>
      <c r="N2392" s="116">
        <v>154.38999999999999</v>
      </c>
      <c r="O2392" s="116">
        <v>152.55000000000001</v>
      </c>
      <c r="P2392" s="116">
        <v>154</v>
      </c>
      <c r="Q2392" s="116">
        <v>154.19999999999999</v>
      </c>
      <c r="R2392">
        <v>31490857</v>
      </c>
    </row>
    <row r="2393" spans="1:18" x14ac:dyDescent="0.25">
      <c r="A2393" s="170">
        <v>45530</v>
      </c>
      <c r="B2393" s="116">
        <v>156.4</v>
      </c>
      <c r="C2393" s="116">
        <v>155.65</v>
      </c>
      <c r="D2393" s="116">
        <v>153.65</v>
      </c>
      <c r="E2393" s="116">
        <v>154.80000000000001</v>
      </c>
      <c r="F2393" s="116">
        <v>155.65</v>
      </c>
      <c r="G2393">
        <v>8758211</v>
      </c>
      <c r="H2393" s="116"/>
      <c r="I2393" s="116"/>
      <c r="L2393" s="170">
        <v>45530</v>
      </c>
      <c r="M2393" s="116">
        <v>155.69999999999999</v>
      </c>
      <c r="N2393" s="116">
        <v>156.4</v>
      </c>
      <c r="O2393" s="116">
        <v>153.69999999999999</v>
      </c>
      <c r="P2393" s="116">
        <v>154.61000000000001</v>
      </c>
      <c r="Q2393" s="116">
        <v>155.69999999999999</v>
      </c>
      <c r="R2393">
        <v>32497603</v>
      </c>
    </row>
    <row r="2394" spans="1:18" x14ac:dyDescent="0.25">
      <c r="A2394" s="170">
        <v>45531</v>
      </c>
      <c r="B2394" s="116">
        <v>156.5</v>
      </c>
      <c r="C2394" s="116">
        <v>154.69999999999999</v>
      </c>
      <c r="D2394" s="116">
        <v>154.5</v>
      </c>
      <c r="E2394" s="116">
        <v>155.94999999999999</v>
      </c>
      <c r="F2394" s="116">
        <v>154.69999999999999</v>
      </c>
      <c r="G2394">
        <v>1012455</v>
      </c>
      <c r="H2394" s="116"/>
      <c r="I2394" s="116"/>
      <c r="L2394" s="170">
        <v>45531</v>
      </c>
      <c r="M2394" s="116">
        <v>154.69999999999999</v>
      </c>
      <c r="N2394" s="116">
        <v>156.5</v>
      </c>
      <c r="O2394" s="116">
        <v>154.6</v>
      </c>
      <c r="P2394" s="116">
        <v>155.80000000000001</v>
      </c>
      <c r="Q2394" s="116">
        <v>154.69999999999999</v>
      </c>
      <c r="R2394">
        <v>24523684</v>
      </c>
    </row>
    <row r="2395" spans="1:18" x14ac:dyDescent="0.25">
      <c r="A2395" s="170">
        <v>45532</v>
      </c>
      <c r="B2395" s="116">
        <v>155</v>
      </c>
      <c r="C2395" s="116">
        <v>153.69999999999999</v>
      </c>
      <c r="D2395" s="116">
        <v>153.05000000000001</v>
      </c>
      <c r="E2395" s="116">
        <v>154.9</v>
      </c>
      <c r="F2395" s="116">
        <v>153.69999999999999</v>
      </c>
      <c r="G2395">
        <v>1544838</v>
      </c>
      <c r="H2395" s="116"/>
      <c r="I2395" s="116"/>
      <c r="L2395" s="170">
        <v>45532</v>
      </c>
      <c r="M2395" s="116">
        <v>153.69999999999999</v>
      </c>
      <c r="N2395" s="116">
        <v>155</v>
      </c>
      <c r="O2395" s="116">
        <v>153.05000000000001</v>
      </c>
      <c r="P2395" s="116">
        <v>154.69999999999999</v>
      </c>
      <c r="Q2395" s="116">
        <v>153.69999999999999</v>
      </c>
      <c r="R2395">
        <v>25195197</v>
      </c>
    </row>
    <row r="2396" spans="1:18" x14ac:dyDescent="0.25">
      <c r="A2396" s="170">
        <v>45533</v>
      </c>
      <c r="B2396" s="116">
        <v>153.65</v>
      </c>
      <c r="C2396" s="116">
        <v>153</v>
      </c>
      <c r="D2396" s="116">
        <v>151.19999999999999</v>
      </c>
      <c r="E2396" s="116">
        <v>153.65</v>
      </c>
      <c r="F2396" s="116">
        <v>153</v>
      </c>
      <c r="G2396">
        <v>2192825</v>
      </c>
      <c r="H2396" s="116"/>
      <c r="I2396" s="116"/>
      <c r="L2396" s="170">
        <v>45533</v>
      </c>
      <c r="M2396" s="116">
        <v>152.97</v>
      </c>
      <c r="N2396" s="116">
        <v>153.56</v>
      </c>
      <c r="O2396" s="116">
        <v>151.19999999999999</v>
      </c>
      <c r="P2396" s="116">
        <v>153.21</v>
      </c>
      <c r="Q2396" s="116">
        <v>152.97</v>
      </c>
      <c r="R2396">
        <v>44452983</v>
      </c>
    </row>
    <row r="2397" spans="1:18" x14ac:dyDescent="0.25">
      <c r="A2397" s="170">
        <v>45534</v>
      </c>
      <c r="B2397" s="116">
        <v>155.19999999999999</v>
      </c>
      <c r="C2397" s="116">
        <v>152.80000000000001</v>
      </c>
      <c r="D2397" s="116">
        <v>152.44999999999999</v>
      </c>
      <c r="E2397" s="116">
        <v>153.05000000000001</v>
      </c>
      <c r="F2397" s="116">
        <v>152.80000000000001</v>
      </c>
      <c r="G2397">
        <v>2305059</v>
      </c>
      <c r="H2397" s="116"/>
      <c r="I2397" s="116"/>
      <c r="L2397" s="170">
        <v>45534</v>
      </c>
      <c r="M2397" s="116">
        <v>152.76</v>
      </c>
      <c r="N2397" s="116">
        <v>155.25</v>
      </c>
      <c r="O2397" s="116">
        <v>152.47</v>
      </c>
      <c r="P2397" s="116">
        <v>153</v>
      </c>
      <c r="Q2397" s="116">
        <v>152.76</v>
      </c>
      <c r="R2397">
        <v>55134023</v>
      </c>
    </row>
    <row r="2398" spans="1:18" x14ac:dyDescent="0.25">
      <c r="A2398" s="170">
        <v>45537</v>
      </c>
      <c r="B2398" s="116">
        <v>154</v>
      </c>
      <c r="C2398" s="116">
        <v>152.85</v>
      </c>
      <c r="D2398" s="116">
        <v>152.15</v>
      </c>
      <c r="E2398" s="116">
        <v>154</v>
      </c>
      <c r="F2398" s="116">
        <v>152.85</v>
      </c>
      <c r="G2398">
        <v>1775109</v>
      </c>
      <c r="H2398" s="116"/>
      <c r="I2398" s="116"/>
      <c r="L2398" s="170">
        <v>45537</v>
      </c>
      <c r="M2398" s="116">
        <v>152.88</v>
      </c>
      <c r="N2398" s="116">
        <v>153.9</v>
      </c>
      <c r="O2398" s="116">
        <v>152.13999999999999</v>
      </c>
      <c r="P2398" s="116">
        <v>153.9</v>
      </c>
      <c r="Q2398" s="116">
        <v>152.88</v>
      </c>
      <c r="R2398">
        <v>19200143</v>
      </c>
    </row>
    <row r="2399" spans="1:18" x14ac:dyDescent="0.25">
      <c r="A2399" s="170">
        <v>45538</v>
      </c>
      <c r="B2399" s="116">
        <v>153.44999999999999</v>
      </c>
      <c r="C2399" s="116">
        <v>152.1</v>
      </c>
      <c r="D2399" s="116">
        <v>152</v>
      </c>
      <c r="E2399" s="116">
        <v>152.85</v>
      </c>
      <c r="F2399" s="116">
        <v>152.1</v>
      </c>
      <c r="G2399">
        <v>708678</v>
      </c>
      <c r="H2399" s="116"/>
      <c r="I2399" s="116"/>
      <c r="L2399" s="170">
        <v>45538</v>
      </c>
      <c r="M2399" s="116">
        <v>152.15</v>
      </c>
      <c r="N2399" s="116">
        <v>153.44999999999999</v>
      </c>
      <c r="O2399" s="116">
        <v>152.01</v>
      </c>
      <c r="P2399" s="116">
        <v>152.84</v>
      </c>
      <c r="Q2399" s="116">
        <v>152.15</v>
      </c>
      <c r="R2399">
        <v>19780066</v>
      </c>
    </row>
    <row r="2400" spans="1:18" x14ac:dyDescent="0.25">
      <c r="A2400" s="170">
        <v>45539</v>
      </c>
      <c r="B2400" s="116">
        <v>152.15</v>
      </c>
      <c r="C2400" s="116">
        <v>151.30000000000001</v>
      </c>
      <c r="D2400" s="116">
        <v>149.25</v>
      </c>
      <c r="E2400" s="116">
        <v>149.75</v>
      </c>
      <c r="F2400" s="116">
        <v>151.30000000000001</v>
      </c>
      <c r="G2400">
        <v>1777113</v>
      </c>
      <c r="H2400" s="116"/>
      <c r="I2400" s="116"/>
      <c r="L2400" s="170">
        <v>45539</v>
      </c>
      <c r="M2400" s="116">
        <v>151.18</v>
      </c>
      <c r="N2400" s="116">
        <v>152.18</v>
      </c>
      <c r="O2400" s="116">
        <v>149.16</v>
      </c>
      <c r="P2400" s="116">
        <v>149.5</v>
      </c>
      <c r="Q2400" s="116">
        <v>151.18</v>
      </c>
      <c r="R2400">
        <v>39613696</v>
      </c>
    </row>
    <row r="2401" spans="1:18" x14ac:dyDescent="0.25">
      <c r="A2401" s="170">
        <v>45540</v>
      </c>
      <c r="B2401" s="116">
        <v>152.80000000000001</v>
      </c>
      <c r="C2401" s="116">
        <v>151.75</v>
      </c>
      <c r="D2401" s="116">
        <v>151.19999999999999</v>
      </c>
      <c r="E2401" s="116">
        <v>151.19999999999999</v>
      </c>
      <c r="F2401" s="116">
        <v>151.75</v>
      </c>
      <c r="G2401">
        <v>2614243</v>
      </c>
      <c r="H2401" s="116"/>
      <c r="I2401" s="116"/>
      <c r="L2401" s="170">
        <v>45540</v>
      </c>
      <c r="M2401" s="116">
        <v>151.72</v>
      </c>
      <c r="N2401" s="116">
        <v>152.79</v>
      </c>
      <c r="O2401" s="116">
        <v>151</v>
      </c>
      <c r="P2401" s="116">
        <v>151</v>
      </c>
      <c r="Q2401" s="116">
        <v>151.72</v>
      </c>
      <c r="R2401">
        <v>28347324</v>
      </c>
    </row>
    <row r="2402" spans="1:18" x14ac:dyDescent="0.25">
      <c r="A2402" s="170">
        <v>45541</v>
      </c>
      <c r="B2402" s="116">
        <v>152.94999999999999</v>
      </c>
      <c r="C2402" s="116">
        <v>151.25</v>
      </c>
      <c r="D2402" s="116">
        <v>149.65</v>
      </c>
      <c r="E2402" s="116">
        <v>152.44999999999999</v>
      </c>
      <c r="F2402" s="116">
        <v>151.25</v>
      </c>
      <c r="G2402">
        <v>2827533</v>
      </c>
      <c r="H2402" s="116"/>
      <c r="I2402" s="116"/>
      <c r="L2402" s="170">
        <v>45541</v>
      </c>
      <c r="M2402" s="116">
        <v>151.22</v>
      </c>
      <c r="N2402" s="116">
        <v>152.9</v>
      </c>
      <c r="O2402" s="116">
        <v>149.65</v>
      </c>
      <c r="P2402" s="116">
        <v>151.94</v>
      </c>
      <c r="Q2402" s="116">
        <v>151.22</v>
      </c>
      <c r="R2402">
        <v>30709532</v>
      </c>
    </row>
    <row r="2403" spans="1:18" x14ac:dyDescent="0.25">
      <c r="A2403" s="170">
        <v>45544</v>
      </c>
      <c r="B2403" s="116">
        <v>150.85</v>
      </c>
      <c r="C2403" s="116">
        <v>149.4</v>
      </c>
      <c r="D2403" s="116">
        <v>148</v>
      </c>
      <c r="E2403" s="116">
        <v>150.25</v>
      </c>
      <c r="F2403" s="116">
        <v>149.4</v>
      </c>
      <c r="G2403">
        <v>2393255</v>
      </c>
      <c r="H2403" s="116"/>
      <c r="I2403" s="116"/>
      <c r="L2403" s="170">
        <v>45544</v>
      </c>
      <c r="M2403" s="116">
        <v>149.47</v>
      </c>
      <c r="N2403" s="116">
        <v>150.9</v>
      </c>
      <c r="O2403" s="116">
        <v>148.05000000000001</v>
      </c>
      <c r="P2403" s="116">
        <v>150.9</v>
      </c>
      <c r="Q2403" s="116">
        <v>149.47</v>
      </c>
      <c r="R2403">
        <v>32624586</v>
      </c>
    </row>
    <row r="2404" spans="1:18" x14ac:dyDescent="0.25">
      <c r="A2404" s="170">
        <v>45545</v>
      </c>
      <c r="B2404" s="116">
        <v>151.6</v>
      </c>
      <c r="C2404" s="116">
        <v>149.44999999999999</v>
      </c>
      <c r="D2404" s="116">
        <v>148.85</v>
      </c>
      <c r="E2404" s="116">
        <v>150</v>
      </c>
      <c r="F2404" s="116">
        <v>149.44999999999999</v>
      </c>
      <c r="G2404">
        <v>1427248</v>
      </c>
      <c r="H2404" s="116"/>
      <c r="I2404" s="116"/>
      <c r="L2404" s="170">
        <v>45545</v>
      </c>
      <c r="M2404" s="116">
        <v>149.41999999999999</v>
      </c>
      <c r="N2404" s="116">
        <v>151.59</v>
      </c>
      <c r="O2404" s="116">
        <v>148.81</v>
      </c>
      <c r="P2404" s="116">
        <v>150.5</v>
      </c>
      <c r="Q2404" s="116">
        <v>149.41999999999999</v>
      </c>
      <c r="R2404">
        <v>41607844</v>
      </c>
    </row>
    <row r="2405" spans="1:18" x14ac:dyDescent="0.25">
      <c r="A2405" s="170">
        <v>45546</v>
      </c>
      <c r="B2405" s="116">
        <v>150.19999999999999</v>
      </c>
      <c r="C2405" s="116">
        <v>148.15</v>
      </c>
      <c r="D2405" s="116">
        <v>147.65</v>
      </c>
      <c r="E2405" s="116">
        <v>150</v>
      </c>
      <c r="F2405" s="116">
        <v>148.15</v>
      </c>
      <c r="G2405">
        <v>1711825</v>
      </c>
      <c r="H2405" s="116"/>
      <c r="I2405" s="116"/>
      <c r="L2405" s="170">
        <v>45546</v>
      </c>
      <c r="M2405" s="116">
        <v>148.16999999999999</v>
      </c>
      <c r="N2405" s="116">
        <v>150.19999999999999</v>
      </c>
      <c r="O2405" s="116">
        <v>147.62</v>
      </c>
      <c r="P2405" s="116">
        <v>149.9</v>
      </c>
      <c r="Q2405" s="116">
        <v>148.16999999999999</v>
      </c>
      <c r="R2405">
        <v>24633287</v>
      </c>
    </row>
    <row r="2406" spans="1:18" x14ac:dyDescent="0.25">
      <c r="A2406" s="170">
        <v>45547</v>
      </c>
      <c r="B2406" s="116">
        <v>152.4</v>
      </c>
      <c r="C2406" s="116">
        <v>151.75</v>
      </c>
      <c r="D2406" s="116">
        <v>148.75</v>
      </c>
      <c r="E2406" s="116">
        <v>151.94999999999999</v>
      </c>
      <c r="F2406" s="116">
        <v>151.75</v>
      </c>
      <c r="G2406">
        <v>1990979</v>
      </c>
      <c r="H2406" s="116"/>
      <c r="I2406" s="116"/>
      <c r="L2406" s="170">
        <v>45547</v>
      </c>
      <c r="M2406" s="116">
        <v>151.74</v>
      </c>
      <c r="N2406" s="116">
        <v>152.44</v>
      </c>
      <c r="O2406" s="116">
        <v>148.75</v>
      </c>
      <c r="P2406" s="116">
        <v>152</v>
      </c>
      <c r="Q2406" s="116">
        <v>151.74</v>
      </c>
      <c r="R2406">
        <v>73191476</v>
      </c>
    </row>
    <row r="2407" spans="1:18" x14ac:dyDescent="0.25">
      <c r="A2407" s="170">
        <v>45548</v>
      </c>
      <c r="B2407" s="116">
        <v>155.4</v>
      </c>
      <c r="C2407" s="116">
        <v>153.4</v>
      </c>
      <c r="D2407" s="116">
        <v>152.5</v>
      </c>
      <c r="E2407" s="116">
        <v>152.75</v>
      </c>
      <c r="F2407" s="116">
        <v>153.4</v>
      </c>
      <c r="G2407">
        <v>4606642</v>
      </c>
      <c r="H2407" s="116"/>
      <c r="I2407" s="116"/>
      <c r="L2407" s="170">
        <v>45548</v>
      </c>
      <c r="M2407" s="116">
        <v>153.49</v>
      </c>
      <c r="N2407" s="116">
        <v>155.4</v>
      </c>
      <c r="O2407" s="116">
        <v>152.5</v>
      </c>
      <c r="P2407" s="116">
        <v>152.78</v>
      </c>
      <c r="Q2407" s="116">
        <v>153.49</v>
      </c>
      <c r="R2407">
        <v>54894255</v>
      </c>
    </row>
    <row r="2408" spans="1:18" x14ac:dyDescent="0.25">
      <c r="A2408" s="170">
        <v>45551</v>
      </c>
      <c r="B2408" s="116">
        <v>155.55000000000001</v>
      </c>
      <c r="C2408" s="116">
        <v>154.19999999999999</v>
      </c>
      <c r="D2408" s="116">
        <v>153.5</v>
      </c>
      <c r="E2408" s="116">
        <v>155.55000000000001</v>
      </c>
      <c r="F2408" s="116">
        <v>154.19999999999999</v>
      </c>
      <c r="G2408">
        <v>1632353</v>
      </c>
      <c r="H2408" s="116"/>
      <c r="I2408" s="116"/>
      <c r="L2408" s="170">
        <v>45551</v>
      </c>
      <c r="M2408" s="116">
        <v>154.21</v>
      </c>
      <c r="N2408" s="116">
        <v>155.66</v>
      </c>
      <c r="O2408" s="116">
        <v>153.5</v>
      </c>
      <c r="P2408" s="116">
        <v>155</v>
      </c>
      <c r="Q2408" s="116">
        <v>154.21</v>
      </c>
      <c r="R2408">
        <v>32575460</v>
      </c>
    </row>
    <row r="2409" spans="1:18" x14ac:dyDescent="0.25">
      <c r="A2409" s="170">
        <v>45552</v>
      </c>
      <c r="B2409" s="116">
        <v>154.19999999999999</v>
      </c>
      <c r="C2409" s="116">
        <v>152.80000000000001</v>
      </c>
      <c r="D2409" s="116">
        <v>152.30000000000001</v>
      </c>
      <c r="E2409" s="116">
        <v>154.1</v>
      </c>
      <c r="F2409" s="116">
        <v>152.80000000000001</v>
      </c>
      <c r="G2409">
        <v>648191</v>
      </c>
      <c r="H2409" s="116"/>
      <c r="I2409" s="116"/>
      <c r="L2409" s="170">
        <v>45552</v>
      </c>
      <c r="M2409" s="116">
        <v>152.82</v>
      </c>
      <c r="N2409" s="116">
        <v>154.24</v>
      </c>
      <c r="O2409" s="116">
        <v>152.27000000000001</v>
      </c>
      <c r="P2409" s="116">
        <v>154</v>
      </c>
      <c r="Q2409" s="116">
        <v>152.82</v>
      </c>
      <c r="R2409">
        <v>18275113</v>
      </c>
    </row>
    <row r="2410" spans="1:18" x14ac:dyDescent="0.25">
      <c r="A2410" s="170">
        <v>45553</v>
      </c>
      <c r="B2410" s="116">
        <v>153</v>
      </c>
      <c r="C2410" s="116">
        <v>150.6</v>
      </c>
      <c r="D2410" s="116">
        <v>149.6</v>
      </c>
      <c r="E2410" s="116">
        <v>152.65</v>
      </c>
      <c r="F2410" s="116">
        <v>150.6</v>
      </c>
      <c r="G2410">
        <v>783674</v>
      </c>
      <c r="H2410" s="116"/>
      <c r="I2410" s="116"/>
      <c r="L2410" s="170">
        <v>45553</v>
      </c>
      <c r="M2410" s="116">
        <v>150.6</v>
      </c>
      <c r="N2410" s="116">
        <v>152.97999999999999</v>
      </c>
      <c r="O2410" s="116">
        <v>149.61000000000001</v>
      </c>
      <c r="P2410" s="116">
        <v>152.4</v>
      </c>
      <c r="Q2410" s="116">
        <v>150.6</v>
      </c>
      <c r="R2410">
        <v>24856345</v>
      </c>
    </row>
    <row r="2411" spans="1:18" x14ac:dyDescent="0.25">
      <c r="A2411" s="170">
        <v>45554</v>
      </c>
      <c r="B2411" s="116">
        <v>152.25</v>
      </c>
      <c r="C2411" s="116">
        <v>149.6</v>
      </c>
      <c r="D2411" s="116">
        <v>147.75</v>
      </c>
      <c r="E2411" s="116">
        <v>151.6</v>
      </c>
      <c r="F2411" s="116">
        <v>149.6</v>
      </c>
      <c r="G2411">
        <v>1118160</v>
      </c>
      <c r="H2411" s="116"/>
      <c r="I2411" s="116"/>
      <c r="L2411" s="170">
        <v>45554</v>
      </c>
      <c r="M2411" s="116">
        <v>149.54</v>
      </c>
      <c r="N2411" s="116">
        <v>152.19</v>
      </c>
      <c r="O2411" s="116">
        <v>147.79</v>
      </c>
      <c r="P2411" s="116">
        <v>151.88999999999999</v>
      </c>
      <c r="Q2411" s="116">
        <v>149.54</v>
      </c>
      <c r="R2411">
        <v>36913781</v>
      </c>
    </row>
    <row r="2412" spans="1:18" x14ac:dyDescent="0.25">
      <c r="A2412" s="170">
        <v>45555</v>
      </c>
      <c r="B2412" s="116">
        <v>153.25</v>
      </c>
      <c r="C2412" s="116">
        <v>152.05000000000001</v>
      </c>
      <c r="D2412" s="116">
        <v>150.80000000000001</v>
      </c>
      <c r="E2412" s="116">
        <v>151.15</v>
      </c>
      <c r="F2412" s="116">
        <v>152.05000000000001</v>
      </c>
      <c r="G2412">
        <v>4371897</v>
      </c>
      <c r="H2412" s="116"/>
      <c r="I2412" s="116"/>
      <c r="L2412" s="170">
        <v>45555</v>
      </c>
      <c r="M2412" s="116">
        <v>152.02000000000001</v>
      </c>
      <c r="N2412" s="116">
        <v>153.34</v>
      </c>
      <c r="O2412" s="116">
        <v>150.65</v>
      </c>
      <c r="P2412" s="116">
        <v>151</v>
      </c>
      <c r="Q2412" s="116">
        <v>152.02000000000001</v>
      </c>
      <c r="R2412">
        <v>53873369</v>
      </c>
    </row>
    <row r="2413" spans="1:18" x14ac:dyDescent="0.25">
      <c r="A2413" s="170">
        <v>45558</v>
      </c>
      <c r="B2413" s="116">
        <v>154.30000000000001</v>
      </c>
      <c r="C2413" s="116">
        <v>153.94999999999999</v>
      </c>
      <c r="D2413" s="116">
        <v>152.80000000000001</v>
      </c>
      <c r="E2413" s="116">
        <v>153.55000000000001</v>
      </c>
      <c r="F2413" s="116">
        <v>153.94999999999999</v>
      </c>
      <c r="G2413">
        <v>2494810</v>
      </c>
      <c r="H2413" s="116"/>
      <c r="I2413" s="116"/>
      <c r="L2413" s="170">
        <v>45558</v>
      </c>
      <c r="M2413" s="116">
        <v>153.99</v>
      </c>
      <c r="N2413" s="116">
        <v>154.38999999999999</v>
      </c>
      <c r="O2413" s="116">
        <v>152.80000000000001</v>
      </c>
      <c r="P2413" s="116">
        <v>154.38</v>
      </c>
      <c r="Q2413" s="116">
        <v>153.99</v>
      </c>
      <c r="R2413">
        <v>33281905</v>
      </c>
    </row>
    <row r="2414" spans="1:18" x14ac:dyDescent="0.25">
      <c r="A2414" s="170">
        <v>45559</v>
      </c>
      <c r="B2414" s="116">
        <v>161.5</v>
      </c>
      <c r="C2414" s="116">
        <v>160.55000000000001</v>
      </c>
      <c r="D2414" s="116">
        <v>154.55000000000001</v>
      </c>
      <c r="E2414" s="116">
        <v>154.55000000000001</v>
      </c>
      <c r="F2414" s="116">
        <v>160.55000000000001</v>
      </c>
      <c r="G2414">
        <v>5044874</v>
      </c>
      <c r="H2414" s="116"/>
      <c r="I2414" s="116"/>
      <c r="L2414" s="170">
        <v>45559</v>
      </c>
      <c r="M2414" s="116">
        <v>160.53</v>
      </c>
      <c r="N2414" s="116">
        <v>161.5</v>
      </c>
      <c r="O2414" s="116">
        <v>154.85</v>
      </c>
      <c r="P2414" s="116">
        <v>155.15</v>
      </c>
      <c r="Q2414" s="116">
        <v>160.53</v>
      </c>
      <c r="R2414">
        <v>137414352</v>
      </c>
    </row>
    <row r="2415" spans="1:18" x14ac:dyDescent="0.25">
      <c r="A2415" s="170">
        <v>45560</v>
      </c>
      <c r="B2415" s="116">
        <v>162.69999999999999</v>
      </c>
      <c r="C2415" s="116">
        <v>161.6</v>
      </c>
      <c r="D2415" s="116">
        <v>159.5</v>
      </c>
      <c r="E2415" s="116">
        <v>161.19999999999999</v>
      </c>
      <c r="F2415" s="116">
        <v>161.6</v>
      </c>
      <c r="G2415">
        <v>4578698</v>
      </c>
      <c r="H2415" s="116"/>
      <c r="I2415" s="116"/>
      <c r="L2415" s="170">
        <v>45560</v>
      </c>
      <c r="M2415" s="116">
        <v>161.66</v>
      </c>
      <c r="N2415" s="116">
        <v>162.69</v>
      </c>
      <c r="O2415" s="116">
        <v>159.52000000000001</v>
      </c>
      <c r="P2415" s="116">
        <v>161.5</v>
      </c>
      <c r="Q2415" s="116">
        <v>161.66</v>
      </c>
      <c r="R2415">
        <v>58044967</v>
      </c>
    </row>
    <row r="2416" spans="1:18" x14ac:dyDescent="0.25">
      <c r="A2416" s="170">
        <v>45561</v>
      </c>
      <c r="B2416" s="116">
        <v>165.9</v>
      </c>
      <c r="C2416" s="116">
        <v>165.6</v>
      </c>
      <c r="D2416" s="116">
        <v>160.5</v>
      </c>
      <c r="E2416" s="116">
        <v>162</v>
      </c>
      <c r="F2416" s="116">
        <v>165.6</v>
      </c>
      <c r="G2416">
        <v>3278171</v>
      </c>
      <c r="H2416" s="116"/>
      <c r="I2416" s="116"/>
      <c r="L2416" s="170">
        <v>45561</v>
      </c>
      <c r="M2416" s="116">
        <v>165.61</v>
      </c>
      <c r="N2416" s="116">
        <v>165.9</v>
      </c>
      <c r="O2416" s="116">
        <v>160.47999999999999</v>
      </c>
      <c r="P2416" s="116">
        <v>162</v>
      </c>
      <c r="Q2416" s="116">
        <v>165.61</v>
      </c>
      <c r="R2416">
        <v>88661662</v>
      </c>
    </row>
    <row r="2417" spans="1:18" x14ac:dyDescent="0.25">
      <c r="A2417" s="170">
        <v>45562</v>
      </c>
      <c r="B2417" s="116">
        <v>169.1</v>
      </c>
      <c r="C2417" s="116">
        <v>166.5</v>
      </c>
      <c r="D2417" s="116">
        <v>165.85</v>
      </c>
      <c r="E2417" s="116">
        <v>167</v>
      </c>
      <c r="F2417" s="116">
        <v>166.5</v>
      </c>
      <c r="G2417">
        <v>3018130</v>
      </c>
      <c r="H2417" s="116"/>
      <c r="I2417" s="116"/>
      <c r="L2417" s="170">
        <v>45562</v>
      </c>
      <c r="M2417" s="116">
        <v>166.55</v>
      </c>
      <c r="N2417" s="116">
        <v>169.01</v>
      </c>
      <c r="O2417" s="116">
        <v>165.89</v>
      </c>
      <c r="P2417" s="116">
        <v>167</v>
      </c>
      <c r="Q2417" s="116">
        <v>166.55</v>
      </c>
      <c r="R2417">
        <v>72795668</v>
      </c>
    </row>
    <row r="2418" spans="1:18" x14ac:dyDescent="0.25">
      <c r="A2418" s="170">
        <v>45565</v>
      </c>
      <c r="B2418" s="116">
        <v>170.2</v>
      </c>
      <c r="C2418" s="116">
        <v>168.45</v>
      </c>
      <c r="D2418" s="116">
        <v>167.35</v>
      </c>
      <c r="E2418" s="116">
        <v>167.6</v>
      </c>
      <c r="F2418" s="116">
        <v>168.45</v>
      </c>
      <c r="G2418">
        <v>3078147</v>
      </c>
      <c r="H2418" s="116"/>
      <c r="I2418" s="116"/>
      <c r="L2418" s="170">
        <v>45565</v>
      </c>
      <c r="M2418" s="116">
        <v>168.55</v>
      </c>
      <c r="N2418" s="116">
        <v>170.18</v>
      </c>
      <c r="O2418" s="116">
        <v>167.26</v>
      </c>
      <c r="P2418" s="116">
        <v>167.5</v>
      </c>
      <c r="Q2418" s="116">
        <v>168.55</v>
      </c>
      <c r="R2418">
        <v>92381529</v>
      </c>
    </row>
    <row r="2419" spans="1:18" x14ac:dyDescent="0.25">
      <c r="A2419" s="170">
        <v>45566</v>
      </c>
      <c r="B2419" s="116">
        <v>169.65</v>
      </c>
      <c r="C2419" s="116">
        <v>167</v>
      </c>
      <c r="D2419" s="116">
        <v>165.1</v>
      </c>
      <c r="E2419" s="116">
        <v>169.5</v>
      </c>
      <c r="F2419" s="116">
        <v>167</v>
      </c>
      <c r="G2419">
        <v>1818340</v>
      </c>
      <c r="H2419" s="116"/>
      <c r="I2419" s="116"/>
      <c r="L2419" s="170">
        <v>45566</v>
      </c>
      <c r="M2419" s="116">
        <v>167.03</v>
      </c>
      <c r="N2419" s="116">
        <v>169.49</v>
      </c>
      <c r="O2419" s="116">
        <v>165.1</v>
      </c>
      <c r="P2419" s="116">
        <v>169.49</v>
      </c>
      <c r="Q2419" s="116">
        <v>167.03</v>
      </c>
      <c r="R2419">
        <v>50761579</v>
      </c>
    </row>
    <row r="2420" spans="1:18" x14ac:dyDescent="0.25">
      <c r="A2420" s="170">
        <v>45568</v>
      </c>
      <c r="B2420" s="116">
        <v>169.95</v>
      </c>
      <c r="C2420" s="116">
        <v>166.95</v>
      </c>
      <c r="D2420" s="116">
        <v>164.75</v>
      </c>
      <c r="E2420" s="116">
        <v>165.05</v>
      </c>
      <c r="F2420" s="116">
        <v>166.95</v>
      </c>
      <c r="G2420">
        <v>3127682</v>
      </c>
      <c r="H2420" s="116"/>
      <c r="I2420" s="116"/>
      <c r="L2420" s="170">
        <v>45568</v>
      </c>
      <c r="M2420" s="116">
        <v>166.98</v>
      </c>
      <c r="N2420" s="116">
        <v>169.99</v>
      </c>
      <c r="O2420" s="116">
        <v>164.52</v>
      </c>
      <c r="P2420" s="116">
        <v>165.5</v>
      </c>
      <c r="Q2420" s="116">
        <v>166.98</v>
      </c>
      <c r="R2420">
        <v>75959797</v>
      </c>
    </row>
    <row r="2421" spans="1:18" x14ac:dyDescent="0.25">
      <c r="A2421" s="170">
        <v>45569</v>
      </c>
      <c r="B2421" s="116">
        <v>169.1</v>
      </c>
      <c r="C2421" s="116">
        <v>166.75</v>
      </c>
      <c r="D2421" s="116">
        <v>164</v>
      </c>
      <c r="E2421" s="116">
        <v>166.75</v>
      </c>
      <c r="F2421" s="116">
        <v>166.75</v>
      </c>
      <c r="G2421">
        <v>2734689</v>
      </c>
      <c r="H2421" s="116"/>
      <c r="I2421" s="116"/>
      <c r="L2421" s="170">
        <v>45569</v>
      </c>
      <c r="M2421" s="116">
        <v>166.75</v>
      </c>
      <c r="N2421" s="116">
        <v>169.1</v>
      </c>
      <c r="O2421" s="116">
        <v>164</v>
      </c>
      <c r="P2421" s="116">
        <v>167</v>
      </c>
      <c r="Q2421" s="116">
        <v>166.75</v>
      </c>
      <c r="R2421">
        <v>53880875</v>
      </c>
    </row>
    <row r="2422" spans="1:18" x14ac:dyDescent="0.25">
      <c r="A2422" s="170">
        <v>45572</v>
      </c>
      <c r="B2422" s="116">
        <v>167.95</v>
      </c>
      <c r="C2422" s="116">
        <v>164.3</v>
      </c>
      <c r="D2422" s="116">
        <v>162.30000000000001</v>
      </c>
      <c r="E2422" s="116">
        <v>166.8</v>
      </c>
      <c r="F2422" s="116">
        <v>164.3</v>
      </c>
      <c r="G2422">
        <v>4055707</v>
      </c>
      <c r="H2422" s="116"/>
      <c r="I2422" s="116"/>
      <c r="L2422" s="170">
        <v>45572</v>
      </c>
      <c r="M2422" s="116">
        <v>164.36</v>
      </c>
      <c r="N2422" s="116">
        <v>167.95</v>
      </c>
      <c r="O2422" s="116">
        <v>162.33000000000001</v>
      </c>
      <c r="P2422" s="116">
        <v>167.1</v>
      </c>
      <c r="Q2422" s="116">
        <v>164.36</v>
      </c>
      <c r="R2422">
        <v>48775098</v>
      </c>
    </row>
    <row r="2423" spans="1:18" x14ac:dyDescent="0.25">
      <c r="A2423" s="170">
        <v>45573</v>
      </c>
      <c r="B2423" s="116">
        <v>163.1</v>
      </c>
      <c r="C2423" s="116">
        <v>159.55000000000001</v>
      </c>
      <c r="D2423" s="116">
        <v>156.69999999999999</v>
      </c>
      <c r="E2423" s="116">
        <v>162.75</v>
      </c>
      <c r="F2423" s="116">
        <v>159.55000000000001</v>
      </c>
      <c r="G2423">
        <v>2664453</v>
      </c>
      <c r="H2423" s="116"/>
      <c r="I2423" s="116"/>
      <c r="L2423" s="170">
        <v>45573</v>
      </c>
      <c r="M2423" s="116">
        <v>159.52000000000001</v>
      </c>
      <c r="N2423" s="116">
        <v>163.59</v>
      </c>
      <c r="O2423" s="116">
        <v>156.69999999999999</v>
      </c>
      <c r="P2423" s="116">
        <v>163</v>
      </c>
      <c r="Q2423" s="116">
        <v>159.52000000000001</v>
      </c>
      <c r="R2423">
        <v>74956764</v>
      </c>
    </row>
    <row r="2424" spans="1:18" x14ac:dyDescent="0.25">
      <c r="A2424" s="170">
        <v>45574</v>
      </c>
      <c r="B2424" s="116">
        <v>162.19999999999999</v>
      </c>
      <c r="C2424" s="116">
        <v>159</v>
      </c>
      <c r="D2424" s="116">
        <v>158.15</v>
      </c>
      <c r="E2424" s="116">
        <v>159.75</v>
      </c>
      <c r="F2424" s="116">
        <v>159</v>
      </c>
      <c r="G2424">
        <v>1953434</v>
      </c>
      <c r="H2424" s="116"/>
      <c r="I2424" s="116"/>
      <c r="L2424" s="170">
        <v>45574</v>
      </c>
      <c r="M2424" s="116">
        <v>159.06</v>
      </c>
      <c r="N2424" s="116">
        <v>162.19999999999999</v>
      </c>
      <c r="O2424" s="116">
        <v>158.11000000000001</v>
      </c>
      <c r="P2424" s="116">
        <v>159.52000000000001</v>
      </c>
      <c r="Q2424" s="116">
        <v>159.06</v>
      </c>
      <c r="R2424">
        <v>42766218</v>
      </c>
    </row>
    <row r="2425" spans="1:18" x14ac:dyDescent="0.25">
      <c r="A2425" s="170">
        <v>45575</v>
      </c>
      <c r="B2425" s="116">
        <v>161.19999999999999</v>
      </c>
      <c r="C2425" s="116">
        <v>159.65</v>
      </c>
      <c r="D2425" s="116">
        <v>156.5</v>
      </c>
      <c r="E2425" s="116">
        <v>157.35</v>
      </c>
      <c r="F2425" s="116">
        <v>159.65</v>
      </c>
      <c r="G2425">
        <v>2539479</v>
      </c>
      <c r="H2425" s="116"/>
      <c r="I2425" s="116"/>
      <c r="L2425" s="170">
        <v>45575</v>
      </c>
      <c r="M2425" s="116">
        <v>159.72</v>
      </c>
      <c r="N2425" s="116">
        <v>161.18</v>
      </c>
      <c r="O2425" s="116">
        <v>156.6</v>
      </c>
      <c r="P2425" s="116">
        <v>158.30000000000001</v>
      </c>
      <c r="Q2425" s="116">
        <v>159.72</v>
      </c>
      <c r="R2425">
        <v>46507936</v>
      </c>
    </row>
    <row r="2426" spans="1:18" x14ac:dyDescent="0.25">
      <c r="A2426" s="170">
        <v>45576</v>
      </c>
      <c r="B2426" s="116">
        <v>163.75</v>
      </c>
      <c r="C2426" s="116">
        <v>160.69999999999999</v>
      </c>
      <c r="D2426" s="116">
        <v>159.25</v>
      </c>
      <c r="E2426" s="116">
        <v>159.55000000000001</v>
      </c>
      <c r="F2426" s="116">
        <v>160.69999999999999</v>
      </c>
      <c r="G2426">
        <v>1487548</v>
      </c>
      <c r="H2426" s="116"/>
      <c r="I2426" s="116"/>
      <c r="L2426" s="170">
        <v>45576</v>
      </c>
      <c r="M2426" s="116">
        <v>160.66</v>
      </c>
      <c r="N2426" s="116">
        <v>163.78</v>
      </c>
      <c r="O2426" s="116">
        <v>159.19999999999999</v>
      </c>
      <c r="P2426" s="116">
        <v>159.30000000000001</v>
      </c>
      <c r="Q2426" s="116">
        <v>160.66</v>
      </c>
      <c r="R2426">
        <v>53263433</v>
      </c>
    </row>
    <row r="2427" spans="1:18" x14ac:dyDescent="0.25">
      <c r="A2427" s="170">
        <v>45579</v>
      </c>
      <c r="B2427" s="116">
        <v>163.35</v>
      </c>
      <c r="C2427" s="116">
        <v>158.30000000000001</v>
      </c>
      <c r="D2427" s="116">
        <v>158.05000000000001</v>
      </c>
      <c r="E2427" s="116">
        <v>162.6</v>
      </c>
      <c r="F2427" s="116">
        <v>158.30000000000001</v>
      </c>
      <c r="G2427">
        <v>2236659</v>
      </c>
      <c r="H2427" s="116"/>
      <c r="I2427" s="116"/>
      <c r="L2427" s="170">
        <v>45579</v>
      </c>
      <c r="M2427" s="116">
        <v>158.32</v>
      </c>
      <c r="N2427" s="116">
        <v>163.38</v>
      </c>
      <c r="O2427" s="116">
        <v>158.04</v>
      </c>
      <c r="P2427" s="116">
        <v>161.88</v>
      </c>
      <c r="Q2427" s="116">
        <v>158.32</v>
      </c>
      <c r="R2427">
        <v>35566857</v>
      </c>
    </row>
    <row r="2428" spans="1:18" x14ac:dyDescent="0.25">
      <c r="A2428" s="170">
        <v>45580</v>
      </c>
      <c r="B2428" s="116">
        <v>159.6</v>
      </c>
      <c r="C2428" s="116">
        <v>155.65</v>
      </c>
      <c r="D2428" s="116">
        <v>155</v>
      </c>
      <c r="E2428" s="116">
        <v>159.30000000000001</v>
      </c>
      <c r="F2428" s="116">
        <v>155.65</v>
      </c>
      <c r="G2428">
        <v>1445654</v>
      </c>
      <c r="H2428" s="116"/>
      <c r="I2428" s="116"/>
      <c r="L2428" s="170">
        <v>45580</v>
      </c>
      <c r="M2428" s="116">
        <v>155.63</v>
      </c>
      <c r="N2428" s="116">
        <v>159.53</v>
      </c>
      <c r="O2428" s="116">
        <v>155.05000000000001</v>
      </c>
      <c r="P2428" s="116">
        <v>159.5</v>
      </c>
      <c r="Q2428" s="116">
        <v>155.63</v>
      </c>
      <c r="R2428">
        <v>38964393</v>
      </c>
    </row>
    <row r="2429" spans="1:18" x14ac:dyDescent="0.25">
      <c r="A2429" s="170">
        <v>45581</v>
      </c>
      <c r="B2429" s="116">
        <v>156.6</v>
      </c>
      <c r="C2429" s="116">
        <v>155.25</v>
      </c>
      <c r="D2429" s="116">
        <v>154</v>
      </c>
      <c r="E2429" s="116">
        <v>155.75</v>
      </c>
      <c r="F2429" s="116">
        <v>155.25</v>
      </c>
      <c r="G2429">
        <v>1954025</v>
      </c>
      <c r="H2429" s="116"/>
      <c r="I2429" s="116"/>
      <c r="L2429" s="170">
        <v>45581</v>
      </c>
      <c r="M2429" s="116">
        <v>155.24</v>
      </c>
      <c r="N2429" s="116">
        <v>156.55000000000001</v>
      </c>
      <c r="O2429" s="116">
        <v>154.02000000000001</v>
      </c>
      <c r="P2429" s="116">
        <v>155.19</v>
      </c>
      <c r="Q2429" s="116">
        <v>155.24</v>
      </c>
      <c r="R2429">
        <v>28518262</v>
      </c>
    </row>
    <row r="2430" spans="1:18" x14ac:dyDescent="0.25">
      <c r="A2430" s="170">
        <v>45582</v>
      </c>
      <c r="B2430" s="116">
        <v>156.30000000000001</v>
      </c>
      <c r="C2430" s="116">
        <v>152.35</v>
      </c>
      <c r="D2430" s="116">
        <v>152.1</v>
      </c>
      <c r="E2430" s="116">
        <v>155.55000000000001</v>
      </c>
      <c r="F2430" s="116">
        <v>152.35</v>
      </c>
      <c r="G2430">
        <v>2000639</v>
      </c>
      <c r="H2430" s="116"/>
      <c r="I2430" s="116"/>
      <c r="L2430" s="170">
        <v>45582</v>
      </c>
      <c r="M2430" s="116">
        <v>152.4</v>
      </c>
      <c r="N2430" s="116">
        <v>156.30000000000001</v>
      </c>
      <c r="O2430" s="116">
        <v>152.1</v>
      </c>
      <c r="P2430" s="116">
        <v>155.65</v>
      </c>
      <c r="Q2430" s="116">
        <v>152.4</v>
      </c>
      <c r="R2430">
        <v>28404223</v>
      </c>
    </row>
    <row r="2431" spans="1:18" x14ac:dyDescent="0.25">
      <c r="A2431" s="170">
        <v>45583</v>
      </c>
      <c r="B2431" s="116">
        <v>156.19999999999999</v>
      </c>
      <c r="C2431" s="116">
        <v>155.30000000000001</v>
      </c>
      <c r="D2431" s="116">
        <v>151.1</v>
      </c>
      <c r="E2431" s="116">
        <v>152.44999999999999</v>
      </c>
      <c r="F2431" s="116">
        <v>155.30000000000001</v>
      </c>
      <c r="G2431">
        <v>1641333</v>
      </c>
      <c r="H2431" s="116"/>
      <c r="I2431" s="116"/>
      <c r="L2431" s="170">
        <v>45583</v>
      </c>
      <c r="M2431" s="116">
        <v>155.38999999999999</v>
      </c>
      <c r="N2431" s="116">
        <v>156.19999999999999</v>
      </c>
      <c r="O2431" s="116">
        <v>151.1</v>
      </c>
      <c r="P2431" s="116">
        <v>152.4</v>
      </c>
      <c r="Q2431" s="116">
        <v>155.38999999999999</v>
      </c>
      <c r="R2431">
        <v>34750795</v>
      </c>
    </row>
    <row r="2432" spans="1:18" x14ac:dyDescent="0.25">
      <c r="A2432" s="170">
        <v>45586</v>
      </c>
      <c r="B2432" s="116">
        <v>157.85</v>
      </c>
      <c r="C2432" s="116">
        <v>155</v>
      </c>
      <c r="D2432" s="116">
        <v>154.6</v>
      </c>
      <c r="E2432" s="116">
        <v>156.19999999999999</v>
      </c>
      <c r="F2432" s="116">
        <v>155</v>
      </c>
      <c r="G2432">
        <v>940710</v>
      </c>
      <c r="H2432" s="116"/>
      <c r="I2432" s="116"/>
      <c r="L2432" s="170">
        <v>45586</v>
      </c>
      <c r="M2432" s="116">
        <v>155.03</v>
      </c>
      <c r="N2432" s="116">
        <v>157.93</v>
      </c>
      <c r="O2432" s="116">
        <v>154.59</v>
      </c>
      <c r="P2432" s="116">
        <v>156.1</v>
      </c>
      <c r="Q2432" s="116">
        <v>155.03</v>
      </c>
      <c r="R2432">
        <v>25799090</v>
      </c>
    </row>
    <row r="2433" spans="1:18" x14ac:dyDescent="0.25">
      <c r="A2433" s="170">
        <v>45587</v>
      </c>
      <c r="B2433" s="116">
        <v>155</v>
      </c>
      <c r="C2433" s="116">
        <v>150.44999999999999</v>
      </c>
      <c r="D2433" s="116">
        <v>150.15</v>
      </c>
      <c r="E2433" s="116">
        <v>155</v>
      </c>
      <c r="F2433" s="116">
        <v>150.44999999999999</v>
      </c>
      <c r="G2433">
        <v>1058504</v>
      </c>
      <c r="H2433" s="116"/>
      <c r="I2433" s="116"/>
      <c r="L2433" s="170">
        <v>45587</v>
      </c>
      <c r="M2433" s="116">
        <v>150.38999999999999</v>
      </c>
      <c r="N2433" s="116">
        <v>154.9</v>
      </c>
      <c r="O2433" s="116">
        <v>150.1</v>
      </c>
      <c r="P2433" s="116">
        <v>154.9</v>
      </c>
      <c r="Q2433" s="116">
        <v>150.38999999999999</v>
      </c>
      <c r="R2433">
        <v>39079846</v>
      </c>
    </row>
    <row r="2434" spans="1:18" x14ac:dyDescent="0.25">
      <c r="A2434" s="170">
        <v>45588</v>
      </c>
      <c r="B2434" s="116">
        <v>151.94999999999999</v>
      </c>
      <c r="C2434" s="116">
        <v>148.80000000000001</v>
      </c>
      <c r="D2434" s="116">
        <v>148.05000000000001</v>
      </c>
      <c r="E2434" s="116">
        <v>150.15</v>
      </c>
      <c r="F2434" s="116">
        <v>148.80000000000001</v>
      </c>
      <c r="G2434">
        <v>1951819</v>
      </c>
      <c r="H2434" s="116"/>
      <c r="I2434" s="116"/>
      <c r="L2434" s="170">
        <v>45588</v>
      </c>
      <c r="M2434" s="116">
        <v>148.78</v>
      </c>
      <c r="N2434" s="116">
        <v>151.94999999999999</v>
      </c>
      <c r="O2434" s="116">
        <v>148.05000000000001</v>
      </c>
      <c r="P2434" s="116">
        <v>150.30000000000001</v>
      </c>
      <c r="Q2434" s="116">
        <v>148.78</v>
      </c>
      <c r="R2434">
        <v>42107893</v>
      </c>
    </row>
    <row r="2435" spans="1:18" x14ac:dyDescent="0.25">
      <c r="A2435" s="170">
        <v>45589</v>
      </c>
      <c r="B2435" s="116">
        <v>149.9</v>
      </c>
      <c r="C2435" s="116">
        <v>149</v>
      </c>
      <c r="D2435" s="116">
        <v>148</v>
      </c>
      <c r="E2435" s="116">
        <v>149.30000000000001</v>
      </c>
      <c r="F2435" s="116">
        <v>149</v>
      </c>
      <c r="G2435">
        <v>1591683</v>
      </c>
      <c r="H2435" s="116"/>
      <c r="I2435" s="116"/>
      <c r="L2435" s="170">
        <v>45589</v>
      </c>
      <c r="M2435" s="116">
        <v>148.97999999999999</v>
      </c>
      <c r="N2435" s="116">
        <v>149.83000000000001</v>
      </c>
      <c r="O2435" s="116">
        <v>148.01</v>
      </c>
      <c r="P2435" s="116">
        <v>149.49</v>
      </c>
      <c r="Q2435" s="116">
        <v>148.97999999999999</v>
      </c>
      <c r="R2435">
        <v>22115070</v>
      </c>
    </row>
    <row r="2436" spans="1:18" x14ac:dyDescent="0.25">
      <c r="A2436" s="170">
        <v>45590</v>
      </c>
      <c r="B2436" s="116">
        <v>149.6</v>
      </c>
      <c r="C2436" s="116">
        <v>145.80000000000001</v>
      </c>
      <c r="D2436" s="116">
        <v>144.5</v>
      </c>
      <c r="E2436" s="116">
        <v>149.1</v>
      </c>
      <c r="F2436" s="116">
        <v>145.80000000000001</v>
      </c>
      <c r="G2436">
        <v>2986974</v>
      </c>
      <c r="H2436" s="116"/>
      <c r="I2436" s="116"/>
      <c r="L2436" s="170">
        <v>45590</v>
      </c>
      <c r="M2436" s="116">
        <v>145.86000000000001</v>
      </c>
      <c r="N2436" s="116">
        <v>149.5</v>
      </c>
      <c r="O2436" s="116">
        <v>144.43</v>
      </c>
      <c r="P2436" s="116">
        <v>149</v>
      </c>
      <c r="Q2436" s="116">
        <v>145.86000000000001</v>
      </c>
      <c r="R2436">
        <v>39730802</v>
      </c>
    </row>
    <row r="2437" spans="1:18" x14ac:dyDescent="0.25">
      <c r="A2437" s="170">
        <v>45593</v>
      </c>
      <c r="B2437" s="116">
        <v>149.69999999999999</v>
      </c>
      <c r="C2437" s="116">
        <v>149.44999999999999</v>
      </c>
      <c r="D2437" s="116">
        <v>144.75</v>
      </c>
      <c r="E2437" s="116">
        <v>145.85</v>
      </c>
      <c r="F2437" s="116">
        <v>149.44999999999999</v>
      </c>
      <c r="G2437">
        <v>1416428</v>
      </c>
      <c r="H2437" s="116"/>
      <c r="I2437" s="116"/>
      <c r="L2437" s="170">
        <v>45593</v>
      </c>
      <c r="M2437" s="116">
        <v>149.38</v>
      </c>
      <c r="N2437" s="116">
        <v>149.72999999999999</v>
      </c>
      <c r="O2437" s="116">
        <v>144.72999999999999</v>
      </c>
      <c r="P2437" s="116">
        <v>146</v>
      </c>
      <c r="Q2437" s="116">
        <v>149.38</v>
      </c>
      <c r="R2437">
        <v>28386897</v>
      </c>
    </row>
    <row r="2438" spans="1:18" x14ac:dyDescent="0.25">
      <c r="A2438" s="170">
        <v>45594</v>
      </c>
      <c r="B2438" s="116">
        <v>150.4</v>
      </c>
      <c r="C2438" s="116">
        <v>150.05000000000001</v>
      </c>
      <c r="D2438" s="116">
        <v>146.5</v>
      </c>
      <c r="E2438" s="116">
        <v>150</v>
      </c>
      <c r="F2438" s="116">
        <v>150.05000000000001</v>
      </c>
      <c r="G2438">
        <v>2018207</v>
      </c>
      <c r="H2438" s="116"/>
      <c r="I2438" s="116"/>
      <c r="L2438" s="170">
        <v>45594</v>
      </c>
      <c r="M2438" s="116">
        <v>150.06</v>
      </c>
      <c r="N2438" s="116">
        <v>150.44999999999999</v>
      </c>
      <c r="O2438" s="116">
        <v>146.55000000000001</v>
      </c>
      <c r="P2438" s="116">
        <v>149.85</v>
      </c>
      <c r="Q2438" s="116">
        <v>150.06</v>
      </c>
      <c r="R2438">
        <v>32258407</v>
      </c>
    </row>
    <row r="2439" spans="1:18" x14ac:dyDescent="0.25">
      <c r="A2439" s="170">
        <v>45595</v>
      </c>
      <c r="B2439" s="116">
        <v>151</v>
      </c>
      <c r="C2439" s="116">
        <v>148.94999999999999</v>
      </c>
      <c r="D2439" s="116">
        <v>148.35</v>
      </c>
      <c r="E2439" s="116">
        <v>148.35</v>
      </c>
      <c r="F2439" s="116">
        <v>148.94999999999999</v>
      </c>
      <c r="G2439">
        <v>1028556</v>
      </c>
      <c r="H2439" s="116"/>
      <c r="I2439" s="116"/>
      <c r="L2439" s="170">
        <v>45595</v>
      </c>
      <c r="M2439" s="116">
        <v>148.97</v>
      </c>
      <c r="N2439" s="116">
        <v>150.94999999999999</v>
      </c>
      <c r="O2439" s="116">
        <v>148.1</v>
      </c>
      <c r="P2439" s="116">
        <v>148.1</v>
      </c>
      <c r="Q2439" s="116">
        <v>148.97</v>
      </c>
      <c r="R2439">
        <v>21362130</v>
      </c>
    </row>
    <row r="2440" spans="1:18" x14ac:dyDescent="0.25">
      <c r="A2440" s="170">
        <v>45596</v>
      </c>
      <c r="B2440" s="116">
        <v>149.94999999999999</v>
      </c>
      <c r="C2440" s="116">
        <v>148.65</v>
      </c>
      <c r="D2440" s="116">
        <v>148.19999999999999</v>
      </c>
      <c r="E2440" s="116">
        <v>149</v>
      </c>
      <c r="F2440" s="116">
        <v>148.65</v>
      </c>
      <c r="G2440">
        <v>1410756</v>
      </c>
      <c r="H2440" s="116"/>
      <c r="I2440" s="116"/>
      <c r="L2440" s="170">
        <v>45596</v>
      </c>
      <c r="M2440" s="116">
        <v>148.56</v>
      </c>
      <c r="N2440" s="116">
        <v>149.94999999999999</v>
      </c>
      <c r="O2440" s="116">
        <v>148.19999999999999</v>
      </c>
      <c r="P2440" s="116">
        <v>149.08000000000001</v>
      </c>
      <c r="Q2440" s="116">
        <v>148.56</v>
      </c>
      <c r="R2440">
        <v>26383702</v>
      </c>
    </row>
    <row r="2441" spans="1:18" x14ac:dyDescent="0.25">
      <c r="A2441" s="170">
        <v>45597</v>
      </c>
      <c r="B2441" s="116">
        <v>150.30000000000001</v>
      </c>
      <c r="C2441" s="116">
        <v>149.69999999999999</v>
      </c>
      <c r="D2441" s="116">
        <v>149.19999999999999</v>
      </c>
      <c r="E2441" s="116">
        <v>149.85</v>
      </c>
      <c r="F2441" s="116">
        <v>149.69999999999999</v>
      </c>
      <c r="G2441">
        <v>688399</v>
      </c>
      <c r="H2441" s="116"/>
      <c r="I2441" s="116"/>
      <c r="L2441" s="170">
        <v>45597</v>
      </c>
      <c r="M2441" s="116">
        <v>149.75</v>
      </c>
      <c r="N2441" s="116">
        <v>150.25</v>
      </c>
      <c r="O2441" s="116">
        <v>149</v>
      </c>
      <c r="P2441" s="116">
        <v>149.66</v>
      </c>
      <c r="Q2441" s="116">
        <v>149.75</v>
      </c>
      <c r="R2441">
        <v>5106804</v>
      </c>
    </row>
    <row r="2442" spans="1:18" x14ac:dyDescent="0.25">
      <c r="A2442" s="170">
        <v>45600</v>
      </c>
      <c r="B2442" s="116">
        <v>150.94999999999999</v>
      </c>
      <c r="C2442" s="116">
        <v>146.94999999999999</v>
      </c>
      <c r="D2442" s="116">
        <v>145.1</v>
      </c>
      <c r="E2442" s="116">
        <v>150.94999999999999</v>
      </c>
      <c r="F2442" s="116">
        <v>146.94999999999999</v>
      </c>
      <c r="G2442">
        <v>1405708</v>
      </c>
      <c r="H2442" s="116"/>
      <c r="I2442" s="116"/>
      <c r="L2442" s="170">
        <v>45600</v>
      </c>
      <c r="M2442" s="116">
        <v>146.94999999999999</v>
      </c>
      <c r="N2442" s="116">
        <v>150</v>
      </c>
      <c r="O2442" s="116">
        <v>145.1</v>
      </c>
      <c r="P2442" s="116">
        <v>150</v>
      </c>
      <c r="Q2442" s="116">
        <v>146.94999999999999</v>
      </c>
      <c r="R2442">
        <v>25571021</v>
      </c>
    </row>
    <row r="2443" spans="1:18" x14ac:dyDescent="0.25">
      <c r="A2443" s="170">
        <v>45601</v>
      </c>
      <c r="B2443" s="116">
        <v>152.5</v>
      </c>
      <c r="C2443" s="116">
        <v>152.30000000000001</v>
      </c>
      <c r="D2443" s="116">
        <v>146.94999999999999</v>
      </c>
      <c r="E2443" s="116">
        <v>146.94999999999999</v>
      </c>
      <c r="F2443" s="116">
        <v>152.30000000000001</v>
      </c>
      <c r="G2443">
        <v>3180786</v>
      </c>
      <c r="H2443" s="116"/>
      <c r="I2443" s="116"/>
      <c r="L2443" s="170">
        <v>45601</v>
      </c>
      <c r="M2443" s="116">
        <v>152.29</v>
      </c>
      <c r="N2443" s="116">
        <v>152.55000000000001</v>
      </c>
      <c r="O2443" s="116">
        <v>146.94999999999999</v>
      </c>
      <c r="P2443" s="116">
        <v>147</v>
      </c>
      <c r="Q2443" s="116">
        <v>152.29</v>
      </c>
      <c r="R2443">
        <v>42772283</v>
      </c>
    </row>
    <row r="2444" spans="1:18" x14ac:dyDescent="0.25">
      <c r="A2444" s="170">
        <v>45602</v>
      </c>
      <c r="B2444" s="116">
        <v>154.6</v>
      </c>
      <c r="C2444" s="116">
        <v>153.6</v>
      </c>
      <c r="D2444" s="116">
        <v>149.65</v>
      </c>
      <c r="E2444" s="116">
        <v>153.85</v>
      </c>
      <c r="F2444" s="116">
        <v>153.6</v>
      </c>
      <c r="G2444">
        <v>3600316</v>
      </c>
      <c r="H2444" s="116"/>
      <c r="I2444" s="116"/>
      <c r="L2444" s="170">
        <v>45602</v>
      </c>
      <c r="M2444" s="116">
        <v>153.62</v>
      </c>
      <c r="N2444" s="116">
        <v>154.94999999999999</v>
      </c>
      <c r="O2444" s="116">
        <v>149.59</v>
      </c>
      <c r="P2444" s="116">
        <v>154</v>
      </c>
      <c r="Q2444" s="116">
        <v>153.62</v>
      </c>
      <c r="R2444">
        <v>48928986</v>
      </c>
    </row>
    <row r="2445" spans="1:18" x14ac:dyDescent="0.25">
      <c r="A2445" s="170">
        <v>45603</v>
      </c>
      <c r="B2445" s="116">
        <v>156.80000000000001</v>
      </c>
      <c r="C2445" s="116">
        <v>150.9</v>
      </c>
      <c r="D2445" s="116">
        <v>150.19999999999999</v>
      </c>
      <c r="E2445" s="116">
        <v>156.4</v>
      </c>
      <c r="F2445" s="116">
        <v>150.9</v>
      </c>
      <c r="G2445">
        <v>4118245</v>
      </c>
      <c r="H2445" s="116"/>
      <c r="I2445" s="116"/>
      <c r="L2445" s="170">
        <v>45603</v>
      </c>
      <c r="M2445" s="116">
        <v>150.94999999999999</v>
      </c>
      <c r="N2445" s="116">
        <v>156.91999999999999</v>
      </c>
      <c r="O2445" s="116">
        <v>150.19999999999999</v>
      </c>
      <c r="P2445" s="116">
        <v>156.11000000000001</v>
      </c>
      <c r="Q2445" s="116">
        <v>150.94999999999999</v>
      </c>
      <c r="R2445">
        <v>88254789</v>
      </c>
    </row>
    <row r="2446" spans="1:18" x14ac:dyDescent="0.25">
      <c r="A2446" s="170">
        <v>45604</v>
      </c>
      <c r="B2446" s="116">
        <v>152.94999999999999</v>
      </c>
      <c r="C2446" s="116">
        <v>147.55000000000001</v>
      </c>
      <c r="D2446" s="116">
        <v>146.85</v>
      </c>
      <c r="E2446" s="116">
        <v>152.94999999999999</v>
      </c>
      <c r="F2446" s="116">
        <v>147.55000000000001</v>
      </c>
      <c r="G2446">
        <v>2244172</v>
      </c>
      <c r="H2446" s="116"/>
      <c r="I2446" s="116"/>
      <c r="L2446" s="170">
        <v>45604</v>
      </c>
      <c r="M2446" s="116">
        <v>147.57</v>
      </c>
      <c r="N2446" s="116">
        <v>152</v>
      </c>
      <c r="O2446" s="116">
        <v>146.94</v>
      </c>
      <c r="P2446" s="116">
        <v>152</v>
      </c>
      <c r="Q2446" s="116">
        <v>147.57</v>
      </c>
      <c r="R2446">
        <v>61980989</v>
      </c>
    </row>
    <row r="2447" spans="1:18" x14ac:dyDescent="0.25">
      <c r="A2447" s="170">
        <v>45607</v>
      </c>
      <c r="B2447" s="116">
        <v>147.75</v>
      </c>
      <c r="C2447" s="116">
        <v>144.94999999999999</v>
      </c>
      <c r="D2447" s="116">
        <v>144.05000000000001</v>
      </c>
      <c r="E2447" s="116">
        <v>147.75</v>
      </c>
      <c r="F2447" s="116">
        <v>144.94999999999999</v>
      </c>
      <c r="G2447">
        <v>1789884</v>
      </c>
      <c r="H2447" s="116"/>
      <c r="I2447" s="116"/>
      <c r="L2447" s="170">
        <v>45607</v>
      </c>
      <c r="M2447" s="116">
        <v>145.01</v>
      </c>
      <c r="N2447" s="116">
        <v>147.69</v>
      </c>
      <c r="O2447" s="116">
        <v>144.1</v>
      </c>
      <c r="P2447" s="116">
        <v>147.57</v>
      </c>
      <c r="Q2447" s="116">
        <v>145.01</v>
      </c>
      <c r="R2447">
        <v>47497863</v>
      </c>
    </row>
    <row r="2448" spans="1:18" x14ac:dyDescent="0.25">
      <c r="A2448" s="170">
        <v>45608</v>
      </c>
      <c r="B2448" s="116">
        <v>147.15</v>
      </c>
      <c r="C2448" s="116">
        <v>144.15</v>
      </c>
      <c r="D2448" s="116">
        <v>143.75</v>
      </c>
      <c r="E2448" s="116">
        <v>146.80000000000001</v>
      </c>
      <c r="F2448" s="116">
        <v>144.15</v>
      </c>
      <c r="G2448">
        <v>1146090</v>
      </c>
      <c r="H2448" s="116"/>
      <c r="I2448" s="116"/>
      <c r="L2448" s="170">
        <v>45608</v>
      </c>
      <c r="M2448" s="116">
        <v>144.16999999999999</v>
      </c>
      <c r="N2448" s="116">
        <v>147.13</v>
      </c>
      <c r="O2448" s="116">
        <v>143.6</v>
      </c>
      <c r="P2448" s="116">
        <v>145.65</v>
      </c>
      <c r="Q2448" s="116">
        <v>144.16999999999999</v>
      </c>
      <c r="R2448">
        <v>28861672</v>
      </c>
    </row>
    <row r="2449" spans="1:18" x14ac:dyDescent="0.25">
      <c r="A2449" s="170">
        <v>45609</v>
      </c>
      <c r="B2449" s="116">
        <v>143.69999999999999</v>
      </c>
      <c r="C2449" s="116">
        <v>139.25</v>
      </c>
      <c r="D2449" s="116">
        <v>138.65</v>
      </c>
      <c r="E2449" s="116">
        <v>143.69999999999999</v>
      </c>
      <c r="F2449" s="116">
        <v>139.25</v>
      </c>
      <c r="G2449">
        <v>2077910</v>
      </c>
      <c r="H2449" s="116"/>
      <c r="I2449" s="116"/>
      <c r="L2449" s="170">
        <v>45609</v>
      </c>
      <c r="M2449" s="116">
        <v>139.16999999999999</v>
      </c>
      <c r="N2449" s="116">
        <v>143.6</v>
      </c>
      <c r="O2449" s="116">
        <v>138.6</v>
      </c>
      <c r="P2449" s="116">
        <v>143.6</v>
      </c>
      <c r="Q2449" s="116">
        <v>139.16999999999999</v>
      </c>
      <c r="R2449">
        <v>57609083</v>
      </c>
    </row>
    <row r="2450" spans="1:18" x14ac:dyDescent="0.25">
      <c r="A2450" s="170">
        <v>45610</v>
      </c>
      <c r="B2450" s="116">
        <v>140.80000000000001</v>
      </c>
      <c r="C2450" s="116">
        <v>138</v>
      </c>
      <c r="D2450" s="116">
        <v>137.5</v>
      </c>
      <c r="E2450" s="116">
        <v>139.69999999999999</v>
      </c>
      <c r="F2450" s="116">
        <v>138</v>
      </c>
      <c r="G2450">
        <v>2441717</v>
      </c>
      <c r="H2450" s="116"/>
      <c r="I2450" s="116"/>
      <c r="L2450" s="170">
        <v>45610</v>
      </c>
      <c r="M2450" s="116">
        <v>137.97999999999999</v>
      </c>
      <c r="N2450" s="116">
        <v>140.72999999999999</v>
      </c>
      <c r="O2450" s="116">
        <v>137.5</v>
      </c>
      <c r="P2450" s="116">
        <v>139.71</v>
      </c>
      <c r="Q2450" s="116">
        <v>137.97999999999999</v>
      </c>
      <c r="R2450">
        <v>36345184</v>
      </c>
    </row>
    <row r="2451" spans="1:18" x14ac:dyDescent="0.25">
      <c r="A2451" s="170">
        <v>45614</v>
      </c>
      <c r="B2451" s="116">
        <v>143.19999999999999</v>
      </c>
      <c r="C2451" s="116">
        <v>141.30000000000001</v>
      </c>
      <c r="D2451" s="116">
        <v>138.30000000000001</v>
      </c>
      <c r="E2451" s="116">
        <v>139.65</v>
      </c>
      <c r="F2451" s="116">
        <v>141.30000000000001</v>
      </c>
      <c r="G2451">
        <v>3171225</v>
      </c>
      <c r="H2451" s="116"/>
      <c r="I2451" s="116"/>
      <c r="L2451" s="170">
        <v>45614</v>
      </c>
      <c r="M2451" s="116">
        <v>141.21</v>
      </c>
      <c r="N2451" s="116">
        <v>143.25</v>
      </c>
      <c r="O2451" s="116">
        <v>138</v>
      </c>
      <c r="P2451" s="116">
        <v>139.49</v>
      </c>
      <c r="Q2451" s="116">
        <v>141.21</v>
      </c>
      <c r="R2451">
        <v>40233848</v>
      </c>
    </row>
    <row r="2452" spans="1:18" x14ac:dyDescent="0.25">
      <c r="A2452" s="170">
        <v>45615</v>
      </c>
      <c r="B2452" s="116">
        <v>142.5</v>
      </c>
      <c r="C2452" s="116">
        <v>139.44999999999999</v>
      </c>
      <c r="D2452" s="116">
        <v>139.05000000000001</v>
      </c>
      <c r="E2452" s="116">
        <v>141.75</v>
      </c>
      <c r="F2452" s="116">
        <v>139.44999999999999</v>
      </c>
      <c r="G2452">
        <v>1760152</v>
      </c>
      <c r="H2452" s="116"/>
      <c r="I2452" s="116"/>
      <c r="L2452" s="170">
        <v>45615</v>
      </c>
      <c r="M2452" s="116">
        <v>139.46</v>
      </c>
      <c r="N2452" s="116">
        <v>142.49</v>
      </c>
      <c r="O2452" s="116">
        <v>139.06</v>
      </c>
      <c r="P2452" s="116">
        <v>142</v>
      </c>
      <c r="Q2452" s="116">
        <v>139.46</v>
      </c>
      <c r="R2452">
        <v>37611903</v>
      </c>
    </row>
    <row r="2453" spans="1:18" x14ac:dyDescent="0.25">
      <c r="A2453" s="170">
        <v>45617</v>
      </c>
      <c r="B2453" s="116">
        <v>141.65</v>
      </c>
      <c r="C2453" s="116">
        <v>140.25</v>
      </c>
      <c r="D2453" s="116">
        <v>137.19999999999999</v>
      </c>
      <c r="E2453" s="116">
        <v>139.75</v>
      </c>
      <c r="F2453" s="116">
        <v>140.25</v>
      </c>
      <c r="G2453">
        <v>1572799</v>
      </c>
      <c r="H2453" s="116"/>
      <c r="I2453" s="116"/>
      <c r="L2453" s="170">
        <v>45617</v>
      </c>
      <c r="M2453" s="116">
        <v>140.22</v>
      </c>
      <c r="N2453" s="116">
        <v>141.6</v>
      </c>
      <c r="O2453" s="116">
        <v>137.25</v>
      </c>
      <c r="P2453" s="116">
        <v>139.5</v>
      </c>
      <c r="Q2453" s="116">
        <v>140.22</v>
      </c>
      <c r="R2453">
        <v>58398744</v>
      </c>
    </row>
    <row r="2454" spans="1:18" x14ac:dyDescent="0.25">
      <c r="A2454" s="170">
        <v>45618</v>
      </c>
      <c r="B2454" s="116">
        <v>143.19999999999999</v>
      </c>
      <c r="C2454" s="116">
        <v>142.80000000000001</v>
      </c>
      <c r="D2454" s="116">
        <v>139.6</v>
      </c>
      <c r="E2454" s="116">
        <v>140.25</v>
      </c>
      <c r="F2454" s="116">
        <v>142.80000000000001</v>
      </c>
      <c r="G2454">
        <v>1918444</v>
      </c>
      <c r="H2454" s="116"/>
      <c r="I2454" s="116"/>
      <c r="L2454" s="170">
        <v>45618</v>
      </c>
      <c r="M2454" s="116">
        <v>142.78</v>
      </c>
      <c r="N2454" s="116">
        <v>143.19</v>
      </c>
      <c r="O2454" s="116">
        <v>139.65</v>
      </c>
      <c r="P2454" s="116">
        <v>140.15</v>
      </c>
      <c r="Q2454" s="116">
        <v>142.78</v>
      </c>
      <c r="R2454">
        <v>43710169</v>
      </c>
    </row>
    <row r="2455" spans="1:18" x14ac:dyDescent="0.25">
      <c r="A2455" s="170">
        <v>45621</v>
      </c>
      <c r="B2455" s="116">
        <v>146.15</v>
      </c>
      <c r="C2455" s="116">
        <v>143.6</v>
      </c>
      <c r="D2455" s="116">
        <v>142.85</v>
      </c>
      <c r="E2455" s="116">
        <v>144.80000000000001</v>
      </c>
      <c r="F2455" s="116">
        <v>143.6</v>
      </c>
      <c r="G2455">
        <v>1928708</v>
      </c>
      <c r="H2455" s="116"/>
      <c r="I2455" s="116"/>
      <c r="L2455" s="170">
        <v>45621</v>
      </c>
      <c r="M2455" s="116">
        <v>143.66999999999999</v>
      </c>
      <c r="N2455" s="116">
        <v>146.15</v>
      </c>
      <c r="O2455" s="116">
        <v>142.84</v>
      </c>
      <c r="P2455" s="116">
        <v>144.94</v>
      </c>
      <c r="Q2455" s="116">
        <v>143.66999999999999</v>
      </c>
      <c r="R2455">
        <v>53883890</v>
      </c>
    </row>
    <row r="2456" spans="1:18" x14ac:dyDescent="0.25">
      <c r="A2456" s="170">
        <v>45622</v>
      </c>
      <c r="B2456" s="116">
        <v>145.80000000000001</v>
      </c>
      <c r="C2456" s="116">
        <v>144.44999999999999</v>
      </c>
      <c r="D2456" s="116">
        <v>143.6</v>
      </c>
      <c r="E2456" s="116">
        <v>144.05000000000001</v>
      </c>
      <c r="F2456" s="116">
        <v>144.44999999999999</v>
      </c>
      <c r="G2456">
        <v>744230</v>
      </c>
      <c r="H2456" s="116"/>
      <c r="I2456" s="116"/>
      <c r="L2456" s="170">
        <v>45622</v>
      </c>
      <c r="M2456" s="116">
        <v>144.47</v>
      </c>
      <c r="N2456" s="116">
        <v>145.80000000000001</v>
      </c>
      <c r="O2456" s="116">
        <v>143.58000000000001</v>
      </c>
      <c r="P2456" s="116">
        <v>144.22</v>
      </c>
      <c r="Q2456" s="116">
        <v>144.47</v>
      </c>
      <c r="R2456">
        <v>25608469</v>
      </c>
    </row>
    <row r="2457" spans="1:18" x14ac:dyDescent="0.25">
      <c r="A2457" s="170">
        <v>45623</v>
      </c>
      <c r="B2457" s="116">
        <v>144.9</v>
      </c>
      <c r="C2457" s="116">
        <v>144.5</v>
      </c>
      <c r="D2457" s="116">
        <v>142.9</v>
      </c>
      <c r="E2457" s="116">
        <v>144.44999999999999</v>
      </c>
      <c r="F2457" s="116">
        <v>144.5</v>
      </c>
      <c r="G2457">
        <v>825909</v>
      </c>
      <c r="H2457" s="116"/>
      <c r="I2457" s="116"/>
      <c r="L2457" s="170">
        <v>45623</v>
      </c>
      <c r="M2457" s="116">
        <v>144.53</v>
      </c>
      <c r="N2457" s="116">
        <v>144.9</v>
      </c>
      <c r="O2457" s="116">
        <v>142.9</v>
      </c>
      <c r="P2457" s="116">
        <v>144.31</v>
      </c>
      <c r="Q2457" s="116">
        <v>144.53</v>
      </c>
      <c r="R2457">
        <v>24895631</v>
      </c>
    </row>
    <row r="2458" spans="1:18" x14ac:dyDescent="0.25">
      <c r="A2458" s="170">
        <v>45624</v>
      </c>
      <c r="B2458" s="116">
        <v>145.25</v>
      </c>
      <c r="C2458" s="116">
        <v>143.44999999999999</v>
      </c>
      <c r="D2458" s="116">
        <v>143.1</v>
      </c>
      <c r="E2458" s="116">
        <v>144.25</v>
      </c>
      <c r="F2458" s="116">
        <v>143.44999999999999</v>
      </c>
      <c r="G2458">
        <v>835743</v>
      </c>
      <c r="H2458" s="116"/>
      <c r="I2458" s="116"/>
      <c r="L2458" s="170">
        <v>45624</v>
      </c>
      <c r="M2458" s="116">
        <v>143.38999999999999</v>
      </c>
      <c r="N2458" s="116">
        <v>145.25</v>
      </c>
      <c r="O2458" s="116">
        <v>143.09</v>
      </c>
      <c r="P2458" s="116">
        <v>144</v>
      </c>
      <c r="Q2458" s="116">
        <v>143.38999999999999</v>
      </c>
      <c r="R2458">
        <v>30947861</v>
      </c>
    </row>
    <row r="2459" spans="1:18" x14ac:dyDescent="0.25">
      <c r="A2459" s="170">
        <v>45625</v>
      </c>
      <c r="B2459" s="116">
        <v>145.44999999999999</v>
      </c>
      <c r="C2459" s="116">
        <v>144.55000000000001</v>
      </c>
      <c r="D2459" s="116">
        <v>143.05000000000001</v>
      </c>
      <c r="E2459" s="116">
        <v>143.85</v>
      </c>
      <c r="F2459" s="116">
        <v>144.55000000000001</v>
      </c>
      <c r="G2459">
        <v>1883423</v>
      </c>
      <c r="H2459" s="116"/>
      <c r="I2459" s="116"/>
      <c r="L2459" s="170">
        <v>45625</v>
      </c>
      <c r="M2459" s="116">
        <v>144.54</v>
      </c>
      <c r="N2459" s="116">
        <v>145.49</v>
      </c>
      <c r="O2459" s="116">
        <v>143.05000000000001</v>
      </c>
      <c r="P2459" s="116">
        <v>143.9</v>
      </c>
      <c r="Q2459" s="116">
        <v>144.54</v>
      </c>
      <c r="R2459">
        <v>29742979</v>
      </c>
    </row>
    <row r="2460" spans="1:18" x14ac:dyDescent="0.25">
      <c r="A2460" s="170">
        <v>45628</v>
      </c>
      <c r="B2460" s="116">
        <v>146.80000000000001</v>
      </c>
      <c r="C2460" s="116">
        <v>146.4</v>
      </c>
      <c r="D2460" s="116">
        <v>143.19999999999999</v>
      </c>
      <c r="E2460" s="116">
        <v>144.5</v>
      </c>
      <c r="F2460" s="116">
        <v>146.4</v>
      </c>
      <c r="G2460">
        <v>1734595</v>
      </c>
      <c r="H2460" s="116"/>
      <c r="I2460" s="116"/>
      <c r="L2460" s="170">
        <v>45628</v>
      </c>
      <c r="M2460" s="116">
        <v>146.41</v>
      </c>
      <c r="N2460" s="116">
        <v>146.83000000000001</v>
      </c>
      <c r="O2460" s="116">
        <v>143.13999999999999</v>
      </c>
      <c r="P2460" s="116">
        <v>144.11000000000001</v>
      </c>
      <c r="Q2460" s="116">
        <v>146.41</v>
      </c>
      <c r="R2460">
        <v>23840351</v>
      </c>
    </row>
    <row r="2461" spans="1:18" x14ac:dyDescent="0.25">
      <c r="A2461" s="170">
        <v>45629</v>
      </c>
      <c r="B2461" s="116">
        <v>148.25</v>
      </c>
      <c r="C2461" s="116">
        <v>146.55000000000001</v>
      </c>
      <c r="D2461" s="116">
        <v>146.35</v>
      </c>
      <c r="E2461" s="116">
        <v>146.9</v>
      </c>
      <c r="F2461" s="116">
        <v>146.55000000000001</v>
      </c>
      <c r="G2461">
        <v>1210952</v>
      </c>
      <c r="H2461" s="116"/>
      <c r="I2461" s="116"/>
      <c r="L2461" s="170">
        <v>45629</v>
      </c>
      <c r="M2461" s="116">
        <v>146.54</v>
      </c>
      <c r="N2461" s="116">
        <v>148.19999999999999</v>
      </c>
      <c r="O2461" s="116">
        <v>146.34</v>
      </c>
      <c r="P2461" s="116">
        <v>146.75</v>
      </c>
      <c r="Q2461" s="116">
        <v>146.54</v>
      </c>
      <c r="R2461">
        <v>35527228</v>
      </c>
    </row>
    <row r="2462" spans="1:18" x14ac:dyDescent="0.25">
      <c r="A2462" s="170">
        <v>45630</v>
      </c>
      <c r="B2462" s="116">
        <v>147.1</v>
      </c>
      <c r="C2462" s="116">
        <v>145.80000000000001</v>
      </c>
      <c r="D2462" s="116">
        <v>144</v>
      </c>
      <c r="E2462" s="116">
        <v>147</v>
      </c>
      <c r="F2462" s="116">
        <v>145.80000000000001</v>
      </c>
      <c r="G2462">
        <v>1398405</v>
      </c>
      <c r="H2462" s="116"/>
      <c r="I2462" s="116"/>
      <c r="L2462" s="170">
        <v>45630</v>
      </c>
      <c r="M2462" s="116">
        <v>145.85</v>
      </c>
      <c r="N2462" s="116">
        <v>147.05000000000001</v>
      </c>
      <c r="O2462" s="116">
        <v>144</v>
      </c>
      <c r="P2462" s="116">
        <v>147</v>
      </c>
      <c r="Q2462" s="116">
        <v>145.85</v>
      </c>
      <c r="R2462">
        <v>38537808</v>
      </c>
    </row>
    <row r="2463" spans="1:18" x14ac:dyDescent="0.25">
      <c r="A2463" s="170">
        <v>45631</v>
      </c>
      <c r="B2463" s="116">
        <v>147.9</v>
      </c>
      <c r="C2463" s="116">
        <v>147.1</v>
      </c>
      <c r="D2463" s="116">
        <v>144.80000000000001</v>
      </c>
      <c r="E2463" s="116">
        <v>146.5</v>
      </c>
      <c r="F2463" s="116">
        <v>147.1</v>
      </c>
      <c r="G2463">
        <v>1209830</v>
      </c>
      <c r="H2463" s="116"/>
      <c r="I2463" s="116"/>
      <c r="L2463" s="170">
        <v>45631</v>
      </c>
      <c r="M2463" s="116">
        <v>147.07</v>
      </c>
      <c r="N2463" s="116">
        <v>147.88</v>
      </c>
      <c r="O2463" s="116">
        <v>144.80000000000001</v>
      </c>
      <c r="P2463" s="116">
        <v>146.5</v>
      </c>
      <c r="Q2463" s="116">
        <v>147.07</v>
      </c>
      <c r="R2463">
        <v>36328245</v>
      </c>
    </row>
    <row r="2464" spans="1:18" x14ac:dyDescent="0.25">
      <c r="A2464" s="170">
        <v>45632</v>
      </c>
      <c r="B2464" s="116">
        <v>148.65</v>
      </c>
      <c r="C2464" s="116">
        <v>148.25</v>
      </c>
      <c r="D2464" s="116">
        <v>146.65</v>
      </c>
      <c r="E2464" s="116">
        <v>147.6</v>
      </c>
      <c r="F2464" s="116">
        <v>148.25</v>
      </c>
      <c r="G2464">
        <v>1872363</v>
      </c>
      <c r="H2464" s="116"/>
      <c r="I2464" s="116"/>
      <c r="L2464" s="170">
        <v>45632</v>
      </c>
      <c r="M2464" s="116">
        <v>148.29</v>
      </c>
      <c r="N2464" s="116">
        <v>148.68</v>
      </c>
      <c r="O2464" s="116">
        <v>146.6</v>
      </c>
      <c r="P2464" s="116">
        <v>147.5</v>
      </c>
      <c r="Q2464" s="116">
        <v>148.29</v>
      </c>
      <c r="R2464">
        <v>30604899</v>
      </c>
    </row>
    <row r="2465" spans="1:18" x14ac:dyDescent="0.25">
      <c r="A2465" s="170">
        <v>45635</v>
      </c>
      <c r="B2465" s="116">
        <v>150.6</v>
      </c>
      <c r="C2465" s="116">
        <v>149.80000000000001</v>
      </c>
      <c r="D2465" s="116">
        <v>146.6</v>
      </c>
      <c r="E2465" s="116">
        <v>148.30000000000001</v>
      </c>
      <c r="F2465" s="116">
        <v>149.80000000000001</v>
      </c>
      <c r="G2465">
        <v>1457874</v>
      </c>
      <c r="H2465" s="116"/>
      <c r="I2465" s="116"/>
      <c r="L2465" s="170">
        <v>45635</v>
      </c>
      <c r="M2465" s="116">
        <v>149.88</v>
      </c>
      <c r="N2465" s="116">
        <v>150.66999999999999</v>
      </c>
      <c r="O2465" s="116">
        <v>146.63</v>
      </c>
      <c r="P2465" s="116">
        <v>148.29</v>
      </c>
      <c r="Q2465" s="116">
        <v>149.88</v>
      </c>
      <c r="R2465">
        <v>39059139</v>
      </c>
    </row>
    <row r="2466" spans="1:18" x14ac:dyDescent="0.25">
      <c r="A2466" s="170">
        <v>45636</v>
      </c>
      <c r="B2466" s="116">
        <v>152.5</v>
      </c>
      <c r="C2466" s="116">
        <v>150.35</v>
      </c>
      <c r="D2466" s="116">
        <v>149.35</v>
      </c>
      <c r="E2466" s="116">
        <v>150.35</v>
      </c>
      <c r="F2466" s="116">
        <v>150.35</v>
      </c>
      <c r="G2466">
        <v>1070598</v>
      </c>
      <c r="H2466" s="116"/>
      <c r="I2466" s="116"/>
      <c r="L2466" s="170">
        <v>45636</v>
      </c>
      <c r="M2466" s="116">
        <v>150.32</v>
      </c>
      <c r="N2466" s="116">
        <v>152.5</v>
      </c>
      <c r="O2466" s="116">
        <v>149.31</v>
      </c>
      <c r="P2466" s="116">
        <v>150.19</v>
      </c>
      <c r="Q2466" s="116">
        <v>150.32</v>
      </c>
      <c r="R2466">
        <v>36278104</v>
      </c>
    </row>
    <row r="2467" spans="1:18" x14ac:dyDescent="0.25">
      <c r="A2467" s="170">
        <v>45637</v>
      </c>
      <c r="B2467" s="116">
        <v>152.1</v>
      </c>
      <c r="C2467" s="116">
        <v>150.6</v>
      </c>
      <c r="D2467" s="116">
        <v>150.1</v>
      </c>
      <c r="E2467" s="116">
        <v>150.44999999999999</v>
      </c>
      <c r="F2467" s="116">
        <v>150.6</v>
      </c>
      <c r="G2467">
        <v>1633667</v>
      </c>
      <c r="H2467" s="116"/>
      <c r="I2467" s="116"/>
      <c r="L2467" s="170">
        <v>45637</v>
      </c>
      <c r="M2467" s="116">
        <v>150.6</v>
      </c>
      <c r="N2467" s="116">
        <v>152.11000000000001</v>
      </c>
      <c r="O2467" s="116">
        <v>150.06</v>
      </c>
      <c r="P2467" s="116">
        <v>150.59</v>
      </c>
      <c r="Q2467" s="116">
        <v>150.6</v>
      </c>
      <c r="R2467">
        <v>20499709</v>
      </c>
    </row>
    <row r="2468" spans="1:18" x14ac:dyDescent="0.25">
      <c r="A2468" s="170">
        <v>45638</v>
      </c>
      <c r="B2468" s="116">
        <v>151.55000000000001</v>
      </c>
      <c r="C2468" s="116">
        <v>150.85</v>
      </c>
      <c r="D2468" s="116">
        <v>148.69999999999999</v>
      </c>
      <c r="E2468" s="116">
        <v>151</v>
      </c>
      <c r="F2468" s="116">
        <v>150.85</v>
      </c>
      <c r="G2468">
        <v>1983700</v>
      </c>
      <c r="H2468" s="116"/>
      <c r="I2468" s="116"/>
      <c r="L2468" s="170">
        <v>45638</v>
      </c>
      <c r="M2468" s="116">
        <v>150.78</v>
      </c>
      <c r="N2468" s="116">
        <v>151.63</v>
      </c>
      <c r="O2468" s="116">
        <v>148.69999999999999</v>
      </c>
      <c r="P2468" s="116">
        <v>150.87</v>
      </c>
      <c r="Q2468" s="116">
        <v>150.78</v>
      </c>
      <c r="R2468">
        <v>25761723</v>
      </c>
    </row>
    <row r="2469" spans="1:18" x14ac:dyDescent="0.25">
      <c r="A2469" s="170">
        <v>45639</v>
      </c>
      <c r="B2469" s="116">
        <v>150.75</v>
      </c>
      <c r="C2469" s="116">
        <v>148.94999999999999</v>
      </c>
      <c r="D2469" s="116">
        <v>145.6</v>
      </c>
      <c r="E2469" s="116">
        <v>150.05000000000001</v>
      </c>
      <c r="F2469" s="116">
        <v>148.94999999999999</v>
      </c>
      <c r="G2469">
        <v>2578810</v>
      </c>
      <c r="H2469" s="116"/>
      <c r="I2469" s="116"/>
      <c r="L2469" s="170">
        <v>45639</v>
      </c>
      <c r="M2469" s="116">
        <v>148.94999999999999</v>
      </c>
      <c r="N2469" s="116">
        <v>150.05000000000001</v>
      </c>
      <c r="O2469" s="116">
        <v>145.55000000000001</v>
      </c>
      <c r="P2469" s="116">
        <v>150</v>
      </c>
      <c r="Q2469" s="116">
        <v>148.94999999999999</v>
      </c>
      <c r="R2469">
        <v>39701388</v>
      </c>
    </row>
    <row r="2470" spans="1:18" x14ac:dyDescent="0.25">
      <c r="A2470" s="170">
        <v>45642</v>
      </c>
      <c r="B2470" s="116">
        <v>149.80000000000001</v>
      </c>
      <c r="C2470" s="116">
        <v>147.9</v>
      </c>
      <c r="D2470" s="116">
        <v>147.05000000000001</v>
      </c>
      <c r="E2470" s="116">
        <v>148.80000000000001</v>
      </c>
      <c r="F2470" s="116">
        <v>147.9</v>
      </c>
      <c r="G2470">
        <v>1330991</v>
      </c>
      <c r="H2470" s="116"/>
      <c r="I2470" s="116"/>
      <c r="L2470" s="170">
        <v>45642</v>
      </c>
      <c r="M2470" s="116">
        <v>147.79</v>
      </c>
      <c r="N2470" s="116">
        <v>149.80000000000001</v>
      </c>
      <c r="O2470" s="116">
        <v>147.1</v>
      </c>
      <c r="P2470" s="116">
        <v>148.94</v>
      </c>
      <c r="Q2470" s="116">
        <v>147.79</v>
      </c>
      <c r="R2470">
        <v>22634773</v>
      </c>
    </row>
    <row r="2471" spans="1:18" x14ac:dyDescent="0.25">
      <c r="A2471" s="170">
        <v>45643</v>
      </c>
      <c r="B2471" s="116">
        <v>148.5</v>
      </c>
      <c r="C2471" s="116">
        <v>145.65</v>
      </c>
      <c r="D2471" s="116">
        <v>145.35</v>
      </c>
      <c r="E2471" s="116">
        <v>147.5</v>
      </c>
      <c r="F2471" s="116">
        <v>145.65</v>
      </c>
      <c r="G2471">
        <v>1288867</v>
      </c>
      <c r="H2471" s="116"/>
      <c r="I2471" s="116"/>
      <c r="L2471" s="170">
        <v>45643</v>
      </c>
      <c r="M2471" s="116">
        <v>145.68</v>
      </c>
      <c r="N2471" s="116">
        <v>148.5</v>
      </c>
      <c r="O2471" s="116">
        <v>145.33000000000001</v>
      </c>
      <c r="P2471" s="116">
        <v>147.79</v>
      </c>
      <c r="Q2471" s="116">
        <v>145.68</v>
      </c>
      <c r="R2471">
        <v>27110781</v>
      </c>
    </row>
    <row r="2472" spans="1:18" x14ac:dyDescent="0.25">
      <c r="A2472" s="170">
        <v>45644</v>
      </c>
      <c r="B2472" s="116">
        <v>146.55000000000001</v>
      </c>
      <c r="C2472" s="116">
        <v>144.5</v>
      </c>
      <c r="D2472" s="116">
        <v>143.30000000000001</v>
      </c>
      <c r="E2472" s="116">
        <v>145.80000000000001</v>
      </c>
      <c r="F2472" s="116">
        <v>144.5</v>
      </c>
      <c r="G2472">
        <v>615562</v>
      </c>
      <c r="H2472" s="116"/>
      <c r="I2472" s="116"/>
      <c r="L2472" s="170">
        <v>45644</v>
      </c>
      <c r="M2472" s="116">
        <v>144.46</v>
      </c>
      <c r="N2472" s="116">
        <v>146.9</v>
      </c>
      <c r="O2472" s="116">
        <v>143.30000000000001</v>
      </c>
      <c r="P2472" s="116">
        <v>146</v>
      </c>
      <c r="Q2472" s="116">
        <v>144.46</v>
      </c>
      <c r="R2472">
        <v>19850229</v>
      </c>
    </row>
    <row r="2473" spans="1:18" x14ac:dyDescent="0.25">
      <c r="A2473" s="170">
        <v>45645</v>
      </c>
      <c r="B2473" s="116">
        <v>143.80000000000001</v>
      </c>
      <c r="C2473" s="116">
        <v>143.30000000000001</v>
      </c>
      <c r="D2473" s="116">
        <v>141.15</v>
      </c>
      <c r="E2473" s="116">
        <v>141.4</v>
      </c>
      <c r="F2473" s="116">
        <v>143.30000000000001</v>
      </c>
      <c r="G2473">
        <v>1362645</v>
      </c>
      <c r="H2473" s="116"/>
      <c r="I2473" s="116"/>
      <c r="L2473" s="170">
        <v>45645</v>
      </c>
      <c r="M2473" s="116">
        <v>143.26</v>
      </c>
      <c r="N2473" s="116">
        <v>143.80000000000001</v>
      </c>
      <c r="O2473" s="116">
        <v>141.1</v>
      </c>
      <c r="P2473" s="116">
        <v>141.55000000000001</v>
      </c>
      <c r="Q2473" s="116">
        <v>143.26</v>
      </c>
      <c r="R2473">
        <v>27104579</v>
      </c>
    </row>
    <row r="2474" spans="1:18" x14ac:dyDescent="0.25">
      <c r="A2474" s="170">
        <v>45646</v>
      </c>
      <c r="B2474" s="116">
        <v>144.5</v>
      </c>
      <c r="C2474" s="116">
        <v>140.85</v>
      </c>
      <c r="D2474" s="116">
        <v>140.05000000000001</v>
      </c>
      <c r="E2474" s="116">
        <v>143.25</v>
      </c>
      <c r="F2474" s="116">
        <v>140.85</v>
      </c>
      <c r="G2474">
        <v>1521457</v>
      </c>
      <c r="H2474" s="116"/>
      <c r="I2474" s="116"/>
      <c r="L2474" s="170">
        <v>45646</v>
      </c>
      <c r="M2474" s="116">
        <v>140.68</v>
      </c>
      <c r="N2474" s="116">
        <v>144.4</v>
      </c>
      <c r="O2474" s="116">
        <v>140</v>
      </c>
      <c r="P2474" s="116">
        <v>142.88999999999999</v>
      </c>
      <c r="Q2474" s="116">
        <v>140.68</v>
      </c>
      <c r="R2474">
        <v>46503449</v>
      </c>
    </row>
    <row r="2475" spans="1:18" x14ac:dyDescent="0.25">
      <c r="A2475" s="170">
        <v>45649</v>
      </c>
      <c r="B2475" s="116">
        <v>143.80000000000001</v>
      </c>
      <c r="C2475" s="116">
        <v>141.69999999999999</v>
      </c>
      <c r="D2475" s="116">
        <v>140.65</v>
      </c>
      <c r="E2475" s="116">
        <v>142.65</v>
      </c>
      <c r="F2475" s="116">
        <v>141.69999999999999</v>
      </c>
      <c r="G2475">
        <v>1391144</v>
      </c>
      <c r="H2475" s="116"/>
      <c r="I2475" s="116"/>
      <c r="L2475" s="170">
        <v>45649</v>
      </c>
      <c r="M2475" s="116">
        <v>141.71</v>
      </c>
      <c r="N2475" s="116">
        <v>143.80000000000001</v>
      </c>
      <c r="O2475" s="116">
        <v>140.61000000000001</v>
      </c>
      <c r="P2475" s="116">
        <v>142.44999999999999</v>
      </c>
      <c r="Q2475" s="116">
        <v>141.71</v>
      </c>
      <c r="R2475">
        <v>27514178</v>
      </c>
    </row>
    <row r="2476" spans="1:18" x14ac:dyDescent="0.25">
      <c r="A2476" s="170">
        <v>45650</v>
      </c>
      <c r="B2476" s="116">
        <v>141.6</v>
      </c>
      <c r="C2476" s="116">
        <v>140.35</v>
      </c>
      <c r="D2476" s="116">
        <v>139.30000000000001</v>
      </c>
      <c r="E2476" s="116">
        <v>141.44999999999999</v>
      </c>
      <c r="F2476" s="116">
        <v>140.35</v>
      </c>
      <c r="G2476">
        <v>1028658</v>
      </c>
      <c r="H2476" s="116"/>
      <c r="I2476" s="116"/>
      <c r="L2476" s="170">
        <v>45650</v>
      </c>
      <c r="M2476" s="116">
        <v>140.38</v>
      </c>
      <c r="N2476" s="116">
        <v>141.5</v>
      </c>
      <c r="O2476" s="116">
        <v>139.25</v>
      </c>
      <c r="P2476" s="116">
        <v>141.19999999999999</v>
      </c>
      <c r="Q2476" s="116">
        <v>140.38</v>
      </c>
      <c r="R2476">
        <v>25882917</v>
      </c>
    </row>
    <row r="2477" spans="1:18" x14ac:dyDescent="0.25">
      <c r="A2477" s="170">
        <v>45652</v>
      </c>
      <c r="B2477" s="116">
        <v>141.19999999999999</v>
      </c>
      <c r="C2477" s="116">
        <v>140.35</v>
      </c>
      <c r="D2477" s="116">
        <v>139.5</v>
      </c>
      <c r="E2477" s="116">
        <v>141</v>
      </c>
      <c r="F2477" s="116">
        <v>140.35</v>
      </c>
      <c r="G2477">
        <v>699622</v>
      </c>
      <c r="H2477" s="116"/>
      <c r="I2477" s="116"/>
      <c r="L2477" s="170">
        <v>45652</v>
      </c>
      <c r="M2477" s="116">
        <v>140.36000000000001</v>
      </c>
      <c r="N2477" s="116">
        <v>141.15</v>
      </c>
      <c r="O2477" s="116">
        <v>139.51</v>
      </c>
      <c r="P2477" s="116">
        <v>140.94999999999999</v>
      </c>
      <c r="Q2477" s="116">
        <v>140.36000000000001</v>
      </c>
      <c r="R2477">
        <v>23939932</v>
      </c>
    </row>
    <row r="2478" spans="1:18" x14ac:dyDescent="0.25">
      <c r="A2478" s="170">
        <v>45653</v>
      </c>
      <c r="B2478" s="116">
        <v>141.75</v>
      </c>
      <c r="C2478" s="116">
        <v>138.94999999999999</v>
      </c>
      <c r="D2478" s="116">
        <v>138.69999999999999</v>
      </c>
      <c r="E2478" s="116">
        <v>141</v>
      </c>
      <c r="F2478" s="116">
        <v>138.94999999999999</v>
      </c>
      <c r="G2478">
        <v>796986</v>
      </c>
      <c r="H2478" s="116"/>
      <c r="I2478" s="116"/>
      <c r="L2478" s="170">
        <v>45653</v>
      </c>
      <c r="M2478" s="116">
        <v>138.91</v>
      </c>
      <c r="N2478" s="116">
        <v>141.75</v>
      </c>
      <c r="O2478" s="116">
        <v>138.61000000000001</v>
      </c>
      <c r="P2478" s="116">
        <v>140.69999999999999</v>
      </c>
      <c r="Q2478" s="116">
        <v>138.91</v>
      </c>
      <c r="R2478">
        <v>19562177</v>
      </c>
    </row>
    <row r="2479" spans="1:18" x14ac:dyDescent="0.25">
      <c r="A2479" s="170">
        <v>45656</v>
      </c>
      <c r="B2479" s="116">
        <v>139.30000000000001</v>
      </c>
      <c r="C2479" s="116">
        <v>136.9</v>
      </c>
      <c r="D2479" s="116">
        <v>136.05000000000001</v>
      </c>
      <c r="E2479" s="116">
        <v>138.75</v>
      </c>
      <c r="F2479" s="116">
        <v>136.9</v>
      </c>
      <c r="G2479">
        <v>1712394</v>
      </c>
      <c r="H2479" s="116"/>
      <c r="I2479" s="116"/>
      <c r="L2479" s="170">
        <v>45656</v>
      </c>
      <c r="M2479" s="116">
        <v>136.88</v>
      </c>
      <c r="N2479" s="116">
        <v>139.25</v>
      </c>
      <c r="O2479" s="116">
        <v>136.09</v>
      </c>
      <c r="P2479" s="116">
        <v>138.91</v>
      </c>
      <c r="Q2479" s="116">
        <v>136.88</v>
      </c>
      <c r="R2479">
        <v>32555723</v>
      </c>
    </row>
    <row r="2480" spans="1:18" x14ac:dyDescent="0.25">
      <c r="A2480" s="170">
        <v>45657</v>
      </c>
      <c r="B2480" s="116">
        <v>138.69999999999999</v>
      </c>
      <c r="C2480" s="116">
        <v>138.1</v>
      </c>
      <c r="D2480" s="116">
        <v>136.65</v>
      </c>
      <c r="E2480" s="116">
        <v>136.69999999999999</v>
      </c>
      <c r="F2480" s="116">
        <v>138.1</v>
      </c>
      <c r="G2480">
        <v>1106246</v>
      </c>
      <c r="H2480" s="116"/>
      <c r="I2480" s="116"/>
      <c r="L2480" s="170">
        <v>45657</v>
      </c>
      <c r="M2480" s="116">
        <v>138.05000000000001</v>
      </c>
      <c r="N2480" s="116">
        <v>138.68</v>
      </c>
      <c r="O2480" s="116">
        <v>136.56</v>
      </c>
      <c r="P2480" s="116">
        <v>136.87</v>
      </c>
      <c r="Q2480" s="116">
        <v>138.05000000000001</v>
      </c>
      <c r="R2480">
        <v>20080291</v>
      </c>
    </row>
    <row r="2481" spans="1:18" x14ac:dyDescent="0.25">
      <c r="A2481" s="170">
        <v>45658</v>
      </c>
      <c r="B2481" s="116">
        <v>138.35</v>
      </c>
      <c r="C2481" s="116">
        <v>136.75</v>
      </c>
      <c r="D2481" s="116">
        <v>136.6</v>
      </c>
      <c r="E2481" s="116">
        <v>138.35</v>
      </c>
      <c r="F2481" s="116">
        <v>136.75</v>
      </c>
      <c r="G2481">
        <v>1153543</v>
      </c>
      <c r="H2481" s="116"/>
      <c r="I2481" s="116"/>
      <c r="L2481" s="170">
        <v>45658</v>
      </c>
      <c r="M2481" s="116">
        <v>136.74</v>
      </c>
      <c r="N2481" s="116">
        <v>138.44999999999999</v>
      </c>
      <c r="O2481" s="116">
        <v>136.58000000000001</v>
      </c>
      <c r="P2481" s="116">
        <v>138.1</v>
      </c>
      <c r="Q2481" s="116">
        <v>136.74</v>
      </c>
      <c r="R2481">
        <v>18169498</v>
      </c>
    </row>
    <row r="2482" spans="1:18" x14ac:dyDescent="0.25">
      <c r="A2482" s="170">
        <v>45659</v>
      </c>
      <c r="B2482" s="116">
        <v>138.4</v>
      </c>
      <c r="C2482" s="116">
        <v>138.15</v>
      </c>
      <c r="D2482" s="116">
        <v>136.35</v>
      </c>
      <c r="E2482" s="116">
        <v>136.80000000000001</v>
      </c>
      <c r="F2482" s="116">
        <v>138.15</v>
      </c>
      <c r="G2482">
        <v>1394322</v>
      </c>
      <c r="H2482" s="116"/>
      <c r="I2482" s="116"/>
      <c r="L2482" s="170">
        <v>45659</v>
      </c>
      <c r="M2482" s="116">
        <v>138.18</v>
      </c>
      <c r="N2482" s="116">
        <v>138.44999999999999</v>
      </c>
      <c r="O2482" s="116">
        <v>136.4</v>
      </c>
      <c r="P2482" s="116">
        <v>137</v>
      </c>
      <c r="Q2482" s="116">
        <v>138.18</v>
      </c>
      <c r="R2482">
        <v>23388424</v>
      </c>
    </row>
    <row r="2483" spans="1:18" x14ac:dyDescent="0.25">
      <c r="A2483" s="170">
        <v>45660</v>
      </c>
      <c r="B2483" s="116">
        <v>139.69999999999999</v>
      </c>
      <c r="C2483" s="116">
        <v>138.30000000000001</v>
      </c>
      <c r="D2483" s="116">
        <v>137.75</v>
      </c>
      <c r="E2483" s="116">
        <v>138.25</v>
      </c>
      <c r="F2483" s="116">
        <v>138.30000000000001</v>
      </c>
      <c r="G2483">
        <v>860541</v>
      </c>
      <c r="H2483" s="116"/>
      <c r="I2483" s="116"/>
      <c r="L2483" s="170">
        <v>45660</v>
      </c>
      <c r="M2483" s="116">
        <v>138.36000000000001</v>
      </c>
      <c r="N2483" s="116">
        <v>139.72999999999999</v>
      </c>
      <c r="O2483" s="116">
        <v>137.84</v>
      </c>
      <c r="P2483" s="116">
        <v>138.18</v>
      </c>
      <c r="Q2483" s="116">
        <v>138.36000000000001</v>
      </c>
      <c r="R2483">
        <v>23351832</v>
      </c>
    </row>
    <row r="2484" spans="1:18" x14ac:dyDescent="0.25">
      <c r="A2484" s="170">
        <v>45663</v>
      </c>
      <c r="B2484" s="116">
        <v>138.4</v>
      </c>
      <c r="C2484" s="116">
        <v>132.19999999999999</v>
      </c>
      <c r="D2484" s="116">
        <v>131.35</v>
      </c>
      <c r="E2484" s="116">
        <v>138.30000000000001</v>
      </c>
      <c r="F2484" s="116">
        <v>132.19999999999999</v>
      </c>
      <c r="G2484">
        <v>1364385</v>
      </c>
      <c r="H2484" s="116"/>
      <c r="I2484" s="116"/>
      <c r="L2484" s="170">
        <v>45663</v>
      </c>
      <c r="M2484" s="116">
        <v>132.18</v>
      </c>
      <c r="N2484" s="116">
        <v>138.38999999999999</v>
      </c>
      <c r="O2484" s="116">
        <v>131.35</v>
      </c>
      <c r="P2484" s="116">
        <v>138.36000000000001</v>
      </c>
      <c r="Q2484" s="116">
        <v>132.18</v>
      </c>
      <c r="R2484">
        <v>44620509</v>
      </c>
    </row>
    <row r="2485" spans="1:18" x14ac:dyDescent="0.25">
      <c r="A2485" s="170">
        <v>45664</v>
      </c>
      <c r="B2485" s="116">
        <v>133.94999999999999</v>
      </c>
      <c r="C2485" s="116">
        <v>133.35</v>
      </c>
      <c r="D2485" s="116">
        <v>132</v>
      </c>
      <c r="E2485" s="116">
        <v>132.55000000000001</v>
      </c>
      <c r="F2485" s="116">
        <v>133.35</v>
      </c>
      <c r="G2485">
        <v>1451194</v>
      </c>
      <c r="H2485" s="116"/>
      <c r="I2485" s="116"/>
      <c r="L2485" s="170">
        <v>45664</v>
      </c>
      <c r="M2485" s="116">
        <v>133.38</v>
      </c>
      <c r="N2485" s="116">
        <v>133.88</v>
      </c>
      <c r="O2485" s="116">
        <v>132.01</v>
      </c>
      <c r="P2485" s="116">
        <v>132.78</v>
      </c>
      <c r="Q2485" s="116">
        <v>133.38</v>
      </c>
      <c r="R2485">
        <v>24239451</v>
      </c>
    </row>
    <row r="2486" spans="1:18" x14ac:dyDescent="0.25">
      <c r="A2486" s="170">
        <v>45665</v>
      </c>
      <c r="B2486" s="116">
        <v>134.25</v>
      </c>
      <c r="C2486" s="116">
        <v>132.6</v>
      </c>
      <c r="D2486" s="116">
        <v>131.80000000000001</v>
      </c>
      <c r="E2486" s="116">
        <v>133.69999999999999</v>
      </c>
      <c r="F2486" s="116">
        <v>132.6</v>
      </c>
      <c r="G2486">
        <v>732083</v>
      </c>
      <c r="H2486" s="116"/>
      <c r="I2486" s="116"/>
      <c r="L2486" s="170">
        <v>45665</v>
      </c>
      <c r="M2486" s="116">
        <v>132.63999999999999</v>
      </c>
      <c r="N2486" s="116">
        <v>134.24</v>
      </c>
      <c r="O2486" s="116">
        <v>131.77000000000001</v>
      </c>
      <c r="P2486" s="116">
        <v>133.93</v>
      </c>
      <c r="Q2486" s="116">
        <v>132.63999999999999</v>
      </c>
      <c r="R2486">
        <v>31570331</v>
      </c>
    </row>
    <row r="2487" spans="1:18" x14ac:dyDescent="0.25">
      <c r="A2487" s="170">
        <v>45666</v>
      </c>
      <c r="B2487" s="116">
        <v>132.5</v>
      </c>
      <c r="C2487" s="116">
        <v>129.85</v>
      </c>
      <c r="D2487" s="116">
        <v>129.6</v>
      </c>
      <c r="E2487" s="116">
        <v>132.19999999999999</v>
      </c>
      <c r="F2487" s="116">
        <v>129.85</v>
      </c>
      <c r="G2487">
        <v>809900</v>
      </c>
      <c r="H2487" s="116"/>
      <c r="I2487" s="116"/>
      <c r="L2487" s="170">
        <v>45666</v>
      </c>
      <c r="M2487" s="116">
        <v>129.93</v>
      </c>
      <c r="N2487" s="116">
        <v>132.4</v>
      </c>
      <c r="O2487" s="116">
        <v>129.69999999999999</v>
      </c>
      <c r="P2487" s="116">
        <v>132</v>
      </c>
      <c r="Q2487" s="116">
        <v>129.93</v>
      </c>
      <c r="R2487">
        <v>31903107</v>
      </c>
    </row>
    <row r="2488" spans="1:18" x14ac:dyDescent="0.25">
      <c r="A2488" s="170">
        <v>45667</v>
      </c>
      <c r="B2488" s="116">
        <v>130.44999999999999</v>
      </c>
      <c r="C2488" s="116">
        <v>127.4</v>
      </c>
      <c r="D2488" s="116">
        <v>126.7</v>
      </c>
      <c r="E2488" s="116">
        <v>129.9</v>
      </c>
      <c r="F2488" s="116">
        <v>127.4</v>
      </c>
      <c r="G2488">
        <v>892971</v>
      </c>
      <c r="H2488" s="116"/>
      <c r="I2488" s="116"/>
      <c r="L2488" s="170">
        <v>45667</v>
      </c>
      <c r="M2488" s="116">
        <v>127.43</v>
      </c>
      <c r="N2488" s="116">
        <v>130.38999999999999</v>
      </c>
      <c r="O2488" s="116">
        <v>126.7</v>
      </c>
      <c r="P2488" s="116">
        <v>129.93</v>
      </c>
      <c r="Q2488" s="116">
        <v>127.43</v>
      </c>
      <c r="R2488">
        <v>34855510</v>
      </c>
    </row>
    <row r="2489" spans="1:18" x14ac:dyDescent="0.25">
      <c r="A2489" s="170">
        <v>45670</v>
      </c>
      <c r="B2489" s="116">
        <v>126.6</v>
      </c>
      <c r="C2489" s="116">
        <v>122.95</v>
      </c>
      <c r="D2489" s="116">
        <v>122.6</v>
      </c>
      <c r="E2489" s="116">
        <v>126.6</v>
      </c>
      <c r="F2489" s="116">
        <v>122.95</v>
      </c>
      <c r="G2489">
        <v>2156267</v>
      </c>
      <c r="H2489" s="116"/>
      <c r="I2489" s="116"/>
      <c r="L2489" s="170">
        <v>45670</v>
      </c>
      <c r="M2489" s="116">
        <v>122.93</v>
      </c>
      <c r="N2489" s="116">
        <v>126.5</v>
      </c>
      <c r="O2489" s="116">
        <v>122.62</v>
      </c>
      <c r="P2489" s="116">
        <v>126</v>
      </c>
      <c r="Q2489" s="116">
        <v>122.93</v>
      </c>
      <c r="R2489">
        <v>38968332</v>
      </c>
    </row>
    <row r="2490" spans="1:18" x14ac:dyDescent="0.25">
      <c r="A2490" s="170">
        <v>45671</v>
      </c>
      <c r="B2490" s="116">
        <v>127.7</v>
      </c>
      <c r="C2490" s="116">
        <v>127</v>
      </c>
      <c r="D2490" s="116">
        <v>122.95</v>
      </c>
      <c r="E2490" s="116">
        <v>122.95</v>
      </c>
      <c r="F2490" s="116">
        <v>127</v>
      </c>
      <c r="G2490">
        <v>2928101</v>
      </c>
      <c r="H2490" s="116"/>
      <c r="I2490" s="116"/>
      <c r="L2490" s="170">
        <v>45671</v>
      </c>
      <c r="M2490" s="116">
        <v>126.93</v>
      </c>
      <c r="N2490" s="116">
        <v>127.64</v>
      </c>
      <c r="O2490" s="116">
        <v>122.94</v>
      </c>
      <c r="P2490" s="116">
        <v>122.94</v>
      </c>
      <c r="Q2490" s="116">
        <v>126.93</v>
      </c>
      <c r="R2490">
        <v>36877365</v>
      </c>
    </row>
    <row r="2491" spans="1:18" x14ac:dyDescent="0.25">
      <c r="A2491" s="170">
        <v>45672</v>
      </c>
      <c r="B2491" s="116">
        <v>128.44999999999999</v>
      </c>
      <c r="C2491" s="116">
        <v>126.55</v>
      </c>
      <c r="D2491" s="116">
        <v>125.75</v>
      </c>
      <c r="E2491" s="116">
        <v>128.44999999999999</v>
      </c>
      <c r="F2491" s="116">
        <v>126.55</v>
      </c>
      <c r="G2491">
        <v>1246039</v>
      </c>
      <c r="H2491" s="116"/>
      <c r="I2491" s="116"/>
      <c r="L2491" s="170">
        <v>45672</v>
      </c>
      <c r="M2491" s="116">
        <v>126.53</v>
      </c>
      <c r="N2491" s="116">
        <v>128.31</v>
      </c>
      <c r="O2491" s="116">
        <v>125.78</v>
      </c>
      <c r="P2491" s="116">
        <v>128</v>
      </c>
      <c r="Q2491" s="116">
        <v>126.53</v>
      </c>
      <c r="R2491">
        <v>18773125</v>
      </c>
    </row>
    <row r="2492" spans="1:18" x14ac:dyDescent="0.25">
      <c r="A2492" s="170">
        <v>45673</v>
      </c>
      <c r="B2492" s="116">
        <v>128.44999999999999</v>
      </c>
      <c r="C2492" s="116">
        <v>127.8</v>
      </c>
      <c r="D2492" s="116">
        <v>126.55</v>
      </c>
      <c r="E2492" s="116">
        <v>128.15</v>
      </c>
      <c r="F2492" s="116">
        <v>127.8</v>
      </c>
      <c r="G2492">
        <v>1007111</v>
      </c>
      <c r="H2492" s="116"/>
      <c r="I2492" s="116"/>
      <c r="L2492" s="170">
        <v>45673</v>
      </c>
      <c r="M2492" s="116">
        <v>127.81</v>
      </c>
      <c r="N2492" s="116">
        <v>128.47</v>
      </c>
      <c r="O2492" s="116">
        <v>126.56</v>
      </c>
      <c r="P2492" s="116">
        <v>128</v>
      </c>
      <c r="Q2492" s="116">
        <v>127.81</v>
      </c>
      <c r="R2492">
        <v>22164393</v>
      </c>
    </row>
    <row r="2493" spans="1:18" x14ac:dyDescent="0.25">
      <c r="A2493" s="170">
        <v>45674</v>
      </c>
      <c r="B2493" s="116">
        <v>131.1</v>
      </c>
      <c r="C2493" s="116">
        <v>130.30000000000001</v>
      </c>
      <c r="D2493" s="116">
        <v>127.6</v>
      </c>
      <c r="E2493" s="116">
        <v>127.95</v>
      </c>
      <c r="F2493" s="116">
        <v>130.30000000000001</v>
      </c>
      <c r="G2493">
        <v>1943098</v>
      </c>
      <c r="H2493" s="116"/>
      <c r="I2493" s="116"/>
      <c r="L2493" s="170">
        <v>45674</v>
      </c>
      <c r="M2493" s="116">
        <v>130.28</v>
      </c>
      <c r="N2493" s="116">
        <v>131.16</v>
      </c>
      <c r="O2493" s="116">
        <v>127.64</v>
      </c>
      <c r="P2493" s="116">
        <v>127.9</v>
      </c>
      <c r="Q2493" s="116">
        <v>130.28</v>
      </c>
      <c r="R2493">
        <v>27421959</v>
      </c>
    </row>
    <row r="2494" spans="1:18" x14ac:dyDescent="0.25">
      <c r="A2494" s="170">
        <v>45677</v>
      </c>
      <c r="B2494" s="116">
        <v>132.1</v>
      </c>
      <c r="C2494" s="116">
        <v>131.65</v>
      </c>
      <c r="D2494" s="116">
        <v>128.9</v>
      </c>
      <c r="E2494" s="116">
        <v>131.25</v>
      </c>
      <c r="F2494" s="116">
        <v>131.65</v>
      </c>
      <c r="G2494">
        <v>1064805</v>
      </c>
      <c r="H2494" s="116"/>
      <c r="I2494" s="116"/>
      <c r="L2494" s="170">
        <v>45677</v>
      </c>
      <c r="M2494" s="116">
        <v>131.66</v>
      </c>
      <c r="N2494" s="116">
        <v>132.1</v>
      </c>
      <c r="O2494" s="116">
        <v>128.91</v>
      </c>
      <c r="P2494" s="116">
        <v>130.99</v>
      </c>
      <c r="Q2494" s="116">
        <v>131.66</v>
      </c>
      <c r="R2494">
        <v>20571916</v>
      </c>
    </row>
    <row r="2495" spans="1:18" x14ac:dyDescent="0.25">
      <c r="A2495" s="170">
        <v>45678</v>
      </c>
      <c r="B2495" s="116">
        <v>132.44999999999999</v>
      </c>
      <c r="C2495" s="116">
        <v>129.65</v>
      </c>
      <c r="D2495" s="116">
        <v>129.19999999999999</v>
      </c>
      <c r="E2495" s="116">
        <v>132.25</v>
      </c>
      <c r="F2495" s="116">
        <v>129.65</v>
      </c>
      <c r="G2495">
        <v>1984757</v>
      </c>
      <c r="H2495" s="116"/>
      <c r="I2495" s="116"/>
      <c r="L2495" s="170">
        <v>45678</v>
      </c>
      <c r="M2495" s="116">
        <v>129.69999999999999</v>
      </c>
      <c r="N2495" s="116">
        <v>132.4</v>
      </c>
      <c r="O2495" s="116">
        <v>129.25</v>
      </c>
      <c r="P2495" s="116">
        <v>132.06</v>
      </c>
      <c r="Q2495" s="116">
        <v>129.69999999999999</v>
      </c>
      <c r="R2495">
        <v>32238213</v>
      </c>
    </row>
    <row r="2496" spans="1:18" x14ac:dyDescent="0.25">
      <c r="A2496" s="170">
        <v>45679</v>
      </c>
      <c r="B2496" s="116">
        <v>130.4</v>
      </c>
      <c r="C2496" s="116">
        <v>128.94999999999999</v>
      </c>
      <c r="D2496" s="116">
        <v>127.1</v>
      </c>
      <c r="E2496" s="116">
        <v>130.4</v>
      </c>
      <c r="F2496" s="116">
        <v>128.94999999999999</v>
      </c>
      <c r="G2496">
        <v>849907</v>
      </c>
      <c r="H2496" s="116"/>
      <c r="I2496" s="116"/>
      <c r="L2496" s="170">
        <v>45679</v>
      </c>
      <c r="M2496" s="116">
        <v>128.91999999999999</v>
      </c>
      <c r="N2496" s="116">
        <v>130.35</v>
      </c>
      <c r="O2496" s="116">
        <v>127.12</v>
      </c>
      <c r="P2496" s="116">
        <v>130.25</v>
      </c>
      <c r="Q2496" s="116">
        <v>128.91999999999999</v>
      </c>
      <c r="R2496">
        <v>27505569</v>
      </c>
    </row>
    <row r="2497" spans="1:18" x14ac:dyDescent="0.25">
      <c r="A2497" s="170">
        <v>45680</v>
      </c>
      <c r="B2497" s="116">
        <v>130.80000000000001</v>
      </c>
      <c r="C2497" s="116">
        <v>130.5</v>
      </c>
      <c r="D2497" s="116">
        <v>127.7</v>
      </c>
      <c r="E2497" s="116">
        <v>128</v>
      </c>
      <c r="F2497" s="116">
        <v>130.5</v>
      </c>
      <c r="G2497">
        <v>1153060</v>
      </c>
      <c r="H2497" s="116"/>
      <c r="I2497" s="116"/>
      <c r="L2497" s="170">
        <v>45680</v>
      </c>
      <c r="M2497" s="116">
        <v>130.37</v>
      </c>
      <c r="N2497" s="116">
        <v>130.75</v>
      </c>
      <c r="O2497" s="116">
        <v>127.7</v>
      </c>
      <c r="P2497" s="116">
        <v>127.85</v>
      </c>
      <c r="Q2497" s="116">
        <v>130.37</v>
      </c>
      <c r="R2497">
        <v>20722538</v>
      </c>
    </row>
    <row r="2498" spans="1:18" x14ac:dyDescent="0.25">
      <c r="A2498" s="170">
        <v>45681</v>
      </c>
      <c r="B2498" s="116">
        <v>133.15</v>
      </c>
      <c r="C2498" s="116">
        <v>130</v>
      </c>
      <c r="D2498" s="116">
        <v>129.35</v>
      </c>
      <c r="E2498" s="116">
        <v>130.44999999999999</v>
      </c>
      <c r="F2498" s="116">
        <v>130</v>
      </c>
      <c r="G2498">
        <v>1772241</v>
      </c>
      <c r="H2498" s="116"/>
      <c r="I2498" s="116"/>
      <c r="L2498" s="170">
        <v>45681</v>
      </c>
      <c r="M2498" s="116">
        <v>129.74</v>
      </c>
      <c r="N2498" s="116">
        <v>133.19999999999999</v>
      </c>
      <c r="O2498" s="116">
        <v>129.31</v>
      </c>
      <c r="P2498" s="116">
        <v>130.5</v>
      </c>
      <c r="Q2498" s="116">
        <v>129.74</v>
      </c>
      <c r="R2498">
        <v>37092106</v>
      </c>
    </row>
    <row r="2499" spans="1:18" x14ac:dyDescent="0.25">
      <c r="A2499" s="170">
        <v>45684</v>
      </c>
      <c r="B2499" s="116">
        <v>129.35</v>
      </c>
      <c r="C2499" s="116">
        <v>126.4</v>
      </c>
      <c r="D2499" s="116">
        <v>125.8</v>
      </c>
      <c r="E2499" s="116">
        <v>129.30000000000001</v>
      </c>
      <c r="F2499" s="116">
        <v>126.4</v>
      </c>
      <c r="G2499">
        <v>1617780</v>
      </c>
      <c r="H2499" s="116"/>
      <c r="I2499" s="116"/>
      <c r="L2499" s="170">
        <v>45684</v>
      </c>
      <c r="M2499" s="116">
        <v>126.37</v>
      </c>
      <c r="N2499" s="116">
        <v>129.44999999999999</v>
      </c>
      <c r="O2499" s="116">
        <v>125.74</v>
      </c>
      <c r="P2499" s="116">
        <v>129.02000000000001</v>
      </c>
      <c r="Q2499" s="116">
        <v>126.37</v>
      </c>
      <c r="R2499">
        <v>24650571</v>
      </c>
    </row>
    <row r="2500" spans="1:18" x14ac:dyDescent="0.25">
      <c r="A2500" s="170">
        <v>45685</v>
      </c>
      <c r="B2500" s="116">
        <v>130.5</v>
      </c>
      <c r="C2500" s="116">
        <v>128.69999999999999</v>
      </c>
      <c r="D2500" s="116">
        <v>124.7</v>
      </c>
      <c r="E2500" s="116">
        <v>126.2</v>
      </c>
      <c r="F2500" s="116">
        <v>128.69999999999999</v>
      </c>
      <c r="G2500">
        <v>2491387</v>
      </c>
      <c r="H2500" s="116"/>
      <c r="I2500" s="116"/>
      <c r="L2500" s="170">
        <v>45685</v>
      </c>
      <c r="M2500" s="116">
        <v>128.62</v>
      </c>
      <c r="N2500" s="116">
        <v>130.49</v>
      </c>
      <c r="O2500" s="116">
        <v>124.74</v>
      </c>
      <c r="P2500" s="116">
        <v>126.37</v>
      </c>
      <c r="Q2500" s="116">
        <v>128.62</v>
      </c>
      <c r="R2500">
        <v>40373804</v>
      </c>
    </row>
    <row r="2501" spans="1:18" x14ac:dyDescent="0.25">
      <c r="A2501" s="170">
        <v>45686</v>
      </c>
      <c r="B2501" s="116">
        <v>131.30000000000001</v>
      </c>
      <c r="C2501" s="116">
        <v>130.80000000000001</v>
      </c>
      <c r="D2501" s="116">
        <v>128.5</v>
      </c>
      <c r="E2501" s="116">
        <v>129.15</v>
      </c>
      <c r="F2501" s="116">
        <v>130.80000000000001</v>
      </c>
      <c r="G2501">
        <v>1073295</v>
      </c>
      <c r="H2501" s="116"/>
      <c r="I2501" s="116"/>
      <c r="L2501" s="170">
        <v>45686</v>
      </c>
      <c r="M2501" s="116">
        <v>130.80000000000001</v>
      </c>
      <c r="N2501" s="116">
        <v>131.34</v>
      </c>
      <c r="O2501" s="116">
        <v>128.55000000000001</v>
      </c>
      <c r="P2501" s="116">
        <v>129</v>
      </c>
      <c r="Q2501" s="116">
        <v>130.80000000000001</v>
      </c>
      <c r="R2501">
        <v>16674706</v>
      </c>
    </row>
    <row r="2502" spans="1:18" x14ac:dyDescent="0.25">
      <c r="A2502" s="170">
        <v>45687</v>
      </c>
      <c r="B2502" s="116">
        <v>132.15</v>
      </c>
      <c r="C2502" s="116">
        <v>131.15</v>
      </c>
      <c r="D2502" s="116">
        <v>130.1</v>
      </c>
      <c r="E2502" s="116">
        <v>130.94999999999999</v>
      </c>
      <c r="F2502" s="116">
        <v>131.15</v>
      </c>
      <c r="G2502">
        <v>2301113</v>
      </c>
      <c r="H2502" s="116"/>
      <c r="I2502" s="116"/>
      <c r="L2502" s="170">
        <v>45687</v>
      </c>
      <c r="M2502" s="116">
        <v>131.12</v>
      </c>
      <c r="N2502" s="116">
        <v>132.15</v>
      </c>
      <c r="O2502" s="116">
        <v>130.1</v>
      </c>
      <c r="P2502" s="116">
        <v>130.80000000000001</v>
      </c>
      <c r="Q2502" s="116">
        <v>131.12</v>
      </c>
      <c r="R2502">
        <v>25256096</v>
      </c>
    </row>
    <row r="2503" spans="1:18" x14ac:dyDescent="0.25">
      <c r="A2503" s="170">
        <v>45688</v>
      </c>
      <c r="B2503" s="116">
        <v>135</v>
      </c>
      <c r="C2503" s="116">
        <v>134.65</v>
      </c>
      <c r="D2503" s="116">
        <v>129.85</v>
      </c>
      <c r="E2503" s="116">
        <v>131.1</v>
      </c>
      <c r="F2503" s="116">
        <v>134.65</v>
      </c>
      <c r="G2503">
        <v>2332575</v>
      </c>
      <c r="H2503" s="116"/>
      <c r="I2503" s="116"/>
      <c r="L2503" s="170">
        <v>45688</v>
      </c>
      <c r="M2503" s="116">
        <v>134.62</v>
      </c>
      <c r="N2503" s="116">
        <v>135</v>
      </c>
      <c r="O2503" s="116">
        <v>129.93</v>
      </c>
      <c r="P2503" s="116">
        <v>131.12</v>
      </c>
      <c r="Q2503" s="116">
        <v>134.62</v>
      </c>
      <c r="R2503">
        <v>26689228</v>
      </c>
    </row>
    <row r="2504" spans="1:18" x14ac:dyDescent="0.25">
      <c r="A2504" s="170">
        <v>45689</v>
      </c>
      <c r="B2504" s="116">
        <v>135.75</v>
      </c>
      <c r="C2504" s="116">
        <v>132.94999999999999</v>
      </c>
      <c r="D2504" s="116">
        <v>130.35</v>
      </c>
      <c r="E2504" s="116">
        <v>135.75</v>
      </c>
      <c r="F2504" s="116">
        <v>132.94999999999999</v>
      </c>
      <c r="G2504">
        <v>1686209</v>
      </c>
      <c r="H2504" s="116"/>
      <c r="I2504" s="116"/>
      <c r="L2504" s="170">
        <v>45689</v>
      </c>
      <c r="M2504" s="116">
        <v>132.97</v>
      </c>
      <c r="N2504" s="116">
        <v>135.5</v>
      </c>
      <c r="O2504" s="116">
        <v>130.25</v>
      </c>
      <c r="P2504" s="116">
        <v>135</v>
      </c>
      <c r="Q2504" s="116">
        <v>132.97</v>
      </c>
      <c r="R2504">
        <v>21173846</v>
      </c>
    </row>
    <row r="2505" spans="1:18" x14ac:dyDescent="0.25">
      <c r="A2505" s="170">
        <v>45691</v>
      </c>
      <c r="B2505" s="116">
        <v>132.4</v>
      </c>
      <c r="C2505" s="116">
        <v>131.9</v>
      </c>
      <c r="D2505" s="116">
        <v>127.8</v>
      </c>
      <c r="E2505" s="116">
        <v>131.69999999999999</v>
      </c>
      <c r="F2505" s="116">
        <v>131.9</v>
      </c>
      <c r="G2505">
        <v>751685</v>
      </c>
      <c r="H2505" s="116"/>
      <c r="I2505" s="116"/>
      <c r="L2505" s="170">
        <v>45691</v>
      </c>
      <c r="M2505" s="116">
        <v>131.82</v>
      </c>
      <c r="N2505" s="116">
        <v>132.51</v>
      </c>
      <c r="O2505" s="116">
        <v>127.81</v>
      </c>
      <c r="P2505" s="116">
        <v>131.29</v>
      </c>
      <c r="Q2505" s="116">
        <v>131.82</v>
      </c>
      <c r="R2505">
        <v>27765357</v>
      </c>
    </row>
    <row r="2506" spans="1:18" x14ac:dyDescent="0.25">
      <c r="A2506" s="170">
        <v>45692</v>
      </c>
      <c r="B2506" s="116">
        <v>134.35</v>
      </c>
      <c r="C2506" s="116">
        <v>133.4</v>
      </c>
      <c r="D2506" s="116">
        <v>131.9</v>
      </c>
      <c r="E2506" s="116">
        <v>132.55000000000001</v>
      </c>
      <c r="F2506" s="116">
        <v>133.4</v>
      </c>
      <c r="G2506">
        <v>1134755</v>
      </c>
      <c r="H2506" s="116"/>
      <c r="I2506" s="116"/>
      <c r="L2506" s="170">
        <v>45692</v>
      </c>
      <c r="M2506" s="116">
        <v>133.41999999999999</v>
      </c>
      <c r="N2506" s="116">
        <v>134.34</v>
      </c>
      <c r="O2506" s="116">
        <v>131.87</v>
      </c>
      <c r="P2506" s="116">
        <v>132.80000000000001</v>
      </c>
      <c r="Q2506" s="116">
        <v>133.41999999999999</v>
      </c>
      <c r="R2506">
        <v>25032519</v>
      </c>
    </row>
    <row r="2507" spans="1:18" x14ac:dyDescent="0.25">
      <c r="A2507" s="170">
        <v>45693</v>
      </c>
      <c r="B2507" s="116">
        <v>135.4</v>
      </c>
      <c r="C2507" s="116">
        <v>134.4</v>
      </c>
      <c r="D2507" s="116">
        <v>133.1</v>
      </c>
      <c r="E2507" s="116">
        <v>133.1</v>
      </c>
      <c r="F2507" s="116">
        <v>134.4</v>
      </c>
      <c r="G2507">
        <v>535771</v>
      </c>
      <c r="H2507" s="116"/>
      <c r="I2507" s="116"/>
      <c r="L2507" s="170">
        <v>45693</v>
      </c>
      <c r="M2507" s="116">
        <v>134.4</v>
      </c>
      <c r="N2507" s="116">
        <v>135.38999999999999</v>
      </c>
      <c r="O2507" s="116">
        <v>133.08000000000001</v>
      </c>
      <c r="P2507" s="116">
        <v>133.15</v>
      </c>
      <c r="Q2507" s="116">
        <v>134.4</v>
      </c>
      <c r="R2507">
        <v>16958362</v>
      </c>
    </row>
    <row r="2508" spans="1:18" x14ac:dyDescent="0.25">
      <c r="A2508" s="170">
        <v>45694</v>
      </c>
      <c r="B2508" s="116">
        <v>134.65</v>
      </c>
      <c r="C2508" s="116">
        <v>132.55000000000001</v>
      </c>
      <c r="D2508" s="116">
        <v>132.05000000000001</v>
      </c>
      <c r="E2508" s="116">
        <v>134.30000000000001</v>
      </c>
      <c r="F2508" s="116">
        <v>132.55000000000001</v>
      </c>
      <c r="G2508">
        <v>727932</v>
      </c>
      <c r="H2508" s="116"/>
      <c r="I2508" s="116"/>
      <c r="L2508" s="170">
        <v>45694</v>
      </c>
      <c r="M2508" s="116">
        <v>132.54</v>
      </c>
      <c r="N2508" s="116">
        <v>134.87</v>
      </c>
      <c r="O2508" s="116">
        <v>132.02000000000001</v>
      </c>
      <c r="P2508" s="116">
        <v>134.5</v>
      </c>
      <c r="Q2508" s="116">
        <v>132.54</v>
      </c>
      <c r="R2508">
        <v>22408168</v>
      </c>
    </row>
    <row r="2509" spans="1:18" x14ac:dyDescent="0.25">
      <c r="A2509" s="170">
        <v>45695</v>
      </c>
      <c r="B2509" s="116">
        <v>138.75</v>
      </c>
      <c r="C2509" s="116">
        <v>138.30000000000001</v>
      </c>
      <c r="D2509" s="116">
        <v>132.6</v>
      </c>
      <c r="E2509" s="116">
        <v>133.35</v>
      </c>
      <c r="F2509" s="116">
        <v>138.30000000000001</v>
      </c>
      <c r="G2509">
        <v>3171397</v>
      </c>
      <c r="H2509" s="116"/>
      <c r="I2509" s="116"/>
      <c r="L2509" s="170">
        <v>45695</v>
      </c>
      <c r="M2509" s="116">
        <v>138.31</v>
      </c>
      <c r="N2509" s="116">
        <v>138.75</v>
      </c>
      <c r="O2509" s="116">
        <v>132.56</v>
      </c>
      <c r="P2509" s="116">
        <v>133.30000000000001</v>
      </c>
      <c r="Q2509" s="116">
        <v>138.31</v>
      </c>
      <c r="R2509">
        <v>52950146</v>
      </c>
    </row>
    <row r="2510" spans="1:18" x14ac:dyDescent="0.25">
      <c r="A2510" s="170">
        <v>45698</v>
      </c>
      <c r="B2510" s="116">
        <v>138.25</v>
      </c>
      <c r="C2510" s="116">
        <v>134</v>
      </c>
      <c r="D2510" s="116">
        <v>133</v>
      </c>
      <c r="E2510" s="116">
        <v>138.25</v>
      </c>
      <c r="F2510" s="116">
        <v>134</v>
      </c>
      <c r="G2510">
        <v>1124302</v>
      </c>
      <c r="H2510" s="116"/>
      <c r="I2510" s="116"/>
      <c r="L2510" s="170">
        <v>45698</v>
      </c>
      <c r="M2510" s="116">
        <v>134.04</v>
      </c>
      <c r="N2510" s="116">
        <v>138.1</v>
      </c>
      <c r="O2510" s="116">
        <v>133</v>
      </c>
      <c r="P2510" s="116">
        <v>138.1</v>
      </c>
      <c r="Q2510" s="116">
        <v>134.04</v>
      </c>
      <c r="R2510">
        <v>26120805</v>
      </c>
    </row>
    <row r="2511" spans="1:18" x14ac:dyDescent="0.25">
      <c r="A2511" s="170">
        <v>45699</v>
      </c>
      <c r="B2511" s="116">
        <v>134.35</v>
      </c>
      <c r="C2511" s="116">
        <v>130.1</v>
      </c>
      <c r="D2511" s="116">
        <v>129.69999999999999</v>
      </c>
      <c r="E2511" s="116">
        <v>132.6</v>
      </c>
      <c r="F2511" s="116">
        <v>130.1</v>
      </c>
      <c r="G2511">
        <v>955033</v>
      </c>
      <c r="H2511" s="116"/>
      <c r="I2511" s="116"/>
      <c r="L2511" s="170">
        <v>45699</v>
      </c>
      <c r="M2511" s="116">
        <v>130.11000000000001</v>
      </c>
      <c r="N2511" s="116">
        <v>134.34</v>
      </c>
      <c r="O2511" s="116">
        <v>129.69999999999999</v>
      </c>
      <c r="P2511" s="116">
        <v>133</v>
      </c>
      <c r="Q2511" s="116">
        <v>130.11000000000001</v>
      </c>
      <c r="R2511">
        <v>23635428</v>
      </c>
    </row>
    <row r="2512" spans="1:18" x14ac:dyDescent="0.25">
      <c r="A2512" s="170">
        <v>45700</v>
      </c>
      <c r="B2512" s="116">
        <v>133.25</v>
      </c>
      <c r="C2512" s="116">
        <v>132.25</v>
      </c>
      <c r="D2512" s="116">
        <v>128.35</v>
      </c>
      <c r="E2512" s="116">
        <v>129.1</v>
      </c>
      <c r="F2512" s="116">
        <v>132.25</v>
      </c>
      <c r="G2512">
        <v>2030785</v>
      </c>
      <c r="H2512" s="116"/>
      <c r="I2512" s="116"/>
      <c r="L2512" s="170">
        <v>45700</v>
      </c>
      <c r="M2512" s="116">
        <v>132.28</v>
      </c>
      <c r="N2512" s="116">
        <v>133.29</v>
      </c>
      <c r="O2512" s="116">
        <v>128.31</v>
      </c>
      <c r="P2512" s="116">
        <v>129.35</v>
      </c>
      <c r="Q2512" s="116">
        <v>132.28</v>
      </c>
      <c r="R2512">
        <v>37927696</v>
      </c>
    </row>
    <row r="2513" spans="1:18" x14ac:dyDescent="0.25">
      <c r="A2513" s="170">
        <v>45701</v>
      </c>
      <c r="B2513" s="116">
        <v>137.69999999999999</v>
      </c>
      <c r="C2513" s="116">
        <v>136.19999999999999</v>
      </c>
      <c r="D2513" s="116">
        <v>132.05000000000001</v>
      </c>
      <c r="E2513" s="116">
        <v>132.05000000000001</v>
      </c>
      <c r="F2513" s="116">
        <v>136.19999999999999</v>
      </c>
      <c r="G2513">
        <v>1056230</v>
      </c>
      <c r="H2513" s="116"/>
      <c r="I2513" s="116"/>
      <c r="L2513" s="170">
        <v>45701</v>
      </c>
      <c r="M2513" s="116">
        <v>136.25</v>
      </c>
      <c r="N2513" s="116">
        <v>137.69</v>
      </c>
      <c r="O2513" s="116">
        <v>131.86000000000001</v>
      </c>
      <c r="P2513" s="116">
        <v>132.28</v>
      </c>
      <c r="Q2513" s="116">
        <v>136.25</v>
      </c>
      <c r="R2513">
        <v>52036196</v>
      </c>
    </row>
    <row r="2514" spans="1:18" x14ac:dyDescent="0.25">
      <c r="A2514" s="170">
        <v>45702</v>
      </c>
      <c r="B2514" s="116">
        <v>139.19999999999999</v>
      </c>
      <c r="C2514" s="116">
        <v>134.4</v>
      </c>
      <c r="D2514" s="116">
        <v>133.35</v>
      </c>
      <c r="E2514" s="116">
        <v>136.19999999999999</v>
      </c>
      <c r="F2514" s="116">
        <v>134.4</v>
      </c>
      <c r="G2514">
        <v>1110874</v>
      </c>
      <c r="H2514" s="116"/>
      <c r="I2514" s="116"/>
      <c r="L2514" s="170">
        <v>45702</v>
      </c>
      <c r="M2514" s="116">
        <v>134.47</v>
      </c>
      <c r="N2514" s="116">
        <v>139.25</v>
      </c>
      <c r="O2514" s="116">
        <v>133.33000000000001</v>
      </c>
      <c r="P2514" s="116">
        <v>136.25</v>
      </c>
      <c r="Q2514" s="116">
        <v>134.47</v>
      </c>
      <c r="R2514">
        <v>41469242</v>
      </c>
    </row>
    <row r="2515" spans="1:18" x14ac:dyDescent="0.25">
      <c r="A2515" s="170">
        <v>45705</v>
      </c>
      <c r="B2515" s="116">
        <v>134.80000000000001</v>
      </c>
      <c r="C2515" s="116">
        <v>134.35</v>
      </c>
      <c r="D2515" s="116">
        <v>130.80000000000001</v>
      </c>
      <c r="E2515" s="116">
        <v>132.30000000000001</v>
      </c>
      <c r="F2515" s="116">
        <v>134.35</v>
      </c>
      <c r="G2515">
        <v>760563</v>
      </c>
      <c r="H2515" s="116"/>
      <c r="I2515" s="116"/>
      <c r="L2515" s="170">
        <v>45705</v>
      </c>
      <c r="M2515" s="116">
        <v>134.29</v>
      </c>
      <c r="N2515" s="116">
        <v>134.80000000000001</v>
      </c>
      <c r="O2515" s="116">
        <v>130.72999999999999</v>
      </c>
      <c r="P2515" s="116">
        <v>132.91</v>
      </c>
      <c r="Q2515" s="116">
        <v>134.29</v>
      </c>
      <c r="R2515">
        <v>21189637</v>
      </c>
    </row>
    <row r="2516" spans="1:18" x14ac:dyDescent="0.25">
      <c r="A2516" s="170">
        <v>45706</v>
      </c>
      <c r="B2516" s="116">
        <v>134.9</v>
      </c>
      <c r="C2516" s="116">
        <v>134.5</v>
      </c>
      <c r="D2516" s="116">
        <v>131.69999999999999</v>
      </c>
      <c r="E2516" s="116">
        <v>134.35</v>
      </c>
      <c r="F2516" s="116">
        <v>134.5</v>
      </c>
      <c r="G2516">
        <v>2309704</v>
      </c>
      <c r="H2516" s="116"/>
      <c r="I2516" s="116"/>
      <c r="L2516" s="170">
        <v>45706</v>
      </c>
      <c r="M2516" s="116">
        <v>134.54</v>
      </c>
      <c r="N2516" s="116">
        <v>134.9</v>
      </c>
      <c r="O2516" s="116">
        <v>131.75</v>
      </c>
      <c r="P2516" s="116">
        <v>134.29</v>
      </c>
      <c r="Q2516" s="116">
        <v>134.54</v>
      </c>
      <c r="R2516">
        <v>23957576</v>
      </c>
    </row>
    <row r="2517" spans="1:18" x14ac:dyDescent="0.25">
      <c r="A2517" s="170">
        <v>45707</v>
      </c>
      <c r="B2517" s="116">
        <v>136.85</v>
      </c>
      <c r="C2517" s="116">
        <v>135.85</v>
      </c>
      <c r="D2517" s="116">
        <v>133.05000000000001</v>
      </c>
      <c r="E2517" s="116">
        <v>134.69999999999999</v>
      </c>
      <c r="F2517" s="116">
        <v>135.85</v>
      </c>
      <c r="G2517">
        <v>653303</v>
      </c>
      <c r="H2517" s="116"/>
      <c r="I2517" s="116"/>
      <c r="L2517" s="170">
        <v>45707</v>
      </c>
      <c r="M2517" s="116">
        <v>135.76</v>
      </c>
      <c r="N2517" s="116">
        <v>136.88</v>
      </c>
      <c r="O2517" s="116">
        <v>133.03</v>
      </c>
      <c r="P2517" s="116">
        <v>134.5</v>
      </c>
      <c r="Q2517" s="116">
        <v>135.76</v>
      </c>
      <c r="R2517">
        <v>18447487</v>
      </c>
    </row>
    <row r="2518" spans="1:18" x14ac:dyDescent="0.25">
      <c r="A2518" s="170">
        <v>45708</v>
      </c>
      <c r="B2518" s="116">
        <v>138.35</v>
      </c>
      <c r="C2518" s="116">
        <v>138</v>
      </c>
      <c r="D2518" s="116">
        <v>135</v>
      </c>
      <c r="E2518" s="116">
        <v>135.55000000000001</v>
      </c>
      <c r="F2518" s="116">
        <v>138</v>
      </c>
      <c r="G2518">
        <v>1107248</v>
      </c>
      <c r="H2518" s="116"/>
      <c r="I2518" s="116"/>
      <c r="L2518" s="170">
        <v>45708</v>
      </c>
      <c r="M2518" s="116">
        <v>138.04</v>
      </c>
      <c r="N2518" s="116">
        <v>138.36000000000001</v>
      </c>
      <c r="O2518" s="116">
        <v>135</v>
      </c>
      <c r="P2518" s="116">
        <v>135.27000000000001</v>
      </c>
      <c r="Q2518" s="116">
        <v>138.04</v>
      </c>
      <c r="R2518">
        <v>24139808</v>
      </c>
    </row>
    <row r="2519" spans="1:18" x14ac:dyDescent="0.25">
      <c r="A2519" s="170">
        <v>45709</v>
      </c>
      <c r="B2519" s="116">
        <v>141.55000000000001</v>
      </c>
      <c r="C2519" s="116">
        <v>140.6</v>
      </c>
      <c r="D2519" s="116">
        <v>137.19999999999999</v>
      </c>
      <c r="E2519" s="116">
        <v>137.5</v>
      </c>
      <c r="F2519" s="116">
        <v>140.6</v>
      </c>
      <c r="G2519">
        <v>1733736</v>
      </c>
      <c r="H2519" s="116"/>
      <c r="I2519" s="116"/>
      <c r="L2519" s="170">
        <v>45709</v>
      </c>
      <c r="M2519" s="116">
        <v>140.76</v>
      </c>
      <c r="N2519" s="116">
        <v>141.6</v>
      </c>
      <c r="O2519" s="116">
        <v>137.15</v>
      </c>
      <c r="P2519" s="116">
        <v>137.91</v>
      </c>
      <c r="Q2519" s="116">
        <v>140.76</v>
      </c>
      <c r="R2519">
        <v>41987785</v>
      </c>
    </row>
    <row r="2520" spans="1:18" x14ac:dyDescent="0.25">
      <c r="A2520" s="170">
        <v>45712</v>
      </c>
      <c r="B2520" s="116">
        <v>140.65</v>
      </c>
      <c r="C2520" s="116">
        <v>137.65</v>
      </c>
      <c r="D2520" s="116">
        <v>136.69999999999999</v>
      </c>
      <c r="E2520" s="116">
        <v>138.94999999999999</v>
      </c>
      <c r="F2520" s="116">
        <v>137.65</v>
      </c>
      <c r="G2520">
        <v>1476632</v>
      </c>
      <c r="H2520" s="116"/>
      <c r="I2520" s="116"/>
      <c r="L2520" s="170">
        <v>45712</v>
      </c>
      <c r="M2520" s="116">
        <v>137.65</v>
      </c>
      <c r="N2520" s="116">
        <v>140.66</v>
      </c>
      <c r="O2520" s="116">
        <v>136.66</v>
      </c>
      <c r="P2520" s="116">
        <v>138.81</v>
      </c>
      <c r="Q2520" s="116">
        <v>137.65</v>
      </c>
      <c r="R2520">
        <v>25193205</v>
      </c>
    </row>
    <row r="2521" spans="1:18" x14ac:dyDescent="0.25">
      <c r="A2521" s="170">
        <v>45713</v>
      </c>
      <c r="B2521" s="116">
        <v>139.35</v>
      </c>
      <c r="C2521" s="116">
        <v>137.05000000000001</v>
      </c>
      <c r="D2521" s="116">
        <v>136.75</v>
      </c>
      <c r="E2521" s="116">
        <v>138.19999999999999</v>
      </c>
      <c r="F2521" s="116">
        <v>137.05000000000001</v>
      </c>
      <c r="G2521">
        <v>1189913</v>
      </c>
      <c r="H2521" s="116"/>
      <c r="I2521" s="116"/>
      <c r="L2521" s="170">
        <v>45713</v>
      </c>
      <c r="M2521" s="116">
        <v>137.07</v>
      </c>
      <c r="N2521" s="116">
        <v>139.35</v>
      </c>
      <c r="O2521" s="116">
        <v>136.69999999999999</v>
      </c>
      <c r="P2521" s="116">
        <v>138.49</v>
      </c>
      <c r="Q2521" s="116">
        <v>137.07</v>
      </c>
      <c r="R2521">
        <v>23575603</v>
      </c>
    </row>
    <row r="2522" spans="1:18" x14ac:dyDescent="0.25">
      <c r="A2522" s="170">
        <v>45715</v>
      </c>
      <c r="B2522" s="116">
        <v>138.94999999999999</v>
      </c>
      <c r="C2522" s="116">
        <v>138.65</v>
      </c>
      <c r="D2522" s="116">
        <v>135.85</v>
      </c>
      <c r="E2522" s="116">
        <v>137.75</v>
      </c>
      <c r="F2522" s="116">
        <v>138.65</v>
      </c>
      <c r="G2522">
        <v>614177</v>
      </c>
      <c r="H2522" s="116"/>
      <c r="I2522" s="116"/>
      <c r="L2522" s="170">
        <v>45715</v>
      </c>
      <c r="M2522" s="116">
        <v>138.69</v>
      </c>
      <c r="N2522" s="116">
        <v>138.99</v>
      </c>
      <c r="O2522" s="116">
        <v>135.88</v>
      </c>
      <c r="P2522" s="116">
        <v>137.21</v>
      </c>
      <c r="Q2522" s="116">
        <v>138.69</v>
      </c>
      <c r="R2522">
        <v>30747044</v>
      </c>
    </row>
    <row r="2523" spans="1:18" x14ac:dyDescent="0.25">
      <c r="A2523" s="170">
        <v>45716</v>
      </c>
      <c r="B2523" s="116">
        <v>137.6</v>
      </c>
      <c r="C2523" s="116">
        <v>137.19999999999999</v>
      </c>
      <c r="D2523" s="116">
        <v>134.05000000000001</v>
      </c>
      <c r="E2523" s="116">
        <v>136.65</v>
      </c>
      <c r="F2523" s="116">
        <v>137.19999999999999</v>
      </c>
      <c r="G2523">
        <v>1009170</v>
      </c>
      <c r="H2523" s="116"/>
      <c r="I2523" s="116"/>
      <c r="L2523" s="170">
        <v>45716</v>
      </c>
      <c r="M2523" s="116">
        <v>137.19999999999999</v>
      </c>
      <c r="N2523" s="116">
        <v>137.80000000000001</v>
      </c>
      <c r="O2523" s="116">
        <v>134.06</v>
      </c>
      <c r="P2523" s="116">
        <v>137.80000000000001</v>
      </c>
      <c r="Q2523" s="116">
        <v>137.19999999999999</v>
      </c>
      <c r="R2523">
        <v>45540594</v>
      </c>
    </row>
    <row r="2524" spans="1:18" x14ac:dyDescent="0.25">
      <c r="A2524" s="170">
        <v>45719</v>
      </c>
      <c r="B2524" s="116">
        <v>139</v>
      </c>
      <c r="C2524" s="116">
        <v>138.5</v>
      </c>
      <c r="D2524" s="116">
        <v>134.30000000000001</v>
      </c>
      <c r="E2524" s="116">
        <v>137.05000000000001</v>
      </c>
      <c r="F2524" s="116">
        <v>138.5</v>
      </c>
      <c r="G2524">
        <v>2845036</v>
      </c>
      <c r="H2524" s="116"/>
      <c r="I2524" s="116"/>
      <c r="L2524" s="170">
        <v>45719</v>
      </c>
      <c r="M2524" s="116">
        <v>138.57</v>
      </c>
      <c r="N2524" s="116">
        <v>139.05000000000001</v>
      </c>
      <c r="O2524" s="116">
        <v>134.31</v>
      </c>
      <c r="P2524" s="116">
        <v>137</v>
      </c>
      <c r="Q2524" s="116">
        <v>138.57</v>
      </c>
      <c r="R2524">
        <v>31154401</v>
      </c>
    </row>
    <row r="2525" spans="1:18" x14ac:dyDescent="0.25">
      <c r="A2525" s="170">
        <v>45720</v>
      </c>
      <c r="B2525" s="116">
        <v>140.85</v>
      </c>
      <c r="C2525" s="116">
        <v>139.30000000000001</v>
      </c>
      <c r="D2525" s="116">
        <v>135.85</v>
      </c>
      <c r="E2525" s="116">
        <v>135.85</v>
      </c>
      <c r="F2525" s="116">
        <v>139.30000000000001</v>
      </c>
      <c r="G2525">
        <v>855423</v>
      </c>
      <c r="H2525" s="116"/>
      <c r="I2525" s="116"/>
      <c r="L2525" s="170">
        <v>45720</v>
      </c>
      <c r="M2525" s="116">
        <v>139.34</v>
      </c>
      <c r="N2525" s="116">
        <v>140.94</v>
      </c>
      <c r="O2525" s="116">
        <v>135.81</v>
      </c>
      <c r="P2525" s="116">
        <v>136.15</v>
      </c>
      <c r="Q2525" s="116">
        <v>139.34</v>
      </c>
      <c r="R2525">
        <v>28634645</v>
      </c>
    </row>
    <row r="2526" spans="1:18" x14ac:dyDescent="0.25">
      <c r="A2526" s="170">
        <v>45721</v>
      </c>
      <c r="B2526" s="116">
        <v>146.5</v>
      </c>
      <c r="C2526" s="116">
        <v>146.15</v>
      </c>
      <c r="D2526" s="116">
        <v>138.4</v>
      </c>
      <c r="E2526" s="116">
        <v>138.4</v>
      </c>
      <c r="F2526" s="116">
        <v>146.15</v>
      </c>
      <c r="G2526">
        <v>1710944</v>
      </c>
      <c r="H2526" s="116"/>
      <c r="I2526" s="116"/>
      <c r="L2526" s="170">
        <v>45721</v>
      </c>
      <c r="M2526" s="116">
        <v>146.1</v>
      </c>
      <c r="N2526" s="116">
        <v>146.49</v>
      </c>
      <c r="O2526" s="116">
        <v>139</v>
      </c>
      <c r="P2526" s="116">
        <v>139</v>
      </c>
      <c r="Q2526" s="116">
        <v>146.1</v>
      </c>
      <c r="R2526">
        <v>62109377</v>
      </c>
    </row>
    <row r="2527" spans="1:18" x14ac:dyDescent="0.25">
      <c r="A2527" s="170">
        <v>45722</v>
      </c>
      <c r="B2527" s="116">
        <v>152.19999999999999</v>
      </c>
      <c r="C2527" s="116">
        <v>150.35</v>
      </c>
      <c r="D2527" s="116">
        <v>146.5</v>
      </c>
      <c r="E2527" s="116">
        <v>146.65</v>
      </c>
      <c r="F2527" s="116">
        <v>150.35</v>
      </c>
      <c r="G2527">
        <v>4187239</v>
      </c>
      <c r="H2527" s="116"/>
      <c r="I2527" s="116"/>
      <c r="L2527" s="170">
        <v>45722</v>
      </c>
      <c r="M2527" s="116">
        <v>150.44</v>
      </c>
      <c r="N2527" s="116">
        <v>152.19999999999999</v>
      </c>
      <c r="O2527" s="116">
        <v>146.19999999999999</v>
      </c>
      <c r="P2527" s="116">
        <v>146.79</v>
      </c>
      <c r="Q2527" s="116">
        <v>150.44</v>
      </c>
      <c r="R2527">
        <v>79121467</v>
      </c>
    </row>
    <row r="2528" spans="1:18" x14ac:dyDescent="0.25">
      <c r="A2528" s="170">
        <v>45723</v>
      </c>
      <c r="B2528" s="116">
        <v>152.44999999999999</v>
      </c>
      <c r="C2528" s="116">
        <v>151.55000000000001</v>
      </c>
      <c r="D2528" s="116">
        <v>149.4</v>
      </c>
      <c r="E2528" s="116">
        <v>149.94999999999999</v>
      </c>
      <c r="F2528" s="116">
        <v>151.55000000000001</v>
      </c>
      <c r="G2528">
        <v>1483606</v>
      </c>
      <c r="H2528" s="116"/>
      <c r="I2528" s="116"/>
      <c r="L2528" s="170">
        <v>45723</v>
      </c>
      <c r="M2528" s="116">
        <v>151.56</v>
      </c>
      <c r="N2528" s="116">
        <v>152.44999999999999</v>
      </c>
      <c r="O2528" s="116">
        <v>149.27000000000001</v>
      </c>
      <c r="P2528" s="116">
        <v>149.74</v>
      </c>
      <c r="Q2528" s="116">
        <v>151.56</v>
      </c>
      <c r="R2528">
        <v>81821791</v>
      </c>
    </row>
    <row r="2529" spans="1:18" x14ac:dyDescent="0.25">
      <c r="A2529" s="170">
        <v>45726</v>
      </c>
      <c r="B2529" s="116">
        <v>154.19999999999999</v>
      </c>
      <c r="C2529" s="116">
        <v>150.94999999999999</v>
      </c>
      <c r="D2529" s="116">
        <v>150.44999999999999</v>
      </c>
      <c r="E2529" s="116">
        <v>151.6</v>
      </c>
      <c r="F2529" s="116">
        <v>150.94999999999999</v>
      </c>
      <c r="G2529">
        <v>1308760</v>
      </c>
      <c r="H2529" s="116"/>
      <c r="I2529" s="116"/>
      <c r="L2529" s="170">
        <v>45726</v>
      </c>
      <c r="M2529" s="116">
        <v>151.05000000000001</v>
      </c>
      <c r="N2529" s="116">
        <v>154.24</v>
      </c>
      <c r="O2529" s="116">
        <v>150.41</v>
      </c>
      <c r="P2529" s="116">
        <v>151.56</v>
      </c>
      <c r="Q2529" s="116">
        <v>151.05000000000001</v>
      </c>
      <c r="R2529">
        <v>54450331</v>
      </c>
    </row>
    <row r="2530" spans="1:18" x14ac:dyDescent="0.25">
      <c r="A2530" s="170">
        <v>45727</v>
      </c>
      <c r="B2530" s="116">
        <v>151.75</v>
      </c>
      <c r="C2530" s="116">
        <v>150.85</v>
      </c>
      <c r="D2530" s="116">
        <v>148</v>
      </c>
      <c r="E2530" s="116">
        <v>148</v>
      </c>
      <c r="F2530" s="116">
        <v>150.85</v>
      </c>
      <c r="G2530">
        <v>1181607</v>
      </c>
      <c r="H2530" s="116"/>
      <c r="I2530" s="116"/>
      <c r="L2530" s="170">
        <v>45727</v>
      </c>
      <c r="M2530" s="116">
        <v>150.75</v>
      </c>
      <c r="N2530" s="116">
        <v>151.69999999999999</v>
      </c>
      <c r="O2530" s="116">
        <v>148</v>
      </c>
      <c r="P2530" s="116">
        <v>148.1</v>
      </c>
      <c r="Q2530" s="116">
        <v>150.75</v>
      </c>
      <c r="R2530">
        <v>35916900</v>
      </c>
    </row>
    <row r="2531" spans="1:18" x14ac:dyDescent="0.25">
      <c r="A2531" s="170">
        <v>45728</v>
      </c>
      <c r="B2531" s="116">
        <v>152</v>
      </c>
      <c r="C2531" s="116">
        <v>150.30000000000001</v>
      </c>
      <c r="D2531" s="116">
        <v>147.69999999999999</v>
      </c>
      <c r="E2531" s="116">
        <v>150.75</v>
      </c>
      <c r="F2531" s="116">
        <v>150.30000000000001</v>
      </c>
      <c r="G2531">
        <v>1104497</v>
      </c>
      <c r="H2531" s="116"/>
      <c r="I2531" s="116"/>
      <c r="L2531" s="170">
        <v>45728</v>
      </c>
      <c r="M2531" s="116">
        <v>150.30000000000001</v>
      </c>
      <c r="N2531" s="116">
        <v>152.28</v>
      </c>
      <c r="O2531" s="116">
        <v>147.69999999999999</v>
      </c>
      <c r="P2531" s="116">
        <v>151</v>
      </c>
      <c r="Q2531" s="116">
        <v>150.30000000000001</v>
      </c>
      <c r="R2531">
        <v>26377549</v>
      </c>
    </row>
    <row r="2532" spans="1:18" x14ac:dyDescent="0.25">
      <c r="A2532" s="170">
        <v>45729</v>
      </c>
      <c r="B2532" s="116">
        <v>153.5</v>
      </c>
      <c r="C2532" s="116">
        <v>150.85</v>
      </c>
      <c r="D2532" s="116">
        <v>150.05000000000001</v>
      </c>
      <c r="E2532" s="116">
        <v>151.55000000000001</v>
      </c>
      <c r="F2532" s="116">
        <v>150.85</v>
      </c>
      <c r="G2532">
        <v>1603311</v>
      </c>
      <c r="H2532" s="116"/>
      <c r="I2532" s="116"/>
      <c r="L2532" s="170">
        <v>45729</v>
      </c>
      <c r="M2532" s="116">
        <v>150.88</v>
      </c>
      <c r="N2532" s="116">
        <v>153.56</v>
      </c>
      <c r="O2532" s="116">
        <v>150.02000000000001</v>
      </c>
      <c r="P2532" s="116">
        <v>152</v>
      </c>
      <c r="Q2532" s="116">
        <v>150.88</v>
      </c>
      <c r="R2532">
        <v>48286431</v>
      </c>
    </row>
    <row r="2533" spans="1:18" x14ac:dyDescent="0.25">
      <c r="A2533" s="170">
        <v>45733</v>
      </c>
      <c r="B2533" s="116">
        <v>152.6</v>
      </c>
      <c r="C2533" s="116">
        <v>151.80000000000001</v>
      </c>
      <c r="D2533" s="116">
        <v>150.94999999999999</v>
      </c>
      <c r="E2533" s="116">
        <v>151.30000000000001</v>
      </c>
      <c r="F2533" s="116">
        <v>151.80000000000001</v>
      </c>
      <c r="G2533">
        <v>737225</v>
      </c>
      <c r="H2533" s="116"/>
      <c r="I2533" s="116"/>
      <c r="L2533" s="170">
        <v>45733</v>
      </c>
      <c r="M2533" s="116">
        <v>151.81</v>
      </c>
      <c r="N2533" s="116">
        <v>152.63999999999999</v>
      </c>
      <c r="O2533" s="116">
        <v>150.9</v>
      </c>
      <c r="P2533" s="116">
        <v>151.99</v>
      </c>
      <c r="Q2533" s="116">
        <v>151.81</v>
      </c>
      <c r="R2533">
        <v>35879781</v>
      </c>
    </row>
    <row r="2534" spans="1:18" x14ac:dyDescent="0.25">
      <c r="A2534" s="170">
        <v>45734</v>
      </c>
      <c r="B2534" s="116">
        <v>154.85</v>
      </c>
      <c r="C2534" s="116">
        <v>154.65</v>
      </c>
      <c r="D2534" s="116">
        <v>152.30000000000001</v>
      </c>
      <c r="E2534" s="116">
        <v>152.80000000000001</v>
      </c>
      <c r="F2534" s="116">
        <v>154.65</v>
      </c>
      <c r="G2534">
        <v>4994631</v>
      </c>
      <c r="H2534" s="116"/>
      <c r="I2534" s="116"/>
      <c r="L2534" s="170">
        <v>45734</v>
      </c>
      <c r="M2534" s="116">
        <v>154.66</v>
      </c>
      <c r="N2534" s="116">
        <v>154.83000000000001</v>
      </c>
      <c r="O2534" s="116">
        <v>152.22</v>
      </c>
      <c r="P2534" s="116">
        <v>153</v>
      </c>
      <c r="Q2534" s="116">
        <v>154.66</v>
      </c>
      <c r="R2534">
        <v>38125586</v>
      </c>
    </row>
    <row r="2535" spans="1:18" x14ac:dyDescent="0.25">
      <c r="A2535" s="170">
        <v>45735</v>
      </c>
      <c r="B2535" s="116">
        <v>159.25</v>
      </c>
      <c r="C2535" s="116">
        <v>158.55000000000001</v>
      </c>
      <c r="D2535" s="116">
        <v>156.35</v>
      </c>
      <c r="E2535" s="116">
        <v>156.35</v>
      </c>
      <c r="F2535" s="116">
        <v>158.55000000000001</v>
      </c>
      <c r="G2535">
        <v>1318411</v>
      </c>
      <c r="H2535" s="116"/>
      <c r="I2535" s="116"/>
      <c r="L2535" s="170">
        <v>45735</v>
      </c>
      <c r="M2535" s="116">
        <v>158.6</v>
      </c>
      <c r="N2535" s="116">
        <v>159.19999999999999</v>
      </c>
      <c r="O2535" s="116">
        <v>156.5</v>
      </c>
      <c r="P2535" s="116">
        <v>156.80000000000001</v>
      </c>
      <c r="Q2535" s="116">
        <v>158.6</v>
      </c>
      <c r="R2535">
        <v>66161413</v>
      </c>
    </row>
    <row r="2536" spans="1:18" x14ac:dyDescent="0.25">
      <c r="A2536" s="170">
        <v>45736</v>
      </c>
      <c r="B2536" s="116">
        <v>160.1</v>
      </c>
      <c r="C2536" s="116">
        <v>159</v>
      </c>
      <c r="D2536" s="116">
        <v>156.65</v>
      </c>
      <c r="E2536" s="116">
        <v>159.80000000000001</v>
      </c>
      <c r="F2536" s="116">
        <v>159</v>
      </c>
      <c r="G2536">
        <v>906870</v>
      </c>
      <c r="H2536" s="116"/>
      <c r="I2536" s="116"/>
      <c r="L2536" s="170">
        <v>45736</v>
      </c>
      <c r="M2536" s="116">
        <v>159.04</v>
      </c>
      <c r="N2536" s="116">
        <v>160.1</v>
      </c>
      <c r="O2536" s="116">
        <v>156.65</v>
      </c>
      <c r="P2536" s="116">
        <v>160</v>
      </c>
      <c r="Q2536" s="116">
        <v>159.04</v>
      </c>
      <c r="R2536">
        <v>39889517</v>
      </c>
    </row>
    <row r="2537" spans="1:18" x14ac:dyDescent="0.25">
      <c r="A2537" s="170">
        <v>45737</v>
      </c>
      <c r="B2537" s="116">
        <v>159.80000000000001</v>
      </c>
      <c r="C2537" s="116">
        <v>157.25</v>
      </c>
      <c r="D2537" s="116">
        <v>156.9</v>
      </c>
      <c r="E2537" s="116">
        <v>159.19999999999999</v>
      </c>
      <c r="F2537" s="116">
        <v>157.25</v>
      </c>
      <c r="G2537">
        <v>684394</v>
      </c>
      <c r="H2537" s="116"/>
      <c r="I2537" s="116"/>
      <c r="L2537" s="170">
        <v>45737</v>
      </c>
      <c r="M2537" s="116">
        <v>157.28</v>
      </c>
      <c r="N2537" s="116">
        <v>159.75</v>
      </c>
      <c r="O2537" s="116">
        <v>156.82</v>
      </c>
      <c r="P2537" s="116">
        <v>159.03</v>
      </c>
      <c r="Q2537" s="116">
        <v>157.28</v>
      </c>
      <c r="R2537">
        <v>49184821</v>
      </c>
    </row>
    <row r="2538" spans="1:18" x14ac:dyDescent="0.25">
      <c r="A2538" s="170">
        <v>45740</v>
      </c>
      <c r="B2538" s="116">
        <v>159</v>
      </c>
      <c r="C2538" s="116">
        <v>158.35</v>
      </c>
      <c r="D2538" s="116">
        <v>157.19999999999999</v>
      </c>
      <c r="E2538" s="116">
        <v>158</v>
      </c>
      <c r="F2538" s="116">
        <v>158.35</v>
      </c>
      <c r="G2538">
        <v>498706</v>
      </c>
      <c r="H2538" s="116"/>
      <c r="I2538" s="116"/>
      <c r="L2538" s="170">
        <v>45740</v>
      </c>
      <c r="M2538" s="116">
        <v>158.41999999999999</v>
      </c>
      <c r="N2538" s="116">
        <v>159</v>
      </c>
      <c r="O2538" s="116">
        <v>157.11000000000001</v>
      </c>
      <c r="P2538" s="116">
        <v>158</v>
      </c>
      <c r="Q2538" s="116">
        <v>158.41999999999999</v>
      </c>
      <c r="R2538">
        <v>30905773</v>
      </c>
    </row>
    <row r="2539" spans="1:18" x14ac:dyDescent="0.25">
      <c r="A2539" s="170">
        <v>45741</v>
      </c>
      <c r="B2539" s="116">
        <v>159.30000000000001</v>
      </c>
      <c r="C2539" s="116">
        <v>156.69999999999999</v>
      </c>
      <c r="D2539" s="116">
        <v>156.05000000000001</v>
      </c>
      <c r="E2539" s="116">
        <v>159.30000000000001</v>
      </c>
      <c r="F2539" s="116">
        <v>156.69999999999999</v>
      </c>
      <c r="G2539">
        <v>870454</v>
      </c>
      <c r="H2539" s="116"/>
      <c r="I2539" s="116"/>
      <c r="L2539" s="170">
        <v>45741</v>
      </c>
      <c r="M2539" s="116">
        <v>156.72999999999999</v>
      </c>
      <c r="N2539" s="116">
        <v>159</v>
      </c>
      <c r="O2539" s="116">
        <v>156.05000000000001</v>
      </c>
      <c r="P2539" s="116">
        <v>159</v>
      </c>
      <c r="Q2539" s="116">
        <v>156.72999999999999</v>
      </c>
      <c r="R2539">
        <v>28467187</v>
      </c>
    </row>
    <row r="2540" spans="1:18" x14ac:dyDescent="0.25">
      <c r="A2540" s="170">
        <v>45742</v>
      </c>
      <c r="B2540" s="116">
        <v>157.5</v>
      </c>
      <c r="C2540" s="116">
        <v>155.80000000000001</v>
      </c>
      <c r="D2540" s="116">
        <v>155</v>
      </c>
      <c r="E2540" s="116">
        <v>156.05000000000001</v>
      </c>
      <c r="F2540" s="116">
        <v>155.80000000000001</v>
      </c>
      <c r="G2540">
        <v>433210</v>
      </c>
      <c r="H2540" s="116"/>
      <c r="I2540" s="116"/>
      <c r="L2540" s="170">
        <v>45742</v>
      </c>
      <c r="M2540" s="116">
        <v>155.81</v>
      </c>
      <c r="N2540" s="116">
        <v>157.54</v>
      </c>
      <c r="O2540" s="116">
        <v>155.01</v>
      </c>
      <c r="P2540" s="116">
        <v>156.19999999999999</v>
      </c>
      <c r="Q2540" s="116">
        <v>155.81</v>
      </c>
      <c r="R2540">
        <v>23182869</v>
      </c>
    </row>
    <row r="2541" spans="1:18" x14ac:dyDescent="0.25">
      <c r="A2541" s="170">
        <v>45743</v>
      </c>
      <c r="B2541" s="116">
        <v>156.1</v>
      </c>
      <c r="C2541" s="116">
        <v>155.30000000000001</v>
      </c>
      <c r="D2541" s="116">
        <v>154.5</v>
      </c>
      <c r="E2541" s="116">
        <v>154.85</v>
      </c>
      <c r="F2541" s="116">
        <v>155.30000000000001</v>
      </c>
      <c r="G2541">
        <v>462970</v>
      </c>
      <c r="H2541" s="116"/>
      <c r="I2541" s="116"/>
      <c r="L2541" s="170">
        <v>45743</v>
      </c>
      <c r="M2541" s="116">
        <v>155.41999999999999</v>
      </c>
      <c r="N2541" s="116">
        <v>156.1</v>
      </c>
      <c r="O2541" s="116">
        <v>154.19999999999999</v>
      </c>
      <c r="P2541" s="116">
        <v>154.80000000000001</v>
      </c>
      <c r="Q2541" s="116">
        <v>155.41999999999999</v>
      </c>
      <c r="R2541">
        <v>25909068</v>
      </c>
    </row>
    <row r="2542" spans="1:18" x14ac:dyDescent="0.25">
      <c r="A2542" s="170">
        <v>45744</v>
      </c>
      <c r="B2542" s="116">
        <v>156.9</v>
      </c>
      <c r="C2542" s="116">
        <v>154.25</v>
      </c>
      <c r="D2542" s="116">
        <v>153.4</v>
      </c>
      <c r="E2542" s="116">
        <v>155.5</v>
      </c>
      <c r="F2542" s="116">
        <v>154.25</v>
      </c>
      <c r="G2542">
        <v>577842</v>
      </c>
      <c r="H2542" s="116"/>
      <c r="I2542" s="116"/>
      <c r="L2542" s="170">
        <v>45744</v>
      </c>
      <c r="M2542" s="116">
        <v>154.24</v>
      </c>
      <c r="N2542" s="116">
        <v>156.91</v>
      </c>
      <c r="O2542" s="116">
        <v>153.37</v>
      </c>
      <c r="P2542" s="116">
        <v>155.38</v>
      </c>
      <c r="Q2542" s="116">
        <v>154.24</v>
      </c>
      <c r="R2542">
        <v>24589315</v>
      </c>
    </row>
    <row r="2543" spans="1:18" x14ac:dyDescent="0.25">
      <c r="A2543" s="170">
        <v>45748</v>
      </c>
      <c r="B2543" s="116">
        <v>155.35</v>
      </c>
      <c r="C2543" s="116">
        <v>153.1</v>
      </c>
      <c r="D2543" s="116">
        <v>151.75</v>
      </c>
      <c r="E2543" s="116">
        <v>151.75</v>
      </c>
      <c r="F2543" s="116">
        <v>153.1</v>
      </c>
      <c r="G2543">
        <v>1382436</v>
      </c>
      <c r="H2543" s="116"/>
      <c r="I2543" s="116"/>
      <c r="L2543" s="170">
        <v>45748</v>
      </c>
      <c r="M2543" s="116">
        <v>153.12</v>
      </c>
      <c r="N2543" s="116">
        <v>155.34</v>
      </c>
      <c r="O2543" s="116">
        <v>152.07</v>
      </c>
      <c r="P2543" s="116">
        <v>152.07</v>
      </c>
      <c r="Q2543" s="116">
        <v>153.12</v>
      </c>
      <c r="R2543">
        <v>29142122</v>
      </c>
    </row>
    <row r="2544" spans="1:18" x14ac:dyDescent="0.25">
      <c r="A2544" s="170">
        <v>45749</v>
      </c>
      <c r="B2544" s="116">
        <v>156.19999999999999</v>
      </c>
      <c r="C2544" s="116">
        <v>154.65</v>
      </c>
      <c r="D2544" s="116">
        <v>152.25</v>
      </c>
      <c r="E2544" s="116">
        <v>154</v>
      </c>
      <c r="F2544" s="116">
        <v>154.65</v>
      </c>
      <c r="G2544">
        <v>567963</v>
      </c>
      <c r="H2544" s="116"/>
      <c r="I2544" s="116"/>
      <c r="L2544" s="170">
        <v>45749</v>
      </c>
      <c r="M2544" s="116">
        <v>154.69</v>
      </c>
      <c r="N2544" s="116">
        <v>156.25</v>
      </c>
      <c r="O2544" s="116">
        <v>152.27000000000001</v>
      </c>
      <c r="P2544" s="116">
        <v>154</v>
      </c>
      <c r="Q2544" s="116">
        <v>154.69</v>
      </c>
      <c r="R2544">
        <v>24977582</v>
      </c>
    </row>
    <row r="2545" spans="1:18" x14ac:dyDescent="0.25">
      <c r="A2545" s="170">
        <v>45750</v>
      </c>
      <c r="B2545" s="116">
        <v>155.94999999999999</v>
      </c>
      <c r="C2545" s="116">
        <v>153.65</v>
      </c>
      <c r="D2545" s="116">
        <v>152.69999999999999</v>
      </c>
      <c r="E2545" s="116">
        <v>152.85</v>
      </c>
      <c r="F2545" s="116">
        <v>153.65</v>
      </c>
      <c r="G2545">
        <v>349236</v>
      </c>
      <c r="H2545" s="116"/>
      <c r="I2545" s="116"/>
      <c r="L2545" s="170">
        <v>45750</v>
      </c>
      <c r="M2545" s="116">
        <v>153.62</v>
      </c>
      <c r="N2545" s="116">
        <v>155.97</v>
      </c>
      <c r="O2545" s="116">
        <v>152.6</v>
      </c>
      <c r="P2545" s="116">
        <v>153</v>
      </c>
      <c r="Q2545" s="116">
        <v>153.62</v>
      </c>
      <c r="R2545">
        <v>15117526</v>
      </c>
    </row>
    <row r="2546" spans="1:18" x14ac:dyDescent="0.25">
      <c r="A2546" s="170">
        <v>45751</v>
      </c>
      <c r="B2546" s="116">
        <v>153.35</v>
      </c>
      <c r="C2546" s="116">
        <v>140.44999999999999</v>
      </c>
      <c r="D2546" s="116">
        <v>140</v>
      </c>
      <c r="E2546" s="116">
        <v>153.35</v>
      </c>
      <c r="F2546" s="116">
        <v>140.44999999999999</v>
      </c>
      <c r="G2546">
        <v>3086794</v>
      </c>
      <c r="H2546" s="116"/>
      <c r="I2546" s="116"/>
      <c r="L2546" s="170">
        <v>45751</v>
      </c>
      <c r="M2546" s="116">
        <v>140.38999999999999</v>
      </c>
      <c r="N2546" s="116">
        <v>152.99</v>
      </c>
      <c r="O2546" s="116">
        <v>140</v>
      </c>
      <c r="P2546" s="116">
        <v>152.62</v>
      </c>
      <c r="Q2546" s="116">
        <v>140.38999999999999</v>
      </c>
      <c r="R2546">
        <v>80846143</v>
      </c>
    </row>
    <row r="2547" spans="1:18" x14ac:dyDescent="0.25">
      <c r="A2547" s="170">
        <v>45754</v>
      </c>
      <c r="B2547" s="116">
        <v>130.44999999999999</v>
      </c>
      <c r="C2547" s="116">
        <v>129.6</v>
      </c>
      <c r="D2547" s="116">
        <v>124.2</v>
      </c>
      <c r="E2547" s="116">
        <v>126.45</v>
      </c>
      <c r="F2547" s="116">
        <v>129.6</v>
      </c>
      <c r="G2547">
        <v>7768312</v>
      </c>
      <c r="H2547" s="116"/>
      <c r="I2547" s="116"/>
      <c r="L2547" s="170">
        <v>45754</v>
      </c>
      <c r="M2547" s="116">
        <v>129.47999999999999</v>
      </c>
      <c r="N2547" s="116">
        <v>130.35</v>
      </c>
      <c r="O2547" s="116">
        <v>125.33</v>
      </c>
      <c r="P2547" s="116">
        <v>128</v>
      </c>
      <c r="Q2547" s="116">
        <v>129.47999999999999</v>
      </c>
      <c r="R2547">
        <v>121806340</v>
      </c>
    </row>
    <row r="2548" spans="1:18" x14ac:dyDescent="0.25">
      <c r="A2548" s="170">
        <v>45755</v>
      </c>
      <c r="B2548" s="116">
        <v>136.25</v>
      </c>
      <c r="C2548" s="116">
        <v>130.19999999999999</v>
      </c>
      <c r="D2548" s="116">
        <v>128.1</v>
      </c>
      <c r="E2548" s="116">
        <v>134.44999999999999</v>
      </c>
      <c r="F2548" s="116">
        <v>130.19999999999999</v>
      </c>
      <c r="G2548">
        <v>3198084</v>
      </c>
      <c r="H2548" s="116"/>
      <c r="I2548" s="116"/>
      <c r="L2548" s="170">
        <v>45755</v>
      </c>
      <c r="M2548" s="116">
        <v>130.28</v>
      </c>
      <c r="N2548" s="116">
        <v>136.19999999999999</v>
      </c>
      <c r="O2548" s="116">
        <v>128.02000000000001</v>
      </c>
      <c r="P2548" s="116">
        <v>134.88999999999999</v>
      </c>
      <c r="Q2548" s="116">
        <v>130.28</v>
      </c>
      <c r="R2548">
        <v>68999181</v>
      </c>
    </row>
    <row r="2549" spans="1:18" x14ac:dyDescent="0.25">
      <c r="A2549" s="170">
        <v>45756</v>
      </c>
      <c r="B2549" s="116">
        <v>130.4</v>
      </c>
      <c r="C2549" s="116">
        <v>127.2</v>
      </c>
      <c r="D2549" s="116">
        <v>125.35</v>
      </c>
      <c r="E2549" s="116">
        <v>130.4</v>
      </c>
      <c r="F2549" s="116">
        <v>127.2</v>
      </c>
      <c r="G2549">
        <v>1799410</v>
      </c>
      <c r="H2549" s="116"/>
      <c r="I2549" s="116"/>
      <c r="L2549" s="170">
        <v>45756</v>
      </c>
      <c r="M2549" s="116">
        <v>127.18</v>
      </c>
      <c r="N2549" s="116">
        <v>130</v>
      </c>
      <c r="O2549" s="116">
        <v>125.3</v>
      </c>
      <c r="P2549" s="116">
        <v>130</v>
      </c>
      <c r="Q2549" s="116">
        <v>127.18</v>
      </c>
      <c r="R2549">
        <v>73399980</v>
      </c>
    </row>
    <row r="2550" spans="1:18" x14ac:dyDescent="0.25">
      <c r="A2550" s="170">
        <v>45758</v>
      </c>
      <c r="B2550" s="116">
        <v>134.94999999999999</v>
      </c>
      <c r="C2550" s="116">
        <v>133.44999999999999</v>
      </c>
      <c r="D2550" s="116">
        <v>130.4</v>
      </c>
      <c r="E2550" s="116">
        <v>134.94999999999999</v>
      </c>
      <c r="F2550" s="116">
        <v>133.44999999999999</v>
      </c>
      <c r="G2550">
        <v>4556027</v>
      </c>
      <c r="H2550" s="116"/>
      <c r="I2550" s="116"/>
      <c r="L2550" s="170">
        <v>45758</v>
      </c>
      <c r="M2550" s="116">
        <v>133.41999999999999</v>
      </c>
      <c r="N2550" s="116">
        <v>134.69999999999999</v>
      </c>
      <c r="O2550" s="116">
        <v>130.49</v>
      </c>
      <c r="P2550" s="116">
        <v>134.66999999999999</v>
      </c>
      <c r="Q2550" s="116">
        <v>133.41999999999999</v>
      </c>
      <c r="R2550">
        <v>73706472</v>
      </c>
    </row>
    <row r="2551" spans="1:18" x14ac:dyDescent="0.25">
      <c r="A2551" s="170">
        <v>45762</v>
      </c>
      <c r="B2551" s="116">
        <v>136.9</v>
      </c>
      <c r="C2551" s="116">
        <v>136.44999999999999</v>
      </c>
      <c r="D2551" s="116">
        <v>134.80000000000001</v>
      </c>
      <c r="E2551" s="116">
        <v>135.44999999999999</v>
      </c>
      <c r="F2551" s="116">
        <v>136.44999999999999</v>
      </c>
      <c r="G2551">
        <v>2156934</v>
      </c>
      <c r="H2551" s="116"/>
      <c r="I2551" s="116"/>
      <c r="L2551" s="170">
        <v>45762</v>
      </c>
      <c r="M2551" s="116">
        <v>136.41</v>
      </c>
      <c r="N2551" s="116">
        <v>137</v>
      </c>
      <c r="O2551" s="116">
        <v>134.84</v>
      </c>
      <c r="P2551" s="116">
        <v>135.6</v>
      </c>
      <c r="Q2551" s="116">
        <v>136.41</v>
      </c>
      <c r="R2551">
        <v>38967608</v>
      </c>
    </row>
    <row r="2552" spans="1:18" x14ac:dyDescent="0.25">
      <c r="A2552" s="170">
        <v>45763</v>
      </c>
      <c r="B2552" s="116">
        <v>137.6</v>
      </c>
      <c r="C2552" s="116">
        <v>136.94999999999999</v>
      </c>
      <c r="D2552" s="116">
        <v>134.65</v>
      </c>
      <c r="E2552" s="116">
        <v>136.44999999999999</v>
      </c>
      <c r="F2552" s="116">
        <v>136.94999999999999</v>
      </c>
      <c r="G2552">
        <v>1925844</v>
      </c>
      <c r="H2552" s="116"/>
      <c r="I2552" s="116"/>
      <c r="L2552" s="170">
        <v>45763</v>
      </c>
      <c r="M2552" s="116">
        <v>136.97</v>
      </c>
      <c r="N2552" s="116">
        <v>137.6</v>
      </c>
      <c r="O2552" s="116">
        <v>134.62</v>
      </c>
      <c r="P2552" s="116">
        <v>136.41</v>
      </c>
      <c r="Q2552" s="116">
        <v>136.97</v>
      </c>
      <c r="R2552">
        <v>42684087</v>
      </c>
    </row>
    <row r="2553" spans="1:18" x14ac:dyDescent="0.25">
      <c r="A2553" s="170">
        <v>45764</v>
      </c>
      <c r="B2553" s="116">
        <v>137.9</v>
      </c>
      <c r="C2553" s="116">
        <v>137.15</v>
      </c>
      <c r="D2553" s="116">
        <v>133.65</v>
      </c>
      <c r="E2553" s="116">
        <v>135.35</v>
      </c>
      <c r="F2553" s="116">
        <v>137.15</v>
      </c>
      <c r="G2553">
        <v>1378982</v>
      </c>
      <c r="H2553" s="116"/>
      <c r="I2553" s="116"/>
      <c r="L2553" s="170">
        <v>45764</v>
      </c>
      <c r="M2553" s="116">
        <v>137.13999999999999</v>
      </c>
      <c r="N2553" s="116">
        <v>137.96</v>
      </c>
      <c r="O2553" s="116">
        <v>133.69999999999999</v>
      </c>
      <c r="P2553" s="116">
        <v>134.4</v>
      </c>
      <c r="Q2553" s="116">
        <v>137.13999999999999</v>
      </c>
      <c r="R2553">
        <v>62282856</v>
      </c>
    </row>
    <row r="2554" spans="1:18" x14ac:dyDescent="0.25">
      <c r="A2554" s="170">
        <v>45768</v>
      </c>
      <c r="B2554" s="116">
        <v>140.25</v>
      </c>
      <c r="C2554" s="116">
        <v>139.19999999999999</v>
      </c>
      <c r="D2554" s="116">
        <v>137</v>
      </c>
      <c r="E2554" s="116">
        <v>137.94999999999999</v>
      </c>
      <c r="F2554" s="116">
        <v>139.19999999999999</v>
      </c>
      <c r="G2554">
        <v>1727408</v>
      </c>
      <c r="H2554" s="116"/>
      <c r="I2554" s="116"/>
      <c r="L2554" s="170">
        <v>45768</v>
      </c>
      <c r="M2554" s="116">
        <v>139.18</v>
      </c>
      <c r="N2554" s="116">
        <v>140.30000000000001</v>
      </c>
      <c r="O2554" s="116">
        <v>137.05000000000001</v>
      </c>
      <c r="P2554" s="116">
        <v>137.65</v>
      </c>
      <c r="Q2554" s="116">
        <v>139.18</v>
      </c>
      <c r="R2554">
        <v>26503486</v>
      </c>
    </row>
    <row r="2555" spans="1:18" x14ac:dyDescent="0.25">
      <c r="A2555" s="170">
        <v>45769</v>
      </c>
      <c r="B2555" s="116">
        <v>142.85</v>
      </c>
      <c r="C2555" s="116">
        <v>138.1</v>
      </c>
      <c r="D2555" s="116">
        <v>137.80000000000001</v>
      </c>
      <c r="E2555" s="116">
        <v>142.1</v>
      </c>
      <c r="F2555" s="116">
        <v>138.1</v>
      </c>
      <c r="G2555">
        <v>2241957</v>
      </c>
      <c r="H2555" s="116"/>
      <c r="I2555" s="116"/>
      <c r="L2555" s="170">
        <v>45769</v>
      </c>
      <c r="M2555" s="116">
        <v>138.16</v>
      </c>
      <c r="N2555" s="116">
        <v>142.84</v>
      </c>
      <c r="O2555" s="116">
        <v>137.69999999999999</v>
      </c>
      <c r="P2555" s="116">
        <v>142</v>
      </c>
      <c r="Q2555" s="116">
        <v>138.16</v>
      </c>
      <c r="R2555">
        <v>58429662</v>
      </c>
    </row>
    <row r="2556" spans="1:18" x14ac:dyDescent="0.25">
      <c r="A2556" s="170">
        <v>45770</v>
      </c>
      <c r="B2556" s="116">
        <v>141.4</v>
      </c>
      <c r="C2556" s="116">
        <v>141.1</v>
      </c>
      <c r="D2556" s="116">
        <v>137.30000000000001</v>
      </c>
      <c r="E2556" s="116">
        <v>139.25</v>
      </c>
      <c r="F2556" s="116">
        <v>141.1</v>
      </c>
      <c r="G2556">
        <v>1229528</v>
      </c>
      <c r="H2556" s="116"/>
      <c r="I2556" s="116"/>
      <c r="L2556" s="170">
        <v>45770</v>
      </c>
      <c r="M2556" s="116">
        <v>141.16</v>
      </c>
      <c r="N2556" s="116">
        <v>141.5</v>
      </c>
      <c r="O2556" s="116">
        <v>137.32</v>
      </c>
      <c r="P2556" s="116">
        <v>139.38999999999999</v>
      </c>
      <c r="Q2556" s="116">
        <v>141.16</v>
      </c>
      <c r="R2556">
        <v>37851304</v>
      </c>
    </row>
    <row r="2557" spans="1:18" x14ac:dyDescent="0.25">
      <c r="A2557" s="170">
        <v>45771</v>
      </c>
      <c r="B2557" s="116">
        <v>141.9</v>
      </c>
      <c r="C2557" s="116">
        <v>141.5</v>
      </c>
      <c r="D2557" s="116">
        <v>140.25</v>
      </c>
      <c r="E2557" s="116">
        <v>140.9</v>
      </c>
      <c r="F2557" s="116">
        <v>141.5</v>
      </c>
      <c r="G2557">
        <v>846390</v>
      </c>
      <c r="H2557" s="116"/>
      <c r="I2557" s="116"/>
      <c r="L2557" s="170">
        <v>45771</v>
      </c>
      <c r="M2557" s="116">
        <v>141.52000000000001</v>
      </c>
      <c r="N2557" s="116">
        <v>141.88</v>
      </c>
      <c r="O2557" s="116">
        <v>140.28</v>
      </c>
      <c r="P2557" s="116">
        <v>140.69999999999999</v>
      </c>
      <c r="Q2557" s="116">
        <v>141.52000000000001</v>
      </c>
      <c r="R2557">
        <v>23061444</v>
      </c>
    </row>
    <row r="2558" spans="1:18" x14ac:dyDescent="0.25">
      <c r="A2558" s="170">
        <v>45772</v>
      </c>
      <c r="B2558" s="116">
        <v>143.44999999999999</v>
      </c>
      <c r="C2558" s="116">
        <v>138.69999999999999</v>
      </c>
      <c r="D2558" s="116">
        <v>138.05000000000001</v>
      </c>
      <c r="E2558" s="116">
        <v>141.65</v>
      </c>
      <c r="F2558" s="116">
        <v>138.69999999999999</v>
      </c>
      <c r="G2558">
        <v>2064151</v>
      </c>
      <c r="H2558" s="116"/>
      <c r="I2558" s="116"/>
      <c r="L2558" s="170">
        <v>45772</v>
      </c>
      <c r="M2558" s="116">
        <v>138.85</v>
      </c>
      <c r="N2558" s="116">
        <v>143.44999999999999</v>
      </c>
      <c r="O2558" s="116">
        <v>138.02000000000001</v>
      </c>
      <c r="P2558" s="116">
        <v>142</v>
      </c>
      <c r="Q2558" s="116">
        <v>138.85</v>
      </c>
      <c r="R2558">
        <v>37764696</v>
      </c>
    </row>
    <row r="2559" spans="1:18" x14ac:dyDescent="0.25">
      <c r="A2559" s="170">
        <v>45775</v>
      </c>
      <c r="B2559" s="116">
        <v>142.6</v>
      </c>
      <c r="C2559" s="116">
        <v>142.05000000000001</v>
      </c>
      <c r="D2559" s="116">
        <v>138.30000000000001</v>
      </c>
      <c r="E2559" s="116">
        <v>138.69999999999999</v>
      </c>
      <c r="F2559" s="116">
        <v>142.05000000000001</v>
      </c>
      <c r="G2559">
        <v>913452</v>
      </c>
      <c r="H2559" s="116"/>
      <c r="I2559" s="116"/>
      <c r="L2559" s="170">
        <v>45775</v>
      </c>
      <c r="M2559" s="116">
        <v>142.07</v>
      </c>
      <c r="N2559" s="116">
        <v>142.6</v>
      </c>
      <c r="O2559" s="116">
        <v>138.38</v>
      </c>
      <c r="P2559" s="116">
        <v>138.54</v>
      </c>
      <c r="Q2559" s="116">
        <v>142.07</v>
      </c>
      <c r="R2559">
        <v>26971589</v>
      </c>
    </row>
    <row r="2560" spans="1:18" x14ac:dyDescent="0.25">
      <c r="A2560" s="170">
        <v>45776</v>
      </c>
      <c r="B2560" s="116">
        <v>143.35</v>
      </c>
      <c r="C2560" s="116">
        <v>141.44999999999999</v>
      </c>
      <c r="D2560" s="116">
        <v>141</v>
      </c>
      <c r="E2560" s="116">
        <v>141.9</v>
      </c>
      <c r="F2560" s="116">
        <v>141.44999999999999</v>
      </c>
      <c r="G2560">
        <v>1433385</v>
      </c>
      <c r="H2560" s="116"/>
      <c r="I2560" s="116"/>
      <c r="L2560" s="170">
        <v>45776</v>
      </c>
      <c r="M2560" s="116">
        <v>141.5</v>
      </c>
      <c r="N2560" s="116">
        <v>143.30000000000001</v>
      </c>
      <c r="O2560" s="116">
        <v>140.91999999999999</v>
      </c>
      <c r="P2560" s="116">
        <v>142.07</v>
      </c>
      <c r="Q2560" s="116">
        <v>141.5</v>
      </c>
      <c r="R2560">
        <v>25758449</v>
      </c>
    </row>
    <row r="2561" spans="1:18" x14ac:dyDescent="0.25">
      <c r="A2561" s="170">
        <v>45777</v>
      </c>
      <c r="B2561" s="116">
        <v>141.55000000000001</v>
      </c>
      <c r="C2561" s="116">
        <v>139.75</v>
      </c>
      <c r="D2561" s="116">
        <v>138.5</v>
      </c>
      <c r="E2561" s="116">
        <v>140.4</v>
      </c>
      <c r="F2561" s="116">
        <v>139.75</v>
      </c>
      <c r="G2561">
        <v>752026</v>
      </c>
      <c r="H2561" s="116"/>
      <c r="I2561" s="116"/>
      <c r="L2561" s="170">
        <v>45777</v>
      </c>
      <c r="M2561" s="116">
        <v>140.08000000000001</v>
      </c>
      <c r="N2561" s="116">
        <v>141.56</v>
      </c>
      <c r="O2561" s="116">
        <v>138</v>
      </c>
      <c r="P2561" s="116">
        <v>141.44999999999999</v>
      </c>
      <c r="Q2561" s="116">
        <v>140.08000000000001</v>
      </c>
      <c r="R2561">
        <v>29205042</v>
      </c>
    </row>
    <row r="2562" spans="1:18" x14ac:dyDescent="0.25">
      <c r="A2562" s="170">
        <v>45779</v>
      </c>
      <c r="B2562" s="116">
        <v>143.05000000000001</v>
      </c>
      <c r="C2562" s="116">
        <v>141.30000000000001</v>
      </c>
      <c r="D2562" s="116">
        <v>139.5</v>
      </c>
      <c r="E2562" s="116">
        <v>139.85</v>
      </c>
      <c r="F2562" s="116">
        <v>141.30000000000001</v>
      </c>
      <c r="G2562">
        <v>703628</v>
      </c>
      <c r="H2562" s="116"/>
      <c r="I2562" s="116"/>
      <c r="L2562" s="170">
        <v>45779</v>
      </c>
      <c r="M2562" s="116">
        <v>141.18</v>
      </c>
      <c r="N2562" s="116">
        <v>143.1</v>
      </c>
      <c r="O2562" s="116">
        <v>139.44999999999999</v>
      </c>
      <c r="P2562" s="116">
        <v>140</v>
      </c>
      <c r="Q2562" s="116">
        <v>141.18</v>
      </c>
      <c r="R2562">
        <v>34852288</v>
      </c>
    </row>
    <row r="2563" spans="1:18" x14ac:dyDescent="0.25">
      <c r="A2563" s="170">
        <v>45782</v>
      </c>
      <c r="B2563" s="116">
        <v>142.69999999999999</v>
      </c>
      <c r="C2563" s="116">
        <v>142.1</v>
      </c>
      <c r="D2563" s="116">
        <v>141.15</v>
      </c>
      <c r="E2563" s="116">
        <v>141.35</v>
      </c>
      <c r="F2563" s="116">
        <v>142.1</v>
      </c>
      <c r="G2563">
        <v>1287804</v>
      </c>
      <c r="H2563" s="116"/>
      <c r="I2563" s="116"/>
      <c r="L2563" s="170">
        <v>45782</v>
      </c>
      <c r="M2563" s="116">
        <v>142.08000000000001</v>
      </c>
      <c r="N2563" s="116">
        <v>142.69999999999999</v>
      </c>
      <c r="O2563" s="116">
        <v>141.19999999999999</v>
      </c>
      <c r="P2563" s="116">
        <v>141.57</v>
      </c>
      <c r="Q2563" s="116">
        <v>142.08000000000001</v>
      </c>
      <c r="R2563">
        <v>17213477</v>
      </c>
    </row>
    <row r="2564" spans="1:18" x14ac:dyDescent="0.25">
      <c r="A2564" s="170">
        <v>45783</v>
      </c>
      <c r="B2564" s="116">
        <v>145.35</v>
      </c>
      <c r="C2564" s="116">
        <v>144.4</v>
      </c>
      <c r="D2564" s="116">
        <v>141.5</v>
      </c>
      <c r="E2564" s="116">
        <v>141.6</v>
      </c>
      <c r="F2564" s="116">
        <v>144.4</v>
      </c>
      <c r="G2564">
        <v>3407650</v>
      </c>
      <c r="H2564" s="116"/>
      <c r="I2564" s="116"/>
      <c r="L2564" s="170">
        <v>45783</v>
      </c>
      <c r="M2564" s="116">
        <v>144.44</v>
      </c>
      <c r="N2564" s="116">
        <v>145.4</v>
      </c>
      <c r="O2564" s="116">
        <v>141.54</v>
      </c>
      <c r="P2564" s="116">
        <v>142.08000000000001</v>
      </c>
      <c r="Q2564" s="116">
        <v>144.44</v>
      </c>
      <c r="R2564">
        <v>42658262</v>
      </c>
    </row>
    <row r="2565" spans="1:18" x14ac:dyDescent="0.25">
      <c r="A2565" s="170">
        <v>45784</v>
      </c>
      <c r="B2565" s="116">
        <v>147.4</v>
      </c>
      <c r="C2565" s="116">
        <v>146.30000000000001</v>
      </c>
      <c r="D2565" s="116">
        <v>142.05000000000001</v>
      </c>
      <c r="E2565" s="116">
        <v>142.05000000000001</v>
      </c>
      <c r="F2565" s="116">
        <v>146.30000000000001</v>
      </c>
      <c r="G2565">
        <v>1667608</v>
      </c>
      <c r="H2565" s="116"/>
      <c r="I2565" s="116"/>
      <c r="L2565" s="170">
        <v>45784</v>
      </c>
      <c r="M2565" s="116">
        <v>146</v>
      </c>
      <c r="N2565" s="116">
        <v>146.94999999999999</v>
      </c>
      <c r="O2565" s="116">
        <v>142.19999999999999</v>
      </c>
      <c r="P2565" s="116">
        <v>142.19999999999999</v>
      </c>
      <c r="Q2565" s="116">
        <v>146</v>
      </c>
      <c r="R2565">
        <v>34674594</v>
      </c>
    </row>
    <row r="2566" spans="1:18" x14ac:dyDescent="0.25">
      <c r="A2566" s="170">
        <v>45785</v>
      </c>
      <c r="B2566" s="116">
        <v>146.69999999999999</v>
      </c>
      <c r="C2566" s="116">
        <v>143.65</v>
      </c>
      <c r="D2566" s="116">
        <v>143</v>
      </c>
      <c r="E2566" s="116">
        <v>146.25</v>
      </c>
      <c r="F2566" s="116">
        <v>143.65</v>
      </c>
      <c r="G2566">
        <v>1737854</v>
      </c>
      <c r="H2566" s="116"/>
      <c r="I2566" s="116"/>
      <c r="L2566" s="170">
        <v>45785</v>
      </c>
      <c r="M2566" s="116">
        <v>143.66999999999999</v>
      </c>
      <c r="N2566" s="116">
        <v>146.66</v>
      </c>
      <c r="O2566" s="116">
        <v>142.85</v>
      </c>
      <c r="P2566" s="116">
        <v>146</v>
      </c>
      <c r="Q2566" s="116">
        <v>143.66999999999999</v>
      </c>
      <c r="R2566">
        <v>29687927</v>
      </c>
    </row>
    <row r="2567" spans="1:18" x14ac:dyDescent="0.25">
      <c r="A2567" s="170">
        <v>45786</v>
      </c>
      <c r="B2567" s="116">
        <v>143.30000000000001</v>
      </c>
      <c r="C2567" s="116">
        <v>142.75</v>
      </c>
      <c r="D2567" s="116">
        <v>140.4</v>
      </c>
      <c r="E2567" s="116">
        <v>140.6</v>
      </c>
      <c r="F2567" s="116">
        <v>142.75</v>
      </c>
      <c r="G2567">
        <v>1082494</v>
      </c>
      <c r="H2567" s="116"/>
      <c r="I2567" s="116"/>
      <c r="L2567" s="170">
        <v>45786</v>
      </c>
      <c r="M2567" s="116">
        <v>142.78</v>
      </c>
      <c r="N2567" s="116">
        <v>143.27000000000001</v>
      </c>
      <c r="O2567" s="116">
        <v>140.51</v>
      </c>
      <c r="P2567" s="116">
        <v>140.99</v>
      </c>
      <c r="Q2567" s="116">
        <v>142.78</v>
      </c>
      <c r="R2567">
        <v>21875453</v>
      </c>
    </row>
    <row r="2568" spans="1:18" x14ac:dyDescent="0.25">
      <c r="A2568" s="170">
        <v>45789</v>
      </c>
      <c r="B2568" s="116">
        <v>151.94999999999999</v>
      </c>
      <c r="C2568" s="116">
        <v>151.55000000000001</v>
      </c>
      <c r="D2568" s="116">
        <v>144.94999999999999</v>
      </c>
      <c r="E2568" s="116">
        <v>145.75</v>
      </c>
      <c r="F2568" s="116">
        <v>151.55000000000001</v>
      </c>
      <c r="G2568">
        <v>1709993</v>
      </c>
      <c r="H2568" s="116"/>
      <c r="I2568" s="116"/>
      <c r="L2568" s="170">
        <v>45789</v>
      </c>
      <c r="M2568" s="116">
        <v>151.63</v>
      </c>
      <c r="N2568" s="116">
        <v>151.94999999999999</v>
      </c>
      <c r="O2568" s="116">
        <v>144.5</v>
      </c>
      <c r="P2568" s="116">
        <v>145.61000000000001</v>
      </c>
      <c r="Q2568" s="116">
        <v>151.63</v>
      </c>
      <c r="R2568">
        <v>47087413</v>
      </c>
    </row>
    <row r="2569" spans="1:18" x14ac:dyDescent="0.25">
      <c r="A2569" s="170">
        <v>45790</v>
      </c>
      <c r="B2569" s="116">
        <v>152.94999999999999</v>
      </c>
      <c r="C2569" s="116">
        <v>149.5</v>
      </c>
      <c r="D2569" s="116">
        <v>149.05000000000001</v>
      </c>
      <c r="E2569" s="116">
        <v>152.35</v>
      </c>
      <c r="F2569" s="116">
        <v>149.5</v>
      </c>
      <c r="G2569">
        <v>3408140</v>
      </c>
      <c r="H2569" s="116"/>
      <c r="I2569" s="116"/>
      <c r="L2569" s="170">
        <v>45790</v>
      </c>
      <c r="M2569" s="116">
        <v>149.43</v>
      </c>
      <c r="N2569" s="116">
        <v>152.99</v>
      </c>
      <c r="O2569" s="116">
        <v>149.01</v>
      </c>
      <c r="P2569" s="116">
        <v>152</v>
      </c>
      <c r="Q2569" s="116">
        <v>149.43</v>
      </c>
      <c r="R2569">
        <v>54389876</v>
      </c>
    </row>
    <row r="2570" spans="1:18" x14ac:dyDescent="0.25">
      <c r="A2570" s="170">
        <v>45791</v>
      </c>
      <c r="B2570" s="116">
        <v>157.15</v>
      </c>
      <c r="C2570" s="116">
        <v>155.30000000000001</v>
      </c>
      <c r="D2570" s="116">
        <v>151</v>
      </c>
      <c r="E2570" s="116">
        <v>151.19999999999999</v>
      </c>
      <c r="F2570" s="116">
        <v>155.30000000000001</v>
      </c>
      <c r="G2570">
        <v>4546411</v>
      </c>
      <c r="H2570" s="116"/>
      <c r="I2570" s="116"/>
      <c r="L2570" s="170">
        <v>45791</v>
      </c>
      <c r="M2570" s="116">
        <v>155.31</v>
      </c>
      <c r="N2570" s="116">
        <v>157.15</v>
      </c>
      <c r="O2570" s="116">
        <v>151</v>
      </c>
      <c r="P2570" s="116">
        <v>151</v>
      </c>
      <c r="Q2570" s="116">
        <v>155.31</v>
      </c>
      <c r="R2570">
        <v>60002060</v>
      </c>
    </row>
    <row r="2571" spans="1:18" x14ac:dyDescent="0.25">
      <c r="A2571" s="170">
        <v>45792</v>
      </c>
      <c r="B2571" s="116">
        <v>157.85</v>
      </c>
      <c r="C2571" s="116">
        <v>157.35</v>
      </c>
      <c r="D2571" s="116">
        <v>154.30000000000001</v>
      </c>
      <c r="E2571" s="116">
        <v>156.05000000000001</v>
      </c>
      <c r="F2571" s="116">
        <v>157.35</v>
      </c>
      <c r="G2571">
        <v>1810366</v>
      </c>
      <c r="H2571" s="116"/>
      <c r="I2571" s="116"/>
      <c r="L2571" s="170">
        <v>45792</v>
      </c>
      <c r="M2571" s="116">
        <v>157.35</v>
      </c>
      <c r="N2571" s="116">
        <v>157.84</v>
      </c>
      <c r="O2571" s="116">
        <v>154.30000000000001</v>
      </c>
      <c r="P2571" s="116">
        <v>155.5</v>
      </c>
      <c r="Q2571" s="116">
        <v>157.35</v>
      </c>
      <c r="R2571">
        <v>57066105</v>
      </c>
    </row>
    <row r="2572" spans="1:18" x14ac:dyDescent="0.25">
      <c r="A2572" s="170">
        <v>45793</v>
      </c>
      <c r="B2572" s="116">
        <v>158.25</v>
      </c>
      <c r="C2572" s="116">
        <v>157.44999999999999</v>
      </c>
      <c r="D2572" s="116">
        <v>157</v>
      </c>
      <c r="E2572" s="116">
        <v>157.75</v>
      </c>
      <c r="F2572" s="116">
        <v>157.44999999999999</v>
      </c>
      <c r="G2572">
        <v>918450</v>
      </c>
      <c r="H2572" s="116"/>
      <c r="I2572" s="116"/>
      <c r="L2572" s="170">
        <v>45793</v>
      </c>
      <c r="M2572" s="116">
        <v>157.55000000000001</v>
      </c>
      <c r="N2572" s="116">
        <v>158.15</v>
      </c>
      <c r="O2572" s="116">
        <v>157</v>
      </c>
      <c r="P2572" s="116">
        <v>157.35</v>
      </c>
      <c r="Q2572" s="116">
        <v>157.55000000000001</v>
      </c>
      <c r="R2572">
        <v>22884754</v>
      </c>
    </row>
    <row r="2573" spans="1:18" x14ac:dyDescent="0.25">
      <c r="A2573" s="170">
        <v>45796</v>
      </c>
      <c r="B2573" s="116">
        <v>158.05000000000001</v>
      </c>
      <c r="C2573" s="116">
        <v>157.5</v>
      </c>
      <c r="D2573" s="116">
        <v>156.15</v>
      </c>
      <c r="E2573" s="116">
        <v>157.05000000000001</v>
      </c>
      <c r="F2573" s="116">
        <v>157.5</v>
      </c>
      <c r="G2573">
        <v>837651</v>
      </c>
      <c r="H2573" s="116"/>
      <c r="I2573" s="116"/>
      <c r="L2573" s="170">
        <v>45796</v>
      </c>
      <c r="M2573" s="116">
        <v>157.57</v>
      </c>
      <c r="N2573" s="116">
        <v>158.13999999999999</v>
      </c>
      <c r="O2573" s="116">
        <v>156.13</v>
      </c>
      <c r="P2573" s="116">
        <v>158</v>
      </c>
      <c r="Q2573" s="116">
        <v>157.57</v>
      </c>
      <c r="R2573">
        <v>21839582</v>
      </c>
    </row>
    <row r="2574" spans="1:18" x14ac:dyDescent="0.25">
      <c r="A2574" s="170">
        <v>45797</v>
      </c>
      <c r="B2574" s="116">
        <v>162</v>
      </c>
      <c r="C2574" s="116">
        <v>158.65</v>
      </c>
      <c r="D2574" s="116">
        <v>158.05000000000001</v>
      </c>
      <c r="E2574" s="116">
        <v>158.05000000000001</v>
      </c>
      <c r="F2574" s="116">
        <v>158.65</v>
      </c>
      <c r="G2574">
        <v>1759376</v>
      </c>
      <c r="H2574" s="116"/>
      <c r="I2574" s="116"/>
      <c r="L2574" s="170">
        <v>45797</v>
      </c>
      <c r="M2574" s="116">
        <v>158.69</v>
      </c>
      <c r="N2574" s="116">
        <v>162.1</v>
      </c>
      <c r="O2574" s="116">
        <v>158</v>
      </c>
      <c r="P2574" s="116">
        <v>158.35</v>
      </c>
      <c r="Q2574" s="116">
        <v>158.69</v>
      </c>
      <c r="R2574">
        <v>58061639</v>
      </c>
    </row>
    <row r="2575" spans="1:18" x14ac:dyDescent="0.25">
      <c r="A2575" s="170">
        <v>45798</v>
      </c>
      <c r="B2575" s="116">
        <v>161.9</v>
      </c>
      <c r="C2575" s="116">
        <v>161.6</v>
      </c>
      <c r="D2575" s="116">
        <v>158.6</v>
      </c>
      <c r="E2575" s="116">
        <v>159.35</v>
      </c>
      <c r="F2575" s="116">
        <v>161.6</v>
      </c>
      <c r="G2575">
        <v>986711</v>
      </c>
      <c r="H2575" s="116"/>
      <c r="I2575" s="116"/>
      <c r="L2575" s="170">
        <v>45798</v>
      </c>
      <c r="M2575" s="116">
        <v>161.63999999999999</v>
      </c>
      <c r="N2575" s="116">
        <v>161.85</v>
      </c>
      <c r="O2575" s="116">
        <v>158.53</v>
      </c>
      <c r="P2575" s="116">
        <v>159.44999999999999</v>
      </c>
      <c r="Q2575" s="116">
        <v>161.63999999999999</v>
      </c>
      <c r="R2575">
        <v>36044599</v>
      </c>
    </row>
    <row r="2576" spans="1:18" x14ac:dyDescent="0.25">
      <c r="A2576" s="170">
        <v>45799</v>
      </c>
      <c r="B2576" s="116">
        <v>163.55000000000001</v>
      </c>
      <c r="C2576" s="116">
        <v>161.25</v>
      </c>
      <c r="D2576" s="116">
        <v>160.05000000000001</v>
      </c>
      <c r="E2576" s="116">
        <v>160.05000000000001</v>
      </c>
      <c r="F2576" s="116">
        <v>161.25</v>
      </c>
      <c r="G2576">
        <v>1971611</v>
      </c>
      <c r="H2576" s="116"/>
      <c r="I2576" s="116"/>
      <c r="L2576" s="170">
        <v>45799</v>
      </c>
      <c r="M2576" s="116">
        <v>161.29</v>
      </c>
      <c r="N2576" s="116">
        <v>163.6</v>
      </c>
      <c r="O2576" s="116">
        <v>160.36000000000001</v>
      </c>
      <c r="P2576" s="116">
        <v>160.97999999999999</v>
      </c>
      <c r="Q2576" s="116">
        <v>161.29</v>
      </c>
      <c r="R2576">
        <v>60715453</v>
      </c>
    </row>
    <row r="2577" spans="1:18" x14ac:dyDescent="0.25">
      <c r="A2577" s="170">
        <v>45800</v>
      </c>
      <c r="B2577" s="116">
        <v>163.25</v>
      </c>
      <c r="C2577" s="116">
        <v>162.9</v>
      </c>
      <c r="D2577" s="116">
        <v>161.5</v>
      </c>
      <c r="E2577" s="116">
        <v>161.5</v>
      </c>
      <c r="F2577" s="116">
        <v>162.9</v>
      </c>
      <c r="G2577">
        <v>1313619</v>
      </c>
      <c r="H2577" s="116"/>
      <c r="I2577" s="116"/>
      <c r="L2577" s="170">
        <v>45800</v>
      </c>
      <c r="M2577" s="116">
        <v>162.97</v>
      </c>
      <c r="N2577" s="116">
        <v>163.53</v>
      </c>
      <c r="O2577" s="116">
        <v>161.5</v>
      </c>
      <c r="P2577" s="116">
        <v>161.6</v>
      </c>
      <c r="Q2577" s="116">
        <v>162.97</v>
      </c>
      <c r="R2577">
        <v>29483665</v>
      </c>
    </row>
    <row r="2578" spans="1:18" x14ac:dyDescent="0.25">
      <c r="A2578" s="170">
        <v>45803</v>
      </c>
      <c r="B2578" s="116">
        <v>165.6</v>
      </c>
      <c r="C2578" s="116">
        <v>162.4</v>
      </c>
      <c r="D2578" s="116">
        <v>162</v>
      </c>
      <c r="E2578" s="116">
        <v>163</v>
      </c>
      <c r="F2578" s="116">
        <v>162.4</v>
      </c>
      <c r="G2578">
        <v>1107656</v>
      </c>
      <c r="H2578" s="116"/>
      <c r="I2578" s="116"/>
      <c r="L2578" s="170">
        <v>45803</v>
      </c>
      <c r="M2578" s="116">
        <v>162.51</v>
      </c>
      <c r="N2578" s="116">
        <v>165.55</v>
      </c>
      <c r="O2578" s="116">
        <v>162.05000000000001</v>
      </c>
      <c r="P2578" s="116">
        <v>163.1</v>
      </c>
      <c r="Q2578" s="116">
        <v>162.51</v>
      </c>
      <c r="R2578">
        <v>25581584</v>
      </c>
    </row>
    <row r="2579" spans="1:18" x14ac:dyDescent="0.25">
      <c r="A2579" s="170">
        <v>45804</v>
      </c>
      <c r="B2579" s="116">
        <v>163.9</v>
      </c>
      <c r="C2579" s="116">
        <v>161.69999999999999</v>
      </c>
      <c r="D2579" s="116">
        <v>160.55000000000001</v>
      </c>
      <c r="E2579" s="116">
        <v>162.30000000000001</v>
      </c>
      <c r="F2579" s="116">
        <v>161.69999999999999</v>
      </c>
      <c r="G2579">
        <v>1240748</v>
      </c>
      <c r="H2579" s="116"/>
      <c r="I2579" s="116"/>
      <c r="L2579" s="170">
        <v>45804</v>
      </c>
      <c r="M2579" s="116">
        <v>161.66</v>
      </c>
      <c r="N2579" s="116">
        <v>163.9</v>
      </c>
      <c r="O2579" s="116">
        <v>160.62</v>
      </c>
      <c r="P2579" s="116">
        <v>162.51</v>
      </c>
      <c r="Q2579" s="116">
        <v>161.66</v>
      </c>
      <c r="R2579">
        <v>23296776</v>
      </c>
    </row>
    <row r="2580" spans="1:18" x14ac:dyDescent="0.25">
      <c r="A2580" s="170">
        <v>45805</v>
      </c>
      <c r="B2580" s="116">
        <v>162.69999999999999</v>
      </c>
      <c r="C2580" s="116">
        <v>161.05000000000001</v>
      </c>
      <c r="D2580" s="116">
        <v>160.6</v>
      </c>
      <c r="E2580" s="116">
        <v>162.6</v>
      </c>
      <c r="F2580" s="116">
        <v>161.05000000000001</v>
      </c>
      <c r="G2580">
        <v>1164070</v>
      </c>
      <c r="H2580" s="116"/>
      <c r="I2580" s="116"/>
      <c r="L2580" s="170">
        <v>45805</v>
      </c>
      <c r="M2580" s="116">
        <v>161.24</v>
      </c>
      <c r="N2580" s="116">
        <v>162.69</v>
      </c>
      <c r="O2580" s="116">
        <v>160.65</v>
      </c>
      <c r="P2580" s="116">
        <v>162.4</v>
      </c>
      <c r="Q2580" s="116">
        <v>161.24</v>
      </c>
      <c r="R2580">
        <v>13044476</v>
      </c>
    </row>
    <row r="2581" spans="1:18" x14ac:dyDescent="0.25">
      <c r="A2581" s="170">
        <v>45806</v>
      </c>
      <c r="B2581" s="116">
        <v>163.95</v>
      </c>
      <c r="C2581" s="116">
        <v>163.1</v>
      </c>
      <c r="D2581" s="116">
        <v>161.4</v>
      </c>
      <c r="E2581" s="116">
        <v>162</v>
      </c>
      <c r="F2581" s="116">
        <v>163.1</v>
      </c>
      <c r="G2581">
        <v>1081277</v>
      </c>
      <c r="H2581" s="116"/>
      <c r="I2581" s="116"/>
      <c r="L2581" s="170">
        <v>45806</v>
      </c>
      <c r="M2581" s="116">
        <v>163.12</v>
      </c>
      <c r="N2581" s="116">
        <v>163.95</v>
      </c>
      <c r="O2581" s="116">
        <v>161.5</v>
      </c>
      <c r="P2581" s="116">
        <v>162.19</v>
      </c>
      <c r="Q2581" s="116">
        <v>163.12</v>
      </c>
      <c r="R2581">
        <v>26455081</v>
      </c>
    </row>
    <row r="2582" spans="1:18" x14ac:dyDescent="0.25">
      <c r="A2582" s="170">
        <v>45807</v>
      </c>
      <c r="B2582" s="116">
        <v>163.9</v>
      </c>
      <c r="C2582" s="116">
        <v>161</v>
      </c>
      <c r="D2582" s="116">
        <v>160.5</v>
      </c>
      <c r="E2582" s="116">
        <v>163.1</v>
      </c>
      <c r="F2582" s="116">
        <v>161</v>
      </c>
      <c r="G2582">
        <v>632196</v>
      </c>
      <c r="H2582" s="116"/>
      <c r="I2582" s="116"/>
      <c r="L2582" s="170">
        <v>45807</v>
      </c>
      <c r="M2582" s="116">
        <v>161.02000000000001</v>
      </c>
      <c r="N2582" s="116">
        <v>163.89</v>
      </c>
      <c r="O2582" s="116">
        <v>160.51</v>
      </c>
      <c r="P2582" s="116">
        <v>163.11000000000001</v>
      </c>
      <c r="Q2582" s="116">
        <v>161.02000000000001</v>
      </c>
      <c r="R2582">
        <v>32739340</v>
      </c>
    </row>
    <row r="2583" spans="1:18" x14ac:dyDescent="0.25">
      <c r="A2583" s="170">
        <v>45810</v>
      </c>
      <c r="B2583" s="116">
        <v>160.19999999999999</v>
      </c>
      <c r="C2583" s="116">
        <v>159.05000000000001</v>
      </c>
      <c r="D2583" s="116">
        <v>157.25</v>
      </c>
      <c r="E2583" s="116">
        <v>158.05000000000001</v>
      </c>
      <c r="F2583" s="116">
        <v>159.05000000000001</v>
      </c>
      <c r="G2583">
        <v>1058729</v>
      </c>
      <c r="H2583" s="116"/>
      <c r="I2583" s="116"/>
      <c r="L2583" s="170">
        <v>45810</v>
      </c>
      <c r="M2583" s="116">
        <v>159.04</v>
      </c>
      <c r="N2583" s="116">
        <v>160.12</v>
      </c>
      <c r="O2583" s="116">
        <v>157.30000000000001</v>
      </c>
      <c r="P2583" s="116">
        <v>159</v>
      </c>
      <c r="Q2583" s="116">
        <v>159.04</v>
      </c>
      <c r="R2583">
        <v>31365564</v>
      </c>
    </row>
    <row r="2584" spans="1:18" x14ac:dyDescent="0.25">
      <c r="A2584" s="170">
        <v>45811</v>
      </c>
      <c r="B2584" s="116">
        <v>160.6</v>
      </c>
      <c r="C2584" s="116">
        <v>157.30000000000001</v>
      </c>
      <c r="D2584" s="116">
        <v>157.05000000000001</v>
      </c>
      <c r="E2584" s="116">
        <v>159</v>
      </c>
      <c r="F2584" s="116">
        <v>157.30000000000001</v>
      </c>
      <c r="G2584">
        <v>1679863</v>
      </c>
      <c r="H2584" s="116"/>
      <c r="I2584" s="116"/>
      <c r="L2584" s="170">
        <v>45811</v>
      </c>
      <c r="M2584" s="116">
        <v>157.35</v>
      </c>
      <c r="N2584" s="116">
        <v>160.65</v>
      </c>
      <c r="O2584" s="116">
        <v>157.16999999999999</v>
      </c>
      <c r="P2584" s="116">
        <v>159.04</v>
      </c>
      <c r="Q2584" s="116">
        <v>157.35</v>
      </c>
      <c r="R2584">
        <v>28398746</v>
      </c>
    </row>
    <row r="2585" spans="1:18" x14ac:dyDescent="0.25">
      <c r="A2585" s="170">
        <v>45812</v>
      </c>
      <c r="B2585" s="116">
        <v>158.94999999999999</v>
      </c>
      <c r="C2585" s="116">
        <v>158.15</v>
      </c>
      <c r="D2585" s="116">
        <v>156.80000000000001</v>
      </c>
      <c r="E2585" s="116">
        <v>157.25</v>
      </c>
      <c r="F2585" s="116">
        <v>158.15</v>
      </c>
      <c r="G2585">
        <v>699088</v>
      </c>
      <c r="H2585" s="116"/>
      <c r="I2585" s="116"/>
      <c r="L2585" s="170">
        <v>45812</v>
      </c>
      <c r="M2585" s="116">
        <v>158.18</v>
      </c>
      <c r="N2585" s="116">
        <v>158.97999999999999</v>
      </c>
      <c r="O2585" s="116">
        <v>156.81</v>
      </c>
      <c r="P2585" s="116">
        <v>157.5</v>
      </c>
      <c r="Q2585" s="116">
        <v>158.18</v>
      </c>
      <c r="R2585">
        <v>16660138</v>
      </c>
    </row>
    <row r="2586" spans="1:18" x14ac:dyDescent="0.25">
      <c r="A2586" s="170">
        <v>45813</v>
      </c>
      <c r="B2586" s="116">
        <v>159.1</v>
      </c>
      <c r="C2586" s="116">
        <v>158</v>
      </c>
      <c r="D2586" s="116">
        <v>157</v>
      </c>
      <c r="E2586" s="116">
        <v>158.6</v>
      </c>
      <c r="F2586" s="116">
        <v>158</v>
      </c>
      <c r="G2586">
        <v>641989</v>
      </c>
      <c r="H2586" s="116"/>
      <c r="I2586" s="116"/>
      <c r="L2586" s="170">
        <v>45813</v>
      </c>
      <c r="M2586" s="116">
        <v>157.97</v>
      </c>
      <c r="N2586" s="116">
        <v>159.09</v>
      </c>
      <c r="O2586" s="116">
        <v>157.05000000000001</v>
      </c>
      <c r="P2586" s="116">
        <v>158.86000000000001</v>
      </c>
      <c r="Q2586" s="116">
        <v>157.97</v>
      </c>
      <c r="R2586">
        <v>23708504</v>
      </c>
    </row>
    <row r="2587" spans="1:18" x14ac:dyDescent="0.25">
      <c r="A2587" s="170">
        <v>45814</v>
      </c>
      <c r="B2587" s="116">
        <v>157.85</v>
      </c>
      <c r="C2587" s="116">
        <v>157.5</v>
      </c>
      <c r="D2587" s="116">
        <v>154.30000000000001</v>
      </c>
      <c r="E2587" s="116">
        <v>155.9</v>
      </c>
      <c r="F2587" s="116">
        <v>157.5</v>
      </c>
      <c r="G2587">
        <v>1469254</v>
      </c>
      <c r="H2587" s="116"/>
      <c r="I2587" s="116"/>
      <c r="L2587" s="170">
        <v>45814</v>
      </c>
      <c r="M2587" s="116">
        <v>157.49</v>
      </c>
      <c r="N2587" s="116">
        <v>157.88</v>
      </c>
      <c r="O2587" s="116">
        <v>154.25</v>
      </c>
      <c r="P2587" s="116">
        <v>155.69999999999999</v>
      </c>
      <c r="Q2587" s="116">
        <v>157.49</v>
      </c>
      <c r="R2587">
        <v>25804151</v>
      </c>
    </row>
    <row r="2588" spans="1:18" x14ac:dyDescent="0.25">
      <c r="A2588" s="170">
        <v>45817</v>
      </c>
      <c r="B2588" s="116">
        <v>158.25</v>
      </c>
      <c r="C2588" s="116">
        <v>157.25</v>
      </c>
      <c r="D2588" s="116">
        <v>156.75</v>
      </c>
      <c r="E2588" s="116">
        <v>157.5</v>
      </c>
      <c r="F2588" s="116">
        <v>157.25</v>
      </c>
      <c r="G2588">
        <v>1526657</v>
      </c>
      <c r="H2588" s="116"/>
      <c r="I2588" s="116"/>
      <c r="L2588" s="170">
        <v>45817</v>
      </c>
      <c r="M2588" s="116">
        <v>157.32</v>
      </c>
      <c r="N2588" s="116">
        <v>158.19999999999999</v>
      </c>
      <c r="O2588" s="116">
        <v>156.82</v>
      </c>
      <c r="P2588" s="116">
        <v>157.69</v>
      </c>
      <c r="Q2588" s="116">
        <v>157.32</v>
      </c>
      <c r="R2588">
        <v>15315437</v>
      </c>
    </row>
    <row r="2589" spans="1:18" x14ac:dyDescent="0.25">
      <c r="A2589" s="170">
        <v>45818</v>
      </c>
      <c r="B2589" s="116">
        <v>159.35</v>
      </c>
      <c r="C2589" s="116">
        <v>155.69999999999999</v>
      </c>
      <c r="D2589" s="116">
        <v>155.44999999999999</v>
      </c>
      <c r="E2589" s="116">
        <v>157.80000000000001</v>
      </c>
      <c r="F2589" s="116">
        <v>155.69999999999999</v>
      </c>
      <c r="G2589">
        <v>1172765</v>
      </c>
      <c r="H2589" s="116"/>
      <c r="I2589" s="116"/>
      <c r="L2589" s="170">
        <v>45818</v>
      </c>
      <c r="M2589" s="116">
        <v>155.68</v>
      </c>
      <c r="N2589" s="116">
        <v>159.30000000000001</v>
      </c>
      <c r="O2589" s="116">
        <v>155.5</v>
      </c>
      <c r="P2589" s="116">
        <v>158</v>
      </c>
      <c r="Q2589" s="116">
        <v>155.68</v>
      </c>
      <c r="R2589">
        <v>22764080</v>
      </c>
    </row>
    <row r="2590" spans="1:18" x14ac:dyDescent="0.25">
      <c r="A2590" s="170">
        <v>45819</v>
      </c>
      <c r="B2590" s="116">
        <v>157.55000000000001</v>
      </c>
      <c r="C2590" s="116">
        <v>156.35</v>
      </c>
      <c r="D2590" s="116">
        <v>155.25</v>
      </c>
      <c r="E2590" s="116">
        <v>156.19999999999999</v>
      </c>
      <c r="F2590" s="116">
        <v>156.35</v>
      </c>
      <c r="G2590">
        <v>1282320</v>
      </c>
      <c r="H2590" s="116"/>
      <c r="I2590" s="116"/>
      <c r="L2590" s="170">
        <v>45819</v>
      </c>
      <c r="M2590" s="116">
        <v>156.41</v>
      </c>
      <c r="N2590" s="116">
        <v>157.53</v>
      </c>
      <c r="O2590" s="116">
        <v>155.31</v>
      </c>
      <c r="P2590" s="116">
        <v>156.44999999999999</v>
      </c>
      <c r="Q2590" s="116">
        <v>156.41</v>
      </c>
      <c r="R2590">
        <v>17605668</v>
      </c>
    </row>
    <row r="2591" spans="1:18" x14ac:dyDescent="0.25">
      <c r="A2591" s="170">
        <v>45820</v>
      </c>
      <c r="B2591" s="116">
        <v>156.19999999999999</v>
      </c>
      <c r="C2591" s="116">
        <v>152.85</v>
      </c>
      <c r="D2591" s="116">
        <v>151.85</v>
      </c>
      <c r="E2591" s="116">
        <v>156.19999999999999</v>
      </c>
      <c r="F2591" s="116">
        <v>152.85</v>
      </c>
      <c r="G2591">
        <v>806446</v>
      </c>
      <c r="H2591" s="116"/>
      <c r="I2591" s="116"/>
      <c r="L2591" s="170">
        <v>45820</v>
      </c>
      <c r="M2591" s="116">
        <v>152.88999999999999</v>
      </c>
      <c r="N2591" s="116">
        <v>156.26</v>
      </c>
      <c r="O2591" s="116">
        <v>151.85</v>
      </c>
      <c r="P2591" s="116">
        <v>156</v>
      </c>
      <c r="Q2591" s="116">
        <v>152.88999999999999</v>
      </c>
      <c r="R2591">
        <v>27846151</v>
      </c>
    </row>
    <row r="2592" spans="1:18" x14ac:dyDescent="0.25">
      <c r="A2592" s="170">
        <v>45821</v>
      </c>
      <c r="B2592" s="116">
        <v>152.4</v>
      </c>
      <c r="C2592" s="116">
        <v>152.19999999999999</v>
      </c>
      <c r="D2592" s="116">
        <v>149.69999999999999</v>
      </c>
      <c r="E2592" s="116">
        <v>150.85</v>
      </c>
      <c r="F2592" s="116">
        <v>152.19999999999999</v>
      </c>
      <c r="G2592">
        <v>1405591</v>
      </c>
      <c r="H2592" s="116"/>
      <c r="I2592" s="116"/>
      <c r="L2592" s="170">
        <v>45821</v>
      </c>
      <c r="M2592" s="116">
        <v>152.13</v>
      </c>
      <c r="N2592" s="116">
        <v>152.5</v>
      </c>
      <c r="O2592" s="116">
        <v>149.80000000000001</v>
      </c>
      <c r="P2592" s="116">
        <v>149.80000000000001</v>
      </c>
      <c r="Q2592" s="116">
        <v>152.13</v>
      </c>
      <c r="R2592">
        <v>24277592</v>
      </c>
    </row>
    <row r="2593" spans="1:18" x14ac:dyDescent="0.25">
      <c r="A2593" s="170">
        <v>45824</v>
      </c>
      <c r="B2593" s="116">
        <v>154.44999999999999</v>
      </c>
      <c r="C2593" s="116">
        <v>154.1</v>
      </c>
      <c r="D2593" s="116">
        <v>150.80000000000001</v>
      </c>
      <c r="E2593" s="116">
        <v>151.4</v>
      </c>
      <c r="F2593" s="116">
        <v>154.1</v>
      </c>
      <c r="G2593">
        <v>1127804</v>
      </c>
      <c r="H2593" s="116"/>
      <c r="I2593" s="116"/>
      <c r="L2593" s="170">
        <v>45824</v>
      </c>
      <c r="M2593" s="116">
        <v>154.16999999999999</v>
      </c>
      <c r="N2593" s="116">
        <v>154.5</v>
      </c>
      <c r="O2593" s="116">
        <v>150.84</v>
      </c>
      <c r="P2593" s="116">
        <v>152.01</v>
      </c>
      <c r="Q2593" s="116">
        <v>154.16999999999999</v>
      </c>
      <c r="R2593">
        <v>16188193</v>
      </c>
    </row>
    <row r="2594" spans="1:18" x14ac:dyDescent="0.25">
      <c r="A2594" s="170">
        <v>45825</v>
      </c>
      <c r="B2594" s="116">
        <v>154.9</v>
      </c>
      <c r="C2594" s="116">
        <v>152.6</v>
      </c>
      <c r="D2594" s="116">
        <v>152.4</v>
      </c>
      <c r="E2594" s="116">
        <v>153.94999999999999</v>
      </c>
      <c r="F2594" s="116">
        <v>152.6</v>
      </c>
      <c r="G2594">
        <v>442379</v>
      </c>
      <c r="H2594" s="116"/>
      <c r="I2594" s="116"/>
      <c r="L2594" s="170">
        <v>45825</v>
      </c>
      <c r="M2594" s="116">
        <v>152.6</v>
      </c>
      <c r="N2594" s="116">
        <v>154.88999999999999</v>
      </c>
      <c r="O2594" s="116">
        <v>152.35</v>
      </c>
      <c r="P2594" s="116">
        <v>153.81</v>
      </c>
      <c r="Q2594" s="116">
        <v>152.6</v>
      </c>
      <c r="R2594">
        <v>16740382</v>
      </c>
    </row>
    <row r="2595" spans="1:18" x14ac:dyDescent="0.25">
      <c r="A2595" s="170">
        <v>45826</v>
      </c>
      <c r="B2595" s="116">
        <v>153.19999999999999</v>
      </c>
      <c r="C2595" s="116">
        <v>152.05000000000001</v>
      </c>
      <c r="D2595" s="116">
        <v>150.80000000000001</v>
      </c>
      <c r="E2595" s="116">
        <v>152</v>
      </c>
      <c r="F2595" s="116">
        <v>152.05000000000001</v>
      </c>
      <c r="G2595">
        <v>754067</v>
      </c>
      <c r="H2595" s="116"/>
      <c r="I2595" s="116"/>
      <c r="L2595" s="170">
        <v>45826</v>
      </c>
      <c r="M2595" s="116">
        <v>152.11000000000001</v>
      </c>
      <c r="N2595" s="116">
        <v>153.19999999999999</v>
      </c>
      <c r="O2595" s="116">
        <v>150.80000000000001</v>
      </c>
      <c r="P2595" s="116">
        <v>152.19999999999999</v>
      </c>
      <c r="Q2595" s="116">
        <v>152.11000000000001</v>
      </c>
      <c r="R2595">
        <v>14860746</v>
      </c>
    </row>
    <row r="2596" spans="1:18" x14ac:dyDescent="0.25">
      <c r="A2596" s="170">
        <v>45827</v>
      </c>
      <c r="B2596" s="116">
        <v>152.5</v>
      </c>
      <c r="C2596" s="116">
        <v>150.94999999999999</v>
      </c>
      <c r="D2596" s="116">
        <v>150.44999999999999</v>
      </c>
      <c r="E2596" s="116">
        <v>151.80000000000001</v>
      </c>
      <c r="F2596" s="116">
        <v>150.94999999999999</v>
      </c>
      <c r="G2596">
        <v>502194</v>
      </c>
      <c r="H2596" s="116"/>
      <c r="I2596" s="116"/>
      <c r="L2596" s="170">
        <v>45827</v>
      </c>
      <c r="M2596" s="116">
        <v>151</v>
      </c>
      <c r="N2596" s="116">
        <v>152.44999999999999</v>
      </c>
      <c r="O2596" s="116">
        <v>150.5</v>
      </c>
      <c r="P2596" s="116">
        <v>152</v>
      </c>
      <c r="Q2596" s="116">
        <v>151</v>
      </c>
      <c r="R2596">
        <v>20145922</v>
      </c>
    </row>
    <row r="2597" spans="1:18" x14ac:dyDescent="0.25">
      <c r="A2597" s="170">
        <v>45828</v>
      </c>
      <c r="B2597" s="116">
        <v>153.19999999999999</v>
      </c>
      <c r="C2597" s="116">
        <v>151.9</v>
      </c>
      <c r="D2597" s="116">
        <v>150.6</v>
      </c>
      <c r="E2597" s="116">
        <v>150.94999999999999</v>
      </c>
      <c r="F2597" s="116">
        <v>151.9</v>
      </c>
      <c r="G2597">
        <v>488365</v>
      </c>
      <c r="H2597" s="116"/>
      <c r="I2597" s="116"/>
      <c r="L2597" s="170">
        <v>45828</v>
      </c>
      <c r="M2597" s="116">
        <v>151.97</v>
      </c>
      <c r="N2597" s="116">
        <v>153.16999999999999</v>
      </c>
      <c r="O2597" s="116">
        <v>150.63</v>
      </c>
      <c r="P2597" s="116">
        <v>150.75</v>
      </c>
      <c r="Q2597" s="116">
        <v>151.97</v>
      </c>
      <c r="R2597">
        <v>29944714</v>
      </c>
    </row>
    <row r="2598" spans="1:18" x14ac:dyDescent="0.25">
      <c r="A2598" s="170">
        <v>45831</v>
      </c>
      <c r="B2598" s="116">
        <v>153.35</v>
      </c>
      <c r="C2598" s="116">
        <v>152.44999999999999</v>
      </c>
      <c r="D2598" s="116">
        <v>150.44999999999999</v>
      </c>
      <c r="E2598" s="116">
        <v>150.5</v>
      </c>
      <c r="F2598" s="116">
        <v>152.44999999999999</v>
      </c>
      <c r="G2598">
        <v>566461</v>
      </c>
      <c r="H2598" s="116"/>
      <c r="I2598" s="116"/>
      <c r="L2598" s="170">
        <v>45831</v>
      </c>
      <c r="M2598" s="116">
        <v>152.43</v>
      </c>
      <c r="N2598" s="116">
        <v>153.30000000000001</v>
      </c>
      <c r="O2598" s="116">
        <v>150.47999999999999</v>
      </c>
      <c r="P2598" s="116">
        <v>150.5</v>
      </c>
      <c r="Q2598" s="116">
        <v>152.43</v>
      </c>
      <c r="R2598">
        <v>17096676</v>
      </c>
    </row>
    <row r="2599" spans="1:18" x14ac:dyDescent="0.25">
      <c r="A2599" s="170">
        <v>45832</v>
      </c>
      <c r="B2599" s="116">
        <v>157</v>
      </c>
      <c r="C2599" s="116">
        <v>154.80000000000001</v>
      </c>
      <c r="D2599" s="116">
        <v>153.30000000000001</v>
      </c>
      <c r="E2599" s="116">
        <v>153.30000000000001</v>
      </c>
      <c r="F2599" s="116">
        <v>154.80000000000001</v>
      </c>
      <c r="G2599">
        <v>1831943</v>
      </c>
      <c r="H2599" s="116"/>
      <c r="I2599" s="116"/>
      <c r="L2599" s="170">
        <v>45832</v>
      </c>
      <c r="M2599" s="116">
        <v>154.79</v>
      </c>
      <c r="N2599" s="116">
        <v>156.97</v>
      </c>
      <c r="O2599" s="116">
        <v>153.63999999999999</v>
      </c>
      <c r="P2599" s="116">
        <v>153.80000000000001</v>
      </c>
      <c r="Q2599" s="116">
        <v>154.79</v>
      </c>
      <c r="R2599">
        <v>25403324</v>
      </c>
    </row>
    <row r="2600" spans="1:18" x14ac:dyDescent="0.25">
      <c r="A2600" s="170">
        <v>45833</v>
      </c>
      <c r="B2600" s="116">
        <v>156.85</v>
      </c>
      <c r="C2600" s="116">
        <v>156.4</v>
      </c>
      <c r="D2600" s="116">
        <v>155.5</v>
      </c>
      <c r="E2600" s="116">
        <v>156</v>
      </c>
      <c r="F2600" s="116">
        <v>156.4</v>
      </c>
      <c r="G2600">
        <v>833954</v>
      </c>
      <c r="H2600" s="116"/>
      <c r="I2600" s="116"/>
      <c r="L2600" s="170">
        <v>45833</v>
      </c>
      <c r="M2600" s="116">
        <v>156.38999999999999</v>
      </c>
      <c r="N2600" s="116">
        <v>156.9</v>
      </c>
      <c r="O2600" s="116">
        <v>155.51</v>
      </c>
      <c r="P2600" s="116">
        <v>155.9</v>
      </c>
      <c r="Q2600" s="116">
        <v>156.38999999999999</v>
      </c>
      <c r="R2600">
        <v>18240433</v>
      </c>
    </row>
    <row r="2601" spans="1:18" x14ac:dyDescent="0.25">
      <c r="A2601" s="170">
        <v>45834</v>
      </c>
      <c r="B2601" s="116">
        <v>161</v>
      </c>
      <c r="C2601" s="116">
        <v>160.5</v>
      </c>
      <c r="D2601" s="116">
        <v>156.55000000000001</v>
      </c>
      <c r="E2601" s="116">
        <v>156.6</v>
      </c>
      <c r="F2601" s="116">
        <v>160.5</v>
      </c>
      <c r="G2601">
        <v>3293862</v>
      </c>
      <c r="H2601" s="116"/>
      <c r="I2601" s="116"/>
      <c r="L2601" s="170">
        <v>45834</v>
      </c>
      <c r="M2601" s="116">
        <v>160.54</v>
      </c>
      <c r="N2601" s="116">
        <v>161.1</v>
      </c>
      <c r="O2601" s="116">
        <v>156.44999999999999</v>
      </c>
      <c r="P2601" s="116">
        <v>156.87</v>
      </c>
      <c r="Q2601" s="116">
        <v>160.54</v>
      </c>
      <c r="R2601">
        <v>40650557</v>
      </c>
    </row>
    <row r="2602" spans="1:18" x14ac:dyDescent="0.25">
      <c r="A2602" s="170">
        <v>45835</v>
      </c>
      <c r="B2602" s="116">
        <v>163.35</v>
      </c>
      <c r="C2602" s="116">
        <v>161.4</v>
      </c>
      <c r="D2602" s="116">
        <v>160.75</v>
      </c>
      <c r="E2602" s="116">
        <v>160.75</v>
      </c>
      <c r="F2602" s="116">
        <v>161.4</v>
      </c>
      <c r="G2602">
        <v>1855477</v>
      </c>
      <c r="H2602" s="116"/>
      <c r="I2602" s="116"/>
      <c r="L2602" s="170">
        <v>45835</v>
      </c>
      <c r="M2602" s="116">
        <v>161.44999999999999</v>
      </c>
      <c r="N2602" s="116">
        <v>163.30000000000001</v>
      </c>
      <c r="O2602" s="116">
        <v>160.69999999999999</v>
      </c>
      <c r="P2602" s="116">
        <v>161</v>
      </c>
      <c r="Q2602" s="116">
        <v>161.44999999999999</v>
      </c>
      <c r="R2602">
        <v>31989509</v>
      </c>
    </row>
    <row r="2603" spans="1:18" x14ac:dyDescent="0.25">
      <c r="A2603" s="170">
        <v>45838</v>
      </c>
      <c r="B2603" s="116">
        <v>162.25</v>
      </c>
      <c r="C2603" s="116">
        <v>159.75</v>
      </c>
      <c r="D2603" s="116">
        <v>159.5</v>
      </c>
      <c r="E2603" s="116">
        <v>161</v>
      </c>
      <c r="F2603" s="116">
        <v>159.75</v>
      </c>
      <c r="G2603">
        <v>759212</v>
      </c>
      <c r="H2603" s="116"/>
      <c r="I2603" s="116"/>
      <c r="L2603" s="170">
        <v>45838</v>
      </c>
      <c r="M2603" s="116">
        <v>159.76</v>
      </c>
      <c r="N2603" s="116">
        <v>162.19999999999999</v>
      </c>
      <c r="O2603" s="116">
        <v>159.5</v>
      </c>
      <c r="P2603" s="116">
        <v>160.99</v>
      </c>
      <c r="Q2603" s="116">
        <v>159.76</v>
      </c>
      <c r="R2603">
        <v>15842285</v>
      </c>
    </row>
    <row r="2604" spans="1:18" x14ac:dyDescent="0.25">
      <c r="A2604" s="170">
        <v>45839</v>
      </c>
      <c r="B2604" s="116">
        <v>160.35</v>
      </c>
      <c r="C2604" s="116">
        <v>159.94999999999999</v>
      </c>
      <c r="D2604" s="116">
        <v>157.75</v>
      </c>
      <c r="E2604" s="116">
        <v>160.35</v>
      </c>
      <c r="F2604" s="116">
        <v>159.94999999999999</v>
      </c>
      <c r="G2604">
        <v>1482091</v>
      </c>
      <c r="H2604" s="116"/>
      <c r="I2604" s="116"/>
      <c r="L2604" s="170">
        <v>45839</v>
      </c>
      <c r="M2604" s="116">
        <v>160.06</v>
      </c>
      <c r="N2604" s="116">
        <v>160.44</v>
      </c>
      <c r="O2604" s="116">
        <v>157.72999999999999</v>
      </c>
      <c r="P2604" s="116">
        <v>160.01</v>
      </c>
      <c r="Q2604" s="116">
        <v>160.06</v>
      </c>
      <c r="R2604">
        <v>17823415</v>
      </c>
    </row>
    <row r="2605" spans="1:18" x14ac:dyDescent="0.25">
      <c r="A2605" s="170">
        <v>45840</v>
      </c>
      <c r="B2605" s="116">
        <v>166.1</v>
      </c>
      <c r="C2605" s="116">
        <v>165.9</v>
      </c>
      <c r="D2605" s="116">
        <v>159.9</v>
      </c>
      <c r="E2605" s="116">
        <v>160.1</v>
      </c>
      <c r="F2605" s="116">
        <v>165.9</v>
      </c>
      <c r="G2605">
        <v>2591744</v>
      </c>
      <c r="H2605" s="116"/>
      <c r="I2605" s="116"/>
      <c r="L2605" s="170">
        <v>45840</v>
      </c>
      <c r="M2605" s="116">
        <v>165.88</v>
      </c>
      <c r="N2605" s="116">
        <v>166.15</v>
      </c>
      <c r="O2605" s="116">
        <v>159.83000000000001</v>
      </c>
      <c r="P2605" s="116">
        <v>160.06</v>
      </c>
      <c r="Q2605" s="116">
        <v>165.88</v>
      </c>
      <c r="R2605">
        <v>63315210</v>
      </c>
    </row>
    <row r="2606" spans="1:18" x14ac:dyDescent="0.25">
      <c r="A2606" s="170">
        <v>45841</v>
      </c>
      <c r="B2606" s="116">
        <v>168.75</v>
      </c>
      <c r="C2606" s="116">
        <v>165.85</v>
      </c>
      <c r="D2606" s="116">
        <v>165.15</v>
      </c>
      <c r="E2606" s="116">
        <v>166.25</v>
      </c>
      <c r="F2606" s="116">
        <v>165.85</v>
      </c>
      <c r="G2606">
        <v>3584427</v>
      </c>
      <c r="H2606" s="116"/>
      <c r="I2606" s="116"/>
      <c r="L2606" s="170">
        <v>45841</v>
      </c>
      <c r="M2606" s="116">
        <v>165.91</v>
      </c>
      <c r="N2606" s="116">
        <v>168.78</v>
      </c>
      <c r="O2606" s="116">
        <v>165.21</v>
      </c>
      <c r="P2606" s="116">
        <v>166</v>
      </c>
      <c r="Q2606" s="116">
        <v>165.91</v>
      </c>
      <c r="R2606">
        <v>60571824</v>
      </c>
    </row>
    <row r="2607" spans="1:18" x14ac:dyDescent="0.25">
      <c r="A2607" s="170">
        <v>45842</v>
      </c>
      <c r="B2607" s="116">
        <v>166.4</v>
      </c>
      <c r="C2607" s="116">
        <v>163</v>
      </c>
      <c r="D2607" s="116">
        <v>162.05000000000001</v>
      </c>
      <c r="E2607" s="116">
        <v>166</v>
      </c>
      <c r="F2607" s="116">
        <v>163</v>
      </c>
      <c r="G2607">
        <v>932221</v>
      </c>
      <c r="H2607" s="116"/>
      <c r="I2607" s="116"/>
      <c r="L2607" s="170">
        <v>45842</v>
      </c>
      <c r="M2607" s="116">
        <v>163.01</v>
      </c>
      <c r="N2607" s="116">
        <v>166.49</v>
      </c>
      <c r="O2607" s="116">
        <v>162</v>
      </c>
      <c r="P2607" s="116">
        <v>165.91</v>
      </c>
      <c r="Q2607" s="116">
        <v>163.01</v>
      </c>
      <c r="R2607">
        <v>22938753</v>
      </c>
    </row>
    <row r="2608" spans="1:18" x14ac:dyDescent="0.25">
      <c r="A2608" s="170">
        <v>45845</v>
      </c>
      <c r="B2608" s="116">
        <v>163.4</v>
      </c>
      <c r="C2608" s="116">
        <v>162.4</v>
      </c>
      <c r="D2608" s="116">
        <v>161.55000000000001</v>
      </c>
      <c r="E2608" s="116">
        <v>162.80000000000001</v>
      </c>
      <c r="F2608" s="116">
        <v>162.4</v>
      </c>
      <c r="G2608">
        <v>527792</v>
      </c>
      <c r="H2608" s="116"/>
      <c r="I2608" s="116"/>
      <c r="L2608" s="170">
        <v>45845</v>
      </c>
      <c r="M2608" s="116">
        <v>162.4</v>
      </c>
      <c r="N2608" s="116">
        <v>163.35</v>
      </c>
      <c r="O2608" s="116">
        <v>160.05000000000001</v>
      </c>
      <c r="P2608" s="116">
        <v>163</v>
      </c>
      <c r="Q2608" s="116">
        <v>162.4</v>
      </c>
      <c r="R2608">
        <v>17469909</v>
      </c>
    </row>
    <row r="2609" spans="1:18" x14ac:dyDescent="0.25">
      <c r="A2609" s="170">
        <v>45846</v>
      </c>
      <c r="B2609" s="116">
        <v>162.94999999999999</v>
      </c>
      <c r="C2609" s="116">
        <v>161.94999999999999</v>
      </c>
      <c r="D2609" s="116">
        <v>161.55000000000001</v>
      </c>
      <c r="E2609" s="116">
        <v>162.19999999999999</v>
      </c>
      <c r="F2609" s="116">
        <v>161.94999999999999</v>
      </c>
      <c r="G2609">
        <v>1019797</v>
      </c>
      <c r="H2609" s="116"/>
      <c r="I2609" s="116"/>
      <c r="L2609" s="170">
        <v>45846</v>
      </c>
      <c r="M2609" s="116">
        <v>161.97</v>
      </c>
      <c r="N2609" s="116">
        <v>162.9</v>
      </c>
      <c r="O2609" s="116">
        <v>161.6</v>
      </c>
      <c r="P2609" s="116">
        <v>162.44999999999999</v>
      </c>
      <c r="Q2609" s="116">
        <v>161.97</v>
      </c>
      <c r="R2609">
        <v>11398248</v>
      </c>
    </row>
    <row r="2610" spans="1:18" x14ac:dyDescent="0.25">
      <c r="A2610" s="170">
        <v>45847</v>
      </c>
      <c r="B2610" s="116">
        <v>161.94999999999999</v>
      </c>
      <c r="C2610" s="116">
        <v>159</v>
      </c>
      <c r="D2610" s="116">
        <v>157.55000000000001</v>
      </c>
      <c r="E2610" s="116">
        <v>161.9</v>
      </c>
      <c r="F2610" s="116">
        <v>159</v>
      </c>
      <c r="G2610">
        <v>770093</v>
      </c>
      <c r="H2610" s="116"/>
      <c r="I2610" s="116"/>
      <c r="L2610" s="170">
        <v>45847</v>
      </c>
      <c r="M2610" s="116">
        <v>159</v>
      </c>
      <c r="N2610" s="116">
        <v>161.94999999999999</v>
      </c>
      <c r="O2610" s="116">
        <v>157.51</v>
      </c>
      <c r="P2610" s="116">
        <v>161.94999999999999</v>
      </c>
      <c r="Q2610" s="116">
        <v>159</v>
      </c>
      <c r="R2610">
        <v>29839077</v>
      </c>
    </row>
    <row r="2611" spans="1:18" x14ac:dyDescent="0.25">
      <c r="A2611" s="170">
        <v>45848</v>
      </c>
      <c r="B2611" s="116">
        <v>161.55000000000001</v>
      </c>
      <c r="C2611" s="116">
        <v>160.65</v>
      </c>
      <c r="D2611" s="116">
        <v>159.25</v>
      </c>
      <c r="E2611" s="116">
        <v>160</v>
      </c>
      <c r="F2611" s="116">
        <v>160.65</v>
      </c>
      <c r="G2611">
        <v>1051278</v>
      </c>
      <c r="H2611" s="116"/>
      <c r="I2611" s="116"/>
      <c r="L2611" s="170">
        <v>45848</v>
      </c>
      <c r="M2611" s="116">
        <v>160.66</v>
      </c>
      <c r="N2611" s="116">
        <v>161.55000000000001</v>
      </c>
      <c r="O2611" s="116">
        <v>159.28</v>
      </c>
      <c r="P2611" s="116">
        <v>160</v>
      </c>
      <c r="Q2611" s="116">
        <v>160.66</v>
      </c>
      <c r="R2611">
        <v>17566887</v>
      </c>
    </row>
    <row r="2612" spans="1:18" x14ac:dyDescent="0.25">
      <c r="A2612" s="170">
        <v>45849</v>
      </c>
      <c r="B2612" s="116">
        <v>161.65</v>
      </c>
      <c r="C2612" s="116">
        <v>159.85</v>
      </c>
      <c r="D2612" s="116">
        <v>159.35</v>
      </c>
      <c r="E2612" s="116">
        <v>160.85</v>
      </c>
      <c r="F2612" s="116">
        <v>159.85</v>
      </c>
      <c r="G2612">
        <v>512079</v>
      </c>
      <c r="H2612" s="116"/>
      <c r="I2612" s="116"/>
      <c r="L2612" s="170">
        <v>45849</v>
      </c>
      <c r="M2612" s="116">
        <v>159.84</v>
      </c>
      <c r="N2612" s="116">
        <v>161.62</v>
      </c>
      <c r="O2612" s="116">
        <v>159.32</v>
      </c>
      <c r="P2612" s="116">
        <v>160.63999999999999</v>
      </c>
      <c r="Q2612" s="116">
        <v>159.84</v>
      </c>
      <c r="R2612">
        <v>20689511</v>
      </c>
    </row>
    <row r="2613" spans="1:18" x14ac:dyDescent="0.25">
      <c r="A2613" s="170">
        <v>45852</v>
      </c>
      <c r="B2613" s="116">
        <v>161.1</v>
      </c>
      <c r="C2613" s="116">
        <v>160.35</v>
      </c>
      <c r="D2613" s="116">
        <v>159.25</v>
      </c>
      <c r="E2613" s="116">
        <v>159.69999999999999</v>
      </c>
      <c r="F2613" s="116">
        <v>160.35</v>
      </c>
      <c r="G2613">
        <v>702508</v>
      </c>
      <c r="H2613" s="116"/>
      <c r="I2613" s="116"/>
      <c r="L2613" s="170">
        <v>45852</v>
      </c>
      <c r="M2613" s="116">
        <v>160.44</v>
      </c>
      <c r="N2613" s="116">
        <v>161.12</v>
      </c>
      <c r="O2613" s="116">
        <v>159.30000000000001</v>
      </c>
      <c r="P2613" s="116">
        <v>159.84</v>
      </c>
      <c r="Q2613" s="116">
        <v>160.44</v>
      </c>
      <c r="R2613">
        <v>15152964</v>
      </c>
    </row>
    <row r="2614" spans="1:18" x14ac:dyDescent="0.25">
      <c r="A2614" s="170">
        <v>45853</v>
      </c>
      <c r="B2614" s="116">
        <v>160.85</v>
      </c>
      <c r="C2614" s="116">
        <v>159.05000000000001</v>
      </c>
      <c r="D2614" s="116">
        <v>158.05000000000001</v>
      </c>
      <c r="E2614" s="116">
        <v>160.6</v>
      </c>
      <c r="F2614" s="116">
        <v>159.05000000000001</v>
      </c>
      <c r="G2614">
        <v>673404</v>
      </c>
      <c r="H2614" s="116"/>
      <c r="I2614" s="116"/>
      <c r="L2614" s="170">
        <v>45853</v>
      </c>
      <c r="M2614" s="116">
        <v>159</v>
      </c>
      <c r="N2614" s="116">
        <v>160.85</v>
      </c>
      <c r="O2614" s="116">
        <v>157.94999999999999</v>
      </c>
      <c r="P2614" s="116">
        <v>160.26</v>
      </c>
      <c r="Q2614" s="116">
        <v>159</v>
      </c>
      <c r="R2614">
        <v>17993051</v>
      </c>
    </row>
    <row r="2615" spans="1:18" x14ac:dyDescent="0.25">
      <c r="A2615" s="170">
        <v>45854</v>
      </c>
      <c r="B2615" s="116">
        <v>159.30000000000001</v>
      </c>
      <c r="C2615" s="116">
        <v>157.30000000000001</v>
      </c>
      <c r="D2615" s="116">
        <v>157</v>
      </c>
      <c r="E2615" s="116">
        <v>158.80000000000001</v>
      </c>
      <c r="F2615" s="116">
        <v>157.30000000000001</v>
      </c>
      <c r="G2615">
        <v>774017</v>
      </c>
      <c r="H2615" s="116"/>
      <c r="I2615" s="116"/>
      <c r="L2615" s="170">
        <v>45854</v>
      </c>
      <c r="M2615" s="116">
        <v>157.33000000000001</v>
      </c>
      <c r="N2615" s="116">
        <v>159.27000000000001</v>
      </c>
      <c r="O2615" s="116">
        <v>157</v>
      </c>
      <c r="P2615" s="116">
        <v>159</v>
      </c>
      <c r="Q2615" s="116">
        <v>157.33000000000001</v>
      </c>
      <c r="R2615">
        <v>14591157</v>
      </c>
    </row>
    <row r="2616" spans="1:18" x14ac:dyDescent="0.25">
      <c r="A2616" s="170">
        <v>45855</v>
      </c>
      <c r="B2616" s="116">
        <v>160.75</v>
      </c>
      <c r="C2616" s="116">
        <v>159.85</v>
      </c>
      <c r="D2616" s="116">
        <v>157.15</v>
      </c>
      <c r="E2616" s="116">
        <v>157.35</v>
      </c>
      <c r="F2616" s="116">
        <v>159.85</v>
      </c>
      <c r="G2616">
        <v>875470</v>
      </c>
      <c r="H2616" s="116"/>
      <c r="I2616" s="116"/>
      <c r="L2616" s="170">
        <v>45855</v>
      </c>
      <c r="M2616" s="116">
        <v>159.9</v>
      </c>
      <c r="N2616" s="116">
        <v>160.69999999999999</v>
      </c>
      <c r="O2616" s="116">
        <v>157.12</v>
      </c>
      <c r="P2616" s="116">
        <v>157.5</v>
      </c>
      <c r="Q2616" s="116">
        <v>159.9</v>
      </c>
      <c r="R2616">
        <v>21733241</v>
      </c>
    </row>
    <row r="2617" spans="1:18" x14ac:dyDescent="0.25">
      <c r="A2617" s="170">
        <v>45856</v>
      </c>
      <c r="B2617" s="116">
        <v>162.85</v>
      </c>
      <c r="C2617" s="116">
        <v>162.5</v>
      </c>
      <c r="D2617" s="116">
        <v>160.05000000000001</v>
      </c>
      <c r="E2617" s="116">
        <v>160.05000000000001</v>
      </c>
      <c r="F2617" s="116">
        <v>162.5</v>
      </c>
      <c r="G2617">
        <v>973692</v>
      </c>
      <c r="H2617" s="116"/>
      <c r="I2617" s="116"/>
      <c r="L2617" s="170">
        <v>45856</v>
      </c>
      <c r="M2617" s="116">
        <v>162.37</v>
      </c>
      <c r="N2617" s="116">
        <v>162.75</v>
      </c>
      <c r="O2617" s="116">
        <v>160.1</v>
      </c>
      <c r="P2617" s="116">
        <v>160.1</v>
      </c>
      <c r="Q2617" s="116">
        <v>162.37</v>
      </c>
      <c r="R2617">
        <v>30728478</v>
      </c>
    </row>
    <row r="2618" spans="1:18" x14ac:dyDescent="0.25">
      <c r="A2618" s="170">
        <v>45859</v>
      </c>
      <c r="B2618" s="116">
        <v>165.55</v>
      </c>
      <c r="C2618" s="116">
        <v>162.94999999999999</v>
      </c>
      <c r="D2618" s="116">
        <v>162.30000000000001</v>
      </c>
      <c r="E2618" s="116">
        <v>162.30000000000001</v>
      </c>
      <c r="F2618" s="116">
        <v>162.94999999999999</v>
      </c>
      <c r="G2618">
        <v>2818643</v>
      </c>
      <c r="H2618" s="116"/>
      <c r="I2618" s="116"/>
      <c r="L2618" s="170">
        <v>45859</v>
      </c>
      <c r="M2618" s="116">
        <v>163.02000000000001</v>
      </c>
      <c r="N2618" s="116">
        <v>165.6</v>
      </c>
      <c r="O2618" s="116">
        <v>162.49</v>
      </c>
      <c r="P2618" s="116">
        <v>162.5</v>
      </c>
      <c r="Q2618" s="116">
        <v>163.02000000000001</v>
      </c>
      <c r="R2618">
        <v>29812899</v>
      </c>
    </row>
    <row r="2619" spans="1:18" x14ac:dyDescent="0.25">
      <c r="A2619" s="170">
        <v>45860</v>
      </c>
      <c r="B2619" s="116">
        <v>164.4</v>
      </c>
      <c r="C2619" s="116">
        <v>163</v>
      </c>
      <c r="D2619" s="116">
        <v>162.80000000000001</v>
      </c>
      <c r="E2619" s="116">
        <v>163.1</v>
      </c>
      <c r="F2619" s="116">
        <v>163</v>
      </c>
      <c r="G2619">
        <v>1038097</v>
      </c>
      <c r="H2619" s="116"/>
      <c r="I2619" s="116"/>
      <c r="L2619" s="170">
        <v>45860</v>
      </c>
      <c r="M2619" s="116">
        <v>163.04</v>
      </c>
      <c r="N2619" s="116">
        <v>164.41</v>
      </c>
      <c r="O2619" s="116">
        <v>162.72999999999999</v>
      </c>
      <c r="P2619" s="116">
        <v>163.30000000000001</v>
      </c>
      <c r="Q2619" s="116">
        <v>163.04</v>
      </c>
      <c r="R2619">
        <v>13615524</v>
      </c>
    </row>
    <row r="2620" spans="1:18" x14ac:dyDescent="0.25">
      <c r="A2620" s="170">
        <v>45861</v>
      </c>
      <c r="B2620" s="116">
        <v>164.15</v>
      </c>
      <c r="C2620" s="116">
        <v>162.80000000000001</v>
      </c>
      <c r="D2620" s="116">
        <v>161.9</v>
      </c>
      <c r="E2620" s="116">
        <v>163.1</v>
      </c>
      <c r="F2620" s="116">
        <v>162.80000000000001</v>
      </c>
      <c r="G2620">
        <v>459930</v>
      </c>
      <c r="H2620" s="116"/>
      <c r="I2620" s="116"/>
      <c r="L2620" s="170">
        <v>45861</v>
      </c>
      <c r="M2620" s="116">
        <v>162.77000000000001</v>
      </c>
      <c r="N2620" s="116">
        <v>164.14</v>
      </c>
      <c r="O2620" s="116">
        <v>161.88</v>
      </c>
      <c r="P2620" s="116">
        <v>163.25</v>
      </c>
      <c r="Q2620" s="116">
        <v>162.77000000000001</v>
      </c>
      <c r="R2620">
        <v>14287149</v>
      </c>
    </row>
    <row r="2621" spans="1:18" x14ac:dyDescent="0.25">
      <c r="A2621" s="170">
        <v>45862</v>
      </c>
      <c r="B2621" s="116">
        <v>164.7</v>
      </c>
      <c r="C2621" s="116">
        <v>163.44999999999999</v>
      </c>
      <c r="D2621" s="116">
        <v>162.75</v>
      </c>
      <c r="E2621" s="116">
        <v>162.75</v>
      </c>
      <c r="F2621" s="116">
        <v>163.44999999999999</v>
      </c>
      <c r="G2621">
        <v>1230280</v>
      </c>
      <c r="H2621" s="116"/>
      <c r="I2621" s="116"/>
      <c r="L2621" s="170">
        <v>45862</v>
      </c>
      <c r="M2621" s="116">
        <v>163.47999999999999</v>
      </c>
      <c r="N2621" s="116">
        <v>164.75</v>
      </c>
      <c r="O2621" s="116">
        <v>162.81</v>
      </c>
      <c r="P2621" s="116">
        <v>163</v>
      </c>
      <c r="Q2621" s="116">
        <v>163.47999999999999</v>
      </c>
      <c r="R2621">
        <v>14377270</v>
      </c>
    </row>
    <row r="2622" spans="1:18" x14ac:dyDescent="0.25">
      <c r="A2622" s="170">
        <v>45863</v>
      </c>
      <c r="B2622" s="116">
        <v>163.69999999999999</v>
      </c>
      <c r="C2622" s="116">
        <v>161.4</v>
      </c>
      <c r="D2622" s="116">
        <v>160.80000000000001</v>
      </c>
      <c r="E2622" s="116">
        <v>163.69999999999999</v>
      </c>
      <c r="F2622" s="116">
        <v>161.4</v>
      </c>
      <c r="G2622">
        <v>992201</v>
      </c>
      <c r="H2622" s="116"/>
      <c r="I2622" s="116"/>
      <c r="L2622" s="170">
        <v>45863</v>
      </c>
      <c r="M2622" s="116">
        <v>161.43</v>
      </c>
      <c r="N2622" s="116">
        <v>163.59</v>
      </c>
      <c r="O2622" s="116">
        <v>161.05000000000001</v>
      </c>
      <c r="P2622" s="116">
        <v>163.5</v>
      </c>
      <c r="Q2622" s="116">
        <v>161.43</v>
      </c>
      <c r="R2622">
        <v>12443495</v>
      </c>
    </row>
    <row r="2623" spans="1:18" x14ac:dyDescent="0.25">
      <c r="A2623" s="170">
        <v>45866</v>
      </c>
      <c r="B2623" s="116">
        <v>162.30000000000001</v>
      </c>
      <c r="C2623" s="116">
        <v>159.65</v>
      </c>
      <c r="D2623" s="116">
        <v>159.05000000000001</v>
      </c>
      <c r="E2623" s="116">
        <v>161.4</v>
      </c>
      <c r="F2623" s="116">
        <v>159.65</v>
      </c>
      <c r="G2623">
        <v>631727</v>
      </c>
      <c r="H2623" s="116"/>
      <c r="I2623" s="116"/>
      <c r="L2623" s="170">
        <v>45866</v>
      </c>
      <c r="M2623" s="116">
        <v>159.68</v>
      </c>
      <c r="N2623" s="116">
        <v>162.29</v>
      </c>
      <c r="O2623" s="116">
        <v>159.09</v>
      </c>
      <c r="P2623" s="116">
        <v>161.22999999999999</v>
      </c>
      <c r="Q2623" s="116">
        <v>159.68</v>
      </c>
      <c r="R2623">
        <v>19296285</v>
      </c>
    </row>
    <row r="2624" spans="1:18" x14ac:dyDescent="0.25">
      <c r="A2624" s="170">
        <v>45867</v>
      </c>
      <c r="B2624" s="116">
        <v>162.35</v>
      </c>
      <c r="C2624" s="116">
        <v>161.69999999999999</v>
      </c>
      <c r="D2624" s="116">
        <v>158.30000000000001</v>
      </c>
      <c r="E2624" s="116">
        <v>158.94999999999999</v>
      </c>
      <c r="F2624" s="116">
        <v>161.69999999999999</v>
      </c>
      <c r="G2624">
        <v>631719</v>
      </c>
      <c r="H2624" s="116"/>
      <c r="I2624" s="116"/>
      <c r="L2624" s="170">
        <v>45867</v>
      </c>
      <c r="M2624" s="116">
        <v>161.69</v>
      </c>
      <c r="N2624" s="116">
        <v>162.44999999999999</v>
      </c>
      <c r="O2624" s="116">
        <v>158.19999999999999</v>
      </c>
      <c r="P2624" s="116">
        <v>158.19999999999999</v>
      </c>
      <c r="Q2624" s="116">
        <v>161.69</v>
      </c>
      <c r="R2624">
        <v>15262937</v>
      </c>
    </row>
    <row r="2625" spans="1:18" x14ac:dyDescent="0.25">
      <c r="A2625" s="170">
        <v>45868</v>
      </c>
      <c r="B2625" s="116">
        <v>162.85</v>
      </c>
      <c r="C2625" s="116">
        <v>161.35</v>
      </c>
      <c r="D2625" s="116">
        <v>161.05000000000001</v>
      </c>
      <c r="E2625" s="116">
        <v>161.1</v>
      </c>
      <c r="F2625" s="116">
        <v>161.35</v>
      </c>
      <c r="G2625">
        <v>802351</v>
      </c>
      <c r="H2625" s="116"/>
      <c r="I2625" s="116"/>
      <c r="L2625" s="170">
        <v>45868</v>
      </c>
      <c r="M2625" s="116">
        <v>161.36000000000001</v>
      </c>
      <c r="N2625" s="116">
        <v>162.79</v>
      </c>
      <c r="O2625" s="116">
        <v>161.05000000000001</v>
      </c>
      <c r="P2625" s="116">
        <v>161.69</v>
      </c>
      <c r="Q2625" s="116">
        <v>161.36000000000001</v>
      </c>
      <c r="R2625">
        <v>16083106</v>
      </c>
    </row>
    <row r="2626" spans="1:18" x14ac:dyDescent="0.25">
      <c r="A2626" s="170">
        <v>45869</v>
      </c>
      <c r="B2626" s="116">
        <v>162.19999999999999</v>
      </c>
      <c r="C2626" s="116">
        <v>157.80000000000001</v>
      </c>
      <c r="D2626" s="116">
        <v>156.5</v>
      </c>
      <c r="E2626" s="116">
        <v>161.35</v>
      </c>
      <c r="F2626" s="116">
        <v>157.80000000000001</v>
      </c>
      <c r="G2626">
        <v>1053251</v>
      </c>
      <c r="H2626" s="116"/>
      <c r="I2626" s="116"/>
      <c r="L2626" s="170">
        <v>45869</v>
      </c>
      <c r="M2626" s="116">
        <v>157.94</v>
      </c>
      <c r="N2626" s="116">
        <v>162.13</v>
      </c>
      <c r="O2626" s="116">
        <v>156.56</v>
      </c>
      <c r="P2626" s="116">
        <v>161</v>
      </c>
      <c r="Q2626" s="116">
        <v>157.94</v>
      </c>
      <c r="R2626">
        <v>26213891</v>
      </c>
    </row>
    <row r="2627" spans="1:18" x14ac:dyDescent="0.25">
      <c r="A2627" s="170">
        <v>45870</v>
      </c>
      <c r="B2627" s="116">
        <v>157.94999999999999</v>
      </c>
      <c r="C2627" s="116">
        <v>153</v>
      </c>
      <c r="D2627" s="116">
        <v>152.55000000000001</v>
      </c>
      <c r="E2627" s="116">
        <v>157.80000000000001</v>
      </c>
      <c r="F2627" s="116">
        <v>153</v>
      </c>
      <c r="G2627">
        <v>860398</v>
      </c>
      <c r="H2627" s="116"/>
      <c r="I2627" s="116"/>
      <c r="L2627" s="170">
        <v>45870</v>
      </c>
      <c r="M2627" s="116">
        <v>153.01</v>
      </c>
      <c r="N2627" s="116">
        <v>157.93</v>
      </c>
      <c r="O2627" s="116">
        <v>152.51</v>
      </c>
      <c r="P2627" s="116">
        <v>157.93</v>
      </c>
      <c r="Q2627" s="116">
        <v>153.01</v>
      </c>
      <c r="R2627">
        <v>23927359</v>
      </c>
    </row>
    <row r="2628" spans="1:18" x14ac:dyDescent="0.25">
      <c r="A2628" s="170">
        <v>45873</v>
      </c>
      <c r="B2628" s="116">
        <v>159.9</v>
      </c>
      <c r="C2628" s="116">
        <v>159.6</v>
      </c>
      <c r="D2628" s="116">
        <v>153.65</v>
      </c>
      <c r="E2628" s="116">
        <v>154.35</v>
      </c>
      <c r="F2628" s="116">
        <v>159.6</v>
      </c>
      <c r="G2628">
        <v>1200553</v>
      </c>
      <c r="H2628" s="116"/>
      <c r="I2628" s="116"/>
      <c r="L2628" s="170">
        <v>45873</v>
      </c>
      <c r="M2628" s="116">
        <v>159.56</v>
      </c>
      <c r="N2628" s="116">
        <v>159.91999999999999</v>
      </c>
      <c r="O2628" s="116">
        <v>153.5</v>
      </c>
      <c r="P2628" s="116">
        <v>153.5</v>
      </c>
      <c r="Q2628" s="116">
        <v>159.56</v>
      </c>
      <c r="R2628">
        <v>30064719</v>
      </c>
    </row>
    <row r="2629" spans="1:18" x14ac:dyDescent="0.25">
      <c r="A2629" s="170">
        <v>45874</v>
      </c>
      <c r="B2629" s="116">
        <v>160.15</v>
      </c>
      <c r="C2629" s="116">
        <v>159.6</v>
      </c>
      <c r="D2629" s="116">
        <v>158.19999999999999</v>
      </c>
      <c r="E2629" s="116">
        <v>159.6</v>
      </c>
      <c r="F2629" s="116">
        <v>159.6</v>
      </c>
      <c r="G2629">
        <v>950491</v>
      </c>
      <c r="H2629" s="116"/>
      <c r="I2629" s="116"/>
      <c r="L2629" s="170">
        <v>45874</v>
      </c>
      <c r="M2629" s="116">
        <v>159.62</v>
      </c>
      <c r="N2629" s="116">
        <v>160.13999999999999</v>
      </c>
      <c r="O2629" s="116">
        <v>158.28</v>
      </c>
      <c r="P2629" s="116">
        <v>159.56</v>
      </c>
      <c r="Q2629" s="116">
        <v>159.62</v>
      </c>
      <c r="R2629">
        <v>14441034</v>
      </c>
    </row>
    <row r="2630" spans="1:18" x14ac:dyDescent="0.25">
      <c r="A2630" s="170">
        <v>45875</v>
      </c>
      <c r="B2630" s="116">
        <v>159.85</v>
      </c>
      <c r="C2630" s="116">
        <v>158.69999999999999</v>
      </c>
      <c r="D2630" s="116">
        <v>157.80000000000001</v>
      </c>
      <c r="E2630" s="116">
        <v>159.6</v>
      </c>
      <c r="F2630" s="116">
        <v>158.69999999999999</v>
      </c>
      <c r="G2630">
        <v>417517</v>
      </c>
      <c r="H2630" s="116"/>
      <c r="I2630" s="116"/>
      <c r="L2630" s="170">
        <v>45875</v>
      </c>
      <c r="M2630" s="116">
        <v>158.66</v>
      </c>
      <c r="N2630" s="116">
        <v>159.80000000000001</v>
      </c>
      <c r="O2630" s="116">
        <v>157.80000000000001</v>
      </c>
      <c r="P2630" s="116">
        <v>159.62</v>
      </c>
      <c r="Q2630" s="116">
        <v>158.66</v>
      </c>
      <c r="R2630">
        <v>13438851</v>
      </c>
    </row>
    <row r="2631" spans="1:18" x14ac:dyDescent="0.25">
      <c r="A2631" s="170">
        <v>45876</v>
      </c>
      <c r="B2631" s="116">
        <v>160</v>
      </c>
      <c r="C2631" s="116">
        <v>159.69999999999999</v>
      </c>
      <c r="D2631" s="116">
        <v>156.25</v>
      </c>
      <c r="E2631" s="116">
        <v>156.80000000000001</v>
      </c>
      <c r="F2631" s="116">
        <v>159.69999999999999</v>
      </c>
      <c r="G2631">
        <v>930942</v>
      </c>
      <c r="H2631" s="116"/>
      <c r="I2631" s="116"/>
      <c r="L2631" s="170">
        <v>45876</v>
      </c>
      <c r="M2631" s="116">
        <v>159.66999999999999</v>
      </c>
      <c r="N2631" s="116">
        <v>160</v>
      </c>
      <c r="O2631" s="116">
        <v>156.26</v>
      </c>
      <c r="P2631" s="116">
        <v>157.15</v>
      </c>
      <c r="Q2631" s="116">
        <v>159.66999999999999</v>
      </c>
      <c r="R2631">
        <v>23159540</v>
      </c>
    </row>
    <row r="2632" spans="1:18" x14ac:dyDescent="0.25">
      <c r="A2632" s="170">
        <v>45877</v>
      </c>
      <c r="B2632" s="116">
        <v>160</v>
      </c>
      <c r="C2632" s="116">
        <v>158</v>
      </c>
      <c r="D2632" s="116">
        <v>157</v>
      </c>
      <c r="E2632" s="116">
        <v>159.19999999999999</v>
      </c>
      <c r="F2632" s="116">
        <v>158</v>
      </c>
      <c r="G2632">
        <v>731632</v>
      </c>
      <c r="H2632" s="116"/>
      <c r="I2632" s="116"/>
      <c r="L2632" s="170">
        <v>45877</v>
      </c>
      <c r="M2632" s="116">
        <v>157.94999999999999</v>
      </c>
      <c r="N2632" s="116">
        <v>159.94999999999999</v>
      </c>
      <c r="O2632" s="116">
        <v>157.01</v>
      </c>
      <c r="P2632" s="116">
        <v>159.5</v>
      </c>
      <c r="Q2632" s="116">
        <v>157.94999999999999</v>
      </c>
      <c r="R2632">
        <v>11951173</v>
      </c>
    </row>
    <row r="2633" spans="1:18" x14ac:dyDescent="0.25">
      <c r="A2633" s="170">
        <v>45880</v>
      </c>
      <c r="B2633" s="116">
        <v>160</v>
      </c>
      <c r="C2633" s="116">
        <v>158.85</v>
      </c>
      <c r="D2633" s="116">
        <v>157.05000000000001</v>
      </c>
      <c r="E2633" s="116">
        <v>157.9</v>
      </c>
      <c r="F2633" s="116">
        <v>158.85</v>
      </c>
      <c r="G2633">
        <v>1371736</v>
      </c>
      <c r="H2633" s="116"/>
      <c r="I2633" s="116"/>
      <c r="L2633" s="170">
        <v>45880</v>
      </c>
      <c r="M2633" s="116">
        <v>158.52000000000001</v>
      </c>
      <c r="N2633" s="116">
        <v>160</v>
      </c>
      <c r="O2633" s="116">
        <v>157.15</v>
      </c>
      <c r="P2633" s="116">
        <v>157.94999999999999</v>
      </c>
      <c r="Q2633" s="116">
        <v>158.52000000000001</v>
      </c>
      <c r="R2633">
        <v>14325736</v>
      </c>
    </row>
    <row r="2634" spans="1:18" x14ac:dyDescent="0.25">
      <c r="A2634" s="170">
        <v>45881</v>
      </c>
      <c r="B2634" s="116">
        <v>161.65</v>
      </c>
      <c r="C2634" s="116">
        <v>160.19999999999999</v>
      </c>
      <c r="D2634" s="116">
        <v>158.35</v>
      </c>
      <c r="E2634" s="116">
        <v>158.35</v>
      </c>
      <c r="F2634" s="116">
        <v>160.19999999999999</v>
      </c>
      <c r="G2634">
        <v>2702852</v>
      </c>
      <c r="H2634" s="116"/>
      <c r="I2634" s="116"/>
      <c r="L2634" s="170">
        <v>45881</v>
      </c>
      <c r="M2634" s="116">
        <v>160.16</v>
      </c>
      <c r="N2634" s="116">
        <v>161.65</v>
      </c>
      <c r="O2634" s="116">
        <v>158.5</v>
      </c>
      <c r="P2634" s="116">
        <v>158.52000000000001</v>
      </c>
      <c r="Q2634" s="116">
        <v>160.16</v>
      </c>
      <c r="R2634">
        <v>20056598</v>
      </c>
    </row>
    <row r="2635" spans="1:18" x14ac:dyDescent="0.25">
      <c r="A2635" s="170">
        <v>45882</v>
      </c>
      <c r="B2635" s="116">
        <v>162.4</v>
      </c>
      <c r="C2635" s="116">
        <v>160.15</v>
      </c>
      <c r="D2635" s="116">
        <v>159.85</v>
      </c>
      <c r="E2635" s="116">
        <v>160.5</v>
      </c>
      <c r="F2635" s="116">
        <v>160.15</v>
      </c>
      <c r="G2635">
        <v>1993101</v>
      </c>
      <c r="H2635" s="116"/>
      <c r="I2635" s="116"/>
      <c r="L2635" s="170">
        <v>45882</v>
      </c>
      <c r="M2635" s="116">
        <v>160.18</v>
      </c>
      <c r="N2635" s="116">
        <v>162.4</v>
      </c>
      <c r="O2635" s="116">
        <v>159.9</v>
      </c>
      <c r="P2635" s="116">
        <v>160.96</v>
      </c>
      <c r="Q2635" s="116">
        <v>160.18</v>
      </c>
      <c r="R2635">
        <v>18079396</v>
      </c>
    </row>
    <row r="2636" spans="1:18" x14ac:dyDescent="0.25">
      <c r="A2636" s="170">
        <v>45883</v>
      </c>
      <c r="B2636" s="116">
        <v>162</v>
      </c>
      <c r="C2636" s="116">
        <v>155.30000000000001</v>
      </c>
      <c r="D2636" s="116">
        <v>154.9</v>
      </c>
      <c r="E2636" s="116">
        <v>160.15</v>
      </c>
      <c r="F2636" s="116">
        <v>155.30000000000001</v>
      </c>
      <c r="G2636">
        <v>1151146</v>
      </c>
      <c r="H2636" s="116"/>
      <c r="I2636" s="116"/>
      <c r="L2636" s="170">
        <v>45883</v>
      </c>
      <c r="M2636" s="116">
        <v>155.30000000000001</v>
      </c>
      <c r="N2636" s="116">
        <v>160.6</v>
      </c>
      <c r="O2636" s="116">
        <v>154.83000000000001</v>
      </c>
      <c r="P2636" s="116">
        <v>160.02000000000001</v>
      </c>
      <c r="Q2636" s="116">
        <v>155.30000000000001</v>
      </c>
      <c r="R2636">
        <v>47256126</v>
      </c>
    </row>
    <row r="2637" spans="1:18" x14ac:dyDescent="0.25">
      <c r="A2637" s="170">
        <v>45887</v>
      </c>
      <c r="B2637" s="116">
        <v>158.6</v>
      </c>
      <c r="C2637" s="116">
        <v>157.94999999999999</v>
      </c>
      <c r="D2637" s="116">
        <v>156</v>
      </c>
      <c r="E2637" s="116">
        <v>158.44999999999999</v>
      </c>
      <c r="F2637" s="116">
        <v>157.94999999999999</v>
      </c>
      <c r="G2637">
        <v>1252561</v>
      </c>
      <c r="H2637" s="116"/>
      <c r="I2637" s="116"/>
      <c r="L2637" s="170">
        <v>45887</v>
      </c>
      <c r="M2637" s="116">
        <v>157.96</v>
      </c>
      <c r="N2637" s="116">
        <v>159</v>
      </c>
      <c r="O2637" s="116">
        <v>156</v>
      </c>
      <c r="P2637" s="116">
        <v>158</v>
      </c>
      <c r="Q2637" s="116">
        <v>157.96</v>
      </c>
      <c r="R2637">
        <v>61022494</v>
      </c>
    </row>
    <row r="2638" spans="1:18" x14ac:dyDescent="0.25">
      <c r="A2638" s="170">
        <v>45888</v>
      </c>
      <c r="B2638" s="116">
        <v>159.5</v>
      </c>
      <c r="C2638" s="116">
        <v>159.1</v>
      </c>
      <c r="D2638" s="116">
        <v>156.75</v>
      </c>
      <c r="E2638" s="116">
        <v>158.30000000000001</v>
      </c>
      <c r="F2638" s="116">
        <v>159.1</v>
      </c>
      <c r="G2638">
        <v>547420</v>
      </c>
      <c r="H2638" s="116"/>
      <c r="I2638" s="116"/>
      <c r="L2638" s="170">
        <v>45888</v>
      </c>
      <c r="M2638" s="116">
        <v>159.22999999999999</v>
      </c>
      <c r="N2638" s="116">
        <v>159.46</v>
      </c>
      <c r="O2638" s="116">
        <v>156.76</v>
      </c>
      <c r="P2638" s="116">
        <v>158.5</v>
      </c>
      <c r="Q2638" s="116">
        <v>159.22999999999999</v>
      </c>
      <c r="R2638">
        <v>21224239</v>
      </c>
    </row>
    <row r="2639" spans="1:18" x14ac:dyDescent="0.25">
      <c r="A2639" s="170">
        <v>45889</v>
      </c>
      <c r="B2639" s="116">
        <v>162.69999999999999</v>
      </c>
      <c r="C2639" s="116">
        <v>161.94999999999999</v>
      </c>
      <c r="D2639" s="116">
        <v>158</v>
      </c>
      <c r="E2639" s="116">
        <v>158.1</v>
      </c>
      <c r="F2639" s="116">
        <v>161.94999999999999</v>
      </c>
      <c r="G2639">
        <v>996007</v>
      </c>
      <c r="H2639" s="116"/>
      <c r="I2639" s="116"/>
      <c r="L2639" s="170">
        <v>45889</v>
      </c>
      <c r="M2639" s="116">
        <v>161.91999999999999</v>
      </c>
      <c r="N2639" s="116">
        <v>162.76</v>
      </c>
      <c r="O2639" s="116">
        <v>158.03</v>
      </c>
      <c r="P2639" s="116">
        <v>158.19999999999999</v>
      </c>
      <c r="Q2639" s="116">
        <v>161.91999999999999</v>
      </c>
      <c r="R2639">
        <v>28520245</v>
      </c>
    </row>
    <row r="2640" spans="1:18" x14ac:dyDescent="0.25">
      <c r="A2640" s="170">
        <v>45890</v>
      </c>
      <c r="B2640" s="116">
        <v>162.55000000000001</v>
      </c>
      <c r="C2640" s="116">
        <v>161.5</v>
      </c>
      <c r="D2640" s="116">
        <v>161.1</v>
      </c>
      <c r="E2640" s="116">
        <v>162</v>
      </c>
      <c r="F2640" s="116">
        <v>161.5</v>
      </c>
      <c r="G2640">
        <v>2531809</v>
      </c>
      <c r="H2640" s="116"/>
      <c r="I2640" s="116"/>
      <c r="L2640" s="170">
        <v>45890</v>
      </c>
      <c r="M2640" s="116">
        <v>161.51</v>
      </c>
      <c r="N2640" s="116">
        <v>162.54</v>
      </c>
      <c r="O2640" s="116">
        <v>161.19</v>
      </c>
      <c r="P2640" s="116">
        <v>161.91999999999999</v>
      </c>
      <c r="Q2640" s="116">
        <v>161.51</v>
      </c>
      <c r="R2640">
        <v>17282594</v>
      </c>
    </row>
    <row r="2641" spans="1:18" x14ac:dyDescent="0.25">
      <c r="A2641" s="170">
        <v>45891</v>
      </c>
      <c r="B2641" s="116">
        <v>161.4</v>
      </c>
      <c r="C2641" s="116">
        <v>158.55000000000001</v>
      </c>
      <c r="D2641" s="116">
        <v>158.25</v>
      </c>
      <c r="E2641" s="116">
        <v>161.4</v>
      </c>
      <c r="F2641" s="116">
        <v>158.55000000000001</v>
      </c>
      <c r="G2641">
        <v>511168</v>
      </c>
      <c r="H2641" s="116"/>
      <c r="I2641" s="116"/>
      <c r="L2641" s="170">
        <v>45891</v>
      </c>
      <c r="M2641" s="116">
        <v>158.55000000000001</v>
      </c>
      <c r="N2641" s="116">
        <v>161.28</v>
      </c>
      <c r="O2641" s="116">
        <v>158.1</v>
      </c>
      <c r="P2641" s="116">
        <v>161.25</v>
      </c>
      <c r="Q2641" s="116">
        <v>158.55000000000001</v>
      </c>
      <c r="R2641">
        <v>16063984</v>
      </c>
    </row>
    <row r="2642" spans="1:18" x14ac:dyDescent="0.25">
      <c r="A2642" s="170">
        <v>45894</v>
      </c>
      <c r="B2642" s="116">
        <v>160.35</v>
      </c>
      <c r="C2642" s="116">
        <v>159.6</v>
      </c>
      <c r="D2642" s="116">
        <v>158.65</v>
      </c>
      <c r="E2642" s="116">
        <v>159</v>
      </c>
      <c r="F2642" s="116">
        <v>159.6</v>
      </c>
      <c r="G2642">
        <v>776129</v>
      </c>
      <c r="H2642" s="116"/>
      <c r="I2642" s="116"/>
      <c r="L2642" s="170">
        <v>45894</v>
      </c>
      <c r="M2642" s="116">
        <v>159.63</v>
      </c>
      <c r="N2642" s="116">
        <v>160.33000000000001</v>
      </c>
      <c r="O2642" s="116">
        <v>158.63999999999999</v>
      </c>
      <c r="P2642" s="116">
        <v>159.19999999999999</v>
      </c>
      <c r="Q2642" s="116">
        <v>159.63</v>
      </c>
      <c r="R2642">
        <v>16376542</v>
      </c>
    </row>
    <row r="2643" spans="1:18" x14ac:dyDescent="0.25">
      <c r="A2643" s="170">
        <v>45895</v>
      </c>
      <c r="B2643" s="116">
        <v>159.5</v>
      </c>
      <c r="C2643" s="116">
        <v>155</v>
      </c>
      <c r="D2643" s="116">
        <v>154.6</v>
      </c>
      <c r="E2643" s="116">
        <v>159.5</v>
      </c>
      <c r="F2643" s="116">
        <v>155</v>
      </c>
      <c r="G2643">
        <v>1027421</v>
      </c>
      <c r="H2643" s="116"/>
      <c r="I2643" s="116"/>
      <c r="L2643" s="170">
        <v>45895</v>
      </c>
      <c r="M2643" s="116">
        <v>155.03</v>
      </c>
      <c r="N2643" s="116">
        <v>159.16</v>
      </c>
      <c r="O2643" s="116">
        <v>154.63999999999999</v>
      </c>
      <c r="P2643" s="116">
        <v>159.16</v>
      </c>
      <c r="Q2643" s="116">
        <v>155.03</v>
      </c>
      <c r="R2643">
        <v>19621100</v>
      </c>
    </row>
    <row r="2644" spans="1:18" x14ac:dyDescent="0.25">
      <c r="A2644" s="170">
        <v>45897</v>
      </c>
      <c r="B2644" s="116">
        <v>156.1</v>
      </c>
      <c r="C2644" s="116">
        <v>153.55000000000001</v>
      </c>
      <c r="D2644" s="116">
        <v>153.19999999999999</v>
      </c>
      <c r="E2644" s="116">
        <v>156.1</v>
      </c>
      <c r="F2644" s="116">
        <v>153.55000000000001</v>
      </c>
      <c r="G2644">
        <v>725103</v>
      </c>
      <c r="H2644" s="116"/>
      <c r="I2644" s="116"/>
      <c r="L2644" s="170">
        <v>45897</v>
      </c>
      <c r="M2644" s="116">
        <v>153.63</v>
      </c>
      <c r="N2644" s="116">
        <v>155.87</v>
      </c>
      <c r="O2644" s="116">
        <v>153.16</v>
      </c>
      <c r="P2644" s="116">
        <v>155.78</v>
      </c>
      <c r="Q2644" s="116">
        <v>153.63</v>
      </c>
      <c r="R2644">
        <v>22269875</v>
      </c>
    </row>
    <row r="2645" spans="1:18" x14ac:dyDescent="0.25">
      <c r="A2645" s="170">
        <v>45898</v>
      </c>
      <c r="B2645" s="116">
        <v>155.19999999999999</v>
      </c>
      <c r="C2645" s="116">
        <v>154.44999999999999</v>
      </c>
      <c r="D2645" s="116">
        <v>153</v>
      </c>
      <c r="E2645" s="116">
        <v>154.25</v>
      </c>
      <c r="F2645" s="116">
        <v>154.44999999999999</v>
      </c>
      <c r="G2645">
        <v>385029</v>
      </c>
      <c r="H2645" s="116"/>
      <c r="I2645" s="116"/>
      <c r="L2645" s="170">
        <v>45898</v>
      </c>
      <c r="M2645" s="116">
        <v>154.47999999999999</v>
      </c>
      <c r="N2645" s="116">
        <v>155.1</v>
      </c>
      <c r="O2645" s="116">
        <v>153.05000000000001</v>
      </c>
      <c r="P2645" s="116">
        <v>154.5</v>
      </c>
      <c r="Q2645" s="116">
        <v>154.47999999999999</v>
      </c>
      <c r="R2645">
        <v>16971859</v>
      </c>
    </row>
    <row r="2646" spans="1:18" x14ac:dyDescent="0.25">
      <c r="A2646" s="170">
        <v>45901</v>
      </c>
      <c r="B2646" s="116">
        <v>156.35</v>
      </c>
      <c r="C2646" s="116">
        <v>156.19999999999999</v>
      </c>
      <c r="D2646" s="116">
        <v>153.9</v>
      </c>
      <c r="E2646" s="116">
        <v>154.30000000000001</v>
      </c>
      <c r="F2646" s="116">
        <v>156.19999999999999</v>
      </c>
      <c r="G2646">
        <v>430231</v>
      </c>
      <c r="H2646" s="116"/>
      <c r="I2646" s="116"/>
      <c r="L2646" s="170">
        <v>45901</v>
      </c>
      <c r="M2646" s="116">
        <v>156.16999999999999</v>
      </c>
      <c r="N2646" s="116">
        <v>156.36000000000001</v>
      </c>
      <c r="O2646" s="116">
        <v>153.69999999999999</v>
      </c>
      <c r="P2646" s="116">
        <v>154.47999999999999</v>
      </c>
      <c r="Q2646" s="116">
        <v>156.16999999999999</v>
      </c>
      <c r="R2646">
        <v>10798622</v>
      </c>
    </row>
    <row r="2647" spans="1:18" x14ac:dyDescent="0.25">
      <c r="A2647" s="170">
        <v>45902</v>
      </c>
      <c r="B2647" s="116">
        <v>159.05000000000001</v>
      </c>
      <c r="C2647" s="116">
        <v>158.44999999999999</v>
      </c>
      <c r="D2647" s="116">
        <v>155.5</v>
      </c>
      <c r="E2647" s="116">
        <v>155.75</v>
      </c>
      <c r="F2647" s="116">
        <v>158.44999999999999</v>
      </c>
      <c r="G2647">
        <v>1582539</v>
      </c>
      <c r="H2647" s="116"/>
      <c r="I2647" s="116"/>
      <c r="L2647" s="170">
        <v>45902</v>
      </c>
      <c r="M2647" s="116">
        <v>158.38999999999999</v>
      </c>
      <c r="N2647" s="116">
        <v>159.07</v>
      </c>
      <c r="O2647" s="116">
        <v>155.5</v>
      </c>
      <c r="P2647" s="116">
        <v>156.16999999999999</v>
      </c>
      <c r="Q2647" s="116">
        <v>158.38999999999999</v>
      </c>
      <c r="R2647">
        <v>21202113</v>
      </c>
    </row>
    <row r="2648" spans="1:18" x14ac:dyDescent="0.25">
      <c r="A2648" s="170">
        <v>45903</v>
      </c>
      <c r="B2648" s="116">
        <v>168</v>
      </c>
      <c r="C2648" s="116">
        <v>167.8</v>
      </c>
      <c r="D2648" s="116">
        <v>158.44999999999999</v>
      </c>
      <c r="E2648" s="116">
        <v>158.44999999999999</v>
      </c>
      <c r="F2648" s="116">
        <v>167.8</v>
      </c>
      <c r="G2648">
        <v>8779590</v>
      </c>
      <c r="H2648" s="116"/>
      <c r="I2648" s="116"/>
      <c r="L2648" s="170">
        <v>45903</v>
      </c>
      <c r="M2648" s="116">
        <v>167.85</v>
      </c>
      <c r="N2648" s="116">
        <v>168</v>
      </c>
      <c r="O2648" s="116">
        <v>158.4</v>
      </c>
      <c r="P2648" s="116">
        <v>158.4</v>
      </c>
      <c r="Q2648" s="116">
        <v>167.85</v>
      </c>
      <c r="R2648">
        <v>82352014</v>
      </c>
    </row>
    <row r="2649" spans="1:18" x14ac:dyDescent="0.25">
      <c r="A2649" s="170">
        <v>45904</v>
      </c>
      <c r="B2649" s="116">
        <v>169.2</v>
      </c>
      <c r="C2649" s="116">
        <v>166.75</v>
      </c>
      <c r="D2649" s="116">
        <v>166.6</v>
      </c>
      <c r="E2649" s="116">
        <v>169</v>
      </c>
      <c r="F2649" s="116">
        <v>166.75</v>
      </c>
      <c r="G2649">
        <v>1328191</v>
      </c>
      <c r="H2649" s="116"/>
      <c r="I2649" s="116"/>
      <c r="L2649" s="170">
        <v>45904</v>
      </c>
      <c r="M2649" s="116">
        <v>166.81</v>
      </c>
      <c r="N2649" s="116">
        <v>169.3</v>
      </c>
      <c r="O2649" s="116">
        <v>166.62</v>
      </c>
      <c r="P2649" s="116">
        <v>169</v>
      </c>
      <c r="Q2649" s="116">
        <v>166.81</v>
      </c>
      <c r="R2649">
        <v>26316842</v>
      </c>
    </row>
    <row r="2650" spans="1:18" x14ac:dyDescent="0.25">
      <c r="A2650" s="170">
        <v>45905</v>
      </c>
      <c r="B2650" s="116">
        <v>168</v>
      </c>
      <c r="C2650" s="116">
        <v>167.65</v>
      </c>
      <c r="D2650" s="116">
        <v>165.95</v>
      </c>
      <c r="E2650" s="116">
        <v>166.8</v>
      </c>
      <c r="F2650" s="116">
        <v>167.65</v>
      </c>
      <c r="G2650">
        <v>609853</v>
      </c>
      <c r="H2650" s="116"/>
      <c r="I2650" s="116"/>
      <c r="L2650" s="170">
        <v>45905</v>
      </c>
      <c r="M2650" s="116">
        <v>167.68</v>
      </c>
      <c r="N2650" s="116">
        <v>168</v>
      </c>
      <c r="O2650" s="116">
        <v>165.94</v>
      </c>
      <c r="P2650" s="116">
        <v>167</v>
      </c>
      <c r="Q2650" s="116">
        <v>167.68</v>
      </c>
      <c r="R2650">
        <v>16798170</v>
      </c>
    </row>
    <row r="2651" spans="1:18" x14ac:dyDescent="0.25">
      <c r="A2651" s="170">
        <v>45908</v>
      </c>
      <c r="B2651" s="116">
        <v>172.45</v>
      </c>
      <c r="C2651" s="116">
        <v>168.85</v>
      </c>
      <c r="D2651" s="116">
        <v>168.45</v>
      </c>
      <c r="E2651" s="116">
        <v>169.25</v>
      </c>
      <c r="F2651" s="116">
        <v>168.85</v>
      </c>
      <c r="G2651">
        <v>1643011</v>
      </c>
      <c r="H2651" s="116"/>
      <c r="I2651" s="116"/>
      <c r="L2651" s="170">
        <v>45908</v>
      </c>
      <c r="M2651" s="116">
        <v>168.82</v>
      </c>
      <c r="N2651" s="116">
        <v>172.5</v>
      </c>
      <c r="O2651" s="116">
        <v>168.46</v>
      </c>
      <c r="P2651" s="116">
        <v>170</v>
      </c>
      <c r="Q2651" s="116">
        <v>168.82</v>
      </c>
      <c r="R2651">
        <v>36402317</v>
      </c>
    </row>
    <row r="2652" spans="1:18" x14ac:dyDescent="0.25">
      <c r="A2652" s="170">
        <v>45909</v>
      </c>
      <c r="B2652" s="116">
        <v>169.8</v>
      </c>
      <c r="C2652" s="116">
        <v>169.15</v>
      </c>
      <c r="D2652" s="116">
        <v>168</v>
      </c>
      <c r="E2652" s="116">
        <v>169.1</v>
      </c>
      <c r="F2652" s="116">
        <v>169.15</v>
      </c>
      <c r="G2652">
        <v>1189204</v>
      </c>
      <c r="H2652" s="116"/>
      <c r="I2652" s="116"/>
      <c r="L2652" s="170">
        <v>45909</v>
      </c>
      <c r="M2652" s="116">
        <v>169.15</v>
      </c>
      <c r="N2652" s="116">
        <v>169.72</v>
      </c>
      <c r="O2652" s="116">
        <v>167.99</v>
      </c>
      <c r="P2652" s="116">
        <v>169.3</v>
      </c>
      <c r="Q2652" s="116">
        <v>169.15</v>
      </c>
      <c r="R2652">
        <v>14028910</v>
      </c>
    </row>
    <row r="2653" spans="1:18" x14ac:dyDescent="0.25">
      <c r="A2653" s="170">
        <v>45910</v>
      </c>
      <c r="B2653" s="116">
        <v>170.7</v>
      </c>
      <c r="C2653" s="116">
        <v>169.35</v>
      </c>
      <c r="D2653" s="116">
        <v>168.3</v>
      </c>
      <c r="E2653" s="116">
        <v>169.15</v>
      </c>
      <c r="F2653" s="116">
        <v>169.35</v>
      </c>
      <c r="G2653">
        <v>1843576</v>
      </c>
      <c r="H2653" s="116"/>
      <c r="I2653" s="116"/>
      <c r="L2653" s="170">
        <v>45910</v>
      </c>
      <c r="M2653" s="116">
        <v>169.43</v>
      </c>
      <c r="N2653" s="116">
        <v>170.73</v>
      </c>
      <c r="O2653" s="116">
        <v>168.75</v>
      </c>
      <c r="P2653" s="116">
        <v>169.19</v>
      </c>
      <c r="Q2653" s="116">
        <v>169.43</v>
      </c>
      <c r="R2653">
        <v>13128306</v>
      </c>
    </row>
    <row r="2654" spans="1:18" x14ac:dyDescent="0.25">
      <c r="A2654" s="170">
        <v>45911</v>
      </c>
      <c r="B2654" s="116">
        <v>170.85</v>
      </c>
      <c r="C2654" s="116">
        <v>169.4</v>
      </c>
      <c r="D2654" s="116">
        <v>168.5</v>
      </c>
      <c r="E2654" s="116">
        <v>169.2</v>
      </c>
      <c r="F2654" s="116">
        <v>169.4</v>
      </c>
      <c r="G2654">
        <v>657665</v>
      </c>
      <c r="H2654" s="116"/>
      <c r="I2654" s="116"/>
      <c r="L2654" s="170">
        <v>45911</v>
      </c>
      <c r="M2654" s="116">
        <v>169.41</v>
      </c>
      <c r="N2654" s="116">
        <v>170.9</v>
      </c>
      <c r="O2654" s="116">
        <v>168.46</v>
      </c>
      <c r="P2654" s="116">
        <v>169.35</v>
      </c>
      <c r="Q2654" s="116">
        <v>169.41</v>
      </c>
      <c r="R2654">
        <v>13829526</v>
      </c>
    </row>
    <row r="2655" spans="1:18" x14ac:dyDescent="0.25">
      <c r="A2655" s="170">
        <v>45912</v>
      </c>
      <c r="B2655" s="116">
        <v>171</v>
      </c>
      <c r="C2655" s="116">
        <v>169.8</v>
      </c>
      <c r="D2655" s="116">
        <v>168.6</v>
      </c>
      <c r="E2655" s="116">
        <v>169.8</v>
      </c>
      <c r="F2655" s="116">
        <v>169.8</v>
      </c>
      <c r="G2655">
        <v>1234298</v>
      </c>
      <c r="H2655" s="116"/>
      <c r="I2655" s="116"/>
      <c r="L2655" s="170">
        <v>45912</v>
      </c>
      <c r="M2655" s="116">
        <v>169.78</v>
      </c>
      <c r="N2655" s="116">
        <v>171</v>
      </c>
      <c r="O2655" s="116">
        <v>168.63</v>
      </c>
      <c r="P2655" s="116">
        <v>169.6</v>
      </c>
      <c r="Q2655" s="116">
        <v>169.78</v>
      </c>
      <c r="R2655">
        <v>12119036</v>
      </c>
    </row>
    <row r="2656" spans="1:18" x14ac:dyDescent="0.25">
      <c r="A2656" s="170">
        <v>45915</v>
      </c>
      <c r="B2656" s="116">
        <v>170.2</v>
      </c>
      <c r="C2656" s="116">
        <v>169.2</v>
      </c>
      <c r="D2656" s="116">
        <v>168.6</v>
      </c>
      <c r="E2656" s="116">
        <v>169.6</v>
      </c>
      <c r="F2656" s="116">
        <v>169.2</v>
      </c>
      <c r="G2656">
        <v>1933165</v>
      </c>
      <c r="H2656" s="116"/>
      <c r="I2656" s="116"/>
      <c r="L2656" s="170">
        <v>45915</v>
      </c>
      <c r="M2656" s="116">
        <v>169.23</v>
      </c>
      <c r="N2656" s="116">
        <v>170.2</v>
      </c>
      <c r="O2656" s="116">
        <v>168.63</v>
      </c>
      <c r="P2656" s="116">
        <v>169.77</v>
      </c>
      <c r="Q2656" s="116">
        <v>169.23</v>
      </c>
      <c r="R2656">
        <v>10611401</v>
      </c>
    </row>
    <row r="2657" spans="1:18" x14ac:dyDescent="0.25">
      <c r="A2657" s="170">
        <v>45916</v>
      </c>
      <c r="B2657" s="116">
        <v>172.3</v>
      </c>
      <c r="C2657" s="116">
        <v>172</v>
      </c>
      <c r="D2657" s="116">
        <v>168.6</v>
      </c>
      <c r="E2657" s="116">
        <v>168.6</v>
      </c>
      <c r="F2657" s="116">
        <v>172</v>
      </c>
      <c r="G2657">
        <v>1714698</v>
      </c>
      <c r="H2657" s="116"/>
      <c r="I2657" s="116"/>
      <c r="L2657" s="170">
        <v>45916</v>
      </c>
      <c r="M2657" s="116">
        <v>172.02</v>
      </c>
      <c r="N2657" s="116">
        <v>172.27</v>
      </c>
      <c r="O2657" s="116">
        <v>169.02</v>
      </c>
      <c r="P2657" s="116">
        <v>169.39</v>
      </c>
      <c r="Q2657" s="116">
        <v>172.02</v>
      </c>
      <c r="R2657">
        <v>26629438</v>
      </c>
    </row>
    <row r="2658" spans="1:18" x14ac:dyDescent="0.25">
      <c r="A2658" s="170">
        <v>45917</v>
      </c>
      <c r="B2658" s="116">
        <v>172.6</v>
      </c>
      <c r="C2658" s="116">
        <v>171.25</v>
      </c>
      <c r="D2658" s="116">
        <v>169.3</v>
      </c>
      <c r="E2658" s="116">
        <v>172.6</v>
      </c>
      <c r="F2658" s="116">
        <v>171.25</v>
      </c>
      <c r="G2658">
        <v>1225524</v>
      </c>
      <c r="H2658" s="116"/>
      <c r="I2658" s="116"/>
      <c r="L2658" s="170">
        <v>45917</v>
      </c>
      <c r="M2658" s="116">
        <v>171.36</v>
      </c>
      <c r="N2658" s="116">
        <v>172.9</v>
      </c>
      <c r="O2658" s="116">
        <v>169.35</v>
      </c>
      <c r="P2658" s="116">
        <v>172.5</v>
      </c>
      <c r="Q2658" s="116">
        <v>171.36</v>
      </c>
      <c r="R2658">
        <v>21381306</v>
      </c>
    </row>
    <row r="2659" spans="1:18" x14ac:dyDescent="0.25">
      <c r="A2659" s="170">
        <v>45918</v>
      </c>
      <c r="B2659" s="116">
        <v>172.25</v>
      </c>
      <c r="C2659" s="116">
        <v>172</v>
      </c>
      <c r="D2659" s="116">
        <v>169.8</v>
      </c>
      <c r="E2659" s="116">
        <v>171.65</v>
      </c>
      <c r="F2659" s="116">
        <v>172</v>
      </c>
      <c r="G2659">
        <v>1025203</v>
      </c>
      <c r="H2659" s="116"/>
      <c r="I2659" s="116"/>
      <c r="L2659" s="170">
        <v>45918</v>
      </c>
      <c r="M2659" s="116">
        <v>172.03</v>
      </c>
      <c r="N2659" s="116">
        <v>172.2</v>
      </c>
      <c r="O2659" s="116">
        <v>169.81</v>
      </c>
      <c r="P2659" s="116">
        <v>171.46</v>
      </c>
      <c r="Q2659" s="116">
        <v>172.03</v>
      </c>
      <c r="R2659">
        <v>16413388</v>
      </c>
    </row>
    <row r="2660" spans="1:18" x14ac:dyDescent="0.25">
      <c r="A2660" s="170">
        <v>45919</v>
      </c>
      <c r="B2660" s="116">
        <v>172.6</v>
      </c>
      <c r="C2660" s="116">
        <v>171.5</v>
      </c>
      <c r="D2660" s="116">
        <v>170.5</v>
      </c>
      <c r="E2660" s="116">
        <v>171.9</v>
      </c>
      <c r="F2660" s="116">
        <v>171.5</v>
      </c>
      <c r="G2660">
        <v>1040051</v>
      </c>
      <c r="H2660" s="116"/>
      <c r="I2660" s="116"/>
      <c r="L2660" s="170">
        <v>45919</v>
      </c>
      <c r="M2660" s="116">
        <v>171.48</v>
      </c>
      <c r="N2660" s="116">
        <v>172.67</v>
      </c>
      <c r="O2660" s="116">
        <v>170.6</v>
      </c>
      <c r="P2660" s="116">
        <v>172.1</v>
      </c>
      <c r="Q2660" s="116">
        <v>171.48</v>
      </c>
      <c r="R2660">
        <v>25406461</v>
      </c>
    </row>
    <row r="2661" spans="1:18" x14ac:dyDescent="0.25">
      <c r="A2661" s="170">
        <v>45922</v>
      </c>
      <c r="B2661" s="116">
        <v>172.2</v>
      </c>
      <c r="C2661" s="116">
        <v>171.35</v>
      </c>
      <c r="D2661" s="116">
        <v>170.4</v>
      </c>
      <c r="E2661" s="116">
        <v>170.4</v>
      </c>
      <c r="F2661" s="116">
        <v>171.35</v>
      </c>
      <c r="G2661">
        <v>1093309</v>
      </c>
      <c r="H2661" s="116"/>
      <c r="I2661" s="116"/>
      <c r="L2661" s="170">
        <v>45922</v>
      </c>
      <c r="M2661" s="116">
        <v>171.39</v>
      </c>
      <c r="N2661" s="116">
        <v>172.21</v>
      </c>
      <c r="O2661" s="116">
        <v>170.51</v>
      </c>
      <c r="P2661" s="116">
        <v>170.8</v>
      </c>
      <c r="Q2661" s="116">
        <v>171.39</v>
      </c>
      <c r="R2661">
        <v>20970704</v>
      </c>
    </row>
    <row r="2662" spans="1:18" x14ac:dyDescent="0.25">
      <c r="A2662" s="170">
        <v>45923</v>
      </c>
      <c r="B2662" s="116">
        <v>173.8</v>
      </c>
      <c r="C2662" s="116">
        <v>173.25</v>
      </c>
      <c r="D2662" s="116">
        <v>171.15</v>
      </c>
      <c r="E2662" s="116">
        <v>171.35</v>
      </c>
      <c r="F2662" s="116">
        <v>173.25</v>
      </c>
      <c r="G2662">
        <v>1642861</v>
      </c>
      <c r="H2662" s="116"/>
      <c r="I2662" s="116"/>
      <c r="L2662" s="170">
        <v>45923</v>
      </c>
      <c r="M2662" s="116">
        <v>173.29</v>
      </c>
      <c r="N2662" s="116">
        <v>173.81</v>
      </c>
      <c r="O2662" s="116">
        <v>171.2</v>
      </c>
      <c r="P2662" s="116">
        <v>171.45</v>
      </c>
      <c r="Q2662" s="116">
        <v>173.29</v>
      </c>
      <c r="R2662">
        <v>24533561</v>
      </c>
    </row>
    <row r="2663" spans="1:18" x14ac:dyDescent="0.25">
      <c r="A2663" s="170">
        <v>45924</v>
      </c>
      <c r="B2663" s="116">
        <v>174.35</v>
      </c>
      <c r="C2663" s="116">
        <v>172.7</v>
      </c>
      <c r="D2663" s="116">
        <v>172.4</v>
      </c>
      <c r="E2663" s="116">
        <v>173.4</v>
      </c>
      <c r="F2663" s="116">
        <v>172.7</v>
      </c>
      <c r="G2663">
        <v>1010448</v>
      </c>
      <c r="H2663" s="116"/>
      <c r="I2663" s="116"/>
      <c r="L2663" s="170">
        <v>45924</v>
      </c>
      <c r="M2663" s="116">
        <v>172.66</v>
      </c>
      <c r="N2663" s="116">
        <v>174.44</v>
      </c>
      <c r="O2663" s="116">
        <v>172.38</v>
      </c>
      <c r="P2663" s="116">
        <v>173.16</v>
      </c>
      <c r="Q2663" s="116">
        <v>172.66</v>
      </c>
      <c r="R2663">
        <v>20168891</v>
      </c>
    </row>
    <row r="2664" spans="1:18" x14ac:dyDescent="0.25">
      <c r="A2664" s="170">
        <v>45925</v>
      </c>
      <c r="B2664" s="116">
        <v>173.9</v>
      </c>
      <c r="C2664" s="116">
        <v>172.3</v>
      </c>
      <c r="D2664" s="116">
        <v>171.85</v>
      </c>
      <c r="E2664" s="116">
        <v>172.6</v>
      </c>
      <c r="F2664" s="116">
        <v>172.3</v>
      </c>
      <c r="G2664">
        <v>1346330</v>
      </c>
      <c r="H2664" s="116"/>
      <c r="I2664" s="116"/>
      <c r="L2664" s="170">
        <v>45925</v>
      </c>
      <c r="M2664" s="116">
        <v>172.38</v>
      </c>
      <c r="N2664" s="116">
        <v>173.85</v>
      </c>
      <c r="O2664" s="116">
        <v>171.86</v>
      </c>
      <c r="P2664" s="116">
        <v>172.9</v>
      </c>
      <c r="Q2664" s="116">
        <v>172.38</v>
      </c>
      <c r="R2664">
        <v>17026549</v>
      </c>
    </row>
    <row r="2665" spans="1:18" x14ac:dyDescent="0.25">
      <c r="A2665" s="170">
        <v>45926</v>
      </c>
      <c r="B2665" s="116">
        <v>173.3</v>
      </c>
      <c r="C2665" s="116">
        <v>167.45</v>
      </c>
      <c r="D2665" s="116">
        <v>167.15</v>
      </c>
      <c r="E2665" s="116">
        <v>172.45</v>
      </c>
      <c r="F2665" s="116">
        <v>167.45</v>
      </c>
      <c r="G2665">
        <v>663772</v>
      </c>
      <c r="H2665" s="116"/>
      <c r="I2665" s="116"/>
      <c r="L2665" s="170">
        <v>45926</v>
      </c>
      <c r="M2665" s="116">
        <v>167.4</v>
      </c>
      <c r="N2665" s="116">
        <v>173.37</v>
      </c>
      <c r="O2665" s="116">
        <v>167.2</v>
      </c>
      <c r="P2665" s="116">
        <v>172.22</v>
      </c>
      <c r="Q2665" s="116">
        <v>167.4</v>
      </c>
      <c r="R2665">
        <v>20157657</v>
      </c>
    </row>
    <row r="2666" spans="1:18" x14ac:dyDescent="0.25">
      <c r="A2666" s="170">
        <v>45929</v>
      </c>
      <c r="B2666" s="116">
        <v>170.25</v>
      </c>
      <c r="C2666" s="116">
        <v>169.05</v>
      </c>
      <c r="D2666" s="116">
        <v>167.45</v>
      </c>
      <c r="E2666" s="116">
        <v>167.45</v>
      </c>
      <c r="F2666" s="116">
        <v>169.05</v>
      </c>
      <c r="G2666">
        <v>674725</v>
      </c>
      <c r="H2666" s="116"/>
      <c r="I2666" s="116"/>
      <c r="L2666" s="170">
        <v>45929</v>
      </c>
      <c r="M2666" s="116">
        <v>168.98</v>
      </c>
      <c r="N2666" s="116">
        <v>170.28</v>
      </c>
      <c r="O2666" s="116">
        <v>167.56</v>
      </c>
      <c r="P2666" s="116">
        <v>167.6</v>
      </c>
      <c r="Q2666" s="116">
        <v>168.98</v>
      </c>
      <c r="R2666">
        <v>16832342</v>
      </c>
    </row>
    <row r="2667" spans="1:18" x14ac:dyDescent="0.25">
      <c r="A2667" s="170">
        <v>45930</v>
      </c>
      <c r="B2667" s="116">
        <v>170.25</v>
      </c>
      <c r="C2667" s="116">
        <v>168.7</v>
      </c>
      <c r="D2667" s="116">
        <v>168.35</v>
      </c>
      <c r="E2667" s="116">
        <v>169.5</v>
      </c>
      <c r="F2667" s="116">
        <v>168.7</v>
      </c>
      <c r="G2667">
        <v>841187</v>
      </c>
      <c r="H2667" s="116"/>
      <c r="I2667" s="116"/>
      <c r="L2667" s="170">
        <v>45930</v>
      </c>
      <c r="M2667" s="116">
        <v>168.77</v>
      </c>
      <c r="N2667" s="116">
        <v>170.15</v>
      </c>
      <c r="O2667" s="116">
        <v>168.41</v>
      </c>
      <c r="P2667" s="116">
        <v>169.5</v>
      </c>
      <c r="Q2667" s="116">
        <v>168.77</v>
      </c>
      <c r="R2667">
        <v>24553596</v>
      </c>
    </row>
    <row r="2668" spans="1:18" x14ac:dyDescent="0.25">
      <c r="A2668" s="170">
        <v>45931</v>
      </c>
      <c r="B2668" s="116">
        <v>169.8</v>
      </c>
      <c r="C2668" s="116">
        <v>167.5</v>
      </c>
      <c r="D2668" s="116">
        <v>166.05</v>
      </c>
      <c r="E2668" s="116">
        <v>168.7</v>
      </c>
      <c r="F2668" s="116">
        <v>167.5</v>
      </c>
      <c r="G2668">
        <v>2058940</v>
      </c>
      <c r="H2668" s="116"/>
      <c r="I2668" s="116"/>
      <c r="L2668" s="170">
        <v>45931</v>
      </c>
      <c r="M2668" s="116">
        <v>167.51</v>
      </c>
      <c r="N2668" s="116">
        <v>169.74</v>
      </c>
      <c r="O2668" s="116">
        <v>166.13</v>
      </c>
      <c r="P2668" s="116">
        <v>169</v>
      </c>
      <c r="Q2668" s="116">
        <v>167.51</v>
      </c>
      <c r="R2668">
        <v>17542776</v>
      </c>
    </row>
    <row r="2669" spans="1:18" x14ac:dyDescent="0.25">
      <c r="A2669" s="170">
        <v>45933</v>
      </c>
      <c r="B2669" s="116">
        <v>174.7</v>
      </c>
      <c r="C2669" s="116">
        <v>173.2</v>
      </c>
      <c r="D2669" s="116">
        <v>167.8</v>
      </c>
      <c r="E2669" s="116">
        <v>167.8</v>
      </c>
      <c r="F2669" s="116">
        <v>173.2</v>
      </c>
      <c r="G2669">
        <v>2937112</v>
      </c>
      <c r="H2669" s="116"/>
      <c r="I2669" s="116"/>
      <c r="L2669" s="170">
        <v>45933</v>
      </c>
      <c r="M2669" s="116">
        <v>173.21</v>
      </c>
      <c r="N2669" s="116">
        <v>174.74</v>
      </c>
      <c r="O2669" s="116">
        <v>168.12</v>
      </c>
      <c r="P2669" s="116">
        <v>168.12</v>
      </c>
      <c r="Q2669" s="116">
        <v>173.21</v>
      </c>
      <c r="R2669">
        <v>55172705</v>
      </c>
    </row>
    <row r="2670" spans="1:18" x14ac:dyDescent="0.25">
      <c r="A2670" s="170">
        <v>45936</v>
      </c>
      <c r="B2670" s="116">
        <v>173.55</v>
      </c>
      <c r="C2670" s="116">
        <v>169.95</v>
      </c>
      <c r="D2670" s="116">
        <v>169.3</v>
      </c>
      <c r="E2670" s="116">
        <v>172.85</v>
      </c>
      <c r="F2670" s="116">
        <v>169.95</v>
      </c>
      <c r="G2670">
        <v>1820741</v>
      </c>
      <c r="H2670" s="116"/>
      <c r="I2670" s="116"/>
      <c r="L2670" s="170">
        <v>45936</v>
      </c>
      <c r="M2670" s="116">
        <v>170.06</v>
      </c>
      <c r="N2670" s="116">
        <v>173.48</v>
      </c>
      <c r="O2670" s="116">
        <v>169.3</v>
      </c>
      <c r="P2670" s="116">
        <v>173.3</v>
      </c>
      <c r="Q2670" s="116">
        <v>170.06</v>
      </c>
      <c r="R2670">
        <v>21474004</v>
      </c>
    </row>
    <row r="2671" spans="1:18" x14ac:dyDescent="0.25">
      <c r="A2671" s="170">
        <v>45937</v>
      </c>
      <c r="B2671" s="116">
        <v>172.2</v>
      </c>
      <c r="C2671" s="116">
        <v>171.4</v>
      </c>
      <c r="D2671" s="116">
        <v>170.15</v>
      </c>
      <c r="E2671" s="116">
        <v>170.15</v>
      </c>
      <c r="F2671" s="116">
        <v>171.4</v>
      </c>
      <c r="G2671">
        <v>1157174</v>
      </c>
      <c r="H2671" s="116"/>
      <c r="I2671" s="116"/>
      <c r="L2671" s="170">
        <v>45937</v>
      </c>
      <c r="M2671" s="116">
        <v>171.43</v>
      </c>
      <c r="N2671" s="116">
        <v>172.2</v>
      </c>
      <c r="O2671" s="116">
        <v>170.4</v>
      </c>
      <c r="P2671" s="116">
        <v>170.4</v>
      </c>
      <c r="Q2671" s="116">
        <v>171.43</v>
      </c>
      <c r="R2671">
        <v>19189843</v>
      </c>
    </row>
    <row r="2672" spans="1:18" x14ac:dyDescent="0.25">
      <c r="A2672" s="170">
        <v>45938</v>
      </c>
      <c r="B2672" s="116">
        <v>173.65</v>
      </c>
      <c r="C2672" s="116">
        <v>171.85</v>
      </c>
      <c r="D2672" s="116">
        <v>170.1</v>
      </c>
      <c r="E2672" s="116">
        <v>171.8</v>
      </c>
      <c r="F2672" s="116">
        <v>171.85</v>
      </c>
      <c r="G2672">
        <v>2483705</v>
      </c>
      <c r="H2672" s="116"/>
      <c r="I2672" s="116"/>
      <c r="L2672" s="170">
        <v>45938</v>
      </c>
      <c r="M2672" s="116">
        <v>171.94</v>
      </c>
      <c r="N2672" s="116">
        <v>173.63</v>
      </c>
      <c r="O2672" s="116">
        <v>170.06</v>
      </c>
      <c r="P2672" s="116">
        <v>172</v>
      </c>
      <c r="Q2672" s="116">
        <v>171.94</v>
      </c>
      <c r="R2672">
        <v>22662699</v>
      </c>
    </row>
    <row r="2673" spans="1:18" x14ac:dyDescent="0.25">
      <c r="A2673" s="170">
        <v>45939</v>
      </c>
      <c r="B2673" s="116">
        <v>177.85</v>
      </c>
      <c r="C2673" s="116">
        <v>176.4</v>
      </c>
      <c r="D2673" s="116">
        <v>172.55</v>
      </c>
      <c r="E2673" s="116">
        <v>172.55</v>
      </c>
      <c r="F2673" s="116">
        <v>176.4</v>
      </c>
      <c r="G2673">
        <v>7972981</v>
      </c>
      <c r="H2673" s="116"/>
      <c r="I2673" s="116"/>
      <c r="L2673" s="170">
        <v>45939</v>
      </c>
      <c r="M2673" s="116">
        <v>176.42</v>
      </c>
      <c r="N2673" s="116">
        <v>177.82</v>
      </c>
      <c r="O2673" s="116">
        <v>172.78</v>
      </c>
      <c r="P2673" s="116">
        <v>172.79</v>
      </c>
      <c r="Q2673" s="116">
        <v>176.42</v>
      </c>
      <c r="R2673">
        <v>68504717</v>
      </c>
    </row>
    <row r="2674" spans="1:18" x14ac:dyDescent="0.25">
      <c r="A2674" s="170">
        <v>45940</v>
      </c>
      <c r="B2674" s="116">
        <v>176.2</v>
      </c>
      <c r="C2674" s="116">
        <v>173.8</v>
      </c>
      <c r="D2674" s="116">
        <v>172.75</v>
      </c>
      <c r="E2674" s="116">
        <v>176.2</v>
      </c>
      <c r="F2674" s="116">
        <v>173.8</v>
      </c>
      <c r="G2674">
        <v>1628547</v>
      </c>
      <c r="H2674" s="116"/>
      <c r="I2674" s="116"/>
      <c r="L2674" s="170">
        <v>45940</v>
      </c>
      <c r="M2674" s="116">
        <v>173.86</v>
      </c>
      <c r="N2674" s="116">
        <v>176.14</v>
      </c>
      <c r="O2674" s="116">
        <v>172.9</v>
      </c>
      <c r="P2674" s="116">
        <v>176</v>
      </c>
      <c r="Q2674" s="116">
        <v>173.86</v>
      </c>
      <c r="R2674">
        <v>18085975</v>
      </c>
    </row>
    <row r="2675" spans="1:18" x14ac:dyDescent="0.25">
      <c r="A2675" s="170">
        <v>45943</v>
      </c>
      <c r="B2675" s="116">
        <v>173.85</v>
      </c>
      <c r="C2675" s="116">
        <v>172.95</v>
      </c>
      <c r="D2675" s="116">
        <v>171.05</v>
      </c>
      <c r="E2675" s="116">
        <v>172.4</v>
      </c>
      <c r="F2675" s="116">
        <v>172.95</v>
      </c>
      <c r="G2675">
        <v>816382</v>
      </c>
      <c r="H2675" s="116"/>
      <c r="I2675" s="116"/>
      <c r="L2675" s="170">
        <v>45943</v>
      </c>
      <c r="M2675" s="116">
        <v>173.03</v>
      </c>
      <c r="N2675" s="116">
        <v>173.8</v>
      </c>
      <c r="O2675" s="116">
        <v>170.91</v>
      </c>
      <c r="P2675" s="116">
        <v>173</v>
      </c>
      <c r="Q2675" s="116">
        <v>173.03</v>
      </c>
      <c r="R2675">
        <v>19386219</v>
      </c>
    </row>
    <row r="2676" spans="1:18" x14ac:dyDescent="0.25">
      <c r="A2676" s="170">
        <v>45944</v>
      </c>
      <c r="B2676" s="116">
        <v>176.2</v>
      </c>
      <c r="C2676" s="116">
        <v>170.4</v>
      </c>
      <c r="D2676" s="116">
        <v>169.25</v>
      </c>
      <c r="E2676" s="116">
        <v>174.2</v>
      </c>
      <c r="F2676" s="116">
        <v>170.4</v>
      </c>
      <c r="G2676">
        <v>882765</v>
      </c>
      <c r="H2676" s="116"/>
      <c r="I2676" s="116"/>
      <c r="L2676" s="170">
        <v>45944</v>
      </c>
      <c r="M2676" s="116">
        <v>170.51</v>
      </c>
      <c r="N2676" s="116">
        <v>176.45</v>
      </c>
      <c r="O2676" s="116">
        <v>169.25</v>
      </c>
      <c r="P2676" s="116">
        <v>174.91</v>
      </c>
      <c r="Q2676" s="116">
        <v>170.51</v>
      </c>
      <c r="R2676">
        <v>22082970</v>
      </c>
    </row>
    <row r="2677" spans="1:18" x14ac:dyDescent="0.25">
      <c r="A2677" s="170">
        <v>45945</v>
      </c>
      <c r="B2677" s="116">
        <v>173.95</v>
      </c>
      <c r="C2677" s="116">
        <v>173.15</v>
      </c>
      <c r="D2677" s="116">
        <v>170.1</v>
      </c>
      <c r="E2677" s="116">
        <v>170.8</v>
      </c>
      <c r="F2677" s="116">
        <v>173.15</v>
      </c>
      <c r="G2677">
        <v>567138</v>
      </c>
      <c r="H2677" s="116"/>
      <c r="I2677" s="116"/>
      <c r="L2677" s="170">
        <v>45945</v>
      </c>
      <c r="M2677" s="116">
        <v>173.24</v>
      </c>
      <c r="N2677" s="116">
        <v>174</v>
      </c>
      <c r="O2677" s="116">
        <v>170.11</v>
      </c>
      <c r="P2677" s="116">
        <v>170.83</v>
      </c>
      <c r="Q2677" s="116">
        <v>173.24</v>
      </c>
      <c r="R2677">
        <v>15031989</v>
      </c>
    </row>
    <row r="2678" spans="1:18" x14ac:dyDescent="0.25">
      <c r="A2678" s="170">
        <v>45946</v>
      </c>
      <c r="B2678" s="116">
        <v>174.4</v>
      </c>
      <c r="C2678" s="116">
        <v>174.05</v>
      </c>
      <c r="D2678" s="116">
        <v>172.2</v>
      </c>
      <c r="E2678" s="116">
        <v>172.75</v>
      </c>
      <c r="F2678" s="116">
        <v>174.05</v>
      </c>
      <c r="G2678">
        <v>732680</v>
      </c>
      <c r="H2678" s="116"/>
      <c r="I2678" s="116"/>
      <c r="L2678" s="170">
        <v>45946</v>
      </c>
      <c r="M2678" s="116">
        <v>174</v>
      </c>
      <c r="N2678" s="116">
        <v>174.49</v>
      </c>
      <c r="O2678" s="116">
        <v>172.22</v>
      </c>
      <c r="P2678" s="116">
        <v>173</v>
      </c>
      <c r="Q2678" s="116">
        <v>174</v>
      </c>
      <c r="R2678">
        <v>12205250</v>
      </c>
    </row>
    <row r="2679" spans="1:18" x14ac:dyDescent="0.25">
      <c r="A2679" s="170">
        <v>45947</v>
      </c>
      <c r="B2679" s="116">
        <v>174.25</v>
      </c>
      <c r="C2679" s="116">
        <v>172.25</v>
      </c>
      <c r="D2679" s="116">
        <v>171</v>
      </c>
      <c r="E2679" s="116">
        <v>173.4</v>
      </c>
      <c r="F2679" s="116">
        <v>172.25</v>
      </c>
      <c r="G2679">
        <v>1861036</v>
      </c>
      <c r="H2679" s="116"/>
      <c r="I2679" s="116"/>
      <c r="L2679" s="170">
        <v>45947</v>
      </c>
      <c r="M2679" s="116">
        <v>172.22</v>
      </c>
      <c r="N2679" s="116">
        <v>174.31</v>
      </c>
      <c r="O2679" s="116">
        <v>170.99</v>
      </c>
      <c r="P2679" s="116">
        <v>173.6</v>
      </c>
      <c r="Q2679" s="116">
        <v>172.22</v>
      </c>
      <c r="R2679">
        <v>21659007</v>
      </c>
    </row>
    <row r="2680" spans="1:18" x14ac:dyDescent="0.25">
      <c r="A2680" s="170">
        <v>45950</v>
      </c>
      <c r="B2680" s="116">
        <v>173.35</v>
      </c>
      <c r="C2680" s="116">
        <v>171.9</v>
      </c>
      <c r="D2680" s="116">
        <v>170.8</v>
      </c>
      <c r="E2680" s="116">
        <v>173.05</v>
      </c>
      <c r="F2680" s="116">
        <v>171.9</v>
      </c>
      <c r="G2680">
        <v>1036618</v>
      </c>
      <c r="H2680" s="116"/>
      <c r="I2680" s="116"/>
      <c r="L2680" s="170">
        <v>45950</v>
      </c>
      <c r="M2680" s="116">
        <v>171.95</v>
      </c>
      <c r="N2680" s="116">
        <v>173.3</v>
      </c>
      <c r="O2680" s="116">
        <v>170.82</v>
      </c>
      <c r="P2680" s="116">
        <v>173.3</v>
      </c>
      <c r="Q2680" s="116">
        <v>171.95</v>
      </c>
      <c r="R2680">
        <v>18049579</v>
      </c>
    </row>
    <row r="2681" spans="1:18" x14ac:dyDescent="0.25">
      <c r="A2681" s="170">
        <v>45951</v>
      </c>
      <c r="B2681" s="116">
        <v>173.25</v>
      </c>
      <c r="C2681" s="116">
        <v>172.8</v>
      </c>
      <c r="D2681" s="116">
        <v>171.85</v>
      </c>
      <c r="E2681" s="116">
        <v>171.85</v>
      </c>
      <c r="F2681" s="116">
        <v>172.8</v>
      </c>
      <c r="G2681">
        <v>323998</v>
      </c>
      <c r="H2681" s="116"/>
      <c r="I2681" s="116"/>
      <c r="L2681" s="170">
        <v>45951</v>
      </c>
      <c r="M2681" s="116">
        <v>172.78</v>
      </c>
      <c r="N2681" s="116">
        <v>173.25</v>
      </c>
      <c r="O2681" s="116">
        <v>172.1</v>
      </c>
      <c r="P2681" s="116">
        <v>172.4</v>
      </c>
      <c r="Q2681" s="116">
        <v>172.78</v>
      </c>
      <c r="R2681">
        <v>2471987</v>
      </c>
    </row>
    <row r="2682" spans="1:18" x14ac:dyDescent="0.25">
      <c r="A2682" s="170">
        <v>45953</v>
      </c>
      <c r="B2682" s="116">
        <v>176</v>
      </c>
      <c r="C2682" s="116">
        <v>174.1</v>
      </c>
      <c r="D2682" s="116">
        <v>173.2</v>
      </c>
      <c r="E2682" s="116">
        <v>173.2</v>
      </c>
      <c r="F2682" s="116">
        <v>174.1</v>
      </c>
      <c r="G2682">
        <v>4453408</v>
      </c>
      <c r="H2682" s="116"/>
      <c r="I2682" s="116"/>
      <c r="L2682" s="170">
        <v>45953</v>
      </c>
      <c r="M2682" s="116">
        <v>174.16</v>
      </c>
      <c r="N2682" s="116">
        <v>176.08</v>
      </c>
      <c r="O2682" s="116">
        <v>173.64</v>
      </c>
      <c r="P2682" s="116">
        <v>173.9</v>
      </c>
      <c r="Q2682" s="116">
        <v>174.16</v>
      </c>
      <c r="R2682">
        <v>31472510</v>
      </c>
    </row>
    <row r="2683" spans="1:18" x14ac:dyDescent="0.25">
      <c r="A2683" s="170">
        <v>45954</v>
      </c>
      <c r="B2683" s="116">
        <v>177.3</v>
      </c>
      <c r="C2683" s="116">
        <v>174.5</v>
      </c>
      <c r="D2683" s="116">
        <v>173.7</v>
      </c>
      <c r="E2683" s="116">
        <v>174.45</v>
      </c>
      <c r="F2683" s="116">
        <v>174.5</v>
      </c>
      <c r="G2683">
        <v>1791097</v>
      </c>
      <c r="H2683" s="116"/>
      <c r="I2683" s="116"/>
      <c r="L2683" s="170">
        <v>45954</v>
      </c>
      <c r="M2683" s="116">
        <v>174.44</v>
      </c>
      <c r="N2683" s="116">
        <v>177.35</v>
      </c>
      <c r="O2683" s="116">
        <v>173.72</v>
      </c>
      <c r="P2683" s="116">
        <v>174.6</v>
      </c>
      <c r="Q2683" s="116">
        <v>174.44</v>
      </c>
      <c r="R2683">
        <v>25226376</v>
      </c>
    </row>
    <row r="2684" spans="1:18" x14ac:dyDescent="0.25">
      <c r="A2684" s="170">
        <v>45957</v>
      </c>
      <c r="B2684" s="116">
        <v>177.85</v>
      </c>
      <c r="C2684" s="116">
        <v>176.6</v>
      </c>
      <c r="D2684" s="116">
        <v>175.4</v>
      </c>
      <c r="E2684" s="116">
        <v>175.4</v>
      </c>
      <c r="F2684" s="116">
        <v>176.6</v>
      </c>
      <c r="G2684">
        <v>2114987</v>
      </c>
      <c r="H2684" s="116"/>
      <c r="I2684" s="116"/>
      <c r="L2684" s="170">
        <v>45957</v>
      </c>
      <c r="M2684" s="116">
        <v>176.66</v>
      </c>
      <c r="N2684" s="116">
        <v>177.9</v>
      </c>
      <c r="O2684" s="116">
        <v>175.53</v>
      </c>
      <c r="P2684" s="116">
        <v>175.89</v>
      </c>
      <c r="Q2684" s="116">
        <v>176.66</v>
      </c>
      <c r="R2684">
        <v>23832477</v>
      </c>
    </row>
    <row r="2685" spans="1:18" x14ac:dyDescent="0.25">
      <c r="A2685" s="170">
        <v>45958</v>
      </c>
      <c r="B2685" s="116">
        <v>182.1</v>
      </c>
      <c r="C2685" s="116">
        <v>181.85</v>
      </c>
      <c r="D2685" s="116">
        <v>176.9</v>
      </c>
      <c r="E2685" s="116">
        <v>176.9</v>
      </c>
      <c r="F2685" s="116">
        <v>181.85</v>
      </c>
      <c r="G2685">
        <v>4099313</v>
      </c>
      <c r="H2685" s="116"/>
      <c r="I2685" s="116"/>
      <c r="L2685" s="170">
        <v>45958</v>
      </c>
      <c r="M2685" s="116">
        <v>181.81</v>
      </c>
      <c r="N2685" s="116">
        <v>182.06</v>
      </c>
      <c r="O2685" s="116">
        <v>177.02</v>
      </c>
      <c r="P2685" s="116">
        <v>177.35</v>
      </c>
      <c r="Q2685" s="116">
        <v>181.81</v>
      </c>
      <c r="R2685">
        <v>59511794</v>
      </c>
    </row>
    <row r="2686" spans="1:18" x14ac:dyDescent="0.25">
      <c r="A2686" s="170">
        <v>45959</v>
      </c>
      <c r="B2686" s="116">
        <v>187</v>
      </c>
      <c r="C2686" s="116">
        <v>185.15</v>
      </c>
      <c r="D2686" s="116">
        <v>182</v>
      </c>
      <c r="E2686" s="116">
        <v>183</v>
      </c>
      <c r="F2686" s="116">
        <v>185.15</v>
      </c>
      <c r="G2686">
        <v>3979455</v>
      </c>
      <c r="H2686" s="116"/>
      <c r="I2686" s="116"/>
      <c r="L2686" s="170">
        <v>45959</v>
      </c>
      <c r="M2686" s="116">
        <v>185.19</v>
      </c>
      <c r="N2686" s="116">
        <v>186.94</v>
      </c>
      <c r="O2686" s="116">
        <v>182.05</v>
      </c>
      <c r="P2686" s="116">
        <v>183.67</v>
      </c>
      <c r="Q2686" s="116">
        <v>185.19</v>
      </c>
      <c r="R2686">
        <v>51610530</v>
      </c>
    </row>
    <row r="2687" spans="1:18" x14ac:dyDescent="0.25">
      <c r="A2687" s="170">
        <v>45960</v>
      </c>
      <c r="B2687" s="116">
        <v>185.1</v>
      </c>
      <c r="C2687" s="116">
        <v>184.35</v>
      </c>
      <c r="D2687" s="116">
        <v>182.55</v>
      </c>
      <c r="E2687" s="116">
        <v>185.1</v>
      </c>
      <c r="F2687" s="116">
        <v>184.35</v>
      </c>
      <c r="G2687">
        <v>1198104</v>
      </c>
      <c r="H2687" s="116"/>
      <c r="I2687" s="116"/>
      <c r="L2687" s="170">
        <v>45960</v>
      </c>
      <c r="M2687" s="116">
        <v>184.35</v>
      </c>
      <c r="N2687" s="116">
        <v>185.19</v>
      </c>
      <c r="O2687" s="116">
        <v>182.64</v>
      </c>
      <c r="P2687" s="116">
        <v>184.4</v>
      </c>
      <c r="Q2687" s="116">
        <v>184.35</v>
      </c>
      <c r="R2687">
        <v>24270977</v>
      </c>
    </row>
    <row r="2688" spans="1:18" x14ac:dyDescent="0.25">
      <c r="A2688" s="170">
        <v>45961</v>
      </c>
      <c r="B2688" s="116">
        <v>184.25</v>
      </c>
      <c r="C2688" s="116">
        <v>182.95</v>
      </c>
      <c r="D2688" s="116">
        <v>182.2</v>
      </c>
      <c r="E2688" s="116">
        <v>183.75</v>
      </c>
      <c r="F2688" s="116">
        <v>182.95</v>
      </c>
      <c r="G2688">
        <v>642210</v>
      </c>
      <c r="H2688" s="116"/>
      <c r="I2688" s="116"/>
      <c r="L2688" s="170">
        <v>45961</v>
      </c>
      <c r="M2688" s="116">
        <v>182.84</v>
      </c>
      <c r="N2688" s="116">
        <v>184.3</v>
      </c>
      <c r="O2688" s="116">
        <v>182.12</v>
      </c>
      <c r="P2688" s="116">
        <v>184</v>
      </c>
      <c r="Q2688" s="116">
        <v>182.84</v>
      </c>
      <c r="R2688">
        <v>16041321</v>
      </c>
    </row>
    <row r="2689" spans="1:18" x14ac:dyDescent="0.25">
      <c r="A2689" s="170">
        <v>45964</v>
      </c>
      <c r="B2689" s="116">
        <v>184.1</v>
      </c>
      <c r="C2689" s="116">
        <v>182.65</v>
      </c>
      <c r="D2689" s="116">
        <v>181.8</v>
      </c>
      <c r="E2689" s="116">
        <v>182.25</v>
      </c>
      <c r="F2689" s="116">
        <v>182.65</v>
      </c>
      <c r="G2689">
        <v>1474266</v>
      </c>
      <c r="H2689" s="116"/>
      <c r="I2689" s="116"/>
      <c r="L2689" s="170">
        <v>45964</v>
      </c>
      <c r="M2689" s="116">
        <v>182.67</v>
      </c>
      <c r="N2689" s="116">
        <v>184.1</v>
      </c>
      <c r="O2689" s="116">
        <v>181.8</v>
      </c>
      <c r="P2689" s="116">
        <v>182.4</v>
      </c>
      <c r="Q2689" s="116">
        <v>182.67</v>
      </c>
      <c r="R2689">
        <v>16652212</v>
      </c>
    </row>
    <row r="2690" spans="1:18" x14ac:dyDescent="0.25">
      <c r="A2690" s="170">
        <v>45965</v>
      </c>
      <c r="B2690" s="116">
        <v>183.1</v>
      </c>
      <c r="C2690" s="116">
        <v>179.25</v>
      </c>
      <c r="D2690" s="116">
        <v>178.9</v>
      </c>
      <c r="E2690" s="116">
        <v>182.95</v>
      </c>
      <c r="F2690" s="116">
        <v>179.25</v>
      </c>
      <c r="G2690">
        <v>758037</v>
      </c>
      <c r="H2690" s="116"/>
      <c r="I2690" s="116"/>
      <c r="L2690" s="170">
        <v>45965</v>
      </c>
      <c r="M2690" s="116">
        <v>179.29</v>
      </c>
      <c r="N2690" s="116">
        <v>183.09</v>
      </c>
      <c r="O2690" s="116">
        <v>178.9</v>
      </c>
      <c r="P2690" s="116">
        <v>183</v>
      </c>
      <c r="Q2690" s="116">
        <v>179.29</v>
      </c>
      <c r="R2690">
        <v>18746387</v>
      </c>
    </row>
    <row r="2691" spans="1:18" x14ac:dyDescent="0.25">
      <c r="A2691" s="170">
        <v>45967</v>
      </c>
      <c r="B2691" s="116">
        <v>180.7</v>
      </c>
      <c r="C2691" s="116">
        <v>177.25</v>
      </c>
      <c r="D2691" s="116">
        <v>176.5</v>
      </c>
      <c r="E2691" s="116">
        <v>179.35</v>
      </c>
      <c r="F2691" s="116">
        <v>177.25</v>
      </c>
      <c r="G2691">
        <v>914344</v>
      </c>
      <c r="H2691" s="116"/>
      <c r="I2691" s="116"/>
      <c r="L2691" s="170">
        <v>45967</v>
      </c>
      <c r="M2691" s="116">
        <v>177.27</v>
      </c>
      <c r="N2691" s="116">
        <v>180.67</v>
      </c>
      <c r="O2691" s="116">
        <v>176.52</v>
      </c>
      <c r="P2691" s="116">
        <v>179.29</v>
      </c>
      <c r="Q2691" s="116">
        <v>177.27</v>
      </c>
      <c r="R2691">
        <v>23664538</v>
      </c>
    </row>
    <row r="2692" spans="1:18" x14ac:dyDescent="0.25">
      <c r="A2692" s="170">
        <v>45968</v>
      </c>
      <c r="B2692" s="116">
        <v>182.2</v>
      </c>
      <c r="C2692" s="116">
        <v>181.45</v>
      </c>
      <c r="D2692" s="116">
        <v>175.05</v>
      </c>
      <c r="E2692" s="116">
        <v>177.25</v>
      </c>
      <c r="F2692" s="116">
        <v>181.45</v>
      </c>
      <c r="G2692">
        <v>957768</v>
      </c>
      <c r="H2692" s="116"/>
      <c r="I2692" s="116"/>
      <c r="L2692" s="170">
        <v>45968</v>
      </c>
      <c r="M2692" s="116">
        <v>181.37</v>
      </c>
      <c r="N2692" s="116">
        <v>182.25</v>
      </c>
      <c r="O2692" s="116">
        <v>175.01</v>
      </c>
      <c r="P2692" s="116">
        <v>177</v>
      </c>
      <c r="Q2692" s="116">
        <v>181.37</v>
      </c>
      <c r="R2692">
        <v>19165876</v>
      </c>
    </row>
    <row r="2693" spans="1:18" x14ac:dyDescent="0.25">
      <c r="A2693" s="170">
        <v>45971</v>
      </c>
      <c r="B2693" s="116">
        <v>182.4</v>
      </c>
      <c r="C2693" s="116">
        <v>181.4</v>
      </c>
      <c r="D2693" s="116">
        <v>180.1</v>
      </c>
      <c r="E2693" s="116">
        <v>182.05</v>
      </c>
      <c r="F2693" s="116">
        <v>181.4</v>
      </c>
      <c r="G2693">
        <v>1132449</v>
      </c>
      <c r="H2693" s="116"/>
      <c r="I2693" s="116"/>
      <c r="L2693" s="170">
        <v>45971</v>
      </c>
      <c r="M2693" s="116">
        <v>181.48</v>
      </c>
      <c r="N2693" s="116">
        <v>182.51</v>
      </c>
      <c r="O2693" s="116">
        <v>180.2</v>
      </c>
      <c r="P2693" s="116">
        <v>182.03</v>
      </c>
      <c r="Q2693" s="116">
        <v>181.48</v>
      </c>
      <c r="R2693">
        <v>18376132</v>
      </c>
    </row>
    <row r="2694" spans="1:18" x14ac:dyDescent="0.25">
      <c r="A2694" s="170">
        <v>45972</v>
      </c>
      <c r="B2694" s="116">
        <v>183</v>
      </c>
      <c r="C2694" s="116">
        <v>181</v>
      </c>
      <c r="D2694" s="116">
        <v>179.05</v>
      </c>
      <c r="E2694" s="116">
        <v>183</v>
      </c>
      <c r="F2694" s="116">
        <v>181</v>
      </c>
      <c r="G2694">
        <v>849941</v>
      </c>
      <c r="H2694" s="116"/>
      <c r="I2694" s="116"/>
      <c r="L2694" s="170">
        <v>45972</v>
      </c>
      <c r="M2694" s="116">
        <v>181.04</v>
      </c>
      <c r="N2694" s="116">
        <v>182.9</v>
      </c>
      <c r="O2694" s="116">
        <v>179.02</v>
      </c>
      <c r="P2694" s="116">
        <v>182.9</v>
      </c>
      <c r="Q2694" s="116">
        <v>181.04</v>
      </c>
      <c r="R2694">
        <v>14109340</v>
      </c>
    </row>
    <row r="2695" spans="1:18" x14ac:dyDescent="0.25">
      <c r="A2695" s="170">
        <v>45973</v>
      </c>
      <c r="B2695" s="116">
        <v>182.3</v>
      </c>
      <c r="C2695" s="116">
        <v>178.65</v>
      </c>
      <c r="D2695" s="116">
        <v>178</v>
      </c>
      <c r="E2695" s="116">
        <v>181.15</v>
      </c>
      <c r="F2695" s="116">
        <v>178.65</v>
      </c>
      <c r="G2695">
        <v>1448755</v>
      </c>
      <c r="H2695" s="116"/>
      <c r="I2695" s="116"/>
      <c r="L2695" s="170">
        <v>45973</v>
      </c>
      <c r="M2695" s="116">
        <v>178.61</v>
      </c>
      <c r="N2695" s="116">
        <v>182.15</v>
      </c>
      <c r="O2695" s="116">
        <v>178</v>
      </c>
      <c r="P2695" s="116">
        <v>181.44</v>
      </c>
      <c r="Q2695" s="116">
        <v>178.61</v>
      </c>
      <c r="R2695">
        <v>19037263</v>
      </c>
    </row>
    <row r="2696" spans="1:18" x14ac:dyDescent="0.25">
      <c r="A2696" s="170">
        <v>45974</v>
      </c>
      <c r="B2696" s="116">
        <v>184.2</v>
      </c>
      <c r="C2696" s="116">
        <v>176.6</v>
      </c>
      <c r="D2696" s="116">
        <v>175.05</v>
      </c>
      <c r="E2696" s="116">
        <v>184.2</v>
      </c>
      <c r="F2696" s="116">
        <v>176.6</v>
      </c>
      <c r="G2696">
        <v>4141292</v>
      </c>
      <c r="H2696" s="116"/>
      <c r="I2696" s="116"/>
      <c r="L2696" s="170">
        <v>45974</v>
      </c>
      <c r="M2696" s="116">
        <v>176.65</v>
      </c>
      <c r="N2696" s="116">
        <v>184</v>
      </c>
      <c r="O2696" s="116">
        <v>175.1</v>
      </c>
      <c r="P2696" s="116">
        <v>184</v>
      </c>
      <c r="Q2696" s="116">
        <v>176.65</v>
      </c>
      <c r="R2696">
        <v>82083661</v>
      </c>
    </row>
    <row r="2697" spans="1:18" x14ac:dyDescent="0.25">
      <c r="A2697" s="170">
        <v>45975</v>
      </c>
      <c r="B2697" s="116">
        <v>177.9</v>
      </c>
      <c r="C2697" s="116">
        <v>174.15</v>
      </c>
      <c r="D2697" s="116">
        <v>172.25</v>
      </c>
      <c r="E2697" s="116">
        <v>177.25</v>
      </c>
      <c r="F2697" s="116">
        <v>174.15</v>
      </c>
      <c r="G2697">
        <v>1273765</v>
      </c>
      <c r="H2697" s="116"/>
      <c r="I2697" s="116"/>
      <c r="L2697" s="170">
        <v>45975</v>
      </c>
      <c r="M2697" s="116">
        <v>174.26</v>
      </c>
      <c r="N2697" s="116">
        <v>177.7</v>
      </c>
      <c r="O2697" s="116">
        <v>172.12</v>
      </c>
      <c r="P2697" s="116">
        <v>177.52</v>
      </c>
      <c r="Q2697" s="116">
        <v>174.26</v>
      </c>
      <c r="R2697">
        <v>38345500</v>
      </c>
    </row>
    <row r="2698" spans="1:18" x14ac:dyDescent="0.25">
      <c r="A2698" s="170">
        <v>45978</v>
      </c>
      <c r="B2698" s="116">
        <v>175.55</v>
      </c>
      <c r="C2698" s="116">
        <v>173.05</v>
      </c>
      <c r="D2698" s="116">
        <v>172.6</v>
      </c>
      <c r="E2698" s="116">
        <v>175.55</v>
      </c>
      <c r="F2698" s="116">
        <v>173.05</v>
      </c>
      <c r="G2698">
        <v>734606</v>
      </c>
      <c r="H2698" s="116"/>
      <c r="I2698" s="116"/>
      <c r="L2698" s="170">
        <v>45978</v>
      </c>
      <c r="M2698" s="116">
        <v>173.17</v>
      </c>
      <c r="N2698" s="116">
        <v>175.25</v>
      </c>
      <c r="O2698" s="116">
        <v>172.62</v>
      </c>
      <c r="P2698" s="116">
        <v>175.13</v>
      </c>
      <c r="Q2698" s="116">
        <v>173.17</v>
      </c>
      <c r="R2698">
        <v>28204282</v>
      </c>
    </row>
    <row r="2699" spans="1:18" x14ac:dyDescent="0.25">
      <c r="A2699" s="170">
        <v>45979</v>
      </c>
      <c r="B2699" s="116">
        <v>173.2</v>
      </c>
      <c r="C2699" s="116">
        <v>172.4</v>
      </c>
      <c r="D2699" s="116">
        <v>170.55</v>
      </c>
      <c r="E2699" s="116">
        <v>172.8</v>
      </c>
      <c r="F2699" s="116">
        <v>172.4</v>
      </c>
      <c r="G2699">
        <v>824997</v>
      </c>
      <c r="H2699" s="116"/>
      <c r="I2699" s="116"/>
      <c r="L2699" s="170">
        <v>45979</v>
      </c>
      <c r="M2699" s="116">
        <v>172.45</v>
      </c>
      <c r="N2699" s="116">
        <v>173.12</v>
      </c>
      <c r="O2699" s="116">
        <v>170.55</v>
      </c>
      <c r="P2699" s="116">
        <v>172.4</v>
      </c>
      <c r="Q2699" s="116">
        <v>172.45</v>
      </c>
      <c r="R2699">
        <v>34278387</v>
      </c>
    </row>
    <row r="2700" spans="1:18" x14ac:dyDescent="0.25">
      <c r="A2700" s="170">
        <v>45980</v>
      </c>
      <c r="B2700" s="116">
        <v>173.9</v>
      </c>
      <c r="C2700" s="116">
        <v>173.1</v>
      </c>
      <c r="D2700" s="116">
        <v>172.05</v>
      </c>
      <c r="E2700" s="116">
        <v>172.95</v>
      </c>
      <c r="F2700" s="116">
        <v>173.1</v>
      </c>
      <c r="G2700">
        <v>2057512</v>
      </c>
      <c r="H2700" s="116"/>
      <c r="I2700" s="116"/>
      <c r="L2700" s="170">
        <v>45980</v>
      </c>
      <c r="M2700" s="116">
        <v>173.21</v>
      </c>
      <c r="N2700" s="116">
        <v>173.9</v>
      </c>
      <c r="O2700" s="116">
        <v>172.06</v>
      </c>
      <c r="P2700" s="116">
        <v>172.45</v>
      </c>
      <c r="Q2700" s="116">
        <v>173.21</v>
      </c>
      <c r="R2700">
        <v>19621610</v>
      </c>
    </row>
    <row r="2701" spans="1:18" x14ac:dyDescent="0.25">
      <c r="A2701" s="170">
        <v>45981</v>
      </c>
      <c r="B2701" s="116">
        <v>174</v>
      </c>
      <c r="C2701" s="116">
        <v>172.45</v>
      </c>
      <c r="D2701" s="116">
        <v>172.2</v>
      </c>
      <c r="E2701" s="116">
        <v>173.75</v>
      </c>
      <c r="F2701" s="116">
        <v>172.45</v>
      </c>
      <c r="G2701">
        <v>2994716</v>
      </c>
      <c r="H2701" s="116"/>
      <c r="I2701" s="116"/>
      <c r="L2701" s="170">
        <v>45981</v>
      </c>
      <c r="M2701" s="116">
        <v>172.46</v>
      </c>
      <c r="N2701" s="116">
        <v>174.36</v>
      </c>
      <c r="O2701" s="116">
        <v>172.26</v>
      </c>
      <c r="P2701" s="116">
        <v>174.1</v>
      </c>
      <c r="Q2701" s="116">
        <v>172.46</v>
      </c>
      <c r="R2701">
        <v>15968891</v>
      </c>
    </row>
    <row r="2702" spans="1:18" x14ac:dyDescent="0.25">
      <c r="A2702" s="170">
        <v>45982</v>
      </c>
      <c r="B2702" s="116">
        <v>172</v>
      </c>
      <c r="C2702" s="116">
        <v>168</v>
      </c>
      <c r="D2702" s="116">
        <v>167.7</v>
      </c>
      <c r="E2702" s="116">
        <v>172</v>
      </c>
      <c r="F2702" s="116">
        <v>168</v>
      </c>
      <c r="G2702">
        <v>756225</v>
      </c>
      <c r="H2702" s="116"/>
      <c r="I2702" s="116"/>
      <c r="L2702" s="170">
        <v>45982</v>
      </c>
      <c r="M2702" s="116">
        <v>168</v>
      </c>
      <c r="N2702" s="116">
        <v>171.9</v>
      </c>
      <c r="O2702" s="116">
        <v>167.7</v>
      </c>
      <c r="P2702" s="116">
        <v>171.8</v>
      </c>
      <c r="Q2702" s="116">
        <v>168</v>
      </c>
      <c r="R2702">
        <v>28412865</v>
      </c>
    </row>
    <row r="2703" spans="1:18" x14ac:dyDescent="0.25">
      <c r="A2703" s="170">
        <v>45985</v>
      </c>
      <c r="B2703" s="116">
        <v>168.4</v>
      </c>
      <c r="C2703" s="116">
        <v>165.3</v>
      </c>
      <c r="D2703" s="116">
        <v>165.15</v>
      </c>
      <c r="E2703" s="116">
        <v>168</v>
      </c>
      <c r="F2703" s="116">
        <v>165.3</v>
      </c>
      <c r="G2703">
        <v>1242043</v>
      </c>
      <c r="H2703" s="116"/>
      <c r="I2703" s="116"/>
      <c r="L2703" s="170">
        <v>45985</v>
      </c>
      <c r="M2703" s="116">
        <v>165.36</v>
      </c>
      <c r="N2703" s="116">
        <v>168.38</v>
      </c>
      <c r="O2703" s="116">
        <v>165.18</v>
      </c>
      <c r="P2703" s="116">
        <v>168</v>
      </c>
      <c r="Q2703" s="116">
        <v>165.36</v>
      </c>
      <c r="R2703">
        <v>31202769</v>
      </c>
    </row>
    <row r="2704" spans="1:18" x14ac:dyDescent="0.25">
      <c r="A2704" s="170">
        <v>45986</v>
      </c>
      <c r="B2704" s="116">
        <v>167.3</v>
      </c>
      <c r="C2704" s="116">
        <v>166.35</v>
      </c>
      <c r="D2704" s="116">
        <v>165.15</v>
      </c>
      <c r="E2704" s="116">
        <v>165.7</v>
      </c>
      <c r="F2704" s="116">
        <v>166.35</v>
      </c>
      <c r="G2704">
        <v>602393</v>
      </c>
      <c r="H2704" s="116"/>
      <c r="I2704" s="116"/>
      <c r="L2704" s="170">
        <v>45986</v>
      </c>
      <c r="M2704" s="116">
        <v>166.33</v>
      </c>
      <c r="N2704" s="116">
        <v>167.27</v>
      </c>
      <c r="O2704" s="116">
        <v>165.08</v>
      </c>
      <c r="P2704" s="116">
        <v>166</v>
      </c>
      <c r="Q2704" s="116">
        <v>166.33</v>
      </c>
      <c r="R2704">
        <v>19983310</v>
      </c>
    </row>
    <row r="2705" spans="1:18" x14ac:dyDescent="0.25">
      <c r="A2705" s="170">
        <v>45987</v>
      </c>
      <c r="B2705" s="116">
        <v>170</v>
      </c>
      <c r="C2705" s="116">
        <v>169.75</v>
      </c>
      <c r="D2705" s="116">
        <v>166.65</v>
      </c>
      <c r="E2705" s="116">
        <v>166.65</v>
      </c>
      <c r="F2705" s="116">
        <v>169.75</v>
      </c>
      <c r="G2705">
        <v>1840749</v>
      </c>
      <c r="H2705" s="116"/>
      <c r="I2705" s="116"/>
      <c r="L2705" s="170">
        <v>45987</v>
      </c>
      <c r="M2705" s="116">
        <v>169.67</v>
      </c>
      <c r="N2705" s="116">
        <v>169.95</v>
      </c>
      <c r="O2705" s="116">
        <v>166.9</v>
      </c>
      <c r="P2705" s="116">
        <v>167</v>
      </c>
      <c r="Q2705" s="116">
        <v>169.67</v>
      </c>
      <c r="R2705">
        <v>15044796</v>
      </c>
    </row>
    <row r="2706" spans="1:18" x14ac:dyDescent="0.25">
      <c r="A2706" s="170">
        <v>45988</v>
      </c>
      <c r="B2706" s="116">
        <v>171.1</v>
      </c>
      <c r="C2706" s="116">
        <v>168.1</v>
      </c>
      <c r="D2706" s="116">
        <v>167.2</v>
      </c>
      <c r="E2706" s="116">
        <v>170.3</v>
      </c>
      <c r="F2706" s="116">
        <v>168.1</v>
      </c>
      <c r="G2706">
        <v>1136854</v>
      </c>
      <c r="H2706" s="116"/>
      <c r="I2706" s="116"/>
      <c r="L2706" s="170">
        <v>45988</v>
      </c>
      <c r="M2706" s="116">
        <v>168.13</v>
      </c>
      <c r="N2706" s="116">
        <v>171</v>
      </c>
      <c r="O2706" s="116">
        <v>167.18</v>
      </c>
      <c r="P2706" s="116">
        <v>170.45</v>
      </c>
      <c r="Q2706" s="116">
        <v>168.13</v>
      </c>
      <c r="R2706">
        <v>17546627</v>
      </c>
    </row>
    <row r="2707" spans="1:18" x14ac:dyDescent="0.25">
      <c r="A2707" s="170">
        <v>45989</v>
      </c>
      <c r="B2707" s="116">
        <v>168.85</v>
      </c>
      <c r="C2707" s="116">
        <v>167.85</v>
      </c>
      <c r="D2707" s="116">
        <v>167.2</v>
      </c>
      <c r="E2707" s="116">
        <v>168.3</v>
      </c>
      <c r="F2707" s="116">
        <v>167.85</v>
      </c>
      <c r="G2707">
        <v>714399</v>
      </c>
      <c r="H2707" s="116"/>
      <c r="I2707" s="116"/>
      <c r="L2707" s="170">
        <v>45989</v>
      </c>
      <c r="M2707" s="116">
        <v>167.96</v>
      </c>
      <c r="N2707" s="116">
        <v>169</v>
      </c>
      <c r="O2707" s="116">
        <v>167.29</v>
      </c>
      <c r="P2707" s="116">
        <v>168.13</v>
      </c>
      <c r="Q2707" s="116">
        <v>167.96</v>
      </c>
      <c r="R2707">
        <v>11975539</v>
      </c>
    </row>
    <row r="2708" spans="1:18" x14ac:dyDescent="0.25">
      <c r="A2708" s="170">
        <v>45992</v>
      </c>
      <c r="B2708" s="116">
        <v>169.7</v>
      </c>
      <c r="C2708" s="116">
        <v>168.65</v>
      </c>
      <c r="D2708" s="116">
        <v>167.8</v>
      </c>
      <c r="E2708" s="116">
        <v>168.8</v>
      </c>
      <c r="F2708" s="116">
        <v>168.65</v>
      </c>
      <c r="G2708">
        <v>856552</v>
      </c>
      <c r="H2708" s="116"/>
      <c r="I2708" s="116"/>
      <c r="L2708" s="170">
        <v>45992</v>
      </c>
      <c r="M2708" s="116">
        <v>168.63</v>
      </c>
      <c r="N2708" s="116">
        <v>169.65</v>
      </c>
      <c r="O2708" s="116">
        <v>167.7</v>
      </c>
      <c r="P2708" s="116">
        <v>169</v>
      </c>
      <c r="Q2708" s="116">
        <v>168.63</v>
      </c>
      <c r="R2708">
        <v>11758473</v>
      </c>
    </row>
    <row r="2709" spans="1:18" x14ac:dyDescent="0.25">
      <c r="A2709" s="170">
        <v>45993</v>
      </c>
      <c r="B2709">
        <v>168.9</v>
      </c>
      <c r="C2709">
        <v>167.75</v>
      </c>
      <c r="D2709">
        <v>167.05</v>
      </c>
      <c r="E2709">
        <v>168.15</v>
      </c>
      <c r="F2709">
        <v>167.75</v>
      </c>
      <c r="G2709">
        <v>564966</v>
      </c>
      <c r="H2709" s="116"/>
      <c r="I2709" s="116"/>
      <c r="L2709" s="170">
        <v>45993</v>
      </c>
      <c r="M2709" s="116">
        <v>167.78</v>
      </c>
      <c r="N2709" s="116">
        <v>168.85</v>
      </c>
      <c r="O2709" s="116">
        <v>167</v>
      </c>
      <c r="P2709" s="116">
        <v>168.43</v>
      </c>
      <c r="Q2709" s="116">
        <v>167.78</v>
      </c>
      <c r="R2709">
        <v>15355023</v>
      </c>
    </row>
    <row r="2710" spans="1:18" x14ac:dyDescent="0.25">
      <c r="A2710" s="170">
        <v>45994</v>
      </c>
      <c r="B2710">
        <v>167.85</v>
      </c>
      <c r="C2710">
        <v>166.9</v>
      </c>
      <c r="D2710">
        <v>165</v>
      </c>
      <c r="E2710">
        <v>167.75</v>
      </c>
      <c r="F2710">
        <v>166.9</v>
      </c>
      <c r="G2710">
        <v>785723</v>
      </c>
      <c r="H2710" s="116"/>
      <c r="I2710" s="116"/>
      <c r="L2710" s="170">
        <v>45994</v>
      </c>
      <c r="M2710" s="116">
        <v>166.92</v>
      </c>
      <c r="N2710" s="116">
        <v>167.99</v>
      </c>
      <c r="O2710" s="116">
        <v>165</v>
      </c>
      <c r="P2710" s="116">
        <v>167.78</v>
      </c>
      <c r="Q2710" s="116">
        <v>166.92</v>
      </c>
      <c r="R2710">
        <v>18873943</v>
      </c>
    </row>
    <row r="2711" spans="1:18" x14ac:dyDescent="0.25">
      <c r="A2711" s="170">
        <v>45995</v>
      </c>
      <c r="B2711">
        <v>167.95</v>
      </c>
      <c r="C2711">
        <v>166.75</v>
      </c>
      <c r="D2711">
        <v>166.25</v>
      </c>
      <c r="E2711">
        <v>167.25</v>
      </c>
      <c r="F2711">
        <v>166.75</v>
      </c>
      <c r="G2711">
        <v>1003244</v>
      </c>
      <c r="H2711" s="116"/>
      <c r="I2711" s="116"/>
      <c r="L2711" s="170">
        <v>45995</v>
      </c>
      <c r="M2711" s="116">
        <v>166.77</v>
      </c>
      <c r="N2711" s="116">
        <v>167.97</v>
      </c>
      <c r="O2711" s="116">
        <v>166.2</v>
      </c>
      <c r="P2711" s="116">
        <v>167.8</v>
      </c>
      <c r="Q2711" s="116">
        <v>166.77</v>
      </c>
      <c r="R2711">
        <v>11419966</v>
      </c>
    </row>
    <row r="2712" spans="1:18" x14ac:dyDescent="0.25">
      <c r="A2712" s="170">
        <v>45996</v>
      </c>
      <c r="B2712">
        <v>167.65</v>
      </c>
      <c r="C2712">
        <v>167.1</v>
      </c>
      <c r="D2712">
        <v>165</v>
      </c>
      <c r="E2712">
        <v>166.8</v>
      </c>
      <c r="F2712">
        <v>167.1</v>
      </c>
      <c r="G2712">
        <v>674211</v>
      </c>
      <c r="H2712" s="116"/>
      <c r="I2712" s="116"/>
      <c r="L2712" s="170">
        <v>45996</v>
      </c>
      <c r="M2712" s="116">
        <v>167.11</v>
      </c>
      <c r="N2712" s="116">
        <v>167.65</v>
      </c>
      <c r="O2712" s="116">
        <v>165</v>
      </c>
      <c r="P2712" s="116">
        <v>167</v>
      </c>
      <c r="Q2712" s="116">
        <v>167.11</v>
      </c>
      <c r="R2712">
        <v>33500436</v>
      </c>
    </row>
    <row r="2713" spans="1:18" x14ac:dyDescent="0.25">
      <c r="A2713" s="170">
        <v>45999</v>
      </c>
      <c r="B2713">
        <v>168</v>
      </c>
      <c r="C2713">
        <v>163.44999999999999</v>
      </c>
      <c r="D2713">
        <v>163</v>
      </c>
      <c r="E2713">
        <v>167.5</v>
      </c>
      <c r="F2713">
        <v>163.44999999999999</v>
      </c>
      <c r="G2713">
        <v>554887</v>
      </c>
      <c r="H2713" s="116"/>
      <c r="I2713" s="116"/>
      <c r="L2713" s="170">
        <v>45999</v>
      </c>
      <c r="M2713" s="116">
        <v>163.47</v>
      </c>
      <c r="N2713" s="116">
        <v>168.2</v>
      </c>
      <c r="O2713" s="116">
        <v>163</v>
      </c>
      <c r="P2713" s="116">
        <v>167.09</v>
      </c>
      <c r="Q2713" s="116">
        <v>163.47</v>
      </c>
      <c r="R2713">
        <v>15772400</v>
      </c>
    </row>
    <row r="2714" spans="1:18" x14ac:dyDescent="0.25">
      <c r="A2714" s="170">
        <v>46000</v>
      </c>
      <c r="B2714">
        <v>163.65</v>
      </c>
      <c r="C2714">
        <v>160.6</v>
      </c>
      <c r="D2714">
        <v>160</v>
      </c>
      <c r="E2714">
        <v>163.65</v>
      </c>
      <c r="F2714">
        <v>160.6</v>
      </c>
      <c r="G2714">
        <v>947615</v>
      </c>
      <c r="H2714" s="116"/>
      <c r="I2714" s="116"/>
      <c r="L2714" s="170">
        <v>46000</v>
      </c>
      <c r="M2714" s="116">
        <v>160.66999999999999</v>
      </c>
      <c r="N2714" s="116">
        <v>163.38999999999999</v>
      </c>
      <c r="O2714" s="116">
        <v>160.06</v>
      </c>
      <c r="P2714" s="116">
        <v>163.38999999999999</v>
      </c>
      <c r="Q2714" s="116">
        <v>160.66999999999999</v>
      </c>
      <c r="R2714">
        <v>25766371</v>
      </c>
    </row>
    <row r="2715" spans="1:18" x14ac:dyDescent="0.25">
      <c r="A2715" s="170">
        <v>46001</v>
      </c>
      <c r="B2715">
        <v>163.69999999999999</v>
      </c>
      <c r="C2715">
        <v>162.19999999999999</v>
      </c>
      <c r="D2715">
        <v>160.85</v>
      </c>
      <c r="E2715">
        <v>161.1</v>
      </c>
      <c r="F2715">
        <v>162.19999999999999</v>
      </c>
      <c r="G2715">
        <v>684672</v>
      </c>
      <c r="H2715" s="116"/>
      <c r="I2715" s="116"/>
      <c r="L2715" s="170">
        <v>46001</v>
      </c>
      <c r="M2715" s="116">
        <v>162.22999999999999</v>
      </c>
      <c r="N2715" s="116">
        <v>163.68</v>
      </c>
      <c r="O2715" s="116">
        <v>160.81</v>
      </c>
      <c r="P2715" s="116">
        <v>161</v>
      </c>
      <c r="Q2715" s="116">
        <v>162.22999999999999</v>
      </c>
      <c r="R2715">
        <v>22537548</v>
      </c>
    </row>
    <row r="2716" spans="1:18" x14ac:dyDescent="0.25">
      <c r="A2716" s="170">
        <v>46002</v>
      </c>
      <c r="B2716">
        <v>166.6</v>
      </c>
      <c r="C2716">
        <v>166.35</v>
      </c>
      <c r="D2716">
        <v>163.15</v>
      </c>
      <c r="E2716">
        <v>163.95</v>
      </c>
      <c r="F2716">
        <v>166.35</v>
      </c>
      <c r="G2716">
        <v>1420914</v>
      </c>
      <c r="H2716" s="116"/>
      <c r="I2716" s="116"/>
      <c r="L2716" s="170">
        <v>46002</v>
      </c>
      <c r="M2716" s="116">
        <v>166.38</v>
      </c>
      <c r="N2716" s="116">
        <v>166.66</v>
      </c>
      <c r="O2716" s="116">
        <v>163.16999999999999</v>
      </c>
      <c r="P2716" s="116">
        <v>163.5</v>
      </c>
      <c r="Q2716" s="116">
        <v>166.38</v>
      </c>
      <c r="R2716">
        <v>32603566</v>
      </c>
    </row>
    <row r="2717" spans="1:18" x14ac:dyDescent="0.25">
      <c r="A2717" s="170">
        <v>46003</v>
      </c>
      <c r="B2717">
        <v>172.25</v>
      </c>
      <c r="C2717">
        <v>171.9</v>
      </c>
      <c r="D2717">
        <v>167.45</v>
      </c>
      <c r="E2717">
        <v>167.45</v>
      </c>
      <c r="F2717">
        <v>171.9</v>
      </c>
      <c r="G2717">
        <v>2022169</v>
      </c>
      <c r="H2717" s="116"/>
      <c r="I2717" s="116"/>
      <c r="L2717" s="170">
        <v>46003</v>
      </c>
      <c r="M2717" s="116">
        <v>171.89</v>
      </c>
      <c r="N2717" s="116">
        <v>172.5</v>
      </c>
      <c r="O2717" s="116">
        <v>167.4</v>
      </c>
      <c r="P2717" s="116">
        <v>167.6</v>
      </c>
      <c r="Q2717" s="116">
        <v>171.89</v>
      </c>
      <c r="R2717">
        <v>41130927</v>
      </c>
    </row>
    <row r="2718" spans="1:18" x14ac:dyDescent="0.25">
      <c r="A2718" s="170">
        <v>46006</v>
      </c>
      <c r="B2718">
        <v>173.15</v>
      </c>
      <c r="C2718">
        <v>172.8</v>
      </c>
      <c r="D2718">
        <v>170.55</v>
      </c>
      <c r="E2718">
        <v>171.3</v>
      </c>
      <c r="F2718">
        <v>172.8</v>
      </c>
      <c r="G2718">
        <v>4522531</v>
      </c>
      <c r="H2718" s="116"/>
      <c r="I2718" s="116"/>
      <c r="L2718" s="170">
        <v>46006</v>
      </c>
      <c r="M2718" s="116">
        <v>172.87</v>
      </c>
      <c r="N2718" s="116">
        <v>173.17</v>
      </c>
      <c r="O2718" s="116">
        <v>170.5</v>
      </c>
      <c r="P2718" s="116">
        <v>170.95</v>
      </c>
      <c r="Q2718" s="116">
        <v>172.87</v>
      </c>
      <c r="R2718">
        <v>23254201</v>
      </c>
    </row>
    <row r="2719" spans="1:18" x14ac:dyDescent="0.25">
      <c r="A2719" s="170">
        <v>46007</v>
      </c>
      <c r="B2719">
        <v>172.65</v>
      </c>
      <c r="C2719">
        <v>169.8</v>
      </c>
      <c r="D2719">
        <v>169.25</v>
      </c>
      <c r="E2719">
        <v>172.1</v>
      </c>
      <c r="F2719">
        <v>169.8</v>
      </c>
      <c r="G2719">
        <v>566001</v>
      </c>
      <c r="H2719" s="116"/>
      <c r="I2719" s="116"/>
      <c r="L2719" s="170">
        <v>46007</v>
      </c>
      <c r="M2719" s="116">
        <v>169.83</v>
      </c>
      <c r="N2719" s="116">
        <v>172.7</v>
      </c>
      <c r="O2719" s="116">
        <v>169.25</v>
      </c>
      <c r="P2719" s="116">
        <v>172.7</v>
      </c>
      <c r="Q2719" s="116">
        <v>169.83</v>
      </c>
      <c r="R2719">
        <v>22981935</v>
      </c>
    </row>
    <row r="2720" spans="1:18" x14ac:dyDescent="0.25">
      <c r="A2720" s="170">
        <v>46008</v>
      </c>
      <c r="B2720">
        <v>171.35</v>
      </c>
      <c r="C2720">
        <v>170.3</v>
      </c>
      <c r="D2720">
        <v>169.7</v>
      </c>
      <c r="E2720">
        <v>169.8</v>
      </c>
      <c r="F2720">
        <v>170.3</v>
      </c>
      <c r="G2720">
        <v>837245</v>
      </c>
      <c r="H2720" s="116"/>
      <c r="I2720" s="116"/>
      <c r="L2720" s="170">
        <v>46008</v>
      </c>
      <c r="M2720" s="116">
        <v>170.34</v>
      </c>
      <c r="N2720" s="116">
        <v>171.3</v>
      </c>
      <c r="O2720" s="116">
        <v>169.66</v>
      </c>
      <c r="P2720" s="116">
        <v>170.09</v>
      </c>
      <c r="Q2720" s="116">
        <v>170.34</v>
      </c>
      <c r="R2720">
        <v>11624504</v>
      </c>
    </row>
    <row r="2721" spans="1:18" x14ac:dyDescent="0.25">
      <c r="A2721" s="170">
        <v>46009</v>
      </c>
      <c r="B2721">
        <v>170.5</v>
      </c>
      <c r="C2721">
        <v>168.15</v>
      </c>
      <c r="D2721">
        <v>167.55</v>
      </c>
      <c r="E2721">
        <v>170.25</v>
      </c>
      <c r="F2721">
        <v>168.15</v>
      </c>
      <c r="G2721">
        <v>508986</v>
      </c>
      <c r="H2721" s="116"/>
      <c r="I2721" s="116"/>
      <c r="L2721" s="170">
        <v>46009</v>
      </c>
      <c r="M2721" s="116">
        <v>168.12</v>
      </c>
      <c r="N2721" s="116">
        <v>170.45</v>
      </c>
      <c r="O2721" s="116">
        <v>167.56</v>
      </c>
      <c r="P2721" s="116">
        <v>169.92</v>
      </c>
      <c r="Q2721" s="116">
        <v>168.12</v>
      </c>
      <c r="R2721">
        <v>13152378</v>
      </c>
    </row>
    <row r="2722" spans="1:18" x14ac:dyDescent="0.25">
      <c r="A2722" s="170">
        <v>46010</v>
      </c>
      <c r="B2722">
        <v>169.6</v>
      </c>
      <c r="C2722">
        <v>168.65</v>
      </c>
      <c r="D2722">
        <v>167.8</v>
      </c>
      <c r="E2722">
        <v>169.15</v>
      </c>
      <c r="F2722">
        <v>168.65</v>
      </c>
      <c r="G2722">
        <v>1293544</v>
      </c>
      <c r="H2722" s="116"/>
      <c r="I2722" s="116"/>
      <c r="L2722" s="170">
        <v>46010</v>
      </c>
      <c r="M2722" s="116">
        <v>168.69</v>
      </c>
      <c r="N2722" s="116">
        <v>169.62</v>
      </c>
      <c r="O2722" s="116">
        <v>167.83</v>
      </c>
      <c r="P2722" s="116">
        <v>169.15</v>
      </c>
      <c r="Q2722" s="116">
        <v>168.69</v>
      </c>
      <c r="R2722">
        <v>28448892</v>
      </c>
    </row>
    <row r="2723" spans="1:18" x14ac:dyDescent="0.25">
      <c r="A2723" s="170">
        <v>46013</v>
      </c>
      <c r="B2723">
        <v>171.5</v>
      </c>
      <c r="C2723">
        <v>169.15</v>
      </c>
      <c r="D2723">
        <v>168.85</v>
      </c>
      <c r="E2723">
        <v>168.85</v>
      </c>
      <c r="F2723">
        <v>169.15</v>
      </c>
      <c r="G2723">
        <v>994628</v>
      </c>
      <c r="H2723" s="116"/>
      <c r="I2723" s="116"/>
      <c r="L2723" s="170">
        <v>46013</v>
      </c>
      <c r="M2723" s="116">
        <v>169.22</v>
      </c>
      <c r="N2723" s="116">
        <v>171.46</v>
      </c>
      <c r="O2723" s="116">
        <v>169</v>
      </c>
      <c r="P2723" s="116">
        <v>169.04</v>
      </c>
      <c r="Q2723" s="116">
        <v>169.22</v>
      </c>
      <c r="R2723">
        <v>23729300</v>
      </c>
    </row>
    <row r="2724" spans="1:18" x14ac:dyDescent="0.25">
      <c r="A2724" s="170">
        <v>46014</v>
      </c>
      <c r="B2724">
        <v>171.35</v>
      </c>
      <c r="C2724">
        <v>170.9</v>
      </c>
      <c r="D2724">
        <v>169.2</v>
      </c>
      <c r="E2724">
        <v>169.2</v>
      </c>
      <c r="F2724">
        <v>170.9</v>
      </c>
      <c r="G2724">
        <v>1649963</v>
      </c>
      <c r="H2724" s="116"/>
      <c r="I2724" s="116"/>
      <c r="L2724" s="170">
        <v>46014</v>
      </c>
      <c r="M2724" s="116">
        <v>170.9</v>
      </c>
      <c r="N2724" s="116">
        <v>171.35</v>
      </c>
      <c r="O2724" s="116">
        <v>169.25</v>
      </c>
      <c r="P2724" s="116">
        <v>169.35</v>
      </c>
      <c r="Q2724" s="116">
        <v>170.9</v>
      </c>
      <c r="R2724">
        <v>17348078</v>
      </c>
    </row>
    <row r="2725" spans="1:18" x14ac:dyDescent="0.25">
      <c r="A2725" s="170">
        <v>46015</v>
      </c>
      <c r="B2725">
        <v>171.65</v>
      </c>
      <c r="C2725">
        <v>170</v>
      </c>
      <c r="D2725">
        <v>169.6</v>
      </c>
      <c r="E2725">
        <v>171.05</v>
      </c>
      <c r="F2725">
        <v>170</v>
      </c>
      <c r="G2725">
        <v>1067693</v>
      </c>
      <c r="H2725" s="116"/>
      <c r="I2725" s="116"/>
      <c r="L2725" s="170">
        <v>46015</v>
      </c>
      <c r="M2725" s="116">
        <v>170.07</v>
      </c>
      <c r="N2725" s="116">
        <v>171.65</v>
      </c>
      <c r="O2725" s="116">
        <v>169.67</v>
      </c>
      <c r="P2725" s="116">
        <v>171.35</v>
      </c>
      <c r="Q2725" s="116">
        <v>170.07</v>
      </c>
      <c r="R2725">
        <v>17430406</v>
      </c>
    </row>
    <row r="2726" spans="1:18" x14ac:dyDescent="0.25">
      <c r="A2726" s="170">
        <v>46017</v>
      </c>
      <c r="B2726">
        <v>170</v>
      </c>
      <c r="C2726">
        <v>169.15</v>
      </c>
      <c r="D2726">
        <v>167.85</v>
      </c>
      <c r="E2726">
        <v>170</v>
      </c>
      <c r="F2726">
        <v>169.15</v>
      </c>
      <c r="G2726">
        <v>602214</v>
      </c>
      <c r="H2726" s="116"/>
      <c r="I2726" s="116"/>
      <c r="L2726" s="170">
        <v>46017</v>
      </c>
      <c r="M2726" s="116">
        <v>169.12</v>
      </c>
      <c r="N2726" s="116">
        <v>169.9</v>
      </c>
      <c r="O2726" s="116">
        <v>167.82</v>
      </c>
      <c r="P2726" s="116">
        <v>169.89</v>
      </c>
      <c r="Q2726" s="116">
        <v>169.12</v>
      </c>
      <c r="R2726">
        <v>16904834</v>
      </c>
    </row>
    <row r="2727" spans="1:18" x14ac:dyDescent="0.25">
      <c r="A2727" s="170">
        <v>46020</v>
      </c>
      <c r="B2727">
        <v>174.15</v>
      </c>
      <c r="C2727">
        <v>172.25</v>
      </c>
      <c r="D2727">
        <v>169.2</v>
      </c>
      <c r="E2727">
        <v>169.2</v>
      </c>
      <c r="F2727">
        <v>172.25</v>
      </c>
      <c r="G2727">
        <v>2431798</v>
      </c>
      <c r="H2727" s="116"/>
      <c r="I2727" s="116"/>
      <c r="L2727" s="170">
        <v>46020</v>
      </c>
      <c r="M2727" s="116">
        <v>172.3</v>
      </c>
      <c r="N2727" s="116">
        <v>174.13</v>
      </c>
      <c r="O2727" s="116">
        <v>169.29</v>
      </c>
      <c r="P2727" s="116">
        <v>169.51</v>
      </c>
      <c r="Q2727" s="116">
        <v>172.3</v>
      </c>
      <c r="R2727">
        <v>48001907</v>
      </c>
    </row>
    <row r="2728" spans="1:18" x14ac:dyDescent="0.25">
      <c r="A2728" s="170">
        <v>46021</v>
      </c>
      <c r="B2728">
        <v>176.35</v>
      </c>
      <c r="C2728">
        <v>175.75</v>
      </c>
      <c r="D2728">
        <v>170.8</v>
      </c>
      <c r="E2728">
        <v>172.05</v>
      </c>
      <c r="F2728">
        <v>175.75</v>
      </c>
      <c r="G2728">
        <v>1328691</v>
      </c>
      <c r="H2728" s="116"/>
      <c r="I2728" s="116"/>
      <c r="L2728" s="170">
        <v>46021</v>
      </c>
      <c r="M2728" s="116">
        <v>175.8</v>
      </c>
      <c r="N2728" s="116">
        <v>176.35</v>
      </c>
      <c r="O2728" s="116">
        <v>170.8</v>
      </c>
      <c r="P2728" s="116">
        <v>172.78</v>
      </c>
      <c r="Q2728" s="116">
        <v>175.8</v>
      </c>
      <c r="R2728">
        <v>33741158</v>
      </c>
    </row>
    <row r="2729" spans="1:18" x14ac:dyDescent="0.25">
      <c r="A2729" s="170">
        <v>46022</v>
      </c>
      <c r="B2729">
        <v>181.35</v>
      </c>
      <c r="C2729">
        <v>180.05</v>
      </c>
      <c r="D2729">
        <v>178.5</v>
      </c>
      <c r="E2729">
        <v>180.15</v>
      </c>
      <c r="F2729">
        <v>180.05</v>
      </c>
      <c r="G2729">
        <v>2587391</v>
      </c>
      <c r="H2729" s="116"/>
      <c r="I2729" s="116"/>
      <c r="L2729" s="170">
        <v>46022</v>
      </c>
      <c r="M2729" s="116">
        <v>180.08</v>
      </c>
      <c r="N2729" s="116">
        <v>181.4</v>
      </c>
      <c r="O2729" s="116">
        <v>178.5</v>
      </c>
      <c r="P2729" s="116">
        <v>180</v>
      </c>
      <c r="Q2729" s="116">
        <v>180.08</v>
      </c>
      <c r="R2729">
        <v>50897201</v>
      </c>
    </row>
    <row r="2730" spans="1:18" x14ac:dyDescent="0.25">
      <c r="A2730" s="170">
        <v>46023</v>
      </c>
      <c r="B2730">
        <v>182.25</v>
      </c>
      <c r="C2730">
        <v>181.85</v>
      </c>
      <c r="D2730">
        <v>180.25</v>
      </c>
      <c r="E2730">
        <v>181.8</v>
      </c>
      <c r="F2730">
        <v>181.85</v>
      </c>
      <c r="G2730">
        <v>1170361</v>
      </c>
      <c r="H2730" s="116"/>
      <c r="I2730" s="116"/>
      <c r="L2730" s="170">
        <v>46023</v>
      </c>
      <c r="M2730" s="116">
        <v>181.89</v>
      </c>
      <c r="N2730" s="116">
        <v>182.2</v>
      </c>
      <c r="O2730" s="116">
        <v>180.2</v>
      </c>
      <c r="P2730" s="116">
        <v>180.6</v>
      </c>
      <c r="Q2730" s="116">
        <v>181.89</v>
      </c>
      <c r="R2730">
        <v>21507757</v>
      </c>
    </row>
    <row r="2731" spans="1:18" x14ac:dyDescent="0.25">
      <c r="A2731" s="170">
        <v>46024</v>
      </c>
      <c r="B2731">
        <v>183.85</v>
      </c>
      <c r="C2731">
        <v>182.85</v>
      </c>
      <c r="D2731">
        <v>181.65</v>
      </c>
      <c r="E2731">
        <v>182</v>
      </c>
      <c r="F2731">
        <v>182.85</v>
      </c>
      <c r="G2731">
        <v>2135584</v>
      </c>
      <c r="H2731" s="116"/>
      <c r="I2731" s="116"/>
      <c r="L2731" s="170">
        <v>46024</v>
      </c>
      <c r="M2731" s="116">
        <v>182.88</v>
      </c>
      <c r="N2731" s="116">
        <v>183.85</v>
      </c>
      <c r="O2731" s="116">
        <v>181.6</v>
      </c>
      <c r="P2731" s="116">
        <v>182</v>
      </c>
      <c r="Q2731" s="116">
        <v>182.88</v>
      </c>
      <c r="R2731">
        <v>23006840</v>
      </c>
    </row>
    <row r="2732" spans="1:18" x14ac:dyDescent="0.25">
      <c r="A2732" s="170">
        <v>46027</v>
      </c>
      <c r="B2732">
        <v>186.9</v>
      </c>
      <c r="C2732">
        <v>185.7</v>
      </c>
      <c r="D2732">
        <v>182.55</v>
      </c>
      <c r="E2732">
        <v>182.55</v>
      </c>
      <c r="F2732">
        <v>185.7</v>
      </c>
      <c r="G2732">
        <v>1382637</v>
      </c>
      <c r="H2732" s="116"/>
      <c r="I2732" s="116"/>
      <c r="L2732" s="170">
        <v>46027</v>
      </c>
      <c r="M2732" s="116">
        <v>185.72</v>
      </c>
      <c r="N2732" s="116">
        <v>186.89</v>
      </c>
      <c r="O2732" s="116">
        <v>182.87</v>
      </c>
      <c r="P2732" s="116">
        <v>182.88</v>
      </c>
      <c r="Q2732" s="116">
        <v>185.72</v>
      </c>
      <c r="R2732">
        <v>30646009</v>
      </c>
    </row>
    <row r="2733" spans="1:18" x14ac:dyDescent="0.25">
      <c r="A2733" s="170">
        <v>46028</v>
      </c>
      <c r="B2733">
        <v>187.9</v>
      </c>
      <c r="C2733">
        <v>186.2</v>
      </c>
      <c r="D2733">
        <v>184.55</v>
      </c>
      <c r="E2733">
        <v>186.8</v>
      </c>
      <c r="F2733">
        <v>186.2</v>
      </c>
      <c r="G2733">
        <v>1000217</v>
      </c>
      <c r="H2733" s="116"/>
      <c r="I2733" s="116"/>
      <c r="L2733" s="170">
        <v>46028</v>
      </c>
      <c r="M2733" s="116">
        <v>186.2</v>
      </c>
      <c r="N2733" s="116">
        <v>187.85</v>
      </c>
      <c r="O2733" s="116">
        <v>184.47</v>
      </c>
      <c r="P2733" s="116">
        <v>186</v>
      </c>
      <c r="Q2733" s="116">
        <v>186.2</v>
      </c>
      <c r="R2733">
        <v>28514282</v>
      </c>
    </row>
    <row r="2734" spans="1:18" x14ac:dyDescent="0.25">
      <c r="A2734" s="170">
        <v>46029</v>
      </c>
      <c r="B2734">
        <v>186.8</v>
      </c>
      <c r="C2734">
        <v>183.75</v>
      </c>
      <c r="D2734">
        <v>182.85</v>
      </c>
      <c r="E2734">
        <v>186</v>
      </c>
      <c r="F2734">
        <v>183.75</v>
      </c>
      <c r="G2734">
        <v>1313723</v>
      </c>
      <c r="H2734" s="116"/>
      <c r="I2734" s="116"/>
      <c r="L2734" s="170">
        <v>46029</v>
      </c>
      <c r="M2734" s="116">
        <v>183.8</v>
      </c>
      <c r="N2734" s="116">
        <v>186.65</v>
      </c>
      <c r="O2734" s="116">
        <v>182.9</v>
      </c>
      <c r="P2734" s="116">
        <v>186.2</v>
      </c>
      <c r="Q2734" s="116">
        <v>183.8</v>
      </c>
      <c r="R2734">
        <v>18231588</v>
      </c>
    </row>
    <row r="2735" spans="1:18" x14ac:dyDescent="0.25">
      <c r="A2735" s="170">
        <v>46030</v>
      </c>
      <c r="B2735">
        <v>185.95</v>
      </c>
      <c r="C2735">
        <v>180.2</v>
      </c>
      <c r="D2735">
        <v>179.6</v>
      </c>
      <c r="E2735">
        <v>185.95</v>
      </c>
      <c r="F2735">
        <v>180.2</v>
      </c>
      <c r="G2735">
        <v>1311879</v>
      </c>
      <c r="H2735" s="116"/>
      <c r="I2735" s="116"/>
      <c r="L2735" s="170">
        <v>46030</v>
      </c>
      <c r="M2735" s="116">
        <v>180.12</v>
      </c>
      <c r="N2735" s="116">
        <v>185.87</v>
      </c>
      <c r="O2735" s="116">
        <v>179.55</v>
      </c>
      <c r="P2735" s="116">
        <v>185.45</v>
      </c>
      <c r="Q2735" s="116">
        <v>180.12</v>
      </c>
      <c r="R2735">
        <v>38454951</v>
      </c>
    </row>
    <row r="2736" spans="1:18" x14ac:dyDescent="0.25">
      <c r="A2736" s="170">
        <v>46031</v>
      </c>
      <c r="B2736">
        <v>181.45</v>
      </c>
      <c r="C2736">
        <v>178.3</v>
      </c>
      <c r="D2736">
        <v>177.25</v>
      </c>
      <c r="E2736">
        <v>179</v>
      </c>
      <c r="F2736">
        <v>178.3</v>
      </c>
      <c r="G2736">
        <v>1357418</v>
      </c>
      <c r="H2736" s="116"/>
      <c r="I2736" s="116"/>
      <c r="L2736" s="170">
        <v>46031</v>
      </c>
      <c r="M2736" s="116">
        <v>178.4</v>
      </c>
      <c r="N2736" s="116">
        <v>181.5</v>
      </c>
      <c r="O2736" s="116">
        <v>177.33</v>
      </c>
      <c r="P2736" s="116">
        <v>179.05</v>
      </c>
      <c r="Q2736" s="116">
        <v>178.4</v>
      </c>
      <c r="R2736">
        <v>25318701</v>
      </c>
    </row>
    <row r="2737" spans="1:18" x14ac:dyDescent="0.25">
      <c r="A2737" s="170">
        <v>46034</v>
      </c>
      <c r="B2737">
        <v>183.65</v>
      </c>
      <c r="C2737">
        <v>183.2</v>
      </c>
      <c r="D2737">
        <v>177.6</v>
      </c>
      <c r="E2737">
        <v>178.1</v>
      </c>
      <c r="F2737">
        <v>183.2</v>
      </c>
      <c r="G2737">
        <v>1106855</v>
      </c>
      <c r="H2737" s="116"/>
      <c r="I2737" s="116"/>
      <c r="L2737" s="170">
        <v>46034</v>
      </c>
      <c r="M2737" s="116">
        <v>183.24</v>
      </c>
      <c r="N2737" s="116">
        <v>183.65</v>
      </c>
      <c r="O2737" s="116">
        <v>177.64</v>
      </c>
      <c r="P2737" s="116">
        <v>178.4</v>
      </c>
      <c r="Q2737" s="116">
        <v>183.24</v>
      </c>
      <c r="R2737">
        <v>25782267</v>
      </c>
    </row>
    <row r="2738" spans="1:18" x14ac:dyDescent="0.25">
      <c r="A2738" s="170">
        <v>46035</v>
      </c>
      <c r="B2738">
        <v>184.35</v>
      </c>
      <c r="C2738">
        <v>182.5</v>
      </c>
      <c r="D2738">
        <v>181.15</v>
      </c>
      <c r="E2738">
        <v>183.5</v>
      </c>
      <c r="F2738">
        <v>182.5</v>
      </c>
      <c r="G2738">
        <v>1032874</v>
      </c>
      <c r="H2738" s="116"/>
      <c r="I2738" s="116"/>
      <c r="L2738" s="170">
        <v>46035</v>
      </c>
      <c r="M2738" s="116">
        <v>182.57</v>
      </c>
      <c r="N2738" s="116">
        <v>184.39</v>
      </c>
      <c r="O2738" s="116">
        <v>181.1</v>
      </c>
      <c r="P2738" s="116">
        <v>183.5</v>
      </c>
      <c r="Q2738" s="116">
        <v>182.57</v>
      </c>
      <c r="R2738">
        <v>19155081</v>
      </c>
    </row>
    <row r="2739" spans="1:18" x14ac:dyDescent="0.25">
      <c r="A2739" s="170">
        <v>46036</v>
      </c>
      <c r="B2739">
        <v>190.65</v>
      </c>
      <c r="C2739">
        <v>189.25</v>
      </c>
      <c r="D2739">
        <v>181.65</v>
      </c>
      <c r="E2739">
        <v>182.6</v>
      </c>
      <c r="F2739">
        <v>189.25</v>
      </c>
      <c r="G2739">
        <v>3705961</v>
      </c>
      <c r="H2739" s="116"/>
      <c r="I2739" s="116"/>
      <c r="L2739" s="170">
        <v>46036</v>
      </c>
      <c r="M2739" s="116">
        <v>189.25</v>
      </c>
      <c r="N2739" s="116">
        <v>190.65</v>
      </c>
      <c r="O2739" s="116">
        <v>181.66</v>
      </c>
      <c r="P2739" s="116">
        <v>182.57</v>
      </c>
      <c r="Q2739" s="116">
        <v>189.25</v>
      </c>
      <c r="R2739">
        <v>55907778</v>
      </c>
    </row>
    <row r="2740" spans="1:18" x14ac:dyDescent="0.25">
      <c r="A2740" s="170">
        <v>46038</v>
      </c>
      <c r="B2740">
        <v>190.95</v>
      </c>
      <c r="C2740">
        <v>188.1</v>
      </c>
      <c r="D2740">
        <v>187.35</v>
      </c>
      <c r="E2740">
        <v>189.4</v>
      </c>
      <c r="F2740">
        <v>188.1</v>
      </c>
      <c r="G2740">
        <v>2489743</v>
      </c>
      <c r="H2740" s="116"/>
      <c r="I2740" s="116"/>
      <c r="L2740" s="170">
        <v>46038</v>
      </c>
      <c r="M2740" s="116">
        <v>188.21</v>
      </c>
      <c r="N2740" s="116">
        <v>191</v>
      </c>
      <c r="O2740" s="116">
        <v>187.31</v>
      </c>
      <c r="P2740" s="116">
        <v>190.05</v>
      </c>
      <c r="Q2740" s="116">
        <v>188.21</v>
      </c>
      <c r="R2740">
        <v>26028519</v>
      </c>
    </row>
    <row r="2741" spans="1:18" x14ac:dyDescent="0.25">
      <c r="A2741" s="170">
        <v>46041</v>
      </c>
      <c r="B2741">
        <v>189.35</v>
      </c>
      <c r="C2741">
        <v>188.15</v>
      </c>
      <c r="D2741">
        <v>186.75</v>
      </c>
      <c r="E2741">
        <v>187.5</v>
      </c>
      <c r="F2741">
        <v>188.15</v>
      </c>
      <c r="G2741">
        <v>694209</v>
      </c>
      <c r="H2741" s="116"/>
      <c r="I2741" s="116"/>
      <c r="L2741" s="170">
        <v>46041</v>
      </c>
      <c r="M2741" s="116">
        <v>188.27</v>
      </c>
      <c r="N2741" s="116">
        <v>189.44</v>
      </c>
      <c r="O2741" s="116">
        <v>186.8</v>
      </c>
      <c r="P2741" s="116">
        <v>187.1</v>
      </c>
      <c r="Q2741" s="116">
        <v>188.27</v>
      </c>
      <c r="R2741">
        <v>19709364</v>
      </c>
    </row>
    <row r="2742" spans="1:18" x14ac:dyDescent="0.25">
      <c r="A2742" s="170">
        <v>46042</v>
      </c>
      <c r="B2742">
        <v>190.05</v>
      </c>
      <c r="C2742">
        <v>183.45</v>
      </c>
      <c r="D2742">
        <v>183.05</v>
      </c>
      <c r="E2742">
        <v>188.3</v>
      </c>
      <c r="F2742">
        <v>183.45</v>
      </c>
      <c r="G2742">
        <v>733092</v>
      </c>
      <c r="H2742" s="116"/>
      <c r="I2742" s="116"/>
      <c r="L2742" s="170">
        <v>46042</v>
      </c>
      <c r="M2742" s="116">
        <v>183.56</v>
      </c>
      <c r="N2742" s="116">
        <v>190</v>
      </c>
      <c r="O2742" s="116">
        <v>183.03</v>
      </c>
      <c r="P2742" s="116">
        <v>188.27</v>
      </c>
      <c r="Q2742" s="116">
        <v>183.56</v>
      </c>
      <c r="R2742">
        <v>20094927</v>
      </c>
    </row>
    <row r="2743" spans="1:18" x14ac:dyDescent="0.25">
      <c r="A2743" s="170">
        <v>46043</v>
      </c>
      <c r="B2743">
        <v>185.6</v>
      </c>
      <c r="C2743">
        <v>184.35</v>
      </c>
      <c r="D2743">
        <v>180.85</v>
      </c>
      <c r="E2743">
        <v>183.35</v>
      </c>
      <c r="F2743">
        <v>184.35</v>
      </c>
      <c r="G2743">
        <v>1120084</v>
      </c>
      <c r="H2743" s="116"/>
      <c r="I2743" s="116"/>
      <c r="L2743" s="170">
        <v>46043</v>
      </c>
      <c r="M2743" s="116">
        <v>184.41</v>
      </c>
      <c r="N2743" s="116">
        <v>185.71</v>
      </c>
      <c r="O2743" s="116">
        <v>180.88</v>
      </c>
      <c r="P2743" s="116">
        <v>183.56</v>
      </c>
      <c r="Q2743" s="116">
        <v>184.41</v>
      </c>
      <c r="R2743">
        <v>35037961</v>
      </c>
    </row>
    <row r="2744" spans="1:18" x14ac:dyDescent="0.25">
      <c r="A2744" s="170">
        <v>46044</v>
      </c>
      <c r="B2744">
        <v>190</v>
      </c>
      <c r="C2744">
        <v>189.3</v>
      </c>
      <c r="D2744">
        <v>185.15</v>
      </c>
      <c r="E2744">
        <v>185.15</v>
      </c>
      <c r="F2744">
        <v>189.3</v>
      </c>
      <c r="G2744">
        <v>2823944</v>
      </c>
      <c r="H2744" s="116"/>
      <c r="I2744" s="116"/>
      <c r="L2744" s="170">
        <v>46044</v>
      </c>
      <c r="M2744" s="116">
        <v>189.1</v>
      </c>
      <c r="N2744" s="116">
        <v>189.99</v>
      </c>
      <c r="O2744" s="116">
        <v>185.79</v>
      </c>
      <c r="P2744" s="116">
        <v>185.89</v>
      </c>
      <c r="Q2744" s="116">
        <v>189.1</v>
      </c>
      <c r="R2744">
        <v>35681682</v>
      </c>
    </row>
    <row r="2745" spans="1:18" x14ac:dyDescent="0.25">
      <c r="A2745" s="170">
        <v>46045</v>
      </c>
      <c r="B2745">
        <v>192.3</v>
      </c>
      <c r="C2745">
        <v>187.55</v>
      </c>
      <c r="D2745">
        <v>187.2</v>
      </c>
      <c r="E2745">
        <v>190.15</v>
      </c>
      <c r="F2745">
        <v>187.55</v>
      </c>
      <c r="G2745">
        <v>2384660</v>
      </c>
      <c r="H2745" s="116"/>
      <c r="I2745" s="116"/>
      <c r="L2745" s="170">
        <v>46045</v>
      </c>
      <c r="M2745" s="116">
        <v>187.61</v>
      </c>
      <c r="N2745" s="116">
        <v>192.4</v>
      </c>
      <c r="O2745" s="116">
        <v>187.27</v>
      </c>
      <c r="P2745" s="116">
        <v>190.5</v>
      </c>
      <c r="Q2745" s="116">
        <v>187.61</v>
      </c>
      <c r="R2745">
        <v>28492706</v>
      </c>
    </row>
    <row r="2746" spans="1:18" x14ac:dyDescent="0.25">
      <c r="A2746" s="170">
        <v>46049</v>
      </c>
      <c r="B2746">
        <v>193.2</v>
      </c>
      <c r="C2746">
        <v>192.5</v>
      </c>
      <c r="D2746">
        <v>187.65</v>
      </c>
      <c r="E2746">
        <v>189.05</v>
      </c>
      <c r="F2746">
        <v>192.5</v>
      </c>
      <c r="G2746">
        <v>2235297</v>
      </c>
      <c r="H2746" s="116"/>
      <c r="I2746" s="116"/>
      <c r="L2746" s="170">
        <v>46049</v>
      </c>
      <c r="M2746" s="116">
        <v>192.28</v>
      </c>
      <c r="N2746" s="116">
        <v>193.14</v>
      </c>
      <c r="O2746" s="116">
        <v>187.72</v>
      </c>
      <c r="P2746" s="116">
        <v>189.67</v>
      </c>
      <c r="Q2746" s="116">
        <v>192.28</v>
      </c>
      <c r="R2746">
        <v>42314287</v>
      </c>
    </row>
    <row r="2747" spans="1:18" x14ac:dyDescent="0.25">
      <c r="A2747" s="170">
        <v>46050</v>
      </c>
      <c r="B2747">
        <v>195.2</v>
      </c>
      <c r="C2747">
        <v>193.8</v>
      </c>
      <c r="D2747">
        <v>192.1</v>
      </c>
      <c r="E2747">
        <v>193.1</v>
      </c>
      <c r="F2747">
        <v>193.8</v>
      </c>
      <c r="G2747">
        <v>2667904</v>
      </c>
      <c r="H2747" s="116"/>
      <c r="I2747" s="116"/>
      <c r="L2747" s="170">
        <v>46050</v>
      </c>
      <c r="M2747" s="116">
        <v>193.85</v>
      </c>
      <c r="N2747" s="116">
        <v>195.2</v>
      </c>
      <c r="O2747" s="116">
        <v>192.1</v>
      </c>
      <c r="P2747" s="116">
        <v>193.49</v>
      </c>
      <c r="Q2747" s="116">
        <v>193.85</v>
      </c>
      <c r="R2747">
        <v>33310718</v>
      </c>
    </row>
    <row r="2748" spans="1:18" x14ac:dyDescent="0.25">
      <c r="A2748" s="170">
        <v>46051</v>
      </c>
      <c r="B2748">
        <v>202.9</v>
      </c>
      <c r="C2748">
        <v>202.35</v>
      </c>
      <c r="D2748">
        <v>194.1</v>
      </c>
      <c r="E2748">
        <v>194.1</v>
      </c>
      <c r="F2748">
        <v>202.35</v>
      </c>
      <c r="G2748">
        <v>3998200</v>
      </c>
      <c r="H2748" s="116"/>
      <c r="I2748" s="116"/>
      <c r="L2748" s="170">
        <v>46051</v>
      </c>
      <c r="M2748" s="116">
        <v>202.32</v>
      </c>
      <c r="N2748" s="116">
        <v>202.99</v>
      </c>
      <c r="O2748" s="116">
        <v>194.11</v>
      </c>
      <c r="P2748" s="116">
        <v>194.45</v>
      </c>
      <c r="Q2748" s="116">
        <v>202.32</v>
      </c>
      <c r="R2748">
        <v>60610904</v>
      </c>
    </row>
    <row r="2749" spans="1:18" x14ac:dyDescent="0.25">
      <c r="A2749" s="170">
        <v>46052</v>
      </c>
      <c r="B2749">
        <v>199.25</v>
      </c>
      <c r="C2749">
        <v>193.1</v>
      </c>
      <c r="D2749">
        <v>190.6</v>
      </c>
      <c r="E2749">
        <v>199.25</v>
      </c>
      <c r="F2749">
        <v>193.1</v>
      </c>
      <c r="G2749">
        <v>3224840</v>
      </c>
      <c r="H2749" s="116"/>
      <c r="I2749" s="116"/>
      <c r="L2749" s="170">
        <v>46052</v>
      </c>
      <c r="M2749" s="116">
        <v>193.13</v>
      </c>
      <c r="N2749" s="116">
        <v>199</v>
      </c>
      <c r="O2749" s="116">
        <v>190.63</v>
      </c>
      <c r="P2749" s="116">
        <v>198.55</v>
      </c>
      <c r="Q2749" s="116">
        <v>193.13</v>
      </c>
      <c r="R2749">
        <v>52262849</v>
      </c>
    </row>
    <row r="2750" spans="1:18" x14ac:dyDescent="0.25">
      <c r="A2750" s="170">
        <v>46054</v>
      </c>
      <c r="B2750">
        <v>193.8</v>
      </c>
      <c r="C2750">
        <v>185.6</v>
      </c>
      <c r="D2750">
        <v>184.5</v>
      </c>
      <c r="E2750">
        <v>190</v>
      </c>
      <c r="F2750">
        <v>185.6</v>
      </c>
      <c r="G2750">
        <v>1911213</v>
      </c>
      <c r="H2750" s="116"/>
      <c r="I2750" s="116"/>
      <c r="L2750" s="170">
        <v>46054</v>
      </c>
      <c r="M2750" s="116">
        <v>185.38</v>
      </c>
      <c r="N2750" s="116">
        <v>193.76</v>
      </c>
      <c r="O2750" s="116">
        <v>184.26</v>
      </c>
      <c r="P2750" s="116">
        <v>188.81</v>
      </c>
      <c r="Q2750" s="116">
        <v>185.38</v>
      </c>
      <c r="R2750">
        <v>26527491</v>
      </c>
    </row>
    <row r="2751" spans="1:18" x14ac:dyDescent="0.25">
      <c r="A2751" s="170">
        <v>46055</v>
      </c>
      <c r="B2751">
        <v>189</v>
      </c>
      <c r="C2751">
        <v>188.6</v>
      </c>
      <c r="D2751">
        <v>182.5</v>
      </c>
      <c r="E2751">
        <v>185.6</v>
      </c>
      <c r="F2751">
        <v>188.6</v>
      </c>
      <c r="G2751">
        <v>1705712</v>
      </c>
      <c r="H2751" s="116"/>
      <c r="I2751" s="116"/>
      <c r="L2751" s="170">
        <v>46055</v>
      </c>
      <c r="M2751" s="116">
        <v>188.51</v>
      </c>
      <c r="N2751" s="116">
        <v>189</v>
      </c>
      <c r="O2751" s="116">
        <v>182.55</v>
      </c>
      <c r="P2751" s="116">
        <v>185.38</v>
      </c>
      <c r="Q2751" s="116">
        <v>188.51</v>
      </c>
      <c r="R2751">
        <v>25601945</v>
      </c>
    </row>
    <row r="2752" spans="1:18" x14ac:dyDescent="0.25">
      <c r="A2752" s="170">
        <v>46056</v>
      </c>
      <c r="B2752">
        <v>196.3</v>
      </c>
      <c r="C2752">
        <v>192.95</v>
      </c>
      <c r="D2752">
        <v>191.45</v>
      </c>
      <c r="E2752">
        <v>193.25</v>
      </c>
      <c r="F2752">
        <v>192.95</v>
      </c>
      <c r="G2752">
        <v>1902188</v>
      </c>
      <c r="H2752" s="116"/>
      <c r="I2752" s="116"/>
      <c r="L2752" s="170">
        <v>46056</v>
      </c>
      <c r="M2752" s="116">
        <v>192.93</v>
      </c>
      <c r="N2752" s="116">
        <v>199</v>
      </c>
      <c r="O2752" s="116">
        <v>191.51</v>
      </c>
      <c r="P2752" s="116">
        <v>193.58</v>
      </c>
      <c r="Q2752" s="116">
        <v>192.93</v>
      </c>
      <c r="R2752">
        <v>28467895</v>
      </c>
    </row>
    <row r="2753" spans="1:18" x14ac:dyDescent="0.25">
      <c r="A2753" s="170">
        <v>46057</v>
      </c>
      <c r="B2753">
        <v>196.1</v>
      </c>
      <c r="C2753">
        <v>195.25</v>
      </c>
      <c r="D2753">
        <v>191</v>
      </c>
      <c r="E2753">
        <v>191</v>
      </c>
      <c r="F2753">
        <v>195.25</v>
      </c>
      <c r="G2753">
        <v>1739102</v>
      </c>
      <c r="H2753" s="116"/>
      <c r="I2753" s="116"/>
      <c r="L2753" s="170">
        <v>46057</v>
      </c>
      <c r="M2753" s="116">
        <v>195.4</v>
      </c>
      <c r="N2753" s="116">
        <v>196.14</v>
      </c>
      <c r="O2753" s="116">
        <v>193.45</v>
      </c>
      <c r="P2753" s="116">
        <v>193.99</v>
      </c>
      <c r="Q2753" s="116">
        <v>195.4</v>
      </c>
      <c r="R2753">
        <v>13859145</v>
      </c>
    </row>
    <row r="2754" spans="1:18" x14ac:dyDescent="0.25">
      <c r="A2754" s="170">
        <v>46058</v>
      </c>
      <c r="B2754">
        <v>198.1</v>
      </c>
      <c r="C2754">
        <v>197.65</v>
      </c>
      <c r="D2754">
        <v>191.8</v>
      </c>
      <c r="E2754">
        <v>194.9</v>
      </c>
      <c r="F2754">
        <v>197.65</v>
      </c>
      <c r="G2754">
        <v>1488517</v>
      </c>
      <c r="H2754" s="116"/>
      <c r="I2754" s="116"/>
      <c r="L2754" s="170">
        <v>46058</v>
      </c>
      <c r="M2754" s="116">
        <v>197.76</v>
      </c>
      <c r="N2754" s="116">
        <v>198.41</v>
      </c>
      <c r="O2754" s="116">
        <v>191.52</v>
      </c>
      <c r="P2754" s="116">
        <v>193</v>
      </c>
      <c r="Q2754" s="116">
        <v>197.76</v>
      </c>
      <c r="R2754">
        <v>31293689</v>
      </c>
    </row>
    <row r="2755" spans="1:18" x14ac:dyDescent="0.25">
      <c r="A2755" s="170">
        <v>46059</v>
      </c>
      <c r="B2755">
        <v>197.5</v>
      </c>
      <c r="C2755">
        <v>197.05</v>
      </c>
      <c r="D2755">
        <v>194.5</v>
      </c>
      <c r="E2755">
        <v>197.35</v>
      </c>
      <c r="F2755">
        <v>197.05</v>
      </c>
      <c r="G2755">
        <v>764144</v>
      </c>
      <c r="H2755" s="116"/>
      <c r="I2755" s="116"/>
      <c r="L2755" s="170">
        <v>46059</v>
      </c>
      <c r="M2755" s="116">
        <v>197.06</v>
      </c>
      <c r="N2755" s="116">
        <v>197.6</v>
      </c>
      <c r="O2755" s="116">
        <v>194.37</v>
      </c>
      <c r="P2755" s="116">
        <v>197.6</v>
      </c>
      <c r="Q2755" s="116">
        <v>197.06</v>
      </c>
      <c r="R2755">
        <v>18446912</v>
      </c>
    </row>
    <row r="2756" spans="1:18" x14ac:dyDescent="0.25">
      <c r="A2756" s="170">
        <v>46062</v>
      </c>
      <c r="B2756">
        <v>206.4</v>
      </c>
      <c r="C2756">
        <v>202.1</v>
      </c>
      <c r="D2756">
        <v>197.55</v>
      </c>
      <c r="E2756">
        <v>201.05</v>
      </c>
      <c r="F2756">
        <v>202.1</v>
      </c>
      <c r="G2756">
        <v>4906590</v>
      </c>
      <c r="H2756" s="116"/>
      <c r="I2756" s="116"/>
      <c r="L2756" s="170">
        <v>46062</v>
      </c>
      <c r="M2756" s="116">
        <v>202</v>
      </c>
      <c r="N2756" s="116">
        <v>206.34</v>
      </c>
      <c r="O2756" s="116">
        <v>197.55</v>
      </c>
      <c r="P2756" s="116">
        <v>202</v>
      </c>
      <c r="Q2756" s="116">
        <v>202</v>
      </c>
      <c r="R2756">
        <v>68967709</v>
      </c>
    </row>
    <row r="2757" spans="1:18" x14ac:dyDescent="0.25">
      <c r="A2757" s="170">
        <v>46063</v>
      </c>
      <c r="B2757">
        <v>211.15</v>
      </c>
      <c r="C2757">
        <v>207.95</v>
      </c>
      <c r="D2757">
        <v>201.25</v>
      </c>
      <c r="E2757">
        <v>202.8</v>
      </c>
      <c r="F2757">
        <v>207.95</v>
      </c>
      <c r="G2757">
        <v>25316794</v>
      </c>
      <c r="H2757" s="116"/>
      <c r="I2757" s="116"/>
      <c r="L2757" s="170">
        <v>46063</v>
      </c>
      <c r="M2757" s="116">
        <v>208.01</v>
      </c>
      <c r="N2757" s="116">
        <v>211.1</v>
      </c>
      <c r="O2757" s="116">
        <v>201.08</v>
      </c>
      <c r="P2757" s="116">
        <v>202.99</v>
      </c>
      <c r="Q2757" s="116">
        <v>208.01</v>
      </c>
      <c r="R2757">
        <v>82443790</v>
      </c>
    </row>
    <row r="2758" spans="1:18" x14ac:dyDescent="0.25">
      <c r="A2758" s="170">
        <v>46064</v>
      </c>
      <c r="B2758">
        <v>210.2</v>
      </c>
      <c r="C2758">
        <v>207.65</v>
      </c>
      <c r="D2758">
        <v>205.35</v>
      </c>
      <c r="E2758">
        <v>209.95</v>
      </c>
      <c r="F2758">
        <v>207.65</v>
      </c>
      <c r="G2758">
        <v>9070817</v>
      </c>
      <c r="H2758" s="116"/>
      <c r="I2758" s="116"/>
      <c r="L2758" s="170">
        <v>46064</v>
      </c>
      <c r="M2758" s="116">
        <v>207.59</v>
      </c>
      <c r="N2758" s="116">
        <v>210.25</v>
      </c>
      <c r="O2758" s="116">
        <v>205.3</v>
      </c>
      <c r="P2758" s="116">
        <v>209.4</v>
      </c>
      <c r="Q2758" s="116">
        <v>207.59</v>
      </c>
      <c r="R2758">
        <v>40897457</v>
      </c>
    </row>
    <row r="2759" spans="1:18" x14ac:dyDescent="0.25">
      <c r="A2759" s="170">
        <v>46065</v>
      </c>
      <c r="B2759">
        <v>210.3</v>
      </c>
      <c r="C2759">
        <v>208.1</v>
      </c>
      <c r="D2759">
        <v>206.7</v>
      </c>
      <c r="E2759">
        <v>207.7</v>
      </c>
      <c r="F2759">
        <v>208.1</v>
      </c>
      <c r="G2759">
        <v>2506326</v>
      </c>
      <c r="H2759" s="116"/>
      <c r="I2759" s="116"/>
      <c r="L2759" s="170">
        <v>46065</v>
      </c>
      <c r="M2759" s="116">
        <v>208.11</v>
      </c>
      <c r="N2759" s="116">
        <v>210.39</v>
      </c>
      <c r="O2759" s="116">
        <v>206.2</v>
      </c>
      <c r="P2759" s="116">
        <v>208</v>
      </c>
      <c r="Q2759" s="116">
        <v>208.11</v>
      </c>
      <c r="R2759">
        <v>24109860</v>
      </c>
    </row>
    <row r="2760" spans="1:18" x14ac:dyDescent="0.25">
      <c r="A2760" s="170">
        <v>46066</v>
      </c>
      <c r="B2760">
        <v>207.65</v>
      </c>
      <c r="C2760">
        <v>203.2</v>
      </c>
      <c r="D2760">
        <v>202.6</v>
      </c>
      <c r="E2760">
        <v>207.65</v>
      </c>
      <c r="F2760">
        <v>203.2</v>
      </c>
      <c r="G2760">
        <v>1245643</v>
      </c>
      <c r="H2760" s="116"/>
      <c r="I2760" s="116"/>
      <c r="L2760" s="170">
        <v>46066</v>
      </c>
      <c r="M2760" s="116">
        <v>203.18</v>
      </c>
      <c r="N2760" s="116">
        <v>206.85</v>
      </c>
      <c r="O2760" s="116">
        <v>202.56</v>
      </c>
      <c r="P2760" s="116">
        <v>206.59</v>
      </c>
      <c r="Q2760" s="116">
        <v>203.18</v>
      </c>
      <c r="R2760">
        <v>25870923</v>
      </c>
    </row>
    <row r="2761" spans="1:18" x14ac:dyDescent="0.25">
      <c r="A2761" s="170">
        <v>46069</v>
      </c>
      <c r="B2761">
        <v>206</v>
      </c>
      <c r="C2761">
        <v>205.75</v>
      </c>
      <c r="D2761">
        <v>199.4</v>
      </c>
      <c r="E2761">
        <v>199.4</v>
      </c>
      <c r="F2761">
        <v>205.75</v>
      </c>
      <c r="G2761">
        <v>1501332</v>
      </c>
      <c r="H2761" s="116"/>
      <c r="I2761" s="116"/>
      <c r="L2761" s="170">
        <v>46069</v>
      </c>
      <c r="M2761" s="116">
        <v>205.81</v>
      </c>
      <c r="N2761" s="116">
        <v>206.12</v>
      </c>
      <c r="O2761" s="116">
        <v>200.55</v>
      </c>
      <c r="P2761" s="116">
        <v>201</v>
      </c>
      <c r="Q2761" s="116">
        <v>205.81</v>
      </c>
      <c r="R2761">
        <v>17932490</v>
      </c>
    </row>
    <row r="2762" spans="1:18" x14ac:dyDescent="0.25">
      <c r="A2762" s="170">
        <v>46070</v>
      </c>
      <c r="B2762">
        <v>205.9</v>
      </c>
      <c r="C2762">
        <v>203.1</v>
      </c>
      <c r="D2762">
        <v>201.65</v>
      </c>
      <c r="E2762">
        <v>205.9</v>
      </c>
      <c r="F2762">
        <v>203.1</v>
      </c>
      <c r="G2762">
        <v>1037229</v>
      </c>
      <c r="H2762" s="116"/>
      <c r="I2762" s="116"/>
      <c r="L2762" s="170">
        <v>46070</v>
      </c>
      <c r="M2762" s="116">
        <v>203.08</v>
      </c>
      <c r="N2762" s="116">
        <v>205.8</v>
      </c>
      <c r="O2762" s="116">
        <v>201.66</v>
      </c>
      <c r="P2762" s="116">
        <v>205.5</v>
      </c>
      <c r="Q2762" s="116">
        <v>203.08</v>
      </c>
      <c r="R2762">
        <v>18506676</v>
      </c>
    </row>
    <row r="2763" spans="1:18" x14ac:dyDescent="0.25">
      <c r="A2763" s="170">
        <v>46071</v>
      </c>
      <c r="B2763">
        <v>209.7</v>
      </c>
      <c r="C2763">
        <v>209</v>
      </c>
      <c r="D2763">
        <v>203.1</v>
      </c>
      <c r="E2763">
        <v>203.1</v>
      </c>
      <c r="F2763">
        <v>209</v>
      </c>
      <c r="G2763">
        <v>2626361</v>
      </c>
      <c r="H2763" s="116"/>
      <c r="I2763" s="116"/>
      <c r="L2763" s="170">
        <v>46071</v>
      </c>
      <c r="M2763" s="116">
        <v>209.03</v>
      </c>
      <c r="N2763" s="116">
        <v>209.7</v>
      </c>
      <c r="O2763" s="116">
        <v>203.55</v>
      </c>
      <c r="P2763" s="116">
        <v>203.55</v>
      </c>
      <c r="Q2763" s="116">
        <v>209.03</v>
      </c>
      <c r="R2763">
        <v>48357001</v>
      </c>
    </row>
    <row r="2764" spans="1:18" x14ac:dyDescent="0.25">
      <c r="A2764" s="170">
        <v>46072</v>
      </c>
      <c r="B2764">
        <v>211.35</v>
      </c>
      <c r="C2764">
        <v>205.45</v>
      </c>
      <c r="D2764">
        <v>204.3</v>
      </c>
      <c r="E2764">
        <v>211.35</v>
      </c>
      <c r="F2764">
        <v>205.45</v>
      </c>
      <c r="G2764">
        <v>1321327</v>
      </c>
      <c r="H2764" s="116"/>
      <c r="I2764" s="116"/>
      <c r="L2764" s="170">
        <v>46072</v>
      </c>
      <c r="M2764" s="116">
        <v>205.41</v>
      </c>
      <c r="N2764" s="116">
        <v>211.39</v>
      </c>
      <c r="O2764" s="116">
        <v>204.25</v>
      </c>
      <c r="P2764" s="116">
        <v>211</v>
      </c>
      <c r="Q2764" s="116">
        <v>205.41</v>
      </c>
      <c r="R2764">
        <v>27749813</v>
      </c>
    </row>
    <row r="2765" spans="1:18" x14ac:dyDescent="0.25">
      <c r="A2765" s="170">
        <v>46073</v>
      </c>
      <c r="B2765">
        <v>209.25</v>
      </c>
      <c r="C2765">
        <v>208.25</v>
      </c>
      <c r="D2765">
        <v>204.75</v>
      </c>
      <c r="E2765">
        <v>206.7</v>
      </c>
      <c r="F2765">
        <v>208.25</v>
      </c>
      <c r="G2765">
        <v>2776224</v>
      </c>
      <c r="H2765" s="116"/>
      <c r="I2765" s="116"/>
      <c r="L2765" s="170">
        <v>46073</v>
      </c>
      <c r="M2765" s="116">
        <v>208.36</v>
      </c>
      <c r="N2765" s="116">
        <v>209.3</v>
      </c>
      <c r="O2765" s="116">
        <v>204.73</v>
      </c>
      <c r="P2765" s="116">
        <v>206.41</v>
      </c>
      <c r="Q2765" s="116">
        <v>208.36</v>
      </c>
      <c r="R2765">
        <v>26605844</v>
      </c>
    </row>
    <row r="2766" spans="1:18" x14ac:dyDescent="0.25">
      <c r="A2766" s="170">
        <v>46076</v>
      </c>
      <c r="B2766">
        <v>210</v>
      </c>
      <c r="C2766">
        <v>208.05</v>
      </c>
      <c r="D2766">
        <v>205.45</v>
      </c>
      <c r="E2766">
        <v>210</v>
      </c>
      <c r="F2766">
        <v>208.05</v>
      </c>
      <c r="G2766">
        <v>1260463</v>
      </c>
      <c r="H2766" s="116"/>
      <c r="I2766" s="116"/>
      <c r="L2766" s="170">
        <v>46076</v>
      </c>
      <c r="M2766" s="116">
        <v>208.14</v>
      </c>
      <c r="N2766" s="116">
        <v>210.1</v>
      </c>
      <c r="O2766" s="116">
        <v>205.5</v>
      </c>
      <c r="P2766" s="116">
        <v>210</v>
      </c>
      <c r="Q2766" s="116">
        <v>208.14</v>
      </c>
      <c r="R2766">
        <v>23377191</v>
      </c>
    </row>
    <row r="2767" spans="1:18" x14ac:dyDescent="0.25">
      <c r="A2767" s="170">
        <v>46077</v>
      </c>
      <c r="B2767">
        <v>209.5</v>
      </c>
      <c r="C2767">
        <v>209.15</v>
      </c>
      <c r="D2767">
        <v>206.8</v>
      </c>
      <c r="E2767">
        <v>207.5</v>
      </c>
      <c r="F2767">
        <v>209.15</v>
      </c>
      <c r="G2767">
        <v>1011332</v>
      </c>
      <c r="H2767" s="116"/>
      <c r="I2767" s="116"/>
      <c r="L2767" s="170">
        <v>46077</v>
      </c>
      <c r="M2767" s="116">
        <v>209.13</v>
      </c>
      <c r="N2767" s="116">
        <v>209.54</v>
      </c>
      <c r="O2767" s="116">
        <v>206.75</v>
      </c>
      <c r="P2767" s="116">
        <v>207.21</v>
      </c>
      <c r="Q2767" s="116">
        <v>209.13</v>
      </c>
      <c r="R2767">
        <v>23413086</v>
      </c>
    </row>
    <row r="2768" spans="1:18" x14ac:dyDescent="0.25">
      <c r="A2768" s="170">
        <v>46078</v>
      </c>
      <c r="B2768">
        <v>216.5</v>
      </c>
      <c r="C2768">
        <v>214.65</v>
      </c>
      <c r="D2768">
        <v>209.5</v>
      </c>
      <c r="E2768">
        <v>210.45</v>
      </c>
      <c r="F2768">
        <v>214.65</v>
      </c>
      <c r="G2768">
        <v>3445888</v>
      </c>
      <c r="H2768" s="116"/>
      <c r="I2768" s="116"/>
      <c r="L2768" s="170">
        <v>46078</v>
      </c>
      <c r="M2768" s="116">
        <v>214.64</v>
      </c>
      <c r="N2768" s="116">
        <v>216.45</v>
      </c>
      <c r="O2768" s="116">
        <v>209.4</v>
      </c>
      <c r="P2768" s="116">
        <v>210.1</v>
      </c>
      <c r="Q2768" s="116">
        <v>214.64</v>
      </c>
      <c r="R2768">
        <v>48873839</v>
      </c>
    </row>
    <row r="2769" spans="1:18" x14ac:dyDescent="0.25">
      <c r="A2769" s="170">
        <v>46079</v>
      </c>
      <c r="B2769">
        <v>215.9</v>
      </c>
      <c r="C2769">
        <v>215.5</v>
      </c>
      <c r="D2769">
        <v>213.05</v>
      </c>
      <c r="E2769">
        <v>215.15</v>
      </c>
      <c r="F2769">
        <v>215.5</v>
      </c>
      <c r="G2769">
        <v>4392921</v>
      </c>
      <c r="H2769" s="116"/>
      <c r="I2769" s="116"/>
      <c r="L2769" s="170">
        <v>46079</v>
      </c>
      <c r="M2769" s="116">
        <v>215.52</v>
      </c>
      <c r="N2769" s="116">
        <v>215.95</v>
      </c>
      <c r="O2769" s="116">
        <v>213.01</v>
      </c>
      <c r="P2769" s="116">
        <v>215.95</v>
      </c>
      <c r="Q2769" s="116">
        <v>215.52</v>
      </c>
      <c r="R2769">
        <v>25522669</v>
      </c>
    </row>
    <row r="2770" spans="1:18" x14ac:dyDescent="0.25">
      <c r="A2770" s="170">
        <v>46080</v>
      </c>
      <c r="B2770">
        <v>215.95</v>
      </c>
      <c r="C2770">
        <v>212.35</v>
      </c>
      <c r="D2770">
        <v>211.65</v>
      </c>
      <c r="E2770">
        <v>215.95</v>
      </c>
      <c r="F2770">
        <v>212.35</v>
      </c>
      <c r="G2770">
        <v>1400962</v>
      </c>
      <c r="H2770" s="116"/>
      <c r="I2770" s="116"/>
      <c r="L2770" s="170">
        <v>46080</v>
      </c>
      <c r="M2770" s="116">
        <v>212.33</v>
      </c>
      <c r="N2770" s="116">
        <v>215.9</v>
      </c>
      <c r="O2770" s="116">
        <v>211.66</v>
      </c>
      <c r="P2770" s="116">
        <v>215.5</v>
      </c>
      <c r="Q2770" s="116">
        <v>212.33</v>
      </c>
      <c r="R2770">
        <v>25598534</v>
      </c>
    </row>
    <row r="2771" spans="1:18" x14ac:dyDescent="0.25">
      <c r="A2771" s="170">
        <v>46083</v>
      </c>
      <c r="B2771">
        <v>214.35</v>
      </c>
      <c r="C2771">
        <v>210.9</v>
      </c>
      <c r="D2771">
        <v>203.05</v>
      </c>
      <c r="E2771">
        <v>203.05</v>
      </c>
      <c r="F2771">
        <v>210.9</v>
      </c>
      <c r="G2771">
        <v>3015592</v>
      </c>
      <c r="H2771" s="116"/>
      <c r="I2771" s="116"/>
      <c r="L2771" s="170">
        <v>46083</v>
      </c>
      <c r="M2771" s="116">
        <v>211.01</v>
      </c>
      <c r="N2771" s="116">
        <v>214.34</v>
      </c>
      <c r="O2771" s="116">
        <v>204.5</v>
      </c>
      <c r="P2771" s="116">
        <v>205</v>
      </c>
      <c r="Q2771" s="116">
        <v>211.01</v>
      </c>
      <c r="R2771">
        <v>30523310</v>
      </c>
    </row>
    <row r="2772" spans="1:18" x14ac:dyDescent="0.25">
      <c r="A2772" s="170">
        <v>46085</v>
      </c>
      <c r="B2772">
        <v>208.45</v>
      </c>
      <c r="C2772">
        <v>196.65</v>
      </c>
      <c r="D2772">
        <v>194.5</v>
      </c>
      <c r="E2772">
        <v>208.45</v>
      </c>
      <c r="F2772">
        <v>196.65</v>
      </c>
      <c r="G2772">
        <v>2911323</v>
      </c>
      <c r="H2772" s="116"/>
      <c r="I2772" s="116"/>
      <c r="L2772" s="170">
        <v>46085</v>
      </c>
      <c r="M2772" s="116">
        <v>196.73</v>
      </c>
      <c r="N2772" s="116">
        <v>207</v>
      </c>
      <c r="O2772" s="116">
        <v>194.43</v>
      </c>
      <c r="P2772" s="116">
        <v>207</v>
      </c>
      <c r="Q2772" s="116">
        <v>196.73</v>
      </c>
      <c r="R2772">
        <v>72096617</v>
      </c>
    </row>
    <row r="2773" spans="1:18" x14ac:dyDescent="0.25">
      <c r="A2773" s="170">
        <v>46086</v>
      </c>
      <c r="B2773">
        <v>203</v>
      </c>
      <c r="C2773">
        <v>200.6</v>
      </c>
      <c r="D2773">
        <v>197.6</v>
      </c>
      <c r="E2773">
        <v>199.15</v>
      </c>
      <c r="F2773">
        <v>200.6</v>
      </c>
      <c r="G2773">
        <v>2571147</v>
      </c>
      <c r="H2773" s="116"/>
      <c r="I2773" s="116"/>
      <c r="L2773" s="170">
        <v>46086</v>
      </c>
      <c r="M2773" s="116">
        <v>200.57</v>
      </c>
      <c r="N2773" s="116">
        <v>203.04</v>
      </c>
      <c r="O2773" s="116">
        <v>197.63</v>
      </c>
      <c r="P2773" s="116">
        <v>198.5</v>
      </c>
      <c r="Q2773" s="116">
        <v>200.57</v>
      </c>
      <c r="R2773">
        <v>41033397</v>
      </c>
    </row>
    <row r="2774" spans="1:18" x14ac:dyDescent="0.25">
      <c r="A2774" s="170">
        <v>46087</v>
      </c>
      <c r="B2774">
        <v>202.2</v>
      </c>
      <c r="C2774">
        <v>198.5</v>
      </c>
      <c r="D2774">
        <v>197.1</v>
      </c>
      <c r="E2774">
        <v>200.25</v>
      </c>
      <c r="F2774">
        <v>198.5</v>
      </c>
      <c r="G2774">
        <v>1530974</v>
      </c>
      <c r="H2774" s="116"/>
      <c r="I2774" s="116"/>
      <c r="L2774" s="170">
        <v>46087</v>
      </c>
      <c r="M2774" s="116">
        <v>198.46</v>
      </c>
      <c r="N2774" s="116">
        <v>202.2</v>
      </c>
      <c r="O2774" s="116">
        <v>197.1</v>
      </c>
      <c r="P2774" s="116">
        <v>199.5</v>
      </c>
      <c r="Q2774" s="116">
        <v>198.46</v>
      </c>
      <c r="R2774">
        <v>28551376</v>
      </c>
    </row>
    <row r="2775" spans="1:18" x14ac:dyDescent="0.25">
      <c r="A2775" s="170">
        <v>46090</v>
      </c>
      <c r="B2775">
        <v>193.55</v>
      </c>
      <c r="C2775">
        <v>191.05</v>
      </c>
      <c r="D2775">
        <v>187</v>
      </c>
      <c r="E2775">
        <v>193.5</v>
      </c>
      <c r="F2775">
        <v>191.05</v>
      </c>
      <c r="G2775">
        <v>2168748</v>
      </c>
      <c r="H2775" s="116"/>
      <c r="I2775" s="116"/>
      <c r="L2775" s="170">
        <v>46090</v>
      </c>
      <c r="M2775" s="116">
        <v>191.01</v>
      </c>
      <c r="N2775" s="116">
        <v>193.7</v>
      </c>
      <c r="O2775" s="116">
        <v>187.03</v>
      </c>
      <c r="P2775" s="116">
        <v>193.45</v>
      </c>
      <c r="Q2775" s="116">
        <v>191.01</v>
      </c>
      <c r="R2775">
        <v>43019965</v>
      </c>
    </row>
    <row r="2776" spans="1:18" x14ac:dyDescent="0.25">
      <c r="A2776" s="170">
        <v>46091</v>
      </c>
      <c r="B2776">
        <v>196.55</v>
      </c>
      <c r="C2776">
        <v>195.05</v>
      </c>
      <c r="D2776">
        <v>192</v>
      </c>
      <c r="E2776">
        <v>194.3</v>
      </c>
      <c r="F2776">
        <v>195.05</v>
      </c>
      <c r="G2776">
        <v>1498718</v>
      </c>
      <c r="H2776" s="116"/>
      <c r="I2776" s="116"/>
      <c r="L2776" s="170">
        <v>46091</v>
      </c>
      <c r="M2776" s="116">
        <v>195</v>
      </c>
      <c r="N2776" s="116">
        <v>196.64</v>
      </c>
      <c r="O2776" s="116">
        <v>192</v>
      </c>
      <c r="P2776" s="116">
        <v>194.01</v>
      </c>
      <c r="Q2776" s="116">
        <v>195</v>
      </c>
      <c r="R2776">
        <v>25783308</v>
      </c>
    </row>
    <row r="2777" spans="1:18" x14ac:dyDescent="0.25">
      <c r="A2777" s="170">
        <v>46092</v>
      </c>
      <c r="B2777">
        <v>198.9</v>
      </c>
      <c r="C2777">
        <v>194.7</v>
      </c>
      <c r="D2777">
        <v>194</v>
      </c>
      <c r="E2777">
        <v>197</v>
      </c>
      <c r="F2777">
        <v>194.7</v>
      </c>
      <c r="G2777">
        <v>1892889</v>
      </c>
      <c r="H2777" s="116"/>
      <c r="I2777" s="116"/>
      <c r="L2777" s="170">
        <v>46092</v>
      </c>
      <c r="M2777" s="116">
        <v>194.74</v>
      </c>
      <c r="N2777" s="116">
        <v>198.88</v>
      </c>
      <c r="O2777" s="116">
        <v>194</v>
      </c>
      <c r="P2777" s="116">
        <v>197.14</v>
      </c>
      <c r="Q2777" s="116">
        <v>194.74</v>
      </c>
      <c r="R2777">
        <v>34207226</v>
      </c>
    </row>
    <row r="2778" spans="1:18" x14ac:dyDescent="0.25">
      <c r="A2778" s="170">
        <v>46093</v>
      </c>
      <c r="B2778">
        <v>194.7</v>
      </c>
      <c r="C2778">
        <v>193.45</v>
      </c>
      <c r="D2778">
        <v>190.1</v>
      </c>
      <c r="E2778">
        <v>194</v>
      </c>
      <c r="F2778">
        <v>193.45</v>
      </c>
      <c r="G2778">
        <v>1014876</v>
      </c>
      <c r="H2778" s="116"/>
      <c r="I2778" s="116"/>
      <c r="L2778" s="170">
        <v>46093</v>
      </c>
      <c r="M2778" s="116">
        <v>193.47</v>
      </c>
      <c r="N2778" s="116">
        <v>194.66</v>
      </c>
      <c r="O2778" s="116">
        <v>190.1</v>
      </c>
      <c r="P2778" s="116">
        <v>193.99</v>
      </c>
      <c r="Q2778" s="116">
        <v>193.47</v>
      </c>
      <c r="R2778">
        <v>24413736</v>
      </c>
    </row>
    <row r="2779" spans="1:18" x14ac:dyDescent="0.25">
      <c r="A2779" s="170">
        <v>46094</v>
      </c>
      <c r="B2779">
        <v>192.15</v>
      </c>
      <c r="C2779">
        <v>183.4</v>
      </c>
      <c r="D2779">
        <v>182.35</v>
      </c>
      <c r="E2779">
        <v>192</v>
      </c>
      <c r="F2779">
        <v>183.4</v>
      </c>
      <c r="G2779">
        <v>2093024</v>
      </c>
      <c r="H2779" s="116"/>
      <c r="I2779" s="116"/>
      <c r="L2779" s="170">
        <v>46094</v>
      </c>
      <c r="M2779" s="116">
        <v>183.51</v>
      </c>
      <c r="N2779" s="116">
        <v>192.5</v>
      </c>
      <c r="O2779" s="116">
        <v>182.26</v>
      </c>
      <c r="P2779" s="116">
        <v>191.95</v>
      </c>
      <c r="Q2779" s="116">
        <v>183.51</v>
      </c>
      <c r="R2779">
        <v>42683952</v>
      </c>
    </row>
    <row r="2780" spans="1:18" x14ac:dyDescent="0.25">
      <c r="A2780" s="170">
        <v>46097</v>
      </c>
      <c r="B2780">
        <v>187.65</v>
      </c>
      <c r="C2780">
        <v>187.15</v>
      </c>
      <c r="D2780">
        <v>181.5</v>
      </c>
      <c r="E2780">
        <v>183</v>
      </c>
      <c r="F2780">
        <v>187.15</v>
      </c>
      <c r="G2780">
        <v>1592335</v>
      </c>
      <c r="H2780" s="116"/>
      <c r="I2780" s="116"/>
      <c r="L2780" s="170">
        <v>46097</v>
      </c>
      <c r="M2780" s="116">
        <v>186.94</v>
      </c>
      <c r="N2780" s="116">
        <v>187.65</v>
      </c>
      <c r="O2780" s="116">
        <v>181.25</v>
      </c>
      <c r="P2780" s="116">
        <v>183</v>
      </c>
      <c r="Q2780" s="116">
        <v>186.94</v>
      </c>
      <c r="R2780">
        <v>44789516</v>
      </c>
    </row>
    <row r="2781" spans="1:18" x14ac:dyDescent="0.25">
      <c r="A2781" s="170">
        <v>46098</v>
      </c>
      <c r="B2781">
        <v>196.25</v>
      </c>
      <c r="C2781">
        <v>195.4</v>
      </c>
      <c r="D2781">
        <v>186.9</v>
      </c>
      <c r="E2781">
        <v>188</v>
      </c>
      <c r="F2781">
        <v>195.4</v>
      </c>
      <c r="G2781">
        <v>3584346</v>
      </c>
      <c r="H2781" s="116"/>
      <c r="I2781" s="116"/>
      <c r="L2781" s="170">
        <v>46098</v>
      </c>
      <c r="M2781" s="116">
        <v>195.43</v>
      </c>
      <c r="N2781" s="116">
        <v>196.31</v>
      </c>
      <c r="O2781" s="116">
        <v>186.85</v>
      </c>
      <c r="P2781" s="116">
        <v>187.8</v>
      </c>
      <c r="Q2781" s="116">
        <v>195.43</v>
      </c>
      <c r="R2781">
        <v>45672442</v>
      </c>
    </row>
    <row r="2782" spans="1:18" x14ac:dyDescent="0.25">
      <c r="A2782" s="170">
        <v>46099</v>
      </c>
      <c r="B2782">
        <v>196.95</v>
      </c>
      <c r="C2782">
        <v>195.3</v>
      </c>
      <c r="D2782">
        <v>193.2</v>
      </c>
      <c r="E2782">
        <v>196.95</v>
      </c>
      <c r="F2782">
        <v>195.3</v>
      </c>
      <c r="G2782">
        <v>5162258</v>
      </c>
      <c r="H2782" s="116"/>
      <c r="I2782" s="116"/>
      <c r="L2782" s="170">
        <v>46099</v>
      </c>
      <c r="M2782" s="116">
        <v>195.41</v>
      </c>
      <c r="N2782" s="116">
        <v>196.43</v>
      </c>
      <c r="O2782" s="116">
        <v>193.17</v>
      </c>
      <c r="P2782" s="116">
        <v>196.4</v>
      </c>
      <c r="Q2782" s="116">
        <v>195.41</v>
      </c>
      <c r="R2782">
        <v>26353743</v>
      </c>
    </row>
    <row r="2783" spans="1:18" x14ac:dyDescent="0.25">
      <c r="A2783" s="170">
        <v>46100</v>
      </c>
      <c r="B2783">
        <v>194.2</v>
      </c>
      <c r="C2783">
        <v>190.55</v>
      </c>
      <c r="D2783">
        <v>190</v>
      </c>
      <c r="E2783">
        <v>191.5</v>
      </c>
      <c r="F2783">
        <v>190.55</v>
      </c>
      <c r="G2783">
        <v>7797558</v>
      </c>
      <c r="H2783" s="116"/>
      <c r="I2783" s="116"/>
      <c r="L2783" s="170">
        <v>46100</v>
      </c>
      <c r="M2783" s="116">
        <v>190.51</v>
      </c>
      <c r="N2783" s="116">
        <v>194.22</v>
      </c>
      <c r="O2783" s="116">
        <v>189.37</v>
      </c>
      <c r="P2783" s="116">
        <v>190.8</v>
      </c>
      <c r="Q2783" s="116">
        <v>190.51</v>
      </c>
      <c r="R2783">
        <v>24146344</v>
      </c>
    </row>
    <row r="2784" spans="1:18" x14ac:dyDescent="0.25">
      <c r="A2784" s="170">
        <v>46101</v>
      </c>
      <c r="B2784">
        <v>199.4</v>
      </c>
      <c r="C2784">
        <v>196.7</v>
      </c>
      <c r="D2784">
        <v>193.2</v>
      </c>
      <c r="E2784">
        <v>193.95</v>
      </c>
      <c r="F2784">
        <v>196.7</v>
      </c>
      <c r="G2784">
        <v>2436954</v>
      </c>
      <c r="H2784" s="116"/>
      <c r="I2784" s="116"/>
      <c r="L2784" s="170">
        <v>46101</v>
      </c>
      <c r="M2784" s="116">
        <v>196.77</v>
      </c>
      <c r="N2784" s="116">
        <v>199.44</v>
      </c>
      <c r="O2784" s="116">
        <v>193.34</v>
      </c>
      <c r="P2784" s="116">
        <v>193.4</v>
      </c>
      <c r="Q2784" s="116">
        <v>196.77</v>
      </c>
      <c r="R2784">
        <v>46881257</v>
      </c>
    </row>
    <row r="2785" spans="1:18" x14ac:dyDescent="0.25">
      <c r="A2785" s="170">
        <v>46104</v>
      </c>
      <c r="B2785">
        <v>193.35</v>
      </c>
      <c r="C2785">
        <v>187.25</v>
      </c>
      <c r="D2785">
        <v>186.55</v>
      </c>
      <c r="E2785">
        <v>192.95</v>
      </c>
      <c r="F2785">
        <v>187.25</v>
      </c>
      <c r="G2785">
        <v>1451024</v>
      </c>
      <c r="H2785" s="116"/>
      <c r="I2785" s="116"/>
      <c r="L2785" s="170">
        <v>46104</v>
      </c>
      <c r="M2785" s="116">
        <v>187.17</v>
      </c>
      <c r="N2785" s="116">
        <v>193.95</v>
      </c>
      <c r="O2785" s="116">
        <v>186.51</v>
      </c>
      <c r="P2785" s="116">
        <v>193</v>
      </c>
      <c r="Q2785" s="116">
        <v>187.17</v>
      </c>
      <c r="R2785">
        <v>44393392</v>
      </c>
    </row>
    <row r="2786" spans="1:18" x14ac:dyDescent="0.25">
      <c r="A2786" s="170">
        <v>46105</v>
      </c>
      <c r="B2786">
        <v>192.15</v>
      </c>
      <c r="C2786">
        <v>190.9</v>
      </c>
      <c r="D2786">
        <v>187.75</v>
      </c>
      <c r="E2786">
        <v>191.55</v>
      </c>
      <c r="F2786">
        <v>190.9</v>
      </c>
      <c r="G2786">
        <v>2127343</v>
      </c>
      <c r="H2786" s="116"/>
      <c r="I2786" s="116"/>
      <c r="L2786" s="170">
        <v>46105</v>
      </c>
      <c r="M2786" s="116">
        <v>190.79</v>
      </c>
      <c r="N2786" s="116">
        <v>192.19</v>
      </c>
      <c r="O2786" s="116">
        <v>187.78</v>
      </c>
      <c r="P2786" s="116">
        <v>192</v>
      </c>
      <c r="Q2786" s="116">
        <v>190.79</v>
      </c>
      <c r="R2786">
        <v>34321983</v>
      </c>
    </row>
    <row r="2787" spans="1:18" x14ac:dyDescent="0.25">
      <c r="A2787" s="170">
        <v>46106</v>
      </c>
      <c r="B2787">
        <v>197.1</v>
      </c>
      <c r="C2787">
        <v>196.65</v>
      </c>
      <c r="D2787">
        <v>192.3</v>
      </c>
      <c r="E2787">
        <v>193.5</v>
      </c>
      <c r="F2787">
        <v>196.65</v>
      </c>
      <c r="G2787">
        <v>2255964</v>
      </c>
      <c r="H2787" s="116"/>
      <c r="I2787" s="116"/>
      <c r="L2787" s="170">
        <v>46106</v>
      </c>
      <c r="M2787" s="116">
        <v>196.65</v>
      </c>
      <c r="N2787" s="116">
        <v>197.15</v>
      </c>
      <c r="O2787" s="116">
        <v>192.32</v>
      </c>
      <c r="P2787" s="116">
        <v>193.03</v>
      </c>
      <c r="Q2787" s="116">
        <v>196.65</v>
      </c>
      <c r="R2787">
        <v>34767360</v>
      </c>
    </row>
    <row r="2788" spans="1:18" x14ac:dyDescent="0.25">
      <c r="A2788" s="170">
        <v>46108</v>
      </c>
      <c r="B2788">
        <v>195.45</v>
      </c>
      <c r="C2788">
        <v>193.25</v>
      </c>
      <c r="D2788">
        <v>192.6</v>
      </c>
      <c r="E2788">
        <v>193.75</v>
      </c>
      <c r="F2788">
        <v>193.25</v>
      </c>
      <c r="G2788">
        <v>1530928</v>
      </c>
      <c r="H2788" s="116"/>
      <c r="I2788" s="116"/>
      <c r="L2788" s="170">
        <v>46108</v>
      </c>
      <c r="M2788" s="116">
        <v>193.22</v>
      </c>
      <c r="N2788" s="116">
        <v>195.5</v>
      </c>
      <c r="O2788" s="116">
        <v>192.64</v>
      </c>
      <c r="P2788" s="116">
        <v>194.32</v>
      </c>
      <c r="Q2788" s="116">
        <v>193.22</v>
      </c>
      <c r="R2788">
        <v>36938046</v>
      </c>
    </row>
    <row r="2789" spans="1:18" x14ac:dyDescent="0.25">
      <c r="A2789" s="170">
        <v>46111</v>
      </c>
      <c r="B2789">
        <v>194.4</v>
      </c>
      <c r="C2789">
        <v>191.8</v>
      </c>
      <c r="D2789">
        <v>188.3</v>
      </c>
      <c r="E2789">
        <v>192.1</v>
      </c>
      <c r="F2789">
        <v>191.8</v>
      </c>
      <c r="G2789">
        <v>1974856</v>
      </c>
      <c r="H2789" s="116"/>
      <c r="I2789" s="116"/>
      <c r="L2789" s="170">
        <v>46111</v>
      </c>
      <c r="M2789" s="116">
        <v>191.86</v>
      </c>
      <c r="N2789" s="116">
        <v>194.42</v>
      </c>
      <c r="O2789" s="116">
        <v>188.3</v>
      </c>
      <c r="P2789" s="116">
        <v>192</v>
      </c>
      <c r="Q2789" s="116">
        <v>191.86</v>
      </c>
      <c r="R2789">
        <v>45914996</v>
      </c>
    </row>
    <row r="2790" spans="1:18" x14ac:dyDescent="0.25">
      <c r="A2790" s="170">
        <v>46113</v>
      </c>
      <c r="B2790">
        <v>200.05</v>
      </c>
      <c r="C2790">
        <v>194.7</v>
      </c>
      <c r="D2790">
        <v>194.05</v>
      </c>
      <c r="E2790">
        <v>200</v>
      </c>
      <c r="F2790">
        <v>194.7</v>
      </c>
      <c r="G2790">
        <v>1099752</v>
      </c>
      <c r="H2790" s="116"/>
      <c r="I2790" s="116"/>
      <c r="L2790" s="170">
        <v>46113</v>
      </c>
      <c r="M2790" s="116">
        <v>194.6</v>
      </c>
      <c r="N2790" s="116">
        <v>200.2</v>
      </c>
      <c r="O2790" s="116">
        <v>194</v>
      </c>
      <c r="P2790" s="116">
        <v>200</v>
      </c>
      <c r="Q2790" s="116">
        <v>194.6</v>
      </c>
      <c r="R2790">
        <v>35813622</v>
      </c>
    </row>
    <row r="2791" spans="1:18" x14ac:dyDescent="0.25">
      <c r="A2791" s="170">
        <v>46114</v>
      </c>
      <c r="B2791">
        <v>194.85</v>
      </c>
      <c r="C2791">
        <v>194.05</v>
      </c>
      <c r="D2791">
        <v>187.95</v>
      </c>
      <c r="E2791">
        <v>192.3</v>
      </c>
      <c r="F2791">
        <v>194.05</v>
      </c>
      <c r="G2791">
        <v>1254431</v>
      </c>
      <c r="H2791" s="116"/>
      <c r="I2791" s="116"/>
      <c r="L2791" s="170">
        <v>46114</v>
      </c>
      <c r="M2791" s="116">
        <v>194.14</v>
      </c>
      <c r="N2791" s="116">
        <v>194.85</v>
      </c>
      <c r="O2791" s="116">
        <v>187.95</v>
      </c>
      <c r="P2791" s="116">
        <v>192.91</v>
      </c>
      <c r="Q2791" s="116">
        <v>194.14</v>
      </c>
      <c r="R2791">
        <v>27633959</v>
      </c>
    </row>
    <row r="2792" spans="1:18" x14ac:dyDescent="0.25">
      <c r="A2792" s="170">
        <v>46118</v>
      </c>
      <c r="B2792">
        <v>196.6</v>
      </c>
      <c r="C2792">
        <v>196.1</v>
      </c>
      <c r="D2792">
        <v>190.2</v>
      </c>
      <c r="E2792">
        <v>192.9</v>
      </c>
      <c r="F2792">
        <v>196.1</v>
      </c>
      <c r="G2792">
        <v>1195615</v>
      </c>
      <c r="H2792" s="116"/>
      <c r="I2792" s="116"/>
      <c r="L2792" s="170">
        <v>46118</v>
      </c>
      <c r="M2792" s="116">
        <v>196.1</v>
      </c>
      <c r="N2792" s="116">
        <v>196.65</v>
      </c>
      <c r="O2792" s="116">
        <v>190.25</v>
      </c>
      <c r="P2792" s="116">
        <v>193.02</v>
      </c>
      <c r="Q2792" s="116">
        <v>196.1</v>
      </c>
      <c r="R2792">
        <v>28115748</v>
      </c>
    </row>
    <row r="2793" spans="1:18" x14ac:dyDescent="0.25">
      <c r="A2793" s="170">
        <v>46119</v>
      </c>
      <c r="B2793">
        <v>198.4</v>
      </c>
      <c r="C2793">
        <v>198.05</v>
      </c>
      <c r="D2793">
        <v>193.35</v>
      </c>
      <c r="E2793">
        <v>195.85</v>
      </c>
      <c r="F2793">
        <v>198.05</v>
      </c>
      <c r="G2793">
        <v>1322241</v>
      </c>
      <c r="H2793" s="116"/>
      <c r="I2793" s="116"/>
      <c r="L2793" s="170">
        <v>46119</v>
      </c>
      <c r="M2793" s="116">
        <v>198.13</v>
      </c>
      <c r="N2793" s="116">
        <v>198.42</v>
      </c>
      <c r="O2793" s="116">
        <v>193.28</v>
      </c>
      <c r="P2793" s="116">
        <v>195.6</v>
      </c>
      <c r="Q2793" s="116">
        <v>198.13</v>
      </c>
      <c r="R2793">
        <v>32090982</v>
      </c>
    </row>
    <row r="2794" spans="1:18" x14ac:dyDescent="0.25">
      <c r="A2794" s="170">
        <v>46120</v>
      </c>
      <c r="B2794">
        <v>206.45</v>
      </c>
      <c r="C2794">
        <v>204.25</v>
      </c>
      <c r="D2794">
        <v>202.1</v>
      </c>
      <c r="E2794">
        <v>202.4</v>
      </c>
      <c r="F2794">
        <v>204.25</v>
      </c>
      <c r="G2794">
        <v>1471030</v>
      </c>
      <c r="H2794" s="116"/>
      <c r="I2794" s="116"/>
      <c r="L2794" s="170">
        <v>46120</v>
      </c>
      <c r="M2794" s="116">
        <v>204.18</v>
      </c>
      <c r="N2794" s="116">
        <v>206.4</v>
      </c>
      <c r="O2794" s="116">
        <v>202</v>
      </c>
      <c r="P2794" s="116">
        <v>202.01</v>
      </c>
      <c r="Q2794" s="116">
        <v>204.18</v>
      </c>
      <c r="R2794">
        <v>37018381</v>
      </c>
    </row>
    <row r="2795" spans="1:18" x14ac:dyDescent="0.25">
      <c r="A2795" s="170">
        <v>46121</v>
      </c>
      <c r="B2795">
        <v>208.2</v>
      </c>
      <c r="C2795">
        <v>205.25</v>
      </c>
      <c r="D2795">
        <v>203.7</v>
      </c>
      <c r="E2795">
        <v>203.7</v>
      </c>
      <c r="F2795">
        <v>205.25</v>
      </c>
      <c r="G2795">
        <v>3145230</v>
      </c>
      <c r="H2795" s="116"/>
      <c r="I2795" s="116"/>
      <c r="L2795" s="170">
        <v>46121</v>
      </c>
      <c r="M2795" s="116">
        <v>205.2</v>
      </c>
      <c r="N2795" s="116">
        <v>208.19</v>
      </c>
      <c r="O2795" s="116">
        <v>204.06</v>
      </c>
      <c r="P2795" s="116">
        <v>204.51</v>
      </c>
      <c r="Q2795" s="116">
        <v>205.2</v>
      </c>
      <c r="R2795">
        <v>36853400</v>
      </c>
    </row>
    <row r="2796" spans="1:18" x14ac:dyDescent="0.25">
      <c r="A2796" s="170">
        <v>46122</v>
      </c>
      <c r="B2796">
        <v>209</v>
      </c>
      <c r="C2796">
        <v>206.6</v>
      </c>
      <c r="D2796">
        <v>204.75</v>
      </c>
      <c r="E2796">
        <v>206.9</v>
      </c>
      <c r="F2796">
        <v>206.6</v>
      </c>
      <c r="G2796">
        <v>2043841</v>
      </c>
      <c r="H2796" s="116"/>
      <c r="I2796" s="116"/>
      <c r="L2796" s="170">
        <v>46122</v>
      </c>
      <c r="M2796" s="116">
        <v>206.61</v>
      </c>
      <c r="N2796" s="116">
        <v>209</v>
      </c>
      <c r="O2796" s="116">
        <v>204.8</v>
      </c>
      <c r="P2796" s="116">
        <v>207.98</v>
      </c>
      <c r="Q2796" s="116">
        <v>206.61</v>
      </c>
      <c r="R2796">
        <v>28385501</v>
      </c>
    </row>
    <row r="2797" spans="1:18" x14ac:dyDescent="0.25">
      <c r="A2797" s="170">
        <v>46125</v>
      </c>
      <c r="B2797">
        <v>209</v>
      </c>
      <c r="C2797">
        <v>206.55</v>
      </c>
      <c r="D2797">
        <v>201.5</v>
      </c>
      <c r="E2797">
        <v>203.45</v>
      </c>
      <c r="F2797">
        <v>206.55</v>
      </c>
      <c r="G2797">
        <v>1010416</v>
      </c>
      <c r="H2797" s="116"/>
      <c r="I2797" s="116"/>
      <c r="L2797" s="170">
        <v>46125</v>
      </c>
      <c r="M2797" s="116">
        <v>206.39</v>
      </c>
      <c r="N2797" s="116">
        <v>207</v>
      </c>
      <c r="O2797" s="116">
        <v>201.5</v>
      </c>
      <c r="P2797" s="116">
        <v>203.7</v>
      </c>
      <c r="Q2797" s="116">
        <v>206.39</v>
      </c>
      <c r="R2797">
        <v>25848544</v>
      </c>
    </row>
    <row r="2798" spans="1:18" x14ac:dyDescent="0.25">
      <c r="A2798" s="170">
        <v>46127</v>
      </c>
      <c r="B2798">
        <v>211.15</v>
      </c>
      <c r="C2798">
        <v>208.8</v>
      </c>
      <c r="D2798">
        <v>207.55</v>
      </c>
      <c r="E2798">
        <v>208.25</v>
      </c>
      <c r="F2798">
        <v>208.8</v>
      </c>
      <c r="G2798">
        <v>1657172</v>
      </c>
      <c r="H2798" s="116"/>
      <c r="I2798" s="116"/>
      <c r="L2798" s="170">
        <v>46127</v>
      </c>
      <c r="M2798" s="116">
        <v>208.72</v>
      </c>
      <c r="N2798" s="116">
        <v>211.15</v>
      </c>
      <c r="O2798" s="116">
        <v>207.6</v>
      </c>
      <c r="P2798" s="116">
        <v>209</v>
      </c>
      <c r="Q2798" s="116">
        <v>208.72</v>
      </c>
      <c r="R2798">
        <v>30858355</v>
      </c>
    </row>
    <row r="2799" spans="1:18" x14ac:dyDescent="0.25">
      <c r="A2799" s="170">
        <v>46128</v>
      </c>
      <c r="B2799">
        <v>212.9</v>
      </c>
      <c r="C2799">
        <v>210.7</v>
      </c>
      <c r="D2799">
        <v>209.05</v>
      </c>
      <c r="E2799">
        <v>209.5</v>
      </c>
      <c r="F2799">
        <v>210.7</v>
      </c>
      <c r="G2799">
        <v>2528525</v>
      </c>
      <c r="H2799" s="116"/>
      <c r="I2799" s="116"/>
      <c r="L2799" s="170">
        <v>46128</v>
      </c>
      <c r="M2799" s="116">
        <v>210.69</v>
      </c>
      <c r="N2799" s="116">
        <v>212.92</v>
      </c>
      <c r="O2799" s="116">
        <v>209.01</v>
      </c>
      <c r="P2799" s="116">
        <v>209.75</v>
      </c>
      <c r="Q2799" s="116">
        <v>210.69</v>
      </c>
      <c r="R2799">
        <v>26751249</v>
      </c>
    </row>
    <row r="2800" spans="1:18" x14ac:dyDescent="0.25">
      <c r="A2800" s="170">
        <v>46129</v>
      </c>
      <c r="B2800">
        <v>212.4</v>
      </c>
      <c r="C2800">
        <v>212.05</v>
      </c>
      <c r="D2800">
        <v>208.45</v>
      </c>
      <c r="E2800">
        <v>210.7</v>
      </c>
      <c r="F2800">
        <v>212.05</v>
      </c>
      <c r="G2800">
        <v>1565789</v>
      </c>
      <c r="H2800" s="116"/>
      <c r="I2800" s="116"/>
      <c r="L2800" s="170">
        <v>46129</v>
      </c>
      <c r="M2800" s="116">
        <v>212.12</v>
      </c>
      <c r="N2800" s="116">
        <v>212.46</v>
      </c>
      <c r="O2800" s="116">
        <v>208.5</v>
      </c>
      <c r="P2800" s="116">
        <v>210.69</v>
      </c>
      <c r="Q2800" s="116">
        <v>212.12</v>
      </c>
      <c r="R2800">
        <v>22837792</v>
      </c>
    </row>
    <row r="2801" spans="1:18" x14ac:dyDescent="0.25">
      <c r="A2801" s="170">
        <v>46132</v>
      </c>
      <c r="B2801">
        <v>213.4</v>
      </c>
      <c r="C2801">
        <v>211.65</v>
      </c>
      <c r="D2801">
        <v>209.8</v>
      </c>
      <c r="E2801">
        <v>212.05</v>
      </c>
      <c r="F2801">
        <v>211.65</v>
      </c>
      <c r="G2801">
        <v>1063760</v>
      </c>
      <c r="H2801" s="116"/>
      <c r="I2801" s="116"/>
      <c r="L2801" s="170">
        <v>46132</v>
      </c>
      <c r="M2801" s="116">
        <v>211.72</v>
      </c>
      <c r="N2801" s="116">
        <v>213.4</v>
      </c>
      <c r="O2801" s="116">
        <v>209.8</v>
      </c>
      <c r="P2801" s="116">
        <v>212</v>
      </c>
      <c r="Q2801" s="116">
        <v>211.72</v>
      </c>
      <c r="R2801">
        <v>24992602</v>
      </c>
    </row>
    <row r="2802" spans="1:18" x14ac:dyDescent="0.25">
      <c r="A2802" s="170">
        <v>46133</v>
      </c>
      <c r="B2802">
        <v>214.5</v>
      </c>
      <c r="C2802">
        <v>212.05</v>
      </c>
      <c r="D2802">
        <v>211.05</v>
      </c>
      <c r="E2802">
        <v>211.95</v>
      </c>
      <c r="F2802">
        <v>212.05</v>
      </c>
      <c r="G2802">
        <v>850380</v>
      </c>
      <c r="H2802" s="116"/>
      <c r="I2802" s="116"/>
      <c r="L2802" s="170">
        <v>46133</v>
      </c>
      <c r="M2802" s="116">
        <v>212.01</v>
      </c>
      <c r="N2802" s="116">
        <v>214.49</v>
      </c>
      <c r="O2802" s="116">
        <v>211.08</v>
      </c>
      <c r="P2802" s="116">
        <v>211.72</v>
      </c>
      <c r="Q2802" s="116">
        <v>212.01</v>
      </c>
      <c r="R2802">
        <v>17427021</v>
      </c>
    </row>
    <row r="2803" spans="1:18" x14ac:dyDescent="0.25">
      <c r="A2803" s="170">
        <v>46134</v>
      </c>
      <c r="B2803">
        <v>213.8</v>
      </c>
      <c r="C2803">
        <v>213.05</v>
      </c>
      <c r="D2803">
        <v>210.6</v>
      </c>
      <c r="E2803">
        <v>211.8</v>
      </c>
      <c r="F2803">
        <v>213.05</v>
      </c>
      <c r="G2803">
        <v>1508469</v>
      </c>
      <c r="H2803" s="116"/>
      <c r="I2803" s="116"/>
      <c r="L2803" s="170">
        <v>46134</v>
      </c>
      <c r="M2803" s="116">
        <v>213.03</v>
      </c>
      <c r="N2803" s="116">
        <v>213.78</v>
      </c>
      <c r="O2803" s="116">
        <v>210.51</v>
      </c>
      <c r="P2803" s="116">
        <v>211</v>
      </c>
      <c r="Q2803" s="116">
        <v>213.03</v>
      </c>
      <c r="R2803">
        <v>20795714</v>
      </c>
    </row>
    <row r="2804" spans="1:18" x14ac:dyDescent="0.25">
      <c r="A2804" s="170">
        <v>46135</v>
      </c>
      <c r="B2804">
        <v>214.25</v>
      </c>
      <c r="C2804">
        <v>210.95</v>
      </c>
      <c r="D2804">
        <v>210.25</v>
      </c>
      <c r="E2804">
        <v>214.25</v>
      </c>
      <c r="F2804">
        <v>210.95</v>
      </c>
      <c r="G2804">
        <v>1111206</v>
      </c>
      <c r="H2804" s="116"/>
      <c r="I2804" s="116"/>
      <c r="L2804" s="170">
        <v>46135</v>
      </c>
      <c r="M2804" s="116">
        <v>210.91</v>
      </c>
      <c r="N2804" s="116">
        <v>213.1</v>
      </c>
      <c r="O2804" s="116">
        <v>210.16</v>
      </c>
      <c r="P2804" s="116">
        <v>213.04</v>
      </c>
      <c r="Q2804" s="116">
        <v>210.91</v>
      </c>
      <c r="R2804">
        <v>19304122</v>
      </c>
    </row>
    <row r="2805" spans="1:18" x14ac:dyDescent="0.25">
      <c r="A2805" s="170">
        <v>46136</v>
      </c>
      <c r="B2805">
        <v>211.95</v>
      </c>
      <c r="C2805">
        <v>210</v>
      </c>
      <c r="D2805">
        <v>208.55</v>
      </c>
      <c r="E2805">
        <v>210.75</v>
      </c>
      <c r="F2805">
        <v>210</v>
      </c>
      <c r="G2805">
        <v>1350879</v>
      </c>
      <c r="H2805" s="116"/>
      <c r="I2805" s="116"/>
      <c r="L2805" s="170">
        <v>46136</v>
      </c>
      <c r="M2805" s="116">
        <v>210.07</v>
      </c>
      <c r="N2805" s="116">
        <v>212</v>
      </c>
      <c r="O2805" s="116">
        <v>208.6</v>
      </c>
      <c r="P2805" s="116">
        <v>211</v>
      </c>
      <c r="Q2805" s="116">
        <v>210.07</v>
      </c>
      <c r="R2805">
        <v>22379072</v>
      </c>
    </row>
    <row r="2806" spans="1:18" x14ac:dyDescent="0.25">
      <c r="A2806" s="170">
        <v>46139</v>
      </c>
      <c r="B2806">
        <v>214.9</v>
      </c>
      <c r="C2806">
        <v>213.5</v>
      </c>
      <c r="D2806">
        <v>210.5</v>
      </c>
      <c r="E2806">
        <v>210.5</v>
      </c>
      <c r="F2806">
        <v>213.5</v>
      </c>
      <c r="G2806">
        <v>1906786</v>
      </c>
      <c r="H2806" s="116"/>
      <c r="I2806" s="116"/>
      <c r="L2806" s="170">
        <v>46139</v>
      </c>
      <c r="M2806" s="116">
        <v>213.27</v>
      </c>
      <c r="N2806" s="116">
        <v>215</v>
      </c>
      <c r="O2806" s="116">
        <v>210.93</v>
      </c>
      <c r="P2806" s="116">
        <v>211</v>
      </c>
      <c r="Q2806" s="116">
        <v>213.27</v>
      </c>
      <c r="R2806">
        <v>33068230</v>
      </c>
    </row>
    <row r="2807" spans="1:18" x14ac:dyDescent="0.25">
      <c r="A2807" s="170">
        <v>46140</v>
      </c>
      <c r="B2807">
        <v>218.2</v>
      </c>
      <c r="C2807">
        <v>215.05</v>
      </c>
      <c r="D2807">
        <v>212.2</v>
      </c>
      <c r="E2807">
        <v>213.2</v>
      </c>
      <c r="F2807">
        <v>215.05</v>
      </c>
      <c r="G2807">
        <v>2961362</v>
      </c>
      <c r="H2807" s="116"/>
      <c r="I2807" s="116"/>
      <c r="L2807" s="170">
        <v>46140</v>
      </c>
      <c r="M2807" s="116">
        <v>215.05</v>
      </c>
      <c r="N2807" s="116">
        <v>218.24</v>
      </c>
      <c r="O2807" s="116">
        <v>212.2</v>
      </c>
      <c r="P2807" s="116">
        <v>213.2</v>
      </c>
      <c r="Q2807" s="116">
        <v>215.05</v>
      </c>
      <c r="R2807">
        <v>34950491</v>
      </c>
    </row>
    <row r="2808" spans="1:18" x14ac:dyDescent="0.25">
      <c r="A2808" s="170">
        <v>46141</v>
      </c>
      <c r="B2808">
        <v>217</v>
      </c>
      <c r="C2808">
        <v>215.9</v>
      </c>
      <c r="D2808">
        <v>211.35</v>
      </c>
      <c r="E2808">
        <v>216.6</v>
      </c>
      <c r="F2808">
        <v>215.9</v>
      </c>
      <c r="G2808">
        <v>1411042</v>
      </c>
      <c r="H2808" s="116"/>
      <c r="I2808" s="116"/>
      <c r="L2808" s="170">
        <v>46141</v>
      </c>
      <c r="M2808" s="116">
        <v>215.88</v>
      </c>
      <c r="N2808" s="116">
        <v>217</v>
      </c>
      <c r="O2808" s="116">
        <v>211.36</v>
      </c>
      <c r="P2808" s="116">
        <v>216.1</v>
      </c>
      <c r="Q2808" s="116">
        <v>215.88</v>
      </c>
      <c r="R2808">
        <v>32800573</v>
      </c>
    </row>
    <row r="2809" spans="1:18" x14ac:dyDescent="0.25">
      <c r="A2809" s="170">
        <v>46142</v>
      </c>
      <c r="B2809">
        <v>215.6</v>
      </c>
      <c r="C2809">
        <v>211.3</v>
      </c>
      <c r="D2809">
        <v>209.75</v>
      </c>
      <c r="E2809">
        <v>215.15</v>
      </c>
      <c r="F2809">
        <v>211.3</v>
      </c>
      <c r="G2809">
        <v>1431798</v>
      </c>
      <c r="H2809" s="116"/>
      <c r="I2809" s="116"/>
      <c r="L2809" s="170">
        <v>46142</v>
      </c>
      <c r="M2809" s="116">
        <v>211.36</v>
      </c>
      <c r="N2809" s="116">
        <v>215.78</v>
      </c>
      <c r="O2809" s="116">
        <v>210</v>
      </c>
      <c r="P2809" s="116">
        <v>215.78</v>
      </c>
      <c r="Q2809" s="116">
        <v>211.36</v>
      </c>
      <c r="R2809">
        <v>24894783</v>
      </c>
    </row>
    <row r="2810" spans="1:18" x14ac:dyDescent="0.25">
      <c r="A2810" s="170">
        <v>46146</v>
      </c>
      <c r="B2810">
        <v>214.55</v>
      </c>
      <c r="C2810">
        <v>212.2</v>
      </c>
      <c r="D2810">
        <v>211.45</v>
      </c>
      <c r="E2810">
        <v>212.85</v>
      </c>
      <c r="F2810">
        <v>212.2</v>
      </c>
      <c r="G2810">
        <v>1350648</v>
      </c>
      <c r="H2810" s="116"/>
      <c r="I2810" s="116"/>
      <c r="L2810" s="170">
        <v>46146</v>
      </c>
      <c r="M2810" s="116">
        <v>212.24</v>
      </c>
      <c r="N2810" s="116">
        <v>214.5</v>
      </c>
      <c r="O2810" s="116">
        <v>211.4</v>
      </c>
      <c r="P2810" s="116">
        <v>212.55</v>
      </c>
      <c r="Q2810" s="116">
        <v>212.24</v>
      </c>
      <c r="R2810">
        <v>23140911</v>
      </c>
    </row>
    <row r="2811" spans="1:18" x14ac:dyDescent="0.25">
      <c r="A2811" s="170">
        <v>46147</v>
      </c>
      <c r="B2811">
        <v>212.45</v>
      </c>
      <c r="C2811">
        <v>211.3</v>
      </c>
      <c r="D2811">
        <v>209.45</v>
      </c>
      <c r="E2811">
        <v>212.45</v>
      </c>
      <c r="F2811">
        <v>211.3</v>
      </c>
      <c r="G2811">
        <v>711370</v>
      </c>
      <c r="H2811" s="116"/>
      <c r="I2811" s="116"/>
      <c r="L2811" s="170">
        <v>46147</v>
      </c>
      <c r="M2811" s="116">
        <v>211.32</v>
      </c>
      <c r="N2811" s="116">
        <v>212.34</v>
      </c>
      <c r="O2811" s="116">
        <v>209.45</v>
      </c>
      <c r="P2811" s="116">
        <v>212.2</v>
      </c>
      <c r="Q2811" s="116">
        <v>211.32</v>
      </c>
      <c r="R2811">
        <v>20733709</v>
      </c>
    </row>
    <row r="2812" spans="1:18" x14ac:dyDescent="0.25">
      <c r="A2812" s="170">
        <v>46148</v>
      </c>
      <c r="B2812">
        <v>216.7</v>
      </c>
      <c r="C2812">
        <v>215.55</v>
      </c>
      <c r="D2812">
        <v>212.4</v>
      </c>
      <c r="E2812">
        <v>214.35</v>
      </c>
      <c r="F2812">
        <v>215.55</v>
      </c>
      <c r="G2812">
        <v>980404</v>
      </c>
      <c r="H2812" s="116"/>
      <c r="I2812" s="116"/>
      <c r="L2812" s="170">
        <v>46148</v>
      </c>
      <c r="M2812" s="116">
        <v>215.47</v>
      </c>
      <c r="N2812" s="116">
        <v>216.73</v>
      </c>
      <c r="O2812" s="116">
        <v>212.42</v>
      </c>
      <c r="P2812" s="116">
        <v>214</v>
      </c>
      <c r="Q2812" s="116">
        <v>215.47</v>
      </c>
      <c r="R2812">
        <v>24082651</v>
      </c>
    </row>
    <row r="2813" spans="1:18" x14ac:dyDescent="0.25">
      <c r="A2813" s="170">
        <v>46149</v>
      </c>
      <c r="B2813">
        <v>219.25</v>
      </c>
      <c r="C2813">
        <v>217.05</v>
      </c>
      <c r="D2813">
        <v>215.75</v>
      </c>
      <c r="E2813">
        <v>216.45</v>
      </c>
      <c r="F2813">
        <v>217.05</v>
      </c>
      <c r="G2813">
        <v>1362135</v>
      </c>
      <c r="H2813" s="116"/>
      <c r="I2813" s="116"/>
      <c r="L2813" s="170">
        <v>46149</v>
      </c>
      <c r="M2813" s="116">
        <v>217.09</v>
      </c>
      <c r="N2813" s="116">
        <v>219.2</v>
      </c>
      <c r="O2813" s="116">
        <v>215.75</v>
      </c>
      <c r="P2813" s="116">
        <v>216.7</v>
      </c>
      <c r="Q2813" s="116">
        <v>217.09</v>
      </c>
      <c r="R2813">
        <v>21243369</v>
      </c>
    </row>
    <row r="2814" spans="1:18" x14ac:dyDescent="0.25">
      <c r="A2814" s="170">
        <v>46150</v>
      </c>
      <c r="B2814">
        <v>217.35</v>
      </c>
      <c r="C2814">
        <v>214.45</v>
      </c>
      <c r="D2814">
        <v>214.2</v>
      </c>
      <c r="E2814">
        <v>217</v>
      </c>
      <c r="F2814">
        <v>214.45</v>
      </c>
      <c r="G2814">
        <v>508102</v>
      </c>
      <c r="H2814" s="116"/>
      <c r="I2814" s="116"/>
      <c r="L2814" s="170">
        <v>46150</v>
      </c>
      <c r="M2814" s="116">
        <v>214.49</v>
      </c>
      <c r="N2814" s="116">
        <v>217.4</v>
      </c>
      <c r="O2814" s="116">
        <v>214.25</v>
      </c>
      <c r="P2814" s="116">
        <v>217</v>
      </c>
      <c r="Q2814" s="116">
        <v>214.49</v>
      </c>
      <c r="R2814">
        <v>17760366</v>
      </c>
    </row>
    <row r="2815" spans="1:18" x14ac:dyDescent="0.25">
      <c r="A2815" s="170">
        <v>46153</v>
      </c>
      <c r="B2815">
        <v>215</v>
      </c>
      <c r="C2815">
        <v>212.05</v>
      </c>
      <c r="D2815">
        <v>211.55</v>
      </c>
      <c r="E2815">
        <v>214.35</v>
      </c>
      <c r="F2815">
        <v>212.05</v>
      </c>
      <c r="G2815">
        <v>621463</v>
      </c>
      <c r="H2815" s="116"/>
      <c r="I2815" s="116"/>
      <c r="L2815" s="170">
        <v>46153</v>
      </c>
      <c r="M2815" s="116">
        <v>212.08</v>
      </c>
      <c r="N2815" s="116">
        <v>215</v>
      </c>
      <c r="O2815" s="116">
        <v>211.52</v>
      </c>
      <c r="P2815" s="116">
        <v>213.5</v>
      </c>
      <c r="Q2815" s="116">
        <v>212.08</v>
      </c>
      <c r="R2815">
        <v>16301350</v>
      </c>
    </row>
    <row r="2816" spans="1:18" x14ac:dyDescent="0.25">
      <c r="A2816" s="170">
        <v>46154</v>
      </c>
      <c r="B2816">
        <v>216.3</v>
      </c>
      <c r="C2816">
        <v>212</v>
      </c>
      <c r="D2816">
        <v>211.55</v>
      </c>
      <c r="E2816">
        <v>212.4</v>
      </c>
      <c r="F2816">
        <v>212</v>
      </c>
      <c r="G2816">
        <v>1460064</v>
      </c>
      <c r="H2816" s="116"/>
      <c r="I2816" s="116"/>
      <c r="L2816" s="170">
        <v>46154</v>
      </c>
      <c r="M2816" s="116">
        <v>212</v>
      </c>
      <c r="N2816" s="116">
        <v>216.33</v>
      </c>
      <c r="O2816" s="116">
        <v>211.5</v>
      </c>
      <c r="P2816" s="116">
        <v>212</v>
      </c>
      <c r="Q2816" s="116">
        <v>212</v>
      </c>
      <c r="R2816">
        <v>28371348</v>
      </c>
    </row>
    <row r="2817" spans="1:18" x14ac:dyDescent="0.25">
      <c r="A2817" s="170">
        <v>46155</v>
      </c>
      <c r="B2817">
        <v>220.85</v>
      </c>
      <c r="C2817">
        <v>219.7</v>
      </c>
      <c r="D2817">
        <v>212.8</v>
      </c>
      <c r="E2817">
        <v>212.8</v>
      </c>
      <c r="F2817">
        <v>219.7</v>
      </c>
      <c r="G2817">
        <v>2982898</v>
      </c>
      <c r="H2817" s="116"/>
      <c r="I2817" s="116"/>
      <c r="L2817" s="170">
        <v>46155</v>
      </c>
      <c r="M2817" s="116">
        <v>219.62</v>
      </c>
      <c r="N2817" s="116">
        <v>220.91</v>
      </c>
      <c r="O2817" s="116">
        <v>213.07</v>
      </c>
      <c r="P2817" s="116">
        <v>213.24</v>
      </c>
      <c r="Q2817" s="116">
        <v>219.62</v>
      </c>
      <c r="R2817">
        <v>46231533</v>
      </c>
    </row>
    <row r="2818" spans="1:18" x14ac:dyDescent="0.25">
      <c r="A2818" s="170">
        <v>46156</v>
      </c>
      <c r="B2818">
        <v>222.9</v>
      </c>
      <c r="C2818">
        <v>221.15</v>
      </c>
      <c r="D2818">
        <v>219</v>
      </c>
      <c r="E2818">
        <v>222.05</v>
      </c>
      <c r="F2818">
        <v>221.15</v>
      </c>
      <c r="G2818">
        <v>3865226</v>
      </c>
      <c r="H2818" s="116"/>
      <c r="I2818" s="116"/>
      <c r="L2818" s="170">
        <v>46156</v>
      </c>
      <c r="M2818" s="116">
        <v>221.13</v>
      </c>
      <c r="N2818" s="116">
        <v>222.9</v>
      </c>
      <c r="O2818" s="116">
        <v>219.02</v>
      </c>
      <c r="P2818" s="116">
        <v>222.3</v>
      </c>
      <c r="Q2818" s="116">
        <v>221.13</v>
      </c>
      <c r="R2818">
        <v>34985006</v>
      </c>
    </row>
    <row r="2819" spans="1:18" x14ac:dyDescent="0.25">
      <c r="A2819" s="170">
        <v>46157</v>
      </c>
      <c r="B2819">
        <v>224.4</v>
      </c>
      <c r="C2819">
        <v>216.8</v>
      </c>
      <c r="D2819">
        <v>216.05</v>
      </c>
      <c r="E2819">
        <v>221.2</v>
      </c>
      <c r="F2819">
        <v>216.8</v>
      </c>
      <c r="G2819">
        <v>1927521</v>
      </c>
      <c r="H2819" s="116"/>
      <c r="I2819" s="116"/>
      <c r="L2819" s="170">
        <v>46157</v>
      </c>
      <c r="M2819" s="116">
        <v>216.84</v>
      </c>
      <c r="N2819" s="116">
        <v>224.4</v>
      </c>
      <c r="O2819" s="116">
        <v>216</v>
      </c>
      <c r="P2819" s="116">
        <v>223</v>
      </c>
      <c r="Q2819" s="116">
        <v>216.84</v>
      </c>
      <c r="R2819">
        <v>33231023</v>
      </c>
    </row>
    <row r="2820" spans="1:18" x14ac:dyDescent="0.25">
      <c r="A2820" s="170">
        <v>46160</v>
      </c>
      <c r="B2820">
        <v>211.95</v>
      </c>
      <c r="C2820">
        <v>209.85</v>
      </c>
      <c r="D2820">
        <v>205.1</v>
      </c>
      <c r="E2820">
        <v>211.95</v>
      </c>
      <c r="F2820">
        <v>209.85</v>
      </c>
      <c r="G2820">
        <v>3603349</v>
      </c>
      <c r="H2820" s="116"/>
      <c r="I2820" s="116"/>
      <c r="L2820" s="170">
        <v>46160</v>
      </c>
      <c r="M2820" s="116">
        <v>209.71</v>
      </c>
      <c r="N2820" s="116">
        <v>211.82</v>
      </c>
      <c r="O2820" s="116">
        <v>205.05</v>
      </c>
      <c r="P2820" s="116">
        <v>211</v>
      </c>
      <c r="Q2820" s="116">
        <v>209.71</v>
      </c>
      <c r="R2820">
        <v>73796001</v>
      </c>
    </row>
    <row r="2821" spans="1:18" x14ac:dyDescent="0.25">
      <c r="A2821" s="170">
        <v>46161</v>
      </c>
      <c r="B2821">
        <v>212.35</v>
      </c>
      <c r="C2821">
        <v>209.3</v>
      </c>
      <c r="D2821">
        <v>209</v>
      </c>
      <c r="E2821">
        <v>210.3</v>
      </c>
      <c r="F2821">
        <v>209.3</v>
      </c>
      <c r="G2821">
        <v>1296204</v>
      </c>
      <c r="H2821" s="116"/>
      <c r="I2821" s="116"/>
      <c r="L2821" s="170">
        <v>46161</v>
      </c>
      <c r="M2821" s="116">
        <v>209.29</v>
      </c>
      <c r="N2821" s="116">
        <v>212.33</v>
      </c>
      <c r="O2821" s="116">
        <v>208.9</v>
      </c>
      <c r="P2821" s="116">
        <v>210.59</v>
      </c>
      <c r="Q2821" s="116">
        <v>209.29</v>
      </c>
      <c r="R2821">
        <v>32573663</v>
      </c>
    </row>
    <row r="2822" spans="1:18" x14ac:dyDescent="0.25">
      <c r="A2822" s="170">
        <v>46162</v>
      </c>
      <c r="B2822">
        <v>207.7</v>
      </c>
      <c r="C2822">
        <v>207.05</v>
      </c>
      <c r="D2822">
        <v>203.05</v>
      </c>
      <c r="E2822">
        <v>207.25</v>
      </c>
      <c r="F2822">
        <v>207.05</v>
      </c>
      <c r="G2822">
        <v>1840825</v>
      </c>
      <c r="H2822" s="116"/>
      <c r="I2822" s="116"/>
      <c r="L2822" s="170">
        <v>46162</v>
      </c>
      <c r="M2822" s="116">
        <v>207.01</v>
      </c>
      <c r="N2822" s="116">
        <v>207.5</v>
      </c>
      <c r="O2822" s="116">
        <v>203.04</v>
      </c>
      <c r="P2822" s="116">
        <v>207.5</v>
      </c>
      <c r="Q2822" s="116">
        <v>207.01</v>
      </c>
      <c r="R2822">
        <v>56670462</v>
      </c>
    </row>
    <row r="2823" spans="1:18" x14ac:dyDescent="0.25">
      <c r="A2823" s="170">
        <v>46163</v>
      </c>
      <c r="B2823">
        <v>210</v>
      </c>
      <c r="C2823">
        <v>208.55</v>
      </c>
      <c r="D2823">
        <v>207.65</v>
      </c>
      <c r="E2823">
        <v>210</v>
      </c>
      <c r="F2823">
        <v>208.55</v>
      </c>
      <c r="G2823">
        <v>1100548</v>
      </c>
      <c r="H2823" s="116"/>
      <c r="I2823" s="116"/>
      <c r="L2823" s="170">
        <v>46163</v>
      </c>
      <c r="M2823" s="116">
        <v>208.58</v>
      </c>
      <c r="N2823" s="116">
        <v>210.07</v>
      </c>
      <c r="O2823" s="116">
        <v>207.66</v>
      </c>
      <c r="P2823" s="116">
        <v>209.75</v>
      </c>
      <c r="Q2823" s="116">
        <v>208.58</v>
      </c>
      <c r="R2823">
        <v>24385712</v>
      </c>
    </row>
    <row r="2824" spans="1:18" x14ac:dyDescent="0.25">
      <c r="A2824" s="170">
        <v>46164</v>
      </c>
      <c r="B2824">
        <v>210.9</v>
      </c>
      <c r="C2824">
        <v>209.2</v>
      </c>
      <c r="D2824">
        <v>208.35</v>
      </c>
      <c r="E2824">
        <v>209.5</v>
      </c>
      <c r="F2824">
        <v>209.2</v>
      </c>
      <c r="G2824">
        <v>593413</v>
      </c>
      <c r="H2824" s="116"/>
      <c r="I2824" s="116"/>
      <c r="L2824" s="170">
        <v>46164</v>
      </c>
      <c r="M2824" s="116">
        <v>209.19</v>
      </c>
      <c r="N2824" s="116">
        <v>210.88</v>
      </c>
      <c r="O2824" s="116">
        <v>208.26</v>
      </c>
      <c r="P2824" s="116">
        <v>209.6</v>
      </c>
      <c r="Q2824" s="116">
        <v>209.19</v>
      </c>
      <c r="R2824">
        <v>22023114</v>
      </c>
    </row>
    <row r="2825" spans="1:18" x14ac:dyDescent="0.25">
      <c r="A2825" s="170">
        <v>46167</v>
      </c>
      <c r="B2825">
        <v>211.85</v>
      </c>
      <c r="C2825">
        <v>210.2</v>
      </c>
      <c r="D2825">
        <v>209.4</v>
      </c>
      <c r="E2825">
        <v>211.1</v>
      </c>
      <c r="F2825">
        <v>210.2</v>
      </c>
      <c r="G2825">
        <v>1521299</v>
      </c>
      <c r="H2825" s="116"/>
      <c r="I2825" s="116"/>
      <c r="L2825" s="170">
        <v>46167</v>
      </c>
      <c r="M2825" s="116">
        <v>210.22</v>
      </c>
      <c r="N2825" s="116">
        <v>211.75</v>
      </c>
      <c r="O2825" s="116">
        <v>209.44</v>
      </c>
      <c r="P2825" s="116">
        <v>211.3</v>
      </c>
      <c r="Q2825" s="116">
        <v>210.22</v>
      </c>
      <c r="R2825">
        <v>23090495</v>
      </c>
    </row>
    <row r="2826" spans="1:18" x14ac:dyDescent="0.25">
      <c r="A2826" s="170">
        <v>46168</v>
      </c>
      <c r="B2826">
        <v>211</v>
      </c>
      <c r="C2826">
        <v>210.45</v>
      </c>
      <c r="D2826">
        <v>209.55</v>
      </c>
      <c r="E2826">
        <v>210.15</v>
      </c>
      <c r="F2826">
        <v>210.45</v>
      </c>
      <c r="G2826">
        <v>504481</v>
      </c>
      <c r="H2826" s="116"/>
      <c r="I2826" s="116"/>
      <c r="L2826" s="170">
        <v>46168</v>
      </c>
      <c r="M2826" s="116">
        <v>210.47</v>
      </c>
      <c r="N2826" s="116">
        <v>211.14</v>
      </c>
      <c r="O2826" s="116">
        <v>209.51</v>
      </c>
      <c r="P2826" s="116">
        <v>209.9</v>
      </c>
      <c r="Q2826" s="116">
        <v>210.47</v>
      </c>
      <c r="R2826">
        <v>17801824</v>
      </c>
    </row>
    <row r="2827" spans="1:18" x14ac:dyDescent="0.25">
      <c r="A2827" s="170">
        <v>46169</v>
      </c>
      <c r="B2827">
        <v>218.9</v>
      </c>
      <c r="C2827">
        <v>214.75</v>
      </c>
      <c r="D2827">
        <v>210.75</v>
      </c>
      <c r="E2827">
        <v>210.95</v>
      </c>
      <c r="F2827">
        <v>214.75</v>
      </c>
      <c r="G2827">
        <v>1471927</v>
      </c>
      <c r="H2827" s="116"/>
      <c r="I2827" s="116"/>
      <c r="L2827" s="170">
        <v>46169</v>
      </c>
      <c r="M2827" s="116">
        <v>214.7</v>
      </c>
      <c r="N2827" s="116">
        <v>218.96</v>
      </c>
      <c r="O2827" s="116">
        <v>210.7</v>
      </c>
      <c r="P2827" s="116">
        <v>210.7</v>
      </c>
      <c r="Q2827" s="116">
        <v>214.7</v>
      </c>
      <c r="R2827">
        <v>39110042</v>
      </c>
    </row>
    <row r="2828" spans="1:18" x14ac:dyDescent="0.25">
      <c r="A2828" s="170">
        <v>46171</v>
      </c>
      <c r="B2828">
        <v>215.75</v>
      </c>
      <c r="C2828">
        <v>208.9</v>
      </c>
      <c r="D2828">
        <v>206.9</v>
      </c>
      <c r="E2828">
        <v>215.15</v>
      </c>
      <c r="F2828">
        <v>208.9</v>
      </c>
      <c r="G2828">
        <v>1986669</v>
      </c>
      <c r="H2828" s="116"/>
      <c r="I2828" s="116"/>
      <c r="L2828" s="170">
        <v>46171</v>
      </c>
      <c r="M2828" s="116">
        <v>208.02</v>
      </c>
      <c r="N2828" s="116">
        <v>215.7</v>
      </c>
      <c r="O2828" s="116">
        <v>206.7</v>
      </c>
      <c r="P2828" s="116">
        <v>215.69</v>
      </c>
      <c r="Q2828" s="116">
        <v>208.02</v>
      </c>
      <c r="R2828">
        <v>67467374</v>
      </c>
    </row>
    <row r="2829" spans="1:18" x14ac:dyDescent="0.25">
      <c r="A2829" s="170">
        <v>46174</v>
      </c>
      <c r="B2829">
        <v>211.3</v>
      </c>
      <c r="C2829">
        <v>210.55</v>
      </c>
      <c r="D2829">
        <v>206.5</v>
      </c>
      <c r="E2829">
        <v>209.6</v>
      </c>
      <c r="F2829">
        <v>210.55</v>
      </c>
      <c r="G2829">
        <v>868865</v>
      </c>
      <c r="H2829" s="116"/>
      <c r="I2829" s="116"/>
      <c r="L2829" s="170">
        <v>46174</v>
      </c>
      <c r="M2829" s="116">
        <v>210.57</v>
      </c>
      <c r="N2829" s="116">
        <v>211.4</v>
      </c>
      <c r="O2829" s="116">
        <v>206.5</v>
      </c>
      <c r="P2829" s="116">
        <v>210</v>
      </c>
      <c r="Q2829" s="116">
        <v>210.57</v>
      </c>
      <c r="R2829">
        <v>23733470</v>
      </c>
    </row>
    <row r="2830" spans="1:18" x14ac:dyDescent="0.25">
      <c r="A2830" s="170">
        <v>46175</v>
      </c>
      <c r="B2830">
        <v>213.4</v>
      </c>
      <c r="C2830">
        <v>210.65</v>
      </c>
      <c r="D2830">
        <v>208.6</v>
      </c>
      <c r="E2830">
        <v>209.6</v>
      </c>
      <c r="F2830">
        <v>210.65</v>
      </c>
      <c r="G2830">
        <v>1682297</v>
      </c>
      <c r="H2830" s="116"/>
      <c r="I2830" s="116"/>
      <c r="L2830" s="170">
        <v>46175</v>
      </c>
      <c r="M2830" s="116">
        <v>210.6</v>
      </c>
      <c r="N2830" s="116">
        <v>213.46</v>
      </c>
      <c r="O2830" s="116">
        <v>208.57</v>
      </c>
      <c r="P2830" s="116">
        <v>209.01</v>
      </c>
      <c r="Q2830" s="116">
        <v>210.6</v>
      </c>
      <c r="R2830">
        <v>29358964</v>
      </c>
    </row>
    <row r="2831" spans="1:18" x14ac:dyDescent="0.25">
      <c r="A2831" s="170">
        <v>46176</v>
      </c>
      <c r="B2831">
        <v>212.4</v>
      </c>
      <c r="C2831">
        <v>211.8</v>
      </c>
      <c r="D2831">
        <v>207.65</v>
      </c>
      <c r="E2831">
        <v>210.75</v>
      </c>
      <c r="F2831">
        <v>211.8</v>
      </c>
      <c r="G2831">
        <v>1162094</v>
      </c>
      <c r="H2831" s="116"/>
      <c r="I2831" s="116"/>
      <c r="L2831" s="170">
        <v>46176</v>
      </c>
      <c r="M2831" s="116">
        <v>211.89</v>
      </c>
      <c r="N2831" s="116">
        <v>212.49</v>
      </c>
      <c r="O2831" s="116">
        <v>207.6</v>
      </c>
      <c r="P2831" s="116">
        <v>210.71</v>
      </c>
      <c r="Q2831" s="116">
        <v>211.89</v>
      </c>
      <c r="R2831">
        <v>23198930</v>
      </c>
    </row>
    <row r="2832" spans="1:18" x14ac:dyDescent="0.25">
      <c r="A2832" s="170">
        <v>46177</v>
      </c>
      <c r="B2832">
        <v>212.2</v>
      </c>
      <c r="C2832">
        <v>210.55</v>
      </c>
      <c r="D2832">
        <v>209.35</v>
      </c>
      <c r="E2832">
        <v>210.95</v>
      </c>
      <c r="F2832">
        <v>210.55</v>
      </c>
      <c r="G2832">
        <v>690967</v>
      </c>
      <c r="H2832" s="116"/>
      <c r="I2832" s="116"/>
      <c r="L2832" s="170">
        <v>46177</v>
      </c>
      <c r="M2832" s="116">
        <v>210.57</v>
      </c>
      <c r="N2832" s="116">
        <v>212.24</v>
      </c>
      <c r="O2832" s="116">
        <v>209.31</v>
      </c>
      <c r="P2832" s="116">
        <v>210.42</v>
      </c>
      <c r="Q2832" s="116">
        <v>210.57</v>
      </c>
      <c r="R2832">
        <v>18939468</v>
      </c>
    </row>
    <row r="2833" spans="1:18" x14ac:dyDescent="0.25">
      <c r="A2833" s="170">
        <v>46178</v>
      </c>
      <c r="B2833">
        <v>210.35</v>
      </c>
      <c r="C2833">
        <v>206.8</v>
      </c>
      <c r="D2833">
        <v>204</v>
      </c>
      <c r="E2833">
        <v>210.2</v>
      </c>
      <c r="F2833">
        <v>206.8</v>
      </c>
      <c r="G2833">
        <v>1420812</v>
      </c>
      <c r="H2833" s="116"/>
      <c r="I2833" s="116"/>
      <c r="L2833" s="170">
        <v>46178</v>
      </c>
      <c r="M2833" s="116">
        <v>206.77</v>
      </c>
      <c r="N2833" s="116">
        <v>210.5</v>
      </c>
      <c r="O2833" s="116">
        <v>203.9</v>
      </c>
      <c r="P2833" s="116">
        <v>209.4</v>
      </c>
      <c r="Q2833" s="116">
        <v>206.77</v>
      </c>
      <c r="R2833">
        <v>35802398</v>
      </c>
    </row>
    <row r="2834" spans="1:18" x14ac:dyDescent="0.25">
      <c r="A2834" s="170">
        <v>46181</v>
      </c>
      <c r="B2834">
        <v>205.2</v>
      </c>
      <c r="C2834">
        <v>202.85</v>
      </c>
      <c r="D2834">
        <v>201.6</v>
      </c>
      <c r="E2834">
        <v>203.6</v>
      </c>
      <c r="F2834">
        <v>202.85</v>
      </c>
      <c r="G2834">
        <v>1939037</v>
      </c>
      <c r="H2834" s="116"/>
      <c r="I2834" s="116"/>
      <c r="L2834" s="170">
        <v>46181</v>
      </c>
      <c r="M2834" s="116">
        <v>202.72</v>
      </c>
      <c r="N2834" s="116">
        <v>205.21</v>
      </c>
      <c r="O2834" s="116">
        <v>201.6</v>
      </c>
      <c r="P2834" s="116">
        <v>203.44</v>
      </c>
      <c r="Q2834" s="116">
        <v>202.72</v>
      </c>
      <c r="R2834">
        <v>31036948</v>
      </c>
    </row>
    <row r="2835" spans="1:18" x14ac:dyDescent="0.25">
      <c r="A2835" s="170">
        <v>46182</v>
      </c>
      <c r="B2835">
        <v>204</v>
      </c>
      <c r="C2835">
        <v>203.1</v>
      </c>
      <c r="D2835">
        <v>200.25</v>
      </c>
      <c r="E2835">
        <v>202.85</v>
      </c>
      <c r="F2835">
        <v>203.1</v>
      </c>
      <c r="G2835">
        <v>1781036</v>
      </c>
      <c r="H2835" s="116"/>
      <c r="I2835" s="116"/>
      <c r="L2835" s="170">
        <v>46182</v>
      </c>
      <c r="M2835" s="116">
        <v>203.18</v>
      </c>
      <c r="N2835" s="116">
        <v>204</v>
      </c>
      <c r="O2835" s="116">
        <v>200.34</v>
      </c>
      <c r="P2835" s="116">
        <v>203</v>
      </c>
      <c r="Q2835" s="116">
        <v>203.18</v>
      </c>
      <c r="R2835">
        <v>42111455</v>
      </c>
    </row>
    <row r="2836" spans="1:18" x14ac:dyDescent="0.25">
      <c r="A2836" s="170">
        <v>46183</v>
      </c>
      <c r="B2836">
        <v>203.3</v>
      </c>
      <c r="C2836">
        <v>199.05</v>
      </c>
      <c r="D2836">
        <v>198.15</v>
      </c>
      <c r="E2836">
        <v>203</v>
      </c>
      <c r="F2836">
        <v>199.05</v>
      </c>
      <c r="G2836">
        <v>1487559</v>
      </c>
      <c r="H2836" s="116"/>
      <c r="I2836" s="116"/>
      <c r="L2836" s="170">
        <v>46183</v>
      </c>
      <c r="M2836" s="116">
        <v>199.31</v>
      </c>
      <c r="N2836" s="116">
        <v>203.4</v>
      </c>
      <c r="O2836" s="116">
        <v>198</v>
      </c>
      <c r="P2836" s="116">
        <v>203</v>
      </c>
      <c r="Q2836" s="116">
        <v>199.31</v>
      </c>
      <c r="R2836">
        <v>34008938</v>
      </c>
    </row>
    <row r="2837" spans="1:18" x14ac:dyDescent="0.25">
      <c r="A2837" s="170">
        <v>46184</v>
      </c>
      <c r="B2837">
        <v>199.3</v>
      </c>
      <c r="C2837">
        <v>198</v>
      </c>
      <c r="D2837">
        <v>196.05</v>
      </c>
      <c r="E2837">
        <v>197.95</v>
      </c>
      <c r="F2837">
        <v>198</v>
      </c>
      <c r="G2837">
        <v>4192535</v>
      </c>
      <c r="H2837" s="116"/>
      <c r="I2837" s="116"/>
      <c r="L2837" s="170">
        <v>46184</v>
      </c>
      <c r="M2837" s="116">
        <v>197.96</v>
      </c>
      <c r="N2837" s="116">
        <v>199.35</v>
      </c>
      <c r="O2837" s="116">
        <v>196.05</v>
      </c>
      <c r="P2837" s="116">
        <v>197.44</v>
      </c>
      <c r="Q2837" s="116">
        <v>197.96</v>
      </c>
      <c r="R2837">
        <v>38292223</v>
      </c>
    </row>
    <row r="2838" spans="1:18" x14ac:dyDescent="0.25">
      <c r="A2838" s="170">
        <v>46185</v>
      </c>
      <c r="B2838">
        <v>200.55</v>
      </c>
      <c r="C2838">
        <v>197.85</v>
      </c>
      <c r="D2838">
        <v>195.75</v>
      </c>
      <c r="E2838">
        <v>199.5</v>
      </c>
      <c r="F2838">
        <v>197.85</v>
      </c>
      <c r="G2838">
        <v>1434680</v>
      </c>
      <c r="H2838" s="116"/>
      <c r="I2838" s="116"/>
      <c r="L2838" s="170">
        <v>46185</v>
      </c>
      <c r="M2838" s="116">
        <v>197.86</v>
      </c>
      <c r="N2838" s="116">
        <v>200.82</v>
      </c>
      <c r="O2838" s="116">
        <v>195.8</v>
      </c>
      <c r="P2838" s="116">
        <v>200</v>
      </c>
      <c r="Q2838" s="116">
        <v>197.86</v>
      </c>
      <c r="R2838">
        <v>27622963</v>
      </c>
    </row>
    <row r="2839" spans="1:18" x14ac:dyDescent="0.25">
      <c r="A2839" s="170">
        <v>46188</v>
      </c>
      <c r="B2839">
        <v>201</v>
      </c>
      <c r="C2839">
        <v>197.4</v>
      </c>
      <c r="D2839">
        <v>196.8</v>
      </c>
      <c r="E2839">
        <v>200.55</v>
      </c>
      <c r="F2839">
        <v>197.4</v>
      </c>
      <c r="G2839">
        <v>969404</v>
      </c>
      <c r="H2839" s="116"/>
      <c r="I2839" s="116"/>
      <c r="L2839" s="170">
        <v>46188</v>
      </c>
      <c r="M2839" s="116">
        <v>197.28</v>
      </c>
      <c r="N2839" s="116">
        <v>200.95</v>
      </c>
      <c r="O2839" s="116">
        <v>196.82</v>
      </c>
      <c r="P2839" s="116">
        <v>199.96</v>
      </c>
      <c r="Q2839" s="116">
        <v>197.28</v>
      </c>
      <c r="R2839">
        <v>27071539</v>
      </c>
    </row>
    <row r="2840" spans="1:18" x14ac:dyDescent="0.25">
      <c r="A2840" s="170">
        <v>46189</v>
      </c>
      <c r="B2840">
        <v>197.95</v>
      </c>
      <c r="C2840">
        <v>196</v>
      </c>
      <c r="D2840">
        <v>193.3</v>
      </c>
      <c r="E2840">
        <v>197.95</v>
      </c>
      <c r="F2840">
        <v>196</v>
      </c>
      <c r="G2840">
        <v>1242145</v>
      </c>
      <c r="H2840" s="116"/>
      <c r="I2840" s="116"/>
      <c r="L2840" s="170">
        <v>46189</v>
      </c>
      <c r="M2840" s="116">
        <v>196</v>
      </c>
      <c r="N2840" s="116">
        <v>197.6</v>
      </c>
      <c r="O2840" s="116">
        <v>193.31</v>
      </c>
      <c r="P2840" s="116">
        <v>197.51</v>
      </c>
      <c r="Q2840" s="116">
        <v>196</v>
      </c>
      <c r="R2840">
        <v>29255187</v>
      </c>
    </row>
    <row r="2841" spans="1:18" x14ac:dyDescent="0.25">
      <c r="A2841" s="170">
        <v>46190</v>
      </c>
      <c r="B2841">
        <v>199.45</v>
      </c>
      <c r="C2841">
        <v>199</v>
      </c>
      <c r="D2841">
        <v>195.6</v>
      </c>
      <c r="E2841">
        <v>196.15</v>
      </c>
      <c r="F2841">
        <v>199</v>
      </c>
      <c r="G2841">
        <v>954363</v>
      </c>
      <c r="H2841" s="116"/>
      <c r="I2841" s="116"/>
      <c r="L2841" s="170">
        <v>46190</v>
      </c>
      <c r="M2841" s="116">
        <v>199.01</v>
      </c>
      <c r="N2841" s="116">
        <v>199.5</v>
      </c>
      <c r="O2841" s="116">
        <v>195.6</v>
      </c>
      <c r="P2841" s="116">
        <v>196.79</v>
      </c>
      <c r="Q2841" s="116">
        <v>199.01</v>
      </c>
      <c r="R2841">
        <v>22491220</v>
      </c>
    </row>
    <row r="2842" spans="1:18" x14ac:dyDescent="0.25">
      <c r="H2842" s="116"/>
      <c r="I2842" s="116"/>
    </row>
    <row r="2843" spans="1:18" x14ac:dyDescent="0.25">
      <c r="H2843" s="116"/>
      <c r="I2843" s="116"/>
    </row>
    <row r="2844" spans="1:18" x14ac:dyDescent="0.25">
      <c r="H2844" s="116"/>
      <c r="I2844" s="116"/>
    </row>
    <row r="2845" spans="1:18" x14ac:dyDescent="0.25">
      <c r="H2845" s="116"/>
      <c r="I2845" s="116"/>
    </row>
    <row r="2846" spans="1:18" x14ac:dyDescent="0.25">
      <c r="H2846" s="116"/>
      <c r="I2846" s="116"/>
    </row>
    <row r="2847" spans="1:18" x14ac:dyDescent="0.25">
      <c r="H2847" s="116"/>
      <c r="I2847" s="116"/>
    </row>
    <row r="2848" spans="1:18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2026-06-17T16:52:45Z</dcterms:modified>
  <cp:category/>
  <cp:contentStatus/>
</cp:coreProperties>
</file>