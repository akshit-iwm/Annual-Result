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EECCF18-A8CD-4016-826F-B8AA4EE0E40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D109" i="2"/>
  <c r="AC70" i="2"/>
  <c r="AC94" i="2"/>
  <c r="AC22" i="2"/>
  <c r="AE66" i="2"/>
  <c r="AE31" i="2"/>
  <c r="AC104" i="2"/>
  <c r="AE46" i="2"/>
  <c r="AF79" i="2"/>
  <c r="AF34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61" i="2"/>
  <c r="AC88" i="2"/>
  <c r="AC36" i="2"/>
  <c r="AB74" i="2"/>
  <c r="AB90" i="2"/>
  <c r="AB110" i="2"/>
  <c r="AE73" i="2"/>
  <c r="AE97" i="2"/>
  <c r="AF106" i="2"/>
  <c r="AC55" i="2"/>
  <c r="AE77" i="2"/>
  <c r="AE17" i="2"/>
  <c r="AC63" i="2"/>
  <c r="AC75" i="2"/>
  <c r="AF41" i="2"/>
  <c r="AD71" i="2"/>
  <c r="AD107" i="2"/>
  <c r="AE95" i="2"/>
  <c r="AB78" i="2"/>
  <c r="AC24" i="2"/>
  <c r="AE81" i="2"/>
  <c r="AC42" i="2"/>
  <c r="AB30" i="2"/>
  <c r="AB49" i="2"/>
  <c r="AD62" i="2"/>
  <c r="AD86" i="2"/>
  <c r="AE108" i="2"/>
  <c r="AB28" i="2"/>
  <c r="AB60" i="2"/>
  <c r="AD11" i="2"/>
  <c r="AC28" i="2"/>
  <c r="AE75" i="2"/>
  <c r="AD97" i="2"/>
  <c r="AF32" i="2"/>
  <c r="AB79" i="2"/>
  <c r="AB107" i="2"/>
  <c r="AD31" i="2"/>
  <c r="AF62" i="2"/>
  <c r="AF14" i="2"/>
  <c r="AB82" i="2"/>
  <c r="AF63" i="2"/>
  <c r="AF95" i="2"/>
  <c r="AE25" i="2"/>
  <c r="AC79" i="2"/>
  <c r="AE107" i="2"/>
  <c r="AE82" i="2"/>
  <c r="AC95" i="2"/>
  <c r="AB80" i="2"/>
  <c r="AF88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C8" i="2"/>
  <c r="AC74" i="2"/>
  <c r="AC98" i="2"/>
  <c r="AC68" i="2"/>
  <c r="AC92" i="2"/>
  <c r="AD77" i="2"/>
  <c r="AD93" i="2"/>
  <c r="AE11" i="2"/>
  <c r="AE105" i="2"/>
  <c r="AE44" i="2"/>
  <c r="AD87" i="2"/>
  <c r="AE109" i="2"/>
  <c r="AD70" i="2"/>
  <c r="AE21" i="2"/>
  <c r="AE48" i="2"/>
  <c r="AC89" i="2"/>
  <c r="AF90" i="2"/>
  <c r="AC110" i="2"/>
  <c r="AF16" i="2"/>
  <c r="AC16" i="2"/>
  <c r="AE85" i="2"/>
  <c r="AF71" i="2"/>
  <c r="AB76" i="2"/>
  <c r="AF104" i="2"/>
  <c r="AE7" i="2"/>
  <c r="AB106" i="2"/>
  <c r="AC84" i="2"/>
  <c r="AE69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C87" i="2"/>
  <c r="AE110" i="2"/>
  <c r="AC12" i="2"/>
  <c r="AE71" i="2"/>
  <c r="AE58" i="2"/>
  <c r="AB94" i="2"/>
  <c r="AC78" i="2"/>
  <c r="AC106" i="2"/>
  <c r="AC27" i="2"/>
  <c r="AD78" i="2"/>
  <c r="AD106" i="2"/>
  <c r="AC77" i="2"/>
  <c r="AD46" i="2"/>
  <c r="AF110" i="2"/>
  <c r="AD81" i="2"/>
  <c r="AB51" i="2"/>
  <c r="AE79" i="2"/>
  <c r="AC62" i="2"/>
  <c r="AB70" i="2"/>
  <c r="AB96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D23" i="2"/>
  <c r="AD58" i="2"/>
  <c r="AE99" i="2"/>
  <c r="AC43" i="2"/>
  <c r="AE90" i="2"/>
  <c r="AD75" i="2"/>
  <c r="AB98" i="2"/>
  <c r="AD52" i="2"/>
  <c r="AF87" i="2"/>
  <c r="AF107" i="2"/>
  <c r="AD63" i="2"/>
  <c r="AE52" i="2"/>
  <c r="AC91" i="2"/>
  <c r="AB92" i="2"/>
  <c r="AF68" i="2"/>
  <c r="AC90" i="2"/>
  <c r="AF10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C54" i="2"/>
  <c r="AB14" i="2"/>
  <c r="AD94" i="2"/>
  <c r="AC65" i="2"/>
  <c r="AF74" i="2"/>
  <c r="AE63" i="2"/>
  <c r="AC82" i="2"/>
  <c r="AE55" i="2"/>
  <c r="AF51" i="2"/>
  <c r="AB63" i="2"/>
  <c r="AB71" i="2"/>
  <c r="AB87" i="2"/>
  <c r="AB95" i="2"/>
  <c r="AC109" i="2"/>
  <c r="AC49" i="2"/>
  <c r="AE78" i="2"/>
  <c r="AF49" i="2"/>
  <c r="AD91" i="2"/>
  <c r="AC76" i="2"/>
  <c r="AB66" i="2"/>
  <c r="AC67" i="2"/>
  <c r="AB16" i="2"/>
  <c r="AC47" i="2"/>
  <c r="AE19" i="2"/>
  <c r="AF84" i="2"/>
  <c r="AC86" i="2"/>
  <c r="AB86" i="2"/>
  <c r="AC66" i="2"/>
  <c r="AF60" i="2"/>
  <c r="AB7" i="2"/>
  <c r="AB15" i="2"/>
  <c r="AB23" i="2"/>
  <c r="AB31" i="2"/>
  <c r="AB42" i="2"/>
  <c r="AB50" i="2"/>
  <c r="AB58" i="2"/>
  <c r="AC15" i="2"/>
  <c r="AF7" i="2"/>
  <c r="AF15" i="2"/>
  <c r="AF23" i="2"/>
  <c r="AF31" i="2"/>
  <c r="AF42" i="2"/>
  <c r="AF50" i="2"/>
  <c r="AF58" i="2"/>
  <c r="AE16" i="2"/>
  <c r="AE28" i="2"/>
  <c r="AE43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F72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E65" i="2"/>
  <c r="AE8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E35" i="2"/>
  <c r="AE83" i="2"/>
  <c r="AB24" i="2"/>
  <c r="AC64" i="2"/>
  <c r="AC51" i="2"/>
  <c r="AD95" i="2"/>
  <c r="AC20" i="2"/>
  <c r="AE93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10" i="2"/>
  <c r="AF45" i="2"/>
  <c r="AC6" i="2"/>
  <c r="AC30" i="2"/>
  <c r="AC57" i="2"/>
  <c r="AE70" i="2"/>
  <c r="AA51" i="1" l="1"/>
  <c r="AA32" i="1"/>
  <c r="AA153" i="1"/>
  <c r="AA13" i="1"/>
  <c r="AA172" i="1"/>
  <c r="AA171" i="1"/>
  <c r="AA170" i="1"/>
  <c r="AA163" i="1"/>
  <c r="AA160" i="1"/>
  <c r="AA159" i="1"/>
  <c r="AA155" i="1"/>
  <c r="AA151" i="1"/>
  <c r="AA150" i="1"/>
  <c r="AA149" i="1"/>
  <c r="AA146" i="1"/>
  <c r="AA145" i="1"/>
  <c r="AA144" i="1"/>
  <c r="AA143" i="1"/>
  <c r="AA140" i="1"/>
  <c r="AA136" i="1"/>
  <c r="AA133" i="1"/>
  <c r="AA127" i="1"/>
  <c r="AA126" i="1"/>
  <c r="AA124" i="1"/>
  <c r="AA119" i="1"/>
  <c r="AA117" i="1"/>
  <c r="AA78" i="1"/>
  <c r="AA47" i="1"/>
  <c r="AA45" i="1"/>
  <c r="AA36" i="1"/>
  <c r="AA25" i="1"/>
  <c r="AA23" i="1"/>
  <c r="AA21" i="1"/>
  <c r="AA15" i="1"/>
  <c r="AA8" i="1"/>
  <c r="AA164" i="1"/>
  <c r="AA147" i="1"/>
  <c r="AA142" i="1"/>
  <c r="AA137" i="1"/>
  <c r="AA135" i="1"/>
  <c r="AA132" i="1"/>
  <c r="AA131" i="1"/>
  <c r="AA125" i="1"/>
  <c r="AA122" i="1"/>
  <c r="AA118" i="1"/>
  <c r="AA79" i="1"/>
  <c r="AA77" i="1"/>
  <c r="AA67" i="1"/>
  <c r="AA46" i="1"/>
  <c r="AA39" i="1"/>
  <c r="AA35" i="1"/>
  <c r="AA24" i="1"/>
  <c r="AA22" i="1"/>
  <c r="AA20" i="1"/>
  <c r="AA9" i="1"/>
  <c r="AA120" i="1"/>
  <c r="AA194" i="1"/>
  <c r="AA179" i="1"/>
  <c r="AA173" i="1"/>
  <c r="AA252" i="1"/>
  <c r="AA161" i="1"/>
  <c r="AA148" i="1"/>
  <c r="B1" i="9"/>
  <c r="AE111" i="2"/>
  <c r="AD112" i="2"/>
  <c r="AD111" i="2"/>
  <c r="AD113" i="2"/>
  <c r="AE112" i="2"/>
  <c r="AB113" i="2"/>
  <c r="AA74" i="1" s="1"/>
  <c r="AB111" i="2"/>
  <c r="L1" i="9"/>
  <c r="AF111" i="2"/>
  <c r="A1" i="9"/>
  <c r="AB112" i="2"/>
  <c r="AA73" i="1" s="1"/>
  <c r="AC111" i="2"/>
  <c r="AC112" i="2"/>
  <c r="AE113" i="2"/>
  <c r="AF113" i="2"/>
  <c r="AF112" i="2"/>
  <c r="AA180" i="1" l="1"/>
  <c r="AA154" i="1"/>
  <c r="AA156" i="1" s="1"/>
  <c r="AA185" i="1" s="1"/>
  <c r="AA128" i="1"/>
  <c r="AA37" i="1" s="1"/>
  <c r="AA26" i="1"/>
  <c r="AA10" i="1"/>
  <c r="AA231" i="1"/>
  <c r="AA183" i="1"/>
  <c r="AA134" i="1"/>
  <c r="AA253" i="1"/>
  <c r="AA168" i="1"/>
  <c r="AA109" i="1" s="1"/>
  <c r="AA129" i="1"/>
  <c r="AA98" i="1"/>
  <c r="AA248" i="1"/>
  <c r="AA182" i="1"/>
  <c r="AA17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4" i="1" l="1"/>
  <c r="AA33" i="1"/>
  <c r="AA138" i="1"/>
  <c r="AA246" i="1" s="1"/>
  <c r="AA244" i="1"/>
  <c r="AA16" i="1"/>
  <c r="AA157" i="1"/>
  <c r="AA165" i="1" s="1"/>
  <c r="AA166" i="1" s="1"/>
  <c r="AA27" i="1"/>
  <c r="AA28" i="1"/>
  <c r="AA17" i="1"/>
  <c r="AA181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34" i="1"/>
  <c r="AA232" i="1"/>
  <c r="AA233" i="1" s="1"/>
  <c r="AA29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Z46" i="2"/>
  <c r="AA96" i="2"/>
  <c r="AA34" i="2"/>
  <c r="BC9" i="3"/>
  <c r="Y7" i="2"/>
  <c r="BA21" i="3"/>
  <c r="Y69" i="2"/>
  <c r="BA38" i="3"/>
  <c r="Z41" i="2"/>
  <c r="BB40" i="3"/>
  <c r="FD14" i="4" a="1"/>
  <c r="EX11" i="4" a="1"/>
  <c r="FB7" i="4" a="1"/>
  <c r="FE6" i="4" a="1"/>
  <c r="EX7" i="4" a="1"/>
  <c r="FE7" i="4" a="1"/>
  <c r="EY6" i="4" a="1"/>
  <c r="BU13" i="3"/>
  <c r="BU31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Y84" i="2"/>
  <c r="BA14" i="3"/>
  <c r="Y86" i="2"/>
  <c r="AA43" i="2"/>
  <c r="Y107" i="2"/>
  <c r="BD40" i="3"/>
  <c r="FB8" i="4" a="1"/>
  <c r="EX12" i="4" a="1"/>
  <c r="BU19" i="3"/>
  <c r="BU25" i="3"/>
  <c r="BU37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U7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Q8" i="3"/>
  <c r="BT23" i="3"/>
  <c r="BM32" i="3"/>
  <c r="BR29" i="3"/>
  <c r="BO13" i="3"/>
  <c r="BS39" i="3"/>
  <c r="BF11" i="3"/>
  <c r="CL15" i="1" s="1"/>
  <c r="BM34" i="3"/>
  <c r="BP31" i="3"/>
  <c r="BE15" i="3"/>
  <c r="BK46" i="3"/>
  <c r="BG23" i="3"/>
  <c r="BL23" i="3"/>
  <c r="BL9" i="3"/>
  <c r="BM25" i="3"/>
  <c r="BJ27" i="3"/>
  <c r="BK23" i="3"/>
  <c r="AA17" i="2"/>
  <c r="Z108" i="2"/>
  <c r="AA47" i="2"/>
  <c r="BB32" i="3"/>
  <c r="BB37" i="3"/>
  <c r="Y19" i="2"/>
  <c r="AA50" i="2"/>
  <c r="Y61" i="2"/>
  <c r="BA36" i="3"/>
  <c r="AA88" i="2"/>
  <c r="Y47" i="2"/>
  <c r="AA13" i="2"/>
  <c r="AA82" i="2"/>
  <c r="BC36" i="3"/>
  <c r="BC33" i="3"/>
  <c r="BC5" i="3"/>
  <c r="AA83" i="2"/>
  <c r="AA75" i="2"/>
  <c r="Y29" i="2"/>
  <c r="FC14" i="4" a="1"/>
  <c r="FE12" i="4" a="1"/>
  <c r="FE8" i="4" a="1"/>
  <c r="EZ15" i="4" a="1"/>
  <c r="FC13" i="4" a="1"/>
  <c r="FD9" i="4" a="1"/>
  <c r="BC13" i="3"/>
  <c r="AV10" i="3"/>
  <c r="BA10" i="3"/>
  <c r="FC9" i="4" a="1"/>
  <c r="FD16" i="4" a="1"/>
  <c r="BC6" i="3"/>
  <c r="FB15" i="4" a="1"/>
  <c r="BQ14" i="3"/>
  <c r="BT29" i="3"/>
  <c r="BM42" i="3"/>
  <c r="BR32" i="3"/>
  <c r="BO16" i="3"/>
  <c r="BP5" i="3"/>
  <c r="BJ21" i="3"/>
  <c r="BL11" i="3"/>
  <c r="BP45" i="3"/>
  <c r="BI17" i="3"/>
  <c r="BJ13" i="3"/>
  <c r="BK33" i="3"/>
  <c r="BH33" i="3"/>
  <c r="BF16" i="3"/>
  <c r="CL20" i="1" s="1"/>
  <c r="BI33" i="3"/>
  <c r="BL28" i="3"/>
  <c r="BE28" i="3"/>
  <c r="Z48" i="2"/>
  <c r="AA51" i="2"/>
  <c r="Y35" i="2"/>
  <c r="BD21" i="3"/>
  <c r="BD29" i="3"/>
  <c r="W6" i="2"/>
  <c r="AA81" i="2"/>
  <c r="Z12" i="2"/>
  <c r="BD8" i="3"/>
  <c r="Z6" i="2"/>
  <c r="Z92" i="2"/>
  <c r="AA99" i="2"/>
  <c r="X6" i="2"/>
  <c r="BB7" i="3"/>
  <c r="BC34" i="3"/>
  <c r="BD31" i="3"/>
  <c r="Y79" i="2"/>
  <c r="Y89" i="2"/>
  <c r="Z42" i="2"/>
  <c r="FC12" i="4" a="1"/>
  <c r="EZ14" i="4" a="1"/>
  <c r="FB13" i="4" a="1"/>
  <c r="EZ7" i="4" a="1"/>
  <c r="FE11" i="4" a="1"/>
  <c r="FE13" i="4" a="1"/>
  <c r="BD25" i="3"/>
  <c r="Z60" i="2"/>
  <c r="EX13" i="4" a="1"/>
  <c r="FC6" i="4" a="1"/>
  <c r="Z77" i="2"/>
  <c r="BC39" i="3"/>
  <c r="Z85" i="2"/>
  <c r="Y57" i="2"/>
  <c r="Y74" i="2"/>
  <c r="BA11" i="3"/>
  <c r="BD24" i="3"/>
  <c r="Y105" i="2"/>
  <c r="EX6" i="4" a="1"/>
  <c r="BR17" i="3"/>
  <c r="BJ8" i="3"/>
  <c r="AA54" i="2"/>
  <c r="BC37" i="3"/>
  <c r="Z20" i="2"/>
  <c r="Z5" i="2"/>
  <c r="Z70" i="2"/>
  <c r="BC42" i="3"/>
  <c r="FA7" i="4" a="1"/>
  <c r="FC5" i="4" a="1"/>
  <c r="BQ20" i="3"/>
  <c r="BP30" i="3"/>
  <c r="BF10" i="3"/>
  <c r="CL13" i="1" s="1"/>
  <c r="BV32" i="3"/>
  <c r="BS16" i="3"/>
  <c r="BT11" i="3"/>
  <c r="BF23" i="3"/>
  <c r="CL35" i="1" s="1"/>
  <c r="BF18" i="3"/>
  <c r="CL25" i="1" s="1"/>
  <c r="BP13" i="3"/>
  <c r="BM17" i="3"/>
  <c r="BF15" i="3"/>
  <c r="CL24" i="1" s="1"/>
  <c r="BG35" i="3"/>
  <c r="BN34" i="3"/>
  <c r="BH35" i="3"/>
  <c r="BK34" i="3"/>
  <c r="BL30" i="3"/>
  <c r="BK35" i="3"/>
  <c r="AB39" i="3"/>
  <c r="Y104" i="2"/>
  <c r="AA7" i="2"/>
  <c r="Z72" i="2"/>
  <c r="BC41" i="3"/>
  <c r="BB38" i="3"/>
  <c r="Y108" i="2"/>
  <c r="AA35" i="2"/>
  <c r="Z21" i="2"/>
  <c r="BB19" i="3"/>
  <c r="AA28" i="2"/>
  <c r="AA85" i="2"/>
  <c r="AA65" i="2"/>
  <c r="AA33" i="2"/>
  <c r="BA24" i="3"/>
  <c r="BD17" i="3"/>
  <c r="Z8" i="2"/>
  <c r="Z69" i="2"/>
  <c r="FA8" i="4" a="1"/>
  <c r="FF9" i="4" a="1"/>
  <c r="EY15" i="4" a="1"/>
  <c r="Z29" i="2"/>
  <c r="BQ26" i="3"/>
  <c r="BP38" i="3"/>
  <c r="BF46" i="3"/>
  <c r="CL64" i="1" s="1"/>
  <c r="BR35" i="3"/>
  <c r="BO19" i="3"/>
  <c r="BT17" i="3"/>
  <c r="BF27" i="3"/>
  <c r="BF26" i="3"/>
  <c r="BP29" i="3"/>
  <c r="BG18" i="3"/>
  <c r="BL16" i="3"/>
  <c r="BM36" i="3"/>
  <c r="BJ36" i="3"/>
  <c r="BT9" i="3"/>
  <c r="BM35" i="3"/>
  <c r="BF35" i="3"/>
  <c r="CL46" i="1" s="1"/>
  <c r="BG37" i="3"/>
  <c r="AA40" i="2"/>
  <c r="Y51" i="2"/>
  <c r="Z22" i="2"/>
  <c r="BC38" i="3"/>
  <c r="BC16" i="3"/>
  <c r="BC15" i="3"/>
  <c r="Y58" i="2"/>
  <c r="Z73" i="2"/>
  <c r="BC23" i="3"/>
  <c r="BA25" i="3"/>
  <c r="Y110" i="2"/>
  <c r="EY11" i="4" a="1"/>
  <c r="EX5" i="4" a="1"/>
  <c r="EY5" i="4" a="1"/>
  <c r="FF8" i="4" a="1"/>
  <c r="EX8" i="4" a="1"/>
  <c r="BV14" i="3"/>
  <c r="BV38" i="3"/>
  <c r="BS22" i="3"/>
  <c r="BL46" i="3"/>
  <c r="BG22" i="3"/>
  <c r="BL32" i="3"/>
  <c r="BT19" i="3"/>
  <c r="BK5" i="3"/>
  <c r="BE40" i="3"/>
  <c r="Y46" i="2"/>
  <c r="BC18" i="3"/>
  <c r="AA79" i="2"/>
  <c r="BC28" i="3"/>
  <c r="BC29" i="3"/>
  <c r="AA98" i="2"/>
  <c r="Y90" i="2"/>
  <c r="BA8" i="3"/>
  <c r="Z65" i="2"/>
  <c r="BD38" i="3"/>
  <c r="AA67" i="2"/>
  <c r="BD15" i="3"/>
  <c r="Z43" i="2"/>
  <c r="Y53" i="2"/>
  <c r="EZ5" i="4" a="1"/>
  <c r="BO25" i="3"/>
  <c r="BG5" i="3"/>
  <c r="BG8" i="3"/>
  <c r="BH34" i="3"/>
  <c r="BH15" i="3"/>
  <c r="BT25" i="3"/>
  <c r="BD39" i="3"/>
  <c r="Z94" i="2"/>
  <c r="Y52" i="2"/>
  <c r="BA46" i="3"/>
  <c r="BQ32" i="3"/>
  <c r="BM41" i="3"/>
  <c r="BR14" i="3"/>
  <c r="BR38" i="3"/>
  <c r="BO22" i="3"/>
  <c r="BT39" i="3"/>
  <c r="BL34" i="3"/>
  <c r="BL5" i="3"/>
  <c r="BI5" i="3"/>
  <c r="BM19" i="3"/>
  <c r="BJ23" i="3"/>
  <c r="BN6" i="3"/>
  <c r="BN42" i="3"/>
  <c r="BT13" i="3"/>
  <c r="BE37" i="3"/>
  <c r="BF45" i="3"/>
  <c r="CL63" i="1" s="1"/>
  <c r="CL65" i="1" s="1"/>
  <c r="BI38" i="3"/>
  <c r="Z66" i="2"/>
  <c r="V6" i="2"/>
  <c r="Z54" i="2"/>
  <c r="BC20" i="3"/>
  <c r="BC8" i="3"/>
  <c r="BD36" i="3"/>
  <c r="AA10" i="2"/>
  <c r="Z81" i="2"/>
  <c r="Y25" i="2"/>
  <c r="BD30" i="3"/>
  <c r="AA73" i="2"/>
  <c r="Z106" i="2"/>
  <c r="AA70" i="2"/>
  <c r="BD41" i="3"/>
  <c r="Y56" i="2"/>
  <c r="BB42" i="3"/>
  <c r="BB10" i="3"/>
  <c r="BB23" i="3"/>
  <c r="Z93" i="2"/>
  <c r="BD20" i="3"/>
  <c r="FD7" i="4" a="1"/>
  <c r="FA15" i="4" a="1"/>
  <c r="FB9" i="4" a="1"/>
  <c r="FB6" i="4" a="1"/>
  <c r="FC11" i="4" a="1"/>
  <c r="BQ38" i="3"/>
  <c r="BK42" i="3"/>
  <c r="BP22" i="3"/>
  <c r="BI46" i="3"/>
  <c r="BM7" i="3"/>
  <c r="BN8" i="3"/>
  <c r="BL25" i="3"/>
  <c r="BI41" i="3"/>
  <c r="AA109" i="2"/>
  <c r="AA105" i="2"/>
  <c r="BC27" i="3"/>
  <c r="Z107" i="2"/>
  <c r="AA63" i="2"/>
  <c r="Y96" i="2"/>
  <c r="FA6" i="4" a="1"/>
  <c r="EY13" i="4" a="1"/>
  <c r="FB14" i="4" a="1"/>
  <c r="BU45" i="3"/>
  <c r="BF21" i="3"/>
  <c r="CL22" i="1" s="1"/>
  <c r="BR41" i="3"/>
  <c r="BP32" i="3"/>
  <c r="BT12" i="3"/>
  <c r="BK22" i="3"/>
  <c r="BF32" i="3"/>
  <c r="BN9" i="3"/>
  <c r="BI6" i="3"/>
  <c r="AA14" i="2"/>
  <c r="AA78" i="2"/>
  <c r="AA32" i="2"/>
  <c r="Z82" i="2"/>
  <c r="EX9" i="4" a="1"/>
  <c r="Y54" i="2"/>
  <c r="BQ46" i="3"/>
  <c r="BL22" i="3"/>
  <c r="BR20" i="3"/>
  <c r="BR46" i="3"/>
  <c r="BO28" i="3"/>
  <c r="BP36" i="3"/>
  <c r="BM6" i="3"/>
  <c r="BT16" i="3"/>
  <c r="BK8" i="3"/>
  <c r="BE23" i="3"/>
  <c r="BN35" i="3"/>
  <c r="BL21" i="3"/>
  <c r="BJ38" i="3"/>
  <c r="BT45" i="3"/>
  <c r="BJ11" i="3"/>
  <c r="BK7" i="3"/>
  <c r="BJ40" i="3"/>
  <c r="AA61" i="2"/>
  <c r="Y64" i="2"/>
  <c r="Y99" i="2"/>
  <c r="BB45" i="3"/>
  <c r="BA16" i="3"/>
  <c r="Y43" i="2"/>
  <c r="Y80" i="2"/>
  <c r="AA26" i="2"/>
  <c r="BB16" i="3"/>
  <c r="BA28" i="3"/>
  <c r="AA42" i="2"/>
  <c r="Y5" i="2"/>
  <c r="AA89" i="2"/>
  <c r="BD9" i="3"/>
  <c r="Y67" i="2"/>
  <c r="BV8" i="3"/>
  <c r="BN39" i="3"/>
  <c r="BV20" i="3"/>
  <c r="BV46" i="3"/>
  <c r="BS28" i="3"/>
  <c r="BI29" i="3"/>
  <c r="BE14" i="3"/>
  <c r="BT32" i="3"/>
  <c r="BG10" i="3"/>
  <c r="BK24" i="3"/>
  <c r="BL42" i="3"/>
  <c r="BJ29" i="3"/>
  <c r="BE46" i="3"/>
  <c r="BP14" i="3"/>
  <c r="BF13" i="3"/>
  <c r="BG11" i="3"/>
  <c r="BH45" i="3"/>
  <c r="Y94" i="2"/>
  <c r="AA80" i="2"/>
  <c r="Z50" i="2"/>
  <c r="BA17" i="3"/>
  <c r="BA29" i="3"/>
  <c r="Y17" i="2"/>
  <c r="Y33" i="2"/>
  <c r="AA76" i="2"/>
  <c r="BC17" i="3"/>
  <c r="BA5" i="3"/>
  <c r="Z59" i="2"/>
  <c r="Y31" i="2"/>
  <c r="AA92" i="2"/>
  <c r="BD46" i="3"/>
  <c r="Z88" i="2"/>
  <c r="BA23" i="3"/>
  <c r="Z52" i="2"/>
  <c r="BC40" i="3"/>
  <c r="Z51" i="2"/>
  <c r="AA45" i="2"/>
  <c r="EZ8" i="4" a="1"/>
  <c r="FD12" i="4" a="1"/>
  <c r="FB12" i="4" a="1"/>
  <c r="FD13" i="4" a="1"/>
  <c r="FF7" i="4" a="1"/>
  <c r="BG38" i="3"/>
  <c r="BP28" i="3"/>
  <c r="BE22" i="3"/>
  <c r="AA18" i="2"/>
  <c r="Z64" i="2"/>
  <c r="BD22" i="3"/>
  <c r="BB15" i="3"/>
  <c r="AA9" i="2"/>
  <c r="BC7" i="3"/>
  <c r="BB46" i="3"/>
  <c r="Y8" i="2"/>
  <c r="Z105" i="2"/>
  <c r="Z27" i="2"/>
  <c r="Y18" i="2"/>
  <c r="Z17" i="2"/>
  <c r="EX16" i="4" a="1"/>
  <c r="FD6" i="4" a="1"/>
  <c r="FD11" i="4" a="1"/>
  <c r="EZ6" i="4" a="1"/>
  <c r="AA20" i="2"/>
  <c r="Z83" i="2"/>
  <c r="Y27" i="2"/>
  <c r="AA15" i="2"/>
  <c r="FB5" i="4" a="1"/>
  <c r="BR9" i="3"/>
  <c r="BN41" i="3"/>
  <c r="BR23" i="3"/>
  <c r="BO7" i="3"/>
  <c r="BO31" i="3"/>
  <c r="BI39" i="3"/>
  <c r="BE24" i="3"/>
  <c r="BP25" i="3"/>
  <c r="BK12" i="3"/>
  <c r="BE35" i="3"/>
  <c r="BG13" i="3"/>
  <c r="BF14" i="3"/>
  <c r="CL23" i="1" s="1"/>
  <c r="BN20" i="3"/>
  <c r="BP20" i="3"/>
  <c r="BN13" i="3"/>
  <c r="BK19" i="3"/>
  <c r="BH7" i="3"/>
  <c r="Z76" i="2"/>
  <c r="Z36" i="2"/>
  <c r="Y12" i="2"/>
  <c r="BA20" i="3"/>
  <c r="BD37" i="3"/>
  <c r="Y20" i="2"/>
  <c r="Z49" i="2"/>
  <c r="Z95" i="2"/>
  <c r="BA6" i="3"/>
  <c r="BD35" i="3"/>
  <c r="Y109" i="2"/>
  <c r="AA12" i="2"/>
  <c r="Y34" i="2"/>
  <c r="BA7" i="3"/>
  <c r="Z58" i="2"/>
  <c r="BA34" i="3"/>
  <c r="AA49" i="2"/>
  <c r="BD5" i="3"/>
  <c r="AA107" i="2"/>
  <c r="Y87" i="2"/>
  <c r="EZ11" i="4" a="1"/>
  <c r="FA12" i="4" a="1"/>
  <c r="EY12" i="4" a="1"/>
  <c r="EY8" i="4" a="1"/>
  <c r="FD5" i="4" a="1"/>
  <c r="AA74" i="2"/>
  <c r="Z74" i="2"/>
  <c r="Y82" i="2"/>
  <c r="BB26" i="3"/>
  <c r="Z32" i="2"/>
  <c r="BC30" i="3"/>
  <c r="Z33" i="2"/>
  <c r="BB28" i="3"/>
  <c r="BB11" i="3"/>
  <c r="FF15" i="4" a="1"/>
  <c r="FC16" i="4" a="1"/>
  <c r="FF12" i="4" a="1"/>
  <c r="FC15" i="4" a="1"/>
  <c r="FE15" i="4" a="1"/>
  <c r="BS37" i="3"/>
  <c r="BS10" i="3"/>
  <c r="BE45" i="3"/>
  <c r="BS36" i="3"/>
  <c r="BI22" i="3"/>
  <c r="BR26" i="3"/>
  <c r="BO10" i="3"/>
  <c r="BO34" i="3"/>
  <c r="BE41" i="3"/>
  <c r="BK25" i="3"/>
  <c r="BP33" i="3"/>
  <c r="BE13" i="3"/>
  <c r="BK36" i="3"/>
  <c r="BM14" i="3"/>
  <c r="BL15" i="3"/>
  <c r="BF24" i="3"/>
  <c r="BP26" i="3"/>
  <c r="BL18" i="3"/>
  <c r="BG21" i="3"/>
  <c r="BL13" i="3"/>
  <c r="Y22" i="2"/>
  <c r="Y21" i="2"/>
  <c r="Z62" i="2"/>
  <c r="BA26" i="3"/>
  <c r="BC10" i="3"/>
  <c r="AA106" i="2"/>
  <c r="Y65" i="2"/>
  <c r="Y106" i="2"/>
  <c r="BA39" i="3"/>
  <c r="BB18" i="3"/>
  <c r="Y63" i="2"/>
  <c r="BI24" i="3"/>
  <c r="BV26" i="3"/>
  <c r="BS34" i="3"/>
  <c r="BK27" i="3"/>
  <c r="BP41" i="3"/>
  <c r="BI13" i="3"/>
  <c r="BI16" i="3"/>
  <c r="BH17" i="3"/>
  <c r="BN36" i="3"/>
  <c r="BH26" i="3"/>
  <c r="BF28" i="3"/>
  <c r="CL32" i="1" s="1"/>
  <c r="Y23" i="2"/>
  <c r="AA86" i="2"/>
  <c r="Y71" i="2"/>
  <c r="AA46" i="2"/>
  <c r="BA33" i="3"/>
  <c r="BD16" i="3"/>
  <c r="Z34" i="2"/>
  <c r="BB34" i="3"/>
  <c r="EX14" i="4" a="1"/>
  <c r="BB39" i="3"/>
  <c r="FF14" i="4" a="1"/>
  <c r="FF5" i="4" a="1"/>
  <c r="Y97" i="2"/>
  <c r="FE14" i="4" a="1"/>
  <c r="AA52" i="1" l="1"/>
  <c r="AA54" i="1"/>
  <c r="AA193" i="1"/>
  <c r="AA195" i="1" s="1"/>
  <c r="CL9" i="1"/>
  <c r="CL47" i="1"/>
  <c r="CL10" i="1"/>
  <c r="CL231" i="1"/>
  <c r="CL252" i="1"/>
  <c r="CL253" i="1"/>
  <c r="CL194" i="1"/>
  <c r="CL26" i="1"/>
  <c r="CL27" i="1" s="1"/>
  <c r="CK63" i="1"/>
  <c r="CK46" i="1"/>
  <c r="CK64" i="1"/>
  <c r="CK23" i="1"/>
  <c r="CK35" i="1"/>
  <c r="CK32" i="1"/>
  <c r="CK24" i="1"/>
  <c r="CK14" i="1"/>
  <c r="CK51" i="1"/>
  <c r="CK9" i="1"/>
  <c r="CK47" i="1"/>
  <c r="CK25" i="1"/>
  <c r="CK21" i="1"/>
  <c r="CK13" i="1"/>
  <c r="CK22" i="1"/>
  <c r="CK39" i="1"/>
  <c r="CK8" i="1"/>
  <c r="CK15" i="1"/>
  <c r="CK36" i="1"/>
  <c r="CK20" i="1"/>
  <c r="CK26" i="1" s="1"/>
  <c r="CK45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FY15" i="4" a="1"/>
  <c r="FP13" i="4" a="1"/>
  <c r="FQ15" i="4" a="1"/>
  <c r="GY15" i="4" a="1"/>
  <c r="FU16" i="4" a="1"/>
  <c r="GS16" i="4" a="1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HF6" i="4" a="1"/>
  <c r="GK13" i="4" a="1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T49" i="3"/>
  <c r="BK8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BV48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BQ49" i="3"/>
  <c r="BG71" i="3"/>
  <c r="BB48" i="3"/>
  <c r="BP49" i="3"/>
  <c r="BH73" i="3"/>
  <c r="BE57" i="3"/>
  <c r="BQ95" i="3"/>
  <c r="BO70" i="3"/>
  <c r="BU65" i="3"/>
  <c r="BV68" i="3"/>
  <c r="BT85" i="3"/>
  <c r="BN81" i="3"/>
  <c r="Y112" i="2"/>
  <c r="BS79" i="3"/>
  <c r="BL85" i="3"/>
  <c r="BI60" i="3"/>
  <c r="BF70" i="3"/>
  <c r="CL133" i="1" s="1"/>
  <c r="BJ87" i="3"/>
  <c r="BJ79" i="3"/>
  <c r="BK60" i="3"/>
  <c r="BK89" i="3"/>
  <c r="GL6" i="4" a="1"/>
  <c r="GZ8" i="4" a="1"/>
  <c r="FT7" i="4" a="1"/>
  <c r="GQ8" i="4" a="1"/>
  <c r="GU11" i="4" a="1"/>
  <c r="FW7" i="4" a="1"/>
  <c r="GB7" i="4" a="1"/>
  <c r="FU14" i="4" a="1"/>
  <c r="FH7" i="4" a="1"/>
  <c r="GF8" i="4" a="1"/>
  <c r="HB13" i="4" a="1"/>
  <c r="GT6" i="4" a="1"/>
  <c r="GV8" i="4" a="1"/>
  <c r="GN14" i="4" a="1"/>
  <c r="FP7" i="4" a="1"/>
  <c r="HG8" i="4" a="1"/>
  <c r="GK14" i="4" a="1"/>
  <c r="HA11" i="4" a="1"/>
  <c r="HF12" i="4" a="1"/>
  <c r="GI7" i="4" a="1"/>
  <c r="FX12" i="4" a="1"/>
  <c r="GE13" i="4" a="1"/>
  <c r="GJ14" i="4" a="1"/>
  <c r="FV12" i="4" a="1"/>
  <c r="FS15" i="4" a="1"/>
  <c r="HF15" i="4" a="1"/>
  <c r="GL16" i="4" a="1"/>
  <c r="FS12" i="4" a="1"/>
  <c r="GJ11" i="4" a="1"/>
  <c r="HB14" i="4" a="1"/>
  <c r="GD8" i="4" a="1"/>
  <c r="FG14" i="4" a="1"/>
  <c r="GK15" i="4" a="1"/>
  <c r="FI16" i="4" a="1"/>
  <c r="GI16" i="4" a="1"/>
  <c r="GL8" i="4" a="1"/>
  <c r="BC70" i="3"/>
  <c r="BC81" i="3"/>
  <c r="BC91" i="3"/>
  <c r="BD87" i="3"/>
  <c r="BD71" i="3"/>
  <c r="FJ9" i="4" a="1"/>
  <c r="GT9" i="4" a="1"/>
  <c r="GA8" i="4" a="1"/>
  <c r="BC59" i="3"/>
  <c r="GO8" i="4" a="1"/>
  <c r="GI11" i="4" a="1"/>
  <c r="GN12" i="4" a="1"/>
  <c r="FR16" i="4" a="1"/>
  <c r="GA15" i="4" a="1"/>
  <c r="GQ16" i="4" a="1"/>
  <c r="BC66" i="3"/>
  <c r="GR6" i="4" a="1"/>
  <c r="FS11" i="4" a="1"/>
  <c r="BP60" i="3"/>
  <c r="BH47" i="3"/>
  <c r="BG80" i="3"/>
  <c r="BB83" i="3"/>
  <c r="BI72" i="3"/>
  <c r="BH94" i="3"/>
  <c r="BI62" i="3"/>
  <c r="BR92" i="3"/>
  <c r="BS71" i="3"/>
  <c r="BR49" i="3"/>
  <c r="BV78" i="3"/>
  <c r="BT66" i="3"/>
  <c r="BN83" i="3"/>
  <c r="BO48" i="3"/>
  <c r="BS89" i="3"/>
  <c r="BE49" i="3"/>
  <c r="BI61" i="3"/>
  <c r="BF50" i="3"/>
  <c r="CL74" i="1" s="1"/>
  <c r="BJ91" i="3"/>
  <c r="BJ83" i="3"/>
  <c r="BK87" i="3"/>
  <c r="BK93" i="3"/>
  <c r="FU7" i="4" a="1"/>
  <c r="GX9" i="4" a="1"/>
  <c r="FY9" i="4" a="1"/>
  <c r="HC8" i="4" a="1"/>
  <c r="GO12" i="4" a="1"/>
  <c r="GU7" i="4" a="1"/>
  <c r="FP8" i="4" a="1"/>
  <c r="GS14" i="4" a="1"/>
  <c r="GK7" i="4" a="1"/>
  <c r="HD8" i="4" a="1"/>
  <c r="FZ15" i="4" a="1"/>
  <c r="FM7" i="4" a="1"/>
  <c r="FU9" i="4" a="1"/>
  <c r="FZ8" i="4" a="1"/>
  <c r="GN7" i="4" a="1"/>
  <c r="GC9" i="4" a="1"/>
  <c r="FR8" i="4" a="1"/>
  <c r="HD11" i="4" a="1"/>
  <c r="FI13" i="4" a="1"/>
  <c r="FK9" i="4" a="1"/>
  <c r="GC12" i="4" a="1"/>
  <c r="GH13" i="4" a="1"/>
  <c r="GW14" i="4" a="1"/>
  <c r="GQ12" i="4" a="1"/>
  <c r="GC15" i="4" a="1"/>
  <c r="FJ16" i="4" a="1"/>
  <c r="GN16" i="4" a="1"/>
  <c r="FH13" i="4" a="1"/>
  <c r="HE11" i="4" a="1"/>
  <c r="HG14" i="4" a="1"/>
  <c r="HH8" i="4" a="1"/>
  <c r="FR14" i="4" a="1"/>
  <c r="GM15" i="4" a="1"/>
  <c r="FK16" i="4" a="1"/>
  <c r="GK16" i="4" a="1"/>
  <c r="GG9" i="4" a="1"/>
  <c r="BC67" i="3"/>
  <c r="BC77" i="3"/>
  <c r="BC68" i="3"/>
  <c r="BD59" i="3"/>
  <c r="BD79" i="3"/>
  <c r="FI5" i="4" a="1"/>
  <c r="FQ5" i="4" a="1"/>
  <c r="FG8" i="4" a="1"/>
  <c r="GR16" i="4" a="1"/>
  <c r="GQ15" i="4" a="1"/>
  <c r="BC92" i="3"/>
  <c r="FG11" i="4" a="1"/>
  <c r="FO6" i="4" a="1"/>
  <c r="GY14" i="4" a="1"/>
  <c r="GM14" i="4" a="1"/>
  <c r="FQ16" i="4" a="1"/>
  <c r="BC75" i="3"/>
  <c r="Y113" i="2"/>
  <c r="GJ5" i="4" a="1"/>
  <c r="BP92" i="3"/>
  <c r="BH78" i="3"/>
  <c r="BG92" i="3"/>
  <c r="BG74" i="3"/>
  <c r="BI80" i="3"/>
  <c r="BH88" i="3"/>
  <c r="BI70" i="3"/>
  <c r="BR93" i="3"/>
  <c r="BS80" i="3"/>
  <c r="BR78" i="3"/>
  <c r="BV82" i="3"/>
  <c r="BN57" i="3"/>
  <c r="BN85" i="3"/>
  <c r="BO85" i="3"/>
  <c r="BS94" i="3"/>
  <c r="BE54" i="3"/>
  <c r="BM75" i="3"/>
  <c r="BJ49" i="3"/>
  <c r="BJ54" i="3"/>
  <c r="BK73" i="3"/>
  <c r="BK86" i="3"/>
  <c r="GT14" i="4" a="1"/>
  <c r="GS7" i="4" a="1"/>
  <c r="FR11" i="4" a="1"/>
  <c r="HA9" i="4" a="1"/>
  <c r="HC5" i="4" a="1"/>
  <c r="GI13" i="4" a="1"/>
  <c r="GI6" i="4" a="1"/>
  <c r="GN8" i="4" a="1"/>
  <c r="GP8" i="4" a="1"/>
  <c r="HD7" i="4" a="1"/>
  <c r="FZ9" i="4" a="1"/>
  <c r="FI9" i="4" a="1"/>
  <c r="GF7" i="4" a="1"/>
  <c r="GR9" i="4" a="1"/>
  <c r="FK5" i="4" a="1"/>
  <c r="FJ8" i="4" a="1"/>
  <c r="GV9" i="4" a="1"/>
  <c r="GW9" i="4" a="1"/>
  <c r="FG12" i="4" a="1"/>
  <c r="FL13" i="4" a="1"/>
  <c r="GA9" i="4" a="1"/>
  <c r="GF12" i="4" a="1"/>
  <c r="GM13" i="4" a="1"/>
  <c r="HE14" i="4" a="1"/>
  <c r="HB12" i="4" a="1"/>
  <c r="GF15" i="4" a="1"/>
  <c r="FN16" i="4" a="1"/>
  <c r="GP16" i="4" a="1"/>
  <c r="FN14" i="4" a="1"/>
  <c r="FN12" i="4" a="1"/>
  <c r="FT15" i="4" a="1"/>
  <c r="GU9" i="4" a="1"/>
  <c r="FW14" i="4" a="1"/>
  <c r="GO15" i="4" a="1"/>
  <c r="FM16" i="4" a="1"/>
  <c r="GM16" i="4" a="1"/>
  <c r="GY9" i="4" a="1"/>
  <c r="BC95" i="3"/>
  <c r="BC61" i="3"/>
  <c r="BC76" i="3"/>
  <c r="BD97" i="3"/>
  <c r="BD66" i="3"/>
  <c r="FU8" i="4" a="1"/>
  <c r="FJ12" i="4" a="1"/>
  <c r="GF9" i="4" a="1"/>
  <c r="GP13" i="4" a="1"/>
  <c r="FU13" i="4" a="1"/>
  <c r="GH15" i="4" a="1"/>
  <c r="GD14" i="4" a="1"/>
  <c r="GH14" i="4" a="1"/>
  <c r="GO16" i="4" a="1"/>
  <c r="BD56" i="3"/>
  <c r="BD77" i="3"/>
  <c r="GO6" i="4" a="1"/>
  <c r="GS15" i="4" a="1"/>
  <c r="BC62" i="3"/>
  <c r="BD80" i="3"/>
  <c r="FY16" i="4" a="1"/>
  <c r="GC13" i="4" a="1"/>
  <c r="BD84" i="3"/>
  <c r="BD95" i="3"/>
  <c r="GZ15" i="4" a="1"/>
  <c r="GC16" i="4" a="1"/>
  <c r="BU83" i="3"/>
  <c r="AA111" i="2"/>
  <c r="HH12" i="4" a="1"/>
  <c r="HE6" i="4" a="1"/>
  <c r="FW13" i="4" a="1"/>
  <c r="GG11" i="4" a="1"/>
  <c r="GH16" i="4" a="1"/>
  <c r="GV13" i="4" a="1"/>
  <c r="BC87" i="3"/>
  <c r="BP77" i="3"/>
  <c r="BL86" i="3"/>
  <c r="BM95" i="3"/>
  <c r="BG95" i="3"/>
  <c r="BB81" i="3"/>
  <c r="BL58" i="3"/>
  <c r="BI85" i="3"/>
  <c r="BV56" i="3"/>
  <c r="BS65" i="3"/>
  <c r="BR76" i="3"/>
  <c r="BV86" i="3"/>
  <c r="BN86" i="3"/>
  <c r="BP95" i="3"/>
  <c r="BO73" i="3"/>
  <c r="BP55" i="3"/>
  <c r="BE58" i="3"/>
  <c r="BM54" i="3"/>
  <c r="BJ84" i="3"/>
  <c r="BJ55" i="3"/>
  <c r="BK81" i="3"/>
  <c r="BK57" i="3"/>
  <c r="FK15" i="4" a="1"/>
  <c r="FO8" i="4" a="1"/>
  <c r="FW6" i="4" a="1"/>
  <c r="FH5" i="4" a="1"/>
  <c r="GG6" i="4" a="1"/>
  <c r="HG13" i="4" a="1"/>
  <c r="FX7" i="4" a="1"/>
  <c r="HD9" i="4" a="1"/>
  <c r="FW5" i="4" a="1"/>
  <c r="FH11" i="4" a="1"/>
  <c r="HE9" i="4" a="1"/>
  <c r="FQ13" i="4" a="1"/>
  <c r="GK12" i="4" a="1"/>
  <c r="HH14" i="4" a="1"/>
  <c r="FP16" i="4" a="1"/>
  <c r="GI12" i="4" a="1"/>
  <c r="FX15" i="4" a="1"/>
  <c r="FI11" i="4" a="1"/>
  <c r="FO16" i="4" a="1"/>
  <c r="GC11" i="4" a="1"/>
  <c r="BC97" i="3"/>
  <c r="FO12" i="4" a="1"/>
  <c r="GB13" i="4" a="1"/>
  <c r="HC13" i="4" a="1"/>
  <c r="GF13" i="4" a="1"/>
  <c r="GN15" i="4" a="1"/>
  <c r="GT16" i="4" a="1"/>
  <c r="FX13" i="4" a="1"/>
  <c r="FY11" i="4" a="1"/>
  <c r="GZ11" i="4" a="1"/>
  <c r="BD65" i="3"/>
  <c r="GF5" i="4" a="1"/>
  <c r="FY12" i="4" a="1"/>
  <c r="HB7" i="4" a="1"/>
  <c r="GT11" i="4" a="1"/>
  <c r="GT8" i="4" a="1"/>
  <c r="FN15" i="4" a="1"/>
  <c r="FS14" i="4" a="1"/>
  <c r="BC79" i="3"/>
  <c r="GX15" i="4" a="1"/>
  <c r="FV9" i="4" a="1"/>
  <c r="HC15" i="4" a="1"/>
  <c r="GL9" i="4" a="1"/>
  <c r="BC74" i="3"/>
  <c r="BQ47" i="3"/>
  <c r="BQ64" i="3"/>
  <c r="HE16" i="4" a="1"/>
  <c r="BP87" i="3"/>
  <c r="BL90" i="3"/>
  <c r="BM74" i="3"/>
  <c r="BG57" i="3"/>
  <c r="BB91" i="3"/>
  <c r="BL55" i="3"/>
  <c r="BI76" i="3"/>
  <c r="BV77" i="3"/>
  <c r="BS95" i="3"/>
  <c r="BR85" i="3"/>
  <c r="BV73" i="3"/>
  <c r="BN54" i="3"/>
  <c r="BP79" i="3"/>
  <c r="BO61" i="3"/>
  <c r="BP65" i="3"/>
  <c r="BE65" i="3"/>
  <c r="BM87" i="3"/>
  <c r="BJ58" i="3"/>
  <c r="BJ62" i="3"/>
  <c r="BK69" i="3"/>
  <c r="BK94" i="3"/>
  <c r="FS5" i="4" a="1"/>
  <c r="GK8" i="4" a="1"/>
  <c r="FZ6" i="4" a="1"/>
  <c r="GH5" i="4" a="1"/>
  <c r="GA7" i="4" a="1"/>
  <c r="GC14" i="4" a="1"/>
  <c r="GV7" i="4" a="1"/>
  <c r="GZ9" i="4" a="1"/>
  <c r="FY5" i="4" a="1"/>
  <c r="GG8" i="4" a="1"/>
  <c r="FX11" i="4" a="1"/>
  <c r="GE5" i="4" a="1"/>
  <c r="FW8" i="4" a="1"/>
  <c r="GZ6" i="4" a="1"/>
  <c r="FJ5" i="4" a="1"/>
  <c r="FK7" i="4" a="1"/>
  <c r="GY5" i="4" a="1"/>
  <c r="FL12" i="4" a="1"/>
  <c r="GR13" i="4" a="1"/>
  <c r="FG13" i="4" a="1"/>
  <c r="FX16" i="4" a="1"/>
  <c r="GA12" i="4" a="1"/>
  <c r="HA15" i="4" a="1"/>
  <c r="BC64" i="3"/>
  <c r="BD81" i="3"/>
  <c r="FZ16" i="4" a="1"/>
  <c r="FU15" i="4" a="1"/>
  <c r="GA16" i="4" a="1"/>
  <c r="BC55" i="3"/>
  <c r="FR13" i="4" a="1"/>
  <c r="HH16" i="4" a="1"/>
  <c r="HE13" i="4" a="1"/>
  <c r="BC83" i="3"/>
  <c r="BA89" i="3"/>
  <c r="BE86" i="3"/>
  <c r="BV67" i="3"/>
  <c r="BN96" i="3"/>
  <c r="BJ71" i="3"/>
  <c r="FH6" i="4" a="1"/>
  <c r="HC7" i="4" a="1"/>
  <c r="GN11" i="4" a="1"/>
  <c r="FM12" i="4" a="1"/>
  <c r="BC96" i="3"/>
  <c r="BJ56" i="3"/>
  <c r="BC82" i="3"/>
  <c r="BM62" i="3"/>
  <c r="BM81" i="3"/>
  <c r="BA76" i="3"/>
  <c r="BL60" i="3"/>
  <c r="BF78" i="3"/>
  <c r="CL142" i="1" s="1"/>
  <c r="BT50" i="3"/>
  <c r="BS86" i="3"/>
  <c r="BR66" i="3"/>
  <c r="BV87" i="3"/>
  <c r="BN93" i="3"/>
  <c r="BP82" i="3"/>
  <c r="BO86" i="3"/>
  <c r="BG82" i="3"/>
  <c r="BE59" i="3"/>
  <c r="BM58" i="3"/>
  <c r="BJ66" i="3"/>
  <c r="BJ94" i="3"/>
  <c r="BK77" i="3"/>
  <c r="BK56" i="3"/>
  <c r="FL5" i="4" a="1"/>
  <c r="GU8" i="4" a="1"/>
  <c r="HE8" i="4" a="1"/>
  <c r="GC6" i="4" a="1"/>
  <c r="GX6" i="4" a="1"/>
  <c r="FW15" i="4" a="1"/>
  <c r="FQ8" i="4" a="1"/>
  <c r="FJ11" i="4" a="1"/>
  <c r="GI5" i="4" a="1"/>
  <c r="GS8" i="4" a="1"/>
  <c r="GU6" i="4" a="1"/>
  <c r="FN5" i="4" a="1"/>
  <c r="GI8" i="4" a="1"/>
  <c r="GN9" i="4" a="1"/>
  <c r="FR5" i="4" a="1"/>
  <c r="HA8" i="4" a="1"/>
  <c r="FS9" i="4" a="1"/>
  <c r="FK11" i="4" a="1"/>
  <c r="FR12" i="4" a="1"/>
  <c r="GJ13" i="4" a="1"/>
  <c r="GL11" i="4" a="1"/>
  <c r="GS12" i="4" a="1"/>
  <c r="FI14" i="4" a="1"/>
  <c r="FY7" i="4" a="1"/>
  <c r="HA13" i="4" a="1"/>
  <c r="GR15" i="4" a="1"/>
  <c r="FT16" i="4" a="1"/>
  <c r="GV16" i="4" a="1"/>
  <c r="FV15" i="4" a="1"/>
  <c r="GS13" i="4" a="1"/>
  <c r="GD15" i="4" a="1"/>
  <c r="GW11" i="4" a="1"/>
  <c r="GX14" i="4" a="1"/>
  <c r="GU15" i="4" a="1"/>
  <c r="FS16" i="4" a="1"/>
  <c r="GU16" i="4" a="1"/>
  <c r="GY12" i="4" a="1"/>
  <c r="BC73" i="3"/>
  <c r="BC89" i="3"/>
  <c r="BC80" i="3"/>
  <c r="BD64" i="3"/>
  <c r="BD69" i="3"/>
  <c r="BC48" i="3"/>
  <c r="BC86" i="3"/>
  <c r="BD47" i="3"/>
  <c r="BD91" i="3"/>
  <c r="BD68" i="3"/>
  <c r="GM11" i="4" a="1"/>
  <c r="GH12" i="4" a="1"/>
  <c r="FQ14" i="4" a="1"/>
  <c r="GV15" i="4" a="1"/>
  <c r="GZ16" i="4" a="1"/>
  <c r="HB8" i="4" a="1"/>
  <c r="GD12" i="4" a="1"/>
  <c r="GY16" i="4" a="1"/>
  <c r="BD57" i="3"/>
  <c r="HF16" i="4" a="1"/>
  <c r="BC84" i="3"/>
  <c r="BA65" i="3"/>
  <c r="HF14" i="4" a="1"/>
  <c r="HE15" i="4" a="1"/>
  <c r="BD72" i="3"/>
  <c r="Z112" i="2"/>
  <c r="BB70" i="3"/>
  <c r="BT65" i="3"/>
  <c r="BS74" i="3"/>
  <c r="BK63" i="3"/>
  <c r="HA14" i="4" a="1"/>
  <c r="GB11" i="4" a="1"/>
  <c r="HF8" i="4" a="1"/>
  <c r="HC6" i="4" a="1"/>
  <c r="GG7" i="4" a="1"/>
  <c r="FL8" i="4" a="1"/>
  <c r="GL13" i="4" a="1"/>
  <c r="FL15" i="4" a="1"/>
  <c r="HG9" i="4" a="1"/>
  <c r="GG15" i="4" a="1"/>
  <c r="BD60" i="3"/>
  <c r="BJ59" i="3"/>
  <c r="BC65" i="3"/>
  <c r="BM90" i="3"/>
  <c r="BM97" i="3"/>
  <c r="BA80" i="3"/>
  <c r="BL62" i="3"/>
  <c r="BF49" i="3"/>
  <c r="CL73" i="1" s="1"/>
  <c r="BT94" i="3"/>
  <c r="BS82" i="3"/>
  <c r="BR84" i="3"/>
  <c r="BV66" i="3"/>
  <c r="BN75" i="3"/>
  <c r="BP85" i="3"/>
  <c r="BO64" i="3"/>
  <c r="BG68" i="3"/>
  <c r="BE67" i="3"/>
  <c r="BM83" i="3"/>
  <c r="BJ68" i="3"/>
  <c r="BJ57" i="3"/>
  <c r="BK55" i="3"/>
  <c r="BK95" i="3"/>
  <c r="GB5" i="4" a="1"/>
  <c r="FG6" i="4" a="1"/>
  <c r="GX11" i="4" a="1"/>
  <c r="HD6" i="4" a="1"/>
  <c r="FT8" i="4" a="1"/>
  <c r="GO7" i="4" a="1"/>
  <c r="GC8" i="4" a="1"/>
  <c r="GK5" i="4" a="1"/>
  <c r="FT5" i="4" a="1"/>
  <c r="GP5" i="4" a="1"/>
  <c r="FH9" i="4" a="1"/>
  <c r="FZ5" i="4" a="1"/>
  <c r="GW8" i="4" a="1"/>
  <c r="HC11" i="4" a="1"/>
  <c r="GD5" i="4" a="1"/>
  <c r="HF5" i="4" a="1"/>
  <c r="GP11" i="4" a="1"/>
  <c r="FO11" i="4" a="1"/>
  <c r="FW12" i="4" a="1"/>
  <c r="GO13" i="4" a="1"/>
  <c r="GQ11" i="4" a="1"/>
  <c r="GV12" i="4" a="1"/>
  <c r="FL14" i="4" a="1"/>
  <c r="FN8" i="4" a="1"/>
  <c r="FJ14" i="4" a="1"/>
  <c r="GT15" i="4" a="1"/>
  <c r="FV16" i="4" a="1"/>
  <c r="GX16" i="4" a="1"/>
  <c r="FV8" i="4" a="1"/>
  <c r="HH13" i="4" a="1"/>
  <c r="FM11" i="4" a="1"/>
  <c r="HH11" i="4" a="1"/>
  <c r="HC14" i="4" a="1"/>
  <c r="GW15" i="4" a="1"/>
  <c r="FW16" i="4" a="1"/>
  <c r="GW16" i="4" a="1"/>
  <c r="GN13" i="4" a="1"/>
  <c r="BC63" i="3"/>
  <c r="GE14" i="4" a="1"/>
  <c r="FK14" i="4" a="1"/>
  <c r="BD48" i="3"/>
  <c r="BB93" i="3"/>
  <c r="FV14" i="4" a="1"/>
  <c r="BU58" i="3"/>
  <c r="BA72" i="3"/>
  <c r="BM60" i="3"/>
  <c r="Z111" i="2"/>
  <c r="BP97" i="3"/>
  <c r="BA61" i="3"/>
  <c r="BL91" i="3"/>
  <c r="BQ70" i="3"/>
  <c r="BN92" i="3"/>
  <c r="BU49" i="3"/>
  <c r="BR79" i="3"/>
  <c r="BT88" i="3"/>
  <c r="BN58" i="3"/>
  <c r="BF77" i="3"/>
  <c r="CL140" i="1" s="1"/>
  <c r="BO91" i="3"/>
  <c r="BG47" i="3"/>
  <c r="BE77" i="3"/>
  <c r="BM55" i="3"/>
  <c r="BJ70" i="3"/>
  <c r="BJ63" i="3"/>
  <c r="BK75" i="3"/>
  <c r="BK54" i="3"/>
  <c r="GQ5" i="4" a="1"/>
  <c r="GQ7" i="4" a="1"/>
  <c r="FT12" i="4" a="1"/>
  <c r="GE7" i="4" a="1"/>
  <c r="FM9" i="4" a="1"/>
  <c r="FG5" i="4" a="1"/>
  <c r="GM8" i="4" a="1"/>
  <c r="GH11" i="4" a="1"/>
  <c r="BA90" i="3"/>
  <c r="BM56" i="3"/>
  <c r="BB84" i="3"/>
  <c r="BP47" i="3"/>
  <c r="BA57" i="3"/>
  <c r="BL75" i="3"/>
  <c r="BQ86" i="3"/>
  <c r="BN65" i="3"/>
  <c r="BU56" i="3"/>
  <c r="BR83" i="3"/>
  <c r="BT96" i="3"/>
  <c r="BN94" i="3"/>
  <c r="BF55" i="3"/>
  <c r="BS62" i="3"/>
  <c r="BH97" i="3"/>
  <c r="BI65" i="3"/>
  <c r="BF58" i="3"/>
  <c r="CL119" i="1" s="1"/>
  <c r="BJ76" i="3"/>
  <c r="BJ65" i="3"/>
  <c r="BK67" i="3"/>
  <c r="BK49" i="3"/>
  <c r="HG5" i="4" a="1"/>
  <c r="GE9" i="4" a="1"/>
  <c r="GA13" i="4" a="1"/>
  <c r="GW5" i="4" a="1"/>
  <c r="GP9" i="4" a="1"/>
  <c r="GG5" i="4" a="1"/>
  <c r="GX5" i="4" a="1"/>
  <c r="HF11" i="4" a="1"/>
  <c r="FP6" i="4" a="1"/>
  <c r="FW9" i="4" a="1"/>
  <c r="FI12" i="4" a="1"/>
  <c r="FM6" i="4" a="1"/>
  <c r="FO9" i="4" a="1"/>
  <c r="GZ12" i="4" a="1"/>
  <c r="FU6" i="4" a="1"/>
  <c r="GM9" i="4" a="1"/>
  <c r="GR12" i="4" a="1"/>
  <c r="FW11" i="4" a="1"/>
  <c r="GP12" i="4" a="1"/>
  <c r="GW13" i="4" a="1"/>
  <c r="GY11" i="4" a="1"/>
  <c r="FO13" i="4" a="1"/>
  <c r="FT14" i="4" a="1"/>
  <c r="FQ9" i="4" a="1"/>
  <c r="GU14" i="4" a="1"/>
  <c r="GL12" i="4" a="1"/>
  <c r="HA16" i="4" a="1"/>
  <c r="BC69" i="3"/>
  <c r="BD58" i="3"/>
  <c r="HB11" i="4" a="1"/>
  <c r="GA14" i="4" a="1"/>
  <c r="HG12" i="4" a="1"/>
  <c r="BD90" i="3"/>
  <c r="BP78" i="3"/>
  <c r="BO80" i="3"/>
  <c r="BF96" i="3"/>
  <c r="CL163" i="1" s="1"/>
  <c r="BK85" i="3"/>
  <c r="FQ7" i="4" a="1"/>
  <c r="GW12" i="4" a="1"/>
  <c r="GB14" i="4" a="1"/>
  <c r="HB15" i="4" a="1"/>
  <c r="GL14" i="4" a="1"/>
  <c r="HG15" i="4" a="1"/>
  <c r="BD63" i="3"/>
  <c r="BE85" i="3"/>
  <c r="BA91" i="3"/>
  <c r="BP76" i="3"/>
  <c r="BB58" i="3"/>
  <c r="BD89" i="3"/>
  <c r="BD73" i="3"/>
  <c r="BE83" i="3"/>
  <c r="BQ67" i="3"/>
  <c r="BO76" i="3"/>
  <c r="BU86" i="3"/>
  <c r="BR87" i="3"/>
  <c r="BT64" i="3"/>
  <c r="BN71" i="3"/>
  <c r="BF75" i="3"/>
  <c r="BS67" i="3"/>
  <c r="BH91" i="3"/>
  <c r="BI56" i="3"/>
  <c r="BF62" i="3"/>
  <c r="CL124" i="1" s="1"/>
  <c r="BJ78" i="3"/>
  <c r="BJ67" i="3"/>
  <c r="BK48" i="3"/>
  <c r="BK47" i="3"/>
  <c r="GN6" i="4" a="1"/>
  <c r="GH6" i="4" a="1"/>
  <c r="FH14" i="4" a="1"/>
  <c r="FS6" i="4" a="1"/>
  <c r="HB9" i="4" a="1"/>
  <c r="GL5" i="4" a="1"/>
  <c r="FQ6" i="4" a="1"/>
  <c r="GB12" i="4" a="1"/>
  <c r="GV6" i="4" a="1"/>
  <c r="HA5" i="4" a="1"/>
  <c r="GG12" i="4" a="1"/>
  <c r="GK6" i="4" a="1"/>
  <c r="FJ6" i="4" a="1"/>
  <c r="FV13" i="4" a="1"/>
  <c r="GS6" i="4" a="1"/>
  <c r="FL7" i="4" a="1"/>
  <c r="FN13" i="4" a="1"/>
  <c r="GA11" i="4" a="1"/>
  <c r="GU12" i="4" a="1"/>
  <c r="GZ13" i="4" a="1"/>
  <c r="FY14" i="4" a="1"/>
  <c r="GB16" i="4" a="1"/>
  <c r="GQ9" i="4" a="1"/>
  <c r="GB15" i="4" a="1"/>
  <c r="HC16" i="4" a="1"/>
  <c r="BC54" i="3"/>
  <c r="BD67" i="3"/>
  <c r="BD55" i="3"/>
  <c r="BL54" i="3"/>
  <c r="BI79" i="3"/>
  <c r="BJ95" i="3"/>
  <c r="FJ7" i="4" a="1"/>
  <c r="FI8" i="4" a="1"/>
  <c r="GT13" i="4" a="1"/>
  <c r="FK8" i="4" a="1"/>
  <c r="GX12" i="4" a="1"/>
  <c r="HE7" i="4" a="1"/>
  <c r="GE16" i="4" a="1"/>
  <c r="BC78" i="3"/>
  <c r="BQ59" i="3"/>
  <c r="BG76" i="3"/>
  <c r="BB66" i="3"/>
  <c r="BP58" i="3"/>
  <c r="BH83" i="3"/>
  <c r="BE87" i="3"/>
  <c r="BQ96" i="3"/>
  <c r="BO67" i="3"/>
  <c r="BU97" i="3"/>
  <c r="BV93" i="3"/>
  <c r="BT83" i="3"/>
  <c r="BN72" i="3"/>
  <c r="AA113" i="2"/>
  <c r="BS76" i="3"/>
  <c r="BL95" i="3"/>
  <c r="BI77" i="3"/>
  <c r="BF72" i="3"/>
  <c r="CL135" i="1" s="1"/>
  <c r="BJ93" i="3"/>
  <c r="BJ73" i="3"/>
  <c r="BK80" i="3"/>
  <c r="BK79" i="3"/>
  <c r="GR5" i="4" a="1"/>
  <c r="GB8" i="4" a="1"/>
  <c r="FR15" i="4" a="1"/>
  <c r="FS8" i="4" a="1"/>
  <c r="GJ6" i="4" a="1"/>
  <c r="GF6" i="4" a="1"/>
  <c r="GM6" i="4" a="1"/>
  <c r="FS13" i="4" a="1"/>
  <c r="GD6" i="4" a="1"/>
  <c r="GW7" i="4" a="1"/>
  <c r="GD13" i="4" a="1"/>
  <c r="FV6" i="4" a="1"/>
  <c r="FX8" i="4" a="1"/>
  <c r="FP14" i="4" a="1"/>
  <c r="GA6" i="4" a="1"/>
  <c r="GJ8" i="4" a="1"/>
  <c r="FM14" i="4" a="1"/>
  <c r="GV11" i="4" a="1"/>
  <c r="HC12" i="4" a="1"/>
  <c r="FN7" i="4" a="1"/>
  <c r="FU12" i="4" a="1"/>
  <c r="FZ13" i="4" a="1"/>
  <c r="GG14" i="4" a="1"/>
  <c r="FK12" i="4" a="1"/>
  <c r="FP15" i="4" a="1"/>
  <c r="HD15" i="4" a="1"/>
  <c r="GJ16" i="4" a="1"/>
  <c r="GO11" i="4" a="1"/>
  <c r="FU11" i="4" a="1"/>
  <c r="GQ14" i="4" a="1"/>
  <c r="FH15" i="4" a="1"/>
  <c r="HD13" i="4" a="1"/>
  <c r="GI15" i="4" a="1"/>
  <c r="FG16" i="4" a="1"/>
  <c r="GG16" i="4" a="1"/>
  <c r="HG16" i="4" a="1"/>
  <c r="BC90" i="3"/>
  <c r="BC88" i="3"/>
  <c r="BC93" i="3"/>
  <c r="BD74" i="3"/>
  <c r="BD96" i="3"/>
  <c r="GC7" i="4" a="1"/>
  <c r="GI14" i="4" a="1"/>
  <c r="CL120" i="1" l="1"/>
  <c r="CL137" i="1"/>
  <c r="CH140" i="1"/>
  <c r="CI140" i="1" s="1"/>
  <c r="CL148" i="1"/>
  <c r="CL98" i="1"/>
  <c r="CL99" i="1" s="1"/>
  <c r="CL16" i="1"/>
  <c r="CL161" i="1"/>
  <c r="CL92" i="1"/>
  <c r="CL128" i="1"/>
  <c r="CL138" i="1"/>
  <c r="CL156" i="1"/>
  <c r="CO20" i="1"/>
  <c r="CS20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Y16" i="4" s="1"/>
  <c r="JZ16" i="4" s="1"/>
  <c r="Z74" i="1"/>
  <c r="JQ8" i="4" s="1"/>
  <c r="KF9" i="4" s="1"/>
  <c r="CJ153" i="1"/>
  <c r="CJ183" i="1" s="1"/>
  <c r="CK183" i="1" s="1"/>
  <c r="CJ125" i="1"/>
  <c r="CK125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19" i="1"/>
  <c r="KA9" i="4" s="1"/>
  <c r="JS9" i="4" s="1"/>
  <c r="KB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34" i="1"/>
  <c r="CJ154" i="1"/>
  <c r="CJ149" i="1"/>
  <c r="KD16" i="4" s="1"/>
  <c r="CJ144" i="1"/>
  <c r="CJ179" i="1" s="1"/>
  <c r="CK179" i="1" s="1"/>
  <c r="JV16" i="4" s="1"/>
  <c r="KG16" i="4" s="1"/>
  <c r="CJ150" i="1"/>
  <c r="JS16" i="4" s="1"/>
  <c r="KG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46" i="1"/>
  <c r="CJ159" i="1"/>
  <c r="CJ140" i="1"/>
  <c r="CJ117" i="1"/>
  <c r="JZ14" i="4" s="1"/>
  <c r="JX14" i="4" s="1"/>
  <c r="JZ15" i="4" s="1"/>
  <c r="JU8" i="4" s="1"/>
  <c r="CJ151" i="1"/>
  <c r="KE9" i="4" s="1"/>
  <c r="KA16" i="4" s="1"/>
  <c r="KA21" i="4" s="1"/>
  <c r="JV14" i="4" s="1"/>
  <c r="KB16" i="4" s="1"/>
  <c r="KB21" i="4" s="1"/>
  <c r="JW9" i="4" s="1"/>
  <c r="CJ143" i="1"/>
  <c r="JY9" i="4" s="1"/>
  <c r="JU9" i="4" s="1"/>
  <c r="CK73" i="1"/>
  <c r="JT16" i="4" s="1"/>
  <c r="CJ152" i="1"/>
  <c r="JQ16" i="4" s="1"/>
  <c r="KA15" i="4" s="1"/>
  <c r="X73" i="1"/>
  <c r="CJ147" i="1"/>
  <c r="Y74" i="1"/>
  <c r="CI74" i="1"/>
  <c r="JY14" i="4" s="1"/>
  <c r="Z73" i="1"/>
  <c r="CJ160" i="1"/>
  <c r="CK74" i="1"/>
  <c r="CJ142" i="1"/>
  <c r="CH73" i="1"/>
  <c r="JR16" i="4" s="1"/>
  <c r="CJ74" i="1"/>
  <c r="CJ155" i="1"/>
  <c r="CJ124" i="1"/>
  <c r="CK124" i="1" s="1"/>
  <c r="CM124" i="1" s="1"/>
  <c r="CG73" i="1"/>
  <c r="KC9" i="4" s="1"/>
  <c r="JV9" i="4" s="1"/>
  <c r="JZ9" i="4" s="1"/>
  <c r="CJ73" i="1"/>
  <c r="CG74" i="1"/>
  <c r="KC16" i="4" s="1"/>
  <c r="KC21" i="4" s="1"/>
  <c r="JU16" i="4" s="1"/>
  <c r="CJ133" i="1"/>
  <c r="CK133" i="1" s="1"/>
  <c r="CM133" i="1" s="1"/>
  <c r="CN133" i="1" s="1"/>
  <c r="CO133" i="1" s="1"/>
  <c r="CP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CK10" i="1"/>
  <c r="CK98" i="1"/>
  <c r="CK99" i="1" s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CH253" i="1"/>
  <c r="CG252" i="1"/>
  <c r="X134" i="1"/>
  <c r="CI231" i="1"/>
  <c r="CI10" i="1"/>
  <c r="CJ98" i="1"/>
  <c r="Y202" i="1"/>
  <c r="Y180" i="1"/>
  <c r="JV8" i="4"/>
  <c r="CG10" i="1"/>
  <c r="Z173" i="1"/>
  <c r="Z10" i="1"/>
  <c r="X156" i="1"/>
  <c r="JX15" i="4"/>
  <c r="Y120" i="1"/>
  <c r="X128" i="1"/>
  <c r="X161" i="1"/>
  <c r="X120" i="1"/>
  <c r="X175" i="1" s="1"/>
  <c r="Y128" i="1"/>
  <c r="Z26" i="1"/>
  <c r="X26" i="1"/>
  <c r="KD14" i="4"/>
  <c r="JW8" i="4"/>
  <c r="JZ8" i="4"/>
  <c r="JY7" i="4"/>
  <c r="KF14" i="4"/>
  <c r="JR14" i="4"/>
  <c r="KH14" i="4"/>
  <c r="KB15" i="4"/>
  <c r="KD15" i="4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L182" i="1" l="1"/>
  <c r="CK12" i="1"/>
  <c r="AA11" i="1"/>
  <c r="AA188" i="1"/>
  <c r="AA206" i="1"/>
  <c r="AA205" i="1" s="1"/>
  <c r="AA249" i="1"/>
  <c r="JU21" i="4"/>
  <c r="KF16" i="4" s="1"/>
  <c r="JX16" i="4" s="1"/>
  <c r="CI202" i="1"/>
  <c r="CJ138" i="1"/>
  <c r="CJ180" i="1"/>
  <c r="CK180" i="1" s="1"/>
  <c r="Y182" i="1"/>
  <c r="CW20" i="1"/>
  <c r="DA20" i="1" s="1"/>
  <c r="CK140" i="1"/>
  <c r="CL202" i="1" s="1"/>
  <c r="CJ202" i="1"/>
  <c r="KC14" i="4"/>
  <c r="KF21" i="4"/>
  <c r="KB8" i="4"/>
  <c r="KE8" i="4"/>
  <c r="KC7" i="4"/>
  <c r="CL17" i="1"/>
  <c r="CL28" i="1"/>
  <c r="CL248" i="1"/>
  <c r="CL246" i="1"/>
  <c r="CL181" i="1"/>
  <c r="CL168" i="1"/>
  <c r="CL109" i="1" s="1"/>
  <c r="CL129" i="1"/>
  <c r="JQ15" i="4"/>
  <c r="JQ20" i="4" s="1"/>
  <c r="CK79" i="1" s="1"/>
  <c r="KG14" i="4"/>
  <c r="JX8" i="4"/>
  <c r="JX20" i="4" s="1"/>
  <c r="KE21" i="4"/>
  <c r="KC15" i="4"/>
  <c r="CJ148" i="1"/>
  <c r="JV21" i="4"/>
  <c r="KG21" i="4"/>
  <c r="KG15" i="4"/>
  <c r="JS21" i="4"/>
  <c r="JV15" i="4"/>
  <c r="JV20" i="4" s="1"/>
  <c r="KF15" i="4"/>
  <c r="KA14" i="4"/>
  <c r="KE14" i="4"/>
  <c r="JT14" i="4"/>
  <c r="KH8" i="4"/>
  <c r="JS7" i="4"/>
  <c r="KG8" i="4"/>
  <c r="JT8" i="4"/>
  <c r="JW15" i="4"/>
  <c r="JW20" i="4" s="1"/>
  <c r="JQ14" i="4"/>
  <c r="JQ7" i="4"/>
  <c r="JU14" i="4"/>
  <c r="KA7" i="4"/>
  <c r="KF7" i="4"/>
  <c r="KF19" i="4" s="1"/>
  <c r="JW14" i="4"/>
  <c r="JS8" i="4"/>
  <c r="JV7" i="4"/>
  <c r="JV19" i="4" s="1"/>
  <c r="JZ21" i="4"/>
  <c r="JS14" i="4"/>
  <c r="JT7" i="4"/>
  <c r="JY15" i="4"/>
  <c r="CL185" i="1"/>
  <c r="CL157" i="1"/>
  <c r="CL165" i="1" s="1"/>
  <c r="CK16" i="1"/>
  <c r="CK28" i="1" s="1"/>
  <c r="CL188" i="1"/>
  <c r="CL12" i="1"/>
  <c r="CI16" i="1"/>
  <c r="CL244" i="1"/>
  <c r="CL225" i="1"/>
  <c r="CK33" i="1"/>
  <c r="CJ156" i="1"/>
  <c r="CJ185" i="1" s="1"/>
  <c r="CJ184" i="1" s="1"/>
  <c r="CK184" i="1" s="1"/>
  <c r="CK134" i="1"/>
  <c r="KE15" i="4"/>
  <c r="JU15" i="4"/>
  <c r="JU20" i="4" s="1"/>
  <c r="KA8" i="4"/>
  <c r="KA20" i="4" s="1"/>
  <c r="CJ120" i="1"/>
  <c r="CJ92" i="1" s="1"/>
  <c r="CJ94" i="1" s="1"/>
  <c r="JY21" i="4"/>
  <c r="KH7" i="4"/>
  <c r="KH19" i="4" s="1"/>
  <c r="KH15" i="4"/>
  <c r="JR8" i="4"/>
  <c r="JZ7" i="4"/>
  <c r="JZ19" i="4" s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KB7" i="4"/>
  <c r="KE7" i="4"/>
  <c r="JT15" i="4"/>
  <c r="JY8" i="4"/>
  <c r="JR15" i="4"/>
  <c r="CJ161" i="1"/>
  <c r="CK209" i="1" s="1"/>
  <c r="KC8" i="4"/>
  <c r="JR7" i="4"/>
  <c r="CK27" i="1"/>
  <c r="CJ128" i="1"/>
  <c r="CJ131" i="1"/>
  <c r="X27" i="1"/>
  <c r="X33" i="1"/>
  <c r="X138" i="1"/>
  <c r="X244" i="1" s="1"/>
  <c r="CG16" i="1"/>
  <c r="CK11" i="1"/>
  <c r="JY19" i="4"/>
  <c r="Y138" i="1"/>
  <c r="Y33" i="1"/>
  <c r="Y185" i="1"/>
  <c r="Y157" i="1"/>
  <c r="X157" i="1"/>
  <c r="Y181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CI27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JR19" i="4"/>
  <c r="CL78" i="1" s="1"/>
  <c r="JZ20" i="4"/>
  <c r="KB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C20" i="4" l="1"/>
  <c r="KH20" i="4"/>
  <c r="KG20" i="4"/>
  <c r="KC19" i="4"/>
  <c r="KA19" i="4"/>
  <c r="JT19" i="4"/>
  <c r="JQ19" i="4"/>
  <c r="CK78" i="1" s="1"/>
  <c r="JY20" i="4"/>
  <c r="KE20" i="4"/>
  <c r="JT20" i="4"/>
  <c r="X246" i="1"/>
  <c r="CK202" i="1"/>
  <c r="JS19" i="4"/>
  <c r="JR20" i="4"/>
  <c r="CL79" i="1" s="1"/>
  <c r="CJ129" i="1"/>
  <c r="CK18" i="1"/>
  <c r="CK19" i="1"/>
  <c r="CJ182" i="1"/>
  <c r="CJ157" i="1"/>
  <c r="CJ165" i="1" s="1"/>
  <c r="CJ166" i="1" s="1"/>
  <c r="CJ244" i="1"/>
  <c r="CJ246" i="1"/>
  <c r="CL184" i="1"/>
  <c r="CL186" i="1"/>
  <c r="CK34" i="1"/>
  <c r="CK38" i="1" s="1"/>
  <c r="CK29" i="1"/>
  <c r="CI17" i="1"/>
  <c r="CI28" i="1"/>
  <c r="CL31" i="1"/>
  <c r="CL34" i="1"/>
  <c r="CL38" i="1" s="1"/>
  <c r="CL250" i="1"/>
  <c r="CL232" i="1"/>
  <c r="CL233" i="1" s="1"/>
  <c r="CL29" i="1"/>
  <c r="CL19" i="1"/>
  <c r="CK17" i="1"/>
  <c r="CL166" i="1"/>
  <c r="KE19" i="4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33" i="1"/>
  <c r="CL103" i="1"/>
  <c r="CL95" i="1"/>
  <c r="CL107" i="1"/>
  <c r="CL110" i="1" s="1"/>
  <c r="CL249" i="1"/>
  <c r="CL206" i="1"/>
  <c r="CJ248" i="1"/>
  <c r="Y165" i="1"/>
  <c r="Y166" i="1" s="1"/>
  <c r="CG28" i="1"/>
  <c r="CG17" i="1"/>
  <c r="X165" i="1"/>
  <c r="CU133" i="1"/>
  <c r="CV133" i="1" s="1"/>
  <c r="CW133" i="1" s="1"/>
  <c r="CX133" i="1" s="1"/>
  <c r="AC133" i="1"/>
  <c r="CK104" i="1"/>
  <c r="CK108" i="1"/>
  <c r="Z17" i="1"/>
  <c r="Z28" i="1"/>
  <c r="Y186" i="1"/>
  <c r="Y184" i="1"/>
  <c r="Y203" i="1"/>
  <c r="Y201" i="1" s="1"/>
  <c r="Y246" i="1"/>
  <c r="Y244" i="1"/>
  <c r="CK185" i="1"/>
  <c r="Y198" i="1"/>
  <c r="CJ96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J95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AA30" i="1" l="1"/>
  <c r="AA250" i="1"/>
  <c r="AA251" i="1" s="1"/>
  <c r="AA213" i="1"/>
  <c r="AA210" i="1"/>
  <c r="AA211" i="1" s="1"/>
  <c r="CK103" i="1"/>
  <c r="CK107" i="1"/>
  <c r="CL104" i="1"/>
  <c r="CL96" i="1"/>
  <c r="CL108" i="1"/>
  <c r="CL111" i="1" s="1"/>
  <c r="X166" i="1"/>
  <c r="CI34" i="1"/>
  <c r="CI232" i="1"/>
  <c r="CI233" i="1" s="1"/>
  <c r="CI29" i="1"/>
  <c r="CJ186" i="1"/>
  <c r="CJ181" i="1"/>
  <c r="CK181" i="1" s="1"/>
  <c r="CK182" i="1" s="1"/>
  <c r="CK186" i="1" s="1"/>
  <c r="CK41" i="1"/>
  <c r="CK40" i="1"/>
  <c r="CL226" i="1"/>
  <c r="CL112" i="1"/>
  <c r="CJ33" i="1"/>
  <c r="CI138" i="1"/>
  <c r="CJ203" i="1" s="1"/>
  <c r="CJ201" i="1" s="1"/>
  <c r="CI37" i="1"/>
  <c r="CH109" i="1"/>
  <c r="CL40" i="1"/>
  <c r="CL41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251" i="1"/>
  <c r="CK30" i="1"/>
  <c r="CG29" i="1"/>
  <c r="CG232" i="1"/>
  <c r="CG233" i="1" s="1"/>
  <c r="CG34" i="1"/>
  <c r="CG38" i="1" s="1"/>
  <c r="Y189" i="1"/>
  <c r="Y190" i="1" s="1"/>
  <c r="Z34" i="1"/>
  <c r="Z112" i="1"/>
  <c r="Z232" i="1"/>
  <c r="Z233" i="1" s="1"/>
  <c r="Z29" i="1"/>
  <c r="Z165" i="1"/>
  <c r="Z166" i="1" s="1"/>
  <c r="CY133" i="1"/>
  <c r="CZ133" i="1" s="1"/>
  <c r="DA133" i="1" s="1"/>
  <c r="DB133" i="1" s="1"/>
  <c r="AE133" i="1" s="1"/>
  <c r="AD133" i="1"/>
  <c r="CJ232" i="1"/>
  <c r="CJ233" i="1" s="1"/>
  <c r="CK31" i="1"/>
  <c r="CI250" i="1"/>
  <c r="CK112" i="1"/>
  <c r="CM17" i="1"/>
  <c r="Z250" i="1"/>
  <c r="Z251" i="1" s="1"/>
  <c r="Y112" i="1"/>
  <c r="Y34" i="1"/>
  <c r="Y29" i="1"/>
  <c r="Y232" i="1"/>
  <c r="Y233" i="1" s="1"/>
  <c r="Z30" i="1"/>
  <c r="Z203" i="1"/>
  <c r="Z201" i="1" s="1"/>
  <c r="Z246" i="1"/>
  <c r="Z244" i="1"/>
  <c r="CI33" i="1"/>
  <c r="CH138" i="1"/>
  <c r="Z186" i="1"/>
  <c r="AA189" i="1" s="1"/>
  <c r="AA190" i="1" s="1"/>
  <c r="Z184" i="1"/>
  <c r="Y250" i="1"/>
  <c r="Y251" i="1" s="1"/>
  <c r="X232" i="1"/>
  <c r="X233" i="1" s="1"/>
  <c r="X34" i="1"/>
  <c r="X112" i="1"/>
  <c r="X29" i="1"/>
  <c r="Y30" i="1"/>
  <c r="CM184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251" i="1" l="1"/>
  <c r="CG41" i="1"/>
  <c r="CK43" i="1" s="1"/>
  <c r="CG40" i="1"/>
  <c r="CL113" i="1"/>
  <c r="CL114" i="1"/>
  <c r="CI38" i="1"/>
  <c r="CK42" i="1"/>
  <c r="CK48" i="1"/>
  <c r="CH110" i="1"/>
  <c r="CH111" i="1"/>
  <c r="Z189" i="1"/>
  <c r="Z190" i="1" s="1"/>
  <c r="Z38" i="1"/>
  <c r="Z55" i="1"/>
  <c r="CL44" i="1"/>
  <c r="CL234" i="1"/>
  <c r="CL42" i="1"/>
  <c r="CL245" i="1" s="1"/>
  <c r="CL48" i="1"/>
  <c r="CJ38" i="1"/>
  <c r="CL55" i="1"/>
  <c r="CK131" i="1"/>
  <c r="CL132" i="1"/>
  <c r="CL131" i="1" s="1"/>
  <c r="CM181" i="1"/>
  <c r="X38" i="1"/>
  <c r="X55" i="1"/>
  <c r="Y55" i="1"/>
  <c r="Y38" i="1"/>
  <c r="CI203" i="1"/>
  <c r="CI201" i="1" s="1"/>
  <c r="CH246" i="1"/>
  <c r="CH165" i="1"/>
  <c r="CH166" i="1" s="1"/>
  <c r="CM185" i="1"/>
  <c r="CN184" i="1"/>
  <c r="CI146" i="1"/>
  <c r="CI182" i="1"/>
  <c r="CH41" i="1"/>
  <c r="CL43" i="1" s="1"/>
  <c r="CH40" i="1"/>
  <c r="CN202" i="1"/>
  <c r="CO140" i="1"/>
  <c r="CO125" i="1"/>
  <c r="CN128" i="1"/>
  <c r="CN249" i="1" s="1"/>
  <c r="CM206" i="1"/>
  <c r="CK138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Z41" i="1" l="1"/>
  <c r="AA43" i="1" s="1"/>
  <c r="Z40" i="1"/>
  <c r="CK52" i="1"/>
  <c r="CK66" i="1"/>
  <c r="CJ41" i="1"/>
  <c r="CJ40" i="1"/>
  <c r="CN181" i="1"/>
  <c r="CM182" i="1"/>
  <c r="CG42" i="1"/>
  <c r="CG245" i="1" s="1"/>
  <c r="CG234" i="1"/>
  <c r="CG48" i="1"/>
  <c r="CI40" i="1"/>
  <c r="CI41" i="1"/>
  <c r="CL193" i="1"/>
  <c r="CL195" i="1" s="1"/>
  <c r="CL66" i="1"/>
  <c r="CL52" i="1"/>
  <c r="X40" i="1"/>
  <c r="X41" i="1"/>
  <c r="CK203" i="1"/>
  <c r="CK201" i="1" s="1"/>
  <c r="CL203" i="1"/>
  <c r="CL201" i="1" s="1"/>
  <c r="CH44" i="1"/>
  <c r="CH48" i="1"/>
  <c r="CH52" i="1" s="1"/>
  <c r="CJ48" i="1"/>
  <c r="CK44" i="1"/>
  <c r="CO202" i="1"/>
  <c r="CP140" i="1"/>
  <c r="CP202" i="1" s="1"/>
  <c r="CH42" i="1"/>
  <c r="CH245" i="1" s="1"/>
  <c r="CH234" i="1"/>
  <c r="CM186" i="1"/>
  <c r="Y40" i="1"/>
  <c r="Y41" i="1"/>
  <c r="Y43" i="1" s="1"/>
  <c r="CO184" i="1"/>
  <c r="CN185" i="1"/>
  <c r="CJ227" i="1"/>
  <c r="CI44" i="1"/>
  <c r="CJ44" i="1"/>
  <c r="CJ42" i="1"/>
  <c r="CJ245" i="1" s="1"/>
  <c r="CJ234" i="1"/>
  <c r="CO181" i="1"/>
  <c r="CN182" i="1"/>
  <c r="CN186" i="1" s="1"/>
  <c r="CP125" i="1"/>
  <c r="CO128" i="1"/>
  <c r="CO249" i="1" s="1"/>
  <c r="CN206" i="1"/>
  <c r="X234" i="1"/>
  <c r="X42" i="1"/>
  <c r="X245" i="1" s="1"/>
  <c r="X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H193" i="1"/>
  <c r="CH195" i="1" s="1"/>
  <c r="CH66" i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Y25" i="3"/>
  <c r="AQ6" i="6" a="1"/>
  <c r="AZ11" i="3"/>
  <c r="AT35" i="3"/>
  <c r="AU12" i="3"/>
  <c r="AX42" i="3"/>
  <c r="AY15" i="3"/>
  <c r="AU7" i="3"/>
  <c r="AY37" i="3"/>
  <c r="EM5" i="4" a="1"/>
  <c r="EQ8" i="4" a="1"/>
  <c r="AX30" i="3"/>
  <c r="AW46" i="3"/>
  <c r="AW13" i="3"/>
  <c r="AY13" i="3"/>
  <c r="AY35" i="3"/>
  <c r="EM7" i="4" a="1"/>
  <c r="ET14" i="4" a="1"/>
  <c r="AZ32" i="3"/>
  <c r="AF17" i="3"/>
  <c r="EQ12" i="4" a="1"/>
  <c r="EM11" i="4" a="1"/>
  <c r="ES16" i="4" a="1"/>
  <c r="ET8" i="4" a="1"/>
  <c r="EV9" i="4" a="1"/>
  <c r="AT34" i="3"/>
  <c r="ER13" i="4" a="1"/>
  <c r="EQ5" i="4" a="1"/>
  <c r="EO13" i="4" a="1"/>
  <c r="AZ36" i="3"/>
  <c r="AX22" i="3"/>
  <c r="AT14" i="3"/>
  <c r="AV30" i="3"/>
  <c r="N6" i="6" a="1"/>
  <c r="AS40" i="3"/>
  <c r="AD5" i="6" a="1"/>
  <c r="EN13" i="4" a="1"/>
  <c r="EW7" i="4" a="1"/>
  <c r="EM8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AU5" i="3"/>
  <c r="C5" i="3"/>
  <c r="AX9" i="3"/>
  <c r="ET12" i="4" a="1"/>
  <c r="EN7" i="4" a="1"/>
  <c r="ET15" i="4" a="1"/>
  <c r="EO6" i="4" a="1"/>
  <c r="ES13" i="4" a="1"/>
  <c r="F45" i="3"/>
  <c r="AU6" i="6" a="1"/>
  <c r="AT27" i="3"/>
  <c r="AV20" i="3"/>
  <c r="AS34" i="3"/>
  <c r="AV45" i="3"/>
  <c r="AX45" i="3"/>
  <c r="AV23" i="3"/>
  <c r="AZ33" i="3"/>
  <c r="D6" i="6" a="1"/>
  <c r="AF39" i="3"/>
  <c r="AU37" i="3"/>
  <c r="EO16" i="4" a="1"/>
  <c r="ET11" i="4" a="1"/>
  <c r="ES8" i="4" a="1"/>
  <c r="EW5" i="4" a="1"/>
  <c r="EP12" i="4" a="1"/>
  <c r="EM14" i="4" a="1"/>
  <c r="EV16" i="4" a="1"/>
  <c r="EN14" i="4" a="1"/>
  <c r="EW12" i="4" a="1"/>
  <c r="EU16" i="4" a="1"/>
  <c r="EU15" i="4" a="1"/>
  <c r="AF35" i="3"/>
  <c r="AX40" i="3"/>
  <c r="AU21" i="3"/>
  <c r="AV5" i="3"/>
  <c r="AK6" i="6" a="1"/>
  <c r="AF6" i="3"/>
  <c r="EQ15" i="4" a="1"/>
  <c r="EL9" i="4" a="1"/>
  <c r="EN11" i="4" a="1"/>
  <c r="ER9" i="4" a="1"/>
  <c r="AZ14" i="3"/>
  <c r="AY5" i="3"/>
  <c r="AF18" i="3"/>
  <c r="AW42" i="3"/>
  <c r="AE5" i="6" a="1"/>
  <c r="AV9" i="3"/>
  <c r="AS33" i="3"/>
  <c r="AW18" i="3"/>
  <c r="AS21" i="3"/>
  <c r="EU11" i="4" a="1"/>
  <c r="EP6" i="4" a="1"/>
  <c r="EU14" i="4" a="1"/>
  <c r="EU6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Z24" i="3"/>
  <c r="J6" i="6" a="1"/>
  <c r="AZ46" i="3"/>
  <c r="AX46" i="3"/>
  <c r="AY42" i="3"/>
  <c r="ER11" i="4" a="1"/>
  <c r="EV13" i="4" a="1"/>
  <c r="EL13" i="4" a="1"/>
  <c r="EW9" i="4" a="1"/>
  <c r="AV29" i="3"/>
  <c r="AU23" i="3"/>
  <c r="AI5" i="6" a="1"/>
  <c r="AZ23" i="3"/>
  <c r="AS25" i="3"/>
  <c r="AY8" i="3"/>
  <c r="AF16" i="3"/>
  <c r="AF31" i="3"/>
  <c r="AX27" i="3"/>
  <c r="AZ19" i="3"/>
  <c r="EV15" i="4" a="1"/>
  <c r="EM9" i="4" a="1"/>
  <c r="ER12" i="4" a="1"/>
  <c r="ET9" i="4" a="1"/>
  <c r="EP16" i="4" a="1"/>
  <c r="AZ27" i="3"/>
  <c r="AU30" i="3"/>
  <c r="X5" i="6" a="1"/>
  <c r="X6" i="6" a="1"/>
  <c r="AS42" i="3"/>
  <c r="EL7" i="4" a="1"/>
  <c r="AZ18" i="3"/>
  <c r="AT21" i="3"/>
  <c r="AN6" i="6" a="1"/>
  <c r="AV6" i="6" a="1"/>
  <c r="EP13" i="4" a="1"/>
  <c r="AS35" i="3"/>
  <c r="AV39" i="3"/>
  <c r="F6" i="6" a="1"/>
  <c r="AL6" i="6" a="1"/>
  <c r="M5" i="6" a="1"/>
  <c r="EW16" i="4" a="1"/>
  <c r="EV14" i="4" a="1"/>
  <c r="EO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EL14" i="4" a="1"/>
  <c r="EP5" i="4" a="1"/>
  <c r="EV5" i="4" a="1"/>
  <c r="ES11" i="4" a="1"/>
  <c r="AY26" i="3"/>
  <c r="AU39" i="3"/>
  <c r="AW34" i="3"/>
  <c r="AS26" i="3"/>
  <c r="AY38" i="3"/>
  <c r="AV31" i="3"/>
  <c r="AC5" i="6" a="1"/>
  <c r="AT36" i="3"/>
  <c r="EV8" i="4" a="1"/>
  <c r="AX29" i="3"/>
  <c r="AS17" i="3"/>
  <c r="AX25" i="3"/>
  <c r="AS38" i="3"/>
  <c r="AU14" i="3"/>
  <c r="AX14" i="3"/>
  <c r="AW24" i="3"/>
  <c r="AZ13" i="3"/>
  <c r="ER15" i="4" a="1"/>
  <c r="EV7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26" i="3"/>
  <c r="AF23" i="3"/>
  <c r="AM5" i="6" a="1"/>
  <c r="ER16" i="4" a="1"/>
  <c r="EM13" i="4" a="1"/>
  <c r="AU9" i="3"/>
  <c r="AR6" i="3"/>
  <c r="AY31" i="3"/>
  <c r="AS30" i="3"/>
  <c r="ER5" i="4" a="1"/>
  <c r="C6" i="6" a="1"/>
  <c r="AY9" i="3"/>
  <c r="AT12" i="3"/>
  <c r="EL8" i="4" a="1"/>
  <c r="EU13" i="4" a="1"/>
  <c r="EN16" i="4" a="1"/>
  <c r="EN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G6" i="6" a="1"/>
  <c r="AS20" i="3"/>
  <c r="AS37" i="3"/>
  <c r="AZ45" i="3"/>
  <c r="AV17" i="3"/>
  <c r="AW32" i="3"/>
  <c r="AS10" i="3"/>
  <c r="EW15" i="4" a="1"/>
  <c r="EM12" i="4" a="1"/>
  <c r="AK5" i="6" a="1"/>
  <c r="T6" i="6" a="1"/>
  <c r="C6" i="4" a="1"/>
  <c r="EO7" i="4" a="1"/>
  <c r="EU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P6" i="6" a="1"/>
  <c r="AT37" i="3"/>
  <c r="AT25" i="3"/>
  <c r="AX17" i="3"/>
  <c r="AW35" i="3"/>
  <c r="AZ35" i="3"/>
  <c r="AV14" i="3"/>
  <c r="AS19" i="3"/>
  <c r="AV41" i="3"/>
  <c r="AF9" i="3"/>
  <c r="AT45" i="3"/>
  <c r="AS32" i="3"/>
  <c r="AV36" i="3"/>
  <c r="AW8" i="3"/>
  <c r="AH6" i="6" a="1"/>
  <c r="AZ29" i="3"/>
  <c r="AF13" i="3"/>
  <c r="AW9" i="3"/>
  <c r="AW25" i="3"/>
  <c r="ET16" i="4" a="1"/>
  <c r="EP9" i="4" a="1"/>
  <c r="EL11" i="4" a="1"/>
  <c r="ES6" i="4" a="1"/>
  <c r="ET5" i="4" a="1"/>
  <c r="EM16" i="4" a="1"/>
  <c r="EP14" i="4" a="1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Z40" i="3"/>
  <c r="EQ11" i="4" a="1"/>
  <c r="EQ13" i="4" a="1"/>
  <c r="EL16" i="4" a="1"/>
  <c r="EN8" i="4" a="1"/>
  <c r="EO5" i="4" a="1"/>
  <c r="EW13" i="4" a="1"/>
  <c r="EN15" i="4" a="1"/>
  <c r="ET7" i="4" a="1"/>
  <c r="EL15" i="4" a="1"/>
  <c r="AU18" i="3"/>
  <c r="AX16" i="3"/>
  <c r="V5" i="6" a="1"/>
  <c r="AF7" i="3"/>
  <c r="ER8" i="4" a="1"/>
  <c r="EV12" i="4" a="1"/>
  <c r="AV5" i="6" a="1"/>
  <c r="AX36" i="3"/>
  <c r="AV21" i="3"/>
  <c r="R5" i="6" a="1"/>
  <c r="AT13" i="3"/>
  <c r="AW6" i="6" a="1"/>
  <c r="AS15" i="3"/>
  <c r="AX7" i="3"/>
  <c r="AF21" i="3"/>
  <c r="AY33" i="3"/>
  <c r="AS36" i="3"/>
  <c r="U6" i="6" a="1"/>
  <c r="AW7" i="3"/>
  <c r="AY36" i="3"/>
  <c r="AW36" i="3"/>
  <c r="AU6" i="3"/>
  <c r="AV16" i="3"/>
  <c r="AT11" i="3"/>
  <c r="AX8" i="3"/>
  <c r="AU8" i="3"/>
  <c r="AS27" i="3"/>
  <c r="EM15" i="4" a="1"/>
  <c r="EU9" i="4" a="1"/>
  <c r="EV6" i="4" a="1"/>
  <c r="ES14" i="4" a="1"/>
  <c r="EP7" i="4" a="1"/>
  <c r="AW26" i="3"/>
  <c r="EP8" i="4" a="1"/>
  <c r="EU8" i="4" a="1"/>
  <c r="AJ6" i="6" a="1"/>
  <c r="AW19" i="3"/>
  <c r="AT40" i="3"/>
  <c r="AV19" i="3"/>
  <c r="AX37" i="3"/>
  <c r="AR5" i="6" a="1"/>
  <c r="EW11" i="4" a="1"/>
  <c r="EN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2" i="3"/>
  <c r="AX12" i="3"/>
  <c r="AZ6" i="3"/>
  <c r="CI48" i="1" l="1"/>
  <c r="CJ54" i="1" s="1"/>
  <c r="CL227" i="1"/>
  <c r="CI234" i="1"/>
  <c r="CI42" i="1"/>
  <c r="CI245" i="1" s="1"/>
  <c r="CQ140" i="1"/>
  <c r="Y48" i="1"/>
  <c r="Y52" i="1" s="1"/>
  <c r="Y42" i="1"/>
  <c r="Y245" i="1" s="1"/>
  <c r="Z43" i="1"/>
  <c r="Y234" i="1"/>
  <c r="CJ66" i="1"/>
  <c r="CJ193" i="1"/>
  <c r="CJ195" i="1" s="1"/>
  <c r="CJ52" i="1"/>
  <c r="CO185" i="1"/>
  <c r="CP184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S124" i="1"/>
  <c r="CR180" i="1"/>
  <c r="CR183" i="1"/>
  <c r="CR179" i="1"/>
  <c r="CJ55" i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97" i="3"/>
  <c r="AY47" i="3"/>
  <c r="C85" i="3"/>
  <c r="AX8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55" i="3"/>
  <c r="AW62" i="3"/>
  <c r="AW87" i="3"/>
  <c r="AU63" i="3"/>
  <c r="AT86" i="3"/>
  <c r="AX62" i="3"/>
  <c r="AY75" i="3"/>
  <c r="AT63" i="3"/>
  <c r="AX82" i="3"/>
  <c r="AW65" i="3"/>
  <c r="AT83" i="3"/>
  <c r="C59" i="3"/>
  <c r="AU61" i="3"/>
  <c r="AT93" i="3"/>
  <c r="AS81" i="3"/>
  <c r="C87" i="3"/>
  <c r="AY91" i="3"/>
  <c r="AT95" i="3"/>
  <c r="AU83" i="3"/>
  <c r="AW75" i="3"/>
  <c r="AX74" i="3"/>
  <c r="AZ84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AZ97" i="3"/>
  <c r="AV71" i="3"/>
  <c r="AS93" i="3"/>
  <c r="AF60" i="3"/>
  <c r="AV87" i="3"/>
  <c r="AS89" i="3"/>
  <c r="AU57" i="3"/>
  <c r="AF55" i="3"/>
  <c r="AF76" i="3"/>
  <c r="AZ55" i="3"/>
  <c r="AT79" i="3"/>
  <c r="AW95" i="3"/>
  <c r="AF96" i="3"/>
  <c r="AW83" i="3"/>
  <c r="AF82" i="3"/>
  <c r="AV95" i="3"/>
  <c r="AU76" i="3"/>
  <c r="AV79" i="3"/>
  <c r="AS61" i="3"/>
  <c r="AW80" i="3"/>
  <c r="AY57" i="3"/>
  <c r="AU62" i="3"/>
  <c r="AT56" i="3"/>
  <c r="AV80" i="3"/>
  <c r="AY97" i="3"/>
  <c r="AS68" i="3"/>
  <c r="AV70" i="3"/>
  <c r="AU66" i="3"/>
  <c r="AX92" i="3"/>
  <c r="AY88" i="3"/>
  <c r="AY89" i="3"/>
  <c r="AY78" i="3"/>
  <c r="AU80" i="3"/>
  <c r="AU95" i="3"/>
  <c r="AT96" i="3"/>
  <c r="AT71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70" i="3"/>
  <c r="AT54" i="3"/>
  <c r="AS62" i="3"/>
  <c r="AV63" i="3"/>
  <c r="AT85" i="3"/>
  <c r="AX78" i="3"/>
  <c r="AX59" i="3"/>
  <c r="AY63" i="3"/>
  <c r="AS80" i="3"/>
  <c r="C96" i="3"/>
  <c r="AV61" i="3"/>
  <c r="AF47" i="3"/>
  <c r="AX83" i="3"/>
  <c r="AT88" i="3"/>
  <c r="AS64" i="3"/>
  <c r="AY67" i="3"/>
  <c r="AV54" i="3"/>
  <c r="AX91" i="3"/>
  <c r="AW57" i="3"/>
  <c r="AW85" i="3"/>
  <c r="AY65" i="3"/>
  <c r="AV65" i="3"/>
  <c r="AF94" i="3"/>
  <c r="AX71" i="3"/>
  <c r="AW58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C64" i="3"/>
  <c r="AU50" i="3"/>
  <c r="AX61" i="3"/>
  <c r="AU65" i="3"/>
  <c r="AY74" i="3"/>
  <c r="AS91" i="3"/>
  <c r="AT74" i="3"/>
  <c r="AS72" i="3"/>
  <c r="AS79" i="3"/>
  <c r="AU59" i="3"/>
  <c r="AY93" i="3"/>
  <c r="AS84" i="3"/>
  <c r="AS66" i="3"/>
  <c r="AT76" i="3"/>
  <c r="AZ64" i="3"/>
  <c r="AV74" i="3"/>
  <c r="AT89" i="3"/>
  <c r="AW78" i="3"/>
  <c r="AX63" i="3"/>
  <c r="AT59" i="3"/>
  <c r="AF86" i="3"/>
  <c r="AX66" i="3"/>
  <c r="AU72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W73" i="3"/>
  <c r="AY96" i="3"/>
  <c r="AW50" i="3"/>
  <c r="AX72" i="3"/>
  <c r="AF70" i="3"/>
  <c r="AY77" i="3"/>
  <c r="AZ95" i="3"/>
  <c r="C58" i="3"/>
  <c r="AX47" i="3"/>
  <c r="AT60" i="3"/>
  <c r="AZ59" i="3"/>
  <c r="AV86" i="3"/>
  <c r="C92" i="3"/>
  <c r="AS59" i="3"/>
  <c r="C78" i="3"/>
  <c r="C82" i="3"/>
  <c r="AW91" i="3"/>
  <c r="AX80" i="3"/>
  <c r="AU96" i="3"/>
  <c r="AZ65" i="3"/>
  <c r="AW72" i="3"/>
  <c r="C86" i="3"/>
  <c r="AS74" i="3"/>
  <c r="AU92" i="3"/>
  <c r="C66" i="3"/>
  <c r="AU60" i="3"/>
  <c r="AS58" i="3"/>
  <c r="AX89" i="3"/>
  <c r="C69" i="3"/>
  <c r="AS94" i="3"/>
  <c r="AX95" i="3"/>
  <c r="C71" i="3"/>
  <c r="AW81" i="3"/>
  <c r="AX97" i="3"/>
  <c r="AU93" i="3"/>
  <c r="AT94" i="3"/>
  <c r="AS96" i="3"/>
  <c r="AU94" i="3"/>
  <c r="AF84" i="3"/>
  <c r="C95" i="3"/>
  <c r="AZ57" i="3"/>
  <c r="AF65" i="3"/>
  <c r="AV94" i="3"/>
  <c r="AZ91" i="3"/>
  <c r="AU90" i="3"/>
  <c r="AF75" i="3"/>
  <c r="AT50" i="3"/>
  <c r="AY59" i="3"/>
  <c r="AY92" i="3"/>
  <c r="AF71" i="3"/>
  <c r="AX94" i="3"/>
  <c r="AZ81" i="3"/>
  <c r="AF79" i="3"/>
  <c r="AZ48" i="3"/>
  <c r="AY60" i="3"/>
  <c r="AS97" i="3"/>
  <c r="AS69" i="3"/>
  <c r="AW66" i="3"/>
  <c r="AW71" i="3"/>
  <c r="AZ87" i="3"/>
  <c r="AU79" i="3"/>
  <c r="AV50" i="3"/>
  <c r="AT55" i="3"/>
  <c r="AU87" i="3"/>
  <c r="AU97" i="3"/>
  <c r="AV78" i="3"/>
  <c r="AS87" i="3"/>
  <c r="AX76" i="3"/>
  <c r="AU56" i="3"/>
  <c r="C93" i="3"/>
  <c r="AX49" i="3"/>
  <c r="AV77" i="3"/>
  <c r="AX84" i="3"/>
  <c r="AS83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U64" i="3"/>
  <c r="AX87" i="3"/>
  <c r="C63" i="3"/>
  <c r="AY86" i="3"/>
  <c r="AU49" i="3"/>
  <c r="AY58" i="3"/>
  <c r="C81" i="3"/>
  <c r="AF90" i="3"/>
  <c r="AV76" i="3"/>
  <c r="C65" i="3"/>
  <c r="AF87" i="3"/>
  <c r="AX77" i="3"/>
  <c r="AZ86" i="3"/>
  <c r="AY79" i="3"/>
  <c r="AV73" i="3"/>
  <c r="AT58" i="3"/>
  <c r="AF56" i="3"/>
  <c r="C62" i="3"/>
  <c r="AT82" i="3"/>
  <c r="AF91" i="3"/>
  <c r="AZ70" i="3"/>
  <c r="AV88" i="3"/>
  <c r="AY62" i="3"/>
  <c r="AS86" i="3"/>
  <c r="AW63" i="3"/>
  <c r="AS57" i="3"/>
  <c r="AV60" i="3"/>
  <c r="AX65" i="3"/>
  <c r="AS82" i="3"/>
  <c r="AW56" i="3"/>
  <c r="AX90" i="3"/>
  <c r="AZ83" i="3"/>
  <c r="AU86" i="3"/>
  <c r="AY64" i="3"/>
  <c r="AT48" i="3"/>
  <c r="AZ80" i="3"/>
  <c r="AY70" i="3"/>
  <c r="AY83" i="3"/>
  <c r="AX93" i="3"/>
  <c r="AV47" i="3"/>
  <c r="AV59" i="3"/>
  <c r="AW60" i="3"/>
  <c r="AW70" i="3"/>
  <c r="AT87" i="3"/>
  <c r="AY68" i="3"/>
  <c r="AY76" i="3"/>
  <c r="AY94" i="3"/>
  <c r="AS73" i="3"/>
  <c r="AT67" i="3"/>
  <c r="AF80" i="3"/>
  <c r="AZ54" i="3"/>
  <c r="AS67" i="3"/>
  <c r="AW76" i="3"/>
  <c r="AW96" i="3"/>
  <c r="AY55" i="3"/>
  <c r="AY71" i="3"/>
  <c r="AW89" i="3"/>
  <c r="AF49" i="3"/>
  <c r="CI193" i="1" l="1"/>
  <c r="CI195" i="1" s="1"/>
  <c r="CI66" i="1"/>
  <c r="CL69" i="1" s="1"/>
  <c r="CI52" i="1"/>
  <c r="CL54" i="1"/>
  <c r="CI119" i="1"/>
  <c r="CI120" i="1" s="1"/>
  <c r="CQ202" i="1"/>
  <c r="CR140" i="1"/>
  <c r="CR202" i="1" s="1"/>
  <c r="CL86" i="1"/>
  <c r="CL87" i="1"/>
  <c r="CO186" i="1"/>
  <c r="CK69" i="1"/>
  <c r="CJ69" i="1"/>
  <c r="CJ85" i="1" s="1"/>
  <c r="CQ184" i="1"/>
  <c r="CP185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CJ86" i="1" l="1"/>
  <c r="CJ87" i="1"/>
  <c r="CS140" i="1"/>
  <c r="CS202" i="1" s="1"/>
  <c r="CI207" i="1"/>
  <c r="CI205" i="1" s="1"/>
  <c r="CJ207" i="1"/>
  <c r="CJ205" i="1" s="1"/>
  <c r="CI92" i="1"/>
  <c r="CI129" i="1"/>
  <c r="CP186" i="1"/>
  <c r="CK87" i="1"/>
  <c r="CK86" i="1"/>
  <c r="CR184" i="1"/>
  <c r="CQ185" i="1"/>
  <c r="CQ182" i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T140" i="1" l="1"/>
  <c r="CT202" i="1" s="1"/>
  <c r="CI94" i="1"/>
  <c r="CI96" i="1"/>
  <c r="CI95" i="1"/>
  <c r="CC202" i="1"/>
  <c r="CF28" i="1"/>
  <c r="AA60" i="1" s="1"/>
  <c r="CS184" i="1"/>
  <c r="CR185" i="1"/>
  <c r="CG249" i="1"/>
  <c r="CM11" i="1"/>
  <c r="CN11" i="1" s="1"/>
  <c r="CO11" i="1" s="1"/>
  <c r="CP11" i="1" s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G251" i="1"/>
  <c r="CT184" i="1"/>
  <c r="CS185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A203" i="1"/>
  <c r="CA201" i="1" s="1"/>
  <c r="CB203" i="1"/>
  <c r="CB201" i="1" s="1"/>
  <c r="CE203" i="1"/>
  <c r="CE201" i="1" s="1"/>
  <c r="CF203" i="1"/>
  <c r="CF201" i="1" s="1"/>
  <c r="CD111" i="1"/>
  <c r="CD114" i="1" s="1"/>
  <c r="CD110" i="1"/>
  <c r="CD113" i="1" s="1"/>
  <c r="CU181" i="1"/>
  <c r="CT182" i="1"/>
  <c r="CT186" i="1" s="1"/>
  <c r="CH203" i="1"/>
  <c r="CH201" i="1" s="1"/>
  <c r="CH213" i="1" s="1"/>
  <c r="CG203" i="1"/>
  <c r="CG201" i="1" s="1"/>
  <c r="CG213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CG210" i="1"/>
  <c r="CV184" i="1"/>
  <c r="CU185" i="1"/>
  <c r="CU182" i="1"/>
  <c r="CU186" i="1" s="1"/>
  <c r="CV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G160" i="1" l="1"/>
  <c r="CG161" i="1" s="1"/>
  <c r="CG211" i="1" s="1"/>
  <c r="CW184" i="1"/>
  <c r="CV185" i="1"/>
  <c r="CW181" i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H209" i="1" l="1"/>
  <c r="CH210" i="1" s="1"/>
  <c r="CH211" i="1" s="1"/>
  <c r="CG244" i="1"/>
  <c r="CG246" i="1"/>
  <c r="CG165" i="1"/>
  <c r="CG166" i="1" s="1"/>
  <c r="CG168" i="1"/>
  <c r="CX184" i="1"/>
  <c r="CW185" i="1"/>
  <c r="CW182" i="1"/>
  <c r="CW186" i="1" s="1"/>
  <c r="CX181" i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Z181" i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182" i="1"/>
  <c r="CZ186" i="1" s="1"/>
  <c r="DA181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B181" i="1"/>
  <c r="DB182" i="1" s="1"/>
  <c r="DA182" i="1"/>
  <c r="DA206" i="1"/>
  <c r="DA249" i="1"/>
  <c r="DB206" i="1"/>
  <c r="DB249" i="1"/>
  <c r="CX11" i="1"/>
  <c r="CY11" i="1" s="1"/>
  <c r="CZ11" i="1" s="1"/>
  <c r="AD20" i="1"/>
  <c r="BY234" i="1"/>
  <c r="DA186" i="1" l="1"/>
  <c r="DB186" i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AB202" i="1" l="1"/>
  <c r="CM63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E73" i="3" s="1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F23" i="2"/>
  <c r="H9" i="2"/>
  <c r="F10" i="2"/>
  <c r="U27" i="2"/>
  <c r="H8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DP12" i="4" a="1"/>
  <c r="CM7" i="4" a="1"/>
  <c r="D15" i="4" a="1"/>
  <c r="AY12" i="4" a="1"/>
  <c r="AM6" i="4" a="1"/>
  <c r="L5" i="4" a="1"/>
  <c r="U29" i="2"/>
  <c r="P22" i="2"/>
  <c r="S19" i="2"/>
  <c r="T14" i="2"/>
  <c r="U26" i="2"/>
  <c r="J5" i="2"/>
  <c r="AR91" i="3"/>
  <c r="L27" i="2"/>
  <c r="W45" i="3"/>
  <c r="G5" i="3"/>
  <c r="AN45" i="3"/>
  <c r="C46" i="3"/>
  <c r="D8" i="3"/>
  <c r="N46" i="3"/>
  <c r="D20" i="3"/>
  <c r="D7" i="3"/>
  <c r="N9" i="4" a="1"/>
  <c r="CI7" i="4" a="1"/>
  <c r="BC9" i="4" a="1"/>
  <c r="BI13" i="4" a="1"/>
  <c r="BD15" i="4" a="1"/>
  <c r="AB13" i="4" a="1"/>
  <c r="AZ7" i="4" a="1"/>
  <c r="BZ5" i="4" a="1"/>
  <c r="AD11" i="4" a="1"/>
  <c r="CS8" i="4" a="1"/>
  <c r="CZ15" i="4" a="1"/>
  <c r="CK14" i="4" a="1"/>
  <c r="BO12" i="4" a="1"/>
  <c r="BQ9" i="4" a="1"/>
  <c r="AB9" i="4" a="1"/>
  <c r="BO5" i="4" a="1"/>
  <c r="EJ7" i="4" a="1"/>
  <c r="AZ8" i="4" a="1"/>
  <c r="AY6" i="4" a="1"/>
  <c r="BK15" i="4" a="1"/>
  <c r="P8" i="4" a="1"/>
  <c r="BX5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O32" i="2"/>
  <c r="D29" i="2"/>
  <c r="G10" i="2"/>
  <c r="E24" i="2"/>
  <c r="P5" i="2"/>
  <c r="J11" i="2"/>
  <c r="F22" i="2"/>
  <c r="J34" i="2"/>
  <c r="F17" i="3"/>
  <c r="AR9" i="3"/>
  <c r="AR42" i="3"/>
  <c r="F13" i="3"/>
  <c r="D27" i="3"/>
  <c r="AR39" i="3"/>
  <c r="E34" i="3"/>
  <c r="AR23" i="3"/>
  <c r="CI14" i="4" a="1"/>
  <c r="CY6" i="4" a="1"/>
  <c r="DH14" i="4" a="1"/>
  <c r="DL15" i="4" a="1"/>
  <c r="AD8" i="4" a="1"/>
  <c r="CD5" i="4" a="1"/>
  <c r="DH12" i="4" a="1"/>
  <c r="CA15" i="4" a="1"/>
  <c r="X7" i="4" a="1"/>
  <c r="DZ16" i="4" a="1"/>
  <c r="AO5" i="4" a="1"/>
  <c r="AG9" i="4" a="1"/>
  <c r="CW7" i="4" a="1"/>
  <c r="BR13" i="4" a="1"/>
  <c r="AF8" i="4" a="1"/>
  <c r="DQ11" i="4" a="1"/>
  <c r="AP15" i="4" a="1"/>
  <c r="DU5" i="4" a="1"/>
  <c r="DI13" i="4" a="1"/>
  <c r="CN15" i="4" a="1"/>
  <c r="BS15" i="4" a="1"/>
  <c r="AE12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Q78" i="2"/>
  <c r="Q14" i="2"/>
  <c r="Q27" i="2"/>
  <c r="I22" i="2"/>
  <c r="T6" i="2"/>
  <c r="U28" i="2"/>
  <c r="N8" i="2"/>
  <c r="V15" i="2"/>
  <c r="S46" i="3"/>
  <c r="AD15" i="3"/>
  <c r="R46" i="3"/>
  <c r="O45" i="3"/>
  <c r="F11" i="3"/>
  <c r="AJ45" i="3"/>
  <c r="G30" i="3"/>
  <c r="D14" i="3"/>
  <c r="ED16" i="4" a="1"/>
  <c r="DM5" i="4" a="1"/>
  <c r="AO12" i="4" a="1"/>
  <c r="DE11" i="4" a="1"/>
  <c r="BZ15" i="4" a="1"/>
  <c r="AF16" i="4" a="1"/>
  <c r="CB13" i="4" a="1"/>
  <c r="EG16" i="4" a="1"/>
  <c r="DF7" i="4" a="1"/>
  <c r="V12" i="4" a="1"/>
  <c r="BT9" i="4" a="1"/>
  <c r="M14" i="4" a="1"/>
  <c r="CU8" i="4" a="1"/>
  <c r="DD9" i="4" a="1"/>
  <c r="CM13" i="4" a="1"/>
  <c r="DN12" i="4" a="1"/>
  <c r="BY15" i="4" a="1"/>
  <c r="EA8" i="4" a="1"/>
  <c r="CA9" i="4" a="1"/>
  <c r="BV15" i="4" a="1"/>
  <c r="DE16" i="4" a="1"/>
  <c r="DO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L23" i="2"/>
  <c r="S17" i="2"/>
  <c r="I35" i="2"/>
  <c r="O34" i="2"/>
  <c r="O23" i="2"/>
  <c r="U33" i="2"/>
  <c r="K14" i="2"/>
  <c r="O14" i="2"/>
  <c r="F22" i="3"/>
  <c r="AA45" i="3"/>
  <c r="V45" i="3"/>
  <c r="E35" i="3"/>
  <c r="D45" i="3"/>
  <c r="D38" i="3"/>
  <c r="F15" i="3"/>
  <c r="I45" i="3"/>
  <c r="DV16" i="4" a="1"/>
  <c r="EC15" i="4" a="1"/>
  <c r="BX9" i="4" a="1"/>
  <c r="EG12" i="4" a="1"/>
  <c r="CG16" i="4" a="1"/>
  <c r="EC7" i="4" a="1"/>
  <c r="S15" i="4" a="1"/>
  <c r="AB11" i="4" a="1"/>
  <c r="CX6" i="4" a="1"/>
  <c r="AQ13" i="4" a="1"/>
  <c r="CJ9" i="4" a="1"/>
  <c r="BI6" i="4" a="1"/>
  <c r="W13" i="4" a="1"/>
  <c r="CU9" i="4" a="1"/>
  <c r="EK8" i="4" a="1"/>
  <c r="AP16" i="4" a="1"/>
  <c r="AH15" i="4" a="1"/>
  <c r="CQ8" i="4" a="1"/>
  <c r="BS16" i="4" a="1"/>
  <c r="CR9" i="4" a="1"/>
  <c r="W12" i="4" a="1"/>
  <c r="AX16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X11" i="2"/>
  <c r="W35" i="2"/>
  <c r="I17" i="2"/>
  <c r="N6" i="2"/>
  <c r="J17" i="2"/>
  <c r="D11" i="2"/>
  <c r="P21" i="2"/>
  <c r="E45" i="2"/>
  <c r="G11" i="3"/>
  <c r="D26" i="3"/>
  <c r="AR40" i="3"/>
  <c r="F6" i="3"/>
  <c r="P46" i="3"/>
  <c r="Z46" i="3"/>
  <c r="AH45" i="3"/>
  <c r="J45" i="3"/>
  <c r="DO5" i="4" a="1"/>
  <c r="Z8" i="4" a="1"/>
  <c r="EI16" i="4" a="1"/>
  <c r="D8" i="4" a="1"/>
  <c r="BQ7" i="4" a="1"/>
  <c r="Q12" i="4" a="1"/>
  <c r="BG8" i="4" a="1"/>
  <c r="AR11" i="4" a="1"/>
  <c r="W5" i="4" a="1"/>
  <c r="DC12" i="4" a="1"/>
  <c r="CD8" i="4" a="1"/>
  <c r="BY5" i="4" a="1"/>
  <c r="AX6" i="4" a="1"/>
  <c r="X8" i="4" a="1"/>
  <c r="EA13" i="4" a="1"/>
  <c r="X6" i="4" a="1"/>
  <c r="U9" i="4" a="1"/>
  <c r="EA15" i="4" a="1"/>
  <c r="F8" i="4" a="1"/>
  <c r="DV15" i="4" a="1"/>
  <c r="AD12" i="4" a="1"/>
  <c r="AI5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J12" i="4" a="1"/>
  <c r="AV7" i="4" a="1"/>
  <c r="C6" i="2"/>
  <c r="V23" i="2"/>
  <c r="G35" i="2"/>
  <c r="F29" i="2"/>
  <c r="R27" i="2"/>
  <c r="R19" i="2"/>
  <c r="K27" i="2"/>
  <c r="AR78" i="3"/>
  <c r="D19" i="3"/>
  <c r="D34" i="3"/>
  <c r="T45" i="3"/>
  <c r="AL46" i="3"/>
  <c r="E13" i="3"/>
  <c r="AR14" i="3"/>
  <c r="AD16" i="3"/>
  <c r="E8" i="3"/>
  <c r="AZ14" i="4" a="1"/>
  <c r="BK8" i="4" a="1"/>
  <c r="CF7" i="4" a="1"/>
  <c r="AC11" i="4" a="1"/>
  <c r="BD6" i="4" a="1"/>
  <c r="BC12" i="4" a="1"/>
  <c r="DI14" i="4" a="1"/>
  <c r="EA5" i="4" a="1"/>
  <c r="BK6" i="4" a="1"/>
  <c r="AO11" i="4" a="1"/>
  <c r="CH7" i="4" a="1"/>
  <c r="Y8" i="4" a="1"/>
  <c r="CI13" i="4" a="1"/>
  <c r="DL11" i="4" a="1"/>
  <c r="CM6" i="4" a="1"/>
  <c r="AK5" i="4" a="1"/>
  <c r="CS15" i="4" a="1"/>
  <c r="Y6" i="4" a="1"/>
  <c r="EF5" i="4" a="1"/>
  <c r="BG11" i="4" a="1"/>
  <c r="CT7" i="4" a="1"/>
  <c r="D7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E5" i="4" a="1"/>
  <c r="S12" i="2"/>
  <c r="P36" i="2"/>
  <c r="F20" i="2"/>
  <c r="W15" i="2"/>
  <c r="N21" i="2"/>
  <c r="J23" i="2"/>
  <c r="N20" i="2"/>
  <c r="AG45" i="3"/>
  <c r="F20" i="3"/>
  <c r="E32" i="3"/>
  <c r="G45" i="3"/>
  <c r="Z45" i="3"/>
  <c r="AC45" i="3"/>
  <c r="AO45" i="3"/>
  <c r="AR29" i="3"/>
  <c r="G22" i="3"/>
  <c r="AF7" i="4" a="1"/>
  <c r="BM8" i="4" a="1"/>
  <c r="J16" i="4" a="1"/>
  <c r="CR8" i="4" a="1"/>
  <c r="C15" i="4" a="1"/>
  <c r="CF9" i="4" a="1"/>
  <c r="L20" i="2"/>
  <c r="C28" i="2"/>
  <c r="R14" i="2"/>
  <c r="X30" i="2"/>
  <c r="V11" i="2"/>
  <c r="F32" i="2"/>
  <c r="D14" i="2"/>
  <c r="G7" i="3"/>
  <c r="AR12" i="3"/>
  <c r="AR33" i="3"/>
  <c r="E23" i="3"/>
  <c r="AQ45" i="3"/>
  <c r="G10" i="3"/>
  <c r="F5" i="3"/>
  <c r="AR10" i="3"/>
  <c r="AK45" i="3"/>
  <c r="CX7" i="4" a="1"/>
  <c r="AK11" i="4" a="1"/>
  <c r="CB7" i="4" a="1"/>
  <c r="BV5" i="4" a="1"/>
  <c r="I14" i="4" a="1"/>
  <c r="CQ14" i="4" a="1"/>
  <c r="CG12" i="4" a="1"/>
  <c r="CY16" i="4" a="1"/>
  <c r="AG15" i="4" a="1"/>
  <c r="K14" i="4" a="1"/>
  <c r="AV16" i="4" a="1"/>
  <c r="AC12" i="4" a="1"/>
  <c r="DL13" i="4" a="1"/>
  <c r="BH14" i="4" a="1"/>
  <c r="BC5" i="4" a="1"/>
  <c r="T8" i="4" a="1"/>
  <c r="Q5" i="4" a="1"/>
  <c r="ED6" i="4" a="1"/>
  <c r="DA8" i="4" a="1"/>
  <c r="CE6" i="4" a="1"/>
  <c r="BG12" i="4" a="1"/>
  <c r="DF16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U30" i="2"/>
  <c r="L19" i="2"/>
  <c r="L31" i="2"/>
  <c r="C18" i="2"/>
  <c r="Q36" i="2"/>
  <c r="C23" i="2"/>
  <c r="H5" i="2"/>
  <c r="AA46" i="3"/>
  <c r="D24" i="3"/>
  <c r="AD18" i="3"/>
  <c r="AH46" i="3"/>
  <c r="G21" i="3"/>
  <c r="G13" i="3"/>
  <c r="AR18" i="3"/>
  <c r="G20" i="3"/>
  <c r="AR16" i="3"/>
  <c r="AB12" i="4" a="1"/>
  <c r="J8" i="4" a="1"/>
  <c r="AN7" i="4" a="1"/>
  <c r="DT12" i="4" a="1"/>
  <c r="AI11" i="4" a="1"/>
  <c r="CS14" i="4" a="1"/>
  <c r="EK15" i="4" a="1"/>
  <c r="ED14" i="4" a="1"/>
  <c r="M5" i="4" a="1"/>
  <c r="R11" i="4" a="1"/>
  <c r="DE12" i="4" a="1"/>
  <c r="J7" i="4" a="1"/>
  <c r="AL5" i="4" a="1"/>
  <c r="CF14" i="4" a="1"/>
  <c r="DF13" i="4" a="1"/>
  <c r="V5" i="4" a="1"/>
  <c r="AI8" i="4" a="1"/>
  <c r="BU13" i="4" a="1"/>
  <c r="CF6" i="4" a="1"/>
  <c r="EG6" i="4" a="1"/>
  <c r="DZ6" i="4" a="1"/>
  <c r="BO13" i="4" a="1"/>
  <c r="DU11" i="4" a="1"/>
  <c r="BV16" i="4" a="1"/>
  <c r="E19" i="2"/>
  <c r="K7" i="2"/>
  <c r="M13" i="2"/>
  <c r="V31" i="2"/>
  <c r="AR60" i="3"/>
  <c r="M31" i="2"/>
  <c r="K15" i="2"/>
  <c r="E9" i="3"/>
  <c r="E28" i="3"/>
  <c r="AP45" i="3"/>
  <c r="AR17" i="3"/>
  <c r="G18" i="3"/>
  <c r="E31" i="3"/>
  <c r="E30" i="3"/>
  <c r="D18" i="3"/>
  <c r="AD11" i="3"/>
  <c r="DO14" i="4" a="1"/>
  <c r="AG7" i="4" a="1"/>
  <c r="AI16" i="4" a="1"/>
  <c r="BF7" i="4" a="1"/>
  <c r="BL9" i="4" a="1"/>
  <c r="EI14" i="4" a="1"/>
  <c r="AH8" i="4" a="1"/>
  <c r="AK13" i="4" a="1"/>
  <c r="CV9" i="4" a="1"/>
  <c r="BP11" i="4" a="1"/>
  <c r="DG11" i="4" a="1"/>
  <c r="X15" i="4" a="1"/>
  <c r="F16" i="4" a="1"/>
  <c r="O6" i="4" a="1"/>
  <c r="CP13" i="4" a="1"/>
  <c r="DF11" i="4" a="1"/>
  <c r="CF12" i="4" a="1"/>
  <c r="AU13" i="4" a="1"/>
  <c r="BB16" i="4" a="1"/>
  <c r="BK11" i="4" a="1"/>
  <c r="DP15" i="4" a="1"/>
  <c r="AP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K13" i="2"/>
  <c r="H36" i="2"/>
  <c r="V22" i="2"/>
  <c r="H10" i="2"/>
  <c r="AR49" i="3"/>
  <c r="R7" i="2"/>
  <c r="U9" i="2"/>
  <c r="F39" i="3"/>
  <c r="E41" i="3"/>
  <c r="AD13" i="3"/>
  <c r="AR27" i="3"/>
  <c r="AP46" i="3"/>
  <c r="AD12" i="3"/>
  <c r="E12" i="3"/>
  <c r="U46" i="3"/>
  <c r="AR35" i="3"/>
  <c r="BY7" i="4" a="1"/>
  <c r="AK9" i="4" a="1"/>
  <c r="AI14" i="4" a="1"/>
  <c r="AK8" i="4" a="1"/>
  <c r="CN11" i="4" a="1"/>
  <c r="DQ16" i="4" a="1"/>
  <c r="BN16" i="4" a="1"/>
  <c r="J5" i="4" a="1"/>
  <c r="AE16" i="4" a="1"/>
  <c r="P14" i="4" a="1"/>
  <c r="AI13" i="4" a="1"/>
  <c r="BI5" i="4" a="1"/>
  <c r="AK6" i="4" a="1"/>
  <c r="BE7" i="4" a="1"/>
  <c r="AH5" i="4" a="1"/>
  <c r="DK13" i="4" a="1"/>
  <c r="CE5" i="4" a="1"/>
  <c r="DS6" i="4" a="1"/>
  <c r="DR12" i="4" a="1"/>
  <c r="CA12" i="4" a="1"/>
  <c r="W8" i="4" a="1"/>
  <c r="BZ11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L33" i="2"/>
  <c r="G23" i="3"/>
  <c r="BE12" i="4" a="1"/>
  <c r="BL8" i="4" a="1"/>
  <c r="BB6" i="4" a="1"/>
  <c r="DG14" i="4" a="1"/>
  <c r="AB5" i="4" a="1"/>
  <c r="AA13" i="4" a="1"/>
  <c r="BU14" i="4" a="1"/>
  <c r="AR9" i="4" a="1"/>
  <c r="BW6" i="4" a="1"/>
  <c r="CR16" i="4" a="1"/>
  <c r="CN12" i="4" a="1"/>
  <c r="AT5" i="4" a="1"/>
  <c r="DA12" i="4" a="1"/>
  <c r="X14" i="4" a="1"/>
  <c r="CT6" i="4" a="1"/>
  <c r="H12" i="4" a="1"/>
  <c r="CI5" i="4" a="1"/>
  <c r="CV15" i="4" a="1"/>
  <c r="CR12" i="4" a="1"/>
  <c r="EC5" i="4" a="1"/>
  <c r="DR9" i="4" a="1"/>
  <c r="AI6" i="4" a="1"/>
  <c r="BT12" i="4" a="1"/>
  <c r="DR15" i="4" a="1"/>
  <c r="DY7" i="4" a="1"/>
  <c r="BB7" i="4" a="1"/>
  <c r="CP16" i="4" a="1"/>
  <c r="CW12" i="4" a="1"/>
  <c r="DD7" i="4" a="1"/>
  <c r="DW9" i="4" a="1"/>
  <c r="O15" i="4" a="1"/>
  <c r="BQ12" i="4" a="1"/>
  <c r="S16" i="4" a="1"/>
  <c r="DE7" i="4" a="1"/>
  <c r="AN16" i="4" a="1"/>
  <c r="L12" i="4" a="1"/>
  <c r="BG9" i="4" a="1"/>
  <c r="EE7" i="4" a="1"/>
  <c r="EG13" i="4" a="1"/>
  <c r="CQ16" i="4" a="1"/>
  <c r="DL8" i="4" a="1"/>
  <c r="S6" i="4" a="1"/>
  <c r="AV13" i="4" a="1"/>
  <c r="U13" i="4" a="1"/>
  <c r="DW12" i="4" a="1"/>
  <c r="EI15" i="4" a="1"/>
  <c r="DV14" i="4" a="1"/>
  <c r="DN5" i="4" a="1"/>
  <c r="BX15" i="4" a="1"/>
  <c r="EJ15" i="4" a="1"/>
  <c r="E7" i="4" a="1"/>
  <c r="G16" i="4" a="1"/>
  <c r="DJ15" i="4" a="1"/>
  <c r="CP11" i="4" a="1"/>
  <c r="AD14" i="4" a="1"/>
  <c r="BS9" i="4" a="1"/>
  <c r="BO11" i="4" a="1"/>
  <c r="DN11" i="4" a="1"/>
  <c r="AI12" i="4" a="1"/>
  <c r="CG15" i="4" a="1"/>
  <c r="BN14" i="4" a="1"/>
  <c r="Q16" i="4" a="1"/>
  <c r="DV13" i="4" a="1"/>
  <c r="DK11" i="4" a="1"/>
  <c r="DP13" i="4" a="1"/>
  <c r="EC6" i="4" a="1"/>
  <c r="AG6" i="4" a="1"/>
  <c r="EK9" i="4" a="1"/>
  <c r="AD13" i="4" a="1"/>
  <c r="H8" i="4" a="1"/>
  <c r="BM6" i="4" a="1"/>
  <c r="CJ6" i="4" a="1"/>
  <c r="AM13" i="4" a="1"/>
  <c r="AH16" i="4" a="1"/>
  <c r="BZ6" i="4" a="1"/>
  <c r="AE8" i="4" a="1"/>
  <c r="DR13" i="4" a="1"/>
  <c r="AJ6" i="4" a="1"/>
  <c r="CN5" i="4" a="1"/>
  <c r="R34" i="2"/>
  <c r="AR26" i="3"/>
  <c r="U16" i="4" a="1"/>
  <c r="DP11" i="4" a="1"/>
  <c r="CS12" i="4" a="1"/>
  <c r="EI9" i="4" a="1"/>
  <c r="DX8" i="4" a="1"/>
  <c r="EA7" i="4" a="1"/>
  <c r="L16" i="4" a="1"/>
  <c r="BD12" i="4" a="1"/>
  <c r="BC13" i="4" a="1"/>
  <c r="DC13" i="4" a="1"/>
  <c r="K12" i="4" a="1"/>
  <c r="CD12" i="4" a="1"/>
  <c r="BB5" i="4" a="1"/>
  <c r="CT9" i="4" a="1"/>
  <c r="BL11" i="4" a="1"/>
  <c r="O9" i="4" a="1"/>
  <c r="DK6" i="4" a="1"/>
  <c r="W7" i="4" a="1"/>
  <c r="DD11" i="4" a="1"/>
  <c r="Y9" i="4" a="1"/>
  <c r="AT16" i="4" a="1"/>
  <c r="DZ8" i="4" a="1"/>
  <c r="AX12" i="4" a="1"/>
  <c r="EB12" i="4" a="1"/>
  <c r="DQ12" i="4" a="1"/>
  <c r="Z13" i="4" a="1"/>
  <c r="BO7" i="4" a="1"/>
  <c r="CY5" i="4" a="1"/>
  <c r="H11" i="4" a="1"/>
  <c r="AT11" i="4" a="1"/>
  <c r="Q31" i="2"/>
  <c r="D31" i="3"/>
  <c r="AC14" i="4" a="1"/>
  <c r="DB16" i="4" a="1"/>
  <c r="CT12" i="4" a="1"/>
  <c r="AL15" i="4" a="1"/>
  <c r="Z16" i="4" a="1"/>
  <c r="BV8" i="4" a="1"/>
  <c r="AR5" i="4" a="1"/>
  <c r="DF6" i="4" a="1"/>
  <c r="AS13" i="4" a="1"/>
  <c r="DR6" i="4" a="1"/>
  <c r="CT13" i="4" a="1"/>
  <c r="I8" i="4" a="1"/>
  <c r="EE15" i="4" a="1"/>
  <c r="CO14" i="4" a="1"/>
  <c r="D16" i="4" a="1"/>
  <c r="AS14" i="4" a="1"/>
  <c r="Q8" i="4" a="1"/>
  <c r="M12" i="4" a="1"/>
  <c r="BD9" i="4" a="1"/>
  <c r="BH8" i="4" a="1"/>
  <c r="CX8" i="4" a="1"/>
  <c r="CE14" i="4" a="1"/>
  <c r="DY6" i="4" a="1"/>
  <c r="BM12" i="4" a="1"/>
  <c r="CG11" i="4" a="1"/>
  <c r="F5" i="4" a="1"/>
  <c r="BH13" i="4" a="1"/>
  <c r="DJ13" i="4" a="1"/>
  <c r="DU14" i="4" a="1"/>
  <c r="DZ15" i="4" a="1"/>
  <c r="BA13" i="4" a="1"/>
  <c r="BP6" i="4" a="1"/>
  <c r="CL14" i="4" a="1"/>
  <c r="DB15" i="4" a="1"/>
  <c r="CI9" i="4" a="1"/>
  <c r="K5" i="4" a="1"/>
  <c r="CZ6" i="4" a="1"/>
  <c r="AO15" i="4" a="1"/>
  <c r="BD7" i="4" a="1"/>
  <c r="AJ15" i="4" a="1"/>
  <c r="AC7" i="4" a="1"/>
  <c r="BK16" i="4" a="1"/>
  <c r="BU5" i="4" a="1"/>
  <c r="C12" i="4" a="1"/>
  <c r="DT15" i="4" a="1"/>
  <c r="BF8" i="4" a="1"/>
  <c r="O13" i="4" a="1"/>
  <c r="BP13" i="4" a="1"/>
  <c r="Z11" i="4" a="1"/>
  <c r="G15" i="3"/>
  <c r="BE16" i="4" a="1"/>
  <c r="E11" i="4" a="1"/>
  <c r="E12" i="2"/>
  <c r="F28" i="3"/>
  <c r="BS7" i="4" a="1"/>
  <c r="BI7" i="4" a="1"/>
  <c r="BJ9" i="4" a="1"/>
  <c r="DY14" i="4" a="1"/>
  <c r="AJ9" i="4" a="1"/>
  <c r="BX12" i="4" a="1"/>
  <c r="BW7" i="4" a="1"/>
  <c r="F7" i="4" a="1"/>
  <c r="CR6" i="4" a="1"/>
  <c r="N7" i="4" a="1"/>
  <c r="BS11" i="4" a="1"/>
  <c r="AZ13" i="4" a="1"/>
  <c r="E8" i="4" a="1"/>
  <c r="CQ12" i="4" a="1"/>
  <c r="CC6" i="4" a="1"/>
  <c r="BT6" i="4" a="1"/>
  <c r="CU14" i="4" a="1"/>
  <c r="DD5" i="4" a="1"/>
  <c r="CA5" i="4" a="1"/>
  <c r="CY12" i="4" a="1"/>
  <c r="CG9" i="4" a="1"/>
  <c r="V13" i="4" a="1"/>
  <c r="M8" i="4" a="1"/>
  <c r="DH7" i="4" a="1"/>
  <c r="DU13" i="4" a="1"/>
  <c r="AU9" i="4" a="1"/>
  <c r="AN5" i="4" a="1"/>
  <c r="CB6" i="4" a="1"/>
  <c r="EG11" i="4" a="1"/>
  <c r="J11" i="4" a="1"/>
  <c r="DS7" i="4" a="1"/>
  <c r="AM16" i="4" a="1"/>
  <c r="EB13" i="4" a="1"/>
  <c r="CC9" i="4" a="1"/>
  <c r="CW8" i="4" a="1"/>
  <c r="AQ11" i="4" a="1"/>
  <c r="CZ14" i="4" a="1"/>
  <c r="H13" i="4" a="1"/>
  <c r="CJ15" i="4" a="1"/>
  <c r="BO6" i="4" a="1"/>
  <c r="EB9" i="4" a="1"/>
  <c r="DA5" i="4" a="1"/>
  <c r="BL6" i="4" a="1"/>
  <c r="BH11" i="4" a="1"/>
  <c r="BQ5" i="4" a="1"/>
  <c r="T11" i="4" a="1"/>
  <c r="I6" i="4" a="1"/>
  <c r="CE15" i="4" a="1"/>
  <c r="S13" i="4" a="1"/>
  <c r="Q11" i="4" a="1"/>
  <c r="CA13" i="4" a="1"/>
  <c r="DD15" i="4" a="1"/>
  <c r="BW14" i="4" a="1"/>
  <c r="K11" i="4" a="1"/>
  <c r="DU12" i="4" a="1"/>
  <c r="CO11" i="4" a="1"/>
  <c r="CW15" i="4" a="1"/>
  <c r="BT11" i="4" a="1"/>
  <c r="DA6" i="4" a="1"/>
  <c r="DD14" i="4" a="1"/>
  <c r="AN14" i="4" a="1"/>
  <c r="DM7" i="4" a="1"/>
  <c r="CH13" i="4" a="1"/>
  <c r="DR8" i="4" a="1"/>
  <c r="BG13" i="4" a="1"/>
  <c r="CU15" i="4" a="1"/>
  <c r="CU13" i="4" a="1"/>
  <c r="N5" i="4" a="1"/>
  <c r="DF9" i="4" a="1"/>
  <c r="S14" i="4" a="1"/>
  <c r="CF5" i="4" a="1"/>
  <c r="CY7" i="4" a="1"/>
  <c r="Y13" i="4" a="1"/>
  <c r="BF15" i="4" a="1"/>
  <c r="DS11" i="4" a="1"/>
  <c r="C10" i="2"/>
  <c r="BF9" i="4" a="1"/>
  <c r="DI8" i="4" a="1"/>
  <c r="EI6" i="4" a="1"/>
  <c r="T12" i="4" a="1"/>
  <c r="Z5" i="4" a="1"/>
  <c r="BT16" i="4" a="1"/>
  <c r="EG7" i="4" a="1"/>
  <c r="CM15" i="4" a="1"/>
  <c r="EA9" i="4" a="1"/>
  <c r="L11" i="4" a="1"/>
  <c r="CP15" i="4" a="1"/>
  <c r="AC5" i="4" a="1"/>
  <c r="ED11" i="4" a="1"/>
  <c r="AU12" i="4" a="1"/>
  <c r="BZ7" i="4" a="1"/>
  <c r="BR15" i="4" a="1"/>
  <c r="AK16" i="4" a="1"/>
  <c r="BD14" i="4" a="1"/>
  <c r="DT14" i="4" a="1"/>
  <c r="CX5" i="4" a="1"/>
  <c r="BV6" i="4" a="1"/>
  <c r="H16" i="4" a="1"/>
  <c r="E15" i="4" a="1"/>
  <c r="EK7" i="4" a="1"/>
  <c r="CA7" i="4" a="1"/>
  <c r="DK15" i="4" a="1"/>
  <c r="AL9" i="4" a="1"/>
  <c r="AQ14" i="4" a="1"/>
  <c r="AY15" i="4" a="1"/>
  <c r="DH16" i="4" a="1"/>
  <c r="EA12" i="4" a="1"/>
  <c r="BL5" i="4" a="1"/>
  <c r="CO8" i="4" a="1"/>
  <c r="CX13" i="4" a="1"/>
  <c r="DE13" i="4" a="1"/>
  <c r="J6" i="4" a="1"/>
  <c r="AT12" i="4" a="1"/>
  <c r="EJ9" i="4" a="1"/>
  <c r="AL14" i="4" a="1"/>
  <c r="EK11" i="4" a="1"/>
  <c r="DH11" i="4" a="1"/>
  <c r="CK12" i="4" a="1"/>
  <c r="EG15" i="4" a="1"/>
  <c r="Q9" i="4" a="1"/>
  <c r="EH12" i="4" a="1"/>
  <c r="CR14" i="4" a="1"/>
  <c r="AQ6" i="4" a="1"/>
  <c r="CS9" i="4" a="1"/>
  <c r="BL14" i="4" a="1"/>
  <c r="CV11" i="4" a="1"/>
  <c r="AC13" i="4" a="1"/>
  <c r="DS15" i="4" a="1"/>
  <c r="BI12" i="4" a="1"/>
  <c r="AL16" i="4" a="1"/>
  <c r="BK14" i="4" a="1"/>
  <c r="N14" i="4" a="1"/>
  <c r="DJ11" i="4" a="1"/>
  <c r="BQ13" i="4" a="1"/>
  <c r="EK6" i="4" a="1"/>
  <c r="AO14" i="4" a="1"/>
  <c r="ED5" i="4" a="1"/>
  <c r="DK9" i="4" a="1"/>
  <c r="AR15" i="4" a="1"/>
  <c r="DD16" i="4" a="1"/>
  <c r="AR75" i="3"/>
  <c r="CM12" i="4" a="1"/>
  <c r="AE7" i="4" a="1"/>
  <c r="DG5" i="4" a="1"/>
  <c r="DQ5" i="4" a="1"/>
  <c r="BB14" i="4" a="1"/>
  <c r="AW7" i="4" a="1"/>
  <c r="G14" i="4" a="1"/>
  <c r="BM9" i="4" a="1"/>
  <c r="P6" i="4" a="1"/>
  <c r="U6" i="4" a="1"/>
  <c r="DX11" i="4" a="1"/>
  <c r="U8" i="4" a="1"/>
  <c r="EC12" i="4" a="1"/>
  <c r="BW13" i="4" a="1"/>
  <c r="DO15" i="4" a="1"/>
  <c r="DZ7" i="4" a="1"/>
  <c r="CG5" i="4" a="1"/>
  <c r="EF11" i="4" a="1"/>
  <c r="DX15" i="4" a="1"/>
  <c r="Y14" i="4" a="1"/>
  <c r="AW11" i="4" a="1"/>
  <c r="DH9" i="4" a="1"/>
  <c r="BH15" i="4" a="1"/>
  <c r="ED15" i="4" a="1"/>
  <c r="BF16" i="4" a="1"/>
  <c r="CR15" i="4" a="1"/>
  <c r="DM9" i="4" a="1"/>
  <c r="CV16" i="4" a="1"/>
  <c r="H9" i="4" a="1"/>
  <c r="L15" i="4" a="1"/>
  <c r="BS8" i="4" a="1"/>
  <c r="CA14" i="4" a="1"/>
  <c r="CX11" i="4" a="1"/>
  <c r="BW9" i="4" a="1"/>
  <c r="W16" i="4" a="1"/>
  <c r="BI8" i="4" a="1"/>
  <c r="AP12" i="4" a="1"/>
  <c r="CO12" i="4" a="1"/>
  <c r="BA16" i="4" a="1"/>
  <c r="CQ9" i="4" a="1"/>
  <c r="AF15" i="4" a="1"/>
  <c r="AP8" i="4" a="1"/>
  <c r="BY12" i="4" a="1"/>
  <c r="DY13" i="4" a="1"/>
  <c r="Q6" i="4" a="1"/>
  <c r="DY15" i="4" a="1"/>
  <c r="DT8" i="4" a="1"/>
  <c r="CK9" i="4" a="1"/>
  <c r="BM11" i="4" a="1"/>
  <c r="DI11" i="4" a="1"/>
  <c r="R15" i="4" a="1"/>
  <c r="DZ5" i="4" a="1"/>
  <c r="CM5" i="4" a="1"/>
  <c r="D5" i="4" a="1"/>
  <c r="AZ12" i="4" a="1"/>
  <c r="M15" i="4" a="1"/>
  <c r="CE12" i="4" a="1"/>
  <c r="DW16" i="4" a="1"/>
  <c r="CP14" i="4" a="1"/>
  <c r="AZ9" i="4" a="1"/>
  <c r="L14" i="4" a="1"/>
  <c r="DE6" i="4" a="1"/>
  <c r="AM15" i="4" a="1"/>
  <c r="U31" i="2"/>
  <c r="BE15" i="4" a="1"/>
  <c r="CV12" i="4" a="1"/>
  <c r="EE12" i="4" a="1"/>
  <c r="BA6" i="4" a="1"/>
  <c r="V6" i="4" a="1"/>
  <c r="DJ16" i="4" a="1"/>
  <c r="AL13" i="4" a="1"/>
  <c r="BI14" i="4" a="1"/>
  <c r="DD12" i="4" a="1"/>
  <c r="CA6" i="4" a="1"/>
  <c r="CN9" i="4" a="1"/>
  <c r="DP6" i="4" a="1"/>
  <c r="L13" i="4" a="1"/>
  <c r="BK9" i="4" a="1"/>
  <c r="CN13" i="4" a="1"/>
  <c r="ED7" i="4" a="1"/>
  <c r="DB6" i="4" a="1"/>
  <c r="DS16" i="4" a="1"/>
  <c r="M11" i="4" a="1"/>
  <c r="AH6" i="4" a="1"/>
  <c r="CD13" i="4" a="1"/>
  <c r="T13" i="4" a="1"/>
  <c r="DM14" i="4" a="1"/>
  <c r="CK8" i="4" a="1"/>
  <c r="CH11" i="4" a="1"/>
  <c r="CR11" i="4" a="1"/>
  <c r="CP5" i="4" a="1"/>
  <c r="AR6" i="4" a="1"/>
  <c r="BW8" i="4" a="1"/>
  <c r="L8" i="4" a="1"/>
  <c r="ED13" i="4" a="1"/>
  <c r="EF12" i="4" a="1"/>
  <c r="AN6" i="4" a="1"/>
  <c r="AO6" i="4" a="1"/>
  <c r="BI11" i="4" a="1"/>
  <c r="K13" i="4" a="1"/>
  <c r="EJ8" i="4" a="1"/>
  <c r="BC11" i="4" a="1"/>
  <c r="EB14" i="4" a="1"/>
  <c r="DA16" i="4" a="1"/>
  <c r="EH14" i="4" a="1"/>
  <c r="BM7" i="4" a="1"/>
  <c r="DF8" i="4" a="1"/>
  <c r="BO9" i="4" a="1"/>
  <c r="CD14" i="4" a="1"/>
  <c r="EF8" i="4" a="1"/>
  <c r="AU6" i="4" a="1"/>
  <c r="EK13" i="4" a="1"/>
  <c r="DP5" i="4" a="1"/>
  <c r="EH7" i="4" a="1"/>
  <c r="DL7" i="4" a="1"/>
  <c r="J46" i="3"/>
  <c r="BH5" i="4" a="1"/>
  <c r="CC8" i="4" a="1"/>
  <c r="DQ14" i="4" a="1"/>
  <c r="DC15" i="4" a="1"/>
  <c r="AT8" i="4" a="1"/>
  <c r="F15" i="4" a="1"/>
  <c r="AS15" i="4" a="1"/>
  <c r="CD9" i="4" a="1"/>
  <c r="DF14" i="4" a="1"/>
  <c r="M16" i="4" a="1"/>
  <c r="EA6" i="4" a="1"/>
  <c r="T15" i="4" a="1"/>
  <c r="DZ9" i="4" a="1"/>
  <c r="DJ9" i="4" a="1"/>
  <c r="DW7" i="4" a="1"/>
  <c r="CJ14" i="4" a="1"/>
  <c r="K8" i="4" a="1"/>
  <c r="EE8" i="4" a="1"/>
  <c r="BH9" i="4" a="1"/>
  <c r="CX12" i="4" a="1"/>
  <c r="DH5" i="4" a="1"/>
  <c r="AQ8" i="4" a="1"/>
  <c r="BC7" i="4" a="1"/>
  <c r="BN12" i="4" a="1"/>
  <c r="BU9" i="4" a="1"/>
  <c r="BX7" i="4" a="1"/>
  <c r="CX9" i="4" a="1"/>
  <c r="AR14" i="4" a="1"/>
  <c r="DW11" i="4" a="1"/>
  <c r="AM14" i="4" a="1"/>
  <c r="BA8" i="4" a="1"/>
  <c r="BA12" i="4" a="1"/>
  <c r="DV9" i="4" a="1"/>
  <c r="AB8" i="4" a="1"/>
  <c r="DB11" i="4" a="1"/>
  <c r="EJ11" i="4" a="1"/>
  <c r="DW8" i="4" a="1"/>
  <c r="DS14" i="4" a="1"/>
  <c r="AO9" i="4" a="1"/>
  <c r="EC13" i="4" a="1"/>
  <c r="DN16" i="4" a="1"/>
  <c r="CH9" i="4" a="1"/>
  <c r="K15" i="4" a="1"/>
  <c r="AS5" i="4" a="1"/>
  <c r="EK16" i="4" a="1"/>
  <c r="DJ5" i="4" a="1"/>
  <c r="AU14" i="4" a="1"/>
  <c r="BD8" i="4" a="1"/>
  <c r="AX5" i="4" a="1"/>
  <c r="F19" i="3"/>
  <c r="DP14" i="4" a="1"/>
  <c r="AM5" i="4" a="1"/>
  <c r="AR12" i="4" a="1"/>
  <c r="BM14" i="4" a="1"/>
  <c r="Z7" i="4" a="1"/>
  <c r="DX7" i="4" a="1"/>
  <c r="AL8" i="4" a="1"/>
  <c r="EB5" i="4" a="1"/>
  <c r="CV14" i="4" a="1"/>
  <c r="CQ15" i="4" a="1"/>
  <c r="DG9" i="4" a="1"/>
  <c r="CF15" i="4" a="1"/>
  <c r="DB13" i="4" a="1"/>
  <c r="DN14" i="4" a="1"/>
  <c r="BQ16" i="4" a="1"/>
  <c r="DA13" i="4" a="1"/>
  <c r="Z9" i="4" a="1"/>
  <c r="AY14" i="4" a="1"/>
  <c r="S7" i="4" a="1"/>
  <c r="EA11" i="4" a="1"/>
  <c r="AG13" i="4" a="1"/>
  <c r="CB8" i="4" a="1"/>
  <c r="CZ11" i="4" a="1"/>
  <c r="DO13" i="4" a="1"/>
  <c r="BR8" i="4" a="1"/>
  <c r="CT16" i="4" a="1"/>
  <c r="AE14" i="4" a="1"/>
  <c r="CK7" i="4" a="1"/>
  <c r="O5" i="4" a="1"/>
  <c r="BR16" i="4" a="1"/>
  <c r="AE5" i="4" a="1"/>
  <c r="CL8" i="4" a="1"/>
  <c r="Z12" i="4" a="1"/>
  <c r="G15" i="4" a="1"/>
  <c r="CG13" i="4" a="1"/>
  <c r="AC8" i="4" a="1"/>
  <c r="BX11" i="4" a="1"/>
  <c r="AF6" i="4" a="1"/>
  <c r="CU11" i="4" a="1"/>
  <c r="BF6" i="4" a="1"/>
  <c r="BW5" i="4" a="1"/>
  <c r="AW16" i="4" a="1"/>
  <c r="G5" i="4" a="1"/>
  <c r="CI6" i="4" a="1"/>
  <c r="W14" i="4" a="1"/>
  <c r="AS12" i="4" a="1"/>
  <c r="AH14" i="4" a="1"/>
  <c r="CF13" i="4" a="1"/>
  <c r="AH9" i="4" a="1"/>
  <c r="AF13" i="4" a="1"/>
  <c r="V11" i="4" a="1"/>
  <c r="H5" i="4" a="1"/>
  <c r="CW13" i="4" a="1"/>
  <c r="DX14" i="4" a="1"/>
  <c r="AP5" i="4" a="1"/>
  <c r="W9" i="4" a="1"/>
  <c r="AW15" i="4" a="1"/>
  <c r="R7" i="4" a="1"/>
  <c r="AO13" i="4" a="1"/>
  <c r="S8" i="4" a="1"/>
  <c r="N16" i="4" a="1"/>
  <c r="AT7" i="4" a="1"/>
  <c r="EH13" i="4" a="1"/>
  <c r="CG6" i="4" a="1"/>
  <c r="T14" i="4" a="1"/>
  <c r="ED12" i="4" a="1"/>
  <c r="DO7" i="4" a="1"/>
  <c r="I16" i="4" a="1"/>
  <c r="BB9" i="4" a="1"/>
  <c r="CS16" i="4" a="1"/>
  <c r="DI12" i="4" a="1"/>
  <c r="D29" i="3"/>
  <c r="BK13" i="4" a="1"/>
  <c r="C8" i="4" a="1"/>
  <c r="DJ14" i="4" a="1"/>
  <c r="BH7" i="4" a="1"/>
  <c r="AT6" i="4" a="1"/>
  <c r="AA16" i="4" a="1"/>
  <c r="CB12" i="4" a="1"/>
  <c r="BC16" i="4" a="1"/>
  <c r="AV11" i="4" a="1"/>
  <c r="R8" i="4" a="1"/>
  <c r="DK8" i="4" a="1"/>
  <c r="DT9" i="4" a="1"/>
  <c r="DZ13" i="4" a="1"/>
  <c r="DT5" i="4" a="1"/>
  <c r="AA14" i="4" a="1"/>
  <c r="BJ13" i="4" a="1"/>
  <c r="K46" i="3"/>
  <c r="DR5" i="4" a="1"/>
  <c r="AD5" i="4" a="1"/>
  <c r="BP8" i="4" a="1"/>
  <c r="V16" i="4" a="1"/>
  <c r="BT15" i="4" a="1"/>
  <c r="AQ7" i="4" a="1"/>
  <c r="DJ7" i="4" a="1"/>
  <c r="C11" i="4" a="1"/>
  <c r="DI15" i="4" a="1"/>
  <c r="DI9" i="4" a="1"/>
  <c r="BU11" i="4" a="1"/>
  <c r="AM9" i="4" a="1"/>
  <c r="DI6" i="4" a="1"/>
  <c r="AJ16" i="4" a="1"/>
  <c r="AZ11" i="4" a="1"/>
  <c r="EH11" i="4" a="1"/>
  <c r="Z14" i="4" a="1"/>
  <c r="E54" i="3"/>
  <c r="F93" i="3"/>
  <c r="E85" i="3"/>
  <c r="F56" i="3"/>
  <c r="F49" i="3"/>
  <c r="E67" i="3"/>
  <c r="F91" i="3"/>
  <c r="F61" i="3"/>
  <c r="F76" i="3"/>
  <c r="E93" i="3"/>
  <c r="F65" i="3"/>
  <c r="F67" i="3"/>
  <c r="F79" i="3"/>
  <c r="E55" i="3"/>
  <c r="F89" i="3"/>
  <c r="F66" i="3"/>
  <c r="E84" i="3"/>
  <c r="E57" i="3"/>
  <c r="F77" i="3"/>
  <c r="F69" i="3"/>
  <c r="E95" i="3"/>
  <c r="F73" i="3"/>
  <c r="F87" i="3"/>
  <c r="E80" i="3"/>
  <c r="F71" i="3"/>
  <c r="F58" i="3"/>
  <c r="F92" i="3"/>
  <c r="E92" i="3"/>
  <c r="F96" i="3"/>
  <c r="E60" i="3"/>
  <c r="F64" i="3"/>
  <c r="F97" i="3"/>
  <c r="E61" i="3"/>
  <c r="E87" i="3"/>
  <c r="E96" i="3"/>
  <c r="F47" i="3"/>
  <c r="F95" i="3"/>
  <c r="F86" i="3"/>
  <c r="E72" i="3"/>
  <c r="F70" i="3"/>
  <c r="F63" i="3"/>
  <c r="F94" i="3"/>
  <c r="F88" i="3"/>
  <c r="F85" i="3"/>
  <c r="F90" i="3"/>
  <c r="F60" i="3"/>
  <c r="E76" i="3"/>
  <c r="F54" i="3"/>
  <c r="F74" i="3"/>
  <c r="F48" i="3"/>
  <c r="F72" i="3"/>
  <c r="F83" i="3"/>
  <c r="F68" i="3"/>
  <c r="F57" i="3"/>
  <c r="F62" i="3"/>
  <c r="F78" i="3"/>
  <c r="F59" i="3"/>
  <c r="F55" i="3"/>
  <c r="F81" i="3"/>
  <c r="F80" i="3"/>
  <c r="E58" i="3"/>
  <c r="F84" i="3"/>
  <c r="F75" i="3"/>
  <c r="F50" i="3"/>
  <c r="F82" i="3"/>
  <c r="G65" i="3" l="1"/>
  <c r="G80" i="3"/>
  <c r="G76" i="3"/>
  <c r="G68" i="3"/>
  <c r="G55" i="3"/>
  <c r="G54" i="3"/>
  <c r="G63" i="3"/>
  <c r="G58" i="3"/>
  <c r="G67" i="3"/>
  <c r="G64" i="3"/>
  <c r="G93" i="3"/>
  <c r="G85" i="3"/>
  <c r="G71" i="3"/>
  <c r="G96" i="3"/>
  <c r="G77" i="3"/>
  <c r="G60" i="3"/>
  <c r="G97" i="3"/>
  <c r="G91" i="3"/>
  <c r="G74" i="3"/>
  <c r="G89" i="3"/>
  <c r="G56" i="3"/>
  <c r="G79" i="3"/>
  <c r="G84" i="3"/>
  <c r="G62" i="3"/>
  <c r="G83" i="3"/>
  <c r="G59" i="3"/>
  <c r="G92" i="3"/>
  <c r="G57" i="3"/>
  <c r="G78" i="3"/>
  <c r="G95" i="3"/>
  <c r="G73" i="3"/>
  <c r="G61" i="3"/>
  <c r="G81" i="3"/>
  <c r="G75" i="3"/>
  <c r="G72" i="3"/>
  <c r="G88" i="3"/>
  <c r="G94" i="3"/>
  <c r="G90" i="3"/>
  <c r="G69" i="3"/>
  <c r="G70" i="3"/>
  <c r="G86" i="3"/>
  <c r="G82" i="3"/>
  <c r="G66" i="3"/>
  <c r="G87" i="3"/>
  <c r="D93" i="3"/>
  <c r="E74" i="3"/>
  <c r="E82" i="3"/>
  <c r="E62" i="3"/>
  <c r="E69" i="3"/>
  <c r="E70" i="3"/>
  <c r="D54" i="3"/>
  <c r="D70" i="3"/>
  <c r="D84" i="3"/>
  <c r="E97" i="3"/>
  <c r="E94" i="3"/>
  <c r="E88" i="3"/>
  <c r="E56" i="3"/>
  <c r="D55" i="3"/>
  <c r="D60" i="3"/>
  <c r="E75" i="3"/>
  <c r="E77" i="3"/>
  <c r="D80" i="3"/>
  <c r="D61" i="3"/>
  <c r="E64" i="3"/>
  <c r="D82" i="3"/>
  <c r="E59" i="3"/>
  <c r="E65" i="3"/>
  <c r="E71" i="3"/>
  <c r="E90" i="3"/>
  <c r="E68" i="3"/>
  <c r="D96" i="3"/>
  <c r="D62" i="3"/>
  <c r="D69" i="3"/>
  <c r="E66" i="3"/>
  <c r="D64" i="3"/>
  <c r="D73" i="3"/>
  <c r="E81" i="3"/>
  <c r="D78" i="3"/>
  <c r="E89" i="3"/>
  <c r="D90" i="3"/>
  <c r="D72" i="3"/>
  <c r="D67" i="3"/>
  <c r="D86" i="3"/>
  <c r="D76" i="3"/>
  <c r="D68" i="3"/>
  <c r="D95" i="3"/>
  <c r="D66" i="3"/>
  <c r="D88" i="3"/>
  <c r="D58" i="3"/>
  <c r="D94" i="3"/>
  <c r="D56" i="3"/>
  <c r="D81" i="3"/>
  <c r="D92" i="3"/>
  <c r="D79" i="3"/>
  <c r="D83" i="3"/>
  <c r="D74" i="3"/>
  <c r="D97" i="3"/>
  <c r="D89" i="3"/>
  <c r="D59" i="3"/>
  <c r="D65" i="3"/>
  <c r="E83" i="3"/>
  <c r="D91" i="3"/>
  <c r="E86" i="3"/>
  <c r="E78" i="3"/>
  <c r="E91" i="3"/>
  <c r="E79" i="3"/>
  <c r="E63" i="3"/>
  <c r="AD91" i="3"/>
  <c r="BJ154" i="1" s="1"/>
  <c r="BK154" i="1" s="1"/>
  <c r="AD59" i="3"/>
  <c r="AD87" i="3"/>
  <c r="BJ152" i="1" s="1"/>
  <c r="BK152" i="1" s="1"/>
  <c r="AD85" i="3"/>
  <c r="BJ147" i="1" s="1"/>
  <c r="BK147" i="1" s="1"/>
  <c r="AD64" i="3"/>
  <c r="BJ149" i="1" s="1"/>
  <c r="AD73" i="3"/>
  <c r="AD76" i="3"/>
  <c r="AD82" i="3"/>
  <c r="BJ145" i="1" s="1"/>
  <c r="AD80" i="3"/>
  <c r="BJ159" i="1" s="1"/>
  <c r="AD92" i="3"/>
  <c r="BJ155" i="1" s="1"/>
  <c r="BK155" i="1" s="1"/>
  <c r="AD54" i="3"/>
  <c r="AD94" i="3"/>
  <c r="AD55" i="3"/>
  <c r="AD81" i="3"/>
  <c r="BJ144" i="1" s="1"/>
  <c r="AD83" i="3"/>
  <c r="BJ160" i="1" s="1"/>
  <c r="AD78" i="3"/>
  <c r="BJ142" i="1" s="1"/>
  <c r="BK142" i="1" s="1"/>
  <c r="AD63" i="3"/>
  <c r="BJ125" i="1" s="1"/>
  <c r="BK125" i="1" s="1"/>
  <c r="AD58" i="3"/>
  <c r="BJ119" i="1" s="1"/>
  <c r="AD74" i="3"/>
  <c r="AD72" i="3"/>
  <c r="BJ135" i="1" s="1"/>
  <c r="BK135" i="1" s="1"/>
  <c r="AD79" i="3"/>
  <c r="BJ143" i="1" s="1"/>
  <c r="AD66" i="3"/>
  <c r="BJ151" i="1" s="1"/>
  <c r="BK151" i="1" s="1"/>
  <c r="AD77" i="3"/>
  <c r="BJ140" i="1" s="1"/>
  <c r="BK140" i="1" s="1"/>
  <c r="BL202" i="1" s="1"/>
  <c r="AD90" i="3"/>
  <c r="BJ126" i="1" s="1"/>
  <c r="BK126" i="1" s="1"/>
  <c r="AD89" i="3"/>
  <c r="BJ153" i="1" s="1"/>
  <c r="AD97" i="3"/>
  <c r="AD57" i="3"/>
  <c r="BJ118" i="1" s="1"/>
  <c r="BK118" i="1" s="1"/>
  <c r="AD67" i="3"/>
  <c r="AD68" i="3"/>
  <c r="BJ131" i="1" s="1"/>
  <c r="AD70" i="3"/>
  <c r="BJ133" i="1" s="1"/>
  <c r="AD88" i="3"/>
  <c r="BJ127" i="1" s="1"/>
  <c r="BK127" i="1" s="1"/>
  <c r="AD71" i="3"/>
  <c r="AD75" i="3"/>
  <c r="AD65" i="3"/>
  <c r="BJ150" i="1" s="1"/>
  <c r="BK150" i="1" s="1"/>
  <c r="AD84" i="3"/>
  <c r="BJ146" i="1" s="1"/>
  <c r="BK146" i="1" s="1"/>
  <c r="AD62" i="3"/>
  <c r="BJ124" i="1" s="1"/>
  <c r="BK124" i="1" s="1"/>
  <c r="AD86" i="3"/>
  <c r="AD69" i="3"/>
  <c r="BJ132" i="1" s="1"/>
  <c r="AD93" i="3"/>
  <c r="AD56" i="3"/>
  <c r="BJ117" i="1" s="1"/>
  <c r="AD95" i="3"/>
  <c r="BJ164" i="1" s="1"/>
  <c r="AD96" i="3"/>
  <c r="BJ163" i="1" s="1"/>
  <c r="BK163" i="1" s="1"/>
  <c r="AD61" i="3"/>
  <c r="AD60" i="3"/>
  <c r="BJ122" i="1" s="1"/>
  <c r="BK122" i="1" s="1"/>
  <c r="D77" i="3"/>
  <c r="AJ140" i="1" s="1"/>
  <c r="AK140" i="1" s="1"/>
  <c r="D57" i="3"/>
  <c r="AJ118" i="1" s="1"/>
  <c r="AK118" i="1" s="1"/>
  <c r="D63" i="3"/>
  <c r="AJ125" i="1" s="1"/>
  <c r="AK125" i="1" s="1"/>
  <c r="D75" i="3"/>
  <c r="AJ137" i="1" s="1"/>
  <c r="AK137" i="1" s="1"/>
  <c r="D71" i="3"/>
  <c r="D87" i="3"/>
  <c r="AJ152" i="1" s="1"/>
  <c r="AK152" i="1" s="1"/>
  <c r="D85" i="3"/>
  <c r="AJ147" i="1" s="1"/>
  <c r="AK147" i="1" s="1"/>
  <c r="HZ16" i="4" s="1"/>
  <c r="IA9" i="4" s="1"/>
  <c r="HW16" i="4" s="1"/>
  <c r="AJ39" i="1"/>
  <c r="IF9" i="4" s="1"/>
  <c r="HQ16" i="4" s="1"/>
  <c r="IK16" i="4" s="1"/>
  <c r="IY9" i="4" s="1"/>
  <c r="JI16" i="4" s="1"/>
  <c r="JD9" i="4" s="1"/>
  <c r="IV9" i="4" s="1"/>
  <c r="IH9" i="4" s="1"/>
  <c r="IZ9" i="4" s="1"/>
  <c r="IW16" i="4" s="1"/>
  <c r="JC16" i="4" s="1"/>
  <c r="II9" i="4" s="1"/>
  <c r="IZ16" i="4" s="1"/>
  <c r="IM9" i="4" s="1"/>
  <c r="JA9" i="4" s="1"/>
  <c r="IX16" i="4" s="1"/>
  <c r="IT14" i="4" s="1"/>
  <c r="IL16" i="4" s="1"/>
  <c r="JF9" i="4" s="1"/>
  <c r="IO9" i="4" s="1"/>
  <c r="IA16" i="4" s="1"/>
  <c r="HZ9" i="4" s="1"/>
  <c r="AL32" i="1"/>
  <c r="AL194" i="1" s="1"/>
  <c r="D15" i="1"/>
  <c r="IG16" i="4" s="1"/>
  <c r="AM24" i="1"/>
  <c r="II16" i="4" s="1"/>
  <c r="IQ9" i="4" s="1"/>
  <c r="HS9" i="4" s="1"/>
  <c r="HR16" i="4" s="1"/>
  <c r="HU16" i="4" s="1"/>
  <c r="BX47" i="1"/>
  <c r="JI9" i="4" s="1"/>
  <c r="JI21" i="4" s="1"/>
  <c r="CC77" i="1" s="1"/>
  <c r="CC85" i="1" s="1"/>
  <c r="IT16" i="4" s="1"/>
  <c r="AM35" i="1"/>
  <c r="K46" i="1"/>
  <c r="HS16" i="4" s="1"/>
  <c r="IU16" i="4" s="1"/>
  <c r="IN16" i="4" s="1"/>
  <c r="HW9" i="4" s="1"/>
  <c r="IR16" i="4" s="1"/>
  <c r="IJ16" i="4" s="1"/>
  <c r="BX46" i="1"/>
  <c r="AK14" i="1"/>
  <c r="BJ14" i="1"/>
  <c r="Q9" i="1"/>
  <c r="BX73" i="1"/>
  <c r="J24" i="1"/>
  <c r="JE14" i="4" s="1"/>
  <c r="IC9" i="4" s="1"/>
  <c r="IF16" i="4" s="1"/>
  <c r="HP16" i="4" s="1"/>
  <c r="JB14" i="4" s="1"/>
  <c r="BJ15" i="1"/>
  <c r="AJ25" i="1"/>
  <c r="AM25" i="1"/>
  <c r="BX21" i="1"/>
  <c r="AK32" i="1"/>
  <c r="AK194" i="1" s="1"/>
  <c r="J23" i="1"/>
  <c r="BX122" i="1"/>
  <c r="BY122" i="1" s="1"/>
  <c r="L24" i="1"/>
  <c r="J9" i="1"/>
  <c r="D22" i="1"/>
  <c r="BX20" i="1"/>
  <c r="AM9" i="1"/>
  <c r="BX25" i="1"/>
  <c r="AM22" i="1"/>
  <c r="BJ25" i="1"/>
  <c r="B35" i="1"/>
  <c r="B25" i="1"/>
  <c r="K22" i="1"/>
  <c r="T39" i="1"/>
  <c r="HY16" i="4" s="1"/>
  <c r="ID16" i="4" s="1"/>
  <c r="BX13" i="1"/>
  <c r="AM13" i="1"/>
  <c r="AK35" i="1"/>
  <c r="BX14" i="1"/>
  <c r="C20" i="1"/>
  <c r="E45" i="1"/>
  <c r="U13" i="1"/>
  <c r="W39" i="1"/>
  <c r="Q20" i="1"/>
  <c r="IP9" i="4" s="1"/>
  <c r="BX39" i="1"/>
  <c r="AL9" i="1"/>
  <c r="I35" i="1"/>
  <c r="V23" i="1"/>
  <c r="R15" i="1"/>
  <c r="JE9" i="4" s="1"/>
  <c r="JG9" i="4" s="1"/>
  <c r="JC9" i="4" s="1"/>
  <c r="IC16" i="4" s="1"/>
  <c r="IJ9" i="4" s="1"/>
  <c r="BJ20" i="1"/>
  <c r="BX23" i="1"/>
  <c r="AJ45" i="1"/>
  <c r="BX142" i="1"/>
  <c r="BY142" i="1" s="1"/>
  <c r="J32" i="1"/>
  <c r="J194" i="1" s="1"/>
  <c r="Q22" i="1"/>
  <c r="Q32" i="1"/>
  <c r="Q194" i="1" s="1"/>
  <c r="E47" i="1"/>
  <c r="F51" i="1"/>
  <c r="U35" i="1"/>
  <c r="B8" i="1"/>
  <c r="HV16" i="4" s="1"/>
  <c r="AL8" i="1"/>
  <c r="AJ47" i="1"/>
  <c r="AM15" i="1"/>
  <c r="D122" i="1"/>
  <c r="C13" i="1"/>
  <c r="I21" i="1"/>
  <c r="M8" i="1"/>
  <c r="M231" i="1" s="1"/>
  <c r="H21" i="1"/>
  <c r="V51" i="1"/>
  <c r="W13" i="1"/>
  <c r="HU7" i="4" s="1"/>
  <c r="IV16" i="4" s="1"/>
  <c r="IS16" i="4" s="1"/>
  <c r="HQ9" i="4" s="1"/>
  <c r="AL24" i="1"/>
  <c r="AK46" i="1"/>
  <c r="N20" i="1"/>
  <c r="J20" i="1"/>
  <c r="T46" i="1"/>
  <c r="N35" i="1"/>
  <c r="H51" i="1"/>
  <c r="R21" i="1"/>
  <c r="K35" i="1"/>
  <c r="HT9" i="4" s="1"/>
  <c r="IW9" i="4" s="1"/>
  <c r="JA16" i="4" s="1"/>
  <c r="IW8" i="4" s="1"/>
  <c r="HX16" i="4" s="1"/>
  <c r="IX9" i="4" s="1"/>
  <c r="IL9" i="4" s="1"/>
  <c r="AJ23" i="1"/>
  <c r="AL15" i="1"/>
  <c r="BJ24" i="1"/>
  <c r="U23" i="1"/>
  <c r="S8" i="1"/>
  <c r="S231" i="1" s="1"/>
  <c r="P32" i="1"/>
  <c r="P194" i="1" s="1"/>
  <c r="P20" i="1"/>
  <c r="P160" i="1"/>
  <c r="JH9" i="4" s="1"/>
  <c r="IM16" i="4" s="1"/>
  <c r="HV9" i="4" s="1"/>
  <c r="HY9" i="4" s="1"/>
  <c r="BX35" i="1"/>
  <c r="AK45" i="1"/>
  <c r="BX51" i="1"/>
  <c r="AL21" i="1"/>
  <c r="I13" i="1"/>
  <c r="C47" i="1"/>
  <c r="N45" i="1"/>
  <c r="IF14" i="4" s="1"/>
  <c r="IE16" i="4" s="1"/>
  <c r="IK9" i="4" s="1"/>
  <c r="AJ9" i="1"/>
  <c r="K32" i="1"/>
  <c r="K194" i="1" s="1"/>
  <c r="BX154" i="1"/>
  <c r="BY154" i="1" s="1"/>
  <c r="S20" i="1"/>
  <c r="R22" i="1"/>
  <c r="T47" i="1"/>
  <c r="JB16" i="4" s="1"/>
  <c r="IS9" i="4" s="1"/>
  <c r="JA15" i="4" s="1"/>
  <c r="HR9" i="4" s="1"/>
  <c r="IK8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M9" i="1"/>
  <c r="W32" i="1"/>
  <c r="W253" i="1" s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JF8" i="4" s="1"/>
  <c r="IE9" i="4" s="1"/>
  <c r="IN9" i="4" s="1"/>
  <c r="IM8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E16" i="4" s="1"/>
  <c r="JE21" i="4" s="1"/>
  <c r="BY77" i="1" s="1"/>
  <c r="JB9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IO16" i="4" s="1"/>
  <c r="IO21" i="4" s="1"/>
  <c r="BI77" i="1" s="1"/>
  <c r="IQ8" i="4" s="1"/>
  <c r="IG8" i="4" s="1"/>
  <c r="JH16" i="4" s="1"/>
  <c r="JH21" i="4" s="1"/>
  <c r="CB77" i="1" s="1"/>
  <c r="HZ7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JE8" i="4" s="1"/>
  <c r="HX15" i="4" s="1"/>
  <c r="HT14" i="4" s="1"/>
  <c r="JG14" i="4" s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IL15" i="4"/>
  <c r="IC14" i="4"/>
  <c r="IX7" i="4"/>
  <c r="IG15" i="4"/>
  <c r="IF7" i="4"/>
  <c r="JC7" i="4"/>
  <c r="IL8" i="4"/>
  <c r="HV7" i="4"/>
  <c r="ID15" i="4"/>
  <c r="HR8" i="4"/>
  <c r="IN7" i="4"/>
  <c r="HV14" i="4"/>
  <c r="IE14" i="4"/>
  <c r="IS15" i="4"/>
  <c r="IC15" i="4"/>
  <c r="HY8" i="4"/>
  <c r="IX15" i="4"/>
  <c r="IU15" i="4"/>
  <c r="IR14" i="4"/>
  <c r="IV15" i="4"/>
  <c r="ID8" i="4"/>
  <c r="HS14" i="4"/>
  <c r="IE7" i="4"/>
  <c r="IB15" i="4"/>
  <c r="IB7" i="4"/>
  <c r="JA14" i="4"/>
  <c r="HX14" i="4"/>
  <c r="JF7" i="4"/>
  <c r="IR7" i="4"/>
  <c r="IU14" i="4"/>
  <c r="JI8" i="4"/>
  <c r="JD14" i="4"/>
  <c r="JB15" i="4"/>
  <c r="IB14" i="4"/>
  <c r="HU14" i="4"/>
  <c r="IN15" i="4"/>
  <c r="HZ15" i="4"/>
  <c r="IW15" i="4"/>
  <c r="IO14" i="4"/>
  <c r="IA8" i="4"/>
  <c r="IO7" i="4"/>
  <c r="IK7" i="4"/>
  <c r="IA15" i="4"/>
  <c r="IZ15" i="4"/>
  <c r="IY14" i="4"/>
  <c r="HW8" i="4"/>
  <c r="IJ8" i="4"/>
  <c r="IG14" i="4"/>
  <c r="IV8" i="4"/>
  <c r="JE7" i="4"/>
  <c r="IJ15" i="4"/>
  <c r="IC8" i="4"/>
  <c r="II14" i="4"/>
  <c r="IJ14" i="4"/>
  <c r="JC15" i="4"/>
  <c r="IA7" i="4"/>
  <c r="IE15" i="4"/>
  <c r="JC14" i="4"/>
  <c r="HS15" i="4"/>
  <c r="HP7" i="4"/>
  <c r="ID7" i="4"/>
  <c r="HW7" i="4"/>
  <c r="II8" i="4"/>
  <c r="JH8" i="4"/>
  <c r="HZ8" i="4"/>
  <c r="IR15" i="4"/>
  <c r="HW14" i="4"/>
  <c r="HQ7" i="4"/>
  <c r="HU15" i="4"/>
  <c r="HT15" i="4"/>
  <c r="IT8" i="4"/>
  <c r="IQ14" i="4"/>
  <c r="IU7" i="4"/>
  <c r="IT7" i="4"/>
  <c r="IP14" i="4"/>
  <c r="IH7" i="4"/>
  <c r="HV8" i="4"/>
  <c r="HW15" i="4"/>
  <c r="IM15" i="4"/>
  <c r="JH15" i="4"/>
  <c r="HS8" i="4"/>
  <c r="JH14" i="4"/>
  <c r="IR8" i="4"/>
  <c r="CN63" i="1"/>
  <c r="CM65" i="1"/>
  <c r="AJ124" i="1" l="1"/>
  <c r="AK124" i="1" s="1"/>
  <c r="AJ163" i="1"/>
  <c r="AK163" i="1" s="1"/>
  <c r="AJ127" i="1"/>
  <c r="AK127" i="1" s="1"/>
  <c r="AJ159" i="1"/>
  <c r="AJ122" i="1"/>
  <c r="AK122" i="1" s="1"/>
  <c r="AJ150" i="1"/>
  <c r="AK150" i="1" s="1"/>
  <c r="AJ153" i="1"/>
  <c r="AJ151" i="1"/>
  <c r="AK151" i="1" s="1"/>
  <c r="AJ149" i="1"/>
  <c r="AK149" i="1" s="1"/>
  <c r="AJ142" i="1"/>
  <c r="AK142" i="1" s="1"/>
  <c r="AJ133" i="1"/>
  <c r="AJ144" i="1"/>
  <c r="AJ145" i="1"/>
  <c r="AJ160" i="1"/>
  <c r="AJ119" i="1"/>
  <c r="AJ146" i="1"/>
  <c r="AK146" i="1" s="1"/>
  <c r="AJ117" i="1"/>
  <c r="AK117" i="1" s="1"/>
  <c r="AJ164" i="1"/>
  <c r="AK164" i="1" s="1"/>
  <c r="AJ126" i="1"/>
  <c r="AK126" i="1" s="1"/>
  <c r="AJ132" i="1"/>
  <c r="AJ155" i="1"/>
  <c r="AK155" i="1" s="1"/>
  <c r="AJ131" i="1"/>
  <c r="AJ135" i="1"/>
  <c r="AK135" i="1" s="1"/>
  <c r="AJ143" i="1"/>
  <c r="AK143" i="1" s="1"/>
  <c r="HV21" i="4"/>
  <c r="AP77" i="1" s="1"/>
  <c r="JF16" i="4" s="1"/>
  <c r="IH16" i="4" s="1"/>
  <c r="JD15" i="4" s="1"/>
  <c r="HU9" i="4" s="1"/>
  <c r="AJ154" i="1"/>
  <c r="AK154" i="1" s="1"/>
  <c r="D26" i="1"/>
  <c r="S194" i="1"/>
  <c r="Q231" i="1"/>
  <c r="I253" i="1"/>
  <c r="B10" i="1"/>
  <c r="W194" i="1"/>
  <c r="O253" i="1"/>
  <c r="D253" i="1"/>
  <c r="L253" i="1"/>
  <c r="L252" i="1"/>
  <c r="L26" i="1"/>
  <c r="AL26" i="1"/>
  <c r="O231" i="1"/>
  <c r="F252" i="1"/>
  <c r="BJ180" i="1"/>
  <c r="BK180" i="1" s="1"/>
  <c r="BJ179" i="1"/>
  <c r="BK179" i="1" s="1"/>
  <c r="BJ137" i="1"/>
  <c r="BK137" i="1" s="1"/>
  <c r="HQ21" i="4"/>
  <c r="AK77" i="1" s="1"/>
  <c r="IG9" i="4" s="1"/>
  <c r="HP9" i="4" s="1"/>
  <c r="IQ16" i="4" s="1"/>
  <c r="M10" i="1"/>
  <c r="AL252" i="1"/>
  <c r="JB21" i="4"/>
  <c r="BV77" i="1" s="1"/>
  <c r="ID9" i="4" s="1"/>
  <c r="B252" i="1"/>
  <c r="S10" i="1"/>
  <c r="AK10" i="1"/>
  <c r="E10" i="1"/>
  <c r="B253" i="1"/>
  <c r="IJ21" i="4"/>
  <c r="BD77" i="1" s="1"/>
  <c r="D194" i="1"/>
  <c r="HZ21" i="4"/>
  <c r="AT77" i="1" s="1"/>
  <c r="IH21" i="4"/>
  <c r="BB77" i="1" s="1"/>
  <c r="IF21" i="4"/>
  <c r="AZ77" i="1" s="1"/>
  <c r="IR21" i="4"/>
  <c r="BL77" i="1" s="1"/>
  <c r="BL94" i="1" s="1"/>
  <c r="IC21" i="4"/>
  <c r="AW77" i="1" s="1"/>
  <c r="IG21" i="4"/>
  <c r="BA77" i="1" s="1"/>
  <c r="IP21" i="4"/>
  <c r="BJ77" i="1" s="1"/>
  <c r="IZ21" i="4"/>
  <c r="BT77" i="1" s="1"/>
  <c r="IA21" i="4"/>
  <c r="AU77" i="1" s="1"/>
  <c r="IM21" i="4"/>
  <c r="BG77" i="1" s="1"/>
  <c r="JF21" i="4"/>
  <c r="BZ77" i="1" s="1"/>
  <c r="BZ94" i="1" s="1"/>
  <c r="M252" i="1"/>
  <c r="M253" i="1"/>
  <c r="R10" i="1"/>
  <c r="R98" i="1" s="1"/>
  <c r="B231" i="1"/>
  <c r="AL231" i="1"/>
  <c r="HW21" i="4"/>
  <c r="AQ77" i="1" s="1"/>
  <c r="Q183" i="1"/>
  <c r="IS21" i="4"/>
  <c r="BM77" i="1" s="1"/>
  <c r="P183" i="1"/>
  <c r="IX21" i="4"/>
  <c r="BR77" i="1" s="1"/>
  <c r="IV21" i="4"/>
  <c r="BP77" i="1" s="1"/>
  <c r="HS21" i="4"/>
  <c r="AM77" i="1" s="1"/>
  <c r="IN21" i="4"/>
  <c r="BH77" i="1" s="1"/>
  <c r="IK21" i="4"/>
  <c r="BE77" i="1" s="1"/>
  <c r="HR21" i="4"/>
  <c r="AL77" i="1" s="1"/>
  <c r="O252" i="1"/>
  <c r="S253" i="1"/>
  <c r="O10" i="1"/>
  <c r="P231" i="1"/>
  <c r="C231" i="1"/>
  <c r="Q10" i="1"/>
  <c r="JC21" i="4"/>
  <c r="BW77" i="1" s="1"/>
  <c r="R252" i="1"/>
  <c r="Q252" i="1"/>
  <c r="E231" i="1"/>
  <c r="S252" i="1"/>
  <c r="D10" i="1"/>
  <c r="HR15" i="4"/>
  <c r="HQ14" i="4"/>
  <c r="IE8" i="4"/>
  <c r="C252" i="1"/>
  <c r="IF15" i="4"/>
  <c r="JE15" i="4"/>
  <c r="HR14" i="4"/>
  <c r="HX7" i="4"/>
  <c r="IZ14" i="4"/>
  <c r="W26" i="1"/>
  <c r="JA21" i="4"/>
  <c r="BU77" i="1" s="1"/>
  <c r="HX21" i="4"/>
  <c r="AR77" i="1" s="1"/>
  <c r="IE21" i="4"/>
  <c r="AY77" i="1" s="1"/>
  <c r="IS7" i="4"/>
  <c r="V26" i="1"/>
  <c r="C10" i="1"/>
  <c r="IA14" i="4"/>
  <c r="JA7" i="4"/>
  <c r="JI14" i="4"/>
  <c r="IM7" i="4"/>
  <c r="BX179" i="1"/>
  <c r="BY179" i="1" s="1"/>
  <c r="HS7" i="4"/>
  <c r="IN8" i="4"/>
  <c r="D252" i="1"/>
  <c r="B26" i="1"/>
  <c r="BX161" i="1"/>
  <c r="BY209" i="1" s="1"/>
  <c r="X11" i="1"/>
  <c r="X188" i="1"/>
  <c r="W16" i="1"/>
  <c r="W98" i="1"/>
  <c r="CA98" i="1"/>
  <c r="CA99" i="1" s="1"/>
  <c r="BX231" i="1"/>
  <c r="BX252" i="1"/>
  <c r="BX253" i="1"/>
  <c r="BX10" i="1"/>
  <c r="U16" i="1"/>
  <c r="U17" i="1" s="1"/>
  <c r="U98" i="1"/>
  <c r="IC7" i="4"/>
  <c r="JA8" i="4"/>
  <c r="HT8" i="4"/>
  <c r="HU8" i="4"/>
  <c r="HT7" i="4"/>
  <c r="HQ15" i="4"/>
  <c r="IO8" i="4"/>
  <c r="IT15" i="4"/>
  <c r="ID14" i="4"/>
  <c r="IG7" i="4"/>
  <c r="JH7" i="4"/>
  <c r="IW21" i="4"/>
  <c r="BQ77" i="1" s="1"/>
  <c r="JF14" i="4"/>
  <c r="JF19" i="4" s="1"/>
  <c r="BZ78" i="1" s="1"/>
  <c r="JG7" i="4"/>
  <c r="HY15" i="4"/>
  <c r="IS8" i="4"/>
  <c r="HP15" i="4"/>
  <c r="IH15" i="4"/>
  <c r="IW7" i="4"/>
  <c r="IX14" i="4"/>
  <c r="IX19" i="4" s="1"/>
  <c r="BR78" i="1" s="1"/>
  <c r="BR107" i="1" s="1"/>
  <c r="IP15" i="4"/>
  <c r="IB8" i="4"/>
  <c r="IB20" i="4" s="1"/>
  <c r="AV79" i="1" s="1"/>
  <c r="AV108" i="1" s="1"/>
  <c r="HR7" i="4"/>
  <c r="IZ7" i="4"/>
  <c r="HP8" i="4"/>
  <c r="II7" i="4"/>
  <c r="IL7" i="4"/>
  <c r="II21" i="4"/>
  <c r="BC77" i="1" s="1"/>
  <c r="JF15" i="4"/>
  <c r="IH8" i="4"/>
  <c r="HU21" i="4"/>
  <c r="AO77" i="1" s="1"/>
  <c r="HQ8" i="4"/>
  <c r="JI15" i="4"/>
  <c r="JI20" i="4" s="1"/>
  <c r="CC79" i="1" s="1"/>
  <c r="AM10" i="1"/>
  <c r="AM16" i="1" s="1"/>
  <c r="AM17" i="1" s="1"/>
  <c r="IY8" i="4"/>
  <c r="F26" i="1"/>
  <c r="C26" i="1"/>
  <c r="HY7" i="4"/>
  <c r="AL10" i="1"/>
  <c r="IH14" i="4"/>
  <c r="IH19" i="4" s="1"/>
  <c r="BB78" i="1" s="1"/>
  <c r="BB107" i="1" s="1"/>
  <c r="IO15" i="4"/>
  <c r="IP7" i="4"/>
  <c r="IN14" i="4"/>
  <c r="IX8" i="4"/>
  <c r="IX20" i="4" s="1"/>
  <c r="BR79" i="1" s="1"/>
  <c r="BR108" i="1" s="1"/>
  <c r="IL14" i="4"/>
  <c r="JB7" i="4"/>
  <c r="JB19" i="4" s="1"/>
  <c r="BV78" i="1" s="1"/>
  <c r="BV107" i="1" s="1"/>
  <c r="J26" i="1"/>
  <c r="L10" i="1"/>
  <c r="H252" i="1"/>
  <c r="IL21" i="4"/>
  <c r="BF77" i="1" s="1"/>
  <c r="IY7" i="4"/>
  <c r="JB8" i="4"/>
  <c r="JB20" i="4" s="1"/>
  <c r="BV79" i="1" s="1"/>
  <c r="BV108" i="1" s="1"/>
  <c r="HY14" i="4"/>
  <c r="IW14" i="4"/>
  <c r="IV7" i="4"/>
  <c r="HY21" i="4"/>
  <c r="AS77" i="1" s="1"/>
  <c r="JI7" i="4"/>
  <c r="IK14" i="4"/>
  <c r="IK19" i="4" s="1"/>
  <c r="BE78" i="1" s="1"/>
  <c r="BE107" i="1" s="1"/>
  <c r="IQ7" i="4"/>
  <c r="II15" i="4"/>
  <c r="S26" i="1"/>
  <c r="R26" i="1"/>
  <c r="AJ26" i="1"/>
  <c r="I10" i="1"/>
  <c r="M26" i="1"/>
  <c r="T252" i="1"/>
  <c r="I252" i="1"/>
  <c r="T26" i="1"/>
  <c r="H26" i="1"/>
  <c r="P10" i="1"/>
  <c r="O26" i="1"/>
  <c r="IY15" i="4"/>
  <c r="HP14" i="4"/>
  <c r="HP19" i="4" s="1"/>
  <c r="AJ78" i="1" s="1"/>
  <c r="BY128" i="1"/>
  <c r="G26" i="1"/>
  <c r="IS14" i="4"/>
  <c r="IS19" i="4" s="1"/>
  <c r="BM78" i="1" s="1"/>
  <c r="BM107" i="1" s="1"/>
  <c r="JD8" i="4"/>
  <c r="JD20" i="4" s="1"/>
  <c r="BX79" i="1" s="1"/>
  <c r="BX108" i="1" s="1"/>
  <c r="IZ8" i="4"/>
  <c r="IZ20" i="4" s="1"/>
  <c r="BT79" i="1" s="1"/>
  <c r="BT108" i="1" s="1"/>
  <c r="IF8" i="4"/>
  <c r="AM252" i="1"/>
  <c r="AK26" i="1"/>
  <c r="P26" i="1"/>
  <c r="AL183" i="1"/>
  <c r="AM183" i="1" s="1"/>
  <c r="AJ179" i="1"/>
  <c r="J231" i="1"/>
  <c r="J10" i="1"/>
  <c r="J252" i="1"/>
  <c r="R194" i="1"/>
  <c r="R253" i="1"/>
  <c r="V194" i="1"/>
  <c r="V253" i="1"/>
  <c r="C253" i="1"/>
  <c r="C194" i="1"/>
  <c r="HV15" i="4"/>
  <c r="HV20" i="4" s="1"/>
  <c r="AP79" i="1" s="1"/>
  <c r="AP108" i="1" s="1"/>
  <c r="HZ14" i="4"/>
  <c r="HZ19" i="4" s="1"/>
  <c r="AT78" i="1" s="1"/>
  <c r="AT107" i="1" s="1"/>
  <c r="HX8" i="4"/>
  <c r="IP8" i="4"/>
  <c r="HP21" i="4"/>
  <c r="AJ77" i="1" s="1"/>
  <c r="J253" i="1"/>
  <c r="IY21" i="4"/>
  <c r="BS77" i="1" s="1"/>
  <c r="JG8" i="4"/>
  <c r="D231" i="1"/>
  <c r="K26" i="1"/>
  <c r="BY120" i="1"/>
  <c r="AK231" i="1"/>
  <c r="N26" i="1"/>
  <c r="AM26" i="1"/>
  <c r="BX148" i="1"/>
  <c r="BX182" i="1" s="1"/>
  <c r="IQ15" i="4"/>
  <c r="IQ20" i="4" s="1"/>
  <c r="BK79" i="1" s="1"/>
  <c r="BK108" i="1" s="1"/>
  <c r="Q26" i="1"/>
  <c r="K252" i="1"/>
  <c r="F10" i="1"/>
  <c r="F98" i="1" s="1"/>
  <c r="I26" i="1"/>
  <c r="IJ7" i="4"/>
  <c r="IJ19" i="4" s="1"/>
  <c r="BD78" i="1" s="1"/>
  <c r="BD107" i="1" s="1"/>
  <c r="BX26" i="1"/>
  <c r="IV14" i="4"/>
  <c r="BX134" i="1"/>
  <c r="E26" i="1"/>
  <c r="U26" i="1"/>
  <c r="AJ37" i="1"/>
  <c r="P252" i="1"/>
  <c r="IU8" i="4"/>
  <c r="IU20" i="4" s="1"/>
  <c r="BO79" i="1" s="1"/>
  <c r="BO108" i="1" s="1"/>
  <c r="F253" i="1"/>
  <c r="N253" i="1"/>
  <c r="JC8" i="4"/>
  <c r="JC20" i="4" s="1"/>
  <c r="BW79" i="1" s="1"/>
  <c r="BW108" i="1" s="1"/>
  <c r="G253" i="1"/>
  <c r="H253" i="1"/>
  <c r="IK15" i="4"/>
  <c r="IK20" i="4" s="1"/>
  <c r="BE79" i="1" s="1"/>
  <c r="BE108" i="1" s="1"/>
  <c r="K253" i="1"/>
  <c r="T10" i="1"/>
  <c r="U188" i="1" s="1"/>
  <c r="T253" i="1"/>
  <c r="K10" i="1"/>
  <c r="G10" i="1"/>
  <c r="G183" i="1"/>
  <c r="H10" i="1"/>
  <c r="V188" i="1"/>
  <c r="W11" i="1"/>
  <c r="Q253" i="1"/>
  <c r="P253" i="1"/>
  <c r="U194" i="1"/>
  <c r="AJ33" i="1"/>
  <c r="N252" i="1"/>
  <c r="BX156" i="1"/>
  <c r="BX185" i="1" s="1"/>
  <c r="BX184" i="1" s="1"/>
  <c r="N10" i="1"/>
  <c r="N98" i="1" s="1"/>
  <c r="BJ183" i="1"/>
  <c r="BK183" i="1" s="1"/>
  <c r="W188" i="1"/>
  <c r="AL253" i="1"/>
  <c r="AJ183" i="1"/>
  <c r="BX128" i="1"/>
  <c r="AJ10" i="1"/>
  <c r="V16" i="1"/>
  <c r="L194" i="1"/>
  <c r="AL180" i="1"/>
  <c r="AM180" i="1" s="1"/>
  <c r="AM98" i="1"/>
  <c r="AM99" i="1" s="1"/>
  <c r="BX180" i="1"/>
  <c r="BY180" i="1" s="1"/>
  <c r="AM253" i="1"/>
  <c r="AL179" i="1"/>
  <c r="AM179" i="1" s="1"/>
  <c r="BX120" i="1"/>
  <c r="BX92" i="1" s="1"/>
  <c r="G252" i="1"/>
  <c r="V11" i="1"/>
  <c r="BJ161" i="1"/>
  <c r="BJ134" i="1"/>
  <c r="BK128" i="1"/>
  <c r="BK117" i="1"/>
  <c r="BJ120" i="1"/>
  <c r="BJ92" i="1" s="1"/>
  <c r="BJ94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BK143" i="1"/>
  <c r="BJ148" i="1"/>
  <c r="AM143" i="1"/>
  <c r="AL148" i="1"/>
  <c r="IG20" i="4"/>
  <c r="BA79" i="1" s="1"/>
  <c r="BA108" i="1" s="1"/>
  <c r="CB94" i="1"/>
  <c r="CB102" i="1"/>
  <c r="CB85" i="1"/>
  <c r="ID20" i="4"/>
  <c r="AX79" i="1" s="1"/>
  <c r="AX108" i="1" s="1"/>
  <c r="IF19" i="4"/>
  <c r="AZ78" i="1" s="1"/>
  <c r="AZ107" i="1" s="1"/>
  <c r="IL20" i="4"/>
  <c r="BF79" i="1" s="1"/>
  <c r="BF108" i="1" s="1"/>
  <c r="IB19" i="4"/>
  <c r="AV78" i="1" s="1"/>
  <c r="AV107" i="1" s="1"/>
  <c r="IW20" i="4"/>
  <c r="BQ79" i="1" s="1"/>
  <c r="BQ108" i="1" s="1"/>
  <c r="JC19" i="4"/>
  <c r="BW78" i="1" s="1"/>
  <c r="BW107" i="1" s="1"/>
  <c r="IR19" i="4"/>
  <c r="BL78" i="1" s="1"/>
  <c r="IM20" i="4"/>
  <c r="BG79" i="1" s="1"/>
  <c r="BG108" i="1" s="1"/>
  <c r="IC20" i="4"/>
  <c r="AW79" i="1" s="1"/>
  <c r="AW108" i="1" s="1"/>
  <c r="IJ20" i="4"/>
  <c r="BD79" i="1" s="1"/>
  <c r="BD108" i="1" s="1"/>
  <c r="HV19" i="4"/>
  <c r="AP78" i="1" s="1"/>
  <c r="AP107" i="1" s="1"/>
  <c r="CC102" i="1"/>
  <c r="JH20" i="4"/>
  <c r="CB79" i="1" s="1"/>
  <c r="IV20" i="4"/>
  <c r="BP79" i="1" s="1"/>
  <c r="BP108" i="1" s="1"/>
  <c r="IE19" i="4"/>
  <c r="AY78" i="1" s="1"/>
  <c r="AY107" i="1" s="1"/>
  <c r="CC94" i="1"/>
  <c r="IU19" i="4"/>
  <c r="BO78" i="1" s="1"/>
  <c r="BO107" i="1" s="1"/>
  <c r="IO19" i="4"/>
  <c r="BI78" i="1" s="1"/>
  <c r="BI107" i="1" s="1"/>
  <c r="HZ20" i="4"/>
  <c r="AT79" i="1" s="1"/>
  <c r="AT108" i="1" s="1"/>
  <c r="HW19" i="4"/>
  <c r="AQ78" i="1" s="1"/>
  <c r="AQ107" i="1" s="1"/>
  <c r="HS20" i="4"/>
  <c r="AM79" i="1" s="1"/>
  <c r="HW20" i="4"/>
  <c r="AQ79" i="1" s="1"/>
  <c r="AQ108" i="1" s="1"/>
  <c r="HU19" i="4"/>
  <c r="AO78" i="1" s="1"/>
  <c r="AO107" i="1" s="1"/>
  <c r="JE19" i="4"/>
  <c r="BY78" i="1" s="1"/>
  <c r="IR20" i="4"/>
  <c r="BL79" i="1" s="1"/>
  <c r="BL96" i="1" s="1"/>
  <c r="IA20" i="4"/>
  <c r="AU79" i="1" s="1"/>
  <c r="AU108" i="1" s="1"/>
  <c r="IT19" i="4"/>
  <c r="BN78" i="1" s="1"/>
  <c r="BN107" i="1" s="1"/>
  <c r="AL202" i="1"/>
  <c r="AK202" i="1"/>
  <c r="BK202" i="1"/>
  <c r="BY202" i="1"/>
  <c r="CM32" i="1"/>
  <c r="AC140" i="1"/>
  <c r="CN65" i="1"/>
  <c r="CO63" i="1"/>
  <c r="AK128" i="1" l="1"/>
  <c r="B16" i="1"/>
  <c r="AK27" i="1"/>
  <c r="AJ120" i="1"/>
  <c r="AJ156" i="1"/>
  <c r="M16" i="1"/>
  <c r="M17" i="1" s="1"/>
  <c r="JA19" i="4"/>
  <c r="BU78" i="1" s="1"/>
  <c r="BU107" i="1" s="1"/>
  <c r="HS19" i="4"/>
  <c r="AM78" i="1" s="1"/>
  <c r="S98" i="1"/>
  <c r="S16" i="1"/>
  <c r="S17" i="1" s="1"/>
  <c r="HX19" i="4"/>
  <c r="AR78" i="1" s="1"/>
  <c r="AR107" i="1" s="1"/>
  <c r="AM102" i="1"/>
  <c r="II19" i="4"/>
  <c r="BC78" i="1" s="1"/>
  <c r="BC107" i="1" s="1"/>
  <c r="II20" i="4"/>
  <c r="BC79" i="1" s="1"/>
  <c r="BC108" i="1" s="1"/>
  <c r="IC19" i="4"/>
  <c r="AW78" i="1" s="1"/>
  <c r="AW107" i="1" s="1"/>
  <c r="IS20" i="4"/>
  <c r="BM79" i="1" s="1"/>
  <c r="BM108" i="1" s="1"/>
  <c r="HT20" i="4"/>
  <c r="AN79" i="1" s="1"/>
  <c r="AN108" i="1" s="1"/>
  <c r="JH19" i="4"/>
  <c r="CB78" i="1" s="1"/>
  <c r="I16" i="1"/>
  <c r="I98" i="1"/>
  <c r="O16" i="1"/>
  <c r="O17" i="1" s="1"/>
  <c r="D27" i="1"/>
  <c r="O98" i="1"/>
  <c r="HT19" i="4"/>
  <c r="AN78" i="1" s="1"/>
  <c r="AN107" i="1" s="1"/>
  <c r="R188" i="1"/>
  <c r="D16" i="1"/>
  <c r="IL19" i="4"/>
  <c r="BF78" i="1" s="1"/>
  <c r="BF107" i="1" s="1"/>
  <c r="HY19" i="4"/>
  <c r="AS78" i="1" s="1"/>
  <c r="AS107" i="1" s="1"/>
  <c r="IV19" i="4"/>
  <c r="BP78" i="1" s="1"/>
  <c r="BP107" i="1" s="1"/>
  <c r="AL184" i="1"/>
  <c r="HX20" i="4"/>
  <c r="AR79" i="1" s="1"/>
  <c r="AR108" i="1" s="1"/>
  <c r="HU20" i="4"/>
  <c r="AO79" i="1" s="1"/>
  <c r="AO108" i="1" s="1"/>
  <c r="JA20" i="4"/>
  <c r="BU79" i="1" s="1"/>
  <c r="BU108" i="1" s="1"/>
  <c r="IZ19" i="4"/>
  <c r="BT78" i="1" s="1"/>
  <c r="BT107" i="1" s="1"/>
  <c r="IG19" i="4"/>
  <c r="BA78" i="1" s="1"/>
  <c r="BA107" i="1" s="1"/>
  <c r="IN20" i="4"/>
  <c r="BH79" i="1" s="1"/>
  <c r="BH108" i="1" s="1"/>
  <c r="IP19" i="4"/>
  <c r="BJ78" i="1" s="1"/>
  <c r="BJ107" i="1" s="1"/>
  <c r="IE20" i="4"/>
  <c r="AY79" i="1" s="1"/>
  <c r="AY108" i="1" s="1"/>
  <c r="IY19" i="4"/>
  <c r="BS78" i="1" s="1"/>
  <c r="BS107" i="1" s="1"/>
  <c r="JG19" i="4"/>
  <c r="CA78" i="1" s="1"/>
  <c r="IW19" i="4"/>
  <c r="BQ78" i="1" s="1"/>
  <c r="BQ107" i="1" s="1"/>
  <c r="IY20" i="4"/>
  <c r="BS79" i="1" s="1"/>
  <c r="BS108" i="1" s="1"/>
  <c r="IF20" i="4"/>
  <c r="AZ79" i="1" s="1"/>
  <c r="AZ108" i="1" s="1"/>
  <c r="IQ19" i="4"/>
  <c r="BK78" i="1" s="1"/>
  <c r="BK107" i="1" s="1"/>
  <c r="R16" i="1"/>
  <c r="HQ19" i="4"/>
  <c r="AK78" i="1" s="1"/>
  <c r="S11" i="1"/>
  <c r="S188" i="1"/>
  <c r="M98" i="1"/>
  <c r="E188" i="1"/>
  <c r="E98" i="1"/>
  <c r="E11" i="1"/>
  <c r="E16" i="1"/>
  <c r="C16" i="1"/>
  <c r="C188" i="1"/>
  <c r="C11" i="1"/>
  <c r="AK16" i="1"/>
  <c r="Q16" i="1"/>
  <c r="Q17" i="1" s="1"/>
  <c r="Q98" i="1"/>
  <c r="D188" i="1"/>
  <c r="D11" i="1"/>
  <c r="HT16" i="4"/>
  <c r="HT21" i="4" s="1"/>
  <c r="AN77" i="1" s="1"/>
  <c r="ID21" i="4"/>
  <c r="AX77" i="1" s="1"/>
  <c r="IP20" i="4"/>
  <c r="BJ79" i="1" s="1"/>
  <c r="BJ108" i="1" s="1"/>
  <c r="AM28" i="1"/>
  <c r="BX27" i="1"/>
  <c r="E27" i="1"/>
  <c r="V28" i="1"/>
  <c r="W27" i="1"/>
  <c r="B27" i="1"/>
  <c r="HP20" i="4"/>
  <c r="AJ79" i="1" s="1"/>
  <c r="HR20" i="4"/>
  <c r="AL79" i="1" s="1"/>
  <c r="R11" i="1"/>
  <c r="JE20" i="4"/>
  <c r="BY79" i="1" s="1"/>
  <c r="BY108" i="1" s="1"/>
  <c r="IA19" i="4"/>
  <c r="AU78" i="1" s="1"/>
  <c r="AU107" i="1" s="1"/>
  <c r="IH20" i="4"/>
  <c r="BB79" i="1" s="1"/>
  <c r="BB108" i="1" s="1"/>
  <c r="P188" i="1"/>
  <c r="HQ20" i="4"/>
  <c r="AK79" i="1" s="1"/>
  <c r="J11" i="1"/>
  <c r="J188" i="1"/>
  <c r="IO20" i="4"/>
  <c r="BI79" i="1" s="1"/>
  <c r="BI108" i="1" s="1"/>
  <c r="HY20" i="4"/>
  <c r="AS79" i="1" s="1"/>
  <c r="AS108" i="1" s="1"/>
  <c r="IN19" i="4"/>
  <c r="BH78" i="1" s="1"/>
  <c r="BH107" i="1" s="1"/>
  <c r="JI19" i="4"/>
  <c r="CC78" i="1" s="1"/>
  <c r="JF20" i="4"/>
  <c r="BZ79" i="1" s="1"/>
  <c r="ID19" i="4"/>
  <c r="AX78" i="1" s="1"/>
  <c r="AX107" i="1" s="1"/>
  <c r="IT20" i="4"/>
  <c r="BN79" i="1" s="1"/>
  <c r="BN108" i="1" s="1"/>
  <c r="IQ21" i="4"/>
  <c r="BK77" i="1" s="1"/>
  <c r="JG16" i="4"/>
  <c r="JG21" i="4" s="1"/>
  <c r="CA77" i="1" s="1"/>
  <c r="V27" i="1"/>
  <c r="HR19" i="4"/>
  <c r="AL78" i="1" s="1"/>
  <c r="C27" i="1"/>
  <c r="K188" i="1"/>
  <c r="AL16" i="1"/>
  <c r="AM12" i="1"/>
  <c r="AL27" i="1"/>
  <c r="AL12" i="1"/>
  <c r="L11" i="1"/>
  <c r="M11" i="1"/>
  <c r="L98" i="1"/>
  <c r="M188" i="1"/>
  <c r="L16" i="1"/>
  <c r="Q188" i="1"/>
  <c r="Q11" i="1"/>
  <c r="P98" i="1"/>
  <c r="P16" i="1"/>
  <c r="P11" i="1"/>
  <c r="B17" i="1"/>
  <c r="B28" i="1"/>
  <c r="BZ249" i="1"/>
  <c r="BZ251" i="1" s="1"/>
  <c r="BZ206" i="1"/>
  <c r="J16" i="1"/>
  <c r="J98" i="1"/>
  <c r="BY134" i="1"/>
  <c r="BZ33" i="1" s="1"/>
  <c r="BX138" i="1"/>
  <c r="X18" i="1"/>
  <c r="W17" i="1"/>
  <c r="W28" i="1"/>
  <c r="BY12" i="1"/>
  <c r="CB11" i="1"/>
  <c r="CC188" i="1"/>
  <c r="BX16" i="1"/>
  <c r="BY129" i="1"/>
  <c r="BY92" i="1"/>
  <c r="BZ207" i="1"/>
  <c r="BZ205" i="1" s="1"/>
  <c r="G188" i="1"/>
  <c r="G98" i="1"/>
  <c r="G16" i="1"/>
  <c r="H16" i="1"/>
  <c r="I11" i="1"/>
  <c r="H98" i="1"/>
  <c r="H11" i="1"/>
  <c r="H188" i="1"/>
  <c r="BY206" i="1"/>
  <c r="BY249" i="1"/>
  <c r="AJ16" i="1"/>
  <c r="AJ17" i="1" s="1"/>
  <c r="AM225" i="1"/>
  <c r="V17" i="1"/>
  <c r="V18" i="1"/>
  <c r="W18" i="1"/>
  <c r="T98" i="1"/>
  <c r="T16" i="1"/>
  <c r="T17" i="1" s="1"/>
  <c r="AJ28" i="1"/>
  <c r="T11" i="1"/>
  <c r="T188" i="1"/>
  <c r="AK12" i="1"/>
  <c r="AJ27" i="1"/>
  <c r="U11" i="1"/>
  <c r="AM27" i="1"/>
  <c r="BY33" i="1"/>
  <c r="AM249" i="1"/>
  <c r="BX186" i="1"/>
  <c r="CB189" i="1" s="1"/>
  <c r="F11" i="1"/>
  <c r="F188" i="1"/>
  <c r="K16" i="1"/>
  <c r="F16" i="1"/>
  <c r="O188" i="1"/>
  <c r="L188" i="1"/>
  <c r="K98" i="1"/>
  <c r="G11" i="1"/>
  <c r="I188" i="1"/>
  <c r="K11" i="1"/>
  <c r="BJ184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Y207" i="1"/>
  <c r="N11" i="1"/>
  <c r="BX168" i="1"/>
  <c r="N188" i="1"/>
  <c r="N16" i="1"/>
  <c r="BK249" i="1"/>
  <c r="O11" i="1"/>
  <c r="BX248" i="1"/>
  <c r="BX129" i="1"/>
  <c r="BX157" i="1"/>
  <c r="BX181" i="1"/>
  <c r="AK206" i="1"/>
  <c r="BK209" i="1"/>
  <c r="BJ248" i="1"/>
  <c r="BK134" i="1"/>
  <c r="BL33" i="1" s="1"/>
  <c r="BJ138" i="1"/>
  <c r="BJ246" i="1" s="1"/>
  <c r="BL206" i="1"/>
  <c r="BL249" i="1"/>
  <c r="AJ206" i="1"/>
  <c r="AJ168" i="1"/>
  <c r="AK37" i="1" s="1"/>
  <c r="AM33" i="1"/>
  <c r="AL138" i="1"/>
  <c r="AL92" i="1"/>
  <c r="AL248" i="1"/>
  <c r="AM206" i="1"/>
  <c r="AK134" i="1"/>
  <c r="AL168" i="1"/>
  <c r="AM37" i="1" s="1"/>
  <c r="BJ129" i="1"/>
  <c r="BJ168" i="1"/>
  <c r="BJ109" i="1" s="1"/>
  <c r="AJ138" i="1"/>
  <c r="BK206" i="1"/>
  <c r="AL129" i="1"/>
  <c r="AJ196" i="1"/>
  <c r="AJ182" i="1"/>
  <c r="BJ182" i="1"/>
  <c r="BJ157" i="1"/>
  <c r="AL182" i="1"/>
  <c r="AL157" i="1"/>
  <c r="BZ95" i="1"/>
  <c r="BZ89" i="1"/>
  <c r="BZ107" i="1"/>
  <c r="BZ110" i="1" s="1"/>
  <c r="AM108" i="1"/>
  <c r="AM104" i="1"/>
  <c r="BL107" i="1"/>
  <c r="BL110" i="1" s="1"/>
  <c r="BL95" i="1"/>
  <c r="CC96" i="1"/>
  <c r="CC104" i="1"/>
  <c r="CC108" i="1"/>
  <c r="CB96" i="1"/>
  <c r="CB108" i="1"/>
  <c r="CB111" i="1" s="1"/>
  <c r="CB114" i="1" s="1"/>
  <c r="CC87" i="1"/>
  <c r="BX96" i="1"/>
  <c r="CB104" i="1"/>
  <c r="BL108" i="1"/>
  <c r="BL111" i="1" s="1"/>
  <c r="CB87" i="1"/>
  <c r="BY107" i="1"/>
  <c r="BY89" i="1"/>
  <c r="CM194" i="1"/>
  <c r="CM132" i="1"/>
  <c r="AC202" i="1"/>
  <c r="AB149" i="1"/>
  <c r="AB117" i="1"/>
  <c r="CO65" i="1"/>
  <c r="CP63" i="1"/>
  <c r="CA225" i="1"/>
  <c r="AJ129" i="1" l="1"/>
  <c r="AL206" i="1"/>
  <c r="AJ197" i="1"/>
  <c r="AJ185" i="1"/>
  <c r="AJ157" i="1"/>
  <c r="AL249" i="1"/>
  <c r="BY205" i="1"/>
  <c r="AL96" i="1"/>
  <c r="AL108" i="1"/>
  <c r="AM103" i="1"/>
  <c r="AM107" i="1"/>
  <c r="CC95" i="1"/>
  <c r="CC107" i="1"/>
  <c r="CC103" i="1"/>
  <c r="CC86" i="1"/>
  <c r="CF90" i="1" s="1"/>
  <c r="V34" i="1"/>
  <c r="V38" i="1" s="1"/>
  <c r="V112" i="1"/>
  <c r="V232" i="1"/>
  <c r="V233" i="1" s="1"/>
  <c r="BZ108" i="1"/>
  <c r="BZ111" i="1" s="1"/>
  <c r="BZ96" i="1"/>
  <c r="V29" i="1"/>
  <c r="BJ96" i="1"/>
  <c r="AM34" i="1"/>
  <c r="AM38" i="1" s="1"/>
  <c r="AM29" i="1"/>
  <c r="AL19" i="1"/>
  <c r="AK28" i="1"/>
  <c r="AK17" i="1"/>
  <c r="AM232" i="1"/>
  <c r="AM233" i="1" s="1"/>
  <c r="CB86" i="1"/>
  <c r="CB107" i="1"/>
  <c r="CB110" i="1" s="1"/>
  <c r="CB113" i="1" s="1"/>
  <c r="I17" i="1"/>
  <c r="CB103" i="1"/>
  <c r="O18" i="1"/>
  <c r="D28" i="1"/>
  <c r="CB95" i="1"/>
  <c r="D17" i="1"/>
  <c r="E18" i="1"/>
  <c r="C17" i="1"/>
  <c r="E28" i="1"/>
  <c r="E29" i="1" s="1"/>
  <c r="R17" i="1"/>
  <c r="R18" i="1"/>
  <c r="F18" i="1"/>
  <c r="BJ110" i="1"/>
  <c r="S18" i="1"/>
  <c r="BJ95" i="1"/>
  <c r="CA103" i="1"/>
  <c r="CA107" i="1"/>
  <c r="C18" i="1"/>
  <c r="CA95" i="1"/>
  <c r="C28" i="1"/>
  <c r="D18" i="1"/>
  <c r="E17" i="1"/>
  <c r="BY138" i="1"/>
  <c r="AL107" i="1"/>
  <c r="CA94" i="1"/>
  <c r="CA102" i="1"/>
  <c r="IT9" i="4"/>
  <c r="BX109" i="1"/>
  <c r="BY37" i="1"/>
  <c r="AK19" i="1"/>
  <c r="AL28" i="1"/>
  <c r="AM19" i="1"/>
  <c r="AL17" i="1"/>
  <c r="L17" i="1"/>
  <c r="M18" i="1"/>
  <c r="P18" i="1"/>
  <c r="P17" i="1"/>
  <c r="Q18" i="1"/>
  <c r="B29" i="1"/>
  <c r="B112" i="1"/>
  <c r="J17" i="1"/>
  <c r="J18" i="1"/>
  <c r="BX246" i="1"/>
  <c r="BX165" i="1"/>
  <c r="G17" i="1"/>
  <c r="H18" i="1"/>
  <c r="H17" i="1"/>
  <c r="I18" i="1"/>
  <c r="AJ29" i="1"/>
  <c r="AJ34" i="1"/>
  <c r="AJ38" i="1" s="1"/>
  <c r="AJ232" i="1"/>
  <c r="AJ233" i="1" s="1"/>
  <c r="W232" i="1"/>
  <c r="W233" i="1" s="1"/>
  <c r="X250" i="1"/>
  <c r="W30" i="1"/>
  <c r="W250" i="1"/>
  <c r="X30" i="1"/>
  <c r="W34" i="1"/>
  <c r="W38" i="1" s="1"/>
  <c r="W29" i="1"/>
  <c r="W112" i="1"/>
  <c r="BY19" i="1"/>
  <c r="BX17" i="1"/>
  <c r="CB18" i="1"/>
  <c r="BX28" i="1"/>
  <c r="BY95" i="1"/>
  <c r="BY96" i="1"/>
  <c r="BY94" i="1"/>
  <c r="K18" i="1"/>
  <c r="K17" i="1"/>
  <c r="L18" i="1"/>
  <c r="F17" i="1"/>
  <c r="G18" i="1"/>
  <c r="U18" i="1"/>
  <c r="T18" i="1"/>
  <c r="AL109" i="1"/>
  <c r="N17" i="1"/>
  <c r="N18" i="1"/>
  <c r="BK138" i="1"/>
  <c r="BL203" i="1" s="1"/>
  <c r="BL201" i="1" s="1"/>
  <c r="BJ111" i="1"/>
  <c r="AL165" i="1"/>
  <c r="AL166" i="1" s="1"/>
  <c r="AM203" i="1"/>
  <c r="AM201" i="1" s="1"/>
  <c r="AL246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N32" i="1"/>
  <c r="AB163" i="1"/>
  <c r="CP65" i="1"/>
  <c r="CQ63" i="1"/>
  <c r="AC117" i="1"/>
  <c r="AC149" i="1"/>
  <c r="CB225" i="1"/>
  <c r="BQ1" i="1"/>
  <c r="BR1" i="1" s="1"/>
  <c r="BS1" i="1" s="1"/>
  <c r="BT1" i="1" s="1"/>
  <c r="AJ165" i="1" l="1"/>
  <c r="AJ166" i="1" s="1"/>
  <c r="AJ198" i="1"/>
  <c r="V41" i="1"/>
  <c r="V40" i="1"/>
  <c r="AM41" i="1"/>
  <c r="AM42" i="1" s="1"/>
  <c r="AM245" i="1" s="1"/>
  <c r="AM40" i="1"/>
  <c r="AK232" i="1"/>
  <c r="AK233" i="1" s="1"/>
  <c r="AK29" i="1"/>
  <c r="AK34" i="1"/>
  <c r="AK38" i="1" s="1"/>
  <c r="AK31" i="1"/>
  <c r="BX166" i="1"/>
  <c r="CE90" i="1"/>
  <c r="AL250" i="1"/>
  <c r="AL251" i="1" s="1"/>
  <c r="AM226" i="1"/>
  <c r="AL111" i="1"/>
  <c r="AJ41" i="1"/>
  <c r="AJ40" i="1"/>
  <c r="D29" i="1"/>
  <c r="D34" i="1"/>
  <c r="D38" i="1" s="1"/>
  <c r="D232" i="1"/>
  <c r="D233" i="1" s="1"/>
  <c r="D112" i="1"/>
  <c r="AL31" i="1"/>
  <c r="AM112" i="1"/>
  <c r="D250" i="1"/>
  <c r="BZ203" i="1"/>
  <c r="BZ201" i="1" s="1"/>
  <c r="BY203" i="1"/>
  <c r="BY201" i="1" s="1"/>
  <c r="AL110" i="1"/>
  <c r="BX111" i="1"/>
  <c r="E30" i="1"/>
  <c r="C250" i="1"/>
  <c r="C29" i="1"/>
  <c r="D30" i="1"/>
  <c r="C30" i="1"/>
  <c r="IB16" i="4"/>
  <c r="IT21" i="4"/>
  <c r="BN77" i="1" s="1"/>
  <c r="IB21" i="4"/>
  <c r="AV77" i="1" s="1"/>
  <c r="IM14" i="4" s="1"/>
  <c r="IU9" i="4"/>
  <c r="IU21" i="4" s="1"/>
  <c r="BO77" i="1" s="1"/>
  <c r="JG15" i="4" s="1"/>
  <c r="AL29" i="1"/>
  <c r="AL34" i="1"/>
  <c r="AL38" i="1" s="1"/>
  <c r="AL232" i="1"/>
  <c r="AL233" i="1" s="1"/>
  <c r="AM250" i="1"/>
  <c r="AM251" i="1" s="1"/>
  <c r="AM31" i="1"/>
  <c r="W41" i="1"/>
  <c r="W40" i="1"/>
  <c r="BX29" i="1"/>
  <c r="BX34" i="1"/>
  <c r="CB30" i="1"/>
  <c r="CA112" i="1"/>
  <c r="BX232" i="1"/>
  <c r="BX233" i="1" s="1"/>
  <c r="BY31" i="1"/>
  <c r="BY250" i="1"/>
  <c r="BY251" i="1" s="1"/>
  <c r="AK203" i="1"/>
  <c r="AK201" i="1" s="1"/>
  <c r="AL203" i="1"/>
  <c r="AL201" i="1" s="1"/>
  <c r="CN132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2" i="1" l="1"/>
  <c r="V245" i="1" s="1"/>
  <c r="AK40" i="1"/>
  <c r="AK41" i="1"/>
  <c r="V48" i="1"/>
  <c r="AJ42" i="1"/>
  <c r="AJ48" i="1"/>
  <c r="AJ234" i="1"/>
  <c r="D41" i="1"/>
  <c r="D40" i="1"/>
  <c r="IM19" i="4"/>
  <c r="BG78" i="1" s="1"/>
  <c r="BG107" i="1" s="1"/>
  <c r="JD7" i="4"/>
  <c r="JD19" i="4" s="1"/>
  <c r="BX78" i="1" s="1"/>
  <c r="JG20" i="4"/>
  <c r="CA79" i="1" s="1"/>
  <c r="JD16" i="4"/>
  <c r="JD21" i="4" s="1"/>
  <c r="BX77" i="1" s="1"/>
  <c r="BX94" i="1" s="1"/>
  <c r="AL40" i="1"/>
  <c r="AL41" i="1"/>
  <c r="AM227" i="1" s="1"/>
  <c r="W48" i="1"/>
  <c r="W52" i="1" s="1"/>
  <c r="W234" i="1"/>
  <c r="W42" i="1"/>
  <c r="W245" i="1" s="1"/>
  <c r="W43" i="1"/>
  <c r="X43" i="1"/>
  <c r="BX38" i="1"/>
  <c r="CA55" i="1"/>
  <c r="CO32" i="1"/>
  <c r="CN131" i="1"/>
  <c r="AJ207" i="1"/>
  <c r="AJ205" i="1" s="1"/>
  <c r="AJ52" i="1"/>
  <c r="AK234" i="1"/>
  <c r="AK48" i="1"/>
  <c r="AK119" i="1" s="1"/>
  <c r="AK120" i="1" s="1"/>
  <c r="AK129" i="1" s="1"/>
  <c r="AK44" i="1"/>
  <c r="CN138" i="1"/>
  <c r="CN194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42" i="1" l="1"/>
  <c r="D234" i="1"/>
  <c r="D42" i="1"/>
  <c r="D48" i="1"/>
  <c r="AJ193" i="1"/>
  <c r="AJ195" i="1" s="1"/>
  <c r="AJ199" i="1" s="1"/>
  <c r="AJ213" i="1" s="1"/>
  <c r="AJ66" i="1"/>
  <c r="AL44" i="1"/>
  <c r="BX107" i="1"/>
  <c r="BX110" i="1" s="1"/>
  <c r="BX89" i="1"/>
  <c r="BX95" i="1"/>
  <c r="CA104" i="1"/>
  <c r="CA108" i="1"/>
  <c r="CA96" i="1"/>
  <c r="AL48" i="1"/>
  <c r="AM44" i="1"/>
  <c r="AL42" i="1"/>
  <c r="AL245" i="1" s="1"/>
  <c r="AL234" i="1"/>
  <c r="BX40" i="1"/>
  <c r="BX41" i="1"/>
  <c r="CO194" i="1"/>
  <c r="CO132" i="1"/>
  <c r="CO131" i="1" s="1"/>
  <c r="AJ210" i="1"/>
  <c r="AJ211" i="1" s="1"/>
  <c r="T250" i="1"/>
  <c r="P250" i="1"/>
  <c r="D52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D193" i="1" l="1"/>
  <c r="D195" i="1" s="1"/>
  <c r="CB43" i="1"/>
  <c r="BX234" i="1"/>
  <c r="BX42" i="1"/>
  <c r="BX245" i="1" s="1"/>
  <c r="BX48" i="1"/>
  <c r="BY44" i="1"/>
  <c r="AL52" i="1"/>
  <c r="AL66" i="1"/>
  <c r="AL193" i="1"/>
  <c r="AL195" i="1" s="1"/>
  <c r="AK207" i="1"/>
  <c r="AK205" i="1" s="1"/>
  <c r="AL207" i="1"/>
  <c r="AL205" i="1" s="1"/>
  <c r="BK164" i="1"/>
  <c r="BM164" i="1"/>
  <c r="CO138" i="1"/>
  <c r="CP32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A54" i="1" l="1"/>
  <c r="BX66" i="1"/>
  <c r="CA69" i="1" s="1"/>
  <c r="BX193" i="1"/>
  <c r="BX195" i="1" s="1"/>
  <c r="BX52" i="1"/>
  <c r="R43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W89" i="1" l="1"/>
  <c r="CA86" i="1"/>
  <c r="CD90" i="1" s="1"/>
  <c r="CE70" i="1"/>
  <c r="CA87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E84" i="2"/>
  <c r="K76" i="2"/>
  <c r="D50" i="2"/>
  <c r="W73" i="2"/>
  <c r="J80" i="2"/>
  <c r="K82" i="2"/>
  <c r="P87" i="2"/>
  <c r="M99" i="2"/>
  <c r="H41" i="2"/>
  <c r="U78" i="2"/>
  <c r="E99" i="2"/>
  <c r="E89" i="2"/>
  <c r="M94" i="2"/>
  <c r="D74" i="2"/>
  <c r="G68" i="2"/>
  <c r="M112" i="2"/>
  <c r="E68" i="2"/>
  <c r="F61" i="2"/>
  <c r="M81" i="2"/>
  <c r="J44" i="2"/>
  <c r="G63" i="2"/>
  <c r="J69" i="2"/>
  <c r="K89" i="2"/>
  <c r="X61" i="2"/>
  <c r="K65" i="2"/>
  <c r="O79" i="2"/>
  <c r="H68" i="2"/>
  <c r="G80" i="2"/>
  <c r="E113" i="2"/>
  <c r="R94" i="2"/>
  <c r="E97" i="2"/>
  <c r="X86" i="2"/>
  <c r="H90" i="2"/>
  <c r="R65" i="2"/>
  <c r="D94" i="2"/>
  <c r="K77" i="2"/>
  <c r="D113" i="2"/>
  <c r="U108" i="2"/>
  <c r="X109" i="2"/>
  <c r="S95" i="2"/>
  <c r="M108" i="2"/>
  <c r="F97" i="2"/>
  <c r="U51" i="2"/>
  <c r="C63" i="2"/>
  <c r="AP75" i="3"/>
  <c r="AB72" i="3"/>
  <c r="C47" i="3"/>
  <c r="AB75" i="3"/>
  <c r="AP74" i="3"/>
  <c r="AB70" i="3"/>
  <c r="AP73" i="3"/>
  <c r="Z30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W48" i="2"/>
  <c r="U74" i="2"/>
  <c r="D85" i="2"/>
  <c r="U75" i="2"/>
  <c r="P71" i="2"/>
  <c r="W71" i="2"/>
  <c r="L72" i="2"/>
  <c r="W47" i="2"/>
  <c r="R58" i="2"/>
  <c r="K60" i="2"/>
  <c r="X82" i="2"/>
  <c r="T107" i="2"/>
  <c r="K70" i="2"/>
  <c r="W55" i="2"/>
  <c r="L108" i="2"/>
  <c r="H89" i="2"/>
  <c r="C62" i="2"/>
  <c r="U61" i="2"/>
  <c r="F43" i="2"/>
  <c r="L96" i="2"/>
  <c r="H62" i="2"/>
  <c r="S41" i="2"/>
  <c r="R96" i="2"/>
  <c r="C93" i="2"/>
  <c r="X48" i="2"/>
  <c r="P86" i="2"/>
  <c r="S83" i="2"/>
  <c r="S59" i="2"/>
  <c r="H80" i="2"/>
  <c r="V59" i="2"/>
  <c r="T109" i="2"/>
  <c r="L106" i="2"/>
  <c r="S90" i="2"/>
  <c r="I75" i="2"/>
  <c r="J60" i="2"/>
  <c r="T105" i="2"/>
  <c r="G70" i="2"/>
  <c r="Q73" i="2"/>
  <c r="G62" i="2"/>
  <c r="P92" i="2"/>
  <c r="W96" i="2"/>
  <c r="I73" i="2"/>
  <c r="U40" i="2"/>
  <c r="S98" i="2"/>
  <c r="AB65" i="3"/>
  <c r="AB57" i="3"/>
  <c r="AB47" i="3"/>
  <c r="AB79" i="3"/>
  <c r="AP47" i="3"/>
  <c r="AP54" i="3"/>
  <c r="AP77" i="3"/>
  <c r="AB85" i="3"/>
  <c r="W5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U57" i="2"/>
  <c r="L95" i="2"/>
  <c r="J50" i="2"/>
  <c r="H112" i="2"/>
  <c r="F41" i="2"/>
  <c r="H84" i="2"/>
  <c r="C49" i="2"/>
  <c r="E104" i="2"/>
  <c r="W83" i="2"/>
  <c r="K95" i="2"/>
  <c r="L69" i="2"/>
  <c r="I56" i="2"/>
  <c r="M89" i="2"/>
  <c r="G110" i="2"/>
  <c r="W89" i="2"/>
  <c r="U109" i="2"/>
  <c r="L56" i="2"/>
  <c r="D71" i="2"/>
  <c r="P61" i="2"/>
  <c r="V104" i="2"/>
  <c r="J97" i="2"/>
  <c r="N106" i="2"/>
  <c r="X52" i="2"/>
  <c r="Q61" i="2"/>
  <c r="N91" i="2"/>
  <c r="H47" i="2"/>
  <c r="V109" i="2"/>
  <c r="G49" i="2"/>
  <c r="K78" i="2"/>
  <c r="C110" i="2"/>
  <c r="R45" i="2"/>
  <c r="H57" i="2"/>
  <c r="V97" i="2"/>
  <c r="O70" i="2"/>
  <c r="P74" i="2"/>
  <c r="C66" i="2"/>
  <c r="G79" i="2"/>
  <c r="J98" i="2"/>
  <c r="V45" i="2"/>
  <c r="H76" i="2"/>
  <c r="H59" i="2"/>
  <c r="N92" i="2"/>
  <c r="F67" i="2"/>
  <c r="R60" i="2"/>
  <c r="AB61" i="3"/>
  <c r="AB59" i="3"/>
  <c r="AP48" i="3"/>
  <c r="AB94" i="3"/>
  <c r="AP92" i="3"/>
  <c r="AP85" i="3"/>
  <c r="AP89" i="3"/>
  <c r="AB84" i="3"/>
  <c r="P3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T45" i="2"/>
  <c r="T88" i="2"/>
  <c r="M53" i="2"/>
  <c r="V65" i="2"/>
  <c r="S86" i="2"/>
  <c r="F71" i="2"/>
  <c r="R55" i="2"/>
  <c r="H70" i="2"/>
  <c r="O105" i="2"/>
  <c r="F72" i="2"/>
  <c r="X113" i="2"/>
  <c r="S84" i="2"/>
  <c r="I47" i="2"/>
  <c r="U83" i="2"/>
  <c r="Q94" i="2"/>
  <c r="X89" i="2"/>
  <c r="K84" i="2"/>
  <c r="U77" i="2"/>
  <c r="O99" i="2"/>
  <c r="F107" i="2"/>
  <c r="O65" i="2"/>
  <c r="N99" i="2"/>
  <c r="W78" i="2"/>
  <c r="V82" i="2"/>
  <c r="M109" i="2"/>
  <c r="F56" i="2"/>
  <c r="C83" i="2"/>
  <c r="X111" i="2"/>
  <c r="H106" i="2"/>
  <c r="T112" i="2"/>
  <c r="V68" i="2"/>
  <c r="U110" i="2"/>
  <c r="D75" i="2"/>
  <c r="I93" i="2"/>
  <c r="T49" i="2"/>
  <c r="T57" i="2"/>
  <c r="N44" i="2"/>
  <c r="I58" i="2"/>
  <c r="W52" i="2"/>
  <c r="I79" i="2"/>
  <c r="N61" i="2"/>
  <c r="T110" i="2"/>
  <c r="L109" i="2"/>
  <c r="L78" i="2"/>
  <c r="AB81" i="3"/>
  <c r="AP93" i="3"/>
  <c r="AP90" i="3"/>
  <c r="AB50" i="3"/>
  <c r="AP81" i="3"/>
  <c r="AP80" i="3"/>
  <c r="AB69" i="3"/>
  <c r="AB95" i="3"/>
  <c r="I22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S69" i="2"/>
  <c r="X73" i="2"/>
  <c r="V74" i="2"/>
  <c r="G96" i="2"/>
  <c r="N107" i="2"/>
  <c r="M54" i="2"/>
  <c r="H53" i="2"/>
  <c r="C98" i="2"/>
  <c r="W99" i="2"/>
  <c r="V113" i="2"/>
  <c r="R77" i="2"/>
  <c r="W109" i="2"/>
  <c r="K98" i="2"/>
  <c r="H72" i="2"/>
  <c r="I99" i="2"/>
  <c r="N62" i="2"/>
  <c r="C82" i="2"/>
  <c r="V63" i="2"/>
  <c r="F54" i="2"/>
  <c r="L104" i="2"/>
  <c r="C68" i="2"/>
  <c r="L80" i="2"/>
  <c r="M79" i="2"/>
  <c r="C77" i="2"/>
  <c r="D104" i="2"/>
  <c r="S113" i="2"/>
  <c r="K57" i="2"/>
  <c r="D73" i="2"/>
  <c r="Q72" i="2"/>
  <c r="V108" i="2"/>
  <c r="R107" i="2"/>
  <c r="O88" i="2"/>
  <c r="F45" i="2"/>
  <c r="F59" i="2"/>
  <c r="E112" i="2"/>
  <c r="E87" i="2"/>
  <c r="P56" i="2"/>
  <c r="O66" i="2"/>
  <c r="N55" i="2"/>
  <c r="F81" i="2"/>
  <c r="U65" i="2"/>
  <c r="U64" i="2"/>
  <c r="M42" i="2"/>
  <c r="X45" i="2"/>
  <c r="AB68" i="3"/>
  <c r="AP66" i="3"/>
  <c r="AP83" i="3"/>
  <c r="AP65" i="3"/>
  <c r="AP62" i="3"/>
  <c r="AB56" i="3"/>
  <c r="AB64" i="3"/>
  <c r="AB74" i="3"/>
  <c r="K13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P88" i="2"/>
  <c r="N88" i="2"/>
  <c r="K52" i="2"/>
  <c r="M82" i="2"/>
  <c r="O98" i="2"/>
  <c r="W60" i="2"/>
  <c r="R81" i="2"/>
  <c r="D72" i="2"/>
  <c r="W40" i="2"/>
  <c r="S92" i="2"/>
  <c r="T75" i="2"/>
  <c r="T48" i="2"/>
  <c r="N66" i="2"/>
  <c r="D54" i="2"/>
  <c r="K51" i="2"/>
  <c r="W106" i="2"/>
  <c r="E54" i="2"/>
  <c r="U60" i="2"/>
  <c r="E107" i="2"/>
  <c r="R76" i="2"/>
  <c r="M58" i="2"/>
  <c r="X107" i="2"/>
  <c r="Q107" i="2"/>
  <c r="O64" i="2"/>
  <c r="N109" i="2"/>
  <c r="H42" i="2"/>
  <c r="F58" i="2"/>
  <c r="P58" i="2"/>
  <c r="M68" i="2"/>
  <c r="V77" i="2"/>
  <c r="U86" i="2"/>
  <c r="S65" i="2"/>
  <c r="P110" i="2"/>
  <c r="F66" i="2"/>
  <c r="K83" i="2"/>
  <c r="H45" i="2"/>
  <c r="T70" i="2"/>
  <c r="H77" i="2"/>
  <c r="R97" i="2"/>
  <c r="K64" i="2"/>
  <c r="C56" i="2"/>
  <c r="O62" i="2"/>
  <c r="E96" i="2"/>
  <c r="N77" i="2"/>
  <c r="AB60" i="3"/>
  <c r="AB78" i="3"/>
  <c r="AB93" i="3"/>
  <c r="AP57" i="3"/>
  <c r="AB62" i="3"/>
  <c r="AP76" i="3"/>
  <c r="AP67" i="3"/>
  <c r="H20" i="3"/>
  <c r="AI6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I108" i="2"/>
  <c r="V107" i="2"/>
  <c r="F99" i="2"/>
  <c r="P67" i="2"/>
  <c r="W113" i="2"/>
  <c r="K80" i="2"/>
  <c r="L113" i="2"/>
  <c r="X46" i="2"/>
  <c r="N104" i="2"/>
  <c r="N76" i="2"/>
  <c r="Q106" i="2"/>
  <c r="K109" i="2"/>
  <c r="E69" i="2"/>
  <c r="V94" i="2"/>
  <c r="X51" i="2"/>
  <c r="L84" i="2"/>
  <c r="F105" i="2"/>
  <c r="X50" i="2"/>
  <c r="T42" i="2"/>
  <c r="F95" i="2"/>
  <c r="T90" i="2"/>
  <c r="Q74" i="2"/>
  <c r="T40" i="2"/>
  <c r="W59" i="2"/>
  <c r="L44" i="2"/>
  <c r="D79" i="2"/>
  <c r="T68" i="2"/>
  <c r="X69" i="2"/>
  <c r="V76" i="2"/>
  <c r="M41" i="2"/>
  <c r="D46" i="2"/>
  <c r="N53" i="2"/>
  <c r="J70" i="2"/>
  <c r="O80" i="2"/>
  <c r="G105" i="2"/>
  <c r="K40" i="2"/>
  <c r="T89" i="2"/>
  <c r="N75" i="2"/>
  <c r="V81" i="2"/>
  <c r="R71" i="2"/>
  <c r="N49" i="2"/>
  <c r="X87" i="2"/>
  <c r="T96" i="2"/>
  <c r="T93" i="2"/>
  <c r="S56" i="2"/>
  <c r="G74" i="2"/>
  <c r="X97" i="2"/>
  <c r="N54" i="2"/>
  <c r="S111" i="2"/>
  <c r="J45" i="2"/>
  <c r="Q44" i="2"/>
  <c r="J95" i="2"/>
  <c r="I44" i="2"/>
  <c r="H93" i="2"/>
  <c r="G60" i="2"/>
  <c r="M111" i="2"/>
  <c r="L105" i="2"/>
  <c r="F69" i="2"/>
  <c r="L83" i="2"/>
  <c r="AB88" i="3"/>
  <c r="AB55" i="3"/>
  <c r="AP55" i="3"/>
  <c r="AB96" i="3"/>
  <c r="AP94" i="3"/>
  <c r="C49" i="3"/>
  <c r="AP49" i="3"/>
  <c r="H34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E46" i="2"/>
  <c r="M110" i="2"/>
  <c r="G47" i="2"/>
  <c r="I83" i="2"/>
  <c r="I76" i="2"/>
  <c r="C71" i="2"/>
  <c r="J57" i="2"/>
  <c r="H95" i="2"/>
  <c r="S108" i="2"/>
  <c r="F109" i="2"/>
  <c r="U55" i="2"/>
  <c r="F68" i="2"/>
  <c r="K67" i="2"/>
  <c r="E51" i="2"/>
  <c r="G52" i="2"/>
  <c r="P82" i="2"/>
  <c r="P43" i="2"/>
  <c r="Q75" i="2"/>
  <c r="K81" i="2"/>
  <c r="W58" i="2"/>
  <c r="I42" i="2"/>
  <c r="N69" i="2"/>
  <c r="U69" i="2"/>
  <c r="U59" i="2"/>
  <c r="I55" i="2"/>
  <c r="H61" i="2"/>
  <c r="C97" i="2"/>
  <c r="J49" i="2"/>
  <c r="Q98" i="2"/>
  <c r="F85" i="2"/>
  <c r="J51" i="2"/>
  <c r="N71" i="2"/>
  <c r="K41" i="2"/>
  <c r="I88" i="2"/>
  <c r="S58" i="2"/>
  <c r="G78" i="2"/>
  <c r="U85" i="2"/>
  <c r="K58" i="2"/>
  <c r="N98" i="2"/>
  <c r="Q47" i="2"/>
  <c r="N57" i="2"/>
  <c r="X85" i="2"/>
  <c r="M47" i="2"/>
  <c r="V95" i="2"/>
  <c r="AP56" i="3"/>
  <c r="AB48" i="3"/>
  <c r="AP59" i="3"/>
  <c r="AB71" i="3"/>
  <c r="AB87" i="3"/>
  <c r="AB86" i="3"/>
  <c r="AP64" i="3"/>
  <c r="C21" i="3"/>
  <c r="T8" i="3"/>
  <c r="L32" i="3"/>
  <c r="R18" i="3"/>
  <c r="AL20" i="3"/>
  <c r="T24" i="3"/>
  <c r="AE10" i="3"/>
  <c r="Y17" i="3"/>
  <c r="AH33" i="3"/>
  <c r="X12" i="3"/>
  <c r="AE32" i="3"/>
  <c r="AI16" i="3"/>
  <c r="M93" i="2"/>
  <c r="N84" i="2"/>
  <c r="O54" i="2"/>
  <c r="E61" i="2"/>
  <c r="S99" i="2"/>
  <c r="E70" i="2"/>
  <c r="S78" i="2"/>
  <c r="G61" i="2"/>
  <c r="O58" i="2"/>
  <c r="D52" i="2"/>
  <c r="L111" i="2"/>
  <c r="V111" i="2"/>
  <c r="F48" i="2"/>
  <c r="S93" i="2"/>
  <c r="R84" i="2"/>
  <c r="R80" i="2"/>
  <c r="N43" i="2"/>
  <c r="N95" i="2"/>
  <c r="E105" i="2"/>
  <c r="M83" i="2"/>
  <c r="X56" i="2"/>
  <c r="V93" i="2"/>
  <c r="D82" i="2"/>
  <c r="M90" i="2"/>
  <c r="G56" i="2"/>
  <c r="H67" i="2"/>
  <c r="X91" i="2"/>
  <c r="X53" i="2"/>
  <c r="Q60" i="2"/>
  <c r="W64" i="2"/>
  <c r="T52" i="2"/>
  <c r="V44" i="2"/>
  <c r="D68" i="2"/>
  <c r="K73" i="2"/>
  <c r="C61" i="2"/>
  <c r="M67" i="2"/>
  <c r="N63" i="2"/>
  <c r="Q51" i="2"/>
  <c r="O50" i="2"/>
  <c r="E78" i="2"/>
  <c r="W112" i="2"/>
  <c r="T63" i="2"/>
  <c r="L97" i="2"/>
  <c r="C87" i="2"/>
  <c r="AB58" i="3"/>
  <c r="AB77" i="3"/>
  <c r="AP71" i="3"/>
  <c r="AP91" i="3"/>
  <c r="AB54" i="3"/>
  <c r="AP50" i="3"/>
  <c r="AP60" i="3"/>
  <c r="R29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D108" i="2"/>
  <c r="C89" i="2"/>
  <c r="J89" i="2"/>
  <c r="O53" i="2"/>
  <c r="N113" i="2"/>
  <c r="S110" i="2"/>
  <c r="O91" i="2"/>
  <c r="U70" i="2"/>
  <c r="S54" i="2"/>
  <c r="H55" i="2"/>
  <c r="AP78" i="3"/>
  <c r="AP69" i="3"/>
  <c r="N26" i="3"/>
  <c r="O21" i="3"/>
  <c r="AI41" i="3"/>
  <c r="L11" i="3"/>
  <c r="AP13" i="3"/>
  <c r="AL37" i="3"/>
  <c r="AK17" i="3"/>
  <c r="K35" i="3"/>
  <c r="C12" i="3"/>
  <c r="O42" i="3"/>
  <c r="S11" i="3"/>
  <c r="AJ23" i="3"/>
  <c r="I15" i="3"/>
  <c r="Q19" i="3"/>
  <c r="J17" i="3"/>
  <c r="C30" i="3"/>
  <c r="W16" i="3"/>
  <c r="AG38" i="3"/>
  <c r="AE33" i="3"/>
  <c r="AJ34" i="3"/>
  <c r="H37" i="3"/>
  <c r="AQ22" i="3"/>
  <c r="AO23" i="3"/>
  <c r="AD48" i="3"/>
  <c r="S23" i="3"/>
  <c r="AK10" i="3"/>
  <c r="C39" i="3"/>
  <c r="AA13" i="3"/>
  <c r="K10" i="3"/>
  <c r="AQ24" i="3"/>
  <c r="H23" i="3"/>
  <c r="U39" i="3"/>
  <c r="AN28" i="3"/>
  <c r="AM7" i="3"/>
  <c r="U34" i="3"/>
  <c r="W38" i="3"/>
  <c r="AJ39" i="3"/>
  <c r="G33" i="3"/>
  <c r="S5" i="3"/>
  <c r="AQ31" i="3"/>
  <c r="X37" i="3"/>
  <c r="L7" i="3"/>
  <c r="AG41" i="3"/>
  <c r="Y42" i="3"/>
  <c r="D49" i="3"/>
  <c r="V28" i="3"/>
  <c r="N17" i="3"/>
  <c r="D47" i="3"/>
  <c r="H8" i="3"/>
  <c r="AA15" i="3"/>
  <c r="I32" i="3"/>
  <c r="M16" i="3"/>
  <c r="AC34" i="3"/>
  <c r="H12" i="3"/>
  <c r="AG13" i="3"/>
  <c r="N27" i="3"/>
  <c r="AD49" i="3"/>
  <c r="I5" i="3"/>
  <c r="AO37" i="3"/>
  <c r="S18" i="3"/>
  <c r="W32" i="3"/>
  <c r="H33" i="3"/>
  <c r="AH8" i="3"/>
  <c r="V39" i="3"/>
  <c r="Q7" i="3"/>
  <c r="M8" i="3"/>
  <c r="AL29" i="3"/>
  <c r="U35" i="3"/>
  <c r="AI35" i="3"/>
  <c r="J6" i="3"/>
  <c r="P37" i="3"/>
  <c r="Z18" i="3"/>
  <c r="AG33" i="3"/>
  <c r="I11" i="3"/>
  <c r="AC35" i="3"/>
  <c r="M19" i="3"/>
  <c r="AM18" i="3"/>
  <c r="AE13" i="3"/>
  <c r="AL35" i="3"/>
  <c r="AN15" i="3"/>
  <c r="AG29" i="3"/>
  <c r="AK19" i="3"/>
  <c r="AP32" i="3"/>
  <c r="X6" i="3"/>
  <c r="AO13" i="3"/>
  <c r="Z9" i="3"/>
  <c r="AI32" i="3"/>
  <c r="O26" i="3"/>
  <c r="AD47" i="3"/>
  <c r="AL26" i="3"/>
  <c r="AB32" i="3"/>
  <c r="T13" i="3"/>
  <c r="AO26" i="3"/>
  <c r="AP21" i="3"/>
  <c r="AB49" i="3"/>
  <c r="AI21" i="3"/>
  <c r="R26" i="3"/>
  <c r="T10" i="3"/>
  <c r="AQ14" i="3"/>
  <c r="K24" i="3"/>
  <c r="AE29" i="3"/>
  <c r="AE28" i="3"/>
  <c r="U26" i="3"/>
  <c r="J23" i="3"/>
  <c r="AN38" i="3"/>
  <c r="AH26" i="3"/>
  <c r="N38" i="3"/>
  <c r="M28" i="3"/>
  <c r="Q42" i="3"/>
  <c r="N16" i="3"/>
  <c r="N33" i="3"/>
  <c r="W14" i="3"/>
  <c r="Q39" i="3"/>
  <c r="Z33" i="3"/>
  <c r="J65" i="2"/>
  <c r="E67" i="2"/>
  <c r="O63" i="2"/>
  <c r="J58" i="2"/>
  <c r="I45" i="2"/>
  <c r="V53" i="2"/>
  <c r="N110" i="2"/>
  <c r="N46" i="2"/>
  <c r="G51" i="2"/>
  <c r="U113" i="2"/>
  <c r="AP79" i="3"/>
  <c r="T23" i="3"/>
  <c r="O23" i="3"/>
  <c r="AB19" i="3"/>
  <c r="AA34" i="3"/>
  <c r="Z25" i="3"/>
  <c r="AP36" i="3"/>
  <c r="W34" i="3"/>
  <c r="AG28" i="3"/>
  <c r="AN20" i="3"/>
  <c r="C22" i="3"/>
  <c r="M22" i="3"/>
  <c r="AI10" i="3"/>
  <c r="V33" i="3"/>
  <c r="AP26" i="3"/>
  <c r="AN6" i="3"/>
  <c r="AO32" i="3"/>
  <c r="M7" i="3"/>
  <c r="AQ19" i="3"/>
  <c r="AG23" i="3"/>
  <c r="H25" i="3"/>
  <c r="K15" i="3"/>
  <c r="AN24" i="3"/>
  <c r="J21" i="3"/>
  <c r="I34" i="3"/>
  <c r="N29" i="3"/>
  <c r="Z26" i="3"/>
  <c r="X22" i="3"/>
  <c r="P40" i="3"/>
  <c r="Z23" i="3"/>
  <c r="V32" i="3"/>
  <c r="Z40" i="3"/>
  <c r="L9" i="3"/>
  <c r="O25" i="3"/>
  <c r="AO12" i="3"/>
  <c r="AG31" i="3"/>
  <c r="C20" i="3"/>
  <c r="T20" i="3"/>
  <c r="AN21" i="3"/>
  <c r="AN16" i="3"/>
  <c r="Y35" i="3"/>
  <c r="Q21" i="3"/>
  <c r="AK32" i="3"/>
  <c r="AA18" i="3"/>
  <c r="Y9" i="3"/>
  <c r="T39" i="3"/>
  <c r="AJ19" i="3"/>
  <c r="R8" i="3"/>
  <c r="AE16" i="3"/>
  <c r="R5" i="3"/>
  <c r="C36" i="3"/>
  <c r="U42" i="3"/>
  <c r="T27" i="3"/>
  <c r="AH18" i="3"/>
  <c r="O13" i="3"/>
  <c r="R7" i="3"/>
  <c r="L21" i="3"/>
  <c r="X20" i="3"/>
  <c r="AE12" i="3"/>
  <c r="AA39" i="3"/>
  <c r="AH12" i="3"/>
  <c r="AM42" i="3"/>
  <c r="W8" i="3"/>
  <c r="AI33" i="3"/>
  <c r="U40" i="3"/>
  <c r="AJ29" i="3"/>
  <c r="J11" i="3"/>
  <c r="AA36" i="3"/>
  <c r="AC37" i="3"/>
  <c r="AE11" i="3"/>
  <c r="P20" i="3"/>
  <c r="N35" i="3"/>
  <c r="AQ32" i="3"/>
  <c r="Z24" i="3"/>
  <c r="AJ20" i="3"/>
  <c r="AI23" i="3"/>
  <c r="AA5" i="3"/>
  <c r="I42" i="3"/>
  <c r="AP17" i="3"/>
  <c r="X29" i="3"/>
  <c r="AJ32" i="3"/>
  <c r="M5" i="3"/>
  <c r="V13" i="3"/>
  <c r="AJ12" i="3"/>
  <c r="AJ28" i="3"/>
  <c r="X32" i="3"/>
  <c r="N7" i="3"/>
  <c r="Q24" i="3"/>
  <c r="O14" i="3"/>
  <c r="X8" i="3"/>
  <c r="AG16" i="3"/>
  <c r="N11" i="3"/>
  <c r="S10" i="3"/>
  <c r="P12" i="3"/>
  <c r="AA38" i="3"/>
  <c r="AB15" i="3"/>
  <c r="AM27" i="3"/>
  <c r="AH20" i="3"/>
  <c r="AC6" i="3"/>
  <c r="S22" i="3"/>
  <c r="Q17" i="3"/>
  <c r="AA35" i="3"/>
  <c r="AI12" i="3"/>
  <c r="AG17" i="3"/>
  <c r="Q29" i="3"/>
  <c r="O20" i="3"/>
  <c r="AB29" i="3"/>
  <c r="T11" i="3"/>
  <c r="P19" i="3"/>
  <c r="AO9" i="3"/>
  <c r="V42" i="3"/>
  <c r="AJ27" i="3"/>
  <c r="AK15" i="3"/>
  <c r="S13" i="3"/>
  <c r="D45" i="2"/>
  <c r="O87" i="2"/>
  <c r="Q79" i="2"/>
  <c r="V47" i="2"/>
  <c r="K71" i="2"/>
  <c r="M51" i="2"/>
  <c r="M56" i="2"/>
  <c r="R59" i="2"/>
  <c r="J67" i="2"/>
  <c r="N47" i="2"/>
  <c r="AP63" i="3"/>
  <c r="C28" i="3"/>
  <c r="AO33" i="3"/>
  <c r="P10" i="3"/>
  <c r="AB41" i="3"/>
  <c r="AA12" i="3"/>
  <c r="K36" i="3"/>
  <c r="N5" i="3"/>
  <c r="R32" i="3"/>
  <c r="AL10" i="3"/>
  <c r="AP15" i="3"/>
  <c r="AO31" i="3"/>
  <c r="Z31" i="3"/>
  <c r="Z16" i="3"/>
  <c r="S28" i="3"/>
  <c r="Q25" i="3"/>
  <c r="M18" i="3"/>
  <c r="K5" i="3"/>
  <c r="AD41" i="3"/>
  <c r="AM38" i="3"/>
  <c r="I17" i="3"/>
  <c r="K22" i="3"/>
  <c r="N22" i="3"/>
  <c r="C9" i="3"/>
  <c r="W27" i="3"/>
  <c r="N8" i="3"/>
  <c r="AL38" i="3"/>
  <c r="Q66" i="2"/>
  <c r="D76" i="2"/>
  <c r="W67" i="2"/>
  <c r="K96" i="2"/>
  <c r="M75" i="2"/>
  <c r="D43" i="2"/>
  <c r="P52" i="2"/>
  <c r="C51" i="2"/>
  <c r="R50" i="2"/>
  <c r="F88" i="2"/>
  <c r="AP58" i="3"/>
  <c r="S7" i="3"/>
  <c r="J16" i="3"/>
  <c r="AO15" i="3"/>
  <c r="X7" i="3"/>
  <c r="AE21" i="3"/>
  <c r="AD20" i="3"/>
  <c r="AN12" i="3"/>
  <c r="H27" i="3"/>
  <c r="L5" i="3"/>
  <c r="AM12" i="3"/>
  <c r="L31" i="3"/>
  <c r="AI5" i="3"/>
  <c r="C17" i="3"/>
  <c r="W7" i="3"/>
  <c r="R17" i="3"/>
  <c r="X38" i="3"/>
  <c r="AC25" i="3"/>
  <c r="R28" i="3"/>
  <c r="AG32" i="3"/>
  <c r="AG30" i="3"/>
  <c r="AK36" i="3"/>
  <c r="T14" i="3"/>
  <c r="AC16" i="3"/>
  <c r="AO29" i="3"/>
  <c r="K18" i="3"/>
  <c r="W41" i="3"/>
  <c r="X21" i="3"/>
  <c r="AG34" i="3"/>
  <c r="T21" i="3"/>
  <c r="Y33" i="3"/>
  <c r="O10" i="3"/>
  <c r="S26" i="3"/>
  <c r="AJ18" i="3"/>
  <c r="AC28" i="3"/>
  <c r="L17" i="3"/>
  <c r="Z32" i="3"/>
  <c r="X33" i="3"/>
  <c r="AP42" i="3"/>
  <c r="U29" i="3"/>
  <c r="L12" i="3"/>
  <c r="M42" i="3"/>
  <c r="S8" i="3"/>
  <c r="C13" i="3"/>
  <c r="H26" i="3"/>
  <c r="AL24" i="3"/>
  <c r="V35" i="3"/>
  <c r="D48" i="3"/>
  <c r="K7" i="3"/>
  <c r="AE26" i="3"/>
  <c r="T40" i="3"/>
  <c r="V14" i="3"/>
  <c r="W30" i="3"/>
  <c r="S20" i="3"/>
  <c r="AG40" i="3"/>
  <c r="AB31" i="3"/>
  <c r="M21" i="3"/>
  <c r="X19" i="3"/>
  <c r="P38" i="3"/>
  <c r="K25" i="3"/>
  <c r="U20" i="3"/>
  <c r="AO22" i="3"/>
  <c r="J31" i="3"/>
  <c r="Q10" i="3"/>
  <c r="AH6" i="3"/>
  <c r="H22" i="3"/>
  <c r="AO27" i="3"/>
  <c r="S25" i="3"/>
  <c r="AA28" i="3"/>
  <c r="AE40" i="3"/>
  <c r="X18" i="3"/>
  <c r="J35" i="3"/>
  <c r="V40" i="3"/>
  <c r="AA24" i="3"/>
  <c r="T5" i="3"/>
  <c r="L10" i="3"/>
  <c r="AA37" i="3"/>
  <c r="S37" i="3"/>
  <c r="L24" i="3"/>
  <c r="AD29" i="3"/>
  <c r="J19" i="3"/>
  <c r="V23" i="3"/>
  <c r="Q5" i="3"/>
  <c r="AQ33" i="3"/>
  <c r="Q9" i="3"/>
  <c r="K6" i="3"/>
  <c r="Q28" i="3"/>
  <c r="AM23" i="3"/>
  <c r="P15" i="3"/>
  <c r="W23" i="3"/>
  <c r="R34" i="3"/>
  <c r="K11" i="3"/>
  <c r="AG12" i="3"/>
  <c r="AH5" i="3"/>
  <c r="T15" i="3"/>
  <c r="AB9" i="3"/>
  <c r="I9" i="3"/>
  <c r="AM14" i="3"/>
  <c r="AN27" i="3"/>
  <c r="AK11" i="3"/>
  <c r="G50" i="3"/>
  <c r="X108" i="2"/>
  <c r="P99" i="2"/>
  <c r="L60" i="2"/>
  <c r="U112" i="2"/>
  <c r="D59" i="2"/>
  <c r="P49" i="2"/>
  <c r="M64" i="2"/>
  <c r="W79" i="2"/>
  <c r="O61" i="2"/>
  <c r="AP84" i="3"/>
  <c r="AP82" i="3"/>
  <c r="AG39" i="3"/>
  <c r="W28" i="3"/>
  <c r="AC39" i="3"/>
  <c r="O37" i="3"/>
  <c r="S32" i="3"/>
  <c r="AE14" i="3"/>
  <c r="AM8" i="3"/>
  <c r="AB22" i="3"/>
  <c r="AB37" i="3"/>
  <c r="Z28" i="3"/>
  <c r="AA42" i="3"/>
  <c r="AC13" i="3"/>
  <c r="N20" i="3"/>
  <c r="AJ14" i="3"/>
  <c r="T22" i="3"/>
  <c r="I25" i="3"/>
  <c r="C42" i="3"/>
  <c r="AN17" i="3"/>
  <c r="V38" i="3"/>
  <c r="AH10" i="3"/>
  <c r="AO10" i="3"/>
  <c r="Q22" i="3"/>
  <c r="D50" i="3"/>
  <c r="AE6" i="3"/>
  <c r="N30" i="3"/>
  <c r="V11" i="3"/>
  <c r="R37" i="3"/>
  <c r="AH34" i="3"/>
  <c r="AO30" i="3"/>
  <c r="H15" i="3"/>
  <c r="AI18" i="3"/>
  <c r="U9" i="3"/>
  <c r="Z20" i="3"/>
  <c r="AD36" i="3"/>
  <c r="I20" i="3"/>
  <c r="AH19" i="3"/>
  <c r="AG19" i="3"/>
  <c r="U10" i="3"/>
  <c r="I27" i="3"/>
  <c r="K30" i="3"/>
  <c r="AM28" i="3"/>
  <c r="L40" i="3"/>
  <c r="K39" i="3"/>
  <c r="AK38" i="3"/>
  <c r="AM19" i="3"/>
  <c r="AK8" i="3"/>
  <c r="AI29" i="3"/>
  <c r="AI13" i="3"/>
  <c r="AJ37" i="3"/>
  <c r="AM15" i="3"/>
  <c r="AN13" i="3"/>
  <c r="P9" i="3"/>
  <c r="AK28" i="3"/>
  <c r="T31" i="3"/>
  <c r="L35" i="3"/>
  <c r="AH30" i="3"/>
  <c r="U8" i="3"/>
  <c r="Z27" i="3"/>
  <c r="N18" i="3"/>
  <c r="K16" i="3"/>
  <c r="L22" i="3"/>
  <c r="AL12" i="3"/>
  <c r="AQ26" i="3"/>
  <c r="AK40" i="3"/>
  <c r="P28" i="3"/>
  <c r="L34" i="3"/>
  <c r="AG25" i="3"/>
  <c r="J10" i="3"/>
  <c r="Y21" i="3"/>
  <c r="V20" i="3"/>
  <c r="S12" i="3"/>
  <c r="Y34" i="3"/>
  <c r="C32" i="3"/>
  <c r="AO24" i="3"/>
  <c r="C72" i="2"/>
  <c r="L62" i="2"/>
  <c r="U90" i="2"/>
  <c r="E91" i="2"/>
  <c r="K69" i="2"/>
  <c r="M63" i="2"/>
  <c r="G42" i="2"/>
  <c r="G76" i="2"/>
  <c r="J81" i="2"/>
  <c r="AP70" i="3"/>
  <c r="AP87" i="3"/>
  <c r="AN8" i="3"/>
  <c r="I38" i="3"/>
  <c r="I23" i="3"/>
  <c r="J12" i="3"/>
  <c r="G37" i="3"/>
  <c r="X14" i="3"/>
  <c r="S42" i="3"/>
  <c r="M36" i="3"/>
  <c r="AC42" i="3"/>
  <c r="C41" i="3"/>
  <c r="V18" i="3"/>
  <c r="AB11" i="3"/>
  <c r="J34" i="3"/>
  <c r="AB21" i="3"/>
  <c r="P18" i="3"/>
  <c r="AQ9" i="3"/>
  <c r="L28" i="3"/>
  <c r="AJ5" i="3"/>
  <c r="H35" i="3"/>
  <c r="AB6" i="3"/>
  <c r="AM20" i="3"/>
  <c r="AN19" i="3"/>
  <c r="X13" i="3"/>
  <c r="M30" i="3"/>
  <c r="AG36" i="3"/>
  <c r="AE38" i="3"/>
  <c r="N28" i="3"/>
  <c r="AM29" i="3"/>
  <c r="AD40" i="3"/>
  <c r="J32" i="3"/>
  <c r="J20" i="3"/>
  <c r="G38" i="3"/>
  <c r="AL40" i="3"/>
  <c r="W42" i="3"/>
  <c r="AI25" i="3"/>
  <c r="AE37" i="3"/>
  <c r="T37" i="3"/>
  <c r="AC21" i="3"/>
  <c r="T9" i="3"/>
  <c r="AH27" i="3"/>
  <c r="Q13" i="3"/>
  <c r="J30" i="3"/>
  <c r="H30" i="3"/>
  <c r="AD42" i="3"/>
  <c r="Y15" i="3"/>
  <c r="T42" i="3"/>
  <c r="AQ10" i="3"/>
  <c r="N37" i="3"/>
  <c r="AP35" i="3"/>
  <c r="AQ11" i="3"/>
  <c r="K19" i="3"/>
  <c r="Y8" i="3"/>
  <c r="AG20" i="3"/>
  <c r="AL32" i="3"/>
  <c r="AJ42" i="3"/>
  <c r="O12" i="3"/>
  <c r="G34" i="3"/>
  <c r="AN41" i="3"/>
  <c r="P14" i="3"/>
  <c r="S14" i="3"/>
  <c r="AA27" i="3"/>
  <c r="O29" i="3"/>
  <c r="V9" i="3"/>
  <c r="AO34" i="3"/>
  <c r="AB24" i="3"/>
  <c r="Z36" i="3"/>
  <c r="I33" i="3"/>
  <c r="AO18" i="3"/>
  <c r="U27" i="3"/>
  <c r="Y14" i="3"/>
  <c r="AO35" i="3"/>
  <c r="AQ5" i="3"/>
  <c r="AI7" i="3"/>
  <c r="X39" i="3"/>
  <c r="R19" i="3"/>
  <c r="AK25" i="3"/>
  <c r="Q18" i="3"/>
  <c r="M40" i="3"/>
  <c r="C26" i="3"/>
  <c r="C11" i="3"/>
  <c r="R62" i="2"/>
  <c r="G53" i="2"/>
  <c r="T41" i="2"/>
  <c r="D64" i="2"/>
  <c r="C90" i="2"/>
  <c r="T86" i="2"/>
  <c r="J90" i="2"/>
  <c r="U107" i="2"/>
  <c r="D107" i="2"/>
  <c r="AP96" i="3"/>
  <c r="AB82" i="3"/>
  <c r="AL33" i="3"/>
  <c r="T25" i="3"/>
  <c r="Z8" i="3"/>
  <c r="H14" i="3"/>
  <c r="N39" i="3"/>
  <c r="X28" i="3"/>
  <c r="U41" i="3"/>
  <c r="AJ16" i="3"/>
  <c r="M32" i="3"/>
  <c r="P22" i="3"/>
  <c r="AQ36" i="3"/>
  <c r="T30" i="3"/>
  <c r="Y28" i="3"/>
  <c r="AP14" i="3"/>
  <c r="M48" i="2"/>
  <c r="J47" i="2"/>
  <c r="W66" i="2"/>
  <c r="G50" i="2"/>
  <c r="J85" i="2"/>
  <c r="N79" i="2"/>
  <c r="D40" i="2"/>
  <c r="R68" i="2"/>
  <c r="R40" i="2"/>
  <c r="V83" i="2"/>
  <c r="AB80" i="3"/>
  <c r="R109" i="2"/>
  <c r="W75" i="2"/>
  <c r="K72" i="2"/>
  <c r="F112" i="2"/>
  <c r="K92" i="2"/>
  <c r="K55" i="2"/>
  <c r="I51" i="2"/>
  <c r="R104" i="2"/>
  <c r="N70" i="2"/>
  <c r="F82" i="2"/>
  <c r="AP86" i="3"/>
  <c r="AB97" i="3"/>
  <c r="Z19" i="3"/>
  <c r="S16" i="3"/>
  <c r="AE24" i="3"/>
  <c r="P41" i="3"/>
  <c r="W18" i="3"/>
  <c r="I8" i="3"/>
  <c r="AB38" i="3"/>
  <c r="Y25" i="3"/>
  <c r="J25" i="3"/>
  <c r="AL9" i="3"/>
  <c r="O8" i="3"/>
  <c r="V29" i="3"/>
  <c r="N21" i="3"/>
  <c r="J8" i="3"/>
  <c r="AC19" i="3"/>
  <c r="L16" i="3"/>
  <c r="AC33" i="3"/>
  <c r="AH35" i="3"/>
  <c r="K21" i="3"/>
  <c r="R42" i="3"/>
  <c r="U33" i="3"/>
  <c r="AB13" i="3"/>
  <c r="W31" i="3"/>
  <c r="G39" i="3"/>
  <c r="Y7" i="3"/>
  <c r="S21" i="3"/>
  <c r="AL7" i="3"/>
  <c r="P17" i="3"/>
  <c r="AB27" i="3"/>
  <c r="AA14" i="3"/>
  <c r="AL13" i="3"/>
  <c r="AO28" i="3"/>
  <c r="P42" i="3"/>
  <c r="Q30" i="3"/>
  <c r="AM34" i="3"/>
  <c r="AB28" i="3"/>
  <c r="S6" i="3"/>
  <c r="AI39" i="3"/>
  <c r="AG5" i="3"/>
  <c r="AQ25" i="3"/>
  <c r="AA29" i="3"/>
  <c r="J39" i="3"/>
  <c r="U7" i="3"/>
  <c r="V5" i="3"/>
  <c r="Z39" i="3"/>
  <c r="N12" i="3"/>
  <c r="T38" i="3"/>
  <c r="AB40" i="3"/>
  <c r="AD22" i="3"/>
  <c r="AQ34" i="3"/>
  <c r="K28" i="3"/>
  <c r="H29" i="3"/>
  <c r="V36" i="3"/>
  <c r="AJ21" i="3"/>
  <c r="Q32" i="3"/>
  <c r="AE22" i="3"/>
  <c r="AO36" i="3"/>
  <c r="AA26" i="3"/>
  <c r="T6" i="3"/>
  <c r="AO5" i="3"/>
  <c r="AC24" i="3"/>
  <c r="AJ7" i="3"/>
  <c r="AG11" i="3"/>
  <c r="AD39" i="3"/>
  <c r="N25" i="3"/>
  <c r="AH39" i="3"/>
  <c r="AQ7" i="3"/>
  <c r="AL11" i="3"/>
  <c r="U16" i="3"/>
  <c r="AQ17" i="3"/>
  <c r="AG35" i="3"/>
  <c r="AA19" i="3"/>
  <c r="AC15" i="3"/>
  <c r="AD31" i="3"/>
  <c r="H39" i="3"/>
  <c r="Q11" i="3"/>
  <c r="V15" i="3"/>
  <c r="AG9" i="3"/>
  <c r="AQ28" i="3"/>
  <c r="T84" i="2"/>
  <c r="Q68" i="2"/>
  <c r="R89" i="2"/>
  <c r="O44" i="2"/>
  <c r="E88" i="2"/>
  <c r="S47" i="2"/>
  <c r="J96" i="2"/>
  <c r="L42" i="2"/>
  <c r="F62" i="2"/>
  <c r="O108" i="2"/>
  <c r="AP97" i="3"/>
  <c r="AP72" i="3"/>
  <c r="O39" i="3"/>
  <c r="R24" i="3"/>
  <c r="O28" i="3"/>
  <c r="AP19" i="3"/>
  <c r="T33" i="3"/>
  <c r="AP37" i="3"/>
  <c r="AE39" i="3"/>
  <c r="Z12" i="3"/>
  <c r="P8" i="3"/>
  <c r="O41" i="3"/>
  <c r="I13" i="3"/>
  <c r="AM5" i="3"/>
  <c r="AL22" i="3"/>
  <c r="L30" i="3"/>
  <c r="AP28" i="3"/>
  <c r="C34" i="3"/>
  <c r="O6" i="3"/>
  <c r="AH40" i="3"/>
  <c r="V27" i="3"/>
  <c r="AP31" i="3"/>
  <c r="AL15" i="3"/>
  <c r="O30" i="3"/>
  <c r="AB33" i="3"/>
  <c r="I18" i="3"/>
  <c r="R38" i="3"/>
  <c r="Y36" i="3"/>
  <c r="J29" i="3"/>
  <c r="Q41" i="3"/>
  <c r="C6" i="3"/>
  <c r="AB25" i="3"/>
  <c r="U25" i="3"/>
  <c r="AD25" i="3"/>
  <c r="L42" i="3"/>
  <c r="AB7" i="3"/>
  <c r="AA16" i="3"/>
  <c r="O32" i="3"/>
  <c r="N13" i="3"/>
  <c r="V22" i="3"/>
  <c r="AM35" i="3"/>
  <c r="AI8" i="3"/>
  <c r="R31" i="3"/>
  <c r="N31" i="3"/>
  <c r="AN18" i="3"/>
  <c r="AQ35" i="3"/>
  <c r="W25" i="3"/>
  <c r="AL23" i="3"/>
  <c r="O31" i="3"/>
  <c r="U32" i="3"/>
  <c r="AO42" i="3"/>
  <c r="AM6" i="3"/>
  <c r="AI17" i="3"/>
  <c r="K33" i="3"/>
  <c r="Z17" i="3"/>
  <c r="R12" i="3"/>
  <c r="O33" i="3"/>
  <c r="AL19" i="3"/>
  <c r="AP38" i="3"/>
  <c r="J26" i="3"/>
  <c r="O41" i="2"/>
  <c r="M86" i="2"/>
  <c r="H79" i="2"/>
  <c r="J87" i="2"/>
  <c r="W53" i="2"/>
  <c r="R43" i="2"/>
  <c r="V91" i="2"/>
  <c r="T62" i="2"/>
  <c r="G69" i="2"/>
  <c r="X84" i="2"/>
  <c r="AB90" i="3"/>
  <c r="AB91" i="3"/>
  <c r="U21" i="3"/>
  <c r="AL27" i="3"/>
  <c r="H28" i="3"/>
  <c r="AI11" i="3"/>
  <c r="S35" i="3"/>
  <c r="W19" i="3"/>
  <c r="R15" i="3"/>
  <c r="AA17" i="3"/>
  <c r="AM39" i="3"/>
  <c r="N10" i="3"/>
  <c r="AB18" i="3"/>
  <c r="G32" i="3"/>
  <c r="AI38" i="3"/>
  <c r="AN34" i="3"/>
  <c r="U12" i="3"/>
  <c r="M31" i="3"/>
  <c r="Y31" i="3"/>
  <c r="P21" i="3"/>
  <c r="I29" i="3"/>
  <c r="O19" i="3"/>
  <c r="E48" i="3"/>
  <c r="V7" i="3"/>
  <c r="AP22" i="3"/>
  <c r="AC14" i="3"/>
  <c r="O27" i="3"/>
  <c r="AO38" i="3"/>
  <c r="AH32" i="3"/>
  <c r="AD21" i="3"/>
  <c r="M37" i="3"/>
  <c r="AD30" i="3"/>
  <c r="AN40" i="3"/>
  <c r="V30" i="3"/>
  <c r="AK35" i="3"/>
  <c r="Z22" i="3"/>
  <c r="Z21" i="3"/>
  <c r="R27" i="3"/>
  <c r="AI37" i="3"/>
  <c r="AC12" i="3"/>
  <c r="AN42" i="3"/>
  <c r="AE35" i="3"/>
  <c r="K14" i="3"/>
  <c r="J33" i="3"/>
  <c r="J28" i="3"/>
  <c r="R22" i="3"/>
  <c r="AJ10" i="3"/>
  <c r="AK26" i="3"/>
  <c r="AG24" i="3"/>
  <c r="M24" i="3"/>
  <c r="Z14" i="3"/>
  <c r="AN36" i="3"/>
  <c r="AB17" i="3"/>
  <c r="AN26" i="3"/>
  <c r="AB16" i="3"/>
  <c r="AD23" i="3"/>
  <c r="AC41" i="3"/>
  <c r="K41" i="3"/>
  <c r="P36" i="3"/>
  <c r="K8" i="3"/>
  <c r="L41" i="3"/>
  <c r="K26" i="3"/>
  <c r="AQ20" i="3"/>
  <c r="M41" i="3"/>
  <c r="J14" i="3"/>
  <c r="X42" i="3"/>
  <c r="U13" i="3"/>
  <c r="AN30" i="3"/>
  <c r="AP16" i="3"/>
  <c r="AK30" i="3"/>
  <c r="W24" i="3"/>
  <c r="I41" i="3"/>
  <c r="S30" i="3"/>
  <c r="W36" i="3"/>
  <c r="I35" i="3"/>
  <c r="AG18" i="3"/>
  <c r="AO41" i="3"/>
  <c r="AQ42" i="3"/>
  <c r="P24" i="3"/>
  <c r="G49" i="3"/>
  <c r="I24" i="3"/>
  <c r="U14" i="3"/>
  <c r="AE36" i="3"/>
  <c r="J5" i="3"/>
  <c r="AN10" i="3"/>
  <c r="J40" i="3"/>
  <c r="AL18" i="3"/>
  <c r="AJ35" i="3"/>
  <c r="AK6" i="3"/>
  <c r="V26" i="3"/>
  <c r="P7" i="3"/>
  <c r="K31" i="3"/>
  <c r="AC30" i="3"/>
  <c r="J24" i="3"/>
  <c r="P26" i="3"/>
  <c r="AC38" i="3"/>
  <c r="AC10" i="3"/>
  <c r="I31" i="3"/>
  <c r="AQ16" i="3"/>
  <c r="AE27" i="3"/>
  <c r="AO8" i="3"/>
  <c r="C35" i="3"/>
  <c r="P33" i="3"/>
  <c r="U38" i="3"/>
  <c r="T36" i="3"/>
  <c r="AK18" i="3"/>
  <c r="R95" i="2"/>
  <c r="I107" i="2"/>
  <c r="N52" i="2"/>
  <c r="I43" i="2"/>
  <c r="E56" i="2"/>
  <c r="R73" i="2"/>
  <c r="I105" i="2"/>
  <c r="P48" i="2"/>
  <c r="H109" i="2"/>
  <c r="L40" i="2"/>
  <c r="AB92" i="3"/>
  <c r="AB66" i="3"/>
  <c r="P39" i="3"/>
  <c r="AG42" i="3"/>
  <c r="K38" i="3"/>
  <c r="AN9" i="3"/>
  <c r="H13" i="3"/>
  <c r="W29" i="3"/>
  <c r="Y39" i="3"/>
  <c r="AG15" i="3"/>
  <c r="AH14" i="3"/>
  <c r="G40" i="3"/>
  <c r="J7" i="3"/>
  <c r="AQ23" i="3"/>
  <c r="L26" i="3"/>
  <c r="AI19" i="3"/>
  <c r="U6" i="3"/>
  <c r="AN29" i="3"/>
  <c r="L27" i="3"/>
  <c r="S19" i="3"/>
  <c r="Y27" i="3"/>
  <c r="AK23" i="3"/>
  <c r="O34" i="3"/>
  <c r="K37" i="3"/>
  <c r="K9" i="3"/>
  <c r="Y41" i="3"/>
  <c r="AI14" i="3"/>
  <c r="AE15" i="3"/>
  <c r="K20" i="3"/>
  <c r="H31" i="3"/>
  <c r="AG22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I161" i="1" s="1"/>
  <c r="J209" i="1" s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CQ131" i="1" s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AH87" i="3"/>
  <c r="AO92" i="3"/>
  <c r="Q90" i="3"/>
  <c r="AO80" i="3"/>
  <c r="L95" i="3"/>
  <c r="P72" i="3"/>
  <c r="S60" i="3"/>
  <c r="T73" i="3"/>
  <c r="S83" i="3"/>
  <c r="AM63" i="3"/>
  <c r="O62" i="3"/>
  <c r="S75" i="3"/>
  <c r="Y61" i="3"/>
  <c r="I93" i="3"/>
  <c r="AN48" i="3"/>
  <c r="P47" i="3"/>
  <c r="AN67" i="3"/>
  <c r="H67" i="3"/>
  <c r="P56" i="3"/>
  <c r="AO76" i="3"/>
  <c r="AJ82" i="3"/>
  <c r="AH84" i="3"/>
  <c r="AL66" i="3"/>
  <c r="Z54" i="3"/>
  <c r="AA81" i="3"/>
  <c r="X97" i="3"/>
  <c r="AC79" i="3"/>
  <c r="R79" i="3"/>
  <c r="O92" i="3"/>
  <c r="AJ81" i="3"/>
  <c r="U95" i="3"/>
  <c r="AQ95" i="3"/>
  <c r="Z96" i="3"/>
  <c r="AG71" i="3"/>
  <c r="R50" i="3"/>
  <c r="M64" i="3"/>
  <c r="W94" i="3"/>
  <c r="AG83" i="3"/>
  <c r="I86" i="3"/>
  <c r="Z63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Q60" i="3"/>
  <c r="Y60" i="3"/>
  <c r="AG91" i="3"/>
  <c r="AH58" i="3"/>
  <c r="J84" i="3"/>
  <c r="Y48" i="3"/>
  <c r="AE69" i="3"/>
  <c r="Z97" i="3"/>
  <c r="R78" i="3"/>
  <c r="AJ76" i="3"/>
  <c r="V66" i="3"/>
  <c r="U84" i="3"/>
  <c r="AH50" i="3"/>
  <c r="AL94" i="3"/>
  <c r="Z72" i="3"/>
  <c r="Z68" i="3"/>
  <c r="J73" i="3"/>
  <c r="Z82" i="3"/>
  <c r="I87" i="3"/>
  <c r="T47" i="3"/>
  <c r="P66" i="3"/>
  <c r="AI96" i="3"/>
  <c r="Q66" i="3"/>
  <c r="S84" i="3"/>
  <c r="Q64" i="3"/>
  <c r="Y9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S95" i="3"/>
  <c r="AC71" i="3"/>
  <c r="W81" i="3"/>
  <c r="N97" i="3"/>
  <c r="AM96" i="3"/>
  <c r="AG90" i="3"/>
  <c r="AQ92" i="3"/>
  <c r="W76" i="3"/>
  <c r="X86" i="3"/>
  <c r="Y69" i="3"/>
  <c r="AI54" i="3"/>
  <c r="J70" i="3"/>
  <c r="N64" i="3"/>
  <c r="L84" i="3"/>
  <c r="X90" i="3"/>
  <c r="Y74" i="3"/>
  <c r="AN89" i="3"/>
  <c r="AI68" i="3"/>
  <c r="H55" i="3"/>
  <c r="V69" i="3"/>
  <c r="Q93" i="3"/>
  <c r="AH79" i="3"/>
  <c r="Z57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K60" i="3"/>
  <c r="AK95" i="3"/>
  <c r="AI90" i="3"/>
  <c r="AC83" i="3"/>
  <c r="AA89" i="3"/>
  <c r="AA58" i="3"/>
  <c r="Z93" i="3"/>
  <c r="AA97" i="3"/>
  <c r="Z73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U74" i="3"/>
  <c r="V95" i="3"/>
  <c r="Q48" i="3"/>
  <c r="AG75" i="3"/>
  <c r="AN69" i="3"/>
  <c r="P78" i="3"/>
  <c r="H66" i="3"/>
  <c r="L73" i="3"/>
  <c r="AJ93" i="3"/>
  <c r="Q63" i="3"/>
  <c r="AO74" i="3"/>
  <c r="M49" i="3"/>
  <c r="AG66" i="3"/>
  <c r="S56" i="3"/>
  <c r="W70" i="3"/>
  <c r="K82" i="3"/>
  <c r="R58" i="3"/>
  <c r="W97" i="3"/>
  <c r="AL59" i="3"/>
  <c r="AO75" i="3"/>
  <c r="P97" i="3"/>
  <c r="AK55" i="3"/>
  <c r="O94" i="3"/>
  <c r="J96" i="3"/>
  <c r="J62" i="3"/>
  <c r="AL84" i="3"/>
  <c r="Y55" i="3"/>
  <c r="I82" i="3"/>
  <c r="Q65" i="3"/>
  <c r="N60" i="3"/>
  <c r="U72" i="3"/>
  <c r="P81" i="3"/>
  <c r="AJ78" i="3"/>
  <c r="AN87" i="3"/>
  <c r="X87" i="3"/>
  <c r="V59" i="3"/>
  <c r="AE77" i="3"/>
  <c r="AM70" i="3"/>
  <c r="Y66" i="3"/>
  <c r="W47" i="3"/>
  <c r="Z50" i="3"/>
  <c r="W63" i="3"/>
  <c r="AC85" i="3"/>
  <c r="AQ48" i="3"/>
  <c r="M66" i="3"/>
  <c r="AL90" i="3"/>
  <c r="T89" i="3"/>
  <c r="W73" i="3"/>
  <c r="X71" i="3"/>
  <c r="AN66" i="3"/>
  <c r="AJ77" i="3"/>
  <c r="AO56" i="3"/>
  <c r="Z85" i="3"/>
  <c r="Q80" i="3"/>
  <c r="T70" i="3"/>
  <c r="AG54" i="3"/>
  <c r="AK94" i="3"/>
  <c r="P49" i="3"/>
  <c r="M68" i="3"/>
  <c r="X48" i="3"/>
  <c r="W54" i="3"/>
  <c r="J67" i="3"/>
  <c r="AA68" i="3"/>
  <c r="I84" i="3"/>
  <c r="X61" i="3"/>
  <c r="AC62" i="3"/>
  <c r="W49" i="3"/>
  <c r="AE97" i="3"/>
  <c r="I75" i="3"/>
  <c r="T78" i="3"/>
  <c r="Q81" i="3"/>
  <c r="I68" i="3"/>
  <c r="AN92" i="3"/>
  <c r="AG92" i="3"/>
  <c r="X79" i="3"/>
  <c r="AA57" i="3"/>
  <c r="AJ91" i="3"/>
  <c r="P57" i="3"/>
  <c r="AN65" i="3"/>
  <c r="AO65" i="3"/>
  <c r="V65" i="3"/>
  <c r="AA54" i="3"/>
  <c r="AG87" i="3"/>
  <c r="S57" i="3"/>
  <c r="N65" i="3"/>
  <c r="K56" i="3"/>
  <c r="I71" i="3"/>
  <c r="N90" i="3"/>
  <c r="K67" i="3"/>
  <c r="V77" i="3"/>
  <c r="L81" i="3"/>
  <c r="AK75" i="3"/>
  <c r="AA94" i="3"/>
  <c r="AE48" i="3"/>
  <c r="AE54" i="3"/>
  <c r="AG69" i="3"/>
  <c r="AQ69" i="3"/>
  <c r="H50" i="3"/>
  <c r="J77" i="3"/>
  <c r="AC67" i="3"/>
  <c r="AO95" i="3"/>
  <c r="Z56" i="3"/>
  <c r="AN84" i="3"/>
  <c r="Y93" i="3"/>
  <c r="N66" i="3"/>
  <c r="U92" i="3"/>
  <c r="AQ50" i="3"/>
  <c r="N61" i="3"/>
  <c r="AL80" i="3"/>
  <c r="AA92" i="3"/>
  <c r="S90" i="3"/>
  <c r="U59" i="3"/>
  <c r="W91" i="3"/>
  <c r="AG89" i="3"/>
  <c r="AM82" i="3"/>
  <c r="P70" i="3"/>
  <c r="Z95" i="3"/>
  <c r="T71" i="3"/>
  <c r="U70" i="3"/>
  <c r="AL75" i="3"/>
  <c r="L76" i="3"/>
  <c r="W61" i="3"/>
  <c r="V73" i="3"/>
  <c r="AH60" i="3"/>
  <c r="AH95" i="3"/>
  <c r="AE58" i="3"/>
  <c r="AA55" i="3"/>
  <c r="AC73" i="3"/>
  <c r="X70" i="3"/>
  <c r="Z55" i="3"/>
  <c r="AN63" i="3"/>
  <c r="V49" i="3"/>
  <c r="AM74" i="3"/>
  <c r="J83" i="3"/>
  <c r="J79" i="3"/>
  <c r="AN82" i="3"/>
  <c r="AJ60" i="3"/>
  <c r="W67" i="3"/>
  <c r="T69" i="3"/>
  <c r="AN91" i="3"/>
  <c r="U91" i="3"/>
  <c r="AQ70" i="3"/>
  <c r="K50" i="3"/>
  <c r="P54" i="3"/>
  <c r="N72" i="3"/>
  <c r="K81" i="3"/>
  <c r="AQ55" i="3"/>
  <c r="Q91" i="3"/>
  <c r="M74" i="3"/>
  <c r="AJ80" i="3"/>
  <c r="AJ86" i="3"/>
  <c r="AN80" i="3"/>
  <c r="AG48" i="3"/>
  <c r="AQ85" i="3"/>
  <c r="AK86" i="3"/>
  <c r="AE73" i="3"/>
  <c r="V84" i="3"/>
  <c r="AL64" i="3"/>
  <c r="T76" i="3"/>
  <c r="AA70" i="3"/>
  <c r="AQ75" i="3"/>
  <c r="M54" i="3"/>
  <c r="K49" i="3"/>
  <c r="J76" i="3"/>
  <c r="R66" i="3"/>
  <c r="R57" i="3"/>
  <c r="AM77" i="3"/>
  <c r="R81" i="3"/>
  <c r="AL47" i="3"/>
  <c r="W84" i="3"/>
  <c r="S64" i="3"/>
  <c r="X74" i="3"/>
  <c r="U82" i="3"/>
  <c r="AG55" i="3"/>
  <c r="S62" i="3"/>
  <c r="K88" i="3"/>
  <c r="M82" i="3"/>
  <c r="AO73" i="3"/>
  <c r="K75" i="3"/>
  <c r="Z88" i="3"/>
  <c r="AO67" i="3"/>
  <c r="Z81" i="3"/>
  <c r="AQ84" i="3"/>
  <c r="AM69" i="3"/>
  <c r="L65" i="3"/>
  <c r="AE81" i="3"/>
  <c r="P93" i="3"/>
  <c r="AN54" i="3"/>
  <c r="W69" i="3"/>
  <c r="AO93" i="3"/>
  <c r="X82" i="3"/>
  <c r="U76" i="3"/>
  <c r="AQ64" i="3"/>
  <c r="S89" i="3"/>
  <c r="AA64" i="3"/>
  <c r="AK66" i="3"/>
  <c r="Y82" i="3"/>
  <c r="R96" i="3"/>
  <c r="P83" i="3"/>
  <c r="P89" i="3"/>
  <c r="AI72" i="3"/>
  <c r="M78" i="3"/>
  <c r="AC60" i="3"/>
  <c r="AG72" i="3"/>
  <c r="I89" i="3"/>
  <c r="AK79" i="3"/>
  <c r="AI86" i="3"/>
  <c r="AH63" i="3"/>
  <c r="K69" i="3"/>
  <c r="V62" i="3"/>
  <c r="AE86" i="3"/>
  <c r="R94" i="3"/>
  <c r="Z62" i="3"/>
  <c r="I72" i="3"/>
  <c r="X85" i="3"/>
  <c r="V93" i="3"/>
  <c r="I83" i="3"/>
  <c r="M79" i="3"/>
  <c r="AC49" i="3"/>
  <c r="U78" i="3"/>
  <c r="R77" i="3"/>
  <c r="AQ77" i="3"/>
  <c r="AI50" i="3"/>
  <c r="O56" i="3"/>
  <c r="AL82" i="3"/>
  <c r="W88" i="3"/>
  <c r="S77" i="3"/>
  <c r="N96" i="3"/>
  <c r="AH74" i="3"/>
  <c r="AQ57" i="3"/>
  <c r="U61" i="3"/>
  <c r="AC94" i="3"/>
  <c r="AQ96" i="3"/>
  <c r="AM50" i="3"/>
  <c r="H61" i="3"/>
  <c r="AJ87" i="3"/>
  <c r="O91" i="3"/>
  <c r="X78" i="3"/>
  <c r="W68" i="3"/>
  <c r="V60" i="3"/>
  <c r="X55" i="3"/>
  <c r="U87" i="3"/>
  <c r="R76" i="3"/>
  <c r="AC63" i="3"/>
  <c r="Q78" i="3"/>
  <c r="AK50" i="3"/>
  <c r="R73" i="3"/>
  <c r="L83" i="3"/>
  <c r="AK70" i="3"/>
  <c r="AC81" i="3"/>
  <c r="J58" i="3"/>
  <c r="AK63" i="3"/>
  <c r="O72" i="3"/>
  <c r="AQ63" i="3"/>
  <c r="T72" i="3"/>
  <c r="AO94" i="3"/>
  <c r="AC92" i="3"/>
  <c r="Q77" i="3"/>
  <c r="T87" i="3"/>
  <c r="K78" i="3"/>
  <c r="AN68" i="3"/>
  <c r="Y72" i="3"/>
  <c r="AL88" i="3"/>
  <c r="AE62" i="3"/>
  <c r="N68" i="3"/>
  <c r="AQ68" i="3"/>
  <c r="I73" i="3"/>
  <c r="Z47" i="3"/>
  <c r="Y56" i="3"/>
  <c r="AQ80" i="3"/>
  <c r="M80" i="3"/>
  <c r="AO77" i="3"/>
  <c r="R89" i="3"/>
  <c r="AI93" i="3"/>
  <c r="M50" i="3"/>
  <c r="AN85" i="3"/>
  <c r="M71" i="3"/>
  <c r="X73" i="3"/>
  <c r="W66" i="3"/>
  <c r="AL65" i="3"/>
  <c r="Z78" i="3"/>
  <c r="Y49" i="3"/>
  <c r="I88" i="3"/>
  <c r="T92" i="3"/>
  <c r="M58" i="3"/>
  <c r="AL57" i="3"/>
  <c r="AQ65" i="3"/>
  <c r="I85" i="3"/>
  <c r="L49" i="3"/>
  <c r="O49" i="3"/>
  <c r="L57" i="3"/>
  <c r="J93" i="3"/>
  <c r="AQ90" i="3"/>
  <c r="AO90" i="3"/>
  <c r="AN81" i="3"/>
  <c r="AK90" i="3"/>
  <c r="W90" i="3"/>
  <c r="R87" i="3"/>
  <c r="AJ71" i="3"/>
  <c r="T91" i="3"/>
  <c r="R92" i="3"/>
  <c r="V83" i="3"/>
  <c r="Z59" i="3"/>
  <c r="AM95" i="3"/>
  <c r="AH92" i="3"/>
  <c r="I91" i="3"/>
  <c r="W72" i="3"/>
  <c r="X50" i="3"/>
  <c r="AO91" i="3"/>
  <c r="K47" i="3"/>
  <c r="AH90" i="3"/>
  <c r="Y92" i="3"/>
  <c r="U90" i="3"/>
  <c r="AJ92" i="3"/>
  <c r="AJ57" i="3"/>
  <c r="R86" i="3"/>
  <c r="AQ86" i="3"/>
  <c r="W85" i="3"/>
  <c r="U79" i="3"/>
  <c r="N93" i="3"/>
  <c r="AK49" i="3"/>
  <c r="AI77" i="3"/>
  <c r="H73" i="3"/>
  <c r="J94" i="3"/>
  <c r="AA72" i="3"/>
  <c r="N92" i="3"/>
  <c r="AG59" i="3"/>
  <c r="V86" i="3"/>
  <c r="AQ73" i="3"/>
  <c r="X62" i="3"/>
  <c r="AG86" i="3"/>
  <c r="AL85" i="3"/>
  <c r="P76" i="3"/>
  <c r="W64" i="3"/>
  <c r="Y58" i="3"/>
  <c r="H71" i="3"/>
  <c r="AK81" i="3"/>
  <c r="AI80" i="3"/>
  <c r="J47" i="3"/>
  <c r="AE95" i="3"/>
  <c r="Z60" i="3"/>
  <c r="N82" i="3"/>
  <c r="AG60" i="3"/>
  <c r="AL78" i="3"/>
  <c r="AQ61" i="3"/>
  <c r="X84" i="3"/>
  <c r="T97" i="3"/>
  <c r="X60" i="3"/>
  <c r="AG97" i="3"/>
  <c r="I94" i="3"/>
  <c r="N57" i="3"/>
  <c r="AM85" i="3"/>
  <c r="H90" i="3"/>
  <c r="L91" i="3"/>
  <c r="X95" i="3"/>
  <c r="W58" i="3"/>
  <c r="AL81" i="3"/>
  <c r="AC48" i="3"/>
  <c r="P67" i="3"/>
  <c r="O55" i="3"/>
  <c r="AL69" i="3"/>
  <c r="I74" i="3"/>
  <c r="Q95" i="3"/>
  <c r="T93" i="3"/>
  <c r="V50" i="3"/>
  <c r="AG80" i="3"/>
  <c r="AJ49" i="3"/>
  <c r="AQ93" i="3"/>
  <c r="K65" i="3"/>
  <c r="W82" i="3"/>
  <c r="AE65" i="3"/>
  <c r="X88" i="3"/>
  <c r="N87" i="3"/>
  <c r="Y85" i="3"/>
  <c r="H78" i="3"/>
  <c r="AK61" i="3"/>
  <c r="L86" i="3"/>
  <c r="AJ63" i="3"/>
  <c r="AJ84" i="3"/>
  <c r="M83" i="3"/>
  <c r="N88" i="3"/>
  <c r="AG64" i="3"/>
  <c r="AL73" i="3"/>
  <c r="AQ79" i="3"/>
  <c r="Z61" i="3"/>
  <c r="AO70" i="3"/>
  <c r="AC70" i="3"/>
  <c r="AG63" i="3"/>
  <c r="AJ89" i="3"/>
  <c r="M85" i="3"/>
  <c r="AM94" i="3"/>
  <c r="O79" i="3"/>
  <c r="P90" i="3"/>
  <c r="P85" i="3"/>
  <c r="P73" i="3"/>
  <c r="AH93" i="3"/>
  <c r="AM71" i="3"/>
  <c r="AE92" i="3"/>
  <c r="AA80" i="3"/>
  <c r="N95" i="3"/>
  <c r="AQ67" i="3"/>
  <c r="AM93" i="3"/>
  <c r="AK57" i="3"/>
  <c r="P75" i="3"/>
  <c r="M65" i="3"/>
  <c r="AN79" i="3"/>
  <c r="AA50" i="3"/>
  <c r="AK71" i="3"/>
  <c r="S78" i="3"/>
  <c r="AL67" i="3"/>
  <c r="AQ76" i="3"/>
  <c r="AC59" i="3"/>
  <c r="R82" i="3"/>
  <c r="AO47" i="3"/>
  <c r="AH81" i="3"/>
  <c r="AN73" i="3"/>
  <c r="O65" i="3"/>
  <c r="AI61" i="3"/>
  <c r="AA66" i="3"/>
  <c r="O73" i="3"/>
  <c r="AJ56" i="3"/>
  <c r="N81" i="3"/>
  <c r="U80" i="3"/>
  <c r="S86" i="3"/>
  <c r="P48" i="3"/>
  <c r="AO61" i="3"/>
  <c r="AL49" i="3"/>
  <c r="M73" i="3"/>
  <c r="M84" i="3"/>
  <c r="AH88" i="3"/>
  <c r="O93" i="3"/>
  <c r="AG79" i="3"/>
  <c r="H94" i="3"/>
  <c r="N75" i="3"/>
  <c r="AH59" i="3"/>
  <c r="T56" i="3"/>
  <c r="I65" i="3"/>
  <c r="AO87" i="3"/>
  <c r="Y77" i="3"/>
  <c r="AQ83" i="3"/>
  <c r="AQ74" i="3"/>
  <c r="AG77" i="3"/>
  <c r="O80" i="3"/>
  <c r="R67" i="3"/>
  <c r="AA49" i="3"/>
  <c r="AN47" i="3"/>
  <c r="AK76" i="3"/>
  <c r="AL74" i="3"/>
  <c r="AE93" i="3"/>
  <c r="AO63" i="3"/>
  <c r="V85" i="3"/>
  <c r="AL77" i="3"/>
  <c r="P94" i="3"/>
  <c r="AE74" i="3"/>
  <c r="H72" i="3"/>
  <c r="P96" i="3"/>
  <c r="AE96" i="3"/>
  <c r="M93" i="3"/>
  <c r="T96" i="3"/>
  <c r="AG84" i="3"/>
  <c r="R90" i="3"/>
  <c r="S82" i="3"/>
  <c r="I62" i="3"/>
  <c r="AC96" i="3"/>
  <c r="R71" i="3"/>
  <c r="AA71" i="3"/>
  <c r="T94" i="3"/>
  <c r="Z83" i="3"/>
  <c r="V82" i="3"/>
  <c r="AI79" i="3"/>
  <c r="L89" i="3"/>
  <c r="AA82" i="3"/>
  <c r="N74" i="3"/>
  <c r="Y97" i="3"/>
  <c r="AA73" i="3"/>
  <c r="AI91" i="3"/>
  <c r="S68" i="3"/>
  <c r="AE63" i="3"/>
  <c r="K86" i="3"/>
  <c r="AO79" i="3"/>
  <c r="H86" i="3"/>
  <c r="K59" i="3"/>
  <c r="AE50" i="3"/>
  <c r="L47" i="3"/>
  <c r="L97" i="3"/>
  <c r="O59" i="3"/>
  <c r="AE66" i="3"/>
  <c r="AA79" i="3"/>
  <c r="AO72" i="3"/>
  <c r="U77" i="3"/>
  <c r="T57" i="3"/>
  <c r="S49" i="3"/>
  <c r="I69" i="3"/>
  <c r="AL86" i="3"/>
  <c r="R72" i="3"/>
  <c r="J61" i="3"/>
  <c r="V48" i="3"/>
  <c r="AC61" i="3"/>
  <c r="AJ64" i="3"/>
  <c r="AK72" i="3"/>
  <c r="P95" i="3"/>
  <c r="J78" i="3"/>
  <c r="M89" i="3"/>
  <c r="V88" i="3"/>
  <c r="Y57" i="3"/>
  <c r="R60" i="3"/>
  <c r="AK64" i="3"/>
  <c r="M55" i="3"/>
  <c r="AG78" i="3"/>
  <c r="AQ49" i="3"/>
  <c r="AN50" i="3"/>
  <c r="AG50" i="3"/>
  <c r="AE94" i="3"/>
  <c r="Z66" i="3"/>
  <c r="Q92" i="3"/>
  <c r="AM73" i="3"/>
  <c r="Y71" i="3"/>
  <c r="AE76" i="3"/>
  <c r="D120" i="1" l="1"/>
  <c r="L120" i="1"/>
  <c r="R134" i="1"/>
  <c r="C120" i="1"/>
  <c r="U161" i="1"/>
  <c r="B65" i="1"/>
  <c r="S202" i="1"/>
  <c r="N134" i="1"/>
  <c r="N138" i="1" s="1"/>
  <c r="S173" i="1"/>
  <c r="O161" i="1"/>
  <c r="T202" i="1"/>
  <c r="R128" i="1"/>
  <c r="R37" i="1" s="1"/>
  <c r="L134" i="1"/>
  <c r="L33" i="1" s="1"/>
  <c r="V128" i="1"/>
  <c r="D128" i="1"/>
  <c r="Q202" i="1"/>
  <c r="V202" i="1"/>
  <c r="T120" i="1"/>
  <c r="O120" i="1"/>
  <c r="E120" i="1"/>
  <c r="E175" i="1" s="1"/>
  <c r="M161" i="1"/>
  <c r="N209" i="1" s="1"/>
  <c r="U148" i="1"/>
  <c r="U182" i="1" s="1"/>
  <c r="U181" i="1" s="1"/>
  <c r="T161" i="1"/>
  <c r="U209" i="1" s="1"/>
  <c r="B173" i="1"/>
  <c r="F128" i="1"/>
  <c r="F37" i="1" s="1"/>
  <c r="C134" i="1"/>
  <c r="Q173" i="1"/>
  <c r="H173" i="1"/>
  <c r="H120" i="1"/>
  <c r="C173" i="1"/>
  <c r="I120" i="1"/>
  <c r="I148" i="1"/>
  <c r="S161" i="1"/>
  <c r="T209" i="1" s="1"/>
  <c r="M120" i="1"/>
  <c r="V161" i="1"/>
  <c r="W209" i="1" s="1"/>
  <c r="S148" i="1"/>
  <c r="S182" i="1" s="1"/>
  <c r="C202" i="1"/>
  <c r="C128" i="1"/>
  <c r="C37" i="1" s="1"/>
  <c r="J134" i="1"/>
  <c r="J138" i="1" s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I209" i="1" s="1"/>
  <c r="C65" i="1"/>
  <c r="S128" i="1"/>
  <c r="S156" i="1"/>
  <c r="C148" i="1"/>
  <c r="K161" i="1"/>
  <c r="D161" i="1"/>
  <c r="F161" i="1"/>
  <c r="G209" i="1" s="1"/>
  <c r="M202" i="1"/>
  <c r="F120" i="1"/>
  <c r="F175" i="1" s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T207" i="1" s="1"/>
  <c r="W134" i="1"/>
  <c r="F173" i="1"/>
  <c r="O134" i="1"/>
  <c r="L161" i="1"/>
  <c r="R161" i="1"/>
  <c r="R168" i="1" s="1"/>
  <c r="R109" i="1" s="1"/>
  <c r="I173" i="1"/>
  <c r="R120" i="1"/>
  <c r="R207" i="1" s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P197" i="1" s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V209" i="1"/>
  <c r="V37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O248" i="1"/>
  <c r="BU252" i="1"/>
  <c r="BU10" i="1"/>
  <c r="M175" i="1"/>
  <c r="M54" i="1"/>
  <c r="M248" i="1"/>
  <c r="M207" i="1"/>
  <c r="F138" i="1"/>
  <c r="F33" i="1"/>
  <c r="N175" i="1"/>
  <c r="N54" i="1"/>
  <c r="N248" i="1"/>
  <c r="N207" i="1"/>
  <c r="R138" i="1"/>
  <c r="R33" i="1"/>
  <c r="O54" i="1"/>
  <c r="O207" i="1"/>
  <c r="O175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H54" i="1"/>
  <c r="T175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T54" i="1"/>
  <c r="T248" i="1"/>
  <c r="BW202" i="1"/>
  <c r="BJ28" i="1"/>
  <c r="BJ17" i="1"/>
  <c r="I248" i="1"/>
  <c r="I54" i="1"/>
  <c r="I175" i="1"/>
  <c r="S181" i="1"/>
  <c r="CY65" i="1"/>
  <c r="CZ63" i="1"/>
  <c r="S168" i="1" l="1"/>
  <c r="S109" i="1" s="1"/>
  <c r="S37" i="1"/>
  <c r="T206" i="1"/>
  <c r="D207" i="1"/>
  <c r="H248" i="1"/>
  <c r="I207" i="1"/>
  <c r="V168" i="1"/>
  <c r="V109" i="1" s="1"/>
  <c r="H175" i="1"/>
  <c r="D206" i="1"/>
  <c r="F129" i="1"/>
  <c r="F55" i="1" s="1"/>
  <c r="E207" i="1"/>
  <c r="T168" i="1"/>
  <c r="T109" i="1" s="1"/>
  <c r="F248" i="1"/>
  <c r="F54" i="1"/>
  <c r="L138" i="1"/>
  <c r="L246" i="1" s="1"/>
  <c r="F168" i="1"/>
  <c r="F109" i="1" s="1"/>
  <c r="S206" i="1"/>
  <c r="N33" i="1"/>
  <c r="S249" i="1"/>
  <c r="S251" i="1" s="1"/>
  <c r="C129" i="1"/>
  <c r="C55" i="1" s="1"/>
  <c r="C249" i="1"/>
  <c r="C251" i="1" s="1"/>
  <c r="D249" i="1"/>
  <c r="D251" i="1" s="1"/>
  <c r="F207" i="1"/>
  <c r="R54" i="1"/>
  <c r="E206" i="1"/>
  <c r="E205" i="1" s="1"/>
  <c r="D129" i="1"/>
  <c r="D55" i="1" s="1"/>
  <c r="D168" i="1"/>
  <c r="D109" i="1" s="1"/>
  <c r="D37" i="1"/>
  <c r="J33" i="1"/>
  <c r="AR134" i="1"/>
  <c r="AR138" i="1" s="1"/>
  <c r="T138" i="1"/>
  <c r="T244" i="1" s="1"/>
  <c r="C207" i="1"/>
  <c r="P196" i="1"/>
  <c r="P198" i="1" s="1"/>
  <c r="P199" i="1" s="1"/>
  <c r="U196" i="1"/>
  <c r="Q248" i="1"/>
  <c r="Q168" i="1"/>
  <c r="Q109" i="1" s="1"/>
  <c r="H197" i="1"/>
  <c r="C138" i="1"/>
  <c r="C33" i="1"/>
  <c r="C107" i="1"/>
  <c r="C66" i="1"/>
  <c r="C108" i="1"/>
  <c r="U207" i="1"/>
  <c r="U54" i="1"/>
  <c r="S197" i="1"/>
  <c r="E196" i="1"/>
  <c r="S33" i="1"/>
  <c r="S138" i="1"/>
  <c r="S246" i="1" s="1"/>
  <c r="B138" i="1"/>
  <c r="B33" i="1"/>
  <c r="S185" i="1"/>
  <c r="S157" i="1"/>
  <c r="H138" i="1"/>
  <c r="H33" i="1"/>
  <c r="U33" i="1"/>
  <c r="U138" i="1"/>
  <c r="E209" i="1"/>
  <c r="D248" i="1"/>
  <c r="O129" i="1"/>
  <c r="O55" i="1" s="1"/>
  <c r="O206" i="1"/>
  <c r="O205" i="1" s="1"/>
  <c r="F182" i="1"/>
  <c r="G196" i="1"/>
  <c r="F157" i="1"/>
  <c r="F165" i="1" s="1"/>
  <c r="F166" i="1" s="1"/>
  <c r="K209" i="1"/>
  <c r="J248" i="1"/>
  <c r="G207" i="1"/>
  <c r="G175" i="1"/>
  <c r="H207" i="1"/>
  <c r="G54" i="1"/>
  <c r="J37" i="1"/>
  <c r="J129" i="1"/>
  <c r="J55" i="1" s="1"/>
  <c r="J168" i="1"/>
  <c r="J109" i="1" s="1"/>
  <c r="J249" i="1"/>
  <c r="J251" i="1" s="1"/>
  <c r="D197" i="1"/>
  <c r="C157" i="1"/>
  <c r="J182" i="1"/>
  <c r="J181" i="1" s="1"/>
  <c r="K196" i="1"/>
  <c r="J196" i="1"/>
  <c r="H129" i="1"/>
  <c r="H55" i="1" s="1"/>
  <c r="H37" i="1"/>
  <c r="H168" i="1"/>
  <c r="H109" i="1" s="1"/>
  <c r="H206" i="1"/>
  <c r="E182" i="1"/>
  <c r="E181" i="1" s="1"/>
  <c r="F196" i="1"/>
  <c r="P138" i="1"/>
  <c r="P33" i="1"/>
  <c r="V249" i="1"/>
  <c r="V251" i="1" s="1"/>
  <c r="U249" i="1"/>
  <c r="U251" i="1" s="1"/>
  <c r="R129" i="1"/>
  <c r="R55" i="1" s="1"/>
  <c r="R175" i="1"/>
  <c r="T185" i="1"/>
  <c r="T184" i="1" s="1"/>
  <c r="T197" i="1"/>
  <c r="U197" i="1"/>
  <c r="K207" i="1"/>
  <c r="G138" i="1"/>
  <c r="G203" i="1" s="1"/>
  <c r="G201" i="1" s="1"/>
  <c r="G33" i="1"/>
  <c r="I33" i="1"/>
  <c r="I138" i="1"/>
  <c r="J203" i="1" s="1"/>
  <c r="J201" i="1" s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J165" i="1" s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F205" i="1" s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R205" i="1" s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L244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D205" i="1"/>
  <c r="D110" i="1"/>
  <c r="D113" i="1" s="1"/>
  <c r="AI27" i="1"/>
  <c r="BA19" i="1"/>
  <c r="BH27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J246" i="1"/>
  <c r="J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T205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B125" i="1"/>
  <c r="AB128" i="1" s="1"/>
  <c r="AB249" i="1" s="1"/>
  <c r="AD142" i="1"/>
  <c r="CZ65" i="1"/>
  <c r="DA63" i="1"/>
  <c r="C110" i="1" l="1"/>
  <c r="C113" i="1" s="1"/>
  <c r="D111" i="1"/>
  <c r="D114" i="1" s="1"/>
  <c r="L165" i="1"/>
  <c r="L166" i="1" s="1"/>
  <c r="H205" i="1"/>
  <c r="C165" i="1"/>
  <c r="S165" i="1"/>
  <c r="S166" i="1" s="1"/>
  <c r="S205" i="1"/>
  <c r="AS33" i="1"/>
  <c r="AS134" i="1"/>
  <c r="BR249" i="1"/>
  <c r="C205" i="1"/>
  <c r="C203" i="1"/>
  <c r="C201" i="1" s="1"/>
  <c r="U198" i="1"/>
  <c r="U199" i="1" s="1"/>
  <c r="K205" i="1"/>
  <c r="D203" i="1"/>
  <c r="D201" i="1" s="1"/>
  <c r="G205" i="1"/>
  <c r="D198" i="1"/>
  <c r="D199" i="1" s="1"/>
  <c r="C111" i="1"/>
  <c r="C114" i="1" s="1"/>
  <c r="T198" i="1"/>
  <c r="T199" i="1" s="1"/>
  <c r="J166" i="1"/>
  <c r="U205" i="1"/>
  <c r="V205" i="1"/>
  <c r="AR181" i="1"/>
  <c r="S198" i="1"/>
  <c r="S199" i="1" s="1"/>
  <c r="H198" i="1"/>
  <c r="H199" i="1" s="1"/>
  <c r="H165" i="1"/>
  <c r="H166" i="1" s="1"/>
  <c r="I165" i="1"/>
  <c r="I166" i="1" s="1"/>
  <c r="G198" i="1"/>
  <c r="G199" i="1" s="1"/>
  <c r="U165" i="1"/>
  <c r="U166" i="1" s="1"/>
  <c r="J198" i="1"/>
  <c r="J199" i="1" s="1"/>
  <c r="J213" i="1" s="1"/>
  <c r="Q198" i="1"/>
  <c r="Q199" i="1" s="1"/>
  <c r="T166" i="1"/>
  <c r="B165" i="1"/>
  <c r="F198" i="1"/>
  <c r="F199" i="1" s="1"/>
  <c r="G165" i="1"/>
  <c r="G166" i="1" s="1"/>
  <c r="R166" i="1"/>
  <c r="C68" i="1"/>
  <c r="C69" i="1"/>
  <c r="S203" i="1"/>
  <c r="S201" i="1" s="1"/>
  <c r="S244" i="1"/>
  <c r="T203" i="1"/>
  <c r="T201" i="1" s="1"/>
  <c r="U244" i="1"/>
  <c r="U246" i="1"/>
  <c r="U203" i="1"/>
  <c r="U201" i="1" s="1"/>
  <c r="E244" i="1"/>
  <c r="E246" i="1"/>
  <c r="F203" i="1"/>
  <c r="F201" i="1" s="1"/>
  <c r="B110" i="1"/>
  <c r="B113" i="1" s="1"/>
  <c r="B111" i="1"/>
  <c r="B114" i="1" s="1"/>
  <c r="W203" i="1"/>
  <c r="W201" i="1" s="1"/>
  <c r="V198" i="1"/>
  <c r="V199" i="1" s="1"/>
  <c r="I203" i="1"/>
  <c r="I201" i="1" s="1"/>
  <c r="I244" i="1"/>
  <c r="I246" i="1"/>
  <c r="V165" i="1"/>
  <c r="V166" i="1" s="1"/>
  <c r="E198" i="1"/>
  <c r="E199" i="1" s="1"/>
  <c r="K198" i="1"/>
  <c r="K199" i="1" s="1"/>
  <c r="P165" i="1"/>
  <c r="P166" i="1" s="1"/>
  <c r="H246" i="1"/>
  <c r="H244" i="1"/>
  <c r="F181" i="1"/>
  <c r="F186" i="1"/>
  <c r="P244" i="1"/>
  <c r="P246" i="1"/>
  <c r="G244" i="1"/>
  <c r="G246" i="1"/>
  <c r="H203" i="1"/>
  <c r="H201" i="1" s="1"/>
  <c r="N203" i="1"/>
  <c r="N201" i="1" s="1"/>
  <c r="M203" i="1"/>
  <c r="M201" i="1" s="1"/>
  <c r="M244" i="1"/>
  <c r="M246" i="1"/>
  <c r="S186" i="1"/>
  <c r="S184" i="1"/>
  <c r="L203" i="1"/>
  <c r="L201" i="1" s="1"/>
  <c r="K203" i="1"/>
  <c r="K201" i="1" s="1"/>
  <c r="D165" i="1"/>
  <c r="J205" i="1"/>
  <c r="L205" i="1"/>
  <c r="E165" i="1"/>
  <c r="E166" i="1" s="1"/>
  <c r="K165" i="1"/>
  <c r="K166" i="1" s="1"/>
  <c r="N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C244" i="1" l="1"/>
  <c r="C166" i="1"/>
  <c r="AS138" i="1"/>
  <c r="AT33" i="1"/>
  <c r="S210" i="1"/>
  <c r="S211" i="1" s="1"/>
  <c r="K210" i="1"/>
  <c r="K211" i="1" s="1"/>
  <c r="V189" i="1"/>
  <c r="V190" i="1" s="1"/>
  <c r="F210" i="1"/>
  <c r="F211" i="1" s="1"/>
  <c r="K213" i="1"/>
  <c r="Q210" i="1"/>
  <c r="Q211" i="1" s="1"/>
  <c r="D210" i="1"/>
  <c r="D211" i="1" s="1"/>
  <c r="D213" i="1"/>
  <c r="E213" i="1"/>
  <c r="E210" i="1"/>
  <c r="E211" i="1" s="1"/>
  <c r="S213" i="1"/>
  <c r="F213" i="1"/>
  <c r="H213" i="1"/>
  <c r="H210" i="1"/>
  <c r="H211" i="1" s="1"/>
  <c r="J210" i="1"/>
  <c r="J211" i="1" s="1"/>
  <c r="D70" i="1"/>
  <c r="Q213" i="1"/>
  <c r="I189" i="1"/>
  <c r="I190" i="1" s="1"/>
  <c r="G210" i="1"/>
  <c r="G211" i="1" s="1"/>
  <c r="G213" i="1"/>
  <c r="B244" i="1"/>
  <c r="B166" i="1"/>
  <c r="C87" i="1"/>
  <c r="C85" i="1"/>
  <c r="C70" i="1"/>
  <c r="C86" i="1"/>
  <c r="B89" i="1"/>
  <c r="T213" i="1"/>
  <c r="T210" i="1"/>
  <c r="T211" i="1" s="1"/>
  <c r="U213" i="1"/>
  <c r="U210" i="1"/>
  <c r="U211" i="1" s="1"/>
  <c r="AW37" i="1"/>
  <c r="AV109" i="1"/>
  <c r="C210" i="1"/>
  <c r="C211" i="1" s="1"/>
  <c r="C213" i="1"/>
  <c r="D244" i="1"/>
  <c r="D166" i="1"/>
  <c r="I210" i="1"/>
  <c r="I211" i="1" s="1"/>
  <c r="I213" i="1"/>
  <c r="BS138" i="1"/>
  <c r="BT33" i="1"/>
  <c r="BR246" i="1"/>
  <c r="BR244" i="1"/>
  <c r="M213" i="1"/>
  <c r="M210" i="1"/>
  <c r="M211" i="1" s="1"/>
  <c r="N213" i="1"/>
  <c r="N210" i="1"/>
  <c r="N211" i="1" s="1"/>
  <c r="P213" i="1"/>
  <c r="P210" i="1"/>
  <c r="P211" i="1" s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AE142" i="1"/>
  <c r="AC124" i="1"/>
  <c r="AT203" i="1" l="1"/>
  <c r="AT201" i="1" s="1"/>
  <c r="AS203" i="1"/>
  <c r="AS20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CB90" i="1" s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BT90" i="1" l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N98" i="1"/>
  <c r="CN99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P253" i="1"/>
  <c r="CN19" i="1"/>
  <c r="CO98" i="1"/>
  <c r="CO99" i="1" s="1"/>
  <c r="CO253" i="1"/>
  <c r="CO231" i="1"/>
  <c r="CK148" i="1"/>
  <c r="CM19" i="1"/>
  <c r="CP231" i="1"/>
  <c r="CP10" i="1"/>
  <c r="CT8" i="1" s="1"/>
  <c r="CQ98" i="1"/>
  <c r="CQ99" i="1" s="1"/>
  <c r="AB8" i="1"/>
  <c r="AB253" i="1" s="1"/>
  <c r="CP98" i="1"/>
  <c r="CP99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16" i="1" s="1"/>
  <c r="CU15" i="1" s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44" i="1" l="1"/>
  <c r="CU152" i="1"/>
  <c r="CU145" i="1"/>
  <c r="CU153" i="1"/>
  <c r="CU146" i="1"/>
  <c r="CY8" i="1"/>
  <c r="CU2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231" i="1"/>
  <c r="CY10" i="1"/>
  <c r="CU23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U19" i="1"/>
  <c r="AD8" i="1"/>
  <c r="AD253" i="1" s="1"/>
  <c r="CV196" i="1" l="1"/>
  <c r="CY16" i="1"/>
  <c r="CY145" i="1"/>
  <c r="CY153" i="1"/>
  <c r="CY146" i="1"/>
  <c r="CY152" i="1"/>
  <c r="CY156" i="1" s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7" i="1" s="1"/>
  <c r="CV198" i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0" i="1" l="1"/>
  <c r="CY34" i="1"/>
  <c r="CY232" i="1"/>
  <c r="CY233" i="1" s="1"/>
  <c r="CY29" i="1"/>
  <c r="CY250" i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79" i="1"/>
  <c r="CM129" i="1"/>
  <c r="CM55" i="1" s="1"/>
  <c r="CM92" i="1"/>
  <c r="CM207" i="1"/>
  <c r="CM205" i="1" s="1"/>
  <c r="CM210" i="1" s="1"/>
  <c r="CM54" i="1"/>
  <c r="CM160" i="1" l="1"/>
  <c r="CM161" i="1" s="1"/>
  <c r="CM108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54" i="1"/>
  <c r="CN78" i="1"/>
  <c r="CN79" i="1"/>
  <c r="CJ89" i="1"/>
  <c r="CN107" i="1" l="1"/>
  <c r="CN160" i="1"/>
  <c r="CN161" i="1" s="1"/>
  <c r="CN108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78" i="1"/>
  <c r="CO92" i="1"/>
  <c r="CO207" i="1"/>
  <c r="CO205" i="1" s="1"/>
  <c r="CO210" i="1" s="1"/>
  <c r="CO129" i="1"/>
  <c r="CO55" i="1" s="1"/>
  <c r="CO54" i="1"/>
  <c r="CO160" i="1" l="1"/>
  <c r="CO161" i="1" s="1"/>
  <c r="CO107" i="1"/>
  <c r="CO108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79" i="1"/>
  <c r="CP207" i="1"/>
  <c r="CP205" i="1" s="1"/>
  <c r="CP210" i="1" s="1"/>
  <c r="CP129" i="1"/>
  <c r="CP55" i="1" s="1"/>
  <c r="CP92" i="1"/>
  <c r="CP54" i="1"/>
  <c r="CP160" i="1" l="1"/>
  <c r="CP107" i="1"/>
  <c r="AB78" i="1"/>
  <c r="CP108" i="1"/>
  <c r="AB79" i="1"/>
  <c r="CP161" i="1" l="1"/>
  <c r="AB160" i="1"/>
  <c r="AB161" i="1" s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129" i="1"/>
  <c r="CQ55" i="1" s="1"/>
  <c r="CQ207" i="1"/>
  <c r="CQ205" i="1" s="1"/>
  <c r="CQ210" i="1" s="1"/>
  <c r="CQ92" i="1"/>
  <c r="CQ54" i="1"/>
  <c r="CQ160" i="1" l="1"/>
  <c r="CQ161" i="1" s="1"/>
  <c r="CQ211" i="1" s="1"/>
  <c r="CQ107" i="1"/>
  <c r="CQ108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78" i="1"/>
  <c r="CR79" i="1"/>
  <c r="CR129" i="1"/>
  <c r="CR55" i="1" s="1"/>
  <c r="CR207" i="1"/>
  <c r="CR205" i="1" s="1"/>
  <c r="CR210" i="1" s="1"/>
  <c r="CR92" i="1"/>
  <c r="CR54" i="1"/>
  <c r="CR160" i="1" l="1"/>
  <c r="CR161" i="1" s="1"/>
  <c r="CR108" i="1"/>
  <c r="CR107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129" i="1"/>
  <c r="CS55" i="1" s="1"/>
  <c r="CS92" i="1"/>
  <c r="CS207" i="1"/>
  <c r="CS205" i="1" s="1"/>
  <c r="CS210" i="1" s="1"/>
  <c r="CS54" i="1"/>
  <c r="CS160" i="1" l="1"/>
  <c r="CS161" i="1" s="1"/>
  <c r="CS108" i="1"/>
  <c r="CS107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78" i="1"/>
  <c r="CT79" i="1"/>
  <c r="CT129" i="1" l="1"/>
  <c r="CT55" i="1" s="1"/>
  <c r="CT92" i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AC78" i="1"/>
  <c r="CT108" i="1"/>
  <c r="AC79" i="1"/>
  <c r="CT161" i="1" l="1"/>
  <c r="AC160" i="1"/>
  <c r="AC161" i="1" s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79" i="1"/>
  <c r="CU78" i="1"/>
  <c r="CU129" i="1"/>
  <c r="CU55" i="1" s="1"/>
  <c r="CU207" i="1"/>
  <c r="CU205" i="1" s="1"/>
  <c r="CU210" i="1" s="1"/>
  <c r="CU92" i="1"/>
  <c r="CU54" i="1"/>
  <c r="CU160" i="1" l="1"/>
  <c r="CU161" i="1" s="1"/>
  <c r="CU107" i="1"/>
  <c r="CU108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92" i="1"/>
  <c r="CV129" i="1"/>
  <c r="CV55" i="1" s="1"/>
  <c r="CV207" i="1"/>
  <c r="CV205" i="1" s="1"/>
  <c r="CV210" i="1" s="1"/>
  <c r="CV54" i="1"/>
  <c r="CV160" i="1" l="1"/>
  <c r="CV161" i="1" s="1"/>
  <c r="CV108" i="1"/>
  <c r="CV107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79" i="1"/>
  <c r="CW78" i="1"/>
  <c r="CW207" i="1"/>
  <c r="CW205" i="1" s="1"/>
  <c r="CW210" i="1" s="1"/>
  <c r="CW129" i="1"/>
  <c r="CW55" i="1" s="1"/>
  <c r="CW92" i="1"/>
  <c r="CW54" i="1"/>
  <c r="CW160" i="1" l="1"/>
  <c r="CW161" i="1" s="1"/>
  <c r="CW107" i="1"/>
  <c r="CW108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54" i="1"/>
  <c r="CX160" i="1"/>
  <c r="CX108" i="1"/>
  <c r="AD79" i="1"/>
  <c r="CX107" i="1"/>
  <c r="AD78" i="1"/>
  <c r="CX161" i="1" l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79" i="1"/>
  <c r="CY92" i="1"/>
  <c r="CY129" i="1"/>
  <c r="CY55" i="1" s="1"/>
  <c r="CY207" i="1"/>
  <c r="CY205" i="1" s="1"/>
  <c r="CY210" i="1" s="1"/>
  <c r="CY54" i="1"/>
  <c r="CY160" i="1" l="1"/>
  <c r="CY161" i="1" s="1"/>
  <c r="CY108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79" i="1" l="1"/>
  <c r="CZ78" i="1"/>
  <c r="CZ129" i="1"/>
  <c r="CZ55" i="1" s="1"/>
  <c r="CZ207" i="1"/>
  <c r="CZ205" i="1" s="1"/>
  <c r="CZ210" i="1" s="1"/>
  <c r="CZ92" i="1"/>
  <c r="CZ54" i="1"/>
  <c r="CZ160" i="1" l="1"/>
  <c r="CZ161" i="1" s="1"/>
  <c r="CZ107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129" i="1"/>
  <c r="DA55" i="1" s="1"/>
  <c r="DA207" i="1"/>
  <c r="DA205" i="1" s="1"/>
  <c r="DA210" i="1" s="1"/>
  <c r="DA92" i="1"/>
  <c r="DA54" i="1"/>
  <c r="DA160" i="1" l="1"/>
  <c r="DA161" i="1" s="1"/>
  <c r="DA107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107" i="1" l="1"/>
  <c r="AE78" i="1"/>
  <c r="DB108" i="1"/>
  <c r="AE79" i="1"/>
  <c r="DB207" i="1"/>
  <c r="DB205" i="1" s="1"/>
  <c r="DB210" i="1" s="1"/>
  <c r="DB129" i="1"/>
  <c r="DB55" i="1" s="1"/>
  <c r="DB92" i="1"/>
  <c r="DB54" i="1"/>
  <c r="AE207" i="1"/>
  <c r="AE205" i="1" s="1"/>
  <c r="AE210" i="1" s="1"/>
  <c r="AE129" i="1"/>
  <c r="AE55" i="1" s="1"/>
  <c r="AE175" i="1"/>
  <c r="AE54" i="1"/>
  <c r="DB160" i="1" l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KD9" i="4" l="1"/>
  <c r="JQ9" i="4"/>
  <c r="KG7" i="4"/>
  <c r="KD21" i="4"/>
  <c r="JW7" i="4"/>
  <c r="KF8" i="4"/>
  <c r="KD8" i="4"/>
  <c r="KH16" i="4"/>
  <c r="JW16" i="4"/>
  <c r="JR9" i="4"/>
  <c r="KB14" i="4"/>
  <c r="JU7" i="4"/>
  <c r="JX9" i="4"/>
  <c r="KH9" i="4"/>
  <c r="KD7" i="4"/>
  <c r="JS15" i="4"/>
  <c r="JX7" i="4"/>
  <c r="JT9" i="4"/>
  <c r="JQ21" i="4"/>
  <c r="KB19" i="4"/>
  <c r="CK77" i="1" l="1"/>
  <c r="JW19" i="4"/>
  <c r="KD20" i="4"/>
  <c r="CK85" i="1"/>
  <c r="CK102" i="1"/>
  <c r="JX21" i="4"/>
  <c r="KH21" i="4"/>
  <c r="JW21" i="4"/>
  <c r="KG19" i="4"/>
  <c r="JR21" i="4"/>
  <c r="CL77" i="1" s="1"/>
  <c r="KF20" i="4"/>
  <c r="JT21" i="4"/>
  <c r="JU19" i="4"/>
  <c r="JS20" i="4"/>
  <c r="KD19" i="4"/>
  <c r="JX19" i="4"/>
  <c r="CK94" i="1"/>
  <c r="CL102" i="1" l="1"/>
  <c r="CL94" i="1"/>
  <c r="CL85" i="1"/>
  <c r="CM77" i="1"/>
  <c r="CM102" i="1" l="1"/>
  <c r="CM85" i="1"/>
  <c r="CM94" i="1"/>
  <c r="CM81" i="1"/>
  <c r="CM82" i="1"/>
  <c r="CN77" i="1"/>
  <c r="CN81" i="1" l="1"/>
  <c r="CN82" i="1"/>
  <c r="CN85" i="1"/>
  <c r="CN94" i="1"/>
  <c r="CN102" i="1"/>
  <c r="CO77" i="1"/>
  <c r="CO82" i="1" l="1"/>
  <c r="CO81" i="1"/>
  <c r="CO85" i="1"/>
  <c r="CO94" i="1"/>
  <c r="CP77" i="1"/>
  <c r="CO102" i="1"/>
  <c r="CP82" i="1" l="1"/>
  <c r="CP102" i="1"/>
  <c r="AB77" i="1"/>
  <c r="CQ77" i="1"/>
  <c r="CP81" i="1"/>
  <c r="CP94" i="1"/>
  <c r="CP85" i="1"/>
  <c r="AB81" i="1" l="1"/>
  <c r="AB82" i="1"/>
  <c r="CR77" i="1"/>
  <c r="CQ81" i="1"/>
  <c r="CQ85" i="1"/>
  <c r="CQ82" i="1"/>
  <c r="CQ94" i="1"/>
  <c r="CQ102" i="1"/>
  <c r="CR81" i="1" l="1"/>
  <c r="CR82" i="1"/>
  <c r="CR94" i="1"/>
  <c r="CR85" i="1"/>
  <c r="CR102" i="1"/>
  <c r="CS77" i="1"/>
  <c r="CS81" i="1" l="1"/>
  <c r="CS82" i="1"/>
  <c r="CS94" i="1"/>
  <c r="CS85" i="1"/>
  <c r="CT77" i="1"/>
  <c r="CS102" i="1"/>
  <c r="CT102" i="1" l="1"/>
  <c r="CU77" i="1"/>
  <c r="AC77" i="1"/>
  <c r="CT81" i="1"/>
  <c r="CT94" i="1"/>
  <c r="CT82" i="1"/>
  <c r="CT85" i="1"/>
  <c r="CU82" i="1" l="1"/>
  <c r="CU81" i="1"/>
  <c r="CU94" i="1"/>
  <c r="CU85" i="1"/>
  <c r="CU102" i="1"/>
  <c r="CV77" i="1"/>
  <c r="AC82" i="1"/>
  <c r="AC81" i="1"/>
  <c r="CV81" i="1" l="1"/>
  <c r="CV82" i="1"/>
  <c r="CV85" i="1"/>
  <c r="CV94" i="1"/>
  <c r="CV102" i="1"/>
  <c r="CW77" i="1"/>
  <c r="CW82" i="1" l="1"/>
  <c r="CW81" i="1"/>
  <c r="CW85" i="1"/>
  <c r="CW94" i="1"/>
  <c r="CW102" i="1"/>
  <c r="CX77" i="1"/>
  <c r="CX81" i="1" l="1"/>
  <c r="CX82" i="1"/>
  <c r="CX94" i="1"/>
  <c r="CX85" i="1"/>
  <c r="CX102" i="1"/>
  <c r="AD77" i="1"/>
  <c r="CY77" i="1"/>
  <c r="AD81" i="1" l="1"/>
  <c r="AD82" i="1"/>
  <c r="CY81" i="1"/>
  <c r="CY82" i="1"/>
  <c r="CY94" i="1"/>
  <c r="CY85" i="1"/>
  <c r="CY102" i="1"/>
  <c r="CZ77" i="1"/>
  <c r="CZ82" i="1" l="1"/>
  <c r="CZ81" i="1"/>
  <c r="CZ94" i="1"/>
  <c r="CZ85" i="1"/>
  <c r="CZ102" i="1"/>
  <c r="DA77" i="1"/>
  <c r="DA81" i="1" l="1"/>
  <c r="DA82" i="1"/>
  <c r="DA94" i="1"/>
  <c r="DA85" i="1"/>
  <c r="DA102" i="1"/>
  <c r="DB77" i="1"/>
  <c r="DB81" i="1" l="1"/>
  <c r="DB94" i="1"/>
  <c r="DB82" i="1"/>
  <c r="DB85" i="1"/>
  <c r="DB102" i="1"/>
  <c r="AE77" i="1"/>
  <c r="AE81" i="1" l="1"/>
  <c r="AE82" i="1"/>
  <c r="AB63" i="1" l="1"/>
  <c r="AA63" i="1"/>
  <c r="AA65" i="1"/>
  <c r="AA66" i="1"/>
  <c r="AA69" i="1"/>
  <c r="AA70" i="1"/>
  <c r="AA107" i="1"/>
  <c r="AA110" i="1"/>
  <c r="AA113" i="1"/>
  <c r="AA87" i="1"/>
  <c r="AA85" i="1"/>
  <c r="AA86" i="1"/>
  <c r="AA108" i="1"/>
  <c r="AA111" i="1"/>
  <c r="AA114" i="1"/>
  <c r="AA92" i="1"/>
  <c r="AA99" i="1"/>
  <c r="AA102" i="1"/>
  <c r="AA103" i="1"/>
  <c r="AA104" i="1"/>
  <c r="AA94" i="1"/>
  <c r="AA95" i="1"/>
  <c r="AA96" i="1"/>
  <c r="AA68" i="1"/>
  <c r="AA64" i="1"/>
  <c r="AB64" i="1"/>
  <c r="Z64" i="1"/>
  <c r="Y64" i="1"/>
  <c r="X64" i="1"/>
  <c r="W64" i="1"/>
  <c r="V64" i="1"/>
  <c r="U64" i="1"/>
  <c r="AB65" i="1"/>
  <c r="Z63" i="1"/>
  <c r="Y63" i="1"/>
  <c r="X63" i="1"/>
  <c r="W63" i="1"/>
  <c r="V63" i="1"/>
  <c r="U63" i="1"/>
  <c r="T63" i="1"/>
  <c r="S63" i="1"/>
  <c r="R63" i="1"/>
  <c r="R65" i="1"/>
  <c r="R66" i="1"/>
  <c r="R69" i="1"/>
  <c r="R70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E65" i="1"/>
  <c r="E92" i="1"/>
  <c r="E95" i="1"/>
  <c r="S65" i="1"/>
  <c r="S66" i="1"/>
  <c r="S69" i="1"/>
  <c r="W65" i="1"/>
  <c r="W99" i="1"/>
  <c r="W102" i="1"/>
  <c r="Y65" i="1"/>
  <c r="Y99" i="1"/>
  <c r="Y102" i="1"/>
  <c r="T65" i="1"/>
  <c r="T66" i="1"/>
  <c r="T69" i="1"/>
  <c r="T86" i="1"/>
  <c r="T87" i="1"/>
  <c r="AC63" i="1"/>
  <c r="AC65" i="1"/>
  <c r="AC66" i="1"/>
  <c r="AC69" i="1"/>
  <c r="AC86" i="1"/>
  <c r="X65" i="1"/>
  <c r="X99" i="1"/>
  <c r="X103" i="1"/>
  <c r="X66" i="1"/>
  <c r="X69" i="1"/>
  <c r="X85" i="1"/>
  <c r="W104" i="1"/>
  <c r="W103" i="1"/>
  <c r="R107" i="1"/>
  <c r="R110" i="1"/>
  <c r="R113" i="1"/>
  <c r="P65" i="1"/>
  <c r="P107" i="1"/>
  <c r="P110" i="1"/>
  <c r="P113" i="1"/>
  <c r="W89" i="1"/>
  <c r="Q65" i="1"/>
  <c r="R87" i="1"/>
  <c r="S92" i="1"/>
  <c r="S68" i="1"/>
  <c r="AD63" i="1"/>
  <c r="AD65" i="1"/>
  <c r="AD92" i="1"/>
  <c r="AC108" i="1"/>
  <c r="Q108" i="1"/>
  <c r="X92" i="1"/>
  <c r="X104" i="1"/>
  <c r="Q107" i="1"/>
  <c r="T107" i="1"/>
  <c r="Q110" i="1"/>
  <c r="X108" i="1"/>
  <c r="AC64" i="1"/>
  <c r="AD64" i="1"/>
  <c r="AE64" i="1"/>
  <c r="S85" i="1"/>
  <c r="E108" i="1"/>
  <c r="Y66" i="1"/>
  <c r="Y69" i="1"/>
  <c r="X89" i="1"/>
  <c r="K65" i="1"/>
  <c r="K107" i="1"/>
  <c r="K110" i="1"/>
  <c r="K113" i="1"/>
  <c r="W108" i="1"/>
  <c r="AC107" i="1"/>
  <c r="R108" i="1"/>
  <c r="K99" i="1"/>
  <c r="I65" i="1"/>
  <c r="I107" i="1"/>
  <c r="I110" i="1"/>
  <c r="I113" i="1"/>
  <c r="X95" i="1"/>
  <c r="O65" i="1"/>
  <c r="O108" i="1"/>
  <c r="O111" i="1"/>
  <c r="G65" i="1"/>
  <c r="K66" i="1"/>
  <c r="X68" i="1"/>
  <c r="N65" i="1"/>
  <c r="E96" i="1"/>
  <c r="L65" i="1"/>
  <c r="L66" i="1"/>
  <c r="L69" i="1"/>
  <c r="L87" i="1"/>
  <c r="T70" i="1"/>
  <c r="T64" i="1"/>
  <c r="S64" i="1"/>
  <c r="R64" i="1"/>
  <c r="T99" i="1"/>
  <c r="T104" i="1"/>
  <c r="R89" i="1"/>
  <c r="T108" i="1"/>
  <c r="R86" i="1"/>
  <c r="Y108" i="1"/>
  <c r="P66" i="1"/>
  <c r="G66" i="1"/>
  <c r="E107" i="1"/>
  <c r="S70" i="1"/>
  <c r="E99" i="1"/>
  <c r="AC68" i="1"/>
  <c r="U65" i="1"/>
  <c r="U99" i="1"/>
  <c r="U102" i="1"/>
  <c r="K103" i="1"/>
  <c r="Y70" i="1"/>
  <c r="P68" i="1"/>
  <c r="T102" i="1"/>
  <c r="X102" i="1"/>
  <c r="N107" i="1"/>
  <c r="Y85" i="1"/>
  <c r="I92" i="1"/>
  <c r="P108" i="1"/>
  <c r="P111" i="1"/>
  <c r="P114" i="1"/>
  <c r="Z65" i="1"/>
  <c r="Z108" i="1"/>
  <c r="Z111" i="1"/>
  <c r="Z107" i="1"/>
  <c r="Z110" i="1"/>
  <c r="Z113" i="1"/>
  <c r="Y107" i="1"/>
  <c r="Y110" i="1"/>
  <c r="Y113" i="1"/>
  <c r="V65" i="1"/>
  <c r="V66" i="1"/>
  <c r="E102" i="1"/>
  <c r="AC87" i="1"/>
  <c r="T85" i="1"/>
  <c r="U103" i="1"/>
  <c r="W66" i="1"/>
  <c r="G107" i="1"/>
  <c r="T111" i="1"/>
  <c r="X94" i="1"/>
  <c r="X111" i="1"/>
  <c r="Z99" i="1"/>
  <c r="Z102" i="1"/>
  <c r="M65" i="1"/>
  <c r="M66" i="1"/>
  <c r="M69" i="1"/>
  <c r="M86" i="1"/>
  <c r="Q64" i="1"/>
  <c r="P64" i="1"/>
  <c r="O64" i="1"/>
  <c r="N64" i="1"/>
  <c r="M64" i="1"/>
  <c r="L64" i="1"/>
  <c r="K64" i="1"/>
  <c r="J64" i="1"/>
  <c r="I64" i="1"/>
  <c r="H64" i="1"/>
  <c r="S94" i="1"/>
  <c r="S96" i="1"/>
  <c r="AB99" i="1"/>
  <c r="L99" i="1"/>
  <c r="AD66" i="1"/>
  <c r="H65" i="1"/>
  <c r="H66" i="1"/>
  <c r="H68" i="1"/>
  <c r="H107" i="1"/>
  <c r="H110" i="1"/>
  <c r="N108" i="1"/>
  <c r="F65" i="1"/>
  <c r="F66" i="1"/>
  <c r="F69" i="1"/>
  <c r="F87" i="1"/>
  <c r="AD69" i="1"/>
  <c r="Z92" i="1"/>
  <c r="Z94" i="1"/>
  <c r="AB103" i="1"/>
  <c r="W69" i="1"/>
  <c r="X87" i="1"/>
  <c r="W68" i="1"/>
  <c r="U66" i="1"/>
  <c r="U69" i="1"/>
  <c r="U85" i="1"/>
  <c r="L86" i="1"/>
  <c r="F85" i="1"/>
  <c r="W87" i="1"/>
  <c r="J65" i="1"/>
  <c r="J92" i="1"/>
  <c r="J96" i="1"/>
  <c r="W111" i="1"/>
  <c r="M70" i="1"/>
  <c r="AE63" i="1"/>
  <c r="AE65" i="1"/>
  <c r="AE66" i="1"/>
  <c r="AE69" i="1"/>
  <c r="AD89" i="1"/>
  <c r="AD107" i="1"/>
  <c r="Y111" i="1"/>
  <c r="Q66" i="1"/>
  <c r="Q69" i="1"/>
  <c r="Q87" i="1"/>
  <c r="I99" i="1"/>
  <c r="AC92" i="1"/>
  <c r="I108" i="1"/>
  <c r="Q85" i="1"/>
  <c r="F99" i="1"/>
  <c r="F103" i="1"/>
  <c r="AE107" i="1"/>
  <c r="V108" i="1"/>
  <c r="Q89" i="1"/>
  <c r="G108" i="1"/>
  <c r="G111" i="1"/>
  <c r="G114" i="1"/>
  <c r="S89" i="1"/>
  <c r="AB66" i="1"/>
  <c r="AB69" i="1"/>
  <c r="AA89" i="1"/>
  <c r="F104" i="1"/>
  <c r="G92" i="1"/>
  <c r="G96" i="1"/>
  <c r="AB89" i="1"/>
  <c r="L70" i="1"/>
  <c r="W92" i="1"/>
  <c r="R85" i="1"/>
  <c r="N92" i="1"/>
  <c r="W96" i="1"/>
  <c r="N96" i="1"/>
  <c r="M107" i="1"/>
  <c r="M110" i="1"/>
  <c r="M113" i="1"/>
  <c r="G68" i="1"/>
  <c r="G64" i="1"/>
  <c r="F64" i="1"/>
  <c r="E64" i="1"/>
  <c r="M108" i="1"/>
  <c r="M111" i="1"/>
  <c r="M114" i="1"/>
  <c r="F108" i="1"/>
  <c r="F111" i="1"/>
  <c r="F114" i="1"/>
  <c r="O92" i="1"/>
  <c r="O95" i="1"/>
  <c r="P92" i="1"/>
  <c r="AD86" i="1"/>
  <c r="AC85" i="1"/>
  <c r="E103" i="1"/>
  <c r="P69" i="1"/>
  <c r="O89" i="1"/>
  <c r="P94" i="1"/>
  <c r="AC110" i="1"/>
  <c r="T114" i="1"/>
  <c r="L102" i="1"/>
  <c r="G110" i="1"/>
  <c r="G113" i="1"/>
  <c r="V69" i="1"/>
  <c r="S86" i="1"/>
  <c r="V86" i="1"/>
  <c r="V87" i="1"/>
  <c r="S108" i="1"/>
  <c r="L92" i="1"/>
  <c r="U107" i="1"/>
  <c r="U110" i="1"/>
  <c r="AD99" i="1"/>
  <c r="U86" i="1"/>
  <c r="L107" i="1"/>
  <c r="S87" i="1"/>
  <c r="H108" i="1"/>
  <c r="H111" i="1"/>
  <c r="L108" i="1"/>
  <c r="L111" i="1"/>
  <c r="AD104" i="1"/>
  <c r="AD108" i="1"/>
  <c r="S99" i="1"/>
  <c r="O107" i="1"/>
  <c r="O110" i="1"/>
  <c r="AB107" i="1"/>
  <c r="AD103" i="1"/>
  <c r="O113" i="1"/>
  <c r="S107" i="1"/>
  <c r="X107" i="1"/>
  <c r="X110" i="1"/>
  <c r="X113" i="1"/>
  <c r="Q113" i="1"/>
  <c r="Y92" i="1"/>
  <c r="Z89" i="1"/>
  <c r="T92" i="1"/>
  <c r="Y104" i="1"/>
  <c r="N66" i="1"/>
  <c r="N69" i="1"/>
  <c r="N85" i="1"/>
  <c r="Y68" i="1"/>
  <c r="N70" i="1"/>
  <c r="N87" i="1"/>
  <c r="S104" i="1"/>
  <c r="V92" i="1"/>
  <c r="V94" i="1"/>
  <c r="J66" i="1"/>
  <c r="J69" i="1"/>
  <c r="J70" i="1"/>
  <c r="AB92" i="1"/>
  <c r="V107" i="1"/>
  <c r="V110" i="1"/>
  <c r="K104" i="1"/>
  <c r="J107" i="1"/>
  <c r="J110" i="1"/>
  <c r="J113" i="1"/>
  <c r="S95" i="1"/>
  <c r="V113" i="1"/>
  <c r="AB110" i="1"/>
  <c r="P86" i="1"/>
  <c r="AB108" i="1"/>
  <c r="AB111" i="1"/>
  <c r="AB114" i="1"/>
  <c r="R92" i="1"/>
  <c r="Q111" i="1"/>
  <c r="F102" i="1"/>
  <c r="AE108" i="1"/>
  <c r="R68" i="1"/>
  <c r="F107" i="1"/>
  <c r="F110" i="1"/>
  <c r="U92" i="1"/>
  <c r="U95" i="1"/>
  <c r="AD95" i="1"/>
  <c r="T103" i="1"/>
  <c r="U113" i="1"/>
  <c r="F86" i="1"/>
  <c r="Q70" i="1"/>
  <c r="O66" i="1"/>
  <c r="O68" i="1"/>
  <c r="Q99" i="1"/>
  <c r="X86" i="1"/>
  <c r="V111" i="1"/>
  <c r="AB95" i="1"/>
  <c r="S111" i="1"/>
  <c r="W94" i="1"/>
  <c r="N68" i="1"/>
  <c r="V89" i="1"/>
  <c r="W70" i="1"/>
  <c r="Z96" i="1"/>
  <c r="AB113" i="1"/>
  <c r="AD70" i="1"/>
  <c r="AE111" i="1"/>
  <c r="E66" i="1"/>
  <c r="E69" i="1"/>
  <c r="E70" i="1"/>
  <c r="Z66" i="1"/>
  <c r="Z69" i="1"/>
  <c r="K68" i="1"/>
  <c r="Z86" i="1"/>
  <c r="Y86" i="1"/>
  <c r="AD87" i="1"/>
  <c r="T110" i="1"/>
  <c r="L110" i="1"/>
  <c r="S103" i="1"/>
  <c r="E85" i="1"/>
  <c r="AE114" i="1"/>
  <c r="Y95" i="1"/>
  <c r="Z114" i="1"/>
  <c r="AE110" i="1"/>
  <c r="W114" i="1"/>
  <c r="Z95" i="1"/>
  <c r="J87" i="1"/>
  <c r="M92" i="1"/>
  <c r="M94" i="1"/>
  <c r="F113" i="1"/>
  <c r="AB87" i="1"/>
  <c r="T94" i="1"/>
  <c r="N110" i="1"/>
  <c r="N113" i="1"/>
  <c r="P70" i="1"/>
  <c r="AE87" i="1"/>
  <c r="R94" i="1"/>
  <c r="O69" i="1"/>
  <c r="O86" i="1"/>
  <c r="AD85" i="1"/>
  <c r="H92" i="1"/>
  <c r="H95" i="1"/>
  <c r="T113" i="1"/>
  <c r="AB102" i="1"/>
  <c r="U87" i="1"/>
  <c r="L103" i="1"/>
  <c r="L85" i="1"/>
  <c r="I102" i="1"/>
  <c r="AC96" i="1"/>
  <c r="J86" i="1"/>
  <c r="X114" i="1"/>
  <c r="S102" i="1"/>
  <c r="S110" i="1"/>
  <c r="S113" i="1"/>
  <c r="AB104" i="1"/>
  <c r="AB94" i="1"/>
  <c r="AB86" i="1"/>
  <c r="G94" i="1"/>
  <c r="L114" i="1"/>
  <c r="N86" i="1"/>
  <c r="Z87" i="1"/>
  <c r="T95" i="1"/>
  <c r="P87" i="1"/>
  <c r="Y89" i="1"/>
  <c r="G95" i="1"/>
  <c r="Y96" i="1"/>
  <c r="Z68" i="1"/>
  <c r="M89" i="1"/>
  <c r="I95" i="1"/>
  <c r="I111" i="1"/>
  <c r="I114" i="1"/>
  <c r="I94" i="1"/>
  <c r="L113" i="1"/>
  <c r="Z85" i="1"/>
  <c r="Z70" i="1"/>
  <c r="Y103" i="1"/>
  <c r="AC111" i="1"/>
  <c r="AD94" i="1"/>
  <c r="P99" i="1"/>
  <c r="J68" i="1"/>
  <c r="W86" i="1"/>
  <c r="K89" i="1"/>
  <c r="V95" i="1"/>
  <c r="O94" i="1"/>
  <c r="O85" i="1"/>
  <c r="U108" i="1"/>
  <c r="U111" i="1"/>
  <c r="U114" i="1"/>
  <c r="L95" i="1"/>
  <c r="Q102" i="1"/>
  <c r="AB85" i="1"/>
  <c r="M99" i="1"/>
  <c r="M102" i="1"/>
  <c r="R95" i="1"/>
  <c r="P85" i="1"/>
  <c r="M96" i="1"/>
  <c r="J108" i="1"/>
  <c r="J111" i="1"/>
  <c r="J114" i="1"/>
  <c r="U89" i="1"/>
  <c r="AC114" i="1"/>
  <c r="Q114" i="1"/>
  <c r="W85" i="1"/>
  <c r="V114" i="1"/>
  <c r="O96" i="1"/>
  <c r="AC89" i="1"/>
  <c r="J95" i="1"/>
  <c r="AE70" i="1"/>
  <c r="P96" i="1"/>
  <c r="Z104" i="1"/>
  <c r="V70" i="1"/>
  <c r="P104" i="1"/>
  <c r="I103" i="1"/>
  <c r="AE86" i="1"/>
  <c r="P95" i="1"/>
  <c r="Q103" i="1"/>
  <c r="H94" i="1"/>
  <c r="N94" i="1"/>
  <c r="O87" i="1"/>
  <c r="AC113" i="1"/>
  <c r="E86" i="1"/>
  <c r="M103" i="1"/>
  <c r="AE68" i="1"/>
  <c r="V85" i="1"/>
  <c r="P103" i="1"/>
  <c r="P102" i="1"/>
  <c r="O70" i="1"/>
  <c r="N89" i="1"/>
  <c r="Q104" i="1"/>
  <c r="T96" i="1"/>
  <c r="E111" i="1"/>
  <c r="K102" i="1"/>
  <c r="AC70" i="1"/>
  <c r="H69" i="1"/>
  <c r="H70" i="1"/>
  <c r="R111" i="1"/>
  <c r="O114" i="1"/>
  <c r="G99" i="1"/>
  <c r="X70" i="1"/>
  <c r="K69" i="1"/>
  <c r="K87" i="1"/>
  <c r="AC99" i="1"/>
  <c r="N99" i="1"/>
  <c r="T68" i="1"/>
  <c r="W107" i="1"/>
  <c r="I66" i="1"/>
  <c r="I69" i="1"/>
  <c r="J99" i="1"/>
  <c r="J104" i="1"/>
  <c r="AE99" i="1"/>
  <c r="AE92" i="1"/>
  <c r="E94" i="1"/>
  <c r="M85" i="1"/>
  <c r="G69" i="1"/>
  <c r="T89" i="1"/>
  <c r="U104" i="1"/>
  <c r="E110" i="1"/>
  <c r="U70" i="1"/>
  <c r="Q92" i="1"/>
  <c r="E104" i="1"/>
  <c r="R99" i="1"/>
  <c r="R102" i="1"/>
  <c r="G86" i="1"/>
  <c r="H99" i="1"/>
  <c r="AB68" i="1"/>
  <c r="M87" i="1"/>
  <c r="M104" i="1"/>
  <c r="K92" i="1"/>
  <c r="Q95" i="1"/>
  <c r="K108" i="1"/>
  <c r="J85" i="1"/>
  <c r="AE85" i="1"/>
  <c r="AD111" i="1"/>
  <c r="AD114" i="1"/>
  <c r="V99" i="1"/>
  <c r="L96" i="1"/>
  <c r="S114" i="1"/>
  <c r="I104" i="1"/>
  <c r="M95" i="1"/>
  <c r="E114" i="1"/>
  <c r="W110" i="1"/>
  <c r="W113" i="1"/>
  <c r="AD96" i="1"/>
  <c r="R96" i="1"/>
  <c r="O99" i="1"/>
  <c r="AC94" i="1"/>
  <c r="AD110" i="1"/>
  <c r="H96" i="1"/>
  <c r="L94" i="1"/>
  <c r="L89" i="1"/>
  <c r="AE94" i="1"/>
  <c r="X96" i="1"/>
  <c r="P89" i="1"/>
  <c r="E89" i="1"/>
  <c r="I89" i="1"/>
  <c r="N111" i="1"/>
  <c r="R103" i="1"/>
  <c r="F92" i="1"/>
  <c r="AB96" i="1"/>
  <c r="U96" i="1"/>
  <c r="AC95" i="1"/>
  <c r="J94" i="1"/>
  <c r="AC104" i="1"/>
  <c r="Y87" i="1"/>
  <c r="M68" i="1"/>
  <c r="Z103" i="1"/>
  <c r="I96" i="1"/>
  <c r="AE113" i="1"/>
  <c r="K94" i="1"/>
  <c r="K111" i="1"/>
  <c r="K114" i="1"/>
  <c r="G104" i="1"/>
  <c r="N104" i="1"/>
  <c r="I85" i="1"/>
  <c r="J102" i="1"/>
  <c r="AE104" i="1"/>
  <c r="AE95" i="1"/>
  <c r="F89" i="1"/>
  <c r="G87" i="1"/>
  <c r="Y94" i="1"/>
  <c r="W95" i="1"/>
  <c r="H113" i="1"/>
  <c r="L104" i="1"/>
  <c r="N95" i="1"/>
  <c r="V68" i="1"/>
  <c r="E87" i="1"/>
  <c r="AD102" i="1"/>
  <c r="V102" i="1"/>
  <c r="AD113" i="1"/>
  <c r="F68" i="1"/>
  <c r="G89" i="1"/>
  <c r="D89" i="1"/>
  <c r="I68" i="1"/>
  <c r="V96" i="1"/>
  <c r="Q86" i="1"/>
  <c r="U94" i="1"/>
  <c r="AD68" i="1"/>
  <c r="K70" i="1"/>
  <c r="H114" i="1"/>
  <c r="F70" i="1"/>
  <c r="G85" i="1"/>
  <c r="Y114" i="1"/>
  <c r="AB70" i="1"/>
  <c r="G70" i="1"/>
  <c r="AE96" i="1"/>
  <c r="N103" i="1"/>
  <c r="K85" i="1"/>
  <c r="AE102" i="1"/>
  <c r="E68" i="1"/>
  <c r="G102" i="1"/>
  <c r="Q68" i="1"/>
  <c r="H87" i="1"/>
  <c r="E113" i="1"/>
  <c r="I87" i="1"/>
  <c r="H89" i="1"/>
  <c r="AC102" i="1"/>
  <c r="H86" i="1"/>
  <c r="J103" i="1"/>
  <c r="AE103" i="1"/>
  <c r="N102" i="1"/>
  <c r="I86" i="1"/>
  <c r="I70" i="1"/>
  <c r="Q94" i="1"/>
  <c r="J89" i="1"/>
  <c r="H102" i="1"/>
  <c r="O103" i="1"/>
  <c r="H85" i="1"/>
  <c r="Q96" i="1"/>
  <c r="U68" i="1"/>
  <c r="L68" i="1"/>
  <c r="AC103" i="1"/>
  <c r="N114" i="1"/>
  <c r="R104" i="1"/>
  <c r="F96" i="1"/>
  <c r="F95" i="1"/>
  <c r="F94" i="1"/>
  <c r="R114" i="1"/>
  <c r="K95" i="1"/>
  <c r="V104" i="1"/>
  <c r="H104" i="1"/>
  <c r="K86" i="1"/>
  <c r="G103" i="1"/>
  <c r="H103" i="1"/>
  <c r="K96" i="1"/>
  <c r="O104" i="1"/>
  <c r="V103" i="1"/>
  <c r="O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<sst xmlns="http://schemas.openxmlformats.org/spreadsheetml/2006/main" count="663" uniqueCount="524">
  <si>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</si>
  <si>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</si>
  <si>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</si>
  <si>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</si>
  <si>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</si>
  <si>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</si>
  <si>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</si>
  <si>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</si>
  <si>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</si>
  <si>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</si>
  <si>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</si>
  <si>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</si>
  <si>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</si>
  <si>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</si>
  <si>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</si>
  <si>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</si>
  <si>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</si>
  <si>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</si>
  <si>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</si>
  <si>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</si>
  <si>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</si>
  <si>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</si>
  <si>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</si>
  <si>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</si>
  <si>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</si>
  <si>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</si>
  <si>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</si>
  <si>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</si>
  <si>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</si>
  <si>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</si>
  <si>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</si>
  <si>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</si>
  <si>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</si>
  <si>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</si>
  <si>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</si>
  <si>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</si>
  <si>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</si>
  <si>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</si>
  <si>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</si>
  <si>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</si>
  <si>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</si>
  <si>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</si>
  <si>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</si>
  <si>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</si>
  <si>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</si>
  <si>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</si>
  <si>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</si>
  <si>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</si>
  <si>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</si>
  <si>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</si>
  <si>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</si>
  <si>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</si>
  <si>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</si>
  <si>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</si>
  <si>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</si>
  <si>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</si>
  <si>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</si>
  <si>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</si>
  <si>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</si>
  <si>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</si>
  <si>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</si>
  <si>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</si>
  <si>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</si>
  <si>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</si>
  <si>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</si>
  <si>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</si>
  <si>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</si>
  <si>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</si>
  <si>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</si>
  <si>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</si>
  <si>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</si>
  <si>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</si>
  <si>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</si>
  <si>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</si>
  <si>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</si>
  <si>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</si>
  <si>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</si>
  <si>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</si>
  <si>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</si>
  <si>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</si>
  <si>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</si>
  <si>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</si>
  <si>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</si>
  <si>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</si>
  <si>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</si>
  <si>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</si>
  <si>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</si>
  <si>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</si>
  <si>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</si>
  <si>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</si>
  <si>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</si>
  <si>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</si>
  <si>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</si>
  <si>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</si>
  <si>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</si>
  <si>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</si>
  <si>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</si>
  <si>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</si>
  <si>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</si>
  <si>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</si>
  <si>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</si>
  <si>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</si>
  <si>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</si>
  <si>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</si>
  <si>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</si>
  <si>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</si>
  <si>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</si>
  <si>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</si>
  <si>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</si>
  <si>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</si>
  <si>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</si>
  <si>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</si>
  <si>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</si>
  <si>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</si>
  <si>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</si>
  <si>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</si>
  <si>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</si>
  <si>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</si>
  <si>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</si>
  <si>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</si>
  <si>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</si>
  <si>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</si>
  <si>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</si>
  <si>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</si>
  <si>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</si>
  <si>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</si>
  <si>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</si>
  <si>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</si>
  <si>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</si>
  <si>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</si>
  <si>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</si>
  <si>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</si>
  <si>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</si>
  <si>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</si>
  <si>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</si>
  <si>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</si>
  <si>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</si>
  <si>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</si>
  <si>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</si>
  <si>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</si>
  <si>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</si>
  <si>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</si>
  <si>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</si>
  <si>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</si>
  <si>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</si>
  <si>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</si>
  <si>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</si>
  <si>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</si>
  <si>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</si>
  <si>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</si>
  <si>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</si>
  <si>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</si>
  <si>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</si>
  <si>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</si>
  <si>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</si>
  <si>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</si>
  <si>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</si>
  <si>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</si>
  <si>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</si>
  <si>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</si>
  <si>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</si>
  <si>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</si>
  <si>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</si>
  <si>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</si>
  <si>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</si>
  <si>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</si>
  <si>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</si>
  <si>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</si>
  <si>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</si>
  <si>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</si>
  <si>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</si>
  <si>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</si>
  <si>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</si>
  <si>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</si>
  <si>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</si>
  <si>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</si>
  <si>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</si>
  <si>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</si>
  <si>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</si>
  <si>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</si>
  <si>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</si>
  <si>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</si>
  <si>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</si>
  <si>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</si>
  <si>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</si>
  <si>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</si>
  <si>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</si>
  <si>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</si>
  <si>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</si>
  <si>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</si>
  <si>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</si>
  <si>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</si>
  <si>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</si>
  <si>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</si>
  <si>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</si>
  <si>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</si>
  <si>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</si>
  <si>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</si>
  <si>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</si>
  <si>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</si>
  <si>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</si>
  <si>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</si>
  <si>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</si>
  <si>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</si>
  <si>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</si>
  <si>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</si>
  <si>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</si>
  <si>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</si>
  <si>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</si>
  <si>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</si>
  <si>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</si>
  <si>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</si>
  <si>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</si>
  <si>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</si>
  <si>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</si>
  <si>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</si>
  <si>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</si>
  <si>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</si>
  <si>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</si>
  <si>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</si>
  <si>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</si>
  <si>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</si>
  <si>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</si>
  <si>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</si>
  <si>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</si>
  <si>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</si>
  <si>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</si>
  <si>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</si>
  <si>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</si>
  <si>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</si>
  <si>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</si>
  <si>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</si>
  <si>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</si>
  <si>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</si>
  <si>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</si>
  <si>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</si>
  <si>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</si>
  <si>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</si>
  <si>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</si>
  <si>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</si>
  <si>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</si>
  <si>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</si>
  <si>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</si>
  <si>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</si>
  <si>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</si>
  <si>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</si>
  <si>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</si>
  <si>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</si>
  <si>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</si>
  <si>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</si>
  <si>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</si>
  <si>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</si>
  <si>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</si>
  <si>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</si>
  <si>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</si>
  <si>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</si>
  <si>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</si>
  <si>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</si>
  <si>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</si>
  <si>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</si>
  <si>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</si>
  <si>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</si>
  <si>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</si>
  <si>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</si>
  <si>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</si>
  <si>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</si>
  <si>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</si>
  <si>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</si>
  <si>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</si>
  <si>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</si>
  <si>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</si>
  <si>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</si>
  <si>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</si>
  <si>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</si>
  <si>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</si>
  <si>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</si>
  <si>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</si>
  <si>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</si>
  <si>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</si>
  <si>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</si>
  <si>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</si>
  <si>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</si>
  <si>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</si>
  <si>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</si>
  <si>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</si>
  <si>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</si>
  <si>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</si>
  <si>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</si>
  <si>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</si>
  <si>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</si>
  <si>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</si>
  <si>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</si>
  <si>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</si>
  <si>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</si>
  <si>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</si>
  <si>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</si>
  <si>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</si>
  <si>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</si>
  <si>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</si>
  <si>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</si>
  <si>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</si>
  <si>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</si>
  <si>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</si>
  <si>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</si>
  <si>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</si>
  <si>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</si>
  <si>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</si>
  <si>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</si>
  <si>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</si>
  <si>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</si>
  <si>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</si>
  <si>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</si>
  <si>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</si>
  <si>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</si>
  <si>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</si>
  <si>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</si>
  <si>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</si>
  <si>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</si>
  <si>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</si>
  <si>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</si>
  <si>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</si>
  <si>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</si>
  <si>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</si>
  <si>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</si>
  <si>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</si>
  <si>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</si>
  <si>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</si>
  <si>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</si>
  <si>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</si>
  <si>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</si>
  <si>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</si>
  <si>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</si>
  <si>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</si>
  <si>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</si>
  <si>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</si>
  <si>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</si>
  <si>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</si>
  <si>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</si>
  <si>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</si>
  <si>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</si>
  <si>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</si>
  <si>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</si>
  <si>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</si>
  <si>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</si>
  <si>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</si>
  <si>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</si>
  <si>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</si>
  <si>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</si>
  <si>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</si>
  <si>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</si>
  <si>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</si>
  <si>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</si>
  <si>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</si>
  <si>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</si>
  <si>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</si>
  <si>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</si>
  <si>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</si>
  <si>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</si>
  <si>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</si>
  <si>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</si>
  <si>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</si>
  <si>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</si>
  <si>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</si>
  <si>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</si>
  <si>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</si>
  <si>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</si>
  <si>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</si>
  <si>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</si>
  <si>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</si>
  <si>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</si>
  <si>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</si>
  <si>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</si>
  <si>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</si>
  <si>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</si>
  <si>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</si>
  <si>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</si>
  <si>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</si>
  <si>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</si>
  <si>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</si>
  <si>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</si>
  <si>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</si>
  <si>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</si>
  <si>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</si>
  <si>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</si>
  <si>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</si>
  <si>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</si>
  <si>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</si>
  <si>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</si>
  <si>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</si>
  <si>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</si>
  <si>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</si>
  <si>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</si>
  <si>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</si>
  <si>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</si>
  <si>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</si>
  <si>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</si>
  <si>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</si>
  <si>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</si>
  <si>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</si>
  <si>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</si>
  <si>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</si>
  <si>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</si>
  <si>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</si>
  <si>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</si>
  <si>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</si>
  <si>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</si>
  <si>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</si>
  <si>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</si>
  <si>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</si>
  <si>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</si>
  <si>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</si>
  <si>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</si>
  <si>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</si>
  <si>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</si>
  <si>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</si>
  <si>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</si>
  <si>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</si>
  <si>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</si>
  <si>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</si>
  <si>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</si>
  <si>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</si>
  <si>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</si>
  <si>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</si>
  <si>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</si>
  <si>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</si>
  <si>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</si>
  <si>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</si>
  <si>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</si>
  <si>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</si>
  <si>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</si>
  <si>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</si>
  <si>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</si>
  <si>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</si>
  <si>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</si>
  <si>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</si>
  <si>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</si>
  <si>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</si>
  <si>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</si>
  <si>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</si>
  <si>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</si>
  <si>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</si>
  <si>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</si>
  <si>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</si>
  <si>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</si>
  <si>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</si>
  <si>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</si>
  <si>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</si>
  <si>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</si>
  <si>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</si>
  <si>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</si>
  <si>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</si>
  <si>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</si>
  <si>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</si>
  <si>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</si>
  <si>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</si>
  <si>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</si>
  <si>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</si>
  <si>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</si>
  <si>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</si>
  <si>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</si>
  <si>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</si>
  <si>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</si>
  <si>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</si>
  <si>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</si>
  <si>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</si>
  <si>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</si>
  <si>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</si>
  <si>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</si>
  <si>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</si>
  <si>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</si>
  <si>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</si>
  <si>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</si>
  <si>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</si>
  <si>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</si>
  <si>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</si>
  <si>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</si>
  <si>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</si>
  <si>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</si>
  <si>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</si>
  <si>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</si>
  <si>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</si>
  <si>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</si>
  <si>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</si>
  <si>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</si>
  <si>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</si>
  <si>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</si>
  <si>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</si>
  <si>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</si>
  <si>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</si>
  <si>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</si>
  <si>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</si>
  <si>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</si>
  <si>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</si>
  <si>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</si>
  <si>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</si>
  <si>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</si>
  <si>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</si>
  <si>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</si>
  <si>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</si>
  <si>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</si>
  <si>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</si>
  <si>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</si>
  <si>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</si>
  <si>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</si>
  <si>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</si>
  <si>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</si>
  <si>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</si>
  <si>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</si>
  <si>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</si>
  <si>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</si>
  <si>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</si>
  <si>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</si>
  <si>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</si>
  <si>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</si>
  <si>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</si>
  <si>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GHCL Textiles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</si>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</sst>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GHCL Textiles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0</v>
      </c>
      <c r="Y8" s="25">
        <f>'Annual Raw'!Z6</f>
        <v>1058.2</v>
      </c>
      <c r="Z8" s="25">
        <f>'Annual Raw'!AA6</f>
        <v>1164.01</v>
      </c>
      <c r="AA8" s="25">
        <f>'Annual Raw'!AB6</f>
        <v>1322.73</v>
      </c>
      <c r="AB8" s="17">
        <f>+SUM(CM8:CP8)</f>
        <v>1565.7429647584968</v>
      </c>
      <c r="AC8" s="17">
        <f>+SUM(CQ8:CT8)</f>
        <v>1869.9001812766373</v>
      </c>
      <c r="AD8" s="17">
        <f>+SUM(CU8:CX8)</f>
        <v>2234.9771068522505</v>
      </c>
      <c r="AE8" s="17">
        <f>+SUM(CY8:DB8)</f>
        <v>2671.6064794945059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0</v>
      </c>
      <c r="BV8" s="25">
        <f>'QTR Raw'!AP6+'QTR Raw'!AP8</f>
        <v>0</v>
      </c>
      <c r="BW8" s="25">
        <f>'QTR Raw'!AQ6+'QTR Raw'!AQ8</f>
        <v>0</v>
      </c>
      <c r="BX8" s="25">
        <f>'QTR Raw'!AR6+'QTR Raw'!AR8</f>
        <v>0</v>
      </c>
      <c r="BY8" s="25">
        <f>'QTR Raw'!AS6+'QTR Raw'!AS8</f>
        <v>0</v>
      </c>
      <c r="BZ8" s="25">
        <f>'QTR Raw'!AT6+'QTR Raw'!AT8</f>
        <v>0</v>
      </c>
      <c r="CA8" s="25">
        <f>'QTR Raw'!AU6+'QTR Raw'!AU8</f>
        <v>263.27999999999997</v>
      </c>
      <c r="CB8" s="25">
        <f>'QTR Raw'!AV6+'QTR Raw'!AV8</f>
        <v>260.02999999999997</v>
      </c>
      <c r="CC8" s="25">
        <f>'QTR Raw'!AW6+'QTR Raw'!AW8</f>
        <v>244.41</v>
      </c>
      <c r="CD8" s="25">
        <f>'QTR Raw'!AX6+'QTR Raw'!AX8</f>
        <v>286.14999999999998</v>
      </c>
      <c r="CE8" s="25">
        <f>'QTR Raw'!AY6+'QTR Raw'!AY8</f>
        <v>287.93</v>
      </c>
      <c r="CF8" s="25">
        <f>'QTR Raw'!AZ6+'QTR Raw'!AZ8</f>
        <v>304.62</v>
      </c>
      <c r="CG8" s="25">
        <f>'QTR Raw'!BA6+'QTR Raw'!BA8</f>
        <v>285</v>
      </c>
      <c r="CH8" s="25">
        <f>'QTR Raw'!BB6+'QTR Raw'!BB8</f>
        <v>283.61</v>
      </c>
      <c r="CI8" s="25">
        <f>'QTR Raw'!BC6+'QTR Raw'!BC8</f>
        <v>267.75</v>
      </c>
      <c r="CJ8" s="25">
        <f>'QTR Raw'!BD6+'QTR Raw'!BD8</f>
        <v>338.04</v>
      </c>
      <c r="CK8" s="25">
        <f>'QTR Raw'!BE6+'QTR Raw'!BE8</f>
        <v>349.12</v>
      </c>
      <c r="CL8" s="25">
        <f>'QTR Raw'!BF6+'QTR Raw'!BF8</f>
        <v>363.69</v>
      </c>
      <c r="CM8" s="17">
        <f t="shared" ref="CM8:DB8" si="33">+CI10+(CM11*CI10)</f>
        <v>304.3625375630827</v>
      </c>
      <c r="CN8" s="17">
        <f t="shared" si="33"/>
        <v>401.74313067552634</v>
      </c>
      <c r="CO8" s="17">
        <f t="shared" si="33"/>
        <v>421.78339620294861</v>
      </c>
      <c r="CP8" s="17">
        <f t="shared" si="33"/>
        <v>437.85390031693919</v>
      </c>
      <c r="CQ8" s="17">
        <f t="shared" si="33"/>
        <v>360.45987532156931</v>
      </c>
      <c r="CR8" s="17">
        <f t="shared" si="33"/>
        <v>480.56644570808692</v>
      </c>
      <c r="CS8" s="17">
        <f t="shared" si="33"/>
        <v>505.3563849700015</v>
      </c>
      <c r="CT8" s="17">
        <f t="shared" si="33"/>
        <v>523.51747527697967</v>
      </c>
      <c r="CU8" s="17">
        <f t="shared" si="33"/>
        <v>430.23592632976369</v>
      </c>
      <c r="CV8" s="17">
        <f t="shared" si="33"/>
        <v>574.70514861516017</v>
      </c>
      <c r="CW8" s="17">
        <f t="shared" si="33"/>
        <v>604.31178151918471</v>
      </c>
      <c r="CX8" s="17">
        <f t="shared" si="33"/>
        <v>625.72425038814185</v>
      </c>
      <c r="CY8" s="17">
        <f t="shared" si="33"/>
        <v>514.1868064780507</v>
      </c>
      <c r="CZ8" s="17">
        <f t="shared" si="33"/>
        <v>687.0690051720527</v>
      </c>
      <c r="DA8" s="17">
        <f t="shared" si="33"/>
        <v>722.40747362209368</v>
      </c>
      <c r="DB8" s="17">
        <f t="shared" si="33"/>
        <v>747.9431942223091</v>
      </c>
      <c r="DE8" s="119"/>
      <c r="DF8" s="25">
        <v>1318.6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4.33</v>
      </c>
      <c r="Z9" s="92">
        <f>'Annual Raw'!AA7+'Annual Raw'!AA8+'Annual Raw'!AA9</f>
        <v>2.85</v>
      </c>
      <c r="AA9" s="92">
        <f>'Annual Raw'!AB7+'Annual Raw'!AB8+'Annual Raw'!AB9</f>
        <v>4.13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 t="shared" ref="V10:AA10" si="35">+V8-V9</f>
        <v>0</v>
      </c>
      <c r="W10" s="26">
        <f t="shared" si="35"/>
        <v>0</v>
      </c>
      <c r="X10" s="26">
        <f t="shared" si="35"/>
        <v>0</v>
      </c>
      <c r="Y10" s="26">
        <f t="shared" si="35"/>
        <v>1053.8700000000001</v>
      </c>
      <c r="Z10" s="26">
        <f t="shared" si="35"/>
        <v>1161.1600000000001</v>
      </c>
      <c r="AA10" s="26">
        <f t="shared" si="35"/>
        <v>1318.6</v>
      </c>
      <c r="AB10" s="27">
        <f t="shared" ref="AB10:AD10" si="36">+AB8-AB9</f>
        <v>1565.7429647584968</v>
      </c>
      <c r="AC10" s="27">
        <f t="shared" si="36"/>
        <v>1869.9001812766373</v>
      </c>
      <c r="AD10" s="27">
        <f t="shared" si="36"/>
        <v>2234.9771068522505</v>
      </c>
      <c r="AE10" s="27">
        <f t="shared" ref="AE10" si="37">+AE8-AE9</f>
        <v>2671.6064794945059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0</v>
      </c>
      <c r="AW10" s="26">
        <f t="shared" si="42"/>
        <v>0</v>
      </c>
      <c r="AX10" s="26">
        <f t="shared" ref="AX10:CF10" si="43">+AX8-AX9</f>
        <v>0</v>
      </c>
      <c r="AY10" s="26">
        <f t="shared" si="43"/>
        <v>0</v>
      </c>
      <c r="AZ10" s="26">
        <f t="shared" si="43"/>
        <v>0</v>
      </c>
      <c r="BA10" s="26">
        <f t="shared" si="43"/>
        <v>0</v>
      </c>
      <c r="BB10" s="26">
        <f t="shared" si="43"/>
        <v>0</v>
      </c>
      <c r="BC10" s="26">
        <f t="shared" si="43"/>
        <v>0</v>
      </c>
      <c r="BD10" s="26">
        <f t="shared" si="43"/>
        <v>0</v>
      </c>
      <c r="BE10" s="26">
        <f t="shared" si="43"/>
        <v>0</v>
      </c>
      <c r="BF10" s="26">
        <f t="shared" si="43"/>
        <v>0</v>
      </c>
      <c r="BG10" s="26">
        <f t="shared" si="43"/>
        <v>0</v>
      </c>
      <c r="BH10" s="26">
        <f t="shared" si="43"/>
        <v>0</v>
      </c>
      <c r="BI10" s="26">
        <f t="shared" si="43"/>
        <v>0</v>
      </c>
      <c r="BJ10" s="26">
        <f t="shared" si="43"/>
        <v>0</v>
      </c>
      <c r="BK10" s="26">
        <f t="shared" si="43"/>
        <v>0</v>
      </c>
      <c r="BL10" s="26">
        <f t="shared" si="43"/>
        <v>0</v>
      </c>
      <c r="BM10" s="26">
        <f t="shared" si="43"/>
        <v>0</v>
      </c>
      <c r="BN10" s="26">
        <f t="shared" si="43"/>
        <v>0</v>
      </c>
      <c r="BO10" s="26">
        <f t="shared" si="43"/>
        <v>0</v>
      </c>
      <c r="BP10" s="26">
        <f t="shared" si="43"/>
        <v>0</v>
      </c>
      <c r="BQ10" s="26">
        <f t="shared" si="43"/>
        <v>0</v>
      </c>
      <c r="BR10" s="26">
        <f t="shared" si="43"/>
        <v>0</v>
      </c>
      <c r="BS10" s="26">
        <f t="shared" si="43"/>
        <v>0</v>
      </c>
      <c r="BT10" s="26">
        <f t="shared" si="43"/>
        <v>0</v>
      </c>
      <c r="BU10" s="26">
        <f t="shared" si="43"/>
        <v>0</v>
      </c>
      <c r="BV10" s="26">
        <f t="shared" si="43"/>
        <v>0</v>
      </c>
      <c r="BW10" s="26">
        <f t="shared" si="43"/>
        <v>0</v>
      </c>
      <c r="BX10" s="26">
        <f t="shared" si="43"/>
        <v>0</v>
      </c>
      <c r="BY10" s="26">
        <f t="shared" si="43"/>
        <v>0</v>
      </c>
      <c r="BZ10" s="26">
        <f t="shared" si="43"/>
        <v>0</v>
      </c>
      <c r="CA10" s="26">
        <f t="shared" si="43"/>
        <v>263.27999999999997</v>
      </c>
      <c r="CB10" s="26">
        <f t="shared" si="43"/>
        <v>260.02999999999997</v>
      </c>
      <c r="CC10" s="26">
        <f t="shared" si="43"/>
        <v>244.41</v>
      </c>
      <c r="CD10" s="26">
        <f t="shared" si="43"/>
        <v>286.14999999999998</v>
      </c>
      <c r="CE10" s="26">
        <f t="shared" si="43"/>
        <v>287.93</v>
      </c>
      <c r="CF10" s="26">
        <f t="shared" si="43"/>
        <v>304.62</v>
      </c>
      <c r="CG10" s="26">
        <f t="shared" ref="CG10:CH10" si="44">+CG8-CG9</f>
        <v>285</v>
      </c>
      <c r="CH10" s="26">
        <f t="shared" si="44"/>
        <v>283.61</v>
      </c>
      <c r="CI10" s="26">
        <f t="shared" ref="CI10:CJ10" si="45">+CI8-CI9</f>
        <v>267.75</v>
      </c>
      <c r="CJ10" s="26">
        <f t="shared" si="45"/>
        <v>338.04</v>
      </c>
      <c r="CK10" s="26">
        <f t="shared" ref="CK10:CL10" si="46">+CK8-CK9</f>
        <v>349.12</v>
      </c>
      <c r="CL10" s="26">
        <f t="shared" si="46"/>
        <v>363.69</v>
      </c>
      <c r="CM10" s="27">
        <f t="shared" ref="CM10:DB10" si="47">+CM8-CM9</f>
        <v>304.3625375630827</v>
      </c>
      <c r="CN10" s="27">
        <f t="shared" si="47"/>
        <v>401.74313067552634</v>
      </c>
      <c r="CO10" s="27">
        <f t="shared" si="47"/>
        <v>421.78339620294861</v>
      </c>
      <c r="CP10" s="27">
        <f t="shared" si="47"/>
        <v>437.85390031693919</v>
      </c>
      <c r="CQ10" s="27">
        <f t="shared" si="47"/>
        <v>360.45987532156931</v>
      </c>
      <c r="CR10" s="27">
        <f t="shared" si="47"/>
        <v>480.56644570808692</v>
      </c>
      <c r="CS10" s="27">
        <f t="shared" si="47"/>
        <v>505.3563849700015</v>
      </c>
      <c r="CT10" s="27">
        <f t="shared" si="47"/>
        <v>523.51747527697967</v>
      </c>
      <c r="CU10" s="27">
        <f t="shared" si="47"/>
        <v>430.23592632976369</v>
      </c>
      <c r="CV10" s="27">
        <f t="shared" si="47"/>
        <v>574.70514861516017</v>
      </c>
      <c r="CW10" s="27">
        <f t="shared" si="47"/>
        <v>604.31178151918471</v>
      </c>
      <c r="CX10" s="27">
        <f t="shared" si="47"/>
        <v>625.72425038814185</v>
      </c>
      <c r="CY10" s="27">
        <f t="shared" si="47"/>
        <v>514.1868064780507</v>
      </c>
      <c r="CZ10" s="27">
        <f t="shared" si="47"/>
        <v>687.0690051720527</v>
      </c>
      <c r="DA10" s="27">
        <f t="shared" si="47"/>
        <v>722.40747362209368</v>
      </c>
      <c r="DB10" s="27">
        <f t="shared" si="47"/>
        <v>747.9431942223091</v>
      </c>
      <c r="DE10" s="121"/>
      <c r="DF10" s="26">
        <v>1318.6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AA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 t="e">
        <f t="shared" si="52"/>
        <v>#DIV/0!</v>
      </c>
      <c r="X11" s="39" t="e">
        <f t="shared" si="52"/>
        <v>#DIV/0!</v>
      </c>
      <c r="Y11" s="39" t="e">
        <f t="shared" si="52"/>
        <v>#DIV/0!</v>
      </c>
      <c r="Z11" s="39">
        <f t="shared" si="52"/>
        <v>0.10180572556387402</v>
      </c>
      <c r="AA11" s="39">
        <f t="shared" si="52"/>
        <v>0.13558854938165266</v>
      </c>
      <c r="AB11" s="40">
        <f t="shared" ref="AB11" si="53">AB10/AA10-1</f>
        <v>0.18742830635408536</v>
      </c>
      <c r="AC11" s="40">
        <f t="shared" ref="AC11" si="54">AC10/AB10-1</f>
        <v>0.19425743775579041</v>
      </c>
      <c r="AD11" s="40">
        <f t="shared" ref="AD11" si="55">AD10/AC10-1</f>
        <v>0.19523872409401233</v>
      </c>
      <c r="AE11" s="40">
        <f t="shared" ref="AE11" si="56">AE10/AD10-1</f>
        <v>0.19536189936961179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 t="e">
        <f t="shared" si="57"/>
        <v>#DIV/0!</v>
      </c>
      <c r="BA11" s="39" t="e">
        <f t="shared" si="57"/>
        <v>#DIV/0!</v>
      </c>
      <c r="BB11" s="39" t="e">
        <f t="shared" si="57"/>
        <v>#DIV/0!</v>
      </c>
      <c r="BC11" s="39" t="e">
        <f t="shared" si="57"/>
        <v>#DIV/0!</v>
      </c>
      <c r="BD11" s="39" t="e">
        <f t="shared" si="57"/>
        <v>#DIV/0!</v>
      </c>
      <c r="BE11" s="39" t="e">
        <f t="shared" si="57"/>
        <v>#DIV/0!</v>
      </c>
      <c r="BF11" s="39" t="e">
        <f t="shared" si="57"/>
        <v>#DIV/0!</v>
      </c>
      <c r="BG11" s="39" t="e">
        <f t="shared" si="57"/>
        <v>#DIV/0!</v>
      </c>
      <c r="BH11" s="39" t="e">
        <f t="shared" si="57"/>
        <v>#DIV/0!</v>
      </c>
      <c r="BI11" s="39" t="e">
        <f t="shared" si="57"/>
        <v>#DIV/0!</v>
      </c>
      <c r="BJ11" s="39" t="e">
        <f t="shared" si="57"/>
        <v>#DIV/0!</v>
      </c>
      <c r="BK11" s="39" t="e">
        <f t="shared" si="57"/>
        <v>#DIV/0!</v>
      </c>
      <c r="BL11" s="39" t="e">
        <f t="shared" si="57"/>
        <v>#DIV/0!</v>
      </c>
      <c r="BM11" s="39" t="e">
        <f t="shared" si="57"/>
        <v>#DIV/0!</v>
      </c>
      <c r="BN11" s="39" t="e">
        <f t="shared" si="57"/>
        <v>#DIV/0!</v>
      </c>
      <c r="BO11" s="39" t="e">
        <f t="shared" si="57"/>
        <v>#DIV/0!</v>
      </c>
      <c r="BP11" s="39" t="e">
        <f t="shared" si="57"/>
        <v>#DIV/0!</v>
      </c>
      <c r="BQ11" s="39" t="e">
        <f t="shared" si="57"/>
        <v>#DIV/0!</v>
      </c>
      <c r="BR11" s="39" t="e">
        <f t="shared" si="57"/>
        <v>#DIV/0!</v>
      </c>
      <c r="BS11" s="39" t="e">
        <f t="shared" si="57"/>
        <v>#DIV/0!</v>
      </c>
      <c r="BT11" s="39" t="e">
        <f t="shared" si="57"/>
        <v>#DIV/0!</v>
      </c>
      <c r="BU11" s="39" t="e">
        <f t="shared" si="57"/>
        <v>#DIV/0!</v>
      </c>
      <c r="BV11" s="39" t="e">
        <f t="shared" si="57"/>
        <v>#DIV/0!</v>
      </c>
      <c r="BW11" s="39" t="e">
        <f t="shared" si="57"/>
        <v>#DIV/0!</v>
      </c>
      <c r="BX11" s="39" t="e">
        <f t="shared" si="57"/>
        <v>#DIV/0!</v>
      </c>
      <c r="BY11" s="39" t="e">
        <f t="shared" si="57"/>
        <v>#DIV/0!</v>
      </c>
      <c r="BZ11" s="39" t="e">
        <f t="shared" si="57"/>
        <v>#DIV/0!</v>
      </c>
      <c r="CA11" s="39" t="e">
        <f t="shared" si="57"/>
        <v>#DIV/0!</v>
      </c>
      <c r="CB11" s="39" t="e">
        <f t="shared" si="57"/>
        <v>#DIV/0!</v>
      </c>
      <c r="CC11" s="39" t="e">
        <f t="shared" si="57"/>
        <v>#DIV/0!</v>
      </c>
      <c r="CD11" s="39" t="e">
        <f t="shared" si="57"/>
        <v>#DIV/0!</v>
      </c>
      <c r="CE11" s="39">
        <f t="shared" si="57"/>
        <v>9.3626557277423306E-2</v>
      </c>
      <c r="CF11" s="39">
        <f t="shared" si="57"/>
        <v>0.17148021382148237</v>
      </c>
      <c r="CG11" s="39">
        <f t="shared" si="57"/>
        <v>0.16607340125199466</v>
      </c>
      <c r="CH11" s="39">
        <f t="shared" si="57"/>
        <v>-8.8764633933250403E-3</v>
      </c>
      <c r="CI11" s="39">
        <f t="shared" si="57"/>
        <v>-7.0086479352620468E-2</v>
      </c>
      <c r="CJ11" s="39">
        <f>+IF(CF10&lt;0,1-CJ10/CF10,CJ10/CF10-1)</f>
        <v>0.10971045893244047</v>
      </c>
      <c r="CK11" s="39">
        <f>+IF(CG10&lt;0,1-CK10/CG10,CK10/CG10-1)</f>
        <v>0.22498245614035084</v>
      </c>
      <c r="CL11" s="39">
        <f>+IF(CH10&lt;0,1-CL10/CH10,CL10/CH10-1)</f>
        <v>0.28235957829413616</v>
      </c>
      <c r="CM11" s="40">
        <f t="shared" ref="CM11" si="58">+AVERAGE(CI11:CL11)</f>
        <v>0.13674150350357675</v>
      </c>
      <c r="CN11" s="40">
        <f t="shared" ref="CN11" si="59">+AVERAGE(CJ11:CM11)</f>
        <v>0.18844849921762605</v>
      </c>
      <c r="CO11" s="40">
        <f t="shared" ref="CO11" si="60">+AVERAGE(CK11:CN11)</f>
        <v>0.20813300928892245</v>
      </c>
      <c r="CP11" s="40">
        <f t="shared" ref="CP11" si="61">+AVERAGE(CL11:CO11)</f>
        <v>0.20392064757606534</v>
      </c>
      <c r="CQ11" s="40">
        <f t="shared" ref="CQ11" si="62">+AVERAGE(CM11:CP11)</f>
        <v>0.18431091489654763</v>
      </c>
      <c r="CR11" s="40">
        <f t="shared" ref="CR11" si="63">+AVERAGE(CN11:CQ11)</f>
        <v>0.19620326774479036</v>
      </c>
      <c r="CS11" s="40">
        <f t="shared" ref="CS11" si="64">+AVERAGE(CO11:CR11)</f>
        <v>0.19814195987658145</v>
      </c>
      <c r="CT11" s="40">
        <f t="shared" ref="CT11" si="65">+AVERAGE(CP11:CS11)</f>
        <v>0.19564419752349621</v>
      </c>
      <c r="CU11" s="40">
        <f t="shared" ref="CU11" si="66">+AVERAGE(CQ11:CT11)</f>
        <v>0.19357508501035392</v>
      </c>
      <c r="CV11" s="40">
        <f t="shared" ref="CV11" si="67">+AVERAGE(CR11:CU11)</f>
        <v>0.1958911275388055</v>
      </c>
      <c r="CW11" s="40">
        <f t="shared" ref="CW11" si="68">+AVERAGE(CS11:CV11)</f>
        <v>0.19581309248730927</v>
      </c>
      <c r="CX11" s="40">
        <f t="shared" ref="CX11" si="69">+AVERAGE(CT11:CW11)</f>
        <v>0.19523087563999122</v>
      </c>
      <c r="CY11" s="40">
        <f t="shared" ref="CY11" si="70">+AVERAGE(CU11:CX11)</f>
        <v>0.19512754516911496</v>
      </c>
      <c r="CZ11" s="40">
        <f t="shared" ref="CZ11" si="71">+AVERAGE(CV11:CY11)</f>
        <v>0.19551566020880523</v>
      </c>
      <c r="DA11" s="40">
        <f t="shared" ref="DA11" si="72">+AVERAGE(CW11:CZ11)</f>
        <v>0.19542179337630516</v>
      </c>
      <c r="DB11" s="40">
        <f t="shared" ref="DB11" si="73">+AVERAGE(CX11:DA11)</f>
        <v>0.19532396859855417</v>
      </c>
      <c r="DE11" s="122"/>
      <c r="DF11" s="39">
        <v>0.13558854938165266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4">+IF(AI10&lt;0,1-AJ10/AI10,AJ10/AI10-1)</f>
        <v>#DIV/0!</v>
      </c>
      <c r="AK12" s="39" t="e">
        <f t="shared" si="74"/>
        <v>#DIV/0!</v>
      </c>
      <c r="AL12" s="39" t="e">
        <f t="shared" si="74"/>
        <v>#DIV/0!</v>
      </c>
      <c r="AM12" s="39" t="e">
        <f t="shared" ref="AM12:CI12" si="75">+IF(AL10&lt;0,1-AM10/AL10,AM10/AL10-1)</f>
        <v>#DIV/0!</v>
      </c>
      <c r="AN12" s="39" t="e">
        <f t="shared" si="75"/>
        <v>#DIV/0!</v>
      </c>
      <c r="AO12" s="39" t="e">
        <f t="shared" si="75"/>
        <v>#DIV/0!</v>
      </c>
      <c r="AP12" s="39" t="e">
        <f t="shared" si="75"/>
        <v>#DIV/0!</v>
      </c>
      <c r="AQ12" s="39" t="e">
        <f t="shared" si="75"/>
        <v>#DIV/0!</v>
      </c>
      <c r="AR12" s="39" t="e">
        <f t="shared" si="75"/>
        <v>#DIV/0!</v>
      </c>
      <c r="AS12" s="39" t="e">
        <f t="shared" si="75"/>
        <v>#DIV/0!</v>
      </c>
      <c r="AT12" s="39" t="e">
        <f t="shared" si="75"/>
        <v>#DIV/0!</v>
      </c>
      <c r="AU12" s="39" t="e">
        <f t="shared" si="75"/>
        <v>#DIV/0!</v>
      </c>
      <c r="AV12" s="39" t="e">
        <f t="shared" si="75"/>
        <v>#DIV/0!</v>
      </c>
      <c r="AW12" s="39" t="e">
        <f t="shared" si="75"/>
        <v>#DIV/0!</v>
      </c>
      <c r="AX12" s="39" t="e">
        <f t="shared" si="75"/>
        <v>#DIV/0!</v>
      </c>
      <c r="AY12" s="39" t="e">
        <f t="shared" si="75"/>
        <v>#DIV/0!</v>
      </c>
      <c r="AZ12" s="39" t="e">
        <f t="shared" si="75"/>
        <v>#DIV/0!</v>
      </c>
      <c r="BA12" s="39" t="e">
        <f t="shared" si="75"/>
        <v>#DIV/0!</v>
      </c>
      <c r="BB12" s="39" t="e">
        <f t="shared" si="75"/>
        <v>#DIV/0!</v>
      </c>
      <c r="BC12" s="39" t="e">
        <f t="shared" si="75"/>
        <v>#DIV/0!</v>
      </c>
      <c r="BD12" s="39" t="e">
        <f t="shared" si="75"/>
        <v>#DIV/0!</v>
      </c>
      <c r="BE12" s="39" t="e">
        <f t="shared" si="75"/>
        <v>#DIV/0!</v>
      </c>
      <c r="BF12" s="39" t="e">
        <f t="shared" si="75"/>
        <v>#DIV/0!</v>
      </c>
      <c r="BG12" s="39" t="e">
        <f t="shared" si="75"/>
        <v>#DIV/0!</v>
      </c>
      <c r="BH12" s="39" t="e">
        <f t="shared" si="75"/>
        <v>#DIV/0!</v>
      </c>
      <c r="BI12" s="39" t="e">
        <f t="shared" si="75"/>
        <v>#DIV/0!</v>
      </c>
      <c r="BJ12" s="39" t="e">
        <f t="shared" si="75"/>
        <v>#DIV/0!</v>
      </c>
      <c r="BK12" s="39" t="e">
        <f t="shared" si="75"/>
        <v>#DIV/0!</v>
      </c>
      <c r="BL12" s="39" t="e">
        <f t="shared" si="75"/>
        <v>#DIV/0!</v>
      </c>
      <c r="BM12" s="39" t="e">
        <f t="shared" si="75"/>
        <v>#DIV/0!</v>
      </c>
      <c r="BN12" s="39" t="e">
        <f t="shared" si="75"/>
        <v>#DIV/0!</v>
      </c>
      <c r="BO12" s="39" t="e">
        <f t="shared" si="75"/>
        <v>#DIV/0!</v>
      </c>
      <c r="BP12" s="39" t="e">
        <f t="shared" si="75"/>
        <v>#DIV/0!</v>
      </c>
      <c r="BQ12" s="39" t="e">
        <f t="shared" si="75"/>
        <v>#DIV/0!</v>
      </c>
      <c r="BR12" s="39" t="e">
        <f t="shared" si="75"/>
        <v>#DIV/0!</v>
      </c>
      <c r="BS12" s="39" t="e">
        <f t="shared" si="75"/>
        <v>#DIV/0!</v>
      </c>
      <c r="BT12" s="39" t="e">
        <f t="shared" si="75"/>
        <v>#DIV/0!</v>
      </c>
      <c r="BU12" s="39" t="e">
        <f t="shared" si="75"/>
        <v>#DIV/0!</v>
      </c>
      <c r="BV12" s="39" t="e">
        <f t="shared" si="75"/>
        <v>#DIV/0!</v>
      </c>
      <c r="BW12" s="39" t="e">
        <f t="shared" si="75"/>
        <v>#DIV/0!</v>
      </c>
      <c r="BX12" s="39" t="e">
        <f t="shared" si="75"/>
        <v>#DIV/0!</v>
      </c>
      <c r="BY12" s="39" t="e">
        <f t="shared" si="75"/>
        <v>#DIV/0!</v>
      </c>
      <c r="BZ12" s="39" t="e">
        <f t="shared" si="75"/>
        <v>#DIV/0!</v>
      </c>
      <c r="CA12" s="39" t="e">
        <f t="shared" si="75"/>
        <v>#DIV/0!</v>
      </c>
      <c r="CB12" s="39">
        <f t="shared" si="75"/>
        <v>-1.2344272257672428E-2</v>
      </c>
      <c r="CC12" s="39">
        <f t="shared" si="75"/>
        <v>-6.0069991924008637E-2</v>
      </c>
      <c r="CD12" s="39">
        <f t="shared" si="75"/>
        <v>0.1707786097131867</v>
      </c>
      <c r="CE12" s="39">
        <f t="shared" si="75"/>
        <v>6.2205137165822766E-3</v>
      </c>
      <c r="CF12" s="39">
        <f t="shared" si="75"/>
        <v>5.7965477720279157E-2</v>
      </c>
      <c r="CG12" s="39">
        <f t="shared" si="75"/>
        <v>-6.4408115028560142E-2</v>
      </c>
      <c r="CH12" s="39">
        <f t="shared" si="75"/>
        <v>-4.8771929824561466E-3</v>
      </c>
      <c r="CI12" s="39">
        <f t="shared" si="75"/>
        <v>-5.5921864532280319E-2</v>
      </c>
      <c r="CJ12" s="39">
        <f>+IF(CI10&lt;0,1-CJ10/CI10,CJ10/CI10-1)</f>
        <v>0.26252100840336134</v>
      </c>
      <c r="CK12" s="39">
        <f>+IF(CJ10&lt;0,1-CK10/CJ10,CK10/CJ10-1)</f>
        <v>3.2777186131818681E-2</v>
      </c>
      <c r="CL12" s="39">
        <f>+IF(CK10&lt;0,1-CL10/CK10,CL10/CK10-1)</f>
        <v>4.1733501374885407E-2</v>
      </c>
      <c r="CM12" s="40">
        <f t="shared" ref="CM12" si="76">+CM10/CL10-1</f>
        <v>-0.1631264605485917</v>
      </c>
      <c r="CN12" s="40">
        <f t="shared" ref="CN12" si="77">+CN10/CM10-1</f>
        <v>0.319949340323332</v>
      </c>
      <c r="CO12" s="40">
        <f t="shared" ref="CO12" si="78">+CO10/CN10-1</f>
        <v>4.9883281124744494E-2</v>
      </c>
      <c r="CP12" s="40">
        <f t="shared" ref="CP12" si="79">+CP10/CO10-1</f>
        <v>3.8101319916012066E-2</v>
      </c>
      <c r="CQ12" s="40">
        <f t="shared" ref="CQ12" si="80">+CQ10/CP10-1</f>
        <v>-0.17675764664731419</v>
      </c>
      <c r="CR12" s="40">
        <f t="shared" ref="CR12" si="81">+CR10/CQ10-1</f>
        <v>0.33320371727746267</v>
      </c>
      <c r="CS12" s="40">
        <f t="shared" ref="CS12" si="82">+CS10/CR10-1</f>
        <v>5.1584831781977591E-2</v>
      </c>
      <c r="CT12" s="40">
        <f t="shared" ref="CT12" si="83">+CT10/CS10-1</f>
        <v>3.5937193725287919E-2</v>
      </c>
      <c r="CU12" s="40">
        <f t="shared" ref="CU12" si="84">+CU10/CT10-1</f>
        <v>-0.17818230212441921</v>
      </c>
      <c r="CV12" s="40">
        <f t="shared" ref="CV12" si="85">+CV10/CU10-1</f>
        <v>0.33579069864719968</v>
      </c>
      <c r="CW12" s="40">
        <f t="shared" ref="CW12" si="86">+CW10/CV10-1</f>
        <v>5.1516213097039909E-2</v>
      </c>
      <c r="CX12" s="40">
        <f t="shared" ref="CX12" si="87">+CX10/CW10-1</f>
        <v>3.5432817171176412E-2</v>
      </c>
      <c r="CY12" s="40">
        <f t="shared" ref="CY12" si="88">+CY10/CX10-1</f>
        <v>-0.17825335016327648</v>
      </c>
      <c r="CZ12" s="40">
        <f t="shared" ref="CZ12" si="89">+CZ10/CY10-1</f>
        <v>0.3362244937363672</v>
      </c>
      <c r="DA12" s="40">
        <f t="shared" ref="DA12" si="90">+DA10/CZ10-1</f>
        <v>5.1433652491996273E-2</v>
      </c>
      <c r="DB12" s="40">
        <f t="shared" ref="DB12" si="91">+DB10/DA10-1</f>
        <v>3.5348084748045849E-2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-6.94</v>
      </c>
      <c r="Z13" s="23">
        <f>'Annual Raw'!AA11</f>
        <v>7.52</v>
      </c>
      <c r="AA13" s="23">
        <f>'Annual Raw'!AB11</f>
        <v>-6.19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16.559999999999999</v>
      </c>
      <c r="CB13" s="23">
        <f>'QTR Raw'!AV10</f>
        <v>1.1499999999999999</v>
      </c>
      <c r="CC13" s="23">
        <f>'QTR Raw'!AW10</f>
        <v>-17.28</v>
      </c>
      <c r="CD13" s="23">
        <f>'QTR Raw'!AX10</f>
        <v>-7.37</v>
      </c>
      <c r="CE13" s="23">
        <f>'QTR Raw'!AY10</f>
        <v>-6.81</v>
      </c>
      <c r="CF13" s="23">
        <f>'QTR Raw'!AZ10</f>
        <v>0.41</v>
      </c>
      <c r="CG13" s="23">
        <f>'QTR Raw'!BA10</f>
        <v>6.37</v>
      </c>
      <c r="CH13" s="23">
        <f>'QTR Raw'!BB10</f>
        <v>7.55</v>
      </c>
      <c r="CI13" s="23">
        <f>'QTR Raw'!BC10</f>
        <v>-17.010000000000002</v>
      </c>
      <c r="CJ13" s="23">
        <f>'QTR Raw'!BD10</f>
        <v>-5.53</v>
      </c>
      <c r="CK13" s="23">
        <f>'QTR Raw'!BE10</f>
        <v>6.94</v>
      </c>
      <c r="CL13" s="23">
        <f>'QTR Raw'!BF10</f>
        <v>9.41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-6.1900000000000013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0.83</v>
      </c>
      <c r="CB14" s="23">
        <f>'QTR Raw'!AV12</f>
        <v>1.47</v>
      </c>
      <c r="CC14" s="23">
        <f>'QTR Raw'!AW12</f>
        <v>2.11</v>
      </c>
      <c r="CD14" s="23">
        <f>'QTR Raw'!AX12</f>
        <v>0.28000000000000003</v>
      </c>
      <c r="CE14" s="23">
        <f>'QTR Raw'!AY12</f>
        <v>0.72</v>
      </c>
      <c r="CF14" s="23">
        <f>'QTR Raw'!AZ12</f>
        <v>1.89</v>
      </c>
      <c r="CG14" s="23">
        <f>'QTR Raw'!BA12</f>
        <v>1.1100000000000001</v>
      </c>
      <c r="CH14" s="23">
        <f>'QTR Raw'!BB12</f>
        <v>0.05</v>
      </c>
      <c r="CI14" s="23">
        <f>'QTR Raw'!BC12</f>
        <v>0.68</v>
      </c>
      <c r="CJ14" s="23">
        <f>'QTR Raw'!BD12</f>
        <v>2.97</v>
      </c>
      <c r="CK14" s="23">
        <f>'QTR Raw'!BE12</f>
        <v>5.0599999999999996</v>
      </c>
      <c r="CL14" s="23">
        <f>'QTR Raw'!BF12</f>
        <v>6.57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15.280000000000001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736.36</v>
      </c>
      <c r="Z15" s="23">
        <f>'Annual Raw'!AA12</f>
        <v>777.25</v>
      </c>
      <c r="AA15" s="23">
        <f>'Annual Raw'!AB12</f>
        <v>897.84</v>
      </c>
      <c r="AB15" s="24">
        <f>+SUM(CM15:CP15)</f>
        <v>1063.8265210923901</v>
      </c>
      <c r="AC15" s="24">
        <f>+SUM(CQ15:CT15)</f>
        <v>1270.9747398115346</v>
      </c>
      <c r="AD15" s="24">
        <f>+SUM(CU15:CX15)</f>
        <v>1519.1082434947552</v>
      </c>
      <c r="AE15" s="24">
        <f>+SUM(CY15:DB15)</f>
        <v>1815.860542069825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170.35</v>
      </c>
      <c r="CB15" s="23">
        <f>'QTR Raw'!AV11</f>
        <v>179.53</v>
      </c>
      <c r="CC15" s="23">
        <f>'QTR Raw'!AW11</f>
        <v>181.06</v>
      </c>
      <c r="CD15" s="23">
        <f>'QTR Raw'!AX11</f>
        <v>200.73</v>
      </c>
      <c r="CE15" s="23">
        <f>'QTR Raw'!AY11</f>
        <v>199.53</v>
      </c>
      <c r="CF15" s="23">
        <f>'QTR Raw'!AZ11</f>
        <v>209.06</v>
      </c>
      <c r="CG15" s="23">
        <f>'QTR Raw'!BA11</f>
        <v>186.36</v>
      </c>
      <c r="CH15" s="23">
        <f>'QTR Raw'!BB11</f>
        <v>178.53</v>
      </c>
      <c r="CI15" s="23">
        <f>'QTR Raw'!BC11</f>
        <v>188.46</v>
      </c>
      <c r="CJ15" s="23">
        <f>'QTR Raw'!BD11</f>
        <v>233.82</v>
      </c>
      <c r="CK15" s="23">
        <f>'QTR Raw'!BE11</f>
        <v>230.93</v>
      </c>
      <c r="CL15" s="23">
        <f>'QTR Raw'!BF11</f>
        <v>229.35</v>
      </c>
      <c r="CM15" s="24">
        <f t="shared" ref="CM15:DB15" si="92">+CM10-CM16</f>
        <v>205.24606189781758</v>
      </c>
      <c r="CN15" s="24">
        <f t="shared" si="92"/>
        <v>274.07526916884729</v>
      </c>
      <c r="CO15" s="24">
        <f t="shared" si="92"/>
        <v>287.54616587771534</v>
      </c>
      <c r="CP15" s="24">
        <f t="shared" si="92"/>
        <v>296.95902414800992</v>
      </c>
      <c r="CQ15" s="24">
        <f t="shared" si="92"/>
        <v>244.79878397404008</v>
      </c>
      <c r="CR15" s="24">
        <f t="shared" si="92"/>
        <v>326.94113713621778</v>
      </c>
      <c r="CS15" s="24">
        <f t="shared" si="92"/>
        <v>343.56747439921844</v>
      </c>
      <c r="CT15" s="24">
        <f t="shared" si="92"/>
        <v>355.66734430205827</v>
      </c>
      <c r="CU15" s="24">
        <f t="shared" si="92"/>
        <v>292.4190473937262</v>
      </c>
      <c r="CV15" s="24">
        <f t="shared" si="92"/>
        <v>390.68855961986515</v>
      </c>
      <c r="CW15" s="24">
        <f t="shared" si="92"/>
        <v>410.73716251806741</v>
      </c>
      <c r="CX15" s="24">
        <f t="shared" si="92"/>
        <v>425.26347396309649</v>
      </c>
      <c r="CY15" s="24">
        <f t="shared" si="92"/>
        <v>349.49147533742791</v>
      </c>
      <c r="CZ15" s="24">
        <f t="shared" si="92"/>
        <v>467.00355175067676</v>
      </c>
      <c r="DA15" s="24">
        <f t="shared" si="92"/>
        <v>491.00465566090537</v>
      </c>
      <c r="DB15" s="24">
        <f t="shared" si="92"/>
        <v>508.36085932081494</v>
      </c>
      <c r="DE15" s="123"/>
      <c r="DF15" s="23">
        <v>882.56000000000006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0</v>
      </c>
      <c r="R16" s="31">
        <f t="shared" si="93"/>
        <v>0</v>
      </c>
      <c r="S16" s="31">
        <f t="shared" si="93"/>
        <v>0</v>
      </c>
      <c r="T16" s="31">
        <f t="shared" si="93"/>
        <v>0</v>
      </c>
      <c r="U16" s="31">
        <f t="shared" ref="U16:Z16" si="94">U10-U13-U15-U14</f>
        <v>0</v>
      </c>
      <c r="V16" s="31">
        <f t="shared" si="94"/>
        <v>0</v>
      </c>
      <c r="W16" s="31">
        <f t="shared" si="94"/>
        <v>0</v>
      </c>
      <c r="X16" s="31">
        <f t="shared" si="94"/>
        <v>0</v>
      </c>
      <c r="Y16" s="31">
        <f t="shared" si="94"/>
        <v>324.45000000000016</v>
      </c>
      <c r="Z16" s="31">
        <f t="shared" si="94"/>
        <v>376.3900000000001</v>
      </c>
      <c r="AA16" s="31">
        <f t="shared" ref="AA16" si="95">AA10-AA13-AA15-AA14</f>
        <v>426.94999999999993</v>
      </c>
      <c r="AB16" s="32">
        <f t="shared" ref="AB16:AD16" si="96">AB10-AB13-AB15-AB14</f>
        <v>501.91644366610672</v>
      </c>
      <c r="AC16" s="32">
        <f t="shared" si="96"/>
        <v>598.92544146510272</v>
      </c>
      <c r="AD16" s="32">
        <f t="shared" si="96"/>
        <v>715.86886335749523</v>
      </c>
      <c r="AE16" s="32">
        <f t="shared" ref="AE16" si="97">AE10-AE13-AE15-AE14</f>
        <v>855.74593742468096</v>
      </c>
      <c r="AI16" s="31">
        <f t="shared" ref="AI16" si="98">AI10-AI13-AI15-AI14</f>
        <v>0</v>
      </c>
      <c r="AJ16" s="31">
        <f t="shared" ref="AJ16" si="99">AJ10-AJ13-AJ15-AJ14</f>
        <v>0</v>
      </c>
      <c r="AK16" s="31">
        <f t="shared" ref="AK16:AM16" si="100">AK10-AK13-AK15-AK14</f>
        <v>0</v>
      </c>
      <c r="AL16" s="31">
        <f t="shared" si="100"/>
        <v>0</v>
      </c>
      <c r="AM16" s="31">
        <f t="shared" si="100"/>
        <v>0</v>
      </c>
      <c r="AN16" s="31">
        <f t="shared" ref="AN16:AO16" si="101">AN10-AN13-AN15-AN14</f>
        <v>0</v>
      </c>
      <c r="AO16" s="31">
        <f t="shared" si="101"/>
        <v>0</v>
      </c>
      <c r="AP16" s="31">
        <f t="shared" ref="AP16:CD16" si="102">AP10-AP13-AP15-AP14</f>
        <v>0</v>
      </c>
      <c r="AQ16" s="31">
        <f t="shared" si="102"/>
        <v>0</v>
      </c>
      <c r="AR16" s="31">
        <f t="shared" si="102"/>
        <v>0</v>
      </c>
      <c r="AS16" s="31">
        <f t="shared" si="102"/>
        <v>0</v>
      </c>
      <c r="AT16" s="31">
        <f t="shared" si="102"/>
        <v>0</v>
      </c>
      <c r="AU16" s="31">
        <f t="shared" si="102"/>
        <v>0</v>
      </c>
      <c r="AV16" s="31">
        <f t="shared" si="102"/>
        <v>0</v>
      </c>
      <c r="AW16" s="31">
        <f t="shared" si="102"/>
        <v>0</v>
      </c>
      <c r="AX16" s="31">
        <f t="shared" si="102"/>
        <v>0</v>
      </c>
      <c r="AY16" s="31">
        <f t="shared" si="102"/>
        <v>0</v>
      </c>
      <c r="AZ16" s="31">
        <f t="shared" si="102"/>
        <v>0</v>
      </c>
      <c r="BA16" s="31">
        <f t="shared" si="102"/>
        <v>0</v>
      </c>
      <c r="BB16" s="31">
        <f t="shared" si="102"/>
        <v>0</v>
      </c>
      <c r="BC16" s="31">
        <f t="shared" si="102"/>
        <v>0</v>
      </c>
      <c r="BD16" s="31">
        <f t="shared" si="102"/>
        <v>0</v>
      </c>
      <c r="BE16" s="31">
        <f t="shared" si="102"/>
        <v>0</v>
      </c>
      <c r="BF16" s="31">
        <f t="shared" si="102"/>
        <v>0</v>
      </c>
      <c r="BG16" s="31">
        <f t="shared" si="102"/>
        <v>0</v>
      </c>
      <c r="BH16" s="31">
        <f t="shared" si="102"/>
        <v>0</v>
      </c>
      <c r="BI16" s="31">
        <f t="shared" si="102"/>
        <v>0</v>
      </c>
      <c r="BJ16" s="31">
        <f t="shared" si="102"/>
        <v>0</v>
      </c>
      <c r="BK16" s="31">
        <f t="shared" si="102"/>
        <v>0</v>
      </c>
      <c r="BL16" s="31">
        <f t="shared" si="102"/>
        <v>0</v>
      </c>
      <c r="BM16" s="31">
        <f t="shared" si="102"/>
        <v>0</v>
      </c>
      <c r="BN16" s="31">
        <f t="shared" si="102"/>
        <v>0</v>
      </c>
      <c r="BO16" s="31">
        <f t="shared" si="102"/>
        <v>0</v>
      </c>
      <c r="BP16" s="31">
        <f t="shared" si="102"/>
        <v>0</v>
      </c>
      <c r="BQ16" s="31">
        <f t="shared" si="102"/>
        <v>0</v>
      </c>
      <c r="BR16" s="31">
        <f t="shared" si="102"/>
        <v>0</v>
      </c>
      <c r="BS16" s="31">
        <f t="shared" si="102"/>
        <v>0</v>
      </c>
      <c r="BT16" s="31">
        <f t="shared" si="102"/>
        <v>0</v>
      </c>
      <c r="BU16" s="31">
        <f t="shared" si="102"/>
        <v>0</v>
      </c>
      <c r="BV16" s="31">
        <f t="shared" si="102"/>
        <v>0</v>
      </c>
      <c r="BW16" s="31">
        <f t="shared" si="102"/>
        <v>0</v>
      </c>
      <c r="BX16" s="31">
        <f t="shared" si="102"/>
        <v>0</v>
      </c>
      <c r="BY16" s="31">
        <f t="shared" si="102"/>
        <v>0</v>
      </c>
      <c r="BZ16" s="31">
        <f t="shared" si="102"/>
        <v>0</v>
      </c>
      <c r="CA16" s="31">
        <f t="shared" si="102"/>
        <v>75.539999999999978</v>
      </c>
      <c r="CB16" s="31">
        <f t="shared" si="102"/>
        <v>77.88</v>
      </c>
      <c r="CC16" s="31">
        <f t="shared" si="102"/>
        <v>78.52</v>
      </c>
      <c r="CD16" s="31">
        <f t="shared" si="102"/>
        <v>92.509999999999991</v>
      </c>
      <c r="CE16" s="31">
        <f t="shared" ref="CE16:CF16" si="103">CE10-CE13-CE15-CE14</f>
        <v>94.490000000000009</v>
      </c>
      <c r="CF16" s="31">
        <f t="shared" si="103"/>
        <v>93.259999999999977</v>
      </c>
      <c r="CG16" s="31">
        <f t="shared" ref="CG16:CH16" si="104">CG10-CG13-CG15-CG14</f>
        <v>91.159999999999982</v>
      </c>
      <c r="CH16" s="31">
        <f t="shared" si="104"/>
        <v>97.48</v>
      </c>
      <c r="CI16" s="31">
        <f t="shared" ref="CI16:CJ16" si="105">CI10-CI13-CI15-CI14</f>
        <v>95.619999999999976</v>
      </c>
      <c r="CJ16" s="31">
        <f t="shared" si="105"/>
        <v>106.78</v>
      </c>
      <c r="CK16" s="31">
        <f t="shared" ref="CK16:CL16" si="106">CK10-CK13-CK15-CK14</f>
        <v>106.19</v>
      </c>
      <c r="CL16" s="31">
        <f t="shared" si="106"/>
        <v>118.35999999999999</v>
      </c>
      <c r="CM16" s="32">
        <f t="shared" ref="CM16:DB16" si="107">+CM17*CM10</f>
        <v>99.116475665265114</v>
      </c>
      <c r="CN16" s="32">
        <f t="shared" si="107"/>
        <v>127.66786150667905</v>
      </c>
      <c r="CO16" s="32">
        <f t="shared" si="107"/>
        <v>134.23723032523324</v>
      </c>
      <c r="CP16" s="32">
        <f t="shared" si="107"/>
        <v>140.8948761689293</v>
      </c>
      <c r="CQ16" s="32">
        <f t="shared" si="107"/>
        <v>115.66109134752924</v>
      </c>
      <c r="CR16" s="32">
        <f t="shared" si="107"/>
        <v>153.62530857186917</v>
      </c>
      <c r="CS16" s="32">
        <f t="shared" si="107"/>
        <v>161.78891057078309</v>
      </c>
      <c r="CT16" s="32">
        <f t="shared" si="107"/>
        <v>167.85013097492143</v>
      </c>
      <c r="CU16" s="32">
        <f t="shared" si="107"/>
        <v>137.81687893603748</v>
      </c>
      <c r="CV16" s="32">
        <f t="shared" si="107"/>
        <v>184.01658899529502</v>
      </c>
      <c r="CW16" s="32">
        <f t="shared" si="107"/>
        <v>193.5746190011173</v>
      </c>
      <c r="CX16" s="32">
        <f t="shared" si="107"/>
        <v>200.46077642504537</v>
      </c>
      <c r="CY16" s="32">
        <f t="shared" si="107"/>
        <v>164.69533114062276</v>
      </c>
      <c r="CZ16" s="32">
        <f t="shared" si="107"/>
        <v>220.06545342137593</v>
      </c>
      <c r="DA16" s="32">
        <f t="shared" si="107"/>
        <v>231.4028179611883</v>
      </c>
      <c r="DB16" s="32">
        <f t="shared" si="107"/>
        <v>239.58233490149416</v>
      </c>
      <c r="DE16" s="124"/>
      <c r="DF16" s="31">
        <v>426.94999999999993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8">C16/C10</f>
        <v>#DIV/0!</v>
      </c>
      <c r="D17" s="41" t="e">
        <f t="shared" si="108"/>
        <v>#DIV/0!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 t="e">
        <f t="shared" si="108"/>
        <v>#DIV/0!</v>
      </c>
      <c r="R17" s="41" t="e">
        <f t="shared" si="108"/>
        <v>#DIV/0!</v>
      </c>
      <c r="S17" s="41" t="e">
        <f t="shared" si="108"/>
        <v>#DIV/0!</v>
      </c>
      <c r="T17" s="41" t="e">
        <f t="shared" si="108"/>
        <v>#DIV/0!</v>
      </c>
      <c r="U17" s="41" t="e">
        <f t="shared" si="108"/>
        <v>#DIV/0!</v>
      </c>
      <c r="V17" s="41" t="e">
        <f t="shared" ref="V17:AA17" si="109">V16/V10</f>
        <v>#DIV/0!</v>
      </c>
      <c r="W17" s="41" t="e">
        <f t="shared" si="109"/>
        <v>#DIV/0!</v>
      </c>
      <c r="X17" s="41" t="e">
        <f t="shared" si="109"/>
        <v>#DIV/0!</v>
      </c>
      <c r="Y17" s="41">
        <f t="shared" si="109"/>
        <v>0.30786529647869293</v>
      </c>
      <c r="Z17" s="41">
        <f t="shared" si="109"/>
        <v>0.32414998794309147</v>
      </c>
      <c r="AA17" s="41">
        <f t="shared" si="109"/>
        <v>0.32379038374033065</v>
      </c>
      <c r="AB17" s="42">
        <f t="shared" ref="AB17:AD17" si="110">AB16/AB10</f>
        <v>0.32056119999461297</v>
      </c>
      <c r="AC17" s="42">
        <f t="shared" si="110"/>
        <v>0.32029808193087517</v>
      </c>
      <c r="AD17" s="42">
        <f t="shared" si="110"/>
        <v>0.32030254858660606</v>
      </c>
      <c r="AE17" s="42">
        <f t="shared" ref="AE17" si="111">AE16/AE10</f>
        <v>0.32031137219976963</v>
      </c>
      <c r="AI17" s="41" t="e">
        <f t="shared" ref="AI17" si="112">AI16/AI10</f>
        <v>#DIV/0!</v>
      </c>
      <c r="AJ17" s="41" t="e">
        <f t="shared" ref="AJ17" si="113">AJ16/AJ10</f>
        <v>#DIV/0!</v>
      </c>
      <c r="AK17" s="41" t="e">
        <f t="shared" ref="AK17:AM17" si="114">AK16/AK10</f>
        <v>#DIV/0!</v>
      </c>
      <c r="AL17" s="41" t="e">
        <f t="shared" si="114"/>
        <v>#DIV/0!</v>
      </c>
      <c r="AM17" s="41" t="e">
        <f t="shared" si="114"/>
        <v>#DIV/0!</v>
      </c>
      <c r="AN17" s="41" t="e">
        <f t="shared" ref="AN17:AO17" si="115">AN16/AN10</f>
        <v>#DIV/0!</v>
      </c>
      <c r="AO17" s="41" t="e">
        <f t="shared" si="115"/>
        <v>#DIV/0!</v>
      </c>
      <c r="AP17" s="41" t="e">
        <f t="shared" ref="AP17:CD17" si="116">AP16/AP10</f>
        <v>#DIV/0!</v>
      </c>
      <c r="AQ17" s="41" t="e">
        <f t="shared" si="116"/>
        <v>#DIV/0!</v>
      </c>
      <c r="AR17" s="41" t="e">
        <f t="shared" si="116"/>
        <v>#DIV/0!</v>
      </c>
      <c r="AS17" s="41" t="e">
        <f t="shared" si="116"/>
        <v>#DIV/0!</v>
      </c>
      <c r="AT17" s="41" t="e">
        <f t="shared" si="116"/>
        <v>#DIV/0!</v>
      </c>
      <c r="AU17" s="41" t="e">
        <f t="shared" si="116"/>
        <v>#DIV/0!</v>
      </c>
      <c r="AV17" s="41" t="e">
        <f t="shared" si="116"/>
        <v>#DIV/0!</v>
      </c>
      <c r="AW17" s="41" t="e">
        <f t="shared" si="116"/>
        <v>#DIV/0!</v>
      </c>
      <c r="AX17" s="41" t="e">
        <f t="shared" si="116"/>
        <v>#DIV/0!</v>
      </c>
      <c r="AY17" s="41" t="e">
        <f t="shared" si="116"/>
        <v>#DIV/0!</v>
      </c>
      <c r="AZ17" s="41" t="e">
        <f t="shared" si="116"/>
        <v>#DIV/0!</v>
      </c>
      <c r="BA17" s="41" t="e">
        <f t="shared" si="116"/>
        <v>#DIV/0!</v>
      </c>
      <c r="BB17" s="41" t="e">
        <f t="shared" si="116"/>
        <v>#DIV/0!</v>
      </c>
      <c r="BC17" s="41" t="e">
        <f t="shared" si="116"/>
        <v>#DIV/0!</v>
      </c>
      <c r="BD17" s="41" t="e">
        <f t="shared" si="116"/>
        <v>#DIV/0!</v>
      </c>
      <c r="BE17" s="41" t="e">
        <f t="shared" si="116"/>
        <v>#DIV/0!</v>
      </c>
      <c r="BF17" s="41" t="e">
        <f t="shared" si="116"/>
        <v>#DIV/0!</v>
      </c>
      <c r="BG17" s="41" t="e">
        <f t="shared" si="116"/>
        <v>#DIV/0!</v>
      </c>
      <c r="BH17" s="41" t="e">
        <f t="shared" si="116"/>
        <v>#DIV/0!</v>
      </c>
      <c r="BI17" s="41" t="e">
        <f t="shared" si="116"/>
        <v>#DIV/0!</v>
      </c>
      <c r="BJ17" s="41" t="e">
        <f t="shared" si="116"/>
        <v>#DIV/0!</v>
      </c>
      <c r="BK17" s="41" t="e">
        <f t="shared" si="116"/>
        <v>#DIV/0!</v>
      </c>
      <c r="BL17" s="41" t="e">
        <f t="shared" si="116"/>
        <v>#DIV/0!</v>
      </c>
      <c r="BM17" s="41" t="e">
        <f t="shared" si="116"/>
        <v>#DIV/0!</v>
      </c>
      <c r="BN17" s="41" t="e">
        <f t="shared" si="116"/>
        <v>#DIV/0!</v>
      </c>
      <c r="BO17" s="41" t="e">
        <f t="shared" si="116"/>
        <v>#DIV/0!</v>
      </c>
      <c r="BP17" s="41" t="e">
        <f t="shared" si="116"/>
        <v>#DIV/0!</v>
      </c>
      <c r="BQ17" s="41" t="e">
        <f t="shared" si="116"/>
        <v>#DIV/0!</v>
      </c>
      <c r="BR17" s="41" t="e">
        <f t="shared" si="116"/>
        <v>#DIV/0!</v>
      </c>
      <c r="BS17" s="41" t="e">
        <f t="shared" si="116"/>
        <v>#DIV/0!</v>
      </c>
      <c r="BT17" s="41" t="e">
        <f t="shared" si="116"/>
        <v>#DIV/0!</v>
      </c>
      <c r="BU17" s="41" t="e">
        <f t="shared" si="116"/>
        <v>#DIV/0!</v>
      </c>
      <c r="BV17" s="41" t="e">
        <f t="shared" si="116"/>
        <v>#DIV/0!</v>
      </c>
      <c r="BW17" s="41" t="e">
        <f t="shared" si="116"/>
        <v>#DIV/0!</v>
      </c>
      <c r="BX17" s="41" t="e">
        <f t="shared" si="116"/>
        <v>#DIV/0!</v>
      </c>
      <c r="BY17" s="41" t="e">
        <f t="shared" si="116"/>
        <v>#DIV/0!</v>
      </c>
      <c r="BZ17" s="41" t="e">
        <f t="shared" si="116"/>
        <v>#DIV/0!</v>
      </c>
      <c r="CA17" s="41">
        <f t="shared" si="116"/>
        <v>0.28691886964448493</v>
      </c>
      <c r="CB17" s="41">
        <f t="shared" si="116"/>
        <v>0.29950390339576205</v>
      </c>
      <c r="CC17" s="41">
        <f t="shared" si="116"/>
        <v>0.32126345075897056</v>
      </c>
      <c r="CD17" s="41">
        <f t="shared" si="116"/>
        <v>0.32329197973091034</v>
      </c>
      <c r="CE17" s="41">
        <f t="shared" ref="CE17:CF17" si="117">CE16/CE10</f>
        <v>0.32817004132948985</v>
      </c>
      <c r="CF17" s="41">
        <f t="shared" si="117"/>
        <v>0.30615192699100513</v>
      </c>
      <c r="CG17" s="41">
        <f t="shared" ref="CG17:CH17" si="118">CG16/CG10</f>
        <v>0.31985964912280695</v>
      </c>
      <c r="CH17" s="41">
        <f t="shared" si="118"/>
        <v>0.34371143471668841</v>
      </c>
      <c r="CI17" s="41">
        <f t="shared" ref="CI17:CJ17" si="119">CI16/CI10</f>
        <v>0.35712418300653587</v>
      </c>
      <c r="CJ17" s="41">
        <f t="shared" si="119"/>
        <v>0.3158797775411194</v>
      </c>
      <c r="CK17" s="41">
        <f t="shared" ref="CK17:CL17" si="120">CK16/CK10</f>
        <v>0.30416475710357471</v>
      </c>
      <c r="CL17" s="41">
        <f t="shared" si="120"/>
        <v>0.32544199730539741</v>
      </c>
      <c r="CM17" s="42">
        <f t="shared" ref="CM17:DB17" si="121">AVERAGE(CI17:CL17)</f>
        <v>0.32565267873915682</v>
      </c>
      <c r="CN17" s="42">
        <f t="shared" si="121"/>
        <v>0.31778480267231213</v>
      </c>
      <c r="CO17" s="42">
        <f t="shared" si="121"/>
        <v>0.31826105895511025</v>
      </c>
      <c r="CP17" s="42">
        <f t="shared" si="121"/>
        <v>0.32178513441799417</v>
      </c>
      <c r="CQ17" s="42">
        <f t="shared" si="121"/>
        <v>0.32087091869614337</v>
      </c>
      <c r="CR17" s="42">
        <f t="shared" si="121"/>
        <v>0.31967547868538998</v>
      </c>
      <c r="CS17" s="42">
        <f t="shared" si="121"/>
        <v>0.32014814768865946</v>
      </c>
      <c r="CT17" s="42">
        <f t="shared" si="121"/>
        <v>0.32061991987204674</v>
      </c>
      <c r="CU17" s="42">
        <f t="shared" si="121"/>
        <v>0.32032861623555986</v>
      </c>
      <c r="CV17" s="42">
        <f t="shared" si="121"/>
        <v>0.32019304062041398</v>
      </c>
      <c r="CW17" s="42">
        <f t="shared" si="121"/>
        <v>0.32032243110417002</v>
      </c>
      <c r="CX17" s="42">
        <f t="shared" si="121"/>
        <v>0.32036600195804765</v>
      </c>
      <c r="CY17" s="42">
        <f t="shared" si="121"/>
        <v>0.32030252247954788</v>
      </c>
      <c r="CZ17" s="42">
        <f t="shared" si="121"/>
        <v>0.3202959990405449</v>
      </c>
      <c r="DA17" s="42">
        <f t="shared" si="121"/>
        <v>0.32032173864557761</v>
      </c>
      <c r="DB17" s="42">
        <f t="shared" si="121"/>
        <v>0.32032156553092955</v>
      </c>
      <c r="DE17" s="125"/>
      <c r="DF17" s="41">
        <v>0.32379038374033065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 t="e">
        <f t="shared" si="122"/>
        <v>#DIV/0!</v>
      </c>
      <c r="E18" s="39" t="e">
        <f t="shared" si="122"/>
        <v>#DIV/0!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 t="e">
        <f t="shared" si="122"/>
        <v>#DIV/0!</v>
      </c>
      <c r="J18" s="39" t="e">
        <f t="shared" si="122"/>
        <v>#DIV/0!</v>
      </c>
      <c r="K18" s="39" t="e">
        <f t="shared" si="122"/>
        <v>#DIV/0!</v>
      </c>
      <c r="L18" s="39" t="e">
        <f t="shared" si="122"/>
        <v>#DIV/0!</v>
      </c>
      <c r="M18" s="39" t="e">
        <f t="shared" si="122"/>
        <v>#DIV/0!</v>
      </c>
      <c r="N18" s="39" t="e">
        <f t="shared" si="122"/>
        <v>#DIV/0!</v>
      </c>
      <c r="O18" s="39" t="e">
        <f t="shared" si="122"/>
        <v>#DIV/0!</v>
      </c>
      <c r="P18" s="39" t="e">
        <f t="shared" si="122"/>
        <v>#DIV/0!</v>
      </c>
      <c r="Q18" s="39" t="e">
        <f t="shared" si="122"/>
        <v>#DIV/0!</v>
      </c>
      <c r="R18" s="39" t="e">
        <f t="shared" si="122"/>
        <v>#DIV/0!</v>
      </c>
      <c r="S18" s="39" t="e">
        <f t="shared" si="122"/>
        <v>#DIV/0!</v>
      </c>
      <c r="T18" s="39" t="e">
        <f t="shared" si="122"/>
        <v>#DIV/0!</v>
      </c>
      <c r="U18" s="39" t="e">
        <f t="shared" si="122"/>
        <v>#DIV/0!</v>
      </c>
      <c r="V18" s="39" t="e">
        <f t="shared" si="122"/>
        <v>#DIV/0!</v>
      </c>
      <c r="W18" s="39" t="e">
        <f t="shared" si="122"/>
        <v>#DIV/0!</v>
      </c>
      <c r="X18" s="39" t="e">
        <f t="shared" si="122"/>
        <v>#DIV/0!</v>
      </c>
      <c r="Y18" s="39" t="e">
        <f t="shared" si="122"/>
        <v>#DIV/0!</v>
      </c>
      <c r="Z18" s="39">
        <f t="shared" si="122"/>
        <v>0.16008629989212486</v>
      </c>
      <c r="AA18" s="39">
        <f t="shared" si="122"/>
        <v>0.13432875474906303</v>
      </c>
      <c r="AB18" s="40">
        <f t="shared" si="122"/>
        <v>0.17558600226281018</v>
      </c>
      <c r="AC18" s="40">
        <f t="shared" si="122"/>
        <v>0.19327718592047161</v>
      </c>
      <c r="AD18" s="40">
        <f t="shared" si="122"/>
        <v>0.19525539206737208</v>
      </c>
      <c r="AE18" s="40">
        <f t="shared" si="122"/>
        <v>0.19539482889526516</v>
      </c>
      <c r="AM18" s="39" t="e">
        <f>+IF(AI16&lt;0,1-AM16/AI16,AM16/AI16-1)</f>
        <v>#DIV/0!</v>
      </c>
      <c r="AN18" s="39" t="e">
        <f t="shared" ref="AN18" si="123">+IF(AJ16&lt;0,1-AN16/AJ16,AN16/AJ16-1)</f>
        <v>#DIV/0!</v>
      </c>
      <c r="AO18" s="39" t="e">
        <f t="shared" ref="AO18" si="124">+IF(AK16&lt;0,1-AO16/AK16,AO16/AK16-1)</f>
        <v>#DIV/0!</v>
      </c>
      <c r="AP18" s="39" t="e">
        <f t="shared" ref="AP18" si="125">+IF(AL16&lt;0,1-AP16/AL16,AP16/AL16-1)</f>
        <v>#DIV/0!</v>
      </c>
      <c r="AQ18" s="39" t="e">
        <f t="shared" ref="AQ18" si="126">+IF(AM16&lt;0,1-AQ16/AM16,AQ16/AM16-1)</f>
        <v>#DIV/0!</v>
      </c>
      <c r="AR18" s="39" t="e">
        <f t="shared" ref="AR18" si="127">+IF(AN16&lt;0,1-AR16/AN16,AR16/AN16-1)</f>
        <v>#DIV/0!</v>
      </c>
      <c r="AS18" s="39" t="e">
        <f t="shared" ref="AS18" si="128">+IF(AO16&lt;0,1-AS16/AO16,AS16/AO16-1)</f>
        <v>#DIV/0!</v>
      </c>
      <c r="AT18" s="39" t="e">
        <f t="shared" ref="AT18" si="129">+IF(AP16&lt;0,1-AT16/AP16,AT16/AP16-1)</f>
        <v>#DIV/0!</v>
      </c>
      <c r="AU18" s="39" t="e">
        <f t="shared" ref="AU18" si="130">+IF(AQ16&lt;0,1-AU16/AQ16,AU16/AQ16-1)</f>
        <v>#DIV/0!</v>
      </c>
      <c r="AV18" s="39" t="e">
        <f t="shared" ref="AV18" si="131">+IF(AR16&lt;0,1-AV16/AR16,AV16/AR16-1)</f>
        <v>#DIV/0!</v>
      </c>
      <c r="AW18" s="39" t="e">
        <f t="shared" ref="AW18" si="132">+IF(AS16&lt;0,1-AW16/AS16,AW16/AS16-1)</f>
        <v>#DIV/0!</v>
      </c>
      <c r="AX18" s="39" t="e">
        <f t="shared" ref="AX18" si="133">+IF(AT16&lt;0,1-AX16/AT16,AX16/AT16-1)</f>
        <v>#DIV/0!</v>
      </c>
      <c r="AY18" s="39" t="e">
        <f t="shared" ref="AY18" si="134">+IF(AU16&lt;0,1-AY16/AU16,AY16/AU16-1)</f>
        <v>#DIV/0!</v>
      </c>
      <c r="AZ18" s="39" t="e">
        <f t="shared" ref="AZ18" si="135">+IF(AV16&lt;0,1-AZ16/AV16,AZ16/AV16-1)</f>
        <v>#DIV/0!</v>
      </c>
      <c r="BA18" s="39" t="e">
        <f t="shared" ref="BA18" si="136">+IF(AW16&lt;0,1-BA16/AW16,BA16/AW16-1)</f>
        <v>#DIV/0!</v>
      </c>
      <c r="BB18" s="39" t="e">
        <f t="shared" ref="BB18" si="137">+IF(AX16&lt;0,1-BB16/AX16,BB16/AX16-1)</f>
        <v>#DIV/0!</v>
      </c>
      <c r="BC18" s="39" t="e">
        <f t="shared" ref="BC18" si="138">+IF(AY16&lt;0,1-BC16/AY16,BC16/AY16-1)</f>
        <v>#DIV/0!</v>
      </c>
      <c r="BD18" s="39" t="e">
        <f t="shared" ref="BD18" si="139">+IF(AZ16&lt;0,1-BD16/AZ16,BD16/AZ16-1)</f>
        <v>#DIV/0!</v>
      </c>
      <c r="BE18" s="39" t="e">
        <f t="shared" ref="BE18" si="140">+IF(BA16&lt;0,1-BE16/BA16,BE16/BA16-1)</f>
        <v>#DIV/0!</v>
      </c>
      <c r="BF18" s="39" t="e">
        <f t="shared" ref="BF18" si="141">+IF(BB16&lt;0,1-BF16/BB16,BF16/BB16-1)</f>
        <v>#DIV/0!</v>
      </c>
      <c r="BG18" s="39" t="e">
        <f t="shared" ref="BG18" si="142">+IF(BC16&lt;0,1-BG16/BC16,BG16/BC16-1)</f>
        <v>#DIV/0!</v>
      </c>
      <c r="BH18" s="39" t="e">
        <f t="shared" ref="BH18" si="143">+IF(BD16&lt;0,1-BH16/BD16,BH16/BD16-1)</f>
        <v>#DIV/0!</v>
      </c>
      <c r="BI18" s="39" t="e">
        <f t="shared" ref="BI18" si="144">+IF(BE16&lt;0,1-BI16/BE16,BI16/BE16-1)</f>
        <v>#DIV/0!</v>
      </c>
      <c r="BJ18" s="39" t="e">
        <f t="shared" ref="BJ18" si="145">+IF(BF16&lt;0,1-BJ16/BF16,BJ16/BF16-1)</f>
        <v>#DIV/0!</v>
      </c>
      <c r="BK18" s="39" t="e">
        <f t="shared" ref="BK18" si="146">+IF(BG16&lt;0,1-BK16/BG16,BK16/BG16-1)</f>
        <v>#DIV/0!</v>
      </c>
      <c r="BL18" s="39" t="e">
        <f t="shared" ref="BL18" si="147">+IF(BH16&lt;0,1-BL16/BH16,BL16/BH16-1)</f>
        <v>#DIV/0!</v>
      </c>
      <c r="BM18" s="39" t="e">
        <f t="shared" ref="BM18" si="148">+IF(BI16&lt;0,1-BM16/BI16,BM16/BI16-1)</f>
        <v>#DIV/0!</v>
      </c>
      <c r="BN18" s="39" t="e">
        <f t="shared" ref="BN18" si="149">+IF(BJ16&lt;0,1-BN16/BJ16,BN16/BJ16-1)</f>
        <v>#DIV/0!</v>
      </c>
      <c r="BO18" s="39" t="e">
        <f t="shared" ref="BO18" si="150">+IF(BK16&lt;0,1-BO16/BK16,BO16/BK16-1)</f>
        <v>#DIV/0!</v>
      </c>
      <c r="BP18" s="39" t="e">
        <f t="shared" ref="BP18" si="151">+IF(BL16&lt;0,1-BP16/BL16,BP16/BL16-1)</f>
        <v>#DIV/0!</v>
      </c>
      <c r="BQ18" s="39" t="e">
        <f t="shared" ref="BQ18" si="152">+IF(BM16&lt;0,1-BQ16/BM16,BQ16/BM16-1)</f>
        <v>#DIV/0!</v>
      </c>
      <c r="BR18" s="39" t="e">
        <f t="shared" ref="BR18" si="153">+IF(BN16&lt;0,1-BR16/BN16,BR16/BN16-1)</f>
        <v>#DIV/0!</v>
      </c>
      <c r="BS18" s="39" t="e">
        <f t="shared" ref="BS18" si="154">+IF(BO16&lt;0,1-BS16/BO16,BS16/BO16-1)</f>
        <v>#DIV/0!</v>
      </c>
      <c r="BT18" s="39" t="e">
        <f t="shared" ref="BT18" si="155">+IF(BP16&lt;0,1-BT16/BP16,BT16/BP16-1)</f>
        <v>#DIV/0!</v>
      </c>
      <c r="BU18" s="39" t="e">
        <f t="shared" ref="BU18" si="156">+IF(BQ16&lt;0,1-BU16/BQ16,BU16/BQ16-1)</f>
        <v>#DIV/0!</v>
      </c>
      <c r="BV18" s="39" t="e">
        <f t="shared" ref="BV18" si="157">+IF(BR16&lt;0,1-BV16/BR16,BV16/BR16-1)</f>
        <v>#DIV/0!</v>
      </c>
      <c r="BW18" s="39" t="e">
        <f t="shared" ref="BW18" si="158">+IF(BS16&lt;0,1-BW16/BS16,BW16/BS16-1)</f>
        <v>#DIV/0!</v>
      </c>
      <c r="BX18" s="39" t="e">
        <f t="shared" ref="BX18" si="159">+IF(BT16&lt;0,1-BX16/BT16,BX16/BT16-1)</f>
        <v>#DIV/0!</v>
      </c>
      <c r="BY18" s="39" t="e">
        <f t="shared" ref="BY18" si="160">+IF(BU16&lt;0,1-BY16/BU16,BY16/BU16-1)</f>
        <v>#DIV/0!</v>
      </c>
      <c r="BZ18" s="39" t="e">
        <f t="shared" ref="BZ18" si="161">+IF(BV16&lt;0,1-BZ16/BV16,BZ16/BV16-1)</f>
        <v>#DIV/0!</v>
      </c>
      <c r="CA18" s="39" t="e">
        <f t="shared" ref="CA18" si="162">+IF(BW16&lt;0,1-CA16/BW16,CA16/BW16-1)</f>
        <v>#DIV/0!</v>
      </c>
      <c r="CB18" s="39" t="e">
        <f t="shared" ref="CB18" si="163">+IF(BX16&lt;0,1-CB16/BX16,CB16/BX16-1)</f>
        <v>#DIV/0!</v>
      </c>
      <c r="CC18" s="39" t="e">
        <f t="shared" ref="CC18" si="164">+IF(BY16&lt;0,1-CC16/BY16,CC16/BY16-1)</f>
        <v>#DIV/0!</v>
      </c>
      <c r="CD18" s="39" t="e">
        <f t="shared" ref="CD18" si="165">+IF(BZ16&lt;0,1-CD16/BZ16,CD16/BZ16-1)</f>
        <v>#DIV/0!</v>
      </c>
      <c r="CE18" s="39">
        <f t="shared" ref="CE18" si="166">+IF(CA16&lt;0,1-CE16/CA16,CE16/CA16-1)</f>
        <v>0.25086047127349786</v>
      </c>
      <c r="CF18" s="39">
        <f t="shared" ref="CF18" si="167">+IF(CB16&lt;0,1-CF16/CB16,CF16/CB16-1)</f>
        <v>0.19748330765279887</v>
      </c>
      <c r="CG18" s="39">
        <f t="shared" ref="CG18" si="168">+IF(CC16&lt;0,1-CG16/CC16,CG16/CC16-1)</f>
        <v>0.16097809475292912</v>
      </c>
      <c r="CH18" s="39">
        <f t="shared" ref="CH18:CL18" si="169">+IF(CD16&lt;0,1-CH16/CD16,CH16/CD16-1)</f>
        <v>5.3723921738190628E-2</v>
      </c>
      <c r="CI18" s="39">
        <f t="shared" si="169"/>
        <v>1.1958937453698359E-2</v>
      </c>
      <c r="CJ18" s="39">
        <f t="shared" si="169"/>
        <v>0.14497104868110688</v>
      </c>
      <c r="CK18" s="39">
        <f t="shared" si="169"/>
        <v>0.16487494515138246</v>
      </c>
      <c r="CL18" s="39">
        <f t="shared" si="169"/>
        <v>0.21419778416085333</v>
      </c>
      <c r="CM18" s="40">
        <f t="shared" ref="CM18" si="170">+CM16/CI16-1</f>
        <v>3.6566363368177646E-2</v>
      </c>
      <c r="CN18" s="40">
        <f t="shared" ref="CN18" si="171">+CN16/CJ16-1</f>
        <v>0.195615859774106</v>
      </c>
      <c r="CO18" s="40">
        <f t="shared" ref="CO18" si="172">+CO16/CK16-1</f>
        <v>0.26412308433217113</v>
      </c>
      <c r="CP18" s="40">
        <f t="shared" ref="CP18" si="173">+CP16/CL16-1</f>
        <v>0.19039266786861542</v>
      </c>
      <c r="CQ18" s="40">
        <f t="shared" ref="CQ18" si="174">+CQ16/CM16-1</f>
        <v>0.16692094398249568</v>
      </c>
      <c r="CR18" s="40">
        <f t="shared" ref="CR18" si="175">+CR16/CN16-1</f>
        <v>0.2033201367897286</v>
      </c>
      <c r="CS18" s="40">
        <f t="shared" ref="CS18" si="176">+CS16/CO16-1</f>
        <v>0.20524619123023435</v>
      </c>
      <c r="CT18" s="40">
        <f t="shared" ref="CT18" si="177">+CT16/CP16-1</f>
        <v>0.19131465628085342</v>
      </c>
      <c r="CU18" s="40">
        <f t="shared" ref="CU18" si="178">+CU16/CQ16-1</f>
        <v>0.19155782926114973</v>
      </c>
      <c r="CV18" s="40">
        <f t="shared" ref="CV18" si="179">+CV16/CR16-1</f>
        <v>0.19782730271430626</v>
      </c>
      <c r="CW18" s="40">
        <f t="shared" ref="CW18" si="180">+CW16/CS16-1</f>
        <v>0.19646407357708173</v>
      </c>
      <c r="CX18" s="40">
        <f t="shared" ref="CX18" si="181">+CX16/CT16-1</f>
        <v>0.19428430148199483</v>
      </c>
      <c r="CY18" s="40">
        <f t="shared" ref="CY18" si="182">+CY16/CU16-1</f>
        <v>0.19503019087422446</v>
      </c>
      <c r="CZ18" s="40">
        <f t="shared" ref="CZ18" si="183">+CZ16/CV16-1</f>
        <v>0.19590007956838407</v>
      </c>
      <c r="DA18" s="40">
        <f t="shared" ref="DA18" si="184">+DA16/CW16-1</f>
        <v>0.19541920916735811</v>
      </c>
      <c r="DB18" s="40">
        <f t="shared" ref="DB18" si="185">+DB16/CX16-1</f>
        <v>0.19515817096057586</v>
      </c>
      <c r="DE18" s="122"/>
      <c r="DF18" s="39">
        <v>0.13432875474906303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6">+IF(AJ16&lt;0,1-AK16/AJ16,AK16/AJ16-1)</f>
        <v>#DIV/0!</v>
      </c>
      <c r="AL19" s="39" t="e">
        <f t="shared" ref="AL19" si="187">+IF(AK16&lt;0,1-AL16/AK16,AL16/AK16-1)</f>
        <v>#DIV/0!</v>
      </c>
      <c r="AM19" s="39" t="e">
        <f t="shared" ref="AM19" si="188">+IF(AL16&lt;0,1-AM16/AL16,AM16/AL16-1)</f>
        <v>#DIV/0!</v>
      </c>
      <c r="AN19" s="39" t="e">
        <f t="shared" ref="AN19" si="189">+IF(AM16&lt;0,1-AN16/AM16,AN16/AM16-1)</f>
        <v>#DIV/0!</v>
      </c>
      <c r="AO19" s="39" t="e">
        <f t="shared" ref="AO19" si="190">+IF(AN16&lt;0,1-AO16/AN16,AO16/AN16-1)</f>
        <v>#DIV/0!</v>
      </c>
      <c r="AP19" s="39" t="e">
        <f t="shared" ref="AP19" si="191">+IF(AO16&lt;0,1-AP16/AO16,AP16/AO16-1)</f>
        <v>#DIV/0!</v>
      </c>
      <c r="AQ19" s="39" t="e">
        <f t="shared" ref="AQ19" si="192">+IF(AP16&lt;0,1-AQ16/AP16,AQ16/AP16-1)</f>
        <v>#DIV/0!</v>
      </c>
      <c r="AR19" s="39" t="e">
        <f t="shared" ref="AR19" si="193">+IF(AQ16&lt;0,1-AR16/AQ16,AR16/AQ16-1)</f>
        <v>#DIV/0!</v>
      </c>
      <c r="AS19" s="39" t="e">
        <f t="shared" ref="AS19" si="194">+IF(AR16&lt;0,1-AS16/AR16,AS16/AR16-1)</f>
        <v>#DIV/0!</v>
      </c>
      <c r="AT19" s="39" t="e">
        <f t="shared" ref="AT19" si="195">+IF(AS16&lt;0,1-AT16/AS16,AT16/AS16-1)</f>
        <v>#DIV/0!</v>
      </c>
      <c r="AU19" s="39" t="e">
        <f t="shared" ref="AU19" si="196">+IF(AT16&lt;0,1-AU16/AT16,AU16/AT16-1)</f>
        <v>#DIV/0!</v>
      </c>
      <c r="AV19" s="39" t="e">
        <f t="shared" ref="AV19" si="197">+IF(AU16&lt;0,1-AV16/AU16,AV16/AU16-1)</f>
        <v>#DIV/0!</v>
      </c>
      <c r="AW19" s="39" t="e">
        <f t="shared" ref="AW19" si="198">+IF(AV16&lt;0,1-AW16/AV16,AW16/AV16-1)</f>
        <v>#DIV/0!</v>
      </c>
      <c r="AX19" s="39" t="e">
        <f t="shared" ref="AX19" si="199">+IF(AW16&lt;0,1-AX16/AW16,AX16/AW16-1)</f>
        <v>#DIV/0!</v>
      </c>
      <c r="AY19" s="39" t="e">
        <f t="shared" ref="AY19" si="200">+IF(AX16&lt;0,1-AY16/AX16,AY16/AX16-1)</f>
        <v>#DIV/0!</v>
      </c>
      <c r="AZ19" s="39" t="e">
        <f t="shared" ref="AZ19" si="201">+IF(AY16&lt;0,1-AZ16/AY16,AZ16/AY16-1)</f>
        <v>#DIV/0!</v>
      </c>
      <c r="BA19" s="39" t="e">
        <f t="shared" ref="BA19" si="202">+IF(AZ16&lt;0,1-BA16/AZ16,BA16/AZ16-1)</f>
        <v>#DIV/0!</v>
      </c>
      <c r="BB19" s="39" t="e">
        <f t="shared" ref="BB19" si="203">+IF(BA16&lt;0,1-BB16/BA16,BB16/BA16-1)</f>
        <v>#DIV/0!</v>
      </c>
      <c r="BC19" s="39" t="e">
        <f t="shared" ref="BC19" si="204">+IF(BB16&lt;0,1-BC16/BB16,BC16/BB16-1)</f>
        <v>#DIV/0!</v>
      </c>
      <c r="BD19" s="39" t="e">
        <f t="shared" ref="BD19" si="205">+IF(BC16&lt;0,1-BD16/BC16,BD16/BC16-1)</f>
        <v>#DIV/0!</v>
      </c>
      <c r="BE19" s="39" t="e">
        <f t="shared" ref="BE19" si="206">+IF(BD16&lt;0,1-BE16/BD16,BE16/BD16-1)</f>
        <v>#DIV/0!</v>
      </c>
      <c r="BF19" s="39" t="e">
        <f t="shared" ref="BF19" si="207">+IF(BE16&lt;0,1-BF16/BE16,BF16/BE16-1)</f>
        <v>#DIV/0!</v>
      </c>
      <c r="BG19" s="39" t="e">
        <f t="shared" ref="BG19" si="208">+IF(BF16&lt;0,1-BG16/BF16,BG16/BF16-1)</f>
        <v>#DIV/0!</v>
      </c>
      <c r="BH19" s="39" t="e">
        <f t="shared" ref="BH19" si="209">+IF(BG16&lt;0,1-BH16/BG16,BH16/BG16-1)</f>
        <v>#DIV/0!</v>
      </c>
      <c r="BI19" s="39" t="e">
        <f t="shared" ref="BI19" si="210">+IF(BH16&lt;0,1-BI16/BH16,BI16/BH16-1)</f>
        <v>#DIV/0!</v>
      </c>
      <c r="BJ19" s="39" t="e">
        <f t="shared" ref="BJ19" si="211">+IF(BI16&lt;0,1-BJ16/BI16,BJ16/BI16-1)</f>
        <v>#DIV/0!</v>
      </c>
      <c r="BK19" s="39" t="e">
        <f t="shared" ref="BK19" si="212">+IF(BJ16&lt;0,1-BK16/BJ16,BK16/BJ16-1)</f>
        <v>#DIV/0!</v>
      </c>
      <c r="BL19" s="39" t="e">
        <f t="shared" ref="BL19" si="213">+IF(BK16&lt;0,1-BL16/BK16,BL16/BK16-1)</f>
        <v>#DIV/0!</v>
      </c>
      <c r="BM19" s="39" t="e">
        <f t="shared" ref="BM19" si="214">+IF(BL16&lt;0,1-BM16/BL16,BM16/BL16-1)</f>
        <v>#DIV/0!</v>
      </c>
      <c r="BN19" s="39" t="e">
        <f t="shared" ref="BN19" si="215">+IF(BM16&lt;0,1-BN16/BM16,BN16/BM16-1)</f>
        <v>#DIV/0!</v>
      </c>
      <c r="BO19" s="39" t="e">
        <f t="shared" ref="BO19" si="216">+IF(BN16&lt;0,1-BO16/BN16,BO16/BN16-1)</f>
        <v>#DIV/0!</v>
      </c>
      <c r="BP19" s="39" t="e">
        <f t="shared" ref="BP19" si="217">+IF(BO16&lt;0,1-BP16/BO16,BP16/BO16-1)</f>
        <v>#DIV/0!</v>
      </c>
      <c r="BQ19" s="39" t="e">
        <f t="shared" ref="BQ19" si="218">+IF(BP16&lt;0,1-BQ16/BP16,BQ16/BP16-1)</f>
        <v>#DIV/0!</v>
      </c>
      <c r="BR19" s="39" t="e">
        <f t="shared" ref="BR19" si="219">+IF(BQ16&lt;0,1-BR16/BQ16,BR16/BQ16-1)</f>
        <v>#DIV/0!</v>
      </c>
      <c r="BS19" s="39" t="e">
        <f t="shared" ref="BS19" si="220">+IF(BR16&lt;0,1-BS16/BR16,BS16/BR16-1)</f>
        <v>#DIV/0!</v>
      </c>
      <c r="BT19" s="39" t="e">
        <f t="shared" ref="BT19" si="221">+IF(BS16&lt;0,1-BT16/BS16,BT16/BS16-1)</f>
        <v>#DIV/0!</v>
      </c>
      <c r="BU19" s="39" t="e">
        <f t="shared" ref="BU19" si="222">+IF(BT16&lt;0,1-BU16/BT16,BU16/BT16-1)</f>
        <v>#DIV/0!</v>
      </c>
      <c r="BV19" s="39" t="e">
        <f t="shared" ref="BV19" si="223">+IF(BU16&lt;0,1-BV16/BU16,BV16/BU16-1)</f>
        <v>#DIV/0!</v>
      </c>
      <c r="BW19" s="39" t="e">
        <f t="shared" ref="BW19" si="224">+IF(BV16&lt;0,1-BW16/BV16,BW16/BV16-1)</f>
        <v>#DIV/0!</v>
      </c>
      <c r="BX19" s="39" t="e">
        <f t="shared" ref="BX19" si="225">+IF(BW16&lt;0,1-BX16/BW16,BX16/BW16-1)</f>
        <v>#DIV/0!</v>
      </c>
      <c r="BY19" s="39" t="e">
        <f t="shared" ref="BY19" si="226">+IF(BX16&lt;0,1-BY16/BX16,BY16/BX16-1)</f>
        <v>#DIV/0!</v>
      </c>
      <c r="BZ19" s="39" t="e">
        <f t="shared" ref="BZ19" si="227">+IF(BY16&lt;0,1-BZ16/BY16,BZ16/BY16-1)</f>
        <v>#DIV/0!</v>
      </c>
      <c r="CA19" s="39" t="e">
        <f t="shared" ref="CA19" si="228">+IF(BZ16&lt;0,1-CA16/BZ16,CA16/BZ16-1)</f>
        <v>#DIV/0!</v>
      </c>
      <c r="CB19" s="39">
        <f t="shared" ref="CB19" si="229">+IF(CA16&lt;0,1-CB16/CA16,CB16/CA16-1)</f>
        <v>3.0976965845909588E-2</v>
      </c>
      <c r="CC19" s="39">
        <f t="shared" ref="CC19" si="230">+IF(CB16&lt;0,1-CC16/CB16,CC16/CB16-1)</f>
        <v>8.2177709296353818E-3</v>
      </c>
      <c r="CD19" s="39">
        <f t="shared" ref="CD19" si="231">+IF(CC16&lt;0,1-CD16/CC16,CD16/CC16-1)</f>
        <v>0.17817116658176246</v>
      </c>
      <c r="CE19" s="39">
        <f t="shared" ref="CE19" si="232">+IF(CD16&lt;0,1-CE16/CD16,CE16/CD16-1)</f>
        <v>2.1403091557669729E-2</v>
      </c>
      <c r="CF19" s="39">
        <f t="shared" ref="CF19" si="233">+IF(CE16&lt;0,1-CF16/CE16,CF16/CE16-1)</f>
        <v>-1.3017250502699085E-2</v>
      </c>
      <c r="CG19" s="39">
        <f t="shared" ref="CG19" si="234">+IF(CF16&lt;0,1-CG16/CF16,CG16/CF16-1)</f>
        <v>-2.2517692472657003E-2</v>
      </c>
      <c r="CH19" s="39">
        <f t="shared" ref="CH19:CL19" si="235">+IF(CG16&lt;0,1-CH16/CG16,CH16/CG16-1)</f>
        <v>6.9328652917946654E-2</v>
      </c>
      <c r="CI19" s="39">
        <f t="shared" si="235"/>
        <v>-1.9080837094788916E-2</v>
      </c>
      <c r="CJ19" s="39">
        <f t="shared" si="235"/>
        <v>0.11671198494038926</v>
      </c>
      <c r="CK19" s="39">
        <f t="shared" si="235"/>
        <v>-5.5253792845102456E-3</v>
      </c>
      <c r="CL19" s="39">
        <f t="shared" si="235"/>
        <v>0.11460589509369989</v>
      </c>
      <c r="CM19" s="40">
        <f t="shared" ref="CM19" si="236">+CM16/CL16-1</f>
        <v>-0.16258469360201822</v>
      </c>
      <c r="CN19" s="40">
        <f t="shared" ref="CN19" si="237">+CN16/CM16-1</f>
        <v>0.28805892915157028</v>
      </c>
      <c r="CO19" s="40">
        <f t="shared" ref="CO19" si="238">+CO16/CN16-1</f>
        <v>5.1456715425679089E-2</v>
      </c>
      <c r="CP19" s="40">
        <f t="shared" ref="CP19" si="239">+CP16/CO16-1</f>
        <v>4.9596120447105152E-2</v>
      </c>
      <c r="CQ19" s="40">
        <f t="shared" ref="CQ19" si="240">+CQ16/CP16-1</f>
        <v>-0.17909653997030672</v>
      </c>
      <c r="CR19" s="40">
        <f t="shared" ref="CR19" si="241">+CR16/CQ16-1</f>
        <v>0.32823671973030311</v>
      </c>
      <c r="CS19" s="40">
        <f t="shared" ref="CS19" si="242">+CS16/CR16-1</f>
        <v>5.3139694720904851E-2</v>
      </c>
      <c r="CT19" s="40">
        <f t="shared" ref="CT19" si="243">+CT16/CS16-1</f>
        <v>3.7463756834474449E-2</v>
      </c>
      <c r="CU19" s="40">
        <f t="shared" ref="CU19" si="244">+CU16/CT16-1</f>
        <v>-0.17892897589321055</v>
      </c>
      <c r="CV19" s="40">
        <f t="shared" ref="CV19" si="245">+CV16/CU16-1</f>
        <v>0.33522533971110602</v>
      </c>
      <c r="CW19" s="40">
        <f t="shared" ref="CW19" si="246">+CW16/CV16-1</f>
        <v>5.1941132362075537E-2</v>
      </c>
      <c r="CX19" s="40">
        <f t="shared" ref="CX19" si="247">+CX16/CW16-1</f>
        <v>3.5573658672102715E-2</v>
      </c>
      <c r="CY19" s="40">
        <f t="shared" ref="CY19" si="248">+CY16/CX16-1</f>
        <v>-0.17841617658203435</v>
      </c>
      <c r="CZ19" s="40">
        <f t="shared" ref="CZ19" si="249">+CZ16/CY16-1</f>
        <v>0.33619727952989864</v>
      </c>
      <c r="DA19" s="40">
        <f t="shared" ref="DA19" si="250">+DA16/CZ16-1</f>
        <v>5.1518147730820196E-2</v>
      </c>
      <c r="DB19" s="40">
        <f t="shared" ref="DB19" si="251">+DB16/DA16-1</f>
        <v>3.534752520463158E-2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0</v>
      </c>
      <c r="Y20" s="23">
        <f>'Annual Raw'!Z14</f>
        <v>61.9</v>
      </c>
      <c r="Z20" s="23">
        <f>'Annual Raw'!AA14</f>
        <v>74.42</v>
      </c>
      <c r="AA20" s="23">
        <f>'Annual Raw'!AB14</f>
        <v>82.03</v>
      </c>
      <c r="AB20" s="76">
        <f t="shared" ref="AB20:AB25" si="252">+SUM(CM20:CP20)</f>
        <v>87.772099999999995</v>
      </c>
      <c r="AC20" s="76">
        <f t="shared" ref="AC20:AC25" si="253">+SUM(CQ20:CT20)</f>
        <v>93.916147000000009</v>
      </c>
      <c r="AD20" s="76">
        <f t="shared" ref="AD20:AD25" si="254">+SUM(CU20:CX20)</f>
        <v>100.49027729000002</v>
      </c>
      <c r="AE20" s="76">
        <f t="shared" ref="AE20:AE25" si="255">+SUM(CY20:DB20)</f>
        <v>107.52459670030002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0</v>
      </c>
      <c r="BU20" s="23">
        <f>'QTR Raw'!AO16</f>
        <v>0</v>
      </c>
      <c r="BV20" s="23">
        <f>'QTR Raw'!AP16</f>
        <v>0</v>
      </c>
      <c r="BW20" s="23">
        <f>'QTR Raw'!AQ16</f>
        <v>0</v>
      </c>
      <c r="BX20" s="23">
        <f>'QTR Raw'!AR16</f>
        <v>0</v>
      </c>
      <c r="BY20" s="23">
        <f>'QTR Raw'!AS16</f>
        <v>0</v>
      </c>
      <c r="BZ20" s="23">
        <f>'QTR Raw'!AT16</f>
        <v>0</v>
      </c>
      <c r="CA20" s="23">
        <f>'QTR Raw'!AU16</f>
        <v>15.08</v>
      </c>
      <c r="CB20" s="23">
        <f>'QTR Raw'!AV16</f>
        <v>15.04</v>
      </c>
      <c r="CC20" s="23">
        <f>'QTR Raw'!AW16</f>
        <v>14.87</v>
      </c>
      <c r="CD20" s="23">
        <f>'QTR Raw'!AX16</f>
        <v>16.91</v>
      </c>
      <c r="CE20" s="23">
        <f>'QTR Raw'!AY16</f>
        <v>17.3</v>
      </c>
      <c r="CF20" s="23">
        <f>'QTR Raw'!AZ16</f>
        <v>19.690000000000001</v>
      </c>
      <c r="CG20" s="23">
        <f>'QTR Raw'!BA16</f>
        <v>19.27</v>
      </c>
      <c r="CH20" s="23">
        <f>'QTR Raw'!BB16</f>
        <v>18.16</v>
      </c>
      <c r="CI20" s="23">
        <f>'QTR Raw'!BC16</f>
        <v>20.14</v>
      </c>
      <c r="CJ20" s="23">
        <f>'QTR Raw'!BD16</f>
        <v>21.19</v>
      </c>
      <c r="CK20" s="23">
        <f>'QTR Raw'!BE16</f>
        <v>19.84</v>
      </c>
      <c r="CL20" s="23">
        <f>'QTR Raw'!BF16</f>
        <v>20.86</v>
      </c>
      <c r="CM20" s="24">
        <f t="shared" ref="CM20:DB20" si="256">CI20*107%</f>
        <v>21.549800000000001</v>
      </c>
      <c r="CN20" s="24">
        <f t="shared" si="256"/>
        <v>22.673300000000001</v>
      </c>
      <c r="CO20" s="24">
        <f t="shared" si="256"/>
        <v>21.2288</v>
      </c>
      <c r="CP20" s="24">
        <f t="shared" si="256"/>
        <v>22.3202</v>
      </c>
      <c r="CQ20" s="24">
        <f t="shared" si="256"/>
        <v>23.058286000000003</v>
      </c>
      <c r="CR20" s="24">
        <f t="shared" si="256"/>
        <v>24.260431000000004</v>
      </c>
      <c r="CS20" s="24">
        <f t="shared" si="256"/>
        <v>22.714816000000003</v>
      </c>
      <c r="CT20" s="24">
        <f t="shared" si="256"/>
        <v>23.882614</v>
      </c>
      <c r="CU20" s="24">
        <f t="shared" si="256"/>
        <v>24.672366020000005</v>
      </c>
      <c r="CV20" s="24">
        <f t="shared" si="256"/>
        <v>25.958661170000006</v>
      </c>
      <c r="CW20" s="24">
        <f t="shared" si="256"/>
        <v>24.304853120000004</v>
      </c>
      <c r="CX20" s="24">
        <f t="shared" si="256"/>
        <v>25.554396980000003</v>
      </c>
      <c r="CY20" s="24">
        <f t="shared" si="256"/>
        <v>26.399431641400007</v>
      </c>
      <c r="CZ20" s="24">
        <f t="shared" si="256"/>
        <v>27.775767451900009</v>
      </c>
      <c r="DA20" s="24">
        <f t="shared" si="256"/>
        <v>26.006192838400008</v>
      </c>
      <c r="DB20" s="24">
        <f t="shared" si="256"/>
        <v>27.343204768600007</v>
      </c>
      <c r="DE20" s="123"/>
      <c r="DF20" s="23">
        <v>82.03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5.8151000000000001E-3</v>
      </c>
      <c r="W21" s="23">
        <f>'Annual Raw'!X17</f>
        <v>1.1800000000000001E-3</v>
      </c>
      <c r="X21" s="23">
        <f>'Annual Raw'!Y17</f>
        <v>0</v>
      </c>
      <c r="Y21" s="23">
        <f>'Annual Raw'!Z17</f>
        <v>28.24</v>
      </c>
      <c r="Z21" s="23">
        <f>'Annual Raw'!AA17</f>
        <v>28.76</v>
      </c>
      <c r="AA21" s="23">
        <f>'Annual Raw'!AB17</f>
        <v>32.31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0</v>
      </c>
      <c r="V22" s="23">
        <f>'Annual Raw'!W19-'Annual Raw'!W20</f>
        <v>0</v>
      </c>
      <c r="W22" s="23">
        <f>'Annual Raw'!X19-'Annual Raw'!X20</f>
        <v>0</v>
      </c>
      <c r="X22" s="23">
        <f>'Annual Raw'!Y19-'Annual Raw'!Y20</f>
        <v>0.01</v>
      </c>
      <c r="Y22" s="23">
        <f>'Annual Raw'!Z19-'Annual Raw'!Z20</f>
        <v>2.33</v>
      </c>
      <c r="Z22" s="23">
        <f>'Annual Raw'!AA19-'Annual Raw'!AA20</f>
        <v>3.47</v>
      </c>
      <c r="AA22" s="23">
        <f>'Annual Raw'!AB19-'Annual Raw'!AB20</f>
        <v>4.2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53.17</v>
      </c>
      <c r="Z23" s="23">
        <f>'Annual Raw'!AA15+'Annual Raw'!AA16</f>
        <v>56.56</v>
      </c>
      <c r="AA23" s="23">
        <f>'Annual Raw'!AB15+'Annual Raw'!AB16</f>
        <v>62.73</v>
      </c>
      <c r="AB23" s="76">
        <f t="shared" si="252"/>
        <v>248.7910860675704</v>
      </c>
      <c r="AC23" s="76">
        <f t="shared" si="253"/>
        <v>307.43704861851143</v>
      </c>
      <c r="AD23" s="76">
        <f t="shared" si="254"/>
        <v>379.15620371429713</v>
      </c>
      <c r="AE23" s="76">
        <f t="shared" si="255"/>
        <v>465.82418152020404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0</v>
      </c>
      <c r="BU23" s="23">
        <f>'QTR Raw'!AO14</f>
        <v>0</v>
      </c>
      <c r="BV23" s="23">
        <f>'QTR Raw'!AP14</f>
        <v>0</v>
      </c>
      <c r="BW23" s="23">
        <f>'QTR Raw'!AQ14</f>
        <v>0</v>
      </c>
      <c r="BX23" s="23">
        <f>'QTR Raw'!AR14</f>
        <v>0</v>
      </c>
      <c r="BY23" s="23">
        <f>'QTR Raw'!AS14</f>
        <v>0</v>
      </c>
      <c r="BZ23" s="23">
        <f>'QTR Raw'!AT14</f>
        <v>0.01</v>
      </c>
      <c r="CA23" s="23">
        <f>'QTR Raw'!AU14</f>
        <v>22.42</v>
      </c>
      <c r="CB23" s="23">
        <f>'QTR Raw'!AV14</f>
        <v>26.74</v>
      </c>
      <c r="CC23" s="23">
        <f>'QTR Raw'!AW14</f>
        <v>27.7</v>
      </c>
      <c r="CD23" s="23">
        <f>'QTR Raw'!AX14</f>
        <v>30.61</v>
      </c>
      <c r="CE23" s="23">
        <f>'QTR Raw'!AY14</f>
        <v>31.22</v>
      </c>
      <c r="CF23" s="23">
        <f>'QTR Raw'!AZ14</f>
        <v>31.09</v>
      </c>
      <c r="CG23" s="23">
        <f>'QTR Raw'!BA14</f>
        <v>27.66</v>
      </c>
      <c r="CH23" s="23">
        <f>'QTR Raw'!BB14</f>
        <v>28.81</v>
      </c>
      <c r="CI23" s="23">
        <f>'QTR Raw'!BC14</f>
        <v>28.22</v>
      </c>
      <c r="CJ23" s="23">
        <f>'QTR Raw'!BD14</f>
        <v>31.79</v>
      </c>
      <c r="CK23" s="23">
        <f>'QTR Raw'!BE14</f>
        <v>32.64</v>
      </c>
      <c r="CL23" s="23">
        <f>'QTR Raw'!BF14</f>
        <v>34.369999999999997</v>
      </c>
      <c r="CM23" s="24">
        <f t="shared" ref="CM23:DB23" si="257">CM26-CM20-CM21-CM22-CM24-CM25</f>
        <v>45.182936232897262</v>
      </c>
      <c r="CN23" s="24">
        <f t="shared" si="257"/>
        <v>62.816751112991</v>
      </c>
      <c r="CO23" s="24">
        <f t="shared" si="257"/>
        <v>69.13846352749826</v>
      </c>
      <c r="CP23" s="24">
        <f t="shared" si="257"/>
        <v>71.652935194183897</v>
      </c>
      <c r="CQ23" s="24">
        <f t="shared" si="257"/>
        <v>54.523892183795375</v>
      </c>
      <c r="CR23" s="24">
        <f t="shared" si="257"/>
        <v>78.689087766563006</v>
      </c>
      <c r="CS23" s="24">
        <f t="shared" si="257"/>
        <v>85.725693758478528</v>
      </c>
      <c r="CT23" s="24">
        <f t="shared" si="257"/>
        <v>88.498374909674496</v>
      </c>
      <c r="CU23" s="24">
        <f t="shared" si="257"/>
        <v>67.688953614105202</v>
      </c>
      <c r="CV23" s="24">
        <f t="shared" si="257"/>
        <v>97.336972023328997</v>
      </c>
      <c r="CW23" s="24">
        <f t="shared" si="257"/>
        <v>105.38961661263734</v>
      </c>
      <c r="CX23" s="24">
        <f t="shared" si="257"/>
        <v>108.74066146422555</v>
      </c>
      <c r="CY23" s="24">
        <f t="shared" si="257"/>
        <v>83.951706583810449</v>
      </c>
      <c r="CZ23" s="24">
        <f t="shared" si="257"/>
        <v>119.667296598305</v>
      </c>
      <c r="DA23" s="24">
        <f t="shared" si="257"/>
        <v>129.03123727818442</v>
      </c>
      <c r="DB23" s="24">
        <f t="shared" si="257"/>
        <v>133.17394105990417</v>
      </c>
      <c r="DE23" s="123"/>
      <c r="DF23" s="23">
        <v>127.02000000000001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71.45</v>
      </c>
      <c r="Z24" s="23">
        <f>'Annual Raw'!AA13</f>
        <v>73.47</v>
      </c>
      <c r="AA24" s="23">
        <f>'Annual Raw'!AB13</f>
        <v>77.989999999999995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21.74</v>
      </c>
      <c r="CB24" s="23">
        <f>'QTR Raw'!AV15</f>
        <v>15.65</v>
      </c>
      <c r="CC24" s="23">
        <f>'QTR Raw'!AW15</f>
        <v>17.39</v>
      </c>
      <c r="CD24" s="23">
        <f>'QTR Raw'!AX15</f>
        <v>16.670000000000002</v>
      </c>
      <c r="CE24" s="23">
        <f>'QTR Raw'!AY15</f>
        <v>17.579999999999998</v>
      </c>
      <c r="CF24" s="23">
        <f>'QTR Raw'!AZ15</f>
        <v>15.36</v>
      </c>
      <c r="CG24" s="23">
        <f>'QTR Raw'!BA15</f>
        <v>20.79</v>
      </c>
      <c r="CH24" s="23">
        <f>'QTR Raw'!BB15</f>
        <v>19.739999999999998</v>
      </c>
      <c r="CI24" s="23">
        <f>'QTR Raw'!BC15</f>
        <v>17.260000000000002</v>
      </c>
      <c r="CJ24" s="23">
        <f>'QTR Raw'!BD15</f>
        <v>16.989999999999998</v>
      </c>
      <c r="CK24" s="23">
        <f>'QTR Raw'!BE15</f>
        <v>21.8</v>
      </c>
      <c r="CL24" s="23">
        <f>'QTR Raw'!BF15</f>
        <v>21.94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77.989999999999995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23.16</v>
      </c>
      <c r="Z25" s="23">
        <f>'Annual Raw'!AA18</f>
        <v>28.96</v>
      </c>
      <c r="AA25" s="23">
        <f>'Annual Raw'!AB18</f>
        <v>27.16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0</v>
      </c>
      <c r="D26" s="22">
        <f t="shared" si="258"/>
        <v>0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0</v>
      </c>
      <c r="K26" s="22">
        <f t="shared" si="259"/>
        <v>0</v>
      </c>
      <c r="L26" s="22">
        <f t="shared" si="259"/>
        <v>0</v>
      </c>
      <c r="M26" s="22">
        <f t="shared" si="259"/>
        <v>0</v>
      </c>
      <c r="N26" s="22">
        <f t="shared" si="259"/>
        <v>0</v>
      </c>
      <c r="O26" s="22">
        <f t="shared" si="259"/>
        <v>0</v>
      </c>
      <c r="P26" s="22">
        <f t="shared" si="259"/>
        <v>0</v>
      </c>
      <c r="Q26" s="22">
        <f t="shared" si="259"/>
        <v>0</v>
      </c>
      <c r="R26" s="22">
        <f t="shared" si="259"/>
        <v>0</v>
      </c>
      <c r="S26" s="22">
        <f t="shared" si="259"/>
        <v>0</v>
      </c>
      <c r="T26" s="22">
        <f t="shared" si="259"/>
        <v>0</v>
      </c>
      <c r="U26" s="22">
        <f t="shared" si="259"/>
        <v>0</v>
      </c>
      <c r="V26" s="22">
        <f t="shared" si="259"/>
        <v>5.8151000000000001E-3</v>
      </c>
      <c r="W26" s="22">
        <f t="shared" si="259"/>
        <v>1.1800000000000001E-3</v>
      </c>
      <c r="X26" s="22">
        <f t="shared" si="259"/>
        <v>0.01</v>
      </c>
      <c r="Y26" s="22">
        <f t="shared" si="259"/>
        <v>240.24999999999997</v>
      </c>
      <c r="Z26" s="22">
        <f t="shared" ref="Z26:AA26" si="260">+SUM(Z20:Z25)</f>
        <v>265.64</v>
      </c>
      <c r="AA26" s="22">
        <f t="shared" ref="AA26" si="261">+SUM(AA20:AA25)</f>
        <v>286.42</v>
      </c>
      <c r="AB26" s="21">
        <f t="shared" si="259"/>
        <v>336.56318606757043</v>
      </c>
      <c r="AC26" s="21">
        <f t="shared" si="259"/>
        <v>401.35319561851145</v>
      </c>
      <c r="AD26" s="21">
        <f t="shared" si="259"/>
        <v>479.64648100429713</v>
      </c>
      <c r="AE26" s="21">
        <f t="shared" si="259"/>
        <v>573.34877822050407</v>
      </c>
      <c r="AI26" s="22">
        <f t="shared" ref="AI26:BN26" si="262">+SUM(AI20:AI25)</f>
        <v>0</v>
      </c>
      <c r="AJ26" s="22">
        <f t="shared" si="262"/>
        <v>0</v>
      </c>
      <c r="AK26" s="22">
        <f t="shared" si="262"/>
        <v>0</v>
      </c>
      <c r="AL26" s="22">
        <f t="shared" si="262"/>
        <v>0</v>
      </c>
      <c r="AM26" s="22">
        <f t="shared" si="262"/>
        <v>0</v>
      </c>
      <c r="AN26" s="22">
        <f t="shared" si="262"/>
        <v>0</v>
      </c>
      <c r="AO26" s="22">
        <f t="shared" si="262"/>
        <v>0</v>
      </c>
      <c r="AP26" s="22">
        <f t="shared" si="262"/>
        <v>0</v>
      </c>
      <c r="AQ26" s="22">
        <f t="shared" si="262"/>
        <v>0</v>
      </c>
      <c r="AR26" s="22">
        <f t="shared" si="262"/>
        <v>0</v>
      </c>
      <c r="AS26" s="22">
        <f t="shared" si="262"/>
        <v>0</v>
      </c>
      <c r="AT26" s="22">
        <f t="shared" si="262"/>
        <v>0</v>
      </c>
      <c r="AU26" s="22">
        <f t="shared" si="262"/>
        <v>0</v>
      </c>
      <c r="AV26" s="22">
        <f t="shared" si="262"/>
        <v>0</v>
      </c>
      <c r="AW26" s="22">
        <f t="shared" si="262"/>
        <v>0</v>
      </c>
      <c r="AX26" s="22">
        <f t="shared" si="262"/>
        <v>0</v>
      </c>
      <c r="AY26" s="22">
        <f t="shared" si="262"/>
        <v>0</v>
      </c>
      <c r="AZ26" s="22">
        <f t="shared" si="262"/>
        <v>0</v>
      </c>
      <c r="BA26" s="22">
        <f t="shared" si="262"/>
        <v>0</v>
      </c>
      <c r="BB26" s="22">
        <f t="shared" si="262"/>
        <v>0</v>
      </c>
      <c r="BC26" s="22">
        <f t="shared" si="262"/>
        <v>0</v>
      </c>
      <c r="BD26" s="22">
        <f t="shared" si="262"/>
        <v>0</v>
      </c>
      <c r="BE26" s="22">
        <f t="shared" si="262"/>
        <v>0</v>
      </c>
      <c r="BF26" s="22">
        <f t="shared" si="262"/>
        <v>0</v>
      </c>
      <c r="BG26" s="22">
        <f t="shared" si="262"/>
        <v>0</v>
      </c>
      <c r="BH26" s="22">
        <f t="shared" si="262"/>
        <v>0</v>
      </c>
      <c r="BI26" s="22">
        <f t="shared" si="262"/>
        <v>0</v>
      </c>
      <c r="BJ26" s="22">
        <f t="shared" si="262"/>
        <v>0</v>
      </c>
      <c r="BK26" s="22">
        <f t="shared" si="262"/>
        <v>0</v>
      </c>
      <c r="BL26" s="22">
        <f t="shared" si="262"/>
        <v>0</v>
      </c>
      <c r="BM26" s="22">
        <f t="shared" si="262"/>
        <v>0</v>
      </c>
      <c r="BN26" s="22">
        <f t="shared" si="262"/>
        <v>0</v>
      </c>
      <c r="BO26" s="22">
        <f t="shared" ref="BO26:CH26" si="263">+SUM(BO20:BO25)</f>
        <v>0</v>
      </c>
      <c r="BP26" s="22">
        <f t="shared" si="263"/>
        <v>0</v>
      </c>
      <c r="BQ26" s="22">
        <f t="shared" si="263"/>
        <v>0</v>
      </c>
      <c r="BR26" s="22">
        <f t="shared" si="263"/>
        <v>0</v>
      </c>
      <c r="BS26" s="22">
        <f t="shared" si="263"/>
        <v>0</v>
      </c>
      <c r="BT26" s="22">
        <f t="shared" si="263"/>
        <v>0</v>
      </c>
      <c r="BU26" s="22">
        <f t="shared" si="263"/>
        <v>0</v>
      </c>
      <c r="BV26" s="22">
        <f t="shared" si="263"/>
        <v>0</v>
      </c>
      <c r="BW26" s="22">
        <f t="shared" si="263"/>
        <v>0</v>
      </c>
      <c r="BX26" s="22">
        <f t="shared" si="263"/>
        <v>0</v>
      </c>
      <c r="BY26" s="22">
        <f t="shared" si="263"/>
        <v>0</v>
      </c>
      <c r="BZ26" s="22">
        <f t="shared" si="263"/>
        <v>0.01</v>
      </c>
      <c r="CA26" s="22">
        <f t="shared" si="263"/>
        <v>59.239999999999995</v>
      </c>
      <c r="CB26" s="22">
        <f t="shared" si="263"/>
        <v>57.43</v>
      </c>
      <c r="CC26" s="22">
        <f t="shared" si="263"/>
        <v>59.96</v>
      </c>
      <c r="CD26" s="22">
        <f t="shared" si="263"/>
        <v>64.19</v>
      </c>
      <c r="CE26" s="22">
        <f t="shared" si="263"/>
        <v>66.099999999999994</v>
      </c>
      <c r="CF26" s="22">
        <f t="shared" si="263"/>
        <v>66.14</v>
      </c>
      <c r="CG26" s="22">
        <f t="shared" si="263"/>
        <v>67.72</v>
      </c>
      <c r="CH26" s="22">
        <f t="shared" si="263"/>
        <v>66.709999999999994</v>
      </c>
      <c r="CI26" s="22">
        <f t="shared" ref="CI26:CJ26" si="264">+SUM(CI20:CI25)</f>
        <v>65.62</v>
      </c>
      <c r="CJ26" s="22">
        <f t="shared" si="264"/>
        <v>69.97</v>
      </c>
      <c r="CK26" s="22">
        <f t="shared" ref="CK26:CL26" si="265">+SUM(CK20:CK25)</f>
        <v>74.28</v>
      </c>
      <c r="CL26" s="22">
        <f t="shared" si="265"/>
        <v>77.17</v>
      </c>
      <c r="CM26" s="21">
        <f t="shared" ref="CM26:DB26" si="266">CM27*CM10</f>
        <v>66.732736232897267</v>
      </c>
      <c r="CN26" s="21">
        <f t="shared" si="266"/>
        <v>85.490051112990997</v>
      </c>
      <c r="CO26" s="21">
        <f t="shared" si="266"/>
        <v>90.367263527498267</v>
      </c>
      <c r="CP26" s="21">
        <f t="shared" si="266"/>
        <v>93.973135194183897</v>
      </c>
      <c r="CQ26" s="21">
        <f t="shared" si="266"/>
        <v>77.582178183795378</v>
      </c>
      <c r="CR26" s="21">
        <f t="shared" si="266"/>
        <v>102.949518766563</v>
      </c>
      <c r="CS26" s="21">
        <f t="shared" si="266"/>
        <v>108.44050975847853</v>
      </c>
      <c r="CT26" s="21">
        <f t="shared" si="266"/>
        <v>112.3809889096745</v>
      </c>
      <c r="CU26" s="21">
        <f t="shared" si="266"/>
        <v>92.3613196341052</v>
      </c>
      <c r="CV26" s="21">
        <f t="shared" si="266"/>
        <v>123.29563319332901</v>
      </c>
      <c r="CW26" s="21">
        <f t="shared" si="266"/>
        <v>129.69446973263734</v>
      </c>
      <c r="CX26" s="21">
        <f t="shared" si="266"/>
        <v>134.29505844422556</v>
      </c>
      <c r="CY26" s="21">
        <f t="shared" si="266"/>
        <v>110.35113822521046</v>
      </c>
      <c r="CZ26" s="21">
        <f t="shared" si="266"/>
        <v>147.44306405020501</v>
      </c>
      <c r="DA26" s="21">
        <f t="shared" si="266"/>
        <v>155.03743011658443</v>
      </c>
      <c r="DB26" s="21">
        <f t="shared" si="266"/>
        <v>160.51714582850417</v>
      </c>
      <c r="DE26" s="126"/>
      <c r="DF26" s="22">
        <v>287.04000000000002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 t="e">
        <f t="shared" si="267"/>
        <v>#DIV/0!</v>
      </c>
      <c r="D27" s="44" t="e">
        <f t="shared" si="267"/>
        <v>#DIV/0!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 t="e">
        <f t="shared" si="268"/>
        <v>#DIV/0!</v>
      </c>
      <c r="I27" s="44" t="e">
        <f t="shared" si="268"/>
        <v>#DIV/0!</v>
      </c>
      <c r="J27" s="44" t="e">
        <f t="shared" si="268"/>
        <v>#DIV/0!</v>
      </c>
      <c r="K27" s="44" t="e">
        <f t="shared" si="268"/>
        <v>#DIV/0!</v>
      </c>
      <c r="L27" s="44" t="e">
        <f t="shared" si="268"/>
        <v>#DIV/0!</v>
      </c>
      <c r="M27" s="44" t="e">
        <f t="shared" si="268"/>
        <v>#DIV/0!</v>
      </c>
      <c r="N27" s="44" t="e">
        <f t="shared" si="268"/>
        <v>#DIV/0!</v>
      </c>
      <c r="O27" s="44" t="e">
        <f t="shared" si="268"/>
        <v>#DIV/0!</v>
      </c>
      <c r="P27" s="44" t="e">
        <f t="shared" si="268"/>
        <v>#DIV/0!</v>
      </c>
      <c r="Q27" s="44" t="e">
        <f t="shared" si="268"/>
        <v>#DIV/0!</v>
      </c>
      <c r="R27" s="44" t="e">
        <f t="shared" si="268"/>
        <v>#DIV/0!</v>
      </c>
      <c r="S27" s="44" t="e">
        <f t="shared" si="268"/>
        <v>#DIV/0!</v>
      </c>
      <c r="T27" s="44" t="e">
        <f t="shared" si="268"/>
        <v>#DIV/0!</v>
      </c>
      <c r="U27" s="44" t="e">
        <f t="shared" si="268"/>
        <v>#DIV/0!</v>
      </c>
      <c r="V27" s="44" t="e">
        <f t="shared" si="268"/>
        <v>#DIV/0!</v>
      </c>
      <c r="W27" s="44" t="e">
        <f t="shared" si="268"/>
        <v>#DIV/0!</v>
      </c>
      <c r="X27" s="44" t="e">
        <f t="shared" si="268"/>
        <v>#DIV/0!</v>
      </c>
      <c r="Y27" s="44">
        <f t="shared" si="268"/>
        <v>0.22796929412546135</v>
      </c>
      <c r="Z27" s="44">
        <f t="shared" ref="Z27:AA27" si="269">Z26/Z10</f>
        <v>0.22877122877122874</v>
      </c>
      <c r="AA27" s="44">
        <f t="shared" ref="AA27" si="270">AA26/AA10</f>
        <v>0.21721522827241016</v>
      </c>
      <c r="AB27" s="52">
        <f t="shared" si="268"/>
        <v>0.21495430197860257</v>
      </c>
      <c r="AC27" s="52">
        <f t="shared" si="268"/>
        <v>0.21463883454168955</v>
      </c>
      <c r="AD27" s="52">
        <f t="shared" si="268"/>
        <v>0.21460912486921752</v>
      </c>
      <c r="AE27" s="52">
        <f t="shared" si="268"/>
        <v>0.21460824512185914</v>
      </c>
      <c r="AI27" s="44" t="e">
        <f t="shared" ref="AI27:BN27" si="271">AI26/AI10</f>
        <v>#DIV/0!</v>
      </c>
      <c r="AJ27" s="44" t="e">
        <f t="shared" si="271"/>
        <v>#DIV/0!</v>
      </c>
      <c r="AK27" s="44" t="e">
        <f t="shared" si="271"/>
        <v>#DIV/0!</v>
      </c>
      <c r="AL27" s="44" t="e">
        <f t="shared" si="271"/>
        <v>#DIV/0!</v>
      </c>
      <c r="AM27" s="44" t="e">
        <f t="shared" si="271"/>
        <v>#DIV/0!</v>
      </c>
      <c r="AN27" s="44" t="e">
        <f t="shared" si="271"/>
        <v>#DIV/0!</v>
      </c>
      <c r="AO27" s="44" t="e">
        <f t="shared" si="271"/>
        <v>#DIV/0!</v>
      </c>
      <c r="AP27" s="44" t="e">
        <f t="shared" si="271"/>
        <v>#DIV/0!</v>
      </c>
      <c r="AQ27" s="44" t="e">
        <f t="shared" si="271"/>
        <v>#DIV/0!</v>
      </c>
      <c r="AR27" s="44" t="e">
        <f t="shared" si="271"/>
        <v>#DIV/0!</v>
      </c>
      <c r="AS27" s="44" t="e">
        <f t="shared" si="271"/>
        <v>#DIV/0!</v>
      </c>
      <c r="AT27" s="44" t="e">
        <f t="shared" si="271"/>
        <v>#DIV/0!</v>
      </c>
      <c r="AU27" s="44" t="e">
        <f t="shared" si="271"/>
        <v>#DIV/0!</v>
      </c>
      <c r="AV27" s="44" t="e">
        <f t="shared" si="271"/>
        <v>#DIV/0!</v>
      </c>
      <c r="AW27" s="44" t="e">
        <f t="shared" si="271"/>
        <v>#DIV/0!</v>
      </c>
      <c r="AX27" s="44" t="e">
        <f t="shared" si="271"/>
        <v>#DIV/0!</v>
      </c>
      <c r="AY27" s="44" t="e">
        <f t="shared" si="271"/>
        <v>#DIV/0!</v>
      </c>
      <c r="AZ27" s="44" t="e">
        <f t="shared" si="271"/>
        <v>#DIV/0!</v>
      </c>
      <c r="BA27" s="44" t="e">
        <f t="shared" si="271"/>
        <v>#DIV/0!</v>
      </c>
      <c r="BB27" s="44" t="e">
        <f t="shared" si="271"/>
        <v>#DIV/0!</v>
      </c>
      <c r="BC27" s="44" t="e">
        <f t="shared" si="271"/>
        <v>#DIV/0!</v>
      </c>
      <c r="BD27" s="44" t="e">
        <f t="shared" si="271"/>
        <v>#DIV/0!</v>
      </c>
      <c r="BE27" s="44" t="e">
        <f t="shared" si="271"/>
        <v>#DIV/0!</v>
      </c>
      <c r="BF27" s="44" t="e">
        <f t="shared" si="271"/>
        <v>#DIV/0!</v>
      </c>
      <c r="BG27" s="44" t="e">
        <f t="shared" si="271"/>
        <v>#DIV/0!</v>
      </c>
      <c r="BH27" s="44" t="e">
        <f t="shared" si="271"/>
        <v>#DIV/0!</v>
      </c>
      <c r="BI27" s="44" t="e">
        <f t="shared" si="271"/>
        <v>#DIV/0!</v>
      </c>
      <c r="BJ27" s="44" t="e">
        <f t="shared" si="271"/>
        <v>#DIV/0!</v>
      </c>
      <c r="BK27" s="44" t="e">
        <f t="shared" si="271"/>
        <v>#DIV/0!</v>
      </c>
      <c r="BL27" s="44" t="e">
        <f t="shared" si="271"/>
        <v>#DIV/0!</v>
      </c>
      <c r="BM27" s="44" t="e">
        <f t="shared" si="271"/>
        <v>#DIV/0!</v>
      </c>
      <c r="BN27" s="44" t="e">
        <f t="shared" si="271"/>
        <v>#DIV/0!</v>
      </c>
      <c r="BO27" s="44" t="e">
        <f t="shared" ref="BO27:CH27" si="272">BO26/BO10</f>
        <v>#DIV/0!</v>
      </c>
      <c r="BP27" s="44" t="e">
        <f t="shared" si="272"/>
        <v>#DIV/0!</v>
      </c>
      <c r="BQ27" s="44" t="e">
        <f t="shared" si="272"/>
        <v>#DIV/0!</v>
      </c>
      <c r="BR27" s="44" t="e">
        <f t="shared" si="272"/>
        <v>#DIV/0!</v>
      </c>
      <c r="BS27" s="44" t="e">
        <f t="shared" si="272"/>
        <v>#DIV/0!</v>
      </c>
      <c r="BT27" s="44" t="e">
        <f t="shared" si="272"/>
        <v>#DIV/0!</v>
      </c>
      <c r="BU27" s="44" t="e">
        <f t="shared" si="272"/>
        <v>#DIV/0!</v>
      </c>
      <c r="BV27" s="44" t="e">
        <f t="shared" si="272"/>
        <v>#DIV/0!</v>
      </c>
      <c r="BW27" s="44" t="e">
        <f t="shared" si="272"/>
        <v>#DIV/0!</v>
      </c>
      <c r="BX27" s="44" t="e">
        <f t="shared" si="272"/>
        <v>#DIV/0!</v>
      </c>
      <c r="BY27" s="44" t="e">
        <f t="shared" si="272"/>
        <v>#DIV/0!</v>
      </c>
      <c r="BZ27" s="44" t="e">
        <f t="shared" si="272"/>
        <v>#DIV/0!</v>
      </c>
      <c r="CA27" s="44">
        <f t="shared" si="272"/>
        <v>0.22500759647523549</v>
      </c>
      <c r="CB27" s="44">
        <f t="shared" si="272"/>
        <v>0.22085913163865711</v>
      </c>
      <c r="CC27" s="44">
        <f t="shared" si="272"/>
        <v>0.24532547768094595</v>
      </c>
      <c r="CD27" s="44">
        <f t="shared" si="272"/>
        <v>0.2243229075659619</v>
      </c>
      <c r="CE27" s="44">
        <f t="shared" si="272"/>
        <v>0.22956968707672001</v>
      </c>
      <c r="CF27" s="44">
        <f t="shared" si="272"/>
        <v>0.21712297288424923</v>
      </c>
      <c r="CG27" s="44">
        <f t="shared" si="272"/>
        <v>0.23761403508771931</v>
      </c>
      <c r="CH27" s="44">
        <f t="shared" si="272"/>
        <v>0.23521737597404885</v>
      </c>
      <c r="CI27" s="44">
        <f t="shared" ref="CI27:CJ27" si="273">CI26/CI10</f>
        <v>0.24507936507936509</v>
      </c>
      <c r="CJ27" s="44">
        <f t="shared" si="273"/>
        <v>0.20698733877647615</v>
      </c>
      <c r="CK27" s="44">
        <f t="shared" ref="CK27:CL27" si="274">CK26/CK10</f>
        <v>0.21276351970669111</v>
      </c>
      <c r="CL27" s="44">
        <f t="shared" si="274"/>
        <v>0.21218620253512607</v>
      </c>
      <c r="CM27" s="52">
        <f t="shared" ref="CM27:DB27" si="275">AVERAGE(CI27:CL27)</f>
        <v>0.2192541065244146</v>
      </c>
      <c r="CN27" s="52">
        <f t="shared" si="275"/>
        <v>0.21279779188567699</v>
      </c>
      <c r="CO27" s="52">
        <f t="shared" si="275"/>
        <v>0.21425040516297716</v>
      </c>
      <c r="CP27" s="52">
        <f t="shared" si="275"/>
        <v>0.21462212652704871</v>
      </c>
      <c r="CQ27" s="52">
        <f t="shared" si="275"/>
        <v>0.21523110752502939</v>
      </c>
      <c r="CR27" s="52">
        <f t="shared" si="275"/>
        <v>0.21422535777518306</v>
      </c>
      <c r="CS27" s="52">
        <f t="shared" si="275"/>
        <v>0.21458224924755956</v>
      </c>
      <c r="CT27" s="52">
        <f t="shared" si="275"/>
        <v>0.21466521026870516</v>
      </c>
      <c r="CU27" s="52">
        <f t="shared" si="275"/>
        <v>0.21467598120411929</v>
      </c>
      <c r="CV27" s="52">
        <f t="shared" si="275"/>
        <v>0.21453719962389178</v>
      </c>
      <c r="CW27" s="52">
        <f t="shared" si="275"/>
        <v>0.21461516008606896</v>
      </c>
      <c r="CX27" s="52">
        <f t="shared" si="275"/>
        <v>0.21462338779569631</v>
      </c>
      <c r="CY27" s="52">
        <f t="shared" si="275"/>
        <v>0.21461293217744409</v>
      </c>
      <c r="CZ27" s="52">
        <f t="shared" si="275"/>
        <v>0.21459716992077527</v>
      </c>
      <c r="DA27" s="52">
        <f t="shared" si="275"/>
        <v>0.21461216249499618</v>
      </c>
      <c r="DB27" s="52">
        <f t="shared" si="275"/>
        <v>0.21461141309722795</v>
      </c>
      <c r="DE27" s="128"/>
      <c r="DF27" s="44">
        <v>0.21768542393447599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0</v>
      </c>
      <c r="D28" s="26">
        <f t="shared" si="276"/>
        <v>0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0</v>
      </c>
      <c r="I28" s="26">
        <f t="shared" si="277"/>
        <v>0</v>
      </c>
      <c r="J28" s="26">
        <f t="shared" si="277"/>
        <v>0</v>
      </c>
      <c r="K28" s="26">
        <f t="shared" si="277"/>
        <v>0</v>
      </c>
      <c r="L28" s="26">
        <f t="shared" si="277"/>
        <v>0</v>
      </c>
      <c r="M28" s="26">
        <f t="shared" si="277"/>
        <v>0</v>
      </c>
      <c r="N28" s="26">
        <f t="shared" si="277"/>
        <v>0</v>
      </c>
      <c r="O28" s="26">
        <f t="shared" si="277"/>
        <v>0</v>
      </c>
      <c r="P28" s="26">
        <f t="shared" si="277"/>
        <v>0</v>
      </c>
      <c r="Q28" s="26">
        <f t="shared" si="277"/>
        <v>0</v>
      </c>
      <c r="R28" s="26">
        <f t="shared" si="277"/>
        <v>0</v>
      </c>
      <c r="S28" s="26">
        <f t="shared" si="277"/>
        <v>0</v>
      </c>
      <c r="T28" s="26">
        <f t="shared" si="277"/>
        <v>0</v>
      </c>
      <c r="U28" s="26">
        <f t="shared" si="277"/>
        <v>0</v>
      </c>
      <c r="V28" s="26">
        <f t="shared" si="277"/>
        <v>-5.8151000000000001E-3</v>
      </c>
      <c r="W28" s="26">
        <f t="shared" si="277"/>
        <v>-1.1800000000000001E-3</v>
      </c>
      <c r="X28" s="26">
        <f t="shared" si="277"/>
        <v>-0.01</v>
      </c>
      <c r="Y28" s="26">
        <f t="shared" si="277"/>
        <v>84.200000000000188</v>
      </c>
      <c r="Z28" s="26">
        <f t="shared" ref="Z28:AA28" si="278">Z16-Z26</f>
        <v>110.75000000000011</v>
      </c>
      <c r="AA28" s="26">
        <f t="shared" ref="AA28" si="279">AA16-AA26</f>
        <v>140.52999999999992</v>
      </c>
      <c r="AB28" s="27">
        <f t="shared" si="277"/>
        <v>165.35325759853629</v>
      </c>
      <c r="AC28" s="27">
        <f t="shared" si="277"/>
        <v>197.57224584659127</v>
      </c>
      <c r="AD28" s="27">
        <f t="shared" si="277"/>
        <v>236.2223823531981</v>
      </c>
      <c r="AE28" s="27">
        <f t="shared" si="277"/>
        <v>282.39715920417689</v>
      </c>
      <c r="AI28" s="26">
        <f t="shared" ref="AI28:BN28" si="280">AI16-AI26</f>
        <v>0</v>
      </c>
      <c r="AJ28" s="26">
        <f t="shared" si="280"/>
        <v>0</v>
      </c>
      <c r="AK28" s="26">
        <f t="shared" si="280"/>
        <v>0</v>
      </c>
      <c r="AL28" s="26">
        <f t="shared" si="280"/>
        <v>0</v>
      </c>
      <c r="AM28" s="26">
        <f t="shared" si="280"/>
        <v>0</v>
      </c>
      <c r="AN28" s="26">
        <f t="shared" si="280"/>
        <v>0</v>
      </c>
      <c r="AO28" s="26">
        <f t="shared" si="280"/>
        <v>0</v>
      </c>
      <c r="AP28" s="26">
        <f t="shared" si="280"/>
        <v>0</v>
      </c>
      <c r="AQ28" s="26">
        <f t="shared" si="280"/>
        <v>0</v>
      </c>
      <c r="AR28" s="26">
        <f t="shared" si="280"/>
        <v>0</v>
      </c>
      <c r="AS28" s="26">
        <f t="shared" si="280"/>
        <v>0</v>
      </c>
      <c r="AT28" s="26">
        <f t="shared" si="280"/>
        <v>0</v>
      </c>
      <c r="AU28" s="26">
        <f t="shared" si="280"/>
        <v>0</v>
      </c>
      <c r="AV28" s="26">
        <f t="shared" si="280"/>
        <v>0</v>
      </c>
      <c r="AW28" s="26">
        <f t="shared" si="280"/>
        <v>0</v>
      </c>
      <c r="AX28" s="26">
        <f t="shared" si="280"/>
        <v>0</v>
      </c>
      <c r="AY28" s="26">
        <f t="shared" si="280"/>
        <v>0</v>
      </c>
      <c r="AZ28" s="26">
        <f t="shared" si="280"/>
        <v>0</v>
      </c>
      <c r="BA28" s="26">
        <f t="shared" si="280"/>
        <v>0</v>
      </c>
      <c r="BB28" s="26">
        <f t="shared" si="280"/>
        <v>0</v>
      </c>
      <c r="BC28" s="26">
        <f t="shared" si="280"/>
        <v>0</v>
      </c>
      <c r="BD28" s="26">
        <f t="shared" si="280"/>
        <v>0</v>
      </c>
      <c r="BE28" s="26">
        <f t="shared" si="280"/>
        <v>0</v>
      </c>
      <c r="BF28" s="26">
        <f t="shared" si="280"/>
        <v>0</v>
      </c>
      <c r="BG28" s="26">
        <f t="shared" si="280"/>
        <v>0</v>
      </c>
      <c r="BH28" s="26">
        <f t="shared" si="280"/>
        <v>0</v>
      </c>
      <c r="BI28" s="26">
        <f t="shared" si="280"/>
        <v>0</v>
      </c>
      <c r="BJ28" s="26">
        <f t="shared" si="280"/>
        <v>0</v>
      </c>
      <c r="BK28" s="26">
        <f t="shared" si="280"/>
        <v>0</v>
      </c>
      <c r="BL28" s="26">
        <f t="shared" si="280"/>
        <v>0</v>
      </c>
      <c r="BM28" s="26">
        <f t="shared" si="280"/>
        <v>0</v>
      </c>
      <c r="BN28" s="26">
        <f t="shared" si="280"/>
        <v>0</v>
      </c>
      <c r="BO28" s="26">
        <f t="shared" ref="BO28:CT28" si="281">BO16-BO26</f>
        <v>0</v>
      </c>
      <c r="BP28" s="26">
        <f t="shared" si="281"/>
        <v>0</v>
      </c>
      <c r="BQ28" s="26">
        <f t="shared" si="281"/>
        <v>0</v>
      </c>
      <c r="BR28" s="26">
        <f t="shared" si="281"/>
        <v>0</v>
      </c>
      <c r="BS28" s="26">
        <f t="shared" si="281"/>
        <v>0</v>
      </c>
      <c r="BT28" s="26">
        <f t="shared" si="281"/>
        <v>0</v>
      </c>
      <c r="BU28" s="26">
        <f t="shared" si="281"/>
        <v>0</v>
      </c>
      <c r="BV28" s="26">
        <f t="shared" si="281"/>
        <v>0</v>
      </c>
      <c r="BW28" s="26">
        <f t="shared" si="281"/>
        <v>0</v>
      </c>
      <c r="BX28" s="26">
        <f t="shared" si="281"/>
        <v>0</v>
      </c>
      <c r="BY28" s="26">
        <f t="shared" si="281"/>
        <v>0</v>
      </c>
      <c r="BZ28" s="26">
        <f t="shared" si="281"/>
        <v>-0.01</v>
      </c>
      <c r="CA28" s="26">
        <f t="shared" si="281"/>
        <v>16.299999999999983</v>
      </c>
      <c r="CB28" s="26">
        <f t="shared" si="281"/>
        <v>20.449999999999996</v>
      </c>
      <c r="CC28" s="26">
        <f t="shared" si="281"/>
        <v>18.559999999999995</v>
      </c>
      <c r="CD28" s="26">
        <f t="shared" si="281"/>
        <v>28.319999999999993</v>
      </c>
      <c r="CE28" s="26">
        <f t="shared" si="281"/>
        <v>28.390000000000015</v>
      </c>
      <c r="CF28" s="26">
        <f t="shared" si="281"/>
        <v>27.119999999999976</v>
      </c>
      <c r="CG28" s="26">
        <f t="shared" si="281"/>
        <v>23.439999999999984</v>
      </c>
      <c r="CH28" s="26">
        <f t="shared" si="281"/>
        <v>30.77000000000001</v>
      </c>
      <c r="CI28" s="26">
        <f t="shared" ref="CI28:CJ28" si="282">CI16-CI26</f>
        <v>29.999999999999972</v>
      </c>
      <c r="CJ28" s="26">
        <f t="shared" si="282"/>
        <v>36.81</v>
      </c>
      <c r="CK28" s="26">
        <f t="shared" ref="CK28:CL28" si="283">CK16-CK26</f>
        <v>31.909999999999997</v>
      </c>
      <c r="CL28" s="26">
        <f t="shared" si="283"/>
        <v>41.189999999999984</v>
      </c>
      <c r="CM28" s="27">
        <f t="shared" si="281"/>
        <v>32.383739432367847</v>
      </c>
      <c r="CN28" s="27">
        <f t="shared" si="281"/>
        <v>42.177810393688048</v>
      </c>
      <c r="CO28" s="27">
        <f t="shared" si="281"/>
        <v>43.869966797734975</v>
      </c>
      <c r="CP28" s="27">
        <f t="shared" si="281"/>
        <v>46.921740974745404</v>
      </c>
      <c r="CQ28" s="27">
        <f t="shared" si="281"/>
        <v>38.078913163733858</v>
      </c>
      <c r="CR28" s="27">
        <f t="shared" si="281"/>
        <v>50.675789805306167</v>
      </c>
      <c r="CS28" s="27">
        <f t="shared" si="281"/>
        <v>53.348400812304561</v>
      </c>
      <c r="CT28" s="27">
        <f t="shared" si="281"/>
        <v>55.469142065246928</v>
      </c>
      <c r="CU28" s="27">
        <f t="shared" ref="CU28:DB28" si="284">CU16-CU26</f>
        <v>45.455559301932283</v>
      </c>
      <c r="CV28" s="27">
        <f t="shared" si="284"/>
        <v>60.720955801966014</v>
      </c>
      <c r="CW28" s="27">
        <f t="shared" si="284"/>
        <v>63.880149268479954</v>
      </c>
      <c r="CX28" s="27">
        <f t="shared" si="284"/>
        <v>66.165717980819807</v>
      </c>
      <c r="CY28" s="27">
        <f t="shared" si="284"/>
        <v>54.344192915412293</v>
      </c>
      <c r="CZ28" s="27">
        <f t="shared" si="284"/>
        <v>72.622389371170925</v>
      </c>
      <c r="DA28" s="27">
        <f t="shared" si="284"/>
        <v>76.365387844603873</v>
      </c>
      <c r="DB28" s="27">
        <f t="shared" si="284"/>
        <v>79.065189072989995</v>
      </c>
      <c r="DE28" s="121"/>
      <c r="DF28" s="26">
        <v>139.90999999999991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 t="e">
        <f t="shared" si="285"/>
        <v>#DIV/0!</v>
      </c>
      <c r="D29" s="166" t="e">
        <f t="shared" si="285"/>
        <v>#DIV/0!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 t="e">
        <f t="shared" si="286"/>
        <v>#DIV/0!</v>
      </c>
      <c r="I29" s="166" t="e">
        <f t="shared" si="286"/>
        <v>#DIV/0!</v>
      </c>
      <c r="J29" s="166" t="e">
        <f t="shared" si="286"/>
        <v>#DIV/0!</v>
      </c>
      <c r="K29" s="166" t="e">
        <f t="shared" si="286"/>
        <v>#DIV/0!</v>
      </c>
      <c r="L29" s="166" t="e">
        <f t="shared" si="286"/>
        <v>#DIV/0!</v>
      </c>
      <c r="M29" s="166" t="e">
        <f t="shared" si="286"/>
        <v>#DIV/0!</v>
      </c>
      <c r="N29" s="166" t="e">
        <f t="shared" si="286"/>
        <v>#DIV/0!</v>
      </c>
      <c r="O29" s="166" t="e">
        <f t="shared" si="286"/>
        <v>#DIV/0!</v>
      </c>
      <c r="P29" s="166" t="e">
        <f t="shared" si="286"/>
        <v>#DIV/0!</v>
      </c>
      <c r="Q29" s="166" t="e">
        <f t="shared" si="286"/>
        <v>#DIV/0!</v>
      </c>
      <c r="R29" s="166" t="e">
        <f t="shared" si="286"/>
        <v>#DIV/0!</v>
      </c>
      <c r="S29" s="166" t="e">
        <f t="shared" si="286"/>
        <v>#DIV/0!</v>
      </c>
      <c r="T29" s="166" t="e">
        <f t="shared" si="286"/>
        <v>#DIV/0!</v>
      </c>
      <c r="U29" s="166" t="e">
        <f t="shared" si="286"/>
        <v>#DIV/0!</v>
      </c>
      <c r="V29" s="166" t="e">
        <f t="shared" si="286"/>
        <v>#DIV/0!</v>
      </c>
      <c r="W29" s="166" t="e">
        <f t="shared" si="286"/>
        <v>#DIV/0!</v>
      </c>
      <c r="X29" s="166" t="e">
        <f t="shared" si="286"/>
        <v>#DIV/0!</v>
      </c>
      <c r="Y29" s="166">
        <f t="shared" si="286"/>
        <v>7.989600235323159E-2</v>
      </c>
      <c r="Z29" s="166">
        <f t="shared" ref="Z29:AA29" si="287">Z28/Z10</f>
        <v>9.5378759171862712E-2</v>
      </c>
      <c r="AA29" s="166">
        <f t="shared" ref="AA29" si="288">AA28/AA10</f>
        <v>0.10657515546792047</v>
      </c>
      <c r="AB29" s="167">
        <f t="shared" si="286"/>
        <v>0.10560689801601036</v>
      </c>
      <c r="AC29" s="167">
        <f t="shared" si="286"/>
        <v>0.10565924738918563</v>
      </c>
      <c r="AD29" s="167">
        <f t="shared" si="286"/>
        <v>0.10569342371738855</v>
      </c>
      <c r="AE29" s="167">
        <f t="shared" si="286"/>
        <v>0.10570312707791051</v>
      </c>
      <c r="AI29" s="166" t="e">
        <f t="shared" ref="AI29:BN29" si="289">AI28/AI10</f>
        <v>#DIV/0!</v>
      </c>
      <c r="AJ29" s="166" t="e">
        <f t="shared" si="289"/>
        <v>#DIV/0!</v>
      </c>
      <c r="AK29" s="166" t="e">
        <f t="shared" si="289"/>
        <v>#DIV/0!</v>
      </c>
      <c r="AL29" s="166" t="e">
        <f t="shared" si="289"/>
        <v>#DIV/0!</v>
      </c>
      <c r="AM29" s="166" t="e">
        <f t="shared" si="289"/>
        <v>#DIV/0!</v>
      </c>
      <c r="AN29" s="166" t="e">
        <f t="shared" si="289"/>
        <v>#DIV/0!</v>
      </c>
      <c r="AO29" s="166" t="e">
        <f t="shared" si="289"/>
        <v>#DIV/0!</v>
      </c>
      <c r="AP29" s="166" t="e">
        <f t="shared" si="289"/>
        <v>#DIV/0!</v>
      </c>
      <c r="AQ29" s="166" t="e">
        <f t="shared" si="289"/>
        <v>#DIV/0!</v>
      </c>
      <c r="AR29" s="166" t="e">
        <f t="shared" si="289"/>
        <v>#DIV/0!</v>
      </c>
      <c r="AS29" s="166" t="e">
        <f t="shared" si="289"/>
        <v>#DIV/0!</v>
      </c>
      <c r="AT29" s="166" t="e">
        <f t="shared" si="289"/>
        <v>#DIV/0!</v>
      </c>
      <c r="AU29" s="166" t="e">
        <f t="shared" si="289"/>
        <v>#DIV/0!</v>
      </c>
      <c r="AV29" s="166" t="e">
        <f t="shared" si="289"/>
        <v>#DIV/0!</v>
      </c>
      <c r="AW29" s="166" t="e">
        <f t="shared" si="289"/>
        <v>#DIV/0!</v>
      </c>
      <c r="AX29" s="166" t="e">
        <f t="shared" si="289"/>
        <v>#DIV/0!</v>
      </c>
      <c r="AY29" s="166" t="e">
        <f t="shared" si="289"/>
        <v>#DIV/0!</v>
      </c>
      <c r="AZ29" s="166" t="e">
        <f t="shared" si="289"/>
        <v>#DIV/0!</v>
      </c>
      <c r="BA29" s="166" t="e">
        <f t="shared" si="289"/>
        <v>#DIV/0!</v>
      </c>
      <c r="BB29" s="166" t="e">
        <f t="shared" si="289"/>
        <v>#DIV/0!</v>
      </c>
      <c r="BC29" s="166" t="e">
        <f t="shared" si="289"/>
        <v>#DIV/0!</v>
      </c>
      <c r="BD29" s="166" t="e">
        <f t="shared" si="289"/>
        <v>#DIV/0!</v>
      </c>
      <c r="BE29" s="166" t="e">
        <f t="shared" si="289"/>
        <v>#DIV/0!</v>
      </c>
      <c r="BF29" s="166" t="e">
        <f t="shared" si="289"/>
        <v>#DIV/0!</v>
      </c>
      <c r="BG29" s="166" t="e">
        <f t="shared" si="289"/>
        <v>#DIV/0!</v>
      </c>
      <c r="BH29" s="166" t="e">
        <f t="shared" si="289"/>
        <v>#DIV/0!</v>
      </c>
      <c r="BI29" s="166" t="e">
        <f t="shared" si="289"/>
        <v>#DIV/0!</v>
      </c>
      <c r="BJ29" s="166" t="e">
        <f t="shared" si="289"/>
        <v>#DIV/0!</v>
      </c>
      <c r="BK29" s="166" t="e">
        <f t="shared" si="289"/>
        <v>#DIV/0!</v>
      </c>
      <c r="BL29" s="166" t="e">
        <f t="shared" si="289"/>
        <v>#DIV/0!</v>
      </c>
      <c r="BM29" s="166" t="e">
        <f t="shared" si="289"/>
        <v>#DIV/0!</v>
      </c>
      <c r="BN29" s="166" t="e">
        <f t="shared" si="289"/>
        <v>#DIV/0!</v>
      </c>
      <c r="BO29" s="166" t="e">
        <f t="shared" ref="BO29:CT29" si="290">BO28/BO10</f>
        <v>#DIV/0!</v>
      </c>
      <c r="BP29" s="166" t="e">
        <f t="shared" si="290"/>
        <v>#DIV/0!</v>
      </c>
      <c r="BQ29" s="166" t="e">
        <f t="shared" si="290"/>
        <v>#DIV/0!</v>
      </c>
      <c r="BR29" s="166" t="e">
        <f t="shared" si="290"/>
        <v>#DIV/0!</v>
      </c>
      <c r="BS29" s="166" t="e">
        <f t="shared" si="290"/>
        <v>#DIV/0!</v>
      </c>
      <c r="BT29" s="166" t="e">
        <f t="shared" si="290"/>
        <v>#DIV/0!</v>
      </c>
      <c r="BU29" s="166" t="e">
        <f t="shared" si="290"/>
        <v>#DIV/0!</v>
      </c>
      <c r="BV29" s="166" t="e">
        <f t="shared" si="290"/>
        <v>#DIV/0!</v>
      </c>
      <c r="BW29" s="166" t="e">
        <f t="shared" si="290"/>
        <v>#DIV/0!</v>
      </c>
      <c r="BX29" s="166" t="e">
        <f t="shared" si="290"/>
        <v>#DIV/0!</v>
      </c>
      <c r="BY29" s="166" t="e">
        <f t="shared" si="290"/>
        <v>#DIV/0!</v>
      </c>
      <c r="BZ29" s="166" t="e">
        <f t="shared" si="290"/>
        <v>#DIV/0!</v>
      </c>
      <c r="CA29" s="166">
        <f t="shared" si="290"/>
        <v>6.1911273169249409E-2</v>
      </c>
      <c r="CB29" s="166">
        <f t="shared" si="290"/>
        <v>7.8644771757104937E-2</v>
      </c>
      <c r="CC29" s="166">
        <f t="shared" si="290"/>
        <v>7.5937973078024606E-2</v>
      </c>
      <c r="CD29" s="166">
        <f t="shared" si="290"/>
        <v>9.8969072164948435E-2</v>
      </c>
      <c r="CE29" s="166">
        <f t="shared" si="290"/>
        <v>9.860035425276982E-2</v>
      </c>
      <c r="CF29" s="166">
        <f t="shared" si="290"/>
        <v>8.9028954106755875E-2</v>
      </c>
      <c r="CG29" s="166">
        <f t="shared" si="290"/>
        <v>8.2245614035087664E-2</v>
      </c>
      <c r="CH29" s="166">
        <f t="shared" si="290"/>
        <v>0.10849405874263957</v>
      </c>
      <c r="CI29" s="166">
        <f t="shared" ref="CI29:CJ29" si="291">CI28/CI10</f>
        <v>0.11204481792717076</v>
      </c>
      <c r="CJ29" s="166">
        <f t="shared" si="291"/>
        <v>0.10889243876464323</v>
      </c>
      <c r="CK29" s="166">
        <f t="shared" ref="CK29:CL29" si="292">CK28/CK10</f>
        <v>9.1401237396883578E-2</v>
      </c>
      <c r="CL29" s="166">
        <f t="shared" si="292"/>
        <v>0.11325579477027134</v>
      </c>
      <c r="CM29" s="167">
        <f t="shared" si="290"/>
        <v>0.10639857221474222</v>
      </c>
      <c r="CN29" s="167">
        <f t="shared" si="290"/>
        <v>0.10498701078663512</v>
      </c>
      <c r="CO29" s="167">
        <f t="shared" si="290"/>
        <v>0.10401065379213305</v>
      </c>
      <c r="CP29" s="167">
        <f t="shared" si="290"/>
        <v>0.10716300789094546</v>
      </c>
      <c r="CQ29" s="167">
        <f t="shared" si="290"/>
        <v>0.10563981117111394</v>
      </c>
      <c r="CR29" s="167">
        <f t="shared" si="290"/>
        <v>0.10545012091020695</v>
      </c>
      <c r="CS29" s="167">
        <f t="shared" si="290"/>
        <v>0.1055658984410999</v>
      </c>
      <c r="CT29" s="167">
        <f t="shared" si="290"/>
        <v>0.10595470960334157</v>
      </c>
      <c r="CU29" s="167">
        <f t="shared" ref="CU29:DB29" si="293">CU28/CU10</f>
        <v>0.10565263503144058</v>
      </c>
      <c r="CV29" s="167">
        <f t="shared" si="293"/>
        <v>0.10565584099652219</v>
      </c>
      <c r="CW29" s="167">
        <f t="shared" si="293"/>
        <v>0.1057072710181011</v>
      </c>
      <c r="CX29" s="167">
        <f t="shared" si="293"/>
        <v>0.10574261416235134</v>
      </c>
      <c r="CY29" s="167">
        <f t="shared" si="293"/>
        <v>0.10568959030210377</v>
      </c>
      <c r="CZ29" s="167">
        <f t="shared" si="293"/>
        <v>0.10569882911976965</v>
      </c>
      <c r="DA29" s="167">
        <f t="shared" si="293"/>
        <v>0.10570957615058145</v>
      </c>
      <c r="DB29" s="167">
        <f t="shared" si="293"/>
        <v>0.10571015243370162</v>
      </c>
      <c r="DE29" s="169"/>
      <c r="DF29" s="168">
        <v>0.10610495980585463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 t="e">
        <f t="shared" si="294"/>
        <v>#DIV/0!</v>
      </c>
      <c r="E30" s="39" t="e">
        <f t="shared" si="294"/>
        <v>#DIV/0!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 t="e">
        <f t="shared" si="295"/>
        <v>#DIV/0!</v>
      </c>
      <c r="J30" s="39" t="e">
        <f t="shared" si="295"/>
        <v>#DIV/0!</v>
      </c>
      <c r="K30" s="39" t="e">
        <f t="shared" si="295"/>
        <v>#DIV/0!</v>
      </c>
      <c r="L30" s="39" t="e">
        <f t="shared" si="295"/>
        <v>#DIV/0!</v>
      </c>
      <c r="M30" s="39" t="e">
        <f t="shared" si="295"/>
        <v>#DIV/0!</v>
      </c>
      <c r="N30" s="39" t="e">
        <f t="shared" si="295"/>
        <v>#DIV/0!</v>
      </c>
      <c r="O30" s="39" t="e">
        <f t="shared" si="295"/>
        <v>#DIV/0!</v>
      </c>
      <c r="P30" s="39" t="e">
        <f t="shared" si="295"/>
        <v>#DIV/0!</v>
      </c>
      <c r="Q30" s="39" t="e">
        <f t="shared" si="295"/>
        <v>#DIV/0!</v>
      </c>
      <c r="R30" s="39" t="e">
        <f t="shared" si="295"/>
        <v>#DIV/0!</v>
      </c>
      <c r="S30" s="39" t="e">
        <f t="shared" si="295"/>
        <v>#DIV/0!</v>
      </c>
      <c r="T30" s="39" t="e">
        <f t="shared" si="295"/>
        <v>#DIV/0!</v>
      </c>
      <c r="U30" s="39" t="e">
        <f t="shared" si="295"/>
        <v>#DIV/0!</v>
      </c>
      <c r="V30" s="39" t="e">
        <f t="shared" si="295"/>
        <v>#DIV/0!</v>
      </c>
      <c r="W30" s="39">
        <f t="shared" si="295"/>
        <v>0.79708001582088017</v>
      </c>
      <c r="X30" s="39">
        <f t="shared" si="295"/>
        <v>-7.4745762711864412</v>
      </c>
      <c r="Y30" s="39">
        <f t="shared" si="295"/>
        <v>8421.0000000000182</v>
      </c>
      <c r="Z30" s="39">
        <f t="shared" ref="Z30:AE30" si="296">+IF(Y28&lt;0,1-Z28/Y28,Z28/Y28-1)</f>
        <v>0.31532066508313372</v>
      </c>
      <c r="AA30" s="39">
        <f t="shared" si="296"/>
        <v>0.26889390519187151</v>
      </c>
      <c r="AB30" s="40">
        <f t="shared" si="296"/>
        <v>0.17664027324084808</v>
      </c>
      <c r="AC30" s="40">
        <f t="shared" si="296"/>
        <v>0.19484943155023871</v>
      </c>
      <c r="AD30" s="40">
        <f t="shared" si="296"/>
        <v>0.19562533361400103</v>
      </c>
      <c r="AE30" s="40">
        <f t="shared" si="296"/>
        <v>0.19547164155655072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7">+IF(AJ28&lt;0,1-AN28/AJ28,AN28/AJ28-1)</f>
        <v>#DIV/0!</v>
      </c>
      <c r="AO30" s="39" t="e">
        <f t="shared" ref="AO30" si="298">+IF(AK28&lt;0,1-AO28/AK28,AO28/AK28-1)</f>
        <v>#DIV/0!</v>
      </c>
      <c r="AP30" s="39" t="e">
        <f t="shared" ref="AP30" si="299">+IF(AL28&lt;0,1-AP28/AL28,AP28/AL28-1)</f>
        <v>#DIV/0!</v>
      </c>
      <c r="AQ30" s="39" t="e">
        <f t="shared" ref="AQ30" si="300">+IF(AM28&lt;0,1-AQ28/AM28,AQ28/AM28-1)</f>
        <v>#DIV/0!</v>
      </c>
      <c r="AR30" s="39" t="e">
        <f t="shared" ref="AR30" si="301">+IF(AN28&lt;0,1-AR28/AN28,AR28/AN28-1)</f>
        <v>#DIV/0!</v>
      </c>
      <c r="AS30" s="39" t="e">
        <f t="shared" ref="AS30" si="302">+IF(AO28&lt;0,1-AS28/AO28,AS28/AO28-1)</f>
        <v>#DIV/0!</v>
      </c>
      <c r="AT30" s="39" t="e">
        <f t="shared" ref="AT30" si="303">+IF(AP28&lt;0,1-AT28/AP28,AT28/AP28-1)</f>
        <v>#DIV/0!</v>
      </c>
      <c r="AU30" s="39" t="e">
        <f t="shared" ref="AU30" si="304">+IF(AQ28&lt;0,1-AU28/AQ28,AU28/AQ28-1)</f>
        <v>#DIV/0!</v>
      </c>
      <c r="AV30" s="39" t="e">
        <f t="shared" ref="AV30" si="305">+IF(AR28&lt;0,1-AV28/AR28,AV28/AR28-1)</f>
        <v>#DIV/0!</v>
      </c>
      <c r="AW30" s="39" t="e">
        <f t="shared" ref="AW30" si="306">+IF(AS28&lt;0,1-AW28/AS28,AW28/AS28-1)</f>
        <v>#DIV/0!</v>
      </c>
      <c r="AX30" s="39" t="e">
        <f t="shared" ref="AX30" si="307">+IF(AT28&lt;0,1-AX28/AT28,AX28/AT28-1)</f>
        <v>#DIV/0!</v>
      </c>
      <c r="AY30" s="39" t="e">
        <f t="shared" ref="AY30" si="308">+IF(AU28&lt;0,1-AY28/AU28,AY28/AU28-1)</f>
        <v>#DIV/0!</v>
      </c>
      <c r="AZ30" s="39" t="e">
        <f t="shared" ref="AZ30" si="309">+IF(AV28&lt;0,1-AZ28/AV28,AZ28/AV28-1)</f>
        <v>#DIV/0!</v>
      </c>
      <c r="BA30" s="39" t="e">
        <f t="shared" ref="BA30" si="310">+IF(AW28&lt;0,1-BA28/AW28,BA28/AW28-1)</f>
        <v>#DIV/0!</v>
      </c>
      <c r="BB30" s="39" t="e">
        <f t="shared" ref="BB30" si="311">+IF(AX28&lt;0,1-BB28/AX28,BB28/AX28-1)</f>
        <v>#DIV/0!</v>
      </c>
      <c r="BC30" s="39" t="e">
        <f t="shared" ref="BC30" si="312">+IF(AY28&lt;0,1-BC28/AY28,BC28/AY28-1)</f>
        <v>#DIV/0!</v>
      </c>
      <c r="BD30" s="39" t="e">
        <f t="shared" ref="BD30" si="313">+IF(AZ28&lt;0,1-BD28/AZ28,BD28/AZ28-1)</f>
        <v>#DIV/0!</v>
      </c>
      <c r="BE30" s="39" t="e">
        <f t="shared" ref="BE30" si="314">+IF(BA28&lt;0,1-BE28/BA28,BE28/BA28-1)</f>
        <v>#DIV/0!</v>
      </c>
      <c r="BF30" s="39" t="e">
        <f t="shared" ref="BF30" si="315">+IF(BB28&lt;0,1-BF28/BB28,BF28/BB28-1)</f>
        <v>#DIV/0!</v>
      </c>
      <c r="BG30" s="39" t="e">
        <f t="shared" ref="BG30" si="316">+IF(BC28&lt;0,1-BG28/BC28,BG28/BC28-1)</f>
        <v>#DIV/0!</v>
      </c>
      <c r="BH30" s="39" t="e">
        <f t="shared" ref="BH30" si="317">+IF(BD28&lt;0,1-BH28/BD28,BH28/BD28-1)</f>
        <v>#DIV/0!</v>
      </c>
      <c r="BI30" s="39" t="e">
        <f t="shared" ref="BI30" si="318">+IF(BE28&lt;0,1-BI28/BE28,BI28/BE28-1)</f>
        <v>#DIV/0!</v>
      </c>
      <c r="BJ30" s="39" t="e">
        <f t="shared" ref="BJ30" si="319">+IF(BF28&lt;0,1-BJ28/BF28,BJ28/BF28-1)</f>
        <v>#DIV/0!</v>
      </c>
      <c r="BK30" s="39" t="e">
        <f t="shared" ref="BK30" si="320">+IF(BG28&lt;0,1-BK28/BG28,BK28/BG28-1)</f>
        <v>#DIV/0!</v>
      </c>
      <c r="BL30" s="39" t="e">
        <f t="shared" ref="BL30" si="321">+IF(BH28&lt;0,1-BL28/BH28,BL28/BH28-1)</f>
        <v>#DIV/0!</v>
      </c>
      <c r="BM30" s="39" t="e">
        <f t="shared" ref="BM30" si="322">+IF(BI28&lt;0,1-BM28/BI28,BM28/BI28-1)</f>
        <v>#DIV/0!</v>
      </c>
      <c r="BN30" s="39" t="e">
        <f t="shared" ref="BN30" si="323">+IF(BJ28&lt;0,1-BN28/BJ28,BN28/BJ28-1)</f>
        <v>#DIV/0!</v>
      </c>
      <c r="BO30" s="39" t="e">
        <f t="shared" ref="BO30" si="324">+IF(BK28&lt;0,1-BO28/BK28,BO28/BK28-1)</f>
        <v>#DIV/0!</v>
      </c>
      <c r="BP30" s="39" t="e">
        <f t="shared" ref="BP30" si="325">+IF(BL28&lt;0,1-BP28/BL28,BP28/BL28-1)</f>
        <v>#DIV/0!</v>
      </c>
      <c r="BQ30" s="39" t="e">
        <f t="shared" ref="BQ30" si="326">+IF(BM28&lt;0,1-BQ28/BM28,BQ28/BM28-1)</f>
        <v>#DIV/0!</v>
      </c>
      <c r="BR30" s="39" t="e">
        <f t="shared" ref="BR30" si="327">+IF(BN28&lt;0,1-BR28/BN28,BR28/BN28-1)</f>
        <v>#DIV/0!</v>
      </c>
      <c r="BS30" s="39" t="e">
        <f t="shared" ref="BS30" si="328">+IF(BO28&lt;0,1-BS28/BO28,BS28/BO28-1)</f>
        <v>#DIV/0!</v>
      </c>
      <c r="BT30" s="39" t="e">
        <f t="shared" ref="BT30" si="329">+IF(BP28&lt;0,1-BT28/BP28,BT28/BP28-1)</f>
        <v>#DIV/0!</v>
      </c>
      <c r="BU30" s="39" t="e">
        <f t="shared" ref="BU30" si="330">+IF(BQ28&lt;0,1-BU28/BQ28,BU28/BQ28-1)</f>
        <v>#DIV/0!</v>
      </c>
      <c r="BV30" s="39" t="e">
        <f t="shared" ref="BV30" si="331">+IF(BR28&lt;0,1-BV28/BR28,BV28/BR28-1)</f>
        <v>#DIV/0!</v>
      </c>
      <c r="BW30" s="39" t="e">
        <f t="shared" ref="BW30" si="332">+IF(BS28&lt;0,1-BW28/BS28,BW28/BS28-1)</f>
        <v>#DIV/0!</v>
      </c>
      <c r="BX30" s="39" t="e">
        <f t="shared" ref="BX30" si="333">+IF(BT28&lt;0,1-BX28/BT28,BX28/BT28-1)</f>
        <v>#DIV/0!</v>
      </c>
      <c r="BY30" s="39" t="e">
        <f t="shared" ref="BY30" si="334">+IF(BU28&lt;0,1-BY28/BU28,BY28/BU28-1)</f>
        <v>#DIV/0!</v>
      </c>
      <c r="BZ30" s="39" t="e">
        <f t="shared" ref="BZ30" si="335">+IF(BV28&lt;0,1-BZ28/BV28,BZ28/BV28-1)</f>
        <v>#DIV/0!</v>
      </c>
      <c r="CA30" s="39" t="e">
        <f t="shared" ref="CA30" si="336">+IF(BW28&lt;0,1-CA28/BW28,CA28/BW28-1)</f>
        <v>#DIV/0!</v>
      </c>
      <c r="CB30" s="39" t="e">
        <f t="shared" ref="CB30" si="337">+IF(BX28&lt;0,1-CB28/BX28,CB28/BX28-1)</f>
        <v>#DIV/0!</v>
      </c>
      <c r="CC30" s="39" t="e">
        <f t="shared" ref="CC30" si="338">+IF(BY28&lt;0,1-CC28/BY28,CC28/BY28-1)</f>
        <v>#DIV/0!</v>
      </c>
      <c r="CD30" s="39">
        <f t="shared" ref="CD30" si="339">+IF(BZ28&lt;0,1-CD28/BZ28,CD28/BZ28-1)</f>
        <v>2832.9999999999991</v>
      </c>
      <c r="CE30" s="39">
        <f t="shared" ref="CE30" si="340">+IF(CA28&lt;0,1-CE28/CA28,CE28/CA28-1)</f>
        <v>0.74171779141104577</v>
      </c>
      <c r="CF30" s="39">
        <f t="shared" ref="CF30" si="341">+IF(CB28&lt;0,1-CF28/CB28,CF28/CB28-1)</f>
        <v>0.32616136919315308</v>
      </c>
      <c r="CG30" s="39">
        <f t="shared" ref="CG30" si="342">+IF(CC28&lt;0,1-CG28/CC28,CG28/CC28-1)</f>
        <v>0.26293103448275801</v>
      </c>
      <c r="CH30" s="39">
        <f t="shared" ref="CH30:CL30" si="343">+IF(CD28&lt;0,1-CH28/CD28,CH28/CD28-1)</f>
        <v>8.6511299435028777E-2</v>
      </c>
      <c r="CI30" s="39">
        <f t="shared" si="343"/>
        <v>5.6710109193376379E-2</v>
      </c>
      <c r="CJ30" s="39">
        <f t="shared" si="343"/>
        <v>0.35730088495575352</v>
      </c>
      <c r="CK30" s="39">
        <f t="shared" si="343"/>
        <v>0.36134812286689511</v>
      </c>
      <c r="CL30" s="39">
        <f t="shared" si="343"/>
        <v>0.33864153396164998</v>
      </c>
      <c r="CM30" s="40">
        <f t="shared" ref="CM30" si="344">+CM28/CI28-1</f>
        <v>7.9457981078929318E-2</v>
      </c>
      <c r="CN30" s="40">
        <f t="shared" ref="CN30" si="345">+CN28/CJ28-1</f>
        <v>0.14582478657125897</v>
      </c>
      <c r="CO30" s="40">
        <f t="shared" ref="CO30" si="346">+CO28/CK28-1</f>
        <v>0.37480309613710361</v>
      </c>
      <c r="CP30" s="40">
        <f t="shared" ref="CP30" si="347">+CP28/CL28-1</f>
        <v>0.13915370174181652</v>
      </c>
      <c r="CQ30" s="40">
        <f t="shared" ref="CQ30" si="348">+CQ28/CM28-1</f>
        <v>0.1758652283890858</v>
      </c>
      <c r="CR30" s="40">
        <f t="shared" ref="CR30" si="349">+CR28/CN28-1</f>
        <v>0.20147986185859112</v>
      </c>
      <c r="CS30" s="40">
        <f t="shared" ref="CS30" si="350">+CS28/CO28-1</f>
        <v>0.21605746952739802</v>
      </c>
      <c r="CT30" s="40">
        <f t="shared" ref="CT30" si="351">+CT28/CP28-1</f>
        <v>0.18216291452403643</v>
      </c>
      <c r="CU30" s="40">
        <f t="shared" ref="CU30" si="352">+CU28/CQ28-1</f>
        <v>0.19371997584279543</v>
      </c>
      <c r="CV30" s="40">
        <f t="shared" ref="CV30" si="353">+CV28/CR28-1</f>
        <v>0.19822416256861253</v>
      </c>
      <c r="CW30" s="40">
        <f t="shared" ref="CW30" si="354">+CW28/CS28-1</f>
        <v>0.19741451094718276</v>
      </c>
      <c r="CX30" s="40">
        <f t="shared" ref="CX30" si="355">+CX28/CT28-1</f>
        <v>0.19283831545457786</v>
      </c>
      <c r="CY30" s="40">
        <f t="shared" ref="CY30" si="356">+CY28/CU28-1</f>
        <v>0.19554557792235028</v>
      </c>
      <c r="CZ30" s="40">
        <f t="shared" ref="CZ30" si="357">+CZ28/CV28-1</f>
        <v>0.19600207888722943</v>
      </c>
      <c r="DA30" s="40">
        <f t="shared" ref="DA30" si="358">+DA28/CW28-1</f>
        <v>0.19544786164556505</v>
      </c>
      <c r="DB30" s="40">
        <f t="shared" ref="DB30" si="359">+DB28/CX28-1</f>
        <v>0.19495701831437096</v>
      </c>
      <c r="DE30" s="122"/>
      <c r="DF30" s="38">
        <v>0.26329571106094596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0">+IF(AJ28&lt;0,1-AK28/AJ28,AK28/AJ28-1)</f>
        <v>#DIV/0!</v>
      </c>
      <c r="AL31" s="39" t="e">
        <f t="shared" si="360"/>
        <v>#DIV/0!</v>
      </c>
      <c r="AM31" s="39" t="e">
        <f t="shared" si="360"/>
        <v>#DIV/0!</v>
      </c>
      <c r="AN31" s="39" t="e">
        <f t="shared" ref="AN31" si="361">+IF(AM28&lt;0,1-AN28/AM28,AN28/AM28-1)</f>
        <v>#DIV/0!</v>
      </c>
      <c r="AO31" s="39" t="e">
        <f t="shared" ref="AO31" si="362">+IF(AN28&lt;0,1-AO28/AN28,AO28/AN28-1)</f>
        <v>#DIV/0!</v>
      </c>
      <c r="AP31" s="39" t="e">
        <f t="shared" ref="AP31" si="363">+IF(AO28&lt;0,1-AP28/AO28,AP28/AO28-1)</f>
        <v>#DIV/0!</v>
      </c>
      <c r="AQ31" s="39" t="e">
        <f t="shared" ref="AQ31" si="364">+IF(AP28&lt;0,1-AQ28/AP28,AQ28/AP28-1)</f>
        <v>#DIV/0!</v>
      </c>
      <c r="AR31" s="39" t="e">
        <f t="shared" ref="AR31" si="365">+IF(AQ28&lt;0,1-AR28/AQ28,AR28/AQ28-1)</f>
        <v>#DIV/0!</v>
      </c>
      <c r="AS31" s="39" t="e">
        <f t="shared" ref="AS31" si="366">+IF(AR28&lt;0,1-AS28/AR28,AS28/AR28-1)</f>
        <v>#DIV/0!</v>
      </c>
      <c r="AT31" s="39" t="e">
        <f t="shared" ref="AT31" si="367">+IF(AS28&lt;0,1-AT28/AS28,AT28/AS28-1)</f>
        <v>#DIV/0!</v>
      </c>
      <c r="AU31" s="39" t="e">
        <f t="shared" ref="AU31" si="368">+IF(AT28&lt;0,1-AU28/AT28,AU28/AT28-1)</f>
        <v>#DIV/0!</v>
      </c>
      <c r="AV31" s="39" t="e">
        <f t="shared" ref="AV31" si="369">+IF(AU28&lt;0,1-AV28/AU28,AV28/AU28-1)</f>
        <v>#DIV/0!</v>
      </c>
      <c r="AW31" s="39" t="e">
        <f t="shared" ref="AW31" si="370">+IF(AV28&lt;0,1-AW28/AV28,AW28/AV28-1)</f>
        <v>#DIV/0!</v>
      </c>
      <c r="AX31" s="39" t="e">
        <f t="shared" ref="AX31" si="371">+IF(AW28&lt;0,1-AX28/AW28,AX28/AW28-1)</f>
        <v>#DIV/0!</v>
      </c>
      <c r="AY31" s="39" t="e">
        <f t="shared" ref="AY31" si="372">+IF(AX28&lt;0,1-AY28/AX28,AY28/AX28-1)</f>
        <v>#DIV/0!</v>
      </c>
      <c r="AZ31" s="39" t="e">
        <f t="shared" ref="AZ31" si="373">+IF(AY28&lt;0,1-AZ28/AY28,AZ28/AY28-1)</f>
        <v>#DIV/0!</v>
      </c>
      <c r="BA31" s="39" t="e">
        <f t="shared" ref="BA31" si="374">+IF(AZ28&lt;0,1-BA28/AZ28,BA28/AZ28-1)</f>
        <v>#DIV/0!</v>
      </c>
      <c r="BB31" s="39" t="e">
        <f t="shared" ref="BB31" si="375">+IF(BA28&lt;0,1-BB28/BA28,BB28/BA28-1)</f>
        <v>#DIV/0!</v>
      </c>
      <c r="BC31" s="39" t="e">
        <f t="shared" ref="BC31" si="376">+IF(BB28&lt;0,1-BC28/BB28,BC28/BB28-1)</f>
        <v>#DIV/0!</v>
      </c>
      <c r="BD31" s="39" t="e">
        <f t="shared" ref="BD31" si="377">+IF(BC28&lt;0,1-BD28/BC28,BD28/BC28-1)</f>
        <v>#DIV/0!</v>
      </c>
      <c r="BE31" s="39" t="e">
        <f t="shared" ref="BE31" si="378">+IF(BD28&lt;0,1-BE28/BD28,BE28/BD28-1)</f>
        <v>#DIV/0!</v>
      </c>
      <c r="BF31" s="39" t="e">
        <f t="shared" ref="BF31" si="379">+IF(BE28&lt;0,1-BF28/BE28,BF28/BE28-1)</f>
        <v>#DIV/0!</v>
      </c>
      <c r="BG31" s="39" t="e">
        <f t="shared" ref="BG31" si="380">+IF(BF28&lt;0,1-BG28/BF28,BG28/BF28-1)</f>
        <v>#DIV/0!</v>
      </c>
      <c r="BH31" s="39" t="e">
        <f t="shared" ref="BH31" si="381">+IF(BG28&lt;0,1-BH28/BG28,BH28/BG28-1)</f>
        <v>#DIV/0!</v>
      </c>
      <c r="BI31" s="39" t="e">
        <f t="shared" ref="BI31" si="382">+IF(BH28&lt;0,1-BI28/BH28,BI28/BH28-1)</f>
        <v>#DIV/0!</v>
      </c>
      <c r="BJ31" s="39" t="e">
        <f t="shared" ref="BJ31" si="383">+IF(BI28&lt;0,1-BJ28/BI28,BJ28/BI28-1)</f>
        <v>#DIV/0!</v>
      </c>
      <c r="BK31" s="39" t="e">
        <f t="shared" ref="BK31" si="384">+IF(BJ28&lt;0,1-BK28/BJ28,BK28/BJ28-1)</f>
        <v>#DIV/0!</v>
      </c>
      <c r="BL31" s="39" t="e">
        <f t="shared" ref="BL31" si="385">+IF(BK28&lt;0,1-BL28/BK28,BL28/BK28-1)</f>
        <v>#DIV/0!</v>
      </c>
      <c r="BM31" s="39" t="e">
        <f t="shared" ref="BM31" si="386">+IF(BL28&lt;0,1-BM28/BL28,BM28/BL28-1)</f>
        <v>#DIV/0!</v>
      </c>
      <c r="BN31" s="39" t="e">
        <f t="shared" ref="BN31" si="387">+IF(BM28&lt;0,1-BN28/BM28,BN28/BM28-1)</f>
        <v>#DIV/0!</v>
      </c>
      <c r="BO31" s="39" t="e">
        <f t="shared" ref="BO31" si="388">+IF(BN28&lt;0,1-BO28/BN28,BO28/BN28-1)</f>
        <v>#DIV/0!</v>
      </c>
      <c r="BP31" s="39" t="e">
        <f t="shared" ref="BP31" si="389">+IF(BO28&lt;0,1-BP28/BO28,BP28/BO28-1)</f>
        <v>#DIV/0!</v>
      </c>
      <c r="BQ31" s="39" t="e">
        <f t="shared" ref="BQ31" si="390">+IF(BP28&lt;0,1-BQ28/BP28,BQ28/BP28-1)</f>
        <v>#DIV/0!</v>
      </c>
      <c r="BR31" s="39" t="e">
        <f t="shared" ref="BR31" si="391">+IF(BQ28&lt;0,1-BR28/BQ28,BR28/BQ28-1)</f>
        <v>#DIV/0!</v>
      </c>
      <c r="BS31" s="39" t="e">
        <f t="shared" ref="BS31" si="392">+IF(BR28&lt;0,1-BS28/BR28,BS28/BR28-1)</f>
        <v>#DIV/0!</v>
      </c>
      <c r="BT31" s="39" t="e">
        <f t="shared" ref="BT31" si="393">+IF(BS28&lt;0,1-BT28/BS28,BT28/BS28-1)</f>
        <v>#DIV/0!</v>
      </c>
      <c r="BU31" s="39" t="e">
        <f t="shared" ref="BU31" si="394">+IF(BT28&lt;0,1-BU28/BT28,BU28/BT28-1)</f>
        <v>#DIV/0!</v>
      </c>
      <c r="BV31" s="39" t="e">
        <f t="shared" ref="BV31" si="395">+IF(BU28&lt;0,1-BV28/BU28,BV28/BU28-1)</f>
        <v>#DIV/0!</v>
      </c>
      <c r="BW31" s="39" t="e">
        <f t="shared" ref="BW31" si="396">+IF(BV28&lt;0,1-BW28/BV28,BW28/BV28-1)</f>
        <v>#DIV/0!</v>
      </c>
      <c r="BX31" s="39" t="e">
        <f t="shared" ref="BX31" si="397">+IF(BW28&lt;0,1-BX28/BW28,BX28/BW28-1)</f>
        <v>#DIV/0!</v>
      </c>
      <c r="BY31" s="39" t="e">
        <f t="shared" ref="BY31" si="398">+IF(BX28&lt;0,1-BY28/BX28,BY28/BX28-1)</f>
        <v>#DIV/0!</v>
      </c>
      <c r="BZ31" s="39" t="e">
        <f t="shared" ref="BZ31" si="399">+IF(BY28&lt;0,1-BZ28/BY28,BZ28/BY28-1)</f>
        <v>#DIV/0!</v>
      </c>
      <c r="CA31" s="39">
        <f t="shared" ref="CA31" si="400">+IF(BZ28&lt;0,1-CA28/BZ28,CA28/BZ28-1)</f>
        <v>1630.9999999999982</v>
      </c>
      <c r="CB31" s="39">
        <f t="shared" ref="CB31" si="401">+IF(CA28&lt;0,1-CB28/CA28,CB28/CA28-1)</f>
        <v>0.254601226993866</v>
      </c>
      <c r="CC31" s="39">
        <f t="shared" ref="CC31" si="402">+IF(CB28&lt;0,1-CC28/CB28,CC28/CB28-1)</f>
        <v>-9.2420537897310528E-2</v>
      </c>
      <c r="CD31" s="39">
        <f t="shared" ref="CD31" si="403">+IF(CC28&lt;0,1-CD28/CC28,CD28/CC28-1)</f>
        <v>0.52586206896551735</v>
      </c>
      <c r="CE31" s="39">
        <f t="shared" ref="CE31" si="404">+IF(CD28&lt;0,1-CE28/CD28,CE28/CD28-1)</f>
        <v>2.4717514124301676E-3</v>
      </c>
      <c r="CF31" s="39">
        <f t="shared" ref="CF31" si="405">+IF(CE28&lt;0,1-CF28/CE28,CF28/CE28-1)</f>
        <v>-4.4734061289187665E-2</v>
      </c>
      <c r="CG31" s="39">
        <f t="shared" ref="CG31" si="406">+IF(CF28&lt;0,1-CG28/CF28,CG28/CF28-1)</f>
        <v>-0.13569321533923284</v>
      </c>
      <c r="CH31" s="39">
        <f t="shared" ref="CH31:CI31" si="407">+IF(CG28&lt;0,1-CH28/CG28,CH28/CG28-1)</f>
        <v>0.31271331058020624</v>
      </c>
      <c r="CI31" s="39">
        <f t="shared" si="407"/>
        <v>-2.5024374390641535E-2</v>
      </c>
      <c r="CJ31" s="39">
        <f>+IF(CI28&gt;1,CJ28/CI28-1,1-CJ28/CI28)</f>
        <v>0.2270000000000012</v>
      </c>
      <c r="CK31" s="39">
        <f>+IF(CJ28&gt;1,CK28/CJ28-1,1-CK28/CJ28)</f>
        <v>-0.13311600108666133</v>
      </c>
      <c r="CL31" s="39">
        <f>+IF(CK28&gt;1,CL28/CK28-1,1-CL28/CK28)</f>
        <v>0.29081792541522988</v>
      </c>
      <c r="CM31" s="40">
        <f t="shared" ref="CM31" si="408">+CM28/CL28-1</f>
        <v>-0.21379608078737899</v>
      </c>
      <c r="CN31" s="40">
        <f t="shared" ref="CN31" si="409">+CN28/CM28-1</f>
        <v>0.3024379251128404</v>
      </c>
      <c r="CO31" s="40">
        <f t="shared" ref="CO31" si="410">+CO28/CN28-1</f>
        <v>4.0119588671207129E-2</v>
      </c>
      <c r="CP31" s="40">
        <f t="shared" ref="CP31" si="411">+CP28/CO28-1</f>
        <v>6.9564086772183176E-2</v>
      </c>
      <c r="CQ31" s="40">
        <f t="shared" ref="CQ31" si="412">+CQ28/CP28-1</f>
        <v>-0.18845907307171328</v>
      </c>
      <c r="CR31" s="40">
        <f t="shared" ref="CR31" si="413">+CR28/CQ28-1</f>
        <v>0.33080977357225372</v>
      </c>
      <c r="CS31" s="40">
        <f t="shared" ref="CS31" si="414">+CS28/CR28-1</f>
        <v>5.2739405093959801E-2</v>
      </c>
      <c r="CT31" s="40">
        <f t="shared" ref="CT31" si="415">+CT28/CS28-1</f>
        <v>3.9752667758566229E-2</v>
      </c>
      <c r="CU31" s="40">
        <f t="shared" ref="CU31" si="416">+CU28/CT28-1</f>
        <v>-0.18052528650138355</v>
      </c>
      <c r="CV31" s="40">
        <f t="shared" ref="CV31" si="417">+CV28/CU28-1</f>
        <v>0.33583123240515955</v>
      </c>
      <c r="CW31" s="40">
        <f t="shared" ref="CW31" si="418">+CW28/CV28-1</f>
        <v>5.2028058926102183E-2</v>
      </c>
      <c r="CX31" s="40">
        <f t="shared" ref="CX31" si="419">+CX28/CW28-1</f>
        <v>3.5779013332199794E-2</v>
      </c>
      <c r="CY31" s="40">
        <f t="shared" ref="CY31" si="420">+CY28/CX28-1</f>
        <v>-0.17866540900885186</v>
      </c>
      <c r="CZ31" s="40">
        <f t="shared" ref="CZ31" si="421">+CZ28/CY28-1</f>
        <v>0.33634129932169521</v>
      </c>
      <c r="DA31" s="40">
        <f t="shared" ref="DA31" si="422">+DA28/CZ28-1</f>
        <v>5.1540558026844652E-2</v>
      </c>
      <c r="DB31" s="40">
        <f t="shared" ref="DB31" si="423">+DB28/DA28-1</f>
        <v>3.535372902027234E-2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0</v>
      </c>
      <c r="Y32" s="23">
        <f>'Annual Raw'!Z27</f>
        <v>47.36</v>
      </c>
      <c r="Z32" s="23">
        <f>'Annual Raw'!AA27</f>
        <v>50.65</v>
      </c>
      <c r="AA32" s="23">
        <f>'Annual Raw'!AB27</f>
        <v>57.9</v>
      </c>
      <c r="AB32" s="76">
        <f>+SUM(CM32:CP32)</f>
        <v>60.149240612243162</v>
      </c>
      <c r="AC32" s="76">
        <f>+SUM(CQ32:CT32)</f>
        <v>60.149240612243162</v>
      </c>
      <c r="AD32" s="76">
        <f>+SUM(CU32:CX32)</f>
        <v>60.149240612243162</v>
      </c>
      <c r="AE32" s="76">
        <f>+SUM(CY32:DB32)</f>
        <v>60.149240612243162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0</v>
      </c>
      <c r="CA32" s="23">
        <f>'QTR Raw'!AU28</f>
        <v>10.53</v>
      </c>
      <c r="CB32" s="23">
        <f>'QTR Raw'!AV28</f>
        <v>11.49</v>
      </c>
      <c r="CC32" s="23">
        <f>'QTR Raw'!AW28</f>
        <v>12.32</v>
      </c>
      <c r="CD32" s="23">
        <f>'QTR Raw'!AX28</f>
        <v>13.02</v>
      </c>
      <c r="CE32" s="23">
        <f>'QTR Raw'!AY28</f>
        <v>12.53</v>
      </c>
      <c r="CF32" s="23">
        <f>'QTR Raw'!AZ28</f>
        <v>12.77</v>
      </c>
      <c r="CG32" s="23">
        <f>'QTR Raw'!BA28</f>
        <v>12.82</v>
      </c>
      <c r="CH32" s="23">
        <f>'QTR Raw'!BB28</f>
        <v>12.53</v>
      </c>
      <c r="CI32" s="23">
        <f>'QTR Raw'!BC28</f>
        <v>12.98</v>
      </c>
      <c r="CJ32" s="23">
        <f>'QTR Raw'!BD28</f>
        <v>14.86</v>
      </c>
      <c r="CK32" s="23">
        <f>'QTR Raw'!BE28</f>
        <v>15.11</v>
      </c>
      <c r="CL32" s="23">
        <f>'QTR Raw'!BF28</f>
        <v>14.95</v>
      </c>
      <c r="CM32" s="24">
        <f t="shared" ref="CM32:DB32" si="424">CM33*CL134</f>
        <v>15.03731015306079</v>
      </c>
      <c r="CN32" s="24">
        <f t="shared" si="424"/>
        <v>15.03731015306079</v>
      </c>
      <c r="CO32" s="24">
        <f t="shared" si="424"/>
        <v>15.03731015306079</v>
      </c>
      <c r="CP32" s="24">
        <f t="shared" si="424"/>
        <v>15.03731015306079</v>
      </c>
      <c r="CQ32" s="24">
        <f t="shared" si="424"/>
        <v>15.03731015306079</v>
      </c>
      <c r="CR32" s="24">
        <f t="shared" si="424"/>
        <v>15.03731015306079</v>
      </c>
      <c r="CS32" s="24">
        <f t="shared" si="424"/>
        <v>15.03731015306079</v>
      </c>
      <c r="CT32" s="24">
        <f t="shared" si="424"/>
        <v>15.03731015306079</v>
      </c>
      <c r="CU32" s="24">
        <f t="shared" si="424"/>
        <v>15.03731015306079</v>
      </c>
      <c r="CV32" s="24">
        <f t="shared" si="424"/>
        <v>15.03731015306079</v>
      </c>
      <c r="CW32" s="24">
        <f t="shared" si="424"/>
        <v>15.03731015306079</v>
      </c>
      <c r="CX32" s="24">
        <f t="shared" si="424"/>
        <v>15.03731015306079</v>
      </c>
      <c r="CY32" s="24">
        <f t="shared" si="424"/>
        <v>15.03731015306079</v>
      </c>
      <c r="CZ32" s="24">
        <f t="shared" si="424"/>
        <v>15.03731015306079</v>
      </c>
      <c r="DA32" s="24">
        <f t="shared" si="424"/>
        <v>15.03731015306079</v>
      </c>
      <c r="DB32" s="24">
        <f t="shared" si="424"/>
        <v>15.03731015306079</v>
      </c>
      <c r="DE32" s="123"/>
      <c r="DF32" s="23">
        <v>57.900000000000006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 t="e">
        <f t="shared" si="425"/>
        <v>#DIV/0!</v>
      </c>
      <c r="D33" s="46" t="e">
        <f t="shared" si="425"/>
        <v>#DIV/0!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 t="e">
        <f t="shared" si="426"/>
        <v>#DIV/0!</v>
      </c>
      <c r="I33" s="46" t="e">
        <f t="shared" si="426"/>
        <v>#DIV/0!</v>
      </c>
      <c r="J33" s="46" t="e">
        <f t="shared" si="426"/>
        <v>#DIV/0!</v>
      </c>
      <c r="K33" s="46" t="e">
        <f t="shared" si="426"/>
        <v>#DIV/0!</v>
      </c>
      <c r="L33" s="46" t="e">
        <f t="shared" si="426"/>
        <v>#DIV/0!</v>
      </c>
      <c r="M33" s="46" t="e">
        <f t="shared" si="426"/>
        <v>#DIV/0!</v>
      </c>
      <c r="N33" s="46" t="e">
        <f t="shared" si="426"/>
        <v>#DIV/0!</v>
      </c>
      <c r="O33" s="46" t="e">
        <f t="shared" si="426"/>
        <v>#DIV/0!</v>
      </c>
      <c r="P33" s="46" t="e">
        <f t="shared" si="426"/>
        <v>#DIV/0!</v>
      </c>
      <c r="Q33" s="46" t="e">
        <f t="shared" si="426"/>
        <v>#DIV/0!</v>
      </c>
      <c r="R33" s="46" t="e">
        <f t="shared" si="426"/>
        <v>#DIV/0!</v>
      </c>
      <c r="S33" s="46" t="e">
        <f t="shared" si="426"/>
        <v>#DIV/0!</v>
      </c>
      <c r="T33" s="46" t="e">
        <f t="shared" si="426"/>
        <v>#DIV/0!</v>
      </c>
      <c r="U33" s="46" t="e">
        <f t="shared" si="426"/>
        <v>#DIV/0!</v>
      </c>
      <c r="V33" s="46" t="e">
        <f t="shared" si="426"/>
        <v>#DIV/0!</v>
      </c>
      <c r="W33" s="46" t="e">
        <f t="shared" si="426"/>
        <v>#DIV/0!</v>
      </c>
      <c r="X33" s="46" t="e">
        <f t="shared" si="426"/>
        <v>#DIV/0!</v>
      </c>
      <c r="Y33" s="46">
        <f t="shared" si="426"/>
        <v>4.4468230941851407E-2</v>
      </c>
      <c r="Z33" s="46">
        <f t="shared" si="426"/>
        <v>4.9408367719216091E-2</v>
      </c>
      <c r="AA33" s="46">
        <f t="shared" ref="AA33" si="427">+AA32/AA134</f>
        <v>4.8651373834131588E-2</v>
      </c>
      <c r="AB33" s="110">
        <f t="shared" si="426"/>
        <v>5.0541333175567742E-2</v>
      </c>
      <c r="AC33" s="110">
        <f t="shared" si="426"/>
        <v>5.0541333175567742E-2</v>
      </c>
      <c r="AD33" s="110">
        <f t="shared" si="426"/>
        <v>5.0541333175567742E-2</v>
      </c>
      <c r="AE33" s="110">
        <f t="shared" si="426"/>
        <v>5.0541333175567742E-2</v>
      </c>
      <c r="AI33" s="46" t="e">
        <f t="shared" ref="AI33:BN33" si="428">+AI32/AH134</f>
        <v>#DIV/0!</v>
      </c>
      <c r="AJ33" s="46" t="e">
        <f t="shared" si="428"/>
        <v>#DIV/0!</v>
      </c>
      <c r="AK33" s="46" t="e">
        <f t="shared" si="428"/>
        <v>#DIV/0!</v>
      </c>
      <c r="AL33" s="46" t="e">
        <f t="shared" si="428"/>
        <v>#DIV/0!</v>
      </c>
      <c r="AM33" s="46" t="e">
        <f t="shared" si="428"/>
        <v>#DIV/0!</v>
      </c>
      <c r="AN33" s="46" t="e">
        <f t="shared" si="428"/>
        <v>#DIV/0!</v>
      </c>
      <c r="AO33" s="46" t="e">
        <f t="shared" si="428"/>
        <v>#DIV/0!</v>
      </c>
      <c r="AP33" s="46" t="e">
        <f t="shared" si="428"/>
        <v>#DIV/0!</v>
      </c>
      <c r="AQ33" s="46" t="e">
        <f t="shared" si="428"/>
        <v>#DIV/0!</v>
      </c>
      <c r="AR33" s="46" t="e">
        <f t="shared" si="428"/>
        <v>#DIV/0!</v>
      </c>
      <c r="AS33" s="46" t="e">
        <f t="shared" si="428"/>
        <v>#DIV/0!</v>
      </c>
      <c r="AT33" s="46" t="e">
        <f t="shared" si="428"/>
        <v>#DIV/0!</v>
      </c>
      <c r="AU33" s="46" t="e">
        <f t="shared" si="428"/>
        <v>#DIV/0!</v>
      </c>
      <c r="AV33" s="46" t="e">
        <f t="shared" si="428"/>
        <v>#DIV/0!</v>
      </c>
      <c r="AW33" s="46" t="e">
        <f t="shared" si="428"/>
        <v>#DIV/0!</v>
      </c>
      <c r="AX33" s="46" t="e">
        <f t="shared" si="428"/>
        <v>#DIV/0!</v>
      </c>
      <c r="AY33" s="46" t="e">
        <f t="shared" si="428"/>
        <v>#DIV/0!</v>
      </c>
      <c r="AZ33" s="46" t="e">
        <f t="shared" si="428"/>
        <v>#DIV/0!</v>
      </c>
      <c r="BA33" s="46" t="e">
        <f t="shared" si="428"/>
        <v>#DIV/0!</v>
      </c>
      <c r="BB33" s="46" t="e">
        <f t="shared" si="428"/>
        <v>#DIV/0!</v>
      </c>
      <c r="BC33" s="46" t="e">
        <f t="shared" si="428"/>
        <v>#DIV/0!</v>
      </c>
      <c r="BD33" s="46" t="e">
        <f t="shared" si="428"/>
        <v>#DIV/0!</v>
      </c>
      <c r="BE33" s="46" t="e">
        <f t="shared" si="428"/>
        <v>#DIV/0!</v>
      </c>
      <c r="BF33" s="46" t="e">
        <f t="shared" si="428"/>
        <v>#DIV/0!</v>
      </c>
      <c r="BG33" s="46" t="e">
        <f t="shared" si="428"/>
        <v>#DIV/0!</v>
      </c>
      <c r="BH33" s="46" t="e">
        <f t="shared" si="428"/>
        <v>#DIV/0!</v>
      </c>
      <c r="BI33" s="46" t="e">
        <f t="shared" si="428"/>
        <v>#DIV/0!</v>
      </c>
      <c r="BJ33" s="46" t="e">
        <f t="shared" si="428"/>
        <v>#DIV/0!</v>
      </c>
      <c r="BK33" s="46" t="e">
        <f t="shared" si="428"/>
        <v>#DIV/0!</v>
      </c>
      <c r="BL33" s="46" t="e">
        <f t="shared" si="428"/>
        <v>#DIV/0!</v>
      </c>
      <c r="BM33" s="46" t="e">
        <f t="shared" si="428"/>
        <v>#DIV/0!</v>
      </c>
      <c r="BN33" s="46" t="e">
        <f t="shared" si="428"/>
        <v>#DIV/0!</v>
      </c>
      <c r="BO33" s="46" t="e">
        <f t="shared" ref="BO33:CL33" si="429">+BO32/BN134</f>
        <v>#DIV/0!</v>
      </c>
      <c r="BP33" s="46" t="e">
        <f t="shared" si="429"/>
        <v>#DIV/0!</v>
      </c>
      <c r="BQ33" s="46" t="e">
        <f t="shared" si="429"/>
        <v>#DIV/0!</v>
      </c>
      <c r="BR33" s="46" t="e">
        <f t="shared" si="429"/>
        <v>#DIV/0!</v>
      </c>
      <c r="BS33" s="46" t="e">
        <f t="shared" si="429"/>
        <v>#DIV/0!</v>
      </c>
      <c r="BT33" s="46" t="e">
        <f t="shared" si="429"/>
        <v>#DIV/0!</v>
      </c>
      <c r="BU33" s="46" t="e">
        <f t="shared" si="429"/>
        <v>#DIV/0!</v>
      </c>
      <c r="BV33" s="46" t="e">
        <f t="shared" si="429"/>
        <v>#DIV/0!</v>
      </c>
      <c r="BW33" s="46" t="e">
        <f t="shared" si="429"/>
        <v>#DIV/0!</v>
      </c>
      <c r="BX33" s="46" t="e">
        <f t="shared" si="429"/>
        <v>#DIV/0!</v>
      </c>
      <c r="BY33" s="46" t="e">
        <f t="shared" si="429"/>
        <v>#DIV/0!</v>
      </c>
      <c r="BZ33" s="46" t="e">
        <f t="shared" si="429"/>
        <v>#DIV/0!</v>
      </c>
      <c r="CA33" s="46" t="e">
        <f t="shared" si="429"/>
        <v>#DIV/0!</v>
      </c>
      <c r="CB33" s="46" t="e">
        <f t="shared" si="429"/>
        <v>#DIV/0!</v>
      </c>
      <c r="CC33" s="46">
        <f t="shared" si="429"/>
        <v>1.2095982405843773E-2</v>
      </c>
      <c r="CD33" s="46">
        <f t="shared" si="429"/>
        <v>1.2783254133448533E-2</v>
      </c>
      <c r="CE33" s="46">
        <f t="shared" si="429"/>
        <v>1.176492680957344E-2</v>
      </c>
      <c r="CF33" s="46">
        <f t="shared" si="429"/>
        <v>1.1990272574481469E-2</v>
      </c>
      <c r="CG33" s="46">
        <f t="shared" si="429"/>
        <v>1.2326330464881496E-2</v>
      </c>
      <c r="CH33" s="46">
        <f t="shared" si="429"/>
        <v>1.2047497716455939E-2</v>
      </c>
      <c r="CI33" s="46">
        <f t="shared" si="429"/>
        <v>1.2661808746207797E-2</v>
      </c>
      <c r="CJ33" s="46">
        <f t="shared" si="429"/>
        <v>1.4681618337202981E-2</v>
      </c>
      <c r="CK33" s="46">
        <f t="shared" si="429"/>
        <v>1.2770560941184424E-2</v>
      </c>
      <c r="CL33" s="46">
        <f t="shared" si="429"/>
        <v>1.2635333293891935E-2</v>
      </c>
      <c r="CM33" s="47">
        <f t="shared" ref="CM33" si="430">CL33</f>
        <v>1.2635333293891935E-2</v>
      </c>
      <c r="CN33" s="47">
        <f t="shared" ref="CN33" si="431">CM33</f>
        <v>1.2635333293891935E-2</v>
      </c>
      <c r="CO33" s="47">
        <f t="shared" ref="CO33" si="432">CN33</f>
        <v>1.2635333293891935E-2</v>
      </c>
      <c r="CP33" s="47">
        <f t="shared" ref="CP33" si="433">CO33</f>
        <v>1.2635333293891935E-2</v>
      </c>
      <c r="CQ33" s="47">
        <f t="shared" ref="CQ33" si="434">CP33</f>
        <v>1.2635333293891935E-2</v>
      </c>
      <c r="CR33" s="47">
        <f t="shared" ref="CR33" si="435">CQ33</f>
        <v>1.2635333293891935E-2</v>
      </c>
      <c r="CS33" s="47">
        <f t="shared" ref="CS33" si="436">CR33</f>
        <v>1.2635333293891935E-2</v>
      </c>
      <c r="CT33" s="47">
        <f t="shared" ref="CT33" si="437">CS33</f>
        <v>1.2635333293891935E-2</v>
      </c>
      <c r="CU33" s="47">
        <f t="shared" ref="CU33" si="438">CT33</f>
        <v>1.2635333293891935E-2</v>
      </c>
      <c r="CV33" s="47">
        <f t="shared" ref="CV33" si="439">CU33</f>
        <v>1.2635333293891935E-2</v>
      </c>
      <c r="CW33" s="47">
        <f t="shared" ref="CW33" si="440">CV33</f>
        <v>1.2635333293891935E-2</v>
      </c>
      <c r="CX33" s="47">
        <f t="shared" ref="CX33" si="441">CW33</f>
        <v>1.2635333293891935E-2</v>
      </c>
      <c r="CY33" s="47">
        <f t="shared" ref="CY33" si="442">CX33</f>
        <v>1.2635333293891935E-2</v>
      </c>
      <c r="CZ33" s="47">
        <f t="shared" ref="CZ33" si="443">CY33</f>
        <v>1.2635333293891935E-2</v>
      </c>
      <c r="DA33" s="47">
        <f t="shared" ref="DA33" si="444">CZ33</f>
        <v>1.2635333293891935E-2</v>
      </c>
      <c r="DB33" s="47">
        <f t="shared" ref="DB33" si="445">DA33</f>
        <v>1.2635333293891935E-2</v>
      </c>
      <c r="DE33" s="130"/>
      <c r="DF33" s="46">
        <v>4.8651373834131595E-2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0</v>
      </c>
      <c r="D34" s="26">
        <f>D28-D32</f>
        <v>0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0</v>
      </c>
      <c r="I34" s="26">
        <f t="shared" si="446"/>
        <v>0</v>
      </c>
      <c r="J34" s="26">
        <f t="shared" si="446"/>
        <v>0</v>
      </c>
      <c r="K34" s="26">
        <f t="shared" si="446"/>
        <v>0</v>
      </c>
      <c r="L34" s="26">
        <f t="shared" si="446"/>
        <v>0</v>
      </c>
      <c r="M34" s="26">
        <f t="shared" si="446"/>
        <v>0</v>
      </c>
      <c r="N34" s="26">
        <f t="shared" si="446"/>
        <v>0</v>
      </c>
      <c r="O34" s="26">
        <f t="shared" si="446"/>
        <v>0</v>
      </c>
      <c r="P34" s="26">
        <f t="shared" si="446"/>
        <v>0</v>
      </c>
      <c r="Q34" s="26">
        <f t="shared" si="446"/>
        <v>0</v>
      </c>
      <c r="R34" s="26">
        <f t="shared" si="446"/>
        <v>0</v>
      </c>
      <c r="S34" s="26">
        <f t="shared" si="446"/>
        <v>0</v>
      </c>
      <c r="T34" s="26">
        <f t="shared" si="446"/>
        <v>0</v>
      </c>
      <c r="U34" s="26">
        <f t="shared" ref="U34:Z34" si="447">U28-U32</f>
        <v>0</v>
      </c>
      <c r="V34" s="26">
        <f t="shared" si="447"/>
        <v>-5.8151000000000001E-3</v>
      </c>
      <c r="W34" s="26">
        <f t="shared" si="447"/>
        <v>-1.1800000000000001E-3</v>
      </c>
      <c r="X34" s="26">
        <f t="shared" si="447"/>
        <v>-0.01</v>
      </c>
      <c r="Y34" s="26">
        <f t="shared" si="447"/>
        <v>36.840000000000188</v>
      </c>
      <c r="Z34" s="26">
        <f t="shared" si="447"/>
        <v>60.100000000000115</v>
      </c>
      <c r="AA34" s="26">
        <f t="shared" ref="AA34" si="448">AA28-AA32</f>
        <v>82.62999999999991</v>
      </c>
      <c r="AB34" s="27">
        <f t="shared" ref="AB34:AD34" si="449">AB28-AB32</f>
        <v>105.20401698629313</v>
      </c>
      <c r="AC34" s="27">
        <f t="shared" si="449"/>
        <v>137.42300523434812</v>
      </c>
      <c r="AD34" s="27">
        <f t="shared" si="449"/>
        <v>176.07314174095495</v>
      </c>
      <c r="AE34" s="27">
        <f t="shared" ref="AE34" si="450">AE28-AE32</f>
        <v>222.24791859193374</v>
      </c>
      <c r="AI34" s="26">
        <f t="shared" ref="AI34" si="451">AI28-AI32</f>
        <v>0</v>
      </c>
      <c r="AJ34" s="26">
        <f t="shared" ref="AJ34" si="452">AJ28-AJ32</f>
        <v>0</v>
      </c>
      <c r="AK34" s="26">
        <f t="shared" ref="AK34:AM34" si="453">AK28-AK32</f>
        <v>0</v>
      </c>
      <c r="AL34" s="26">
        <f t="shared" si="453"/>
        <v>0</v>
      </c>
      <c r="AM34" s="26">
        <f t="shared" si="453"/>
        <v>0</v>
      </c>
      <c r="AN34" s="26">
        <f t="shared" ref="AN34:AO34" si="454">AN28-AN32</f>
        <v>0</v>
      </c>
      <c r="AO34" s="26">
        <f t="shared" si="454"/>
        <v>0</v>
      </c>
      <c r="AP34" s="26">
        <f t="shared" ref="AP34:CD34" si="455">AP28-AP32</f>
        <v>0</v>
      </c>
      <c r="AQ34" s="26">
        <f t="shared" si="455"/>
        <v>0</v>
      </c>
      <c r="AR34" s="26">
        <f t="shared" si="455"/>
        <v>0</v>
      </c>
      <c r="AS34" s="26">
        <f t="shared" si="455"/>
        <v>0</v>
      </c>
      <c r="AT34" s="26">
        <f t="shared" si="455"/>
        <v>0</v>
      </c>
      <c r="AU34" s="26">
        <f t="shared" si="455"/>
        <v>0</v>
      </c>
      <c r="AV34" s="26">
        <f t="shared" si="455"/>
        <v>0</v>
      </c>
      <c r="AW34" s="26">
        <f t="shared" si="455"/>
        <v>0</v>
      </c>
      <c r="AX34" s="26">
        <f t="shared" si="455"/>
        <v>0</v>
      </c>
      <c r="AY34" s="26">
        <f t="shared" si="455"/>
        <v>0</v>
      </c>
      <c r="AZ34" s="26">
        <f t="shared" si="455"/>
        <v>0</v>
      </c>
      <c r="BA34" s="26">
        <f t="shared" si="455"/>
        <v>0</v>
      </c>
      <c r="BB34" s="26">
        <f t="shared" si="455"/>
        <v>0</v>
      </c>
      <c r="BC34" s="26">
        <f t="shared" si="455"/>
        <v>0</v>
      </c>
      <c r="BD34" s="26">
        <f t="shared" si="455"/>
        <v>0</v>
      </c>
      <c r="BE34" s="26">
        <f t="shared" si="455"/>
        <v>0</v>
      </c>
      <c r="BF34" s="26">
        <f t="shared" si="455"/>
        <v>0</v>
      </c>
      <c r="BG34" s="26">
        <f t="shared" si="455"/>
        <v>0</v>
      </c>
      <c r="BH34" s="26">
        <f t="shared" si="455"/>
        <v>0</v>
      </c>
      <c r="BI34" s="26">
        <f t="shared" si="455"/>
        <v>0</v>
      </c>
      <c r="BJ34" s="26">
        <f t="shared" si="455"/>
        <v>0</v>
      </c>
      <c r="BK34" s="26">
        <f t="shared" si="455"/>
        <v>0</v>
      </c>
      <c r="BL34" s="26">
        <f t="shared" si="455"/>
        <v>0</v>
      </c>
      <c r="BM34" s="26">
        <f t="shared" si="455"/>
        <v>0</v>
      </c>
      <c r="BN34" s="26">
        <f t="shared" si="455"/>
        <v>0</v>
      </c>
      <c r="BO34" s="26">
        <f t="shared" si="455"/>
        <v>0</v>
      </c>
      <c r="BP34" s="26">
        <f t="shared" si="455"/>
        <v>0</v>
      </c>
      <c r="BQ34" s="26">
        <f t="shared" si="455"/>
        <v>0</v>
      </c>
      <c r="BR34" s="26">
        <f t="shared" si="455"/>
        <v>0</v>
      </c>
      <c r="BS34" s="26">
        <f t="shared" si="455"/>
        <v>0</v>
      </c>
      <c r="BT34" s="26">
        <f t="shared" si="455"/>
        <v>0</v>
      </c>
      <c r="BU34" s="26">
        <f t="shared" si="455"/>
        <v>0</v>
      </c>
      <c r="BV34" s="26">
        <f t="shared" si="455"/>
        <v>0</v>
      </c>
      <c r="BW34" s="26">
        <f t="shared" si="455"/>
        <v>0</v>
      </c>
      <c r="BX34" s="26">
        <f t="shared" si="455"/>
        <v>0</v>
      </c>
      <c r="BY34" s="26">
        <f t="shared" si="455"/>
        <v>0</v>
      </c>
      <c r="BZ34" s="26">
        <f t="shared" si="455"/>
        <v>-0.01</v>
      </c>
      <c r="CA34" s="26">
        <f t="shared" si="455"/>
        <v>5.7699999999999836</v>
      </c>
      <c r="CB34" s="26">
        <f t="shared" si="455"/>
        <v>8.9599999999999955</v>
      </c>
      <c r="CC34" s="26">
        <f t="shared" si="455"/>
        <v>6.2399999999999949</v>
      </c>
      <c r="CD34" s="26">
        <f t="shared" si="455"/>
        <v>15.299999999999994</v>
      </c>
      <c r="CE34" s="26">
        <f t="shared" ref="CE34:CF34" si="456">CE28-CE32</f>
        <v>15.860000000000015</v>
      </c>
      <c r="CF34" s="26">
        <f t="shared" si="456"/>
        <v>14.349999999999977</v>
      </c>
      <c r="CG34" s="26">
        <f t="shared" ref="CG34:CH34" si="457">CG28-CG32</f>
        <v>10.619999999999983</v>
      </c>
      <c r="CH34" s="26">
        <f t="shared" si="457"/>
        <v>18.240000000000009</v>
      </c>
      <c r="CI34" s="26">
        <f t="shared" ref="CI34:CJ34" si="458">CI28-CI32</f>
        <v>17.019999999999971</v>
      </c>
      <c r="CJ34" s="26">
        <f t="shared" si="458"/>
        <v>21.950000000000003</v>
      </c>
      <c r="CK34" s="26">
        <f t="shared" ref="CK34:CL34" si="459">CK28-CK32</f>
        <v>16.799999999999997</v>
      </c>
      <c r="CL34" s="26">
        <f t="shared" si="459"/>
        <v>26.239999999999984</v>
      </c>
      <c r="CM34" s="27">
        <f t="shared" ref="CM34:DB34" si="460">CM28-CM32</f>
        <v>17.346429279307056</v>
      </c>
      <c r="CN34" s="27">
        <f t="shared" si="460"/>
        <v>27.140500240627258</v>
      </c>
      <c r="CO34" s="27">
        <f t="shared" si="460"/>
        <v>28.832656644674184</v>
      </c>
      <c r="CP34" s="27">
        <f t="shared" si="460"/>
        <v>31.884430821684614</v>
      </c>
      <c r="CQ34" s="27">
        <f t="shared" si="460"/>
        <v>23.041603010673068</v>
      </c>
      <c r="CR34" s="27">
        <f t="shared" si="460"/>
        <v>35.63847965224538</v>
      </c>
      <c r="CS34" s="27">
        <f t="shared" si="460"/>
        <v>38.311090659243774</v>
      </c>
      <c r="CT34" s="27">
        <f t="shared" si="460"/>
        <v>40.431831912186141</v>
      </c>
      <c r="CU34" s="27">
        <f t="shared" si="460"/>
        <v>30.418249148871492</v>
      </c>
      <c r="CV34" s="27">
        <f t="shared" si="460"/>
        <v>45.683645648905227</v>
      </c>
      <c r="CW34" s="27">
        <f t="shared" si="460"/>
        <v>48.842839115419167</v>
      </c>
      <c r="CX34" s="27">
        <f t="shared" si="460"/>
        <v>51.12840782775902</v>
      </c>
      <c r="CY34" s="27">
        <f t="shared" si="460"/>
        <v>39.306882762351506</v>
      </c>
      <c r="CZ34" s="27">
        <f t="shared" si="460"/>
        <v>57.585079218110138</v>
      </c>
      <c r="DA34" s="27">
        <f t="shared" si="460"/>
        <v>61.328077691543086</v>
      </c>
      <c r="DB34" s="27">
        <f t="shared" si="460"/>
        <v>64.027878919929208</v>
      </c>
      <c r="DE34" s="121"/>
      <c r="DF34" s="26">
        <v>82.009999999999906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0</v>
      </c>
      <c r="W35" s="23">
        <f>'Annual Raw'!X23</f>
        <v>0</v>
      </c>
      <c r="X35" s="23">
        <f>'Annual Raw'!Y23</f>
        <v>0</v>
      </c>
      <c r="Y35" s="23">
        <f>'Annual Raw'!Z23</f>
        <v>5.63</v>
      </c>
      <c r="Z35" s="23">
        <f>'Annual Raw'!AA23</f>
        <v>6.96</v>
      </c>
      <c r="AA35" s="23">
        <f>'Annual Raw'!AB23</f>
        <v>16.2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0</v>
      </c>
      <c r="BU35" s="23">
        <f>'QTR Raw'!AO23</f>
        <v>0</v>
      </c>
      <c r="BV35" s="23">
        <f>'QTR Raw'!AP23</f>
        <v>0</v>
      </c>
      <c r="BW35" s="23">
        <f>'QTR Raw'!AQ23</f>
        <v>0</v>
      </c>
      <c r="BX35" s="23">
        <f>'QTR Raw'!AR23</f>
        <v>0</v>
      </c>
      <c r="BY35" s="23">
        <f>'QTR Raw'!AS23</f>
        <v>0</v>
      </c>
      <c r="BZ35" s="23">
        <f>'QTR Raw'!AT23</f>
        <v>0</v>
      </c>
      <c r="CA35" s="23">
        <f>'QTR Raw'!AU23</f>
        <v>1.47</v>
      </c>
      <c r="CB35" s="23">
        <f>'QTR Raw'!AV23</f>
        <v>1.1499999999999999</v>
      </c>
      <c r="CC35" s="23">
        <f>'QTR Raw'!AW23</f>
        <v>1.65</v>
      </c>
      <c r="CD35" s="23">
        <f>'QTR Raw'!AX23</f>
        <v>1.36</v>
      </c>
      <c r="CE35" s="23">
        <f>'QTR Raw'!AY23</f>
        <v>0.85</v>
      </c>
      <c r="CF35" s="23">
        <f>'QTR Raw'!AZ23</f>
        <v>2.0299999999999998</v>
      </c>
      <c r="CG35" s="23">
        <f>'QTR Raw'!BA23</f>
        <v>2.61</v>
      </c>
      <c r="CH35" s="23">
        <f>'QTR Raw'!BB23</f>
        <v>1.47</v>
      </c>
      <c r="CI35" s="23">
        <f>'QTR Raw'!BC23</f>
        <v>2.3199999999999998</v>
      </c>
      <c r="CJ35" s="23">
        <f>'QTR Raw'!BD23</f>
        <v>1.25</v>
      </c>
      <c r="CK35" s="23">
        <f>'QTR Raw'!BE23</f>
        <v>1.81</v>
      </c>
      <c r="CL35" s="23">
        <f>'QTR Raw'!BF23</f>
        <v>10.82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16.2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7.92</v>
      </c>
      <c r="Z36" s="23">
        <f>'Annual Raw'!AA25</f>
        <v>3.77</v>
      </c>
      <c r="AA36" s="23">
        <f>'Annual Raw'!AB25</f>
        <v>5.87</v>
      </c>
      <c r="AB36" s="76">
        <f t="shared" si="461"/>
        <v>-64.900930269522746</v>
      </c>
      <c r="AC36" s="76">
        <f t="shared" si="462"/>
        <v>-51.464138450040977</v>
      </c>
      <c r="AD36" s="76">
        <f t="shared" si="463"/>
        <v>-41.543640972879253</v>
      </c>
      <c r="AE36" s="76">
        <f t="shared" si="464"/>
        <v>-33.33271818110773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1.6</v>
      </c>
      <c r="CB36" s="23">
        <f>'QTR Raw'!AV25</f>
        <v>1.74</v>
      </c>
      <c r="CC36" s="23">
        <f>'QTR Raw'!AW25</f>
        <v>1.71</v>
      </c>
      <c r="CD36" s="23">
        <f>'QTR Raw'!AX25</f>
        <v>2.2999999999999998</v>
      </c>
      <c r="CE36" s="23">
        <f>'QTR Raw'!AY25</f>
        <v>1.02</v>
      </c>
      <c r="CF36" s="23">
        <f>'QTR Raw'!AZ25</f>
        <v>0.46</v>
      </c>
      <c r="CG36" s="23">
        <f>'QTR Raw'!BA25</f>
        <v>0.59</v>
      </c>
      <c r="CH36" s="23">
        <f>'QTR Raw'!BB25</f>
        <v>0.67</v>
      </c>
      <c r="CI36" s="23">
        <f>'QTR Raw'!BC25</f>
        <v>1.23</v>
      </c>
      <c r="CJ36" s="23">
        <f>'QTR Raw'!BD25</f>
        <v>1.48</v>
      </c>
      <c r="CK36" s="23">
        <f>'QTR Raw'!BE25</f>
        <v>0.91</v>
      </c>
      <c r="CL36" s="23">
        <f>'QTR Raw'!BF25</f>
        <v>1.63</v>
      </c>
      <c r="CM36" s="24">
        <f t="shared" ref="CM36:DB36" si="465">CM37*CL168</f>
        <v>-21.133557734834927</v>
      </c>
      <c r="CN36" s="24">
        <f t="shared" si="465"/>
        <v>0.82013093353389765</v>
      </c>
      <c r="CO36" s="24">
        <f t="shared" si="465"/>
        <v>-23.026615263732953</v>
      </c>
      <c r="CP36" s="24">
        <f t="shared" si="465"/>
        <v>-21.560888204488759</v>
      </c>
      <c r="CQ36" s="24">
        <f t="shared" si="465"/>
        <v>-18.727320601000002</v>
      </c>
      <c r="CR36" s="24">
        <f t="shared" si="465"/>
        <v>8.794235100768244</v>
      </c>
      <c r="CS36" s="24">
        <f t="shared" si="465"/>
        <v>-21.366875390915318</v>
      </c>
      <c r="CT36" s="24">
        <f t="shared" si="465"/>
        <v>-20.164177558893904</v>
      </c>
      <c r="CU36" s="24">
        <f t="shared" si="465"/>
        <v>-16.967141474343563</v>
      </c>
      <c r="CV36" s="24">
        <f t="shared" si="465"/>
        <v>15.809575011361796</v>
      </c>
      <c r="CW36" s="24">
        <f t="shared" si="465"/>
        <v>-20.797683517686878</v>
      </c>
      <c r="CX36" s="24">
        <f t="shared" si="465"/>
        <v>-19.588390992210606</v>
      </c>
      <c r="CY36" s="24">
        <f t="shared" si="465"/>
        <v>-15.923599020398507</v>
      </c>
      <c r="CZ36" s="24">
        <f t="shared" si="465"/>
        <v>23.074688727693857</v>
      </c>
      <c r="DA36" s="24">
        <f t="shared" si="465"/>
        <v>-20.901813708316379</v>
      </c>
      <c r="DB36" s="24">
        <f t="shared" si="465"/>
        <v>-19.581994180086699</v>
      </c>
      <c r="DE36" s="123"/>
      <c r="DF36" s="23">
        <v>5.25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 t="e">
        <f t="shared" si="466"/>
        <v>#DIV/0!</v>
      </c>
      <c r="D37" s="46" t="e">
        <f t="shared" si="466"/>
        <v>#DIV/0!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 t="e">
        <f t="shared" si="467"/>
        <v>#DIV/0!</v>
      </c>
      <c r="I37" s="46" t="e">
        <f t="shared" si="467"/>
        <v>#DIV/0!</v>
      </c>
      <c r="J37" s="46" t="e">
        <f t="shared" si="467"/>
        <v>#DIV/0!</v>
      </c>
      <c r="K37" s="46" t="e">
        <f t="shared" si="467"/>
        <v>#DIV/0!</v>
      </c>
      <c r="L37" s="46" t="e">
        <f t="shared" si="467"/>
        <v>#DIV/0!</v>
      </c>
      <c r="M37" s="46" t="e">
        <f t="shared" si="467"/>
        <v>#DIV/0!</v>
      </c>
      <c r="N37" s="46" t="e">
        <f t="shared" si="467"/>
        <v>#DIV/0!</v>
      </c>
      <c r="O37" s="46" t="e">
        <f t="shared" si="467"/>
        <v>#DIV/0!</v>
      </c>
      <c r="P37" s="46" t="e">
        <f t="shared" si="467"/>
        <v>#DIV/0!</v>
      </c>
      <c r="Q37" s="46" t="e">
        <f t="shared" si="467"/>
        <v>#DIV/0!</v>
      </c>
      <c r="R37" s="46" t="e">
        <f t="shared" si="467"/>
        <v>#DIV/0!</v>
      </c>
      <c r="S37" s="46" t="e">
        <f t="shared" si="467"/>
        <v>#DIV/0!</v>
      </c>
      <c r="T37" s="46" t="e">
        <f t="shared" si="467"/>
        <v>#DIV/0!</v>
      </c>
      <c r="U37" s="46" t="e">
        <f t="shared" si="467"/>
        <v>#DIV/0!</v>
      </c>
      <c r="V37" s="46" t="e">
        <f t="shared" si="467"/>
        <v>#DIV/0!</v>
      </c>
      <c r="W37" s="46" t="e">
        <f t="shared" si="467"/>
        <v>#DIV/0!</v>
      </c>
      <c r="X37" s="46" t="e">
        <f t="shared" si="467"/>
        <v>#DIV/0!</v>
      </c>
      <c r="Y37" s="46">
        <f t="shared" si="467"/>
        <v>0.11053733426378226</v>
      </c>
      <c r="Z37" s="46">
        <f t="shared" si="467"/>
        <v>5.9651898734177221E-2</v>
      </c>
      <c r="AA37" s="46">
        <f t="shared" ref="AA37" si="468">+AA36/AA128</f>
        <v>4.3933837287628168E-2</v>
      </c>
      <c r="AB37" s="110">
        <f t="shared" si="467"/>
        <v>-0.48354142653496307</v>
      </c>
      <c r="AC37" s="110">
        <f t="shared" si="467"/>
        <v>-0.38343122075727148</v>
      </c>
      <c r="AD37" s="110">
        <f t="shared" si="467"/>
        <v>-0.3095190059073108</v>
      </c>
      <c r="AE37" s="110">
        <f t="shared" si="467"/>
        <v>-0.24834389942711765</v>
      </c>
      <c r="AI37" s="46" t="e">
        <f t="shared" ref="AI37:BN37" si="469">(AI36-AI35)/AH168</f>
        <v>#DIV/0!</v>
      </c>
      <c r="AJ37" s="46" t="e">
        <f t="shared" si="469"/>
        <v>#DIV/0!</v>
      </c>
      <c r="AK37" s="46" t="e">
        <f t="shared" si="469"/>
        <v>#DIV/0!</v>
      </c>
      <c r="AL37" s="46" t="e">
        <f t="shared" si="469"/>
        <v>#DIV/0!</v>
      </c>
      <c r="AM37" s="46" t="e">
        <f t="shared" si="469"/>
        <v>#DIV/0!</v>
      </c>
      <c r="AN37" s="46" t="e">
        <f t="shared" si="469"/>
        <v>#DIV/0!</v>
      </c>
      <c r="AO37" s="46" t="e">
        <f t="shared" si="469"/>
        <v>#DIV/0!</v>
      </c>
      <c r="AP37" s="46" t="e">
        <f t="shared" si="469"/>
        <v>#DIV/0!</v>
      </c>
      <c r="AQ37" s="46" t="e">
        <f t="shared" si="469"/>
        <v>#DIV/0!</v>
      </c>
      <c r="AR37" s="46" t="e">
        <f t="shared" si="469"/>
        <v>#DIV/0!</v>
      </c>
      <c r="AS37" s="46" t="e">
        <f t="shared" si="469"/>
        <v>#DIV/0!</v>
      </c>
      <c r="AT37" s="46" t="e">
        <f t="shared" si="469"/>
        <v>#DIV/0!</v>
      </c>
      <c r="AU37" s="46" t="e">
        <f t="shared" si="469"/>
        <v>#DIV/0!</v>
      </c>
      <c r="AV37" s="46" t="e">
        <f t="shared" si="469"/>
        <v>#DIV/0!</v>
      </c>
      <c r="AW37" s="46" t="e">
        <f t="shared" si="469"/>
        <v>#DIV/0!</v>
      </c>
      <c r="AX37" s="46" t="e">
        <f t="shared" si="469"/>
        <v>#DIV/0!</v>
      </c>
      <c r="AY37" s="46" t="e">
        <f t="shared" si="469"/>
        <v>#DIV/0!</v>
      </c>
      <c r="AZ37" s="46" t="e">
        <f t="shared" si="469"/>
        <v>#DIV/0!</v>
      </c>
      <c r="BA37" s="46" t="e">
        <f t="shared" si="469"/>
        <v>#DIV/0!</v>
      </c>
      <c r="BB37" s="46" t="e">
        <f t="shared" si="469"/>
        <v>#DIV/0!</v>
      </c>
      <c r="BC37" s="46" t="e">
        <f t="shared" si="469"/>
        <v>#DIV/0!</v>
      </c>
      <c r="BD37" s="46" t="e">
        <f t="shared" si="469"/>
        <v>#DIV/0!</v>
      </c>
      <c r="BE37" s="46" t="e">
        <f t="shared" si="469"/>
        <v>#DIV/0!</v>
      </c>
      <c r="BF37" s="46" t="e">
        <f t="shared" si="469"/>
        <v>#DIV/0!</v>
      </c>
      <c r="BG37" s="46" t="e">
        <f t="shared" si="469"/>
        <v>#DIV/0!</v>
      </c>
      <c r="BH37" s="46" t="e">
        <f t="shared" si="469"/>
        <v>#DIV/0!</v>
      </c>
      <c r="BI37" s="46" t="e">
        <f t="shared" si="469"/>
        <v>#DIV/0!</v>
      </c>
      <c r="BJ37" s="46" t="e">
        <f t="shared" si="469"/>
        <v>#DIV/0!</v>
      </c>
      <c r="BK37" s="46" t="e">
        <f t="shared" si="469"/>
        <v>#DIV/0!</v>
      </c>
      <c r="BL37" s="46" t="e">
        <f t="shared" si="469"/>
        <v>#DIV/0!</v>
      </c>
      <c r="BM37" s="46" t="e">
        <f t="shared" si="469"/>
        <v>#DIV/0!</v>
      </c>
      <c r="BN37" s="46" t="e">
        <f t="shared" si="469"/>
        <v>#DIV/0!</v>
      </c>
      <c r="BO37" s="46" t="e">
        <f t="shared" ref="BO37:CL37" si="470">(BO36-BO35)/BN168</f>
        <v>#DIV/0!</v>
      </c>
      <c r="BP37" s="46" t="e">
        <f t="shared" si="470"/>
        <v>#DIV/0!</v>
      </c>
      <c r="BQ37" s="46" t="e">
        <f t="shared" si="470"/>
        <v>#DIV/0!</v>
      </c>
      <c r="BR37" s="46" t="e">
        <f t="shared" si="470"/>
        <v>#DIV/0!</v>
      </c>
      <c r="BS37" s="46" t="e">
        <f t="shared" si="470"/>
        <v>#DIV/0!</v>
      </c>
      <c r="BT37" s="46" t="e">
        <f t="shared" si="470"/>
        <v>#DIV/0!</v>
      </c>
      <c r="BU37" s="46" t="e">
        <f t="shared" si="470"/>
        <v>#DIV/0!</v>
      </c>
      <c r="BV37" s="46" t="e">
        <f t="shared" si="470"/>
        <v>#DIV/0!</v>
      </c>
      <c r="BW37" s="46" t="e">
        <f t="shared" si="470"/>
        <v>#DIV/0!</v>
      </c>
      <c r="BX37" s="46" t="e">
        <f t="shared" si="470"/>
        <v>#DIV/0!</v>
      </c>
      <c r="BY37" s="46" t="e">
        <f t="shared" si="470"/>
        <v>#DIV/0!</v>
      </c>
      <c r="BZ37" s="46" t="e">
        <f t="shared" si="470"/>
        <v>#DIV/0!</v>
      </c>
      <c r="CA37" s="46" t="e">
        <f t="shared" si="470"/>
        <v>#DIV/0!</v>
      </c>
      <c r="CB37" s="46" t="e">
        <f t="shared" si="470"/>
        <v>#DIV/0!</v>
      </c>
      <c r="CC37" s="46">
        <f t="shared" si="470"/>
        <v>3.91900718484651E-3</v>
      </c>
      <c r="CD37" s="46">
        <f t="shared" si="470"/>
        <v>-0.10049277715436156</v>
      </c>
      <c r="CE37" s="46">
        <f t="shared" si="470"/>
        <v>2.8399599064483807E-3</v>
      </c>
      <c r="CF37" s="46">
        <f t="shared" si="470"/>
        <v>-3.0911409391226E-2</v>
      </c>
      <c r="CG37" s="46">
        <f t="shared" si="470"/>
        <v>2.1899392888117951E-2</v>
      </c>
      <c r="CH37" s="46">
        <f t="shared" si="470"/>
        <v>6.6119891499302691E-3</v>
      </c>
      <c r="CI37" s="46">
        <f t="shared" si="470"/>
        <v>-1.8747850017199863E-2</v>
      </c>
      <c r="CJ37" s="46">
        <f t="shared" si="470"/>
        <v>3.4501308959784455E-2</v>
      </c>
      <c r="CK37" s="46">
        <f t="shared" si="470"/>
        <v>-1.8300122000813341E-2</v>
      </c>
      <c r="CL37" s="46">
        <f t="shared" si="470"/>
        <v>-0.18096898214450186</v>
      </c>
      <c r="CM37" s="47">
        <f t="shared" ref="CM37" si="471">+CL37</f>
        <v>-0.18096898214450186</v>
      </c>
      <c r="CN37" s="47">
        <f t="shared" ref="CN37" si="472">+CM37</f>
        <v>-0.18096898214450186</v>
      </c>
      <c r="CO37" s="47">
        <f t="shared" ref="CO37" si="473">+CN37</f>
        <v>-0.18096898214450186</v>
      </c>
      <c r="CP37" s="47">
        <f t="shared" ref="CP37" si="474">+CO37</f>
        <v>-0.18096898214450186</v>
      </c>
      <c r="CQ37" s="47">
        <f t="shared" ref="CQ37" si="475">+CP37</f>
        <v>-0.18096898214450186</v>
      </c>
      <c r="CR37" s="47">
        <f t="shared" ref="CR37" si="476">+CQ37</f>
        <v>-0.18096898214450186</v>
      </c>
      <c r="CS37" s="47">
        <f t="shared" ref="CS37" si="477">+CR37</f>
        <v>-0.18096898214450186</v>
      </c>
      <c r="CT37" s="47">
        <f t="shared" ref="CT37" si="478">+CS37</f>
        <v>-0.18096898214450186</v>
      </c>
      <c r="CU37" s="47">
        <f t="shared" ref="CU37" si="479">+CT37</f>
        <v>-0.18096898214450186</v>
      </c>
      <c r="CV37" s="47">
        <f t="shared" ref="CV37" si="480">+CU37</f>
        <v>-0.18096898214450186</v>
      </c>
      <c r="CW37" s="47">
        <f t="shared" ref="CW37" si="481">+CV37</f>
        <v>-0.18096898214450186</v>
      </c>
      <c r="CX37" s="47">
        <f t="shared" ref="CX37" si="482">+CW37</f>
        <v>-0.18096898214450186</v>
      </c>
      <c r="CY37" s="47">
        <f t="shared" ref="CY37" si="483">+CX37</f>
        <v>-0.18096898214450186</v>
      </c>
      <c r="CZ37" s="47">
        <f t="shared" ref="CZ37" si="484">+CY37</f>
        <v>-0.18096898214450186</v>
      </c>
      <c r="DA37" s="47">
        <f t="shared" ref="DA37" si="485">+CZ37</f>
        <v>-0.18096898214450186</v>
      </c>
      <c r="DB37" s="47">
        <f t="shared" ref="DB37" si="486">+DA37</f>
        <v>-0.18096898214450186</v>
      </c>
      <c r="DE37" s="130"/>
      <c r="DF37" s="46">
        <v>3.9114886008046489E-2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</v>
      </c>
      <c r="D38" s="26">
        <f>D34+D35-D36</f>
        <v>0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0</v>
      </c>
      <c r="I38" s="26">
        <f t="shared" si="487"/>
        <v>0</v>
      </c>
      <c r="J38" s="26">
        <f t="shared" si="487"/>
        <v>0</v>
      </c>
      <c r="K38" s="26">
        <f t="shared" si="487"/>
        <v>0</v>
      </c>
      <c r="L38" s="26">
        <f t="shared" si="487"/>
        <v>0</v>
      </c>
      <c r="M38" s="26">
        <f t="shared" si="487"/>
        <v>0</v>
      </c>
      <c r="N38" s="26">
        <f t="shared" si="487"/>
        <v>0</v>
      </c>
      <c r="O38" s="26">
        <f t="shared" si="487"/>
        <v>0</v>
      </c>
      <c r="P38" s="26">
        <f t="shared" si="487"/>
        <v>0</v>
      </c>
      <c r="Q38" s="26">
        <f t="shared" si="487"/>
        <v>0</v>
      </c>
      <c r="R38" s="26">
        <f t="shared" si="487"/>
        <v>0</v>
      </c>
      <c r="S38" s="26">
        <f t="shared" si="487"/>
        <v>0</v>
      </c>
      <c r="T38" s="26">
        <f t="shared" si="487"/>
        <v>0</v>
      </c>
      <c r="U38" s="26">
        <f t="shared" ref="U38:Z38" si="488">U34+U35-U36</f>
        <v>0</v>
      </c>
      <c r="V38" s="26">
        <f t="shared" si="488"/>
        <v>-5.8151000000000001E-3</v>
      </c>
      <c r="W38" s="26">
        <f t="shared" si="488"/>
        <v>-1.1800000000000001E-3</v>
      </c>
      <c r="X38" s="26">
        <f t="shared" si="488"/>
        <v>-0.01</v>
      </c>
      <c r="Y38" s="26">
        <f t="shared" si="488"/>
        <v>34.550000000000189</v>
      </c>
      <c r="Z38" s="26">
        <f t="shared" si="488"/>
        <v>63.290000000000113</v>
      </c>
      <c r="AA38" s="26">
        <f t="shared" ref="AA38" si="489">AA34+AA35-AA36</f>
        <v>92.959999999999908</v>
      </c>
      <c r="AB38" s="27">
        <f t="shared" ref="AB38:AD38" si="490">AB34+AB35-AB36</f>
        <v>170.10494725581589</v>
      </c>
      <c r="AC38" s="27">
        <f t="shared" si="490"/>
        <v>188.88714368438912</v>
      </c>
      <c r="AD38" s="27">
        <f t="shared" si="490"/>
        <v>217.6167827138342</v>
      </c>
      <c r="AE38" s="27">
        <f t="shared" ref="AE38" si="491">AE34+AE35-AE36</f>
        <v>255.58063677304148</v>
      </c>
      <c r="AI38" s="26">
        <f>AI34+AI35-AI36</f>
        <v>0</v>
      </c>
      <c r="AJ38" s="26">
        <f t="shared" ref="AJ38" si="492">AJ34+AJ35-AJ36</f>
        <v>0</v>
      </c>
      <c r="AK38" s="26">
        <f t="shared" ref="AK38:AM38" si="493">AK34+AK35-AK36</f>
        <v>0</v>
      </c>
      <c r="AL38" s="26">
        <f t="shared" si="493"/>
        <v>0</v>
      </c>
      <c r="AM38" s="26">
        <f t="shared" si="493"/>
        <v>0</v>
      </c>
      <c r="AN38" s="26">
        <f t="shared" ref="AN38:AO38" si="494">AN34+AN35-AN36</f>
        <v>0</v>
      </c>
      <c r="AO38" s="26">
        <f t="shared" si="494"/>
        <v>0</v>
      </c>
      <c r="AP38" s="26">
        <f t="shared" ref="AP38:CD38" si="495">AP34+AP35-AP36</f>
        <v>0</v>
      </c>
      <c r="AQ38" s="26">
        <f t="shared" si="495"/>
        <v>0</v>
      </c>
      <c r="AR38" s="26">
        <f t="shared" si="495"/>
        <v>0</v>
      </c>
      <c r="AS38" s="26">
        <f t="shared" si="495"/>
        <v>0</v>
      </c>
      <c r="AT38" s="26">
        <f t="shared" si="495"/>
        <v>0</v>
      </c>
      <c r="AU38" s="26">
        <f t="shared" si="495"/>
        <v>0</v>
      </c>
      <c r="AV38" s="26">
        <f t="shared" si="495"/>
        <v>0</v>
      </c>
      <c r="AW38" s="26">
        <f t="shared" si="495"/>
        <v>0</v>
      </c>
      <c r="AX38" s="26">
        <f t="shared" si="495"/>
        <v>0</v>
      </c>
      <c r="AY38" s="26">
        <f t="shared" si="495"/>
        <v>0</v>
      </c>
      <c r="AZ38" s="26">
        <f t="shared" si="495"/>
        <v>0</v>
      </c>
      <c r="BA38" s="26">
        <f t="shared" si="495"/>
        <v>0</v>
      </c>
      <c r="BB38" s="26">
        <f t="shared" si="495"/>
        <v>0</v>
      </c>
      <c r="BC38" s="26">
        <f t="shared" si="495"/>
        <v>0</v>
      </c>
      <c r="BD38" s="26">
        <f t="shared" si="495"/>
        <v>0</v>
      </c>
      <c r="BE38" s="26">
        <f t="shared" si="495"/>
        <v>0</v>
      </c>
      <c r="BF38" s="26">
        <f t="shared" si="495"/>
        <v>0</v>
      </c>
      <c r="BG38" s="26">
        <f t="shared" si="495"/>
        <v>0</v>
      </c>
      <c r="BH38" s="26">
        <f t="shared" si="495"/>
        <v>0</v>
      </c>
      <c r="BI38" s="26">
        <f t="shared" si="495"/>
        <v>0</v>
      </c>
      <c r="BJ38" s="26">
        <f t="shared" si="495"/>
        <v>0</v>
      </c>
      <c r="BK38" s="26">
        <f t="shared" si="495"/>
        <v>0</v>
      </c>
      <c r="BL38" s="26">
        <f t="shared" si="495"/>
        <v>0</v>
      </c>
      <c r="BM38" s="26">
        <f t="shared" si="495"/>
        <v>0</v>
      </c>
      <c r="BN38" s="26">
        <f t="shared" si="495"/>
        <v>0</v>
      </c>
      <c r="BO38" s="26">
        <f t="shared" si="495"/>
        <v>0</v>
      </c>
      <c r="BP38" s="26">
        <f t="shared" si="495"/>
        <v>0</v>
      </c>
      <c r="BQ38" s="26">
        <f t="shared" si="495"/>
        <v>0</v>
      </c>
      <c r="BR38" s="26">
        <f t="shared" si="495"/>
        <v>0</v>
      </c>
      <c r="BS38" s="26">
        <f t="shared" si="495"/>
        <v>0</v>
      </c>
      <c r="BT38" s="26">
        <f t="shared" si="495"/>
        <v>0</v>
      </c>
      <c r="BU38" s="26">
        <f t="shared" si="495"/>
        <v>0</v>
      </c>
      <c r="BV38" s="26">
        <f t="shared" si="495"/>
        <v>0</v>
      </c>
      <c r="BW38" s="26">
        <f t="shared" si="495"/>
        <v>0</v>
      </c>
      <c r="BX38" s="26">
        <f t="shared" si="495"/>
        <v>0</v>
      </c>
      <c r="BY38" s="26">
        <f t="shared" si="495"/>
        <v>0</v>
      </c>
      <c r="BZ38" s="26">
        <f t="shared" si="495"/>
        <v>-0.01</v>
      </c>
      <c r="CA38" s="26">
        <f t="shared" si="495"/>
        <v>5.6399999999999828</v>
      </c>
      <c r="CB38" s="26">
        <f t="shared" si="495"/>
        <v>8.3699999999999957</v>
      </c>
      <c r="CC38" s="26">
        <f t="shared" si="495"/>
        <v>6.1799999999999953</v>
      </c>
      <c r="CD38" s="26">
        <f t="shared" si="495"/>
        <v>14.359999999999992</v>
      </c>
      <c r="CE38" s="26">
        <f t="shared" ref="CE38:CF38" si="496">CE34+CE35-CE36</f>
        <v>15.690000000000015</v>
      </c>
      <c r="CF38" s="26">
        <f t="shared" si="496"/>
        <v>15.919999999999977</v>
      </c>
      <c r="CG38" s="26">
        <f t="shared" ref="CG38:CH38" si="497">CG34+CG35-CG36</f>
        <v>12.639999999999983</v>
      </c>
      <c r="CH38" s="26">
        <f t="shared" si="497"/>
        <v>19.040000000000006</v>
      </c>
      <c r="CI38" s="26">
        <f t="shared" ref="CI38:CJ38" si="498">CI34+CI35-CI36</f>
        <v>18.109999999999971</v>
      </c>
      <c r="CJ38" s="26">
        <f t="shared" si="498"/>
        <v>21.720000000000002</v>
      </c>
      <c r="CK38" s="26">
        <f t="shared" ref="CK38:CL38" si="499">CK34+CK35-CK36</f>
        <v>17.699999999999996</v>
      </c>
      <c r="CL38" s="26">
        <f t="shared" si="499"/>
        <v>35.429999999999986</v>
      </c>
      <c r="CM38" s="27">
        <f t="shared" ref="CM38:DB38" si="500">CM34+CM35-CM36</f>
        <v>38.479987014141983</v>
      </c>
      <c r="CN38" s="27">
        <f t="shared" si="500"/>
        <v>26.320369307093362</v>
      </c>
      <c r="CO38" s="27">
        <f t="shared" si="500"/>
        <v>51.859271908407138</v>
      </c>
      <c r="CP38" s="27">
        <f t="shared" si="500"/>
        <v>53.445319026173372</v>
      </c>
      <c r="CQ38" s="27">
        <f t="shared" si="500"/>
        <v>41.768923611673074</v>
      </c>
      <c r="CR38" s="27">
        <f t="shared" si="500"/>
        <v>26.844244551477136</v>
      </c>
      <c r="CS38" s="27">
        <f t="shared" si="500"/>
        <v>59.677966050159093</v>
      </c>
      <c r="CT38" s="27">
        <f t="shared" si="500"/>
        <v>60.596009471080045</v>
      </c>
      <c r="CU38" s="27">
        <f t="shared" si="500"/>
        <v>47.385390623215059</v>
      </c>
      <c r="CV38" s="27">
        <f t="shared" si="500"/>
        <v>29.874070637543433</v>
      </c>
      <c r="CW38" s="27">
        <f t="shared" si="500"/>
        <v>69.640522633106045</v>
      </c>
      <c r="CX38" s="27">
        <f t="shared" si="500"/>
        <v>70.716798819969625</v>
      </c>
      <c r="CY38" s="27">
        <f t="shared" si="500"/>
        <v>55.230481782750012</v>
      </c>
      <c r="CZ38" s="27">
        <f t="shared" si="500"/>
        <v>34.510390490416285</v>
      </c>
      <c r="DA38" s="27">
        <f t="shared" si="500"/>
        <v>82.229891399859468</v>
      </c>
      <c r="DB38" s="27">
        <f t="shared" si="500"/>
        <v>83.609873100015903</v>
      </c>
      <c r="DE38" s="121"/>
      <c r="DF38" s="26">
        <v>92.959999999999908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</v>
      </c>
      <c r="X39" s="23">
        <f>'Annual Raw'!Y30</f>
        <v>0</v>
      </c>
      <c r="Y39" s="23">
        <f>'Annual Raw'!Z30</f>
        <v>9.5</v>
      </c>
      <c r="Z39" s="23">
        <f>'Annual Raw'!AA30</f>
        <v>7.32</v>
      </c>
      <c r="AA39" s="23">
        <f>'Annual Raw'!AB30</f>
        <v>22.59</v>
      </c>
      <c r="AB39" s="24">
        <f>+SUM(CM39:CP39)</f>
        <v>41.344591777298689</v>
      </c>
      <c r="AC39" s="24">
        <f>+SUM(CQ39:CT39)</f>
        <v>45.793221138421089</v>
      </c>
      <c r="AD39" s="24">
        <f>+SUM(CU39:CX39)</f>
        <v>52.727156718396614</v>
      </c>
      <c r="AE39" s="24">
        <f>+SUM(CY39:DB39)</f>
        <v>61.917714290509181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0</v>
      </c>
      <c r="BX39" s="23">
        <f>'QTR Raw'!AR29</f>
        <v>0</v>
      </c>
      <c r="BY39" s="23">
        <f>'QTR Raw'!AS29</f>
        <v>0</v>
      </c>
      <c r="BZ39" s="23">
        <f>'QTR Raw'!AT29</f>
        <v>0</v>
      </c>
      <c r="CA39" s="23">
        <f>'QTR Raw'!AU29</f>
        <v>1.48</v>
      </c>
      <c r="CB39" s="23">
        <f>'QTR Raw'!AV29</f>
        <v>2.2200000000000002</v>
      </c>
      <c r="CC39" s="23">
        <f>'QTR Raw'!AW29</f>
        <v>1.69</v>
      </c>
      <c r="CD39" s="23">
        <f>'QTR Raw'!AX29</f>
        <v>4.1100000000000003</v>
      </c>
      <c r="CE39" s="23">
        <f>'QTR Raw'!AY29</f>
        <v>3.89</v>
      </c>
      <c r="CF39" s="23">
        <f>'QTR Raw'!AZ29</f>
        <v>-4.68</v>
      </c>
      <c r="CG39" s="23">
        <f>'QTR Raw'!BA29</f>
        <v>3.27</v>
      </c>
      <c r="CH39" s="23">
        <f>'QTR Raw'!BB29</f>
        <v>4.84</v>
      </c>
      <c r="CI39" s="23">
        <f>'QTR Raw'!BC29</f>
        <v>4.59</v>
      </c>
      <c r="CJ39" s="23">
        <f>'QTR Raw'!BD29</f>
        <v>5.71</v>
      </c>
      <c r="CK39" s="23">
        <f>'QTR Raw'!BE29</f>
        <v>4.5199999999999996</v>
      </c>
      <c r="CL39" s="23">
        <f>'QTR Raw'!BF29</f>
        <v>7.77</v>
      </c>
      <c r="CM39" s="24">
        <f t="shared" ref="CM39:DB39" si="501">+CM38*CM40</f>
        <v>9.5335647493773497</v>
      </c>
      <c r="CN39" s="24">
        <f t="shared" si="501"/>
        <v>6.4834840328371275</v>
      </c>
      <c r="CO39" s="24">
        <f t="shared" si="501"/>
        <v>12.559748752714464</v>
      </c>
      <c r="CP39" s="24">
        <f t="shared" si="501"/>
        <v>12.767794242369748</v>
      </c>
      <c r="CQ39" s="24">
        <f t="shared" si="501"/>
        <v>10.182918616928092</v>
      </c>
      <c r="CR39" s="24">
        <f t="shared" si="501"/>
        <v>6.5178151989117064</v>
      </c>
      <c r="CS39" s="24">
        <f t="shared" si="501"/>
        <v>14.437242112072765</v>
      </c>
      <c r="CT39" s="24">
        <f t="shared" si="501"/>
        <v>14.655245210508525</v>
      </c>
      <c r="CU39" s="24">
        <f t="shared" si="501"/>
        <v>11.49526633680442</v>
      </c>
      <c r="CV39" s="24">
        <f t="shared" si="501"/>
        <v>7.2382105803314412</v>
      </c>
      <c r="CW39" s="24">
        <f t="shared" si="501"/>
        <v>16.864366027348606</v>
      </c>
      <c r="CX39" s="24">
        <f t="shared" si="501"/>
        <v>17.129313773912148</v>
      </c>
      <c r="CY39" s="24">
        <f t="shared" si="501"/>
        <v>13.383297119232237</v>
      </c>
      <c r="CZ39" s="24">
        <f t="shared" si="501"/>
        <v>8.3601006055319207</v>
      </c>
      <c r="DA39" s="24">
        <f t="shared" si="501"/>
        <v>19.919230171788893</v>
      </c>
      <c r="DB39" s="24">
        <f t="shared" si="501"/>
        <v>20.255086393956134</v>
      </c>
      <c r="DE39" s="123"/>
      <c r="DF39" s="23">
        <v>22.59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 t="e">
        <f t="shared" si="502"/>
        <v>#DIV/0!</v>
      </c>
      <c r="D40" s="90" t="e">
        <f t="shared" si="502"/>
        <v>#DIV/0!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 t="e">
        <f t="shared" si="503"/>
        <v>#DIV/0!</v>
      </c>
      <c r="I40" s="90" t="e">
        <f t="shared" si="503"/>
        <v>#DIV/0!</v>
      </c>
      <c r="J40" s="90" t="e">
        <f t="shared" si="503"/>
        <v>#DIV/0!</v>
      </c>
      <c r="K40" s="90" t="e">
        <f t="shared" si="503"/>
        <v>#DIV/0!</v>
      </c>
      <c r="L40" s="90" t="e">
        <f t="shared" si="503"/>
        <v>#DIV/0!</v>
      </c>
      <c r="M40" s="90" t="e">
        <f t="shared" si="503"/>
        <v>#DIV/0!</v>
      </c>
      <c r="N40" s="90" t="e">
        <f t="shared" si="503"/>
        <v>#DIV/0!</v>
      </c>
      <c r="O40" s="90" t="e">
        <f t="shared" si="503"/>
        <v>#DIV/0!</v>
      </c>
      <c r="P40" s="90" t="e">
        <f t="shared" si="503"/>
        <v>#DIV/0!</v>
      </c>
      <c r="Q40" s="90" t="e">
        <f t="shared" si="503"/>
        <v>#DIV/0!</v>
      </c>
      <c r="R40" s="90" t="e">
        <f t="shared" si="503"/>
        <v>#DIV/0!</v>
      </c>
      <c r="S40" s="90" t="e">
        <f t="shared" si="503"/>
        <v>#DIV/0!</v>
      </c>
      <c r="T40" s="90" t="e">
        <f t="shared" si="503"/>
        <v>#DIV/0!</v>
      </c>
      <c r="U40" s="90" t="e">
        <f t="shared" ref="U40:Z40" si="504">U39/U38</f>
        <v>#DIV/0!</v>
      </c>
      <c r="V40" s="90">
        <f t="shared" si="504"/>
        <v>0</v>
      </c>
      <c r="W40" s="90">
        <f t="shared" si="504"/>
        <v>0</v>
      </c>
      <c r="X40" s="90">
        <f t="shared" si="504"/>
        <v>0</v>
      </c>
      <c r="Y40" s="90">
        <f t="shared" si="504"/>
        <v>0.27496382054992613</v>
      </c>
      <c r="Z40" s="90">
        <f t="shared" si="504"/>
        <v>0.11565808184547302</v>
      </c>
      <c r="AA40" s="90">
        <f t="shared" ref="AA40" si="505">AA39/AA38</f>
        <v>0.24300774526678165</v>
      </c>
      <c r="AB40" s="91">
        <f t="shared" ref="AB40:AD40" si="506">AB39/AB38</f>
        <v>0.24305343521327313</v>
      </c>
      <c r="AC40" s="91">
        <f t="shared" si="506"/>
        <v>0.24243694009655217</v>
      </c>
      <c r="AD40" s="91">
        <f t="shared" si="506"/>
        <v>0.24229361385115578</v>
      </c>
      <c r="AE40" s="91">
        <f t="shared" ref="AE40" si="507">AE39/AE38</f>
        <v>0.24226293146570732</v>
      </c>
      <c r="AI40" s="90" t="e">
        <f t="shared" ref="AI40" si="508">AI39/AI38</f>
        <v>#DIV/0!</v>
      </c>
      <c r="AJ40" s="90" t="e">
        <f t="shared" ref="AJ40" si="509">AJ39/AJ38</f>
        <v>#DIV/0!</v>
      </c>
      <c r="AK40" s="90" t="e">
        <f t="shared" ref="AK40:AM40" si="510">AK39/AK38</f>
        <v>#DIV/0!</v>
      </c>
      <c r="AL40" s="90" t="e">
        <f t="shared" si="510"/>
        <v>#DIV/0!</v>
      </c>
      <c r="AM40" s="90" t="e">
        <f t="shared" si="510"/>
        <v>#DIV/0!</v>
      </c>
      <c r="AN40" s="90" t="e">
        <f t="shared" ref="AN40:AO40" si="511">AN39/AN38</f>
        <v>#DIV/0!</v>
      </c>
      <c r="AO40" s="90" t="e">
        <f t="shared" si="511"/>
        <v>#DIV/0!</v>
      </c>
      <c r="AP40" s="90" t="e">
        <f t="shared" ref="AP40:CD40" si="512">AP39/AP38</f>
        <v>#DIV/0!</v>
      </c>
      <c r="AQ40" s="90" t="e">
        <f t="shared" si="512"/>
        <v>#DIV/0!</v>
      </c>
      <c r="AR40" s="90" t="e">
        <f t="shared" si="512"/>
        <v>#DIV/0!</v>
      </c>
      <c r="AS40" s="90" t="e">
        <f t="shared" si="512"/>
        <v>#DIV/0!</v>
      </c>
      <c r="AT40" s="90" t="e">
        <f t="shared" si="512"/>
        <v>#DIV/0!</v>
      </c>
      <c r="AU40" s="90" t="e">
        <f t="shared" si="512"/>
        <v>#DIV/0!</v>
      </c>
      <c r="AV40" s="90" t="e">
        <f t="shared" si="512"/>
        <v>#DIV/0!</v>
      </c>
      <c r="AW40" s="90" t="e">
        <f t="shared" si="512"/>
        <v>#DIV/0!</v>
      </c>
      <c r="AX40" s="90" t="e">
        <f t="shared" si="512"/>
        <v>#DIV/0!</v>
      </c>
      <c r="AY40" s="90" t="e">
        <f t="shared" si="512"/>
        <v>#DIV/0!</v>
      </c>
      <c r="AZ40" s="90" t="e">
        <f t="shared" si="512"/>
        <v>#DIV/0!</v>
      </c>
      <c r="BA40" s="90" t="e">
        <f t="shared" si="512"/>
        <v>#DIV/0!</v>
      </c>
      <c r="BB40" s="90" t="e">
        <f t="shared" si="512"/>
        <v>#DIV/0!</v>
      </c>
      <c r="BC40" s="90" t="e">
        <f t="shared" si="512"/>
        <v>#DIV/0!</v>
      </c>
      <c r="BD40" s="90" t="e">
        <f t="shared" si="512"/>
        <v>#DIV/0!</v>
      </c>
      <c r="BE40" s="90" t="e">
        <f t="shared" si="512"/>
        <v>#DIV/0!</v>
      </c>
      <c r="BF40" s="90" t="e">
        <f t="shared" si="512"/>
        <v>#DIV/0!</v>
      </c>
      <c r="BG40" s="90" t="e">
        <f t="shared" si="512"/>
        <v>#DIV/0!</v>
      </c>
      <c r="BH40" s="90" t="e">
        <f t="shared" si="512"/>
        <v>#DIV/0!</v>
      </c>
      <c r="BI40" s="90" t="e">
        <f t="shared" si="512"/>
        <v>#DIV/0!</v>
      </c>
      <c r="BJ40" s="90" t="e">
        <f t="shared" si="512"/>
        <v>#DIV/0!</v>
      </c>
      <c r="BK40" s="90" t="e">
        <f t="shared" si="512"/>
        <v>#DIV/0!</v>
      </c>
      <c r="BL40" s="90" t="e">
        <f t="shared" si="512"/>
        <v>#DIV/0!</v>
      </c>
      <c r="BM40" s="90" t="e">
        <f t="shared" si="512"/>
        <v>#DIV/0!</v>
      </c>
      <c r="BN40" s="90" t="e">
        <f t="shared" si="512"/>
        <v>#DIV/0!</v>
      </c>
      <c r="BO40" s="90" t="e">
        <f t="shared" si="512"/>
        <v>#DIV/0!</v>
      </c>
      <c r="BP40" s="90" t="e">
        <f t="shared" si="512"/>
        <v>#DIV/0!</v>
      </c>
      <c r="BQ40" s="90" t="e">
        <f t="shared" si="512"/>
        <v>#DIV/0!</v>
      </c>
      <c r="BR40" s="90" t="e">
        <f t="shared" si="512"/>
        <v>#DIV/0!</v>
      </c>
      <c r="BS40" s="90" t="e">
        <f t="shared" si="512"/>
        <v>#DIV/0!</v>
      </c>
      <c r="BT40" s="90" t="e">
        <f t="shared" si="512"/>
        <v>#DIV/0!</v>
      </c>
      <c r="BU40" s="90" t="e">
        <f t="shared" si="512"/>
        <v>#DIV/0!</v>
      </c>
      <c r="BV40" s="90" t="e">
        <f t="shared" si="512"/>
        <v>#DIV/0!</v>
      </c>
      <c r="BW40" s="90" t="e">
        <f t="shared" si="512"/>
        <v>#DIV/0!</v>
      </c>
      <c r="BX40" s="90" t="e">
        <f t="shared" si="512"/>
        <v>#DIV/0!</v>
      </c>
      <c r="BY40" s="90" t="e">
        <f t="shared" si="512"/>
        <v>#DIV/0!</v>
      </c>
      <c r="BZ40" s="90">
        <f t="shared" si="512"/>
        <v>0</v>
      </c>
      <c r="CA40" s="90">
        <f t="shared" si="512"/>
        <v>0.26241134751773132</v>
      </c>
      <c r="CB40" s="90">
        <f t="shared" si="512"/>
        <v>0.26523297491039444</v>
      </c>
      <c r="CC40" s="90">
        <f t="shared" si="512"/>
        <v>0.27346278317152123</v>
      </c>
      <c r="CD40" s="90">
        <f t="shared" si="512"/>
        <v>0.28621169916434558</v>
      </c>
      <c r="CE40" s="90">
        <f t="shared" ref="CE40:CF40" si="513">CE39/CE38</f>
        <v>0.24792861695347332</v>
      </c>
      <c r="CF40" s="90">
        <f t="shared" si="513"/>
        <v>-0.29396984924623154</v>
      </c>
      <c r="CG40" s="90">
        <f t="shared" ref="CG40:CH40" si="514">CG39/CG38</f>
        <v>0.25870253164557</v>
      </c>
      <c r="CH40" s="90">
        <f t="shared" si="514"/>
        <v>0.25420168067226884</v>
      </c>
      <c r="CI40" s="90">
        <f t="shared" ref="CI40:CJ40" si="515">CI39/CI38</f>
        <v>0.25345113197128699</v>
      </c>
      <c r="CJ40" s="90">
        <f t="shared" si="515"/>
        <v>0.26289134438305706</v>
      </c>
      <c r="CK40" s="90">
        <f t="shared" ref="CK40:CL40" si="516">CK39/CK38</f>
        <v>0.25536723163841812</v>
      </c>
      <c r="CL40" s="90">
        <f t="shared" si="516"/>
        <v>0.21930567315834046</v>
      </c>
      <c r="CM40" s="91">
        <f t="shared" ref="CM40:DB40" si="517">AVERAGE(CI40:CL40)</f>
        <v>0.24775384528777566</v>
      </c>
      <c r="CN40" s="91">
        <f t="shared" si="517"/>
        <v>0.24632952361689783</v>
      </c>
      <c r="CO40" s="91">
        <f t="shared" si="517"/>
        <v>0.24218906842535803</v>
      </c>
      <c r="CP40" s="91">
        <f t="shared" si="517"/>
        <v>0.23889452762209301</v>
      </c>
      <c r="CQ40" s="91">
        <f t="shared" si="517"/>
        <v>0.24379174123803116</v>
      </c>
      <c r="CR40" s="91">
        <f t="shared" si="517"/>
        <v>0.24280121522559503</v>
      </c>
      <c r="CS40" s="91">
        <f t="shared" si="517"/>
        <v>0.2419191381277693</v>
      </c>
      <c r="CT40" s="91">
        <f t="shared" si="517"/>
        <v>0.24185165555337212</v>
      </c>
      <c r="CU40" s="91">
        <f t="shared" si="517"/>
        <v>0.24259093753619193</v>
      </c>
      <c r="CV40" s="91">
        <f t="shared" si="517"/>
        <v>0.24229073661073208</v>
      </c>
      <c r="CW40" s="91">
        <f t="shared" si="517"/>
        <v>0.24216311695701637</v>
      </c>
      <c r="CX40" s="91">
        <f t="shared" si="517"/>
        <v>0.24222411166432811</v>
      </c>
      <c r="CY40" s="91">
        <f t="shared" si="517"/>
        <v>0.24231722569206712</v>
      </c>
      <c r="CZ40" s="91">
        <f t="shared" si="517"/>
        <v>0.24224879773103591</v>
      </c>
      <c r="DA40" s="91">
        <f t="shared" si="517"/>
        <v>0.24223831301111187</v>
      </c>
      <c r="DB40" s="91">
        <f t="shared" si="517"/>
        <v>0.24225711202463576</v>
      </c>
      <c r="DE40" s="127"/>
      <c r="DF40" s="90">
        <v>0.24300774526678165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0</v>
      </c>
      <c r="D41" s="26">
        <f t="shared" si="518"/>
        <v>0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0</v>
      </c>
      <c r="I41" s="26">
        <f t="shared" si="519"/>
        <v>0</v>
      </c>
      <c r="J41" s="26">
        <f t="shared" si="519"/>
        <v>0</v>
      </c>
      <c r="K41" s="26">
        <f t="shared" si="519"/>
        <v>0</v>
      </c>
      <c r="L41" s="26">
        <f t="shared" si="519"/>
        <v>0</v>
      </c>
      <c r="M41" s="26">
        <f t="shared" si="519"/>
        <v>0</v>
      </c>
      <c r="N41" s="26">
        <f t="shared" si="519"/>
        <v>0</v>
      </c>
      <c r="O41" s="26">
        <f t="shared" si="519"/>
        <v>0</v>
      </c>
      <c r="P41" s="26">
        <f t="shared" si="519"/>
        <v>0</v>
      </c>
      <c r="Q41" s="26">
        <f t="shared" si="519"/>
        <v>0</v>
      </c>
      <c r="R41" s="26">
        <f t="shared" si="519"/>
        <v>0</v>
      </c>
      <c r="S41" s="26">
        <f t="shared" si="519"/>
        <v>0</v>
      </c>
      <c r="T41" s="26">
        <f t="shared" si="519"/>
        <v>0</v>
      </c>
      <c r="U41" s="26">
        <f t="shared" ref="U41:Z41" si="520">U38-U39</f>
        <v>0</v>
      </c>
      <c r="V41" s="26">
        <f t="shared" si="520"/>
        <v>-5.8151000000000001E-3</v>
      </c>
      <c r="W41" s="26">
        <f t="shared" si="520"/>
        <v>-1.1800000000000001E-3</v>
      </c>
      <c r="X41" s="26">
        <f t="shared" si="520"/>
        <v>-0.01</v>
      </c>
      <c r="Y41" s="26">
        <f t="shared" si="520"/>
        <v>25.050000000000189</v>
      </c>
      <c r="Z41" s="26">
        <f t="shared" si="520"/>
        <v>55.970000000000113</v>
      </c>
      <c r="AA41" s="26">
        <f t="shared" ref="AA41" si="521">AA38-AA39</f>
        <v>70.369999999999905</v>
      </c>
      <c r="AB41" s="27">
        <f t="shared" ref="AB41:AD41" si="522">AB38-AB39</f>
        <v>128.7603554785172</v>
      </c>
      <c r="AC41" s="27">
        <f t="shared" si="522"/>
        <v>143.09392254596804</v>
      </c>
      <c r="AD41" s="27">
        <f t="shared" si="522"/>
        <v>164.8896259954376</v>
      </c>
      <c r="AE41" s="27">
        <f t="shared" ref="AE41" si="523">AE38-AE39</f>
        <v>193.66292248253228</v>
      </c>
      <c r="AI41" s="26">
        <f>AI38-AI39</f>
        <v>0</v>
      </c>
      <c r="AJ41" s="26">
        <f t="shared" ref="AJ41" si="524">AJ38-AJ39</f>
        <v>0</v>
      </c>
      <c r="AK41" s="26">
        <f t="shared" ref="AK41:AM41" si="525">AK38-AK39</f>
        <v>0</v>
      </c>
      <c r="AL41" s="26">
        <f t="shared" si="525"/>
        <v>0</v>
      </c>
      <c r="AM41" s="26">
        <f t="shared" si="525"/>
        <v>0</v>
      </c>
      <c r="AN41" s="26">
        <f t="shared" ref="AN41:AO41" si="526">AN38-AN39</f>
        <v>0</v>
      </c>
      <c r="AO41" s="26">
        <f t="shared" si="526"/>
        <v>0</v>
      </c>
      <c r="AP41" s="26">
        <f t="shared" ref="AP41:CD41" si="527">AP38-AP39</f>
        <v>0</v>
      </c>
      <c r="AQ41" s="26">
        <f t="shared" si="527"/>
        <v>0</v>
      </c>
      <c r="AR41" s="26">
        <f t="shared" si="527"/>
        <v>0</v>
      </c>
      <c r="AS41" s="26">
        <f t="shared" si="527"/>
        <v>0</v>
      </c>
      <c r="AT41" s="26">
        <f t="shared" si="527"/>
        <v>0</v>
      </c>
      <c r="AU41" s="26">
        <f t="shared" si="527"/>
        <v>0</v>
      </c>
      <c r="AV41" s="26">
        <f t="shared" si="527"/>
        <v>0</v>
      </c>
      <c r="AW41" s="26">
        <f t="shared" si="527"/>
        <v>0</v>
      </c>
      <c r="AX41" s="26">
        <f t="shared" si="527"/>
        <v>0</v>
      </c>
      <c r="AY41" s="26">
        <f t="shared" si="527"/>
        <v>0</v>
      </c>
      <c r="AZ41" s="26">
        <f t="shared" si="527"/>
        <v>0</v>
      </c>
      <c r="BA41" s="26">
        <f t="shared" si="527"/>
        <v>0</v>
      </c>
      <c r="BB41" s="26">
        <f t="shared" si="527"/>
        <v>0</v>
      </c>
      <c r="BC41" s="26">
        <f t="shared" si="527"/>
        <v>0</v>
      </c>
      <c r="BD41" s="26">
        <f t="shared" si="527"/>
        <v>0</v>
      </c>
      <c r="BE41" s="26">
        <f t="shared" si="527"/>
        <v>0</v>
      </c>
      <c r="BF41" s="26">
        <f t="shared" si="527"/>
        <v>0</v>
      </c>
      <c r="BG41" s="26">
        <f t="shared" si="527"/>
        <v>0</v>
      </c>
      <c r="BH41" s="26">
        <f t="shared" si="527"/>
        <v>0</v>
      </c>
      <c r="BI41" s="26">
        <f t="shared" si="527"/>
        <v>0</v>
      </c>
      <c r="BJ41" s="26">
        <f t="shared" si="527"/>
        <v>0</v>
      </c>
      <c r="BK41" s="26">
        <f t="shared" si="527"/>
        <v>0</v>
      </c>
      <c r="BL41" s="26">
        <f t="shared" si="527"/>
        <v>0</v>
      </c>
      <c r="BM41" s="26">
        <f t="shared" si="527"/>
        <v>0</v>
      </c>
      <c r="BN41" s="26">
        <f t="shared" si="527"/>
        <v>0</v>
      </c>
      <c r="BO41" s="26">
        <f t="shared" si="527"/>
        <v>0</v>
      </c>
      <c r="BP41" s="26">
        <f t="shared" si="527"/>
        <v>0</v>
      </c>
      <c r="BQ41" s="26">
        <f t="shared" si="527"/>
        <v>0</v>
      </c>
      <c r="BR41" s="26">
        <f t="shared" si="527"/>
        <v>0</v>
      </c>
      <c r="BS41" s="26">
        <f t="shared" si="527"/>
        <v>0</v>
      </c>
      <c r="BT41" s="26">
        <f t="shared" si="527"/>
        <v>0</v>
      </c>
      <c r="BU41" s="26">
        <f t="shared" si="527"/>
        <v>0</v>
      </c>
      <c r="BV41" s="26">
        <f t="shared" si="527"/>
        <v>0</v>
      </c>
      <c r="BW41" s="26">
        <f t="shared" si="527"/>
        <v>0</v>
      </c>
      <c r="BX41" s="26">
        <f t="shared" si="527"/>
        <v>0</v>
      </c>
      <c r="BY41" s="26">
        <f t="shared" si="527"/>
        <v>0</v>
      </c>
      <c r="BZ41" s="26">
        <f t="shared" si="527"/>
        <v>-0.01</v>
      </c>
      <c r="CA41" s="26">
        <f t="shared" si="527"/>
        <v>4.1599999999999824</v>
      </c>
      <c r="CB41" s="26">
        <f t="shared" si="527"/>
        <v>6.149999999999995</v>
      </c>
      <c r="CC41" s="26">
        <f t="shared" si="527"/>
        <v>4.4899999999999949</v>
      </c>
      <c r="CD41" s="26">
        <f t="shared" si="527"/>
        <v>10.249999999999993</v>
      </c>
      <c r="CE41" s="26">
        <f t="shared" ref="CE41:CF41" si="528">CE38-CE39</f>
        <v>11.800000000000015</v>
      </c>
      <c r="CF41" s="26">
        <f t="shared" si="528"/>
        <v>20.599999999999977</v>
      </c>
      <c r="CG41" s="26">
        <f t="shared" ref="CG41:CH41" si="529">CG38-CG39</f>
        <v>9.3699999999999832</v>
      </c>
      <c r="CH41" s="26">
        <f t="shared" si="529"/>
        <v>14.200000000000006</v>
      </c>
      <c r="CI41" s="26">
        <f t="shared" ref="CI41:CJ41" si="530">CI38-CI39</f>
        <v>13.519999999999971</v>
      </c>
      <c r="CJ41" s="26">
        <f t="shared" si="530"/>
        <v>16.010000000000002</v>
      </c>
      <c r="CK41" s="26">
        <f t="shared" ref="CK41:CL41" si="531">CK38-CK39</f>
        <v>13.179999999999996</v>
      </c>
      <c r="CL41" s="26">
        <f t="shared" si="531"/>
        <v>27.659999999999986</v>
      </c>
      <c r="CM41" s="27">
        <f t="shared" ref="CM41:DB41" si="532">CM38-CM39</f>
        <v>28.946422264764635</v>
      </c>
      <c r="CN41" s="27">
        <f t="shared" si="532"/>
        <v>19.836885274256232</v>
      </c>
      <c r="CO41" s="27">
        <f t="shared" si="532"/>
        <v>39.299523155692675</v>
      </c>
      <c r="CP41" s="27">
        <f t="shared" si="532"/>
        <v>40.677524783803626</v>
      </c>
      <c r="CQ41" s="27">
        <f t="shared" si="532"/>
        <v>31.586004994744982</v>
      </c>
      <c r="CR41" s="27">
        <f t="shared" si="532"/>
        <v>20.32642935256543</v>
      </c>
      <c r="CS41" s="27">
        <f t="shared" si="532"/>
        <v>45.240723938086326</v>
      </c>
      <c r="CT41" s="27">
        <f t="shared" si="532"/>
        <v>45.94076426057152</v>
      </c>
      <c r="CU41" s="27">
        <f t="shared" si="532"/>
        <v>35.890124286410639</v>
      </c>
      <c r="CV41" s="27">
        <f t="shared" si="532"/>
        <v>22.635860057211993</v>
      </c>
      <c r="CW41" s="27">
        <f t="shared" si="532"/>
        <v>52.776156605757436</v>
      </c>
      <c r="CX41" s="27">
        <f t="shared" si="532"/>
        <v>53.587485046057481</v>
      </c>
      <c r="CY41" s="27">
        <f t="shared" si="532"/>
        <v>41.847184663517773</v>
      </c>
      <c r="CZ41" s="27">
        <f t="shared" si="532"/>
        <v>26.150289884884366</v>
      </c>
      <c r="DA41" s="27">
        <f t="shared" si="532"/>
        <v>62.310661228070572</v>
      </c>
      <c r="DB41" s="27">
        <f t="shared" si="532"/>
        <v>63.35478670605977</v>
      </c>
      <c r="DE41" s="121"/>
      <c r="DF41" s="26">
        <v>70.369999999999905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 t="e">
        <f t="shared" si="533"/>
        <v>#DIV/0!</v>
      </c>
      <c r="D42" s="45" t="e">
        <f t="shared" si="533"/>
        <v>#DIV/0!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 t="e">
        <f t="shared" si="534"/>
        <v>#DIV/0!</v>
      </c>
      <c r="I42" s="45" t="e">
        <f t="shared" si="534"/>
        <v>#DIV/0!</v>
      </c>
      <c r="J42" s="45" t="e">
        <f t="shared" si="534"/>
        <v>#DIV/0!</v>
      </c>
      <c r="K42" s="45" t="e">
        <f t="shared" si="534"/>
        <v>#DIV/0!</v>
      </c>
      <c r="L42" s="45" t="e">
        <f t="shared" si="534"/>
        <v>#DIV/0!</v>
      </c>
      <c r="M42" s="45" t="e">
        <f t="shared" si="534"/>
        <v>#DIV/0!</v>
      </c>
      <c r="N42" s="45" t="e">
        <f t="shared" si="534"/>
        <v>#DIV/0!</v>
      </c>
      <c r="O42" s="45" t="e">
        <f t="shared" si="534"/>
        <v>#DIV/0!</v>
      </c>
      <c r="P42" s="45" t="e">
        <f t="shared" si="534"/>
        <v>#DIV/0!</v>
      </c>
      <c r="Q42" s="45" t="e">
        <f t="shared" si="534"/>
        <v>#DIV/0!</v>
      </c>
      <c r="R42" s="45" t="e">
        <f t="shared" si="534"/>
        <v>#DIV/0!</v>
      </c>
      <c r="S42" s="45" t="e">
        <f t="shared" si="534"/>
        <v>#DIV/0!</v>
      </c>
      <c r="T42" s="45" t="e">
        <f t="shared" si="534"/>
        <v>#DIV/0!</v>
      </c>
      <c r="U42" s="45" t="e">
        <f t="shared" si="534"/>
        <v>#DIV/0!</v>
      </c>
      <c r="V42" s="45" t="e">
        <f t="shared" si="534"/>
        <v>#DIV/0!</v>
      </c>
      <c r="W42" s="45" t="e">
        <f t="shared" si="534"/>
        <v>#DIV/0!</v>
      </c>
      <c r="X42" s="45" t="e">
        <f t="shared" si="534"/>
        <v>#DIV/0!</v>
      </c>
      <c r="Y42" s="45">
        <f t="shared" si="534"/>
        <v>2.3769535141905725E-2</v>
      </c>
      <c r="Z42" s="45">
        <f t="shared" ref="Z42:AA42" si="535">+Z41/Z10</f>
        <v>4.8201798201798297E-2</v>
      </c>
      <c r="AA42" s="45">
        <f t="shared" ref="AA42" si="536">+AA41/AA10</f>
        <v>5.3367207644471344E-2</v>
      </c>
      <c r="AB42" s="48">
        <f t="shared" si="534"/>
        <v>8.2235947008312091E-2</v>
      </c>
      <c r="AC42" s="48">
        <f t="shared" si="534"/>
        <v>7.65248990180179E-2</v>
      </c>
      <c r="AD42" s="48">
        <f t="shared" si="534"/>
        <v>7.377687471155743E-2</v>
      </c>
      <c r="AE42" s="48">
        <f t="shared" si="534"/>
        <v>7.2489314563713436E-2</v>
      </c>
      <c r="AI42" s="45" t="e">
        <f t="shared" ref="AI42:BN42" si="537">+AI41/AI10</f>
        <v>#DIV/0!</v>
      </c>
      <c r="AJ42" s="45" t="e">
        <f t="shared" si="537"/>
        <v>#DIV/0!</v>
      </c>
      <c r="AK42" s="45" t="e">
        <f t="shared" si="537"/>
        <v>#DIV/0!</v>
      </c>
      <c r="AL42" s="45" t="e">
        <f t="shared" si="537"/>
        <v>#DIV/0!</v>
      </c>
      <c r="AM42" s="45" t="e">
        <f t="shared" si="537"/>
        <v>#DIV/0!</v>
      </c>
      <c r="AN42" s="45" t="e">
        <f t="shared" si="537"/>
        <v>#DIV/0!</v>
      </c>
      <c r="AO42" s="45" t="e">
        <f t="shared" si="537"/>
        <v>#DIV/0!</v>
      </c>
      <c r="AP42" s="45" t="e">
        <f t="shared" si="537"/>
        <v>#DIV/0!</v>
      </c>
      <c r="AQ42" s="45" t="e">
        <f t="shared" si="537"/>
        <v>#DIV/0!</v>
      </c>
      <c r="AR42" s="45" t="e">
        <f t="shared" si="537"/>
        <v>#DIV/0!</v>
      </c>
      <c r="AS42" s="45" t="e">
        <f t="shared" si="537"/>
        <v>#DIV/0!</v>
      </c>
      <c r="AT42" s="45" t="e">
        <f t="shared" si="537"/>
        <v>#DIV/0!</v>
      </c>
      <c r="AU42" s="45" t="e">
        <f t="shared" si="537"/>
        <v>#DIV/0!</v>
      </c>
      <c r="AV42" s="45" t="e">
        <f t="shared" si="537"/>
        <v>#DIV/0!</v>
      </c>
      <c r="AW42" s="45" t="e">
        <f t="shared" si="537"/>
        <v>#DIV/0!</v>
      </c>
      <c r="AX42" s="45" t="e">
        <f t="shared" si="537"/>
        <v>#DIV/0!</v>
      </c>
      <c r="AY42" s="45" t="e">
        <f t="shared" si="537"/>
        <v>#DIV/0!</v>
      </c>
      <c r="AZ42" s="45" t="e">
        <f t="shared" si="537"/>
        <v>#DIV/0!</v>
      </c>
      <c r="BA42" s="45" t="e">
        <f t="shared" si="537"/>
        <v>#DIV/0!</v>
      </c>
      <c r="BB42" s="45" t="e">
        <f t="shared" si="537"/>
        <v>#DIV/0!</v>
      </c>
      <c r="BC42" s="45" t="e">
        <f t="shared" si="537"/>
        <v>#DIV/0!</v>
      </c>
      <c r="BD42" s="45" t="e">
        <f t="shared" si="537"/>
        <v>#DIV/0!</v>
      </c>
      <c r="BE42" s="45" t="e">
        <f t="shared" si="537"/>
        <v>#DIV/0!</v>
      </c>
      <c r="BF42" s="45" t="e">
        <f t="shared" si="537"/>
        <v>#DIV/0!</v>
      </c>
      <c r="BG42" s="45" t="e">
        <f t="shared" si="537"/>
        <v>#DIV/0!</v>
      </c>
      <c r="BH42" s="45" t="e">
        <f t="shared" si="537"/>
        <v>#DIV/0!</v>
      </c>
      <c r="BI42" s="45" t="e">
        <f t="shared" si="537"/>
        <v>#DIV/0!</v>
      </c>
      <c r="BJ42" s="45" t="e">
        <f t="shared" si="537"/>
        <v>#DIV/0!</v>
      </c>
      <c r="BK42" s="45" t="e">
        <f t="shared" si="537"/>
        <v>#DIV/0!</v>
      </c>
      <c r="BL42" s="45" t="e">
        <f t="shared" si="537"/>
        <v>#DIV/0!</v>
      </c>
      <c r="BM42" s="45" t="e">
        <f t="shared" si="537"/>
        <v>#DIV/0!</v>
      </c>
      <c r="BN42" s="45" t="e">
        <f t="shared" si="537"/>
        <v>#DIV/0!</v>
      </c>
      <c r="BO42" s="45" t="e">
        <f t="shared" ref="BO42:CT42" si="538">+BO41/BO10</f>
        <v>#DIV/0!</v>
      </c>
      <c r="BP42" s="45" t="e">
        <f t="shared" si="538"/>
        <v>#DIV/0!</v>
      </c>
      <c r="BQ42" s="45" t="e">
        <f t="shared" si="538"/>
        <v>#DIV/0!</v>
      </c>
      <c r="BR42" s="45" t="e">
        <f t="shared" si="538"/>
        <v>#DIV/0!</v>
      </c>
      <c r="BS42" s="45" t="e">
        <f t="shared" si="538"/>
        <v>#DIV/0!</v>
      </c>
      <c r="BT42" s="45" t="e">
        <f t="shared" si="538"/>
        <v>#DIV/0!</v>
      </c>
      <c r="BU42" s="45" t="e">
        <f t="shared" si="538"/>
        <v>#DIV/0!</v>
      </c>
      <c r="BV42" s="45" t="e">
        <f t="shared" si="538"/>
        <v>#DIV/0!</v>
      </c>
      <c r="BW42" s="45" t="e">
        <f t="shared" si="538"/>
        <v>#DIV/0!</v>
      </c>
      <c r="BX42" s="45" t="e">
        <f t="shared" si="538"/>
        <v>#DIV/0!</v>
      </c>
      <c r="BY42" s="45" t="e">
        <f t="shared" si="538"/>
        <v>#DIV/0!</v>
      </c>
      <c r="BZ42" s="45" t="e">
        <f t="shared" si="538"/>
        <v>#DIV/0!</v>
      </c>
      <c r="CA42" s="45">
        <f t="shared" si="538"/>
        <v>1.5800668489820657E-2</v>
      </c>
      <c r="CB42" s="45">
        <f t="shared" si="538"/>
        <v>2.3651117178787047E-2</v>
      </c>
      <c r="CC42" s="45">
        <f t="shared" si="538"/>
        <v>1.8370770426741928E-2</v>
      </c>
      <c r="CD42" s="45">
        <f t="shared" si="538"/>
        <v>3.58203739297571E-2</v>
      </c>
      <c r="CE42" s="45">
        <f t="shared" si="538"/>
        <v>4.0982183169520417E-2</v>
      </c>
      <c r="CF42" s="45">
        <f t="shared" si="538"/>
        <v>6.7625238001444349E-2</v>
      </c>
      <c r="CG42" s="45">
        <f t="shared" si="538"/>
        <v>3.2877192982456081E-2</v>
      </c>
      <c r="CH42" s="45">
        <f t="shared" si="538"/>
        <v>5.0068756390818397E-2</v>
      </c>
      <c r="CI42" s="45">
        <f t="shared" ref="CI42:CJ42" si="539">+CI41/CI10</f>
        <v>5.0494864612511563E-2</v>
      </c>
      <c r="CJ42" s="45">
        <f t="shared" si="539"/>
        <v>4.7361259022600875E-2</v>
      </c>
      <c r="CK42" s="45">
        <f t="shared" ref="CK42:CL42" si="540">+CK41/CK10</f>
        <v>3.775206232813931E-2</v>
      </c>
      <c r="CL42" s="45">
        <f t="shared" si="540"/>
        <v>7.6053782067145054E-2</v>
      </c>
      <c r="CM42" s="48">
        <f t="shared" si="538"/>
        <v>9.5105075994331767E-2</v>
      </c>
      <c r="CN42" s="48">
        <f t="shared" si="538"/>
        <v>4.9377036617653532E-2</v>
      </c>
      <c r="CO42" s="48">
        <f t="shared" si="538"/>
        <v>9.3174656730164424E-2</v>
      </c>
      <c r="CP42" s="48">
        <f t="shared" si="538"/>
        <v>9.2902049643406912E-2</v>
      </c>
      <c r="CQ42" s="48">
        <f t="shared" si="538"/>
        <v>8.7626965321915065E-2</v>
      </c>
      <c r="CR42" s="48">
        <f t="shared" si="538"/>
        <v>4.2296813550133761E-2</v>
      </c>
      <c r="CS42" s="48">
        <f t="shared" si="538"/>
        <v>8.9522414841502126E-2</v>
      </c>
      <c r="CT42" s="48">
        <f t="shared" si="538"/>
        <v>8.7754022415900135E-2</v>
      </c>
      <c r="CU42" s="48">
        <f t="shared" ref="CU42:DB42" si="541">+CU41/CU10</f>
        <v>8.3419635809079018E-2</v>
      </c>
      <c r="CV42" s="48">
        <f t="shared" si="541"/>
        <v>3.9386910160377986E-2</v>
      </c>
      <c r="CW42" s="48">
        <f t="shared" si="541"/>
        <v>8.7332662078973528E-2</v>
      </c>
      <c r="CX42" s="48">
        <f t="shared" si="541"/>
        <v>8.5640735536167453E-2</v>
      </c>
      <c r="CY42" s="48">
        <f t="shared" si="541"/>
        <v>8.1385177792001787E-2</v>
      </c>
      <c r="CZ42" s="48">
        <f t="shared" si="541"/>
        <v>3.8060645565485711E-2</v>
      </c>
      <c r="DA42" s="48">
        <f t="shared" si="541"/>
        <v>8.6254175798666455E-2</v>
      </c>
      <c r="DB42" s="48">
        <f t="shared" si="541"/>
        <v>8.470534553353927E-2</v>
      </c>
      <c r="DE42" s="129"/>
      <c r="DF42" s="45">
        <v>5.3367207644471344E-2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 t="e">
        <f t="shared" si="542"/>
        <v>#DIV/0!</v>
      </c>
      <c r="E43" s="39" t="e">
        <f t="shared" si="542"/>
        <v>#DIV/0!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 t="e">
        <f t="shared" si="543"/>
        <v>#DIV/0!</v>
      </c>
      <c r="J43" s="39" t="e">
        <f t="shared" si="543"/>
        <v>#DIV/0!</v>
      </c>
      <c r="K43" s="39" t="e">
        <f t="shared" si="543"/>
        <v>#DIV/0!</v>
      </c>
      <c r="L43" s="39" t="e">
        <f t="shared" si="543"/>
        <v>#DIV/0!</v>
      </c>
      <c r="M43" s="39" t="e">
        <f t="shared" si="543"/>
        <v>#DIV/0!</v>
      </c>
      <c r="N43" s="39" t="e">
        <f t="shared" si="543"/>
        <v>#DIV/0!</v>
      </c>
      <c r="O43" s="39" t="e">
        <f t="shared" si="543"/>
        <v>#DIV/0!</v>
      </c>
      <c r="P43" s="39" t="e">
        <f t="shared" si="543"/>
        <v>#DIV/0!</v>
      </c>
      <c r="Q43" s="39" t="e">
        <f t="shared" si="543"/>
        <v>#DIV/0!</v>
      </c>
      <c r="R43" s="39" t="e">
        <f t="shared" si="543"/>
        <v>#DIV/0!</v>
      </c>
      <c r="S43" s="39" t="e">
        <f t="shared" si="543"/>
        <v>#DIV/0!</v>
      </c>
      <c r="T43" s="39" t="e">
        <f t="shared" si="543"/>
        <v>#DIV/0!</v>
      </c>
      <c r="U43" s="39" t="e">
        <f t="shared" si="543"/>
        <v>#DIV/0!</v>
      </c>
      <c r="V43" s="39" t="e">
        <f t="shared" si="543"/>
        <v>#DIV/0!</v>
      </c>
      <c r="W43" s="39">
        <f t="shared" si="543"/>
        <v>0.79708001582088017</v>
      </c>
      <c r="X43" s="39">
        <f t="shared" si="543"/>
        <v>-7.4745762711864412</v>
      </c>
      <c r="Y43" s="39">
        <f t="shared" si="543"/>
        <v>2506.0000000000186</v>
      </c>
      <c r="Z43" s="39">
        <f t="shared" ref="Z43:AA43" si="544">+IF(Y41&lt;0,1-Z41/Y41,Z41/Y41-1)</f>
        <v>1.2343313373253371</v>
      </c>
      <c r="AA43" s="39">
        <f t="shared" si="544"/>
        <v>0.2572806860818253</v>
      </c>
      <c r="AB43" s="40">
        <f t="shared" si="543"/>
        <v>0.82976205028445893</v>
      </c>
      <c r="AC43" s="40">
        <f t="shared" si="543"/>
        <v>0.11131972270643731</v>
      </c>
      <c r="AD43" s="40">
        <f t="shared" si="543"/>
        <v>0.15231746437356786</v>
      </c>
      <c r="AE43" s="40">
        <f t="shared" si="543"/>
        <v>0.17450034417502303</v>
      </c>
      <c r="AM43" s="39" t="e">
        <f>+IF(AI41&lt;0,1-AM41/AI41,AM41/AI41-1)</f>
        <v>#DIV/0!</v>
      </c>
      <c r="AN43" s="39" t="e">
        <f t="shared" ref="AN43" si="545">+IF(AJ41&lt;0,1-AN41/AJ41,AN41/AJ41-1)</f>
        <v>#DIV/0!</v>
      </c>
      <c r="AO43" s="39" t="e">
        <f t="shared" ref="AO43" si="546">+IF(AK41&lt;0,1-AO41/AK41,AO41/AK41-1)</f>
        <v>#DIV/0!</v>
      </c>
      <c r="AP43" s="39" t="e">
        <f t="shared" ref="AP43" si="547">+IF(AL41&lt;0,1-AP41/AL41,AP41/AL41-1)</f>
        <v>#DIV/0!</v>
      </c>
      <c r="AQ43" s="39" t="e">
        <f t="shared" ref="AQ43" si="548">+IF(AM41&lt;0,1-AQ41/AM41,AQ41/AM41-1)</f>
        <v>#DIV/0!</v>
      </c>
      <c r="AR43" s="39" t="e">
        <f t="shared" ref="AR43" si="549">+IF(AN41&lt;0,1-AR41/AN41,AR41/AN41-1)</f>
        <v>#DIV/0!</v>
      </c>
      <c r="AS43" s="39" t="e">
        <f t="shared" ref="AS43" si="550">+IF(AO41&lt;0,1-AS41/AO41,AS41/AO41-1)</f>
        <v>#DIV/0!</v>
      </c>
      <c r="AT43" s="39" t="e">
        <f t="shared" ref="AT43" si="551">+IF(AP41&lt;0,1-AT41/AP41,AT41/AP41-1)</f>
        <v>#DIV/0!</v>
      </c>
      <c r="AU43" s="39" t="e">
        <f t="shared" ref="AU43" si="552">+IF(AQ41&lt;0,1-AU41/AQ41,AU41/AQ41-1)</f>
        <v>#DIV/0!</v>
      </c>
      <c r="AV43" s="39" t="e">
        <f t="shared" ref="AV43" si="553">+IF(AR41&lt;0,1-AV41/AR41,AV41/AR41-1)</f>
        <v>#DIV/0!</v>
      </c>
      <c r="AW43" s="39" t="e">
        <f t="shared" ref="AW43" si="554">+IF(AS41&lt;0,1-AW41/AS41,AW41/AS41-1)</f>
        <v>#DIV/0!</v>
      </c>
      <c r="AX43" s="39" t="e">
        <f t="shared" ref="AX43" si="555">+IF(AT41&lt;0,1-AX41/AT41,AX41/AT41-1)</f>
        <v>#DIV/0!</v>
      </c>
      <c r="AY43" s="39" t="e">
        <f t="shared" ref="AY43" si="556">+IF(AU41&lt;0,1-AY41/AU41,AY41/AU41-1)</f>
        <v>#DIV/0!</v>
      </c>
      <c r="AZ43" s="39" t="e">
        <f t="shared" ref="AZ43" si="557">+IF(AV41&lt;0,1-AZ41/AV41,AZ41/AV41-1)</f>
        <v>#DIV/0!</v>
      </c>
      <c r="BA43" s="39" t="e">
        <f t="shared" ref="BA43" si="558">+IF(AW41&lt;0,1-BA41/AW41,BA41/AW41-1)</f>
        <v>#DIV/0!</v>
      </c>
      <c r="BB43" s="39" t="e">
        <f t="shared" ref="BB43" si="559">+IF(AX41&lt;0,1-BB41/AX41,BB41/AX41-1)</f>
        <v>#DIV/0!</v>
      </c>
      <c r="BC43" s="39" t="e">
        <f t="shared" ref="BC43" si="560">+IF(AY41&lt;0,1-BC41/AY41,BC41/AY41-1)</f>
        <v>#DIV/0!</v>
      </c>
      <c r="BD43" s="39" t="e">
        <f t="shared" ref="BD43" si="561">+IF(AZ41&lt;0,1-BD41/AZ41,BD41/AZ41-1)</f>
        <v>#DIV/0!</v>
      </c>
      <c r="BE43" s="39" t="e">
        <f t="shared" ref="BE43" si="562">+IF(BA41&lt;0,1-BE41/BA41,BE41/BA41-1)</f>
        <v>#DIV/0!</v>
      </c>
      <c r="BF43" s="39" t="e">
        <f t="shared" ref="BF43" si="563">+IF(BB41&lt;0,1-BF41/BB41,BF41/BB41-1)</f>
        <v>#DIV/0!</v>
      </c>
      <c r="BG43" s="39" t="e">
        <f t="shared" ref="BG43" si="564">+IF(BC41&lt;0,1-BG41/BC41,BG41/BC41-1)</f>
        <v>#DIV/0!</v>
      </c>
      <c r="BH43" s="39" t="e">
        <f t="shared" ref="BH43" si="565">+IF(BD41&lt;0,1-BH41/BD41,BH41/BD41-1)</f>
        <v>#DIV/0!</v>
      </c>
      <c r="BI43" s="39" t="e">
        <f t="shared" ref="BI43" si="566">+IF(BE41&lt;0,1-BI41/BE41,BI41/BE41-1)</f>
        <v>#DIV/0!</v>
      </c>
      <c r="BJ43" s="39" t="e">
        <f t="shared" ref="BJ43" si="567">+IF(BF41&lt;0,1-BJ41/BF41,BJ41/BF41-1)</f>
        <v>#DIV/0!</v>
      </c>
      <c r="BK43" s="39" t="e">
        <f t="shared" ref="BK43" si="568">+IF(BG41&lt;0,1-BK41/BG41,BK41/BG41-1)</f>
        <v>#DIV/0!</v>
      </c>
      <c r="BL43" s="39" t="e">
        <f t="shared" ref="BL43" si="569">+IF(BH41&lt;0,1-BL41/BH41,BL41/BH41-1)</f>
        <v>#DIV/0!</v>
      </c>
      <c r="BM43" s="39" t="e">
        <f t="shared" ref="BM43" si="570">+IF(BI41&lt;0,1-BM41/BI41,BM41/BI41-1)</f>
        <v>#DIV/0!</v>
      </c>
      <c r="BN43" s="39" t="e">
        <f t="shared" ref="BN43" si="571">+IF(BJ41&lt;0,1-BN41/BJ41,BN41/BJ41-1)</f>
        <v>#DIV/0!</v>
      </c>
      <c r="BO43" s="39" t="e">
        <f t="shared" ref="BO43" si="572">+IF(BK41&lt;0,1-BO41/BK41,BO41/BK41-1)</f>
        <v>#DIV/0!</v>
      </c>
      <c r="BP43" s="39" t="e">
        <f t="shared" ref="BP43" si="573">+IF(BL41&lt;0,1-BP41/BL41,BP41/BL41-1)</f>
        <v>#DIV/0!</v>
      </c>
      <c r="BQ43" s="39" t="e">
        <f t="shared" ref="BQ43" si="574">+IF(BM41&lt;0,1-BQ41/BM41,BQ41/BM41-1)</f>
        <v>#DIV/0!</v>
      </c>
      <c r="BR43" s="39" t="e">
        <f t="shared" ref="BR43" si="575">+IF(BN41&lt;0,1-BR41/BN41,BR41/BN41-1)</f>
        <v>#DIV/0!</v>
      </c>
      <c r="BS43" s="39" t="e">
        <f t="shared" ref="BS43" si="576">+IF(BO41&lt;0,1-BS41/BO41,BS41/BO41-1)</f>
        <v>#DIV/0!</v>
      </c>
      <c r="BT43" s="39" t="e">
        <f t="shared" ref="BT43" si="577">+IF(BP41&lt;0,1-BT41/BP41,BT41/BP41-1)</f>
        <v>#DIV/0!</v>
      </c>
      <c r="BU43" s="39" t="e">
        <f t="shared" ref="BU43" si="578">+IF(BQ41&lt;0,1-BU41/BQ41,BU41/BQ41-1)</f>
        <v>#DIV/0!</v>
      </c>
      <c r="BV43" s="39" t="e">
        <f t="shared" ref="BV43" si="579">+IF(BR41&lt;0,1-BV41/BR41,BV41/BR41-1)</f>
        <v>#DIV/0!</v>
      </c>
      <c r="BW43" s="39" t="e">
        <f t="shared" ref="BW43" si="580">+IF(BS41&lt;0,1-BW41/BS41,BW41/BS41-1)</f>
        <v>#DIV/0!</v>
      </c>
      <c r="BX43" s="39" t="e">
        <f t="shared" ref="BX43" si="581">+IF(BT41&lt;0,1-BX41/BT41,BX41/BT41-1)</f>
        <v>#DIV/0!</v>
      </c>
      <c r="BY43" s="39" t="e">
        <f t="shared" ref="BY43" si="582">+IF(BU41&lt;0,1-BY41/BU41,BY41/BU41-1)</f>
        <v>#DIV/0!</v>
      </c>
      <c r="BZ43" s="39" t="e">
        <f t="shared" ref="BZ43" si="583">+IF(BV41&lt;0,1-BZ41/BV41,BZ41/BV41-1)</f>
        <v>#DIV/0!</v>
      </c>
      <c r="CA43" s="39" t="e">
        <f t="shared" ref="CA43" si="584">+IF(BW41&lt;0,1-CA41/BW41,CA41/BW41-1)</f>
        <v>#DIV/0!</v>
      </c>
      <c r="CB43" s="39" t="e">
        <f t="shared" ref="CB43" si="585">+IF(BX41&lt;0,1-CB41/BX41,CB41/BX41-1)</f>
        <v>#DIV/0!</v>
      </c>
      <c r="CC43" s="39" t="e">
        <f t="shared" ref="CC43" si="586">+IF(BY41&lt;0,1-CC41/BY41,CC41/BY41-1)</f>
        <v>#DIV/0!</v>
      </c>
      <c r="CD43" s="39">
        <f t="shared" ref="CD43" si="587">+IF(BZ41&lt;0,1-CD41/BZ41,CD41/BZ41-1)</f>
        <v>1025.9999999999993</v>
      </c>
      <c r="CE43" s="39">
        <f t="shared" ref="CE43" si="588">+IF(CA41&lt;0,1-CE41/CA41,CE41/CA41-1)</f>
        <v>1.8365384615384772</v>
      </c>
      <c r="CF43" s="39">
        <f t="shared" ref="CF43" si="589">+IF(CB41&lt;0,1-CF41/CB41,CF41/CB41-1)</f>
        <v>2.349593495934958</v>
      </c>
      <c r="CG43" s="39">
        <f t="shared" ref="CG43" si="590">+IF(CC41&lt;0,1-CG41/CC41,CG41/CC41-1)</f>
        <v>1.0868596881959895</v>
      </c>
      <c r="CH43" s="39">
        <f t="shared" ref="CH43:CL43" si="591">+IF(CD41&lt;0,1-CH41/CD41,CH41/CD41-1)</f>
        <v>0.38536585365853826</v>
      </c>
      <c r="CI43" s="39">
        <f t="shared" si="591"/>
        <v>0.14576271186440293</v>
      </c>
      <c r="CJ43" s="39">
        <f t="shared" si="591"/>
        <v>-0.22281553398058151</v>
      </c>
      <c r="CK43" s="39">
        <f t="shared" si="591"/>
        <v>0.40661686232657623</v>
      </c>
      <c r="CL43" s="39">
        <f t="shared" si="591"/>
        <v>0.94788732394366004</v>
      </c>
      <c r="CM43" s="40">
        <f t="shared" ref="CM43" si="592">+CM41/CI41-1</f>
        <v>1.1410075639618857</v>
      </c>
      <c r="CN43" s="40">
        <f t="shared" ref="CN43" si="593">+CN41/CJ41-1</f>
        <v>0.23903093530644792</v>
      </c>
      <c r="CO43" s="40">
        <f t="shared" ref="CO43" si="594">+CO41/CK41-1</f>
        <v>1.9817544124197788</v>
      </c>
      <c r="CP43" s="40">
        <f t="shared" ref="CP43" si="595">+CP41/CL41-1</f>
        <v>0.47062634793216374</v>
      </c>
      <c r="CQ43" s="40">
        <f t="shared" ref="CQ43" si="596">+CQ41/CM41-1</f>
        <v>9.1188565752162276E-2</v>
      </c>
      <c r="CR43" s="40">
        <f t="shared" ref="CR43" si="597">+CR41/CN41-1</f>
        <v>2.4678475049937143E-2</v>
      </c>
      <c r="CS43" s="40">
        <f t="shared" ref="CS43" si="598">+CS41/CO41-1</f>
        <v>0.15117742672999945</v>
      </c>
      <c r="CT43" s="40">
        <f t="shared" ref="CT43" si="599">+CT41/CP41-1</f>
        <v>0.1293893742242529</v>
      </c>
      <c r="CU43" s="40">
        <f t="shared" ref="CU43" si="600">+CU41/CQ41-1</f>
        <v>0.13626665646325775</v>
      </c>
      <c r="CV43" s="40">
        <f t="shared" ref="CV43" si="601">+CV41/CR41-1</f>
        <v>0.11361713681183683</v>
      </c>
      <c r="CW43" s="40">
        <f t="shared" ref="CW43" si="602">+CW41/CS41-1</f>
        <v>0.1665630434646368</v>
      </c>
      <c r="CX43" s="40">
        <f t="shared" ref="CX43" si="603">+CX41/CT41-1</f>
        <v>0.16644740044189321</v>
      </c>
      <c r="CY43" s="40">
        <f t="shared" ref="CY43" si="604">+CY41/CU41-1</f>
        <v>0.16598048893808648</v>
      </c>
      <c r="CZ43" s="40">
        <f t="shared" ref="CZ43" si="605">+CZ41/CV41-1</f>
        <v>0.15525939013537249</v>
      </c>
      <c r="DA43" s="40">
        <f t="shared" ref="DA43" si="606">+DA41/CW41-1</f>
        <v>0.18065932109336291</v>
      </c>
      <c r="DB43" s="40">
        <f t="shared" ref="DB43" si="607">+DB41/CX41-1</f>
        <v>0.18226833469806381</v>
      </c>
      <c r="DE43" s="122"/>
      <c r="DF43" s="39">
        <v>0.2572806860818253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8">+IF(AJ41&lt;0,1-AK41/AJ41,AK41/AJ41-1)</f>
        <v>#DIV/0!</v>
      </c>
      <c r="AL44" s="39" t="e">
        <f t="shared" si="608"/>
        <v>#DIV/0!</v>
      </c>
      <c r="AM44" s="39" t="e">
        <f t="shared" si="608"/>
        <v>#DIV/0!</v>
      </c>
      <c r="AN44" s="39" t="e">
        <f t="shared" ref="AN44" si="609">+IF(AM41&lt;0,1-AN41/AM41,AN41/AM41-1)</f>
        <v>#DIV/0!</v>
      </c>
      <c r="AO44" s="39" t="e">
        <f t="shared" ref="AO44" si="610">+IF(AN41&lt;0,1-AO41/AN41,AO41/AN41-1)</f>
        <v>#DIV/0!</v>
      </c>
      <c r="AP44" s="39" t="e">
        <f t="shared" ref="AP44" si="611">+IF(AO41&lt;0,1-AP41/AO41,AP41/AO41-1)</f>
        <v>#DIV/0!</v>
      </c>
      <c r="AQ44" s="39" t="e">
        <f t="shared" ref="AQ44" si="612">+IF(AP41&lt;0,1-AQ41/AP41,AQ41/AP41-1)</f>
        <v>#DIV/0!</v>
      </c>
      <c r="AR44" s="39" t="e">
        <f t="shared" ref="AR44" si="613">+IF(AQ41&lt;0,1-AR41/AQ41,AR41/AQ41-1)</f>
        <v>#DIV/0!</v>
      </c>
      <c r="AS44" s="39" t="e">
        <f t="shared" ref="AS44" si="614">+IF(AR41&lt;0,1-AS41/AR41,AS41/AR41-1)</f>
        <v>#DIV/0!</v>
      </c>
      <c r="AT44" s="39" t="e">
        <f t="shared" ref="AT44" si="615">+IF(AS41&lt;0,1-AT41/AS41,AT41/AS41-1)</f>
        <v>#DIV/0!</v>
      </c>
      <c r="AU44" s="39" t="e">
        <f t="shared" ref="AU44" si="616">+IF(AT41&lt;0,1-AU41/AT41,AU41/AT41-1)</f>
        <v>#DIV/0!</v>
      </c>
      <c r="AV44" s="39" t="e">
        <f t="shared" ref="AV44" si="617">+IF(AU41&lt;0,1-AV41/AU41,AV41/AU41-1)</f>
        <v>#DIV/0!</v>
      </c>
      <c r="AW44" s="39" t="e">
        <f t="shared" ref="AW44" si="618">+IF(AV41&lt;0,1-AW41/AV41,AW41/AV41-1)</f>
        <v>#DIV/0!</v>
      </c>
      <c r="AX44" s="39" t="e">
        <f t="shared" ref="AX44" si="619">+IF(AW41&lt;0,1-AX41/AW41,AX41/AW41-1)</f>
        <v>#DIV/0!</v>
      </c>
      <c r="AY44" s="39" t="e">
        <f t="shared" ref="AY44" si="620">+IF(AX41&lt;0,1-AY41/AX41,AY41/AX41-1)</f>
        <v>#DIV/0!</v>
      </c>
      <c r="AZ44" s="39" t="e">
        <f t="shared" ref="AZ44" si="621">+IF(AY41&lt;0,1-AZ41/AY41,AZ41/AY41-1)</f>
        <v>#DIV/0!</v>
      </c>
      <c r="BA44" s="39" t="e">
        <f t="shared" ref="BA44" si="622">+IF(AZ41&lt;0,1-BA41/AZ41,BA41/AZ41-1)</f>
        <v>#DIV/0!</v>
      </c>
      <c r="BB44" s="39" t="e">
        <f t="shared" ref="BB44" si="623">+IF(BA41&lt;0,1-BB41/BA41,BB41/BA41-1)</f>
        <v>#DIV/0!</v>
      </c>
      <c r="BC44" s="39" t="e">
        <f t="shared" ref="BC44" si="624">+IF(BB41&lt;0,1-BC41/BB41,BC41/BB41-1)</f>
        <v>#DIV/0!</v>
      </c>
      <c r="BD44" s="39" t="e">
        <f t="shared" ref="BD44" si="625">+IF(BC41&lt;0,1-BD41/BC41,BD41/BC41-1)</f>
        <v>#DIV/0!</v>
      </c>
      <c r="BE44" s="39" t="e">
        <f t="shared" ref="BE44" si="626">+IF(BD41&lt;0,1-BE41/BD41,BE41/BD41-1)</f>
        <v>#DIV/0!</v>
      </c>
      <c r="BF44" s="39" t="e">
        <f t="shared" ref="BF44" si="627">+IF(BE41&lt;0,1-BF41/BE41,BF41/BE41-1)</f>
        <v>#DIV/0!</v>
      </c>
      <c r="BG44" s="39" t="e">
        <f t="shared" ref="BG44" si="628">+IF(BF41&lt;0,1-BG41/BF41,BG41/BF41-1)</f>
        <v>#DIV/0!</v>
      </c>
      <c r="BH44" s="39" t="e">
        <f t="shared" ref="BH44" si="629">+IF(BG41&lt;0,1-BH41/BG41,BH41/BG41-1)</f>
        <v>#DIV/0!</v>
      </c>
      <c r="BI44" s="39" t="e">
        <f t="shared" ref="BI44" si="630">+IF(BH41&lt;0,1-BI41/BH41,BI41/BH41-1)</f>
        <v>#DIV/0!</v>
      </c>
      <c r="BJ44" s="39" t="e">
        <f t="shared" ref="BJ44" si="631">+IF(BI41&lt;0,1-BJ41/BI41,BJ41/BI41-1)</f>
        <v>#DIV/0!</v>
      </c>
      <c r="BK44" s="39" t="e">
        <f t="shared" ref="BK44" si="632">+IF(BJ41&lt;0,1-BK41/BJ41,BK41/BJ41-1)</f>
        <v>#DIV/0!</v>
      </c>
      <c r="BL44" s="39" t="e">
        <f t="shared" ref="BL44" si="633">+IF(BK41&lt;0,1-BL41/BK41,BL41/BK41-1)</f>
        <v>#DIV/0!</v>
      </c>
      <c r="BM44" s="39" t="e">
        <f t="shared" ref="BM44" si="634">+IF(BL41&lt;0,1-BM41/BL41,BM41/BL41-1)</f>
        <v>#DIV/0!</v>
      </c>
      <c r="BN44" s="39" t="e">
        <f t="shared" ref="BN44" si="635">+IF(BM41&lt;0,1-BN41/BM41,BN41/BM41-1)</f>
        <v>#DIV/0!</v>
      </c>
      <c r="BO44" s="39" t="e">
        <f t="shared" ref="BO44" si="636">+IF(BN41&lt;0,1-BO41/BN41,BO41/BN41-1)</f>
        <v>#DIV/0!</v>
      </c>
      <c r="BP44" s="39" t="e">
        <f t="shared" ref="BP44" si="637">+IF(BO41&lt;0,1-BP41/BO41,BP41/BO41-1)</f>
        <v>#DIV/0!</v>
      </c>
      <c r="BQ44" s="39" t="e">
        <f t="shared" ref="BQ44" si="638">+IF(BP41&lt;0,1-BQ41/BP41,BQ41/BP41-1)</f>
        <v>#DIV/0!</v>
      </c>
      <c r="BR44" s="39" t="e">
        <f t="shared" ref="BR44" si="639">+IF(BQ41&lt;0,1-BR41/BQ41,BR41/BQ41-1)</f>
        <v>#DIV/0!</v>
      </c>
      <c r="BS44" s="39" t="e">
        <f t="shared" ref="BS44" si="640">+IF(BR41&lt;0,1-BS41/BR41,BS41/BR41-1)</f>
        <v>#DIV/0!</v>
      </c>
      <c r="BT44" s="39" t="e">
        <f t="shared" ref="BT44" si="641">+IF(BS41&lt;0,1-BT41/BS41,BT41/BS41-1)</f>
        <v>#DIV/0!</v>
      </c>
      <c r="BU44" s="39" t="e">
        <f t="shared" ref="BU44" si="642">+IF(BT41&lt;0,1-BU41/BT41,BU41/BT41-1)</f>
        <v>#DIV/0!</v>
      </c>
      <c r="BV44" s="39" t="e">
        <f t="shared" ref="BV44" si="643">+IF(BU41&lt;0,1-BV41/BU41,BV41/BU41-1)</f>
        <v>#DIV/0!</v>
      </c>
      <c r="BW44" s="39" t="e">
        <f t="shared" ref="BW44" si="644">+IF(BV41&lt;0,1-BW41/BV41,BW41/BV41-1)</f>
        <v>#DIV/0!</v>
      </c>
      <c r="BX44" s="39" t="e">
        <f t="shared" ref="BX44" si="645">+IF(BW41&lt;0,1-BX41/BW41,BX41/BW41-1)</f>
        <v>#DIV/0!</v>
      </c>
      <c r="BY44" s="39" t="e">
        <f t="shared" ref="BY44" si="646">+IF(BX41&lt;0,1-BY41/BX41,BY41/BX41-1)</f>
        <v>#DIV/0!</v>
      </c>
      <c r="BZ44" s="39" t="e">
        <f t="shared" ref="BZ44" si="647">+IF(BY41&lt;0,1-BZ41/BY41,BZ41/BY41-1)</f>
        <v>#DIV/0!</v>
      </c>
      <c r="CA44" s="39">
        <f t="shared" ref="CA44" si="648">+IF(BZ41&lt;0,1-CA41/BZ41,CA41/BZ41-1)</f>
        <v>416.99999999999824</v>
      </c>
      <c r="CB44" s="39">
        <f t="shared" ref="CB44" si="649">+IF(CA41&lt;0,1-CB41/CA41,CB41/CA41-1)</f>
        <v>0.47836538461538969</v>
      </c>
      <c r="CC44" s="39">
        <f t="shared" ref="CC44" si="650">+IF(CB41&lt;0,1-CC41/CB41,CC41/CB41-1)</f>
        <v>-0.26991869918699207</v>
      </c>
      <c r="CD44" s="39">
        <f t="shared" ref="CD44" si="651">+IF(CC41&lt;0,1-CD41/CC41,CD41/CC41-1)</f>
        <v>1.2828507795100235</v>
      </c>
      <c r="CE44" s="39">
        <f t="shared" ref="CE44" si="652">+IF(CD41&lt;0,1-CE41/CD41,CE41/CD41-1)</f>
        <v>0.15121951219512431</v>
      </c>
      <c r="CF44" s="39">
        <f t="shared" ref="CF44" si="653">+IF(CE41&lt;0,1-CF41/CE41,CF41/CE41-1)</f>
        <v>0.74576271186440257</v>
      </c>
      <c r="CG44" s="39">
        <f t="shared" ref="CG44" si="654">+IF(CF41&lt;0,1-CG41/CF41,CG41/CF41-1)</f>
        <v>-0.54514563106796143</v>
      </c>
      <c r="CH44" s="39">
        <f t="shared" ref="CH44:CL44" si="655">+IF(CG41&lt;0,1-CH41/CG41,CH41/CG41-1)</f>
        <v>0.51547491995731387</v>
      </c>
      <c r="CI44" s="39">
        <f t="shared" si="655"/>
        <v>-4.7887323943664462E-2</v>
      </c>
      <c r="CJ44" s="39">
        <f t="shared" si="655"/>
        <v>0.18417159763313884</v>
      </c>
      <c r="CK44" s="39">
        <f t="shared" si="655"/>
        <v>-0.1767645221736418</v>
      </c>
      <c r="CL44" s="39">
        <f t="shared" si="655"/>
        <v>1.0986342943854321</v>
      </c>
      <c r="CM44" s="40">
        <f t="shared" ref="CM44" si="656">+CM41/CL41-1</f>
        <v>4.6508397135381463E-2</v>
      </c>
      <c r="CN44" s="40">
        <f t="shared" ref="CN44" si="657">+CN41/CM41-1</f>
        <v>-0.31470338224137262</v>
      </c>
      <c r="CO44" s="40">
        <f t="shared" ref="CO44" si="658">+CO41/CN41-1</f>
        <v>0.98113376229959459</v>
      </c>
      <c r="CP44" s="40">
        <f t="shared" ref="CP44" si="659">+CP41/CO41-1</f>
        <v>3.5064080107326756E-2</v>
      </c>
      <c r="CQ44" s="40">
        <f t="shared" ref="CQ44" si="660">+CQ41/CP41-1</f>
        <v>-0.2235022862718179</v>
      </c>
      <c r="CR44" s="40">
        <f t="shared" ref="CR44" si="661">+CR41/CQ41-1</f>
        <v>-0.35647355985832418</v>
      </c>
      <c r="CS44" s="40">
        <f t="shared" ref="CS44" si="662">+CS41/CR41-1</f>
        <v>1.2257093537373511</v>
      </c>
      <c r="CT44" s="40">
        <f t="shared" ref="CT44" si="663">+CT41/CS41-1</f>
        <v>1.5473676403658487E-2</v>
      </c>
      <c r="CU44" s="40">
        <f t="shared" ref="CU44" si="664">+CU41/CT41-1</f>
        <v>-0.21877389581842033</v>
      </c>
      <c r="CV44" s="40">
        <f t="shared" ref="CV44" si="665">+CV41/CU41-1</f>
        <v>-0.36930115157659715</v>
      </c>
      <c r="CW44" s="40">
        <f t="shared" ref="CW44" si="666">+CW41/CV41-1</f>
        <v>1.3315286661238424</v>
      </c>
      <c r="CX44" s="40">
        <f t="shared" ref="CX44" si="667">+CX41/CW41-1</f>
        <v>1.5373011080756394E-2</v>
      </c>
      <c r="CY44" s="40">
        <f t="shared" ref="CY44" si="668">+CY41/CX41-1</f>
        <v>-0.21908660898060672</v>
      </c>
      <c r="CZ44" s="40">
        <f t="shared" ref="CZ44" si="669">+CZ41/CY41-1</f>
        <v>-0.37510037783540318</v>
      </c>
      <c r="DA44" s="40">
        <f t="shared" ref="DA44" si="670">+DA41/CZ41-1</f>
        <v>1.3827904586284516</v>
      </c>
      <c r="DB44" s="40">
        <f t="shared" ref="DB44" si="671">+DB41/DA41-1</f>
        <v>1.6756770950760336E-2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0</v>
      </c>
      <c r="I48" s="26">
        <f t="shared" si="692"/>
        <v>0</v>
      </c>
      <c r="J48" s="26">
        <f t="shared" si="692"/>
        <v>0</v>
      </c>
      <c r="K48" s="26">
        <f t="shared" si="692"/>
        <v>0</v>
      </c>
      <c r="L48" s="26">
        <f t="shared" si="692"/>
        <v>0</v>
      </c>
      <c r="M48" s="26">
        <f t="shared" si="692"/>
        <v>0</v>
      </c>
      <c r="N48" s="26">
        <f t="shared" si="692"/>
        <v>0</v>
      </c>
      <c r="O48" s="26">
        <f t="shared" si="692"/>
        <v>0</v>
      </c>
      <c r="P48" s="26">
        <f t="shared" si="692"/>
        <v>0</v>
      </c>
      <c r="Q48" s="26">
        <f t="shared" si="692"/>
        <v>0</v>
      </c>
      <c r="R48" s="26">
        <f t="shared" si="692"/>
        <v>0</v>
      </c>
      <c r="S48" s="26">
        <f t="shared" si="692"/>
        <v>0</v>
      </c>
      <c r="T48" s="26">
        <f t="shared" si="692"/>
        <v>0</v>
      </c>
      <c r="U48" s="26">
        <f t="shared" si="692"/>
        <v>0</v>
      </c>
      <c r="V48" s="26">
        <f t="shared" ref="V48:AA48" si="693">V41+V45+V46+V47</f>
        <v>-5.8151000000000001E-3</v>
      </c>
      <c r="W48" s="26">
        <f t="shared" si="693"/>
        <v>-1.1800000000000001E-3</v>
      </c>
      <c r="X48" s="26">
        <f t="shared" si="693"/>
        <v>-0.01</v>
      </c>
      <c r="Y48" s="26">
        <f t="shared" si="693"/>
        <v>25.050000000000189</v>
      </c>
      <c r="Z48" s="26">
        <f t="shared" si="693"/>
        <v>55.970000000000113</v>
      </c>
      <c r="AA48" s="26">
        <f t="shared" si="693"/>
        <v>70.369999999999905</v>
      </c>
      <c r="AB48" s="27">
        <f t="shared" ref="AB48:AD48" si="694">AB41+AB45+AB46+AB47</f>
        <v>128.7603554785172</v>
      </c>
      <c r="AC48" s="27">
        <f t="shared" si="694"/>
        <v>143.09392254596804</v>
      </c>
      <c r="AD48" s="27">
        <f t="shared" si="694"/>
        <v>164.8896259954376</v>
      </c>
      <c r="AE48" s="27">
        <f t="shared" ref="AE48" si="695">AE41+AE45+AE46+AE47</f>
        <v>193.66292248253228</v>
      </c>
      <c r="AI48" s="26">
        <f t="shared" ref="AI48" si="696">AI41+AI45+AI46+AI47</f>
        <v>0</v>
      </c>
      <c r="AJ48" s="26">
        <f t="shared" ref="AJ48" si="697">AJ41+AJ45+AJ46+AJ47</f>
        <v>0</v>
      </c>
      <c r="AK48" s="26">
        <f t="shared" ref="AK48:AM48" si="698">AK41+AK45+AK46+AK47</f>
        <v>0</v>
      </c>
      <c r="AL48" s="26">
        <f t="shared" si="698"/>
        <v>0</v>
      </c>
      <c r="AM48" s="26">
        <f t="shared" si="698"/>
        <v>0</v>
      </c>
      <c r="AN48" s="26">
        <f t="shared" ref="AN48:AO48" si="699">AN41+AN45+AN46+AN47</f>
        <v>0</v>
      </c>
      <c r="AO48" s="26">
        <f t="shared" si="699"/>
        <v>0</v>
      </c>
      <c r="AP48" s="26">
        <f t="shared" ref="AP48:CD48" si="700">AP41+AP45+AP46+AP47</f>
        <v>0</v>
      </c>
      <c r="AQ48" s="26">
        <f t="shared" si="700"/>
        <v>0</v>
      </c>
      <c r="AR48" s="26">
        <f t="shared" si="700"/>
        <v>0</v>
      </c>
      <c r="AS48" s="26">
        <f t="shared" si="700"/>
        <v>0</v>
      </c>
      <c r="AT48" s="26">
        <f t="shared" si="700"/>
        <v>0</v>
      </c>
      <c r="AU48" s="26">
        <f t="shared" si="700"/>
        <v>0</v>
      </c>
      <c r="AV48" s="26">
        <f t="shared" si="700"/>
        <v>0</v>
      </c>
      <c r="AW48" s="26">
        <f t="shared" si="700"/>
        <v>0</v>
      </c>
      <c r="AX48" s="26">
        <f t="shared" si="700"/>
        <v>0</v>
      </c>
      <c r="AY48" s="26">
        <f t="shared" si="700"/>
        <v>0</v>
      </c>
      <c r="AZ48" s="26">
        <f t="shared" si="700"/>
        <v>0</v>
      </c>
      <c r="BA48" s="26">
        <f t="shared" si="700"/>
        <v>0</v>
      </c>
      <c r="BB48" s="26">
        <f t="shared" si="700"/>
        <v>0</v>
      </c>
      <c r="BC48" s="26">
        <f t="shared" si="700"/>
        <v>0</v>
      </c>
      <c r="BD48" s="26">
        <f t="shared" si="700"/>
        <v>0</v>
      </c>
      <c r="BE48" s="26">
        <f t="shared" si="700"/>
        <v>0</v>
      </c>
      <c r="BF48" s="26">
        <f t="shared" si="700"/>
        <v>0</v>
      </c>
      <c r="BG48" s="26">
        <f t="shared" si="700"/>
        <v>0</v>
      </c>
      <c r="BH48" s="26">
        <f t="shared" si="700"/>
        <v>0</v>
      </c>
      <c r="BI48" s="26">
        <f t="shared" si="700"/>
        <v>0</v>
      </c>
      <c r="BJ48" s="26">
        <f t="shared" si="700"/>
        <v>0</v>
      </c>
      <c r="BK48" s="26">
        <f t="shared" si="700"/>
        <v>0</v>
      </c>
      <c r="BL48" s="26">
        <f t="shared" si="700"/>
        <v>0</v>
      </c>
      <c r="BM48" s="26">
        <f t="shared" si="700"/>
        <v>0</v>
      </c>
      <c r="BN48" s="26">
        <f t="shared" si="700"/>
        <v>0</v>
      </c>
      <c r="BO48" s="26">
        <f t="shared" si="700"/>
        <v>0</v>
      </c>
      <c r="BP48" s="26">
        <f t="shared" si="700"/>
        <v>0</v>
      </c>
      <c r="BQ48" s="26">
        <f t="shared" si="700"/>
        <v>0</v>
      </c>
      <c r="BR48" s="26">
        <f t="shared" si="700"/>
        <v>0</v>
      </c>
      <c r="BS48" s="26">
        <f t="shared" si="700"/>
        <v>0</v>
      </c>
      <c r="BT48" s="26">
        <f t="shared" si="700"/>
        <v>0</v>
      </c>
      <c r="BU48" s="26">
        <f t="shared" si="700"/>
        <v>0</v>
      </c>
      <c r="BV48" s="26">
        <f t="shared" si="700"/>
        <v>0</v>
      </c>
      <c r="BW48" s="26">
        <f t="shared" si="700"/>
        <v>0</v>
      </c>
      <c r="BX48" s="26">
        <f t="shared" si="700"/>
        <v>0</v>
      </c>
      <c r="BY48" s="26">
        <f t="shared" si="700"/>
        <v>0</v>
      </c>
      <c r="BZ48" s="26">
        <f t="shared" si="700"/>
        <v>-0.01</v>
      </c>
      <c r="CA48" s="26">
        <f t="shared" si="700"/>
        <v>4.1599999999999824</v>
      </c>
      <c r="CB48" s="26">
        <f t="shared" si="700"/>
        <v>6.149999999999995</v>
      </c>
      <c r="CC48" s="26">
        <f t="shared" si="700"/>
        <v>4.4899999999999949</v>
      </c>
      <c r="CD48" s="26">
        <f t="shared" si="700"/>
        <v>10.249999999999993</v>
      </c>
      <c r="CE48" s="26">
        <f t="shared" ref="CE48:CF48" si="701">CE41+CE45+CE46+CE47</f>
        <v>11.800000000000015</v>
      </c>
      <c r="CF48" s="26">
        <f t="shared" si="701"/>
        <v>20.599999999999977</v>
      </c>
      <c r="CG48" s="26">
        <f t="shared" ref="CG48:CH48" si="702">CG41+CG45+CG46+CG47</f>
        <v>9.3699999999999832</v>
      </c>
      <c r="CH48" s="26">
        <f t="shared" si="702"/>
        <v>14.200000000000006</v>
      </c>
      <c r="CI48" s="26">
        <f t="shared" ref="CI48:CJ48" si="703">CI41+CI45+CI46+CI47</f>
        <v>13.519999999999971</v>
      </c>
      <c r="CJ48" s="26">
        <f t="shared" si="703"/>
        <v>16.010000000000002</v>
      </c>
      <c r="CK48" s="26">
        <f t="shared" ref="CK48:CL48" si="704">CK41+CK45+CK46+CK47</f>
        <v>13.179999999999996</v>
      </c>
      <c r="CL48" s="26">
        <f t="shared" si="704"/>
        <v>27.659999999999986</v>
      </c>
      <c r="CM48" s="27">
        <f t="shared" ref="CM48:DB48" si="705">CM41+CM45+CM46+CM47</f>
        <v>28.946422264764635</v>
      </c>
      <c r="CN48" s="27">
        <f t="shared" si="705"/>
        <v>19.836885274256232</v>
      </c>
      <c r="CO48" s="27">
        <f t="shared" si="705"/>
        <v>39.299523155692675</v>
      </c>
      <c r="CP48" s="27">
        <f t="shared" si="705"/>
        <v>40.677524783803626</v>
      </c>
      <c r="CQ48" s="27">
        <f t="shared" si="705"/>
        <v>31.586004994744982</v>
      </c>
      <c r="CR48" s="27">
        <f t="shared" si="705"/>
        <v>20.32642935256543</v>
      </c>
      <c r="CS48" s="27">
        <f t="shared" si="705"/>
        <v>45.240723938086326</v>
      </c>
      <c r="CT48" s="27">
        <f t="shared" si="705"/>
        <v>45.94076426057152</v>
      </c>
      <c r="CU48" s="27">
        <f t="shared" si="705"/>
        <v>35.890124286410639</v>
      </c>
      <c r="CV48" s="27">
        <f t="shared" si="705"/>
        <v>22.635860057211993</v>
      </c>
      <c r="CW48" s="27">
        <f t="shared" si="705"/>
        <v>52.776156605757436</v>
      </c>
      <c r="CX48" s="27">
        <f t="shared" si="705"/>
        <v>53.587485046057481</v>
      </c>
      <c r="CY48" s="27">
        <f t="shared" si="705"/>
        <v>41.847184663517773</v>
      </c>
      <c r="CZ48" s="27">
        <f t="shared" si="705"/>
        <v>26.150289884884366</v>
      </c>
      <c r="DA48" s="27">
        <f t="shared" si="705"/>
        <v>62.310661228070572</v>
      </c>
      <c r="DB48" s="27">
        <f t="shared" si="705"/>
        <v>63.35478670605977</v>
      </c>
      <c r="DE48" s="121"/>
      <c r="DF48" s="26">
        <v>70.369999999999905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-5.8151000000000001E-3</v>
      </c>
      <c r="W51" s="22">
        <f>'Annual Raw'!X35</f>
        <v>-1.1800000000000001E-3</v>
      </c>
      <c r="X51" s="22">
        <f>'Annual Raw'!Y35</f>
        <v>-0.01</v>
      </c>
      <c r="Y51" s="22">
        <f>'Annual Raw'!Z35</f>
        <v>25.05</v>
      </c>
      <c r="Z51" s="22">
        <f>'Annual Raw'!AA35</f>
        <v>55.97</v>
      </c>
      <c r="AA51" s="22">
        <f>'Annual Raw'!AB35</f>
        <v>70.37</v>
      </c>
      <c r="AB51" s="21">
        <f t="shared" ref="AB51:AD51" si="706">+AB48</f>
        <v>128.7603554785172</v>
      </c>
      <c r="AC51" s="21">
        <f t="shared" si="706"/>
        <v>143.09392254596804</v>
      </c>
      <c r="AD51" s="21">
        <f t="shared" si="706"/>
        <v>164.8896259954376</v>
      </c>
      <c r="AE51" s="21">
        <f t="shared" ref="AE51" si="707">+AE48</f>
        <v>193.66292248253228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0</v>
      </c>
      <c r="BU51" s="22">
        <f>'QTR Raw'!AO42</f>
        <v>0</v>
      </c>
      <c r="BV51" s="22">
        <f>'QTR Raw'!AP42</f>
        <v>0</v>
      </c>
      <c r="BW51" s="22">
        <f>'QTR Raw'!AQ42</f>
        <v>0</v>
      </c>
      <c r="BX51" s="22">
        <f>'QTR Raw'!AR42</f>
        <v>0</v>
      </c>
      <c r="BY51" s="22">
        <f>'QTR Raw'!AS42</f>
        <v>0</v>
      </c>
      <c r="BZ51" s="22">
        <f>'QTR Raw'!AT42</f>
        <v>-0.01</v>
      </c>
      <c r="CA51" s="22">
        <f>'QTR Raw'!AU42</f>
        <v>4.1599999999999797</v>
      </c>
      <c r="CB51" s="22">
        <f>'QTR Raw'!AV42</f>
        <v>6.1500000000000403</v>
      </c>
      <c r="CC51" s="22">
        <f>'QTR Raw'!AW42</f>
        <v>4.4900000000000402</v>
      </c>
      <c r="CD51" s="22">
        <f>'QTR Raw'!AX42</f>
        <v>10.25</v>
      </c>
      <c r="CE51" s="22">
        <f>'QTR Raw'!AY42</f>
        <v>11.8</v>
      </c>
      <c r="CF51" s="22">
        <f>'QTR Raw'!AZ42</f>
        <v>20.6</v>
      </c>
      <c r="CG51" s="22">
        <f>'QTR Raw'!BA42</f>
        <v>9.3699999999999992</v>
      </c>
      <c r="CH51" s="22">
        <f>'QTR Raw'!BB42</f>
        <v>14.2</v>
      </c>
      <c r="CI51" s="22">
        <f>'QTR Raw'!BC42</f>
        <v>13.5199999999999</v>
      </c>
      <c r="CJ51" s="22">
        <f>'QTR Raw'!BD42</f>
        <v>16.010000000000002</v>
      </c>
      <c r="CK51" s="22">
        <f>'QTR Raw'!BE42</f>
        <v>13.18</v>
      </c>
      <c r="CL51" s="22">
        <f>'QTR Raw'!BF42</f>
        <v>27.66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70.369999999999905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-1.8829382497642655E-13</v>
      </c>
      <c r="Z52" s="25">
        <f t="shared" ref="Z52:AA52" si="711">Z51-Z48</f>
        <v>-1.1368683772161603E-13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4.5297099404706387E-14</v>
      </c>
      <c r="CC52" s="25">
        <f t="shared" si="719"/>
        <v>4.5297099404706387E-14</v>
      </c>
      <c r="CD52" s="25">
        <f t="shared" si="719"/>
        <v>0</v>
      </c>
      <c r="CE52" s="25">
        <f t="shared" ref="CE52:CF52" si="720">CE51-CE48</f>
        <v>-1.4210854715202004E-14</v>
      </c>
      <c r="CF52" s="25">
        <f t="shared" si="720"/>
        <v>0</v>
      </c>
      <c r="CG52" s="25">
        <f t="shared" ref="CG52:CH52" si="721">CG51-CG48</f>
        <v>1.5987211554602254E-14</v>
      </c>
      <c r="CH52" s="25">
        <f t="shared" si="721"/>
        <v>0</v>
      </c>
      <c r="CI52" s="25">
        <f t="shared" ref="CI52:CJ52" si="722">CI51-CI48</f>
        <v>-7.1054273576010019E-14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 t="e">
        <f t="shared" si="724"/>
        <v>#DIV/0!</v>
      </c>
      <c r="D54" s="39" t="e">
        <f t="shared" si="724"/>
        <v>#DIV/0!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 t="e">
        <f t="shared" si="724"/>
        <v>#DIV/0!</v>
      </c>
      <c r="I54" s="39" t="e">
        <f t="shared" si="724"/>
        <v>#DIV/0!</v>
      </c>
      <c r="J54" s="39" t="e">
        <f t="shared" si="724"/>
        <v>#DIV/0!</v>
      </c>
      <c r="K54" s="39" t="e">
        <f t="shared" si="724"/>
        <v>#DIV/0!</v>
      </c>
      <c r="L54" s="39" t="e">
        <f t="shared" si="724"/>
        <v>#DIV/0!</v>
      </c>
      <c r="M54" s="39" t="e">
        <f t="shared" si="724"/>
        <v>#DIV/0!</v>
      </c>
      <c r="N54" s="39" t="e">
        <f t="shared" si="724"/>
        <v>#DIV/0!</v>
      </c>
      <c r="O54" s="39" t="e">
        <f t="shared" si="724"/>
        <v>#DIV/0!</v>
      </c>
      <c r="P54" s="39" t="e">
        <f t="shared" si="724"/>
        <v>#DIV/0!</v>
      </c>
      <c r="Q54" s="39" t="e">
        <f t="shared" si="724"/>
        <v>#DIV/0!</v>
      </c>
      <c r="R54" s="39" t="e">
        <f t="shared" si="724"/>
        <v>#DIV/0!</v>
      </c>
      <c r="S54" s="39" t="e">
        <f t="shared" si="724"/>
        <v>#DIV/0!</v>
      </c>
      <c r="T54" s="39" t="e">
        <f t="shared" si="724"/>
        <v>#DIV/0!</v>
      </c>
      <c r="U54" s="39" t="e">
        <f t="shared" si="724"/>
        <v>#DIV/0!</v>
      </c>
      <c r="V54" s="39">
        <f t="shared" si="724"/>
        <v>-1.3895433582642358</v>
      </c>
      <c r="W54" s="39">
        <f t="shared" si="724"/>
        <v>-0.39269193650371059</v>
      </c>
      <c r="X54" s="39" t="e">
        <f t="shared" si="724"/>
        <v>#DIV/0!</v>
      </c>
      <c r="Y54" s="39">
        <f t="shared" si="724"/>
        <v>1.8076723242119983E-2</v>
      </c>
      <c r="Z54" s="39">
        <f t="shared" si="724"/>
        <v>3.893890272579284E-2</v>
      </c>
      <c r="AA54" s="39">
        <f t="shared" ref="AA54" si="725">(AA48-AA47)/AA120</f>
        <v>4.6835586260141442E-2</v>
      </c>
      <c r="AB54" s="40">
        <f t="shared" si="724"/>
        <v>7.8933534050171089E-2</v>
      </c>
      <c r="AC54" s="40">
        <f t="shared" si="724"/>
        <v>8.0646086736496023E-2</v>
      </c>
      <c r="AD54" s="40">
        <f t="shared" si="724"/>
        <v>8.5028229783746398E-2</v>
      </c>
      <c r="AE54" s="40">
        <f t="shared" si="724"/>
        <v>9.0798073341457675E-2</v>
      </c>
      <c r="AF54" s="39"/>
      <c r="AG54" s="39"/>
      <c r="AH54" s="39"/>
      <c r="AI54" s="39"/>
      <c r="AJ54" s="39"/>
      <c r="AK54" s="39"/>
      <c r="AL54" s="39" t="e">
        <f t="shared" ref="AL54:BQ54" si="726">(SUM(AI48:AL48)-SUM(AI47:AL47))/AL120</f>
        <v>#DIV/0!</v>
      </c>
      <c r="AM54" s="39" t="e">
        <f t="shared" si="726"/>
        <v>#DIV/0!</v>
      </c>
      <c r="AN54" s="39" t="e">
        <f t="shared" si="726"/>
        <v>#DIV/0!</v>
      </c>
      <c r="AO54" s="39" t="e">
        <f t="shared" si="726"/>
        <v>#DIV/0!</v>
      </c>
      <c r="AP54" s="39" t="e">
        <f t="shared" si="726"/>
        <v>#DIV/0!</v>
      </c>
      <c r="AQ54" s="39" t="e">
        <f t="shared" si="726"/>
        <v>#DIV/0!</v>
      </c>
      <c r="AR54" s="39" t="e">
        <f t="shared" si="726"/>
        <v>#DIV/0!</v>
      </c>
      <c r="AS54" s="39" t="e">
        <f t="shared" si="726"/>
        <v>#DIV/0!</v>
      </c>
      <c r="AT54" s="39" t="e">
        <f t="shared" si="726"/>
        <v>#DIV/0!</v>
      </c>
      <c r="AU54" s="39" t="e">
        <f t="shared" si="726"/>
        <v>#DIV/0!</v>
      </c>
      <c r="AV54" s="39" t="e">
        <f t="shared" si="726"/>
        <v>#DIV/0!</v>
      </c>
      <c r="AW54" s="39" t="e">
        <f t="shared" si="726"/>
        <v>#DIV/0!</v>
      </c>
      <c r="AX54" s="39" t="e">
        <f t="shared" si="726"/>
        <v>#DIV/0!</v>
      </c>
      <c r="AY54" s="39" t="e">
        <f t="shared" si="726"/>
        <v>#DIV/0!</v>
      </c>
      <c r="AZ54" s="39" t="e">
        <f t="shared" si="726"/>
        <v>#DIV/0!</v>
      </c>
      <c r="BA54" s="39" t="e">
        <f t="shared" si="726"/>
        <v>#DIV/0!</v>
      </c>
      <c r="BB54" s="39" t="e">
        <f t="shared" si="726"/>
        <v>#DIV/0!</v>
      </c>
      <c r="BC54" s="39" t="e">
        <f t="shared" si="726"/>
        <v>#DIV/0!</v>
      </c>
      <c r="BD54" s="39" t="e">
        <f t="shared" si="726"/>
        <v>#DIV/0!</v>
      </c>
      <c r="BE54" s="39" t="e">
        <f t="shared" si="726"/>
        <v>#DIV/0!</v>
      </c>
      <c r="BF54" s="39" t="e">
        <f t="shared" si="726"/>
        <v>#DIV/0!</v>
      </c>
      <c r="BG54" s="39" t="e">
        <f t="shared" si="726"/>
        <v>#DIV/0!</v>
      </c>
      <c r="BH54" s="39" t="e">
        <f t="shared" si="726"/>
        <v>#DIV/0!</v>
      </c>
      <c r="BI54" s="39" t="e">
        <f t="shared" si="726"/>
        <v>#DIV/0!</v>
      </c>
      <c r="BJ54" s="39" t="e">
        <f t="shared" si="726"/>
        <v>#DIV/0!</v>
      </c>
      <c r="BK54" s="39" t="e">
        <f t="shared" si="726"/>
        <v>#DIV/0!</v>
      </c>
      <c r="BL54" s="39" t="e">
        <f t="shared" si="726"/>
        <v>#DIV/0!</v>
      </c>
      <c r="BM54" s="39" t="e">
        <f t="shared" si="726"/>
        <v>#DIV/0!</v>
      </c>
      <c r="BN54" s="39" t="e">
        <f t="shared" si="726"/>
        <v>#DIV/0!</v>
      </c>
      <c r="BO54" s="39" t="e">
        <f t="shared" si="726"/>
        <v>#DIV/0!</v>
      </c>
      <c r="BP54" s="39" t="e">
        <f t="shared" si="726"/>
        <v>#DIV/0!</v>
      </c>
      <c r="BQ54" s="39" t="e">
        <f t="shared" si="726"/>
        <v>#DIV/0!</v>
      </c>
      <c r="BR54" s="39" t="e">
        <f t="shared" ref="BR54:CW54" si="727">(SUM(BO48:BR48)-SUM(BO47:BR47))/BR120</f>
        <v>#DIV/0!</v>
      </c>
      <c r="BS54" s="39" t="e">
        <f t="shared" si="727"/>
        <v>#DIV/0!</v>
      </c>
      <c r="BT54" s="39" t="e">
        <f t="shared" si="727"/>
        <v>#DIV/0!</v>
      </c>
      <c r="BU54" s="39" t="e">
        <f t="shared" si="727"/>
        <v>#DIV/0!</v>
      </c>
      <c r="BV54" s="39" t="e">
        <f t="shared" si="727"/>
        <v>#DIV/0!</v>
      </c>
      <c r="BW54" s="39" t="e">
        <f t="shared" si="727"/>
        <v>#DIV/0!</v>
      </c>
      <c r="BX54" s="39" t="e">
        <f t="shared" si="727"/>
        <v>#DIV/0!</v>
      </c>
      <c r="BY54" s="39" t="e">
        <f t="shared" si="727"/>
        <v>#DIV/0!</v>
      </c>
      <c r="BZ54" s="39" t="e">
        <f t="shared" si="727"/>
        <v>#DIV/0!</v>
      </c>
      <c r="CA54" s="39">
        <f t="shared" si="727"/>
        <v>0.99759615384615385</v>
      </c>
      <c r="CB54" s="39">
        <f t="shared" si="727"/>
        <v>7.5204988354178829E-3</v>
      </c>
      <c r="CC54" s="39">
        <f t="shared" si="727"/>
        <v>1.0763565440149026E-2</v>
      </c>
      <c r="CD54" s="39">
        <f t="shared" si="727"/>
        <v>1.8076723242119824E-2</v>
      </c>
      <c r="CE54" s="39">
        <f t="shared" si="727"/>
        <v>2.3390766764933169E-2</v>
      </c>
      <c r="CF54" s="39">
        <f t="shared" si="727"/>
        <v>3.3335219076174573E-2</v>
      </c>
      <c r="CG54" s="39">
        <f t="shared" si="727"/>
        <v>3.6543986961622477E-2</v>
      </c>
      <c r="CH54" s="39">
        <f t="shared" si="727"/>
        <v>3.8938902725792757E-2</v>
      </c>
      <c r="CI54" s="39">
        <f t="shared" si="727"/>
        <v>3.9761527327865427E-2</v>
      </c>
      <c r="CJ54" s="39">
        <f t="shared" si="727"/>
        <v>3.6311664865899838E-2</v>
      </c>
      <c r="CK54" s="39">
        <f t="shared" si="727"/>
        <v>3.8569453480806745E-2</v>
      </c>
      <c r="CL54" s="39">
        <f t="shared" si="727"/>
        <v>4.6835586260141469E-2</v>
      </c>
      <c r="CM54" s="40">
        <f t="shared" si="727"/>
        <v>5.6023495992007684E-2</v>
      </c>
      <c r="CN54" s="40">
        <f t="shared" si="727"/>
        <v>5.7774028021665334E-2</v>
      </c>
      <c r="CO54" s="40">
        <f t="shared" si="727"/>
        <v>7.2768016944034314E-2</v>
      </c>
      <c r="CP54" s="40">
        <f t="shared" si="727"/>
        <v>7.8933534050171061E-2</v>
      </c>
      <c r="CQ54" s="40">
        <f t="shared" si="727"/>
        <v>7.9021569008209336E-2</v>
      </c>
      <c r="CR54" s="40">
        <f t="shared" si="727"/>
        <v>7.8358126191973729E-2</v>
      </c>
      <c r="CS54" s="40">
        <f t="shared" si="727"/>
        <v>7.9744505245218422E-2</v>
      </c>
      <c r="CT54" s="40">
        <f t="shared" si="727"/>
        <v>8.0646086736496134E-2</v>
      </c>
      <c r="CU54" s="40">
        <f t="shared" si="727"/>
        <v>8.1424837385406887E-2</v>
      </c>
      <c r="CV54" s="40">
        <f t="shared" si="727"/>
        <v>8.1679252272255864E-2</v>
      </c>
      <c r="CW54" s="40">
        <f t="shared" si="727"/>
        <v>8.3389390305484909E-2</v>
      </c>
      <c r="CX54" s="40">
        <f t="shared" ref="CX54:DB54" si="728">(SUM(CU48:CX48)-SUM(CU47:CX47))/CX120</f>
        <v>8.5028229783746356E-2</v>
      </c>
      <c r="CY54" s="40">
        <f t="shared" si="728"/>
        <v>8.6239118301857889E-2</v>
      </c>
      <c r="CZ54" s="40">
        <f t="shared" si="728"/>
        <v>8.6866475913993338E-2</v>
      </c>
      <c r="DA54" s="40">
        <f t="shared" si="728"/>
        <v>8.8858122853412574E-2</v>
      </c>
      <c r="DB54" s="40">
        <f t="shared" si="728"/>
        <v>9.0798073341457772E-2</v>
      </c>
      <c r="DE54" s="122"/>
      <c r="DF54" s="38">
        <v>4.6835586260141442E-2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 t="e">
        <f t="shared" si="729"/>
        <v>#DIV/0!</v>
      </c>
      <c r="D55" s="39" t="e">
        <f t="shared" si="729"/>
        <v>#DIV/0!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 t="e">
        <f t="shared" si="729"/>
        <v>#DIV/0!</v>
      </c>
      <c r="I55" s="39" t="e">
        <f t="shared" si="729"/>
        <v>#DIV/0!</v>
      </c>
      <c r="J55" s="39" t="e">
        <f t="shared" si="729"/>
        <v>#DIV/0!</v>
      </c>
      <c r="K55" s="39" t="e">
        <f t="shared" si="729"/>
        <v>#DIV/0!</v>
      </c>
      <c r="L55" s="39" t="e">
        <f t="shared" si="729"/>
        <v>#DIV/0!</v>
      </c>
      <c r="M55" s="39" t="e">
        <f t="shared" si="729"/>
        <v>#DIV/0!</v>
      </c>
      <c r="N55" s="39" t="e">
        <f t="shared" si="729"/>
        <v>#DIV/0!</v>
      </c>
      <c r="O55" s="39" t="e">
        <f t="shared" si="729"/>
        <v>#DIV/0!</v>
      </c>
      <c r="P55" s="39" t="e">
        <f t="shared" si="729"/>
        <v>#DIV/0!</v>
      </c>
      <c r="Q55" s="39" t="e">
        <f t="shared" si="729"/>
        <v>#DIV/0!</v>
      </c>
      <c r="R55" s="39" t="e">
        <f t="shared" si="729"/>
        <v>#DIV/0!</v>
      </c>
      <c r="S55" s="39" t="e">
        <f t="shared" si="729"/>
        <v>#DIV/0!</v>
      </c>
      <c r="T55" s="39" t="e">
        <f t="shared" si="729"/>
        <v>#DIV/0!</v>
      </c>
      <c r="U55" s="39" t="e">
        <f t="shared" si="729"/>
        <v>#DIV/0!</v>
      </c>
      <c r="V55" s="39">
        <f t="shared" si="729"/>
        <v>-1.3895433582642358</v>
      </c>
      <c r="W55" s="39">
        <f t="shared" si="729"/>
        <v>-0.39269193650371059</v>
      </c>
      <c r="X55" s="39" t="e">
        <f t="shared" si="729"/>
        <v>#DIV/0!</v>
      </c>
      <c r="Y55" s="39">
        <f t="shared" si="729"/>
        <v>2.5277718692749595E-2</v>
      </c>
      <c r="Z55" s="39">
        <f t="shared" si="729"/>
        <v>4.0051180210318754E-2</v>
      </c>
      <c r="AA55" s="39">
        <f t="shared" ref="AA55" si="730">+AA34/AA129</f>
        <v>5.0504247906607125E-2</v>
      </c>
      <c r="AB55" s="40">
        <f t="shared" si="729"/>
        <v>5.9589795240588113E-2</v>
      </c>
      <c r="AC55" s="40">
        <f t="shared" si="729"/>
        <v>7.2003341368513815E-2</v>
      </c>
      <c r="AD55" s="40">
        <f t="shared" si="729"/>
        <v>8.4917798943874245E-2</v>
      </c>
      <c r="AE55" s="40">
        <f t="shared" si="729"/>
        <v>9.8031083353918663E-2</v>
      </c>
      <c r="AF55" s="39"/>
      <c r="AG55" s="39"/>
      <c r="AH55" s="39"/>
      <c r="AI55" s="39"/>
      <c r="AJ55" s="39"/>
      <c r="AK55" s="39"/>
      <c r="AL55" s="39" t="e">
        <f t="shared" ref="AL55:BQ55" si="731">+SUM(AI34:AL34)/AL129</f>
        <v>#DIV/0!</v>
      </c>
      <c r="AM55" s="39" t="e">
        <f t="shared" si="731"/>
        <v>#DIV/0!</v>
      </c>
      <c r="AN55" s="39" t="e">
        <f t="shared" si="731"/>
        <v>#DIV/0!</v>
      </c>
      <c r="AO55" s="39" t="e">
        <f t="shared" si="731"/>
        <v>#DIV/0!</v>
      </c>
      <c r="AP55" s="39" t="e">
        <f t="shared" si="731"/>
        <v>#DIV/0!</v>
      </c>
      <c r="AQ55" s="39" t="e">
        <f t="shared" si="731"/>
        <v>#DIV/0!</v>
      </c>
      <c r="AR55" s="39" t="e">
        <f t="shared" si="731"/>
        <v>#DIV/0!</v>
      </c>
      <c r="AS55" s="39" t="e">
        <f t="shared" si="731"/>
        <v>#DIV/0!</v>
      </c>
      <c r="AT55" s="39" t="e">
        <f t="shared" si="731"/>
        <v>#DIV/0!</v>
      </c>
      <c r="AU55" s="39" t="e">
        <f t="shared" si="731"/>
        <v>#DIV/0!</v>
      </c>
      <c r="AV55" s="39" t="e">
        <f t="shared" si="731"/>
        <v>#DIV/0!</v>
      </c>
      <c r="AW55" s="39" t="e">
        <f t="shared" si="731"/>
        <v>#DIV/0!</v>
      </c>
      <c r="AX55" s="39" t="e">
        <f t="shared" si="731"/>
        <v>#DIV/0!</v>
      </c>
      <c r="AY55" s="39" t="e">
        <f t="shared" si="731"/>
        <v>#DIV/0!</v>
      </c>
      <c r="AZ55" s="39" t="e">
        <f t="shared" si="731"/>
        <v>#DIV/0!</v>
      </c>
      <c r="BA55" s="39" t="e">
        <f t="shared" si="731"/>
        <v>#DIV/0!</v>
      </c>
      <c r="BB55" s="39" t="e">
        <f t="shared" si="731"/>
        <v>#DIV/0!</v>
      </c>
      <c r="BC55" s="39" t="e">
        <f t="shared" si="731"/>
        <v>#DIV/0!</v>
      </c>
      <c r="BD55" s="39" t="e">
        <f t="shared" si="731"/>
        <v>#DIV/0!</v>
      </c>
      <c r="BE55" s="39" t="e">
        <f t="shared" si="731"/>
        <v>#DIV/0!</v>
      </c>
      <c r="BF55" s="39" t="e">
        <f t="shared" si="731"/>
        <v>#DIV/0!</v>
      </c>
      <c r="BG55" s="39" t="e">
        <f t="shared" si="731"/>
        <v>#DIV/0!</v>
      </c>
      <c r="BH55" s="39" t="e">
        <f t="shared" si="731"/>
        <v>#DIV/0!</v>
      </c>
      <c r="BI55" s="39" t="e">
        <f t="shared" si="731"/>
        <v>#DIV/0!</v>
      </c>
      <c r="BJ55" s="39" t="e">
        <f t="shared" si="731"/>
        <v>#DIV/0!</v>
      </c>
      <c r="BK55" s="39" t="e">
        <f t="shared" si="731"/>
        <v>#DIV/0!</v>
      </c>
      <c r="BL55" s="39" t="e">
        <f t="shared" si="731"/>
        <v>#DIV/0!</v>
      </c>
      <c r="BM55" s="39" t="e">
        <f t="shared" si="731"/>
        <v>#DIV/0!</v>
      </c>
      <c r="BN55" s="39" t="e">
        <f t="shared" si="731"/>
        <v>#DIV/0!</v>
      </c>
      <c r="BO55" s="39" t="e">
        <f t="shared" si="731"/>
        <v>#DIV/0!</v>
      </c>
      <c r="BP55" s="39" t="e">
        <f t="shared" si="731"/>
        <v>#DIV/0!</v>
      </c>
      <c r="BQ55" s="39" t="e">
        <f t="shared" si="731"/>
        <v>#DIV/0!</v>
      </c>
      <c r="BR55" s="39" t="e">
        <f t="shared" ref="BR55:CW55" si="732">+SUM(BO34:BR34)/BR129</f>
        <v>#DIV/0!</v>
      </c>
      <c r="BS55" s="39" t="e">
        <f t="shared" si="732"/>
        <v>#DIV/0!</v>
      </c>
      <c r="BT55" s="39" t="e">
        <f t="shared" si="732"/>
        <v>#DIV/0!</v>
      </c>
      <c r="BU55" s="39" t="e">
        <f t="shared" si="732"/>
        <v>#DIV/0!</v>
      </c>
      <c r="BV55" s="39" t="e">
        <f t="shared" si="732"/>
        <v>#DIV/0!</v>
      </c>
      <c r="BW55" s="39" t="e">
        <f t="shared" si="732"/>
        <v>#DIV/0!</v>
      </c>
      <c r="BX55" s="39" t="e">
        <f t="shared" si="732"/>
        <v>#DIV/0!</v>
      </c>
      <c r="BY55" s="39" t="e">
        <f t="shared" si="732"/>
        <v>#DIV/0!</v>
      </c>
      <c r="BZ55" s="39" t="e">
        <f t="shared" si="732"/>
        <v>#DIV/0!</v>
      </c>
      <c r="CA55" s="39">
        <f t="shared" si="732"/>
        <v>1.3846153846153866</v>
      </c>
      <c r="CB55" s="39">
        <f t="shared" si="732"/>
        <v>1.0245773270503715E-2</v>
      </c>
      <c r="CC55" s="39">
        <f t="shared" si="732"/>
        <v>1.4543637852315446E-2</v>
      </c>
      <c r="CD55" s="39">
        <f t="shared" si="732"/>
        <v>2.4883711357181058E-2</v>
      </c>
      <c r="CE55" s="39">
        <f t="shared" si="732"/>
        <v>3.1550722073255391E-2</v>
      </c>
      <c r="CF55" s="39">
        <f t="shared" si="732"/>
        <v>3.6234928370373475E-2</v>
      </c>
      <c r="CG55" s="39">
        <f t="shared" si="732"/>
        <v>3.9045598413968201E-2</v>
      </c>
      <c r="CH55" s="39">
        <f t="shared" si="732"/>
        <v>3.9364778952138496E-2</v>
      </c>
      <c r="CI55" s="39">
        <f t="shared" si="732"/>
        <v>3.9779406908394384E-2</v>
      </c>
      <c r="CJ55" s="39">
        <f t="shared" si="732"/>
        <v>4.4652614116624738E-2</v>
      </c>
      <c r="CK55" s="39">
        <f t="shared" si="732"/>
        <v>4.830183261107919E-2</v>
      </c>
      <c r="CL55" s="39">
        <f t="shared" si="732"/>
        <v>5.0106616321767425E-2</v>
      </c>
      <c r="CM55" s="40">
        <f t="shared" si="732"/>
        <v>4.9431820499545524E-2</v>
      </c>
      <c r="CN55" s="40">
        <f t="shared" si="732"/>
        <v>5.1929562181253559E-2</v>
      </c>
      <c r="CO55" s="40">
        <f t="shared" si="732"/>
        <v>5.7722634505912113E-2</v>
      </c>
      <c r="CP55" s="40">
        <f t="shared" si="732"/>
        <v>5.9589795240588099E-2</v>
      </c>
      <c r="CQ55" s="40">
        <f t="shared" si="732"/>
        <v>6.1711581871841448E-2</v>
      </c>
      <c r="CR55" s="40">
        <f t="shared" si="732"/>
        <v>6.5697315280904542E-2</v>
      </c>
      <c r="CS55" s="40">
        <f t="shared" si="732"/>
        <v>6.9190366808706424E-2</v>
      </c>
      <c r="CT55" s="40">
        <f t="shared" si="732"/>
        <v>7.200334136851394E-2</v>
      </c>
      <c r="CU55" s="40">
        <f t="shared" si="732"/>
        <v>7.446801076973518E-2</v>
      </c>
      <c r="CV55" s="40">
        <f t="shared" si="732"/>
        <v>7.8717698080003007E-2</v>
      </c>
      <c r="CW55" s="40">
        <f t="shared" si="732"/>
        <v>8.1875001372316902E-2</v>
      </c>
      <c r="CX55" s="40">
        <f t="shared" ref="CX55:DB55" si="733">+SUM(CU34:CX34)/CX129</f>
        <v>8.4917798943874218E-2</v>
      </c>
      <c r="CY55" s="40">
        <f t="shared" si="733"/>
        <v>8.7439928218235249E-2</v>
      </c>
      <c r="CZ55" s="40">
        <f t="shared" si="733"/>
        <v>9.1929805595331079E-2</v>
      </c>
      <c r="DA55" s="40">
        <f t="shared" si="733"/>
        <v>9.4995940450587554E-2</v>
      </c>
      <c r="DB55" s="40">
        <f t="shared" si="733"/>
        <v>9.8031083353918747E-2</v>
      </c>
      <c r="DE55" s="122"/>
      <c r="DF55" s="38">
        <v>5.0106616321767397E-2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177.61999999999989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0</v>
      </c>
      <c r="R59" s="9">
        <f>R16-SUM(AY16:BB16)</f>
        <v>0</v>
      </c>
      <c r="S59" s="9">
        <f>S16-SUM(BC16:BF16)</f>
        <v>0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49.42999999999995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0</v>
      </c>
      <c r="P60" s="9">
        <f>P28-SUM(AQ28:AT28)</f>
        <v>0</v>
      </c>
      <c r="Q60" s="9">
        <f>Q28-SUM(AU28:AX28)</f>
        <v>0</v>
      </c>
      <c r="R60" s="9">
        <f>R28-SUM(AY28:BB28)</f>
        <v>0</v>
      </c>
      <c r="S60" s="9">
        <f>S28-SUM(BC28:BF28)</f>
        <v>0</v>
      </c>
      <c r="T60" s="9">
        <f>T28-SUM(BG28:BJ28)</f>
        <v>0</v>
      </c>
      <c r="U60" s="9">
        <f>U28-SUM(BK28:BN28)</f>
        <v>0</v>
      </c>
      <c r="V60" s="9">
        <f>V28-SUM(BO28:BR28)</f>
        <v>-5.8151000000000001E-3</v>
      </c>
      <c r="W60" s="9">
        <f>W28-SUM(BS28:BV28)</f>
        <v>-1.1800000000000001E-3</v>
      </c>
      <c r="X60" s="9">
        <f>X28-SUM(BW28:BZ28)</f>
        <v>0</v>
      </c>
      <c r="Y60" s="9">
        <f>Y28-SUM(CA28:CD28)</f>
        <v>0.57000000000022055</v>
      </c>
      <c r="Z60" s="9">
        <f>Z28-SUM(CE28:CH28)</f>
        <v>1.030000000000129</v>
      </c>
      <c r="AA60" s="9">
        <f>AA28-SUM(CF28:CI28)</f>
        <v>29.199999999999974</v>
      </c>
      <c r="AB60" s="15">
        <f>AB28-SUM(CM28:CP28)</f>
        <v>0</v>
      </c>
      <c r="AC60" s="15">
        <f>AC28-SUM(CQ28:CT28)</f>
        <v>-2.5579538487363607E-13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0</v>
      </c>
      <c r="Q61" s="9">
        <f>Q48-SUM(AU48:AX48)</f>
        <v>0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-5.8151000000000001E-3</v>
      </c>
      <c r="W61" s="9">
        <f>W41-SUM(BS41:BV41)</f>
        <v>-1.1800000000000001E-3</v>
      </c>
      <c r="X61" s="9">
        <f>X41-SUM(BW41:BZ41)</f>
        <v>0</v>
      </c>
      <c r="Y61" s="9">
        <f>Y41-SUM(CA41:CD41)</f>
        <v>2.2382096176443156E-13</v>
      </c>
      <c r="Z61" s="9">
        <f>Z41-SUM(CE41:CH41)</f>
        <v>1.2789769243681803E-13</v>
      </c>
      <c r="AA61" s="9">
        <f>AA41-SUM(CF41:CI41)</f>
        <v>12.679999999999964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4">+F63</f>
        <v>19.12</v>
      </c>
      <c r="F63" s="3">
        <f t="shared" ca="1" si="734"/>
        <v>19.12</v>
      </c>
      <c r="G63" s="3">
        <f t="shared" ca="1" si="734"/>
        <v>19.12</v>
      </c>
      <c r="H63" s="3">
        <f t="shared" ca="1" si="734"/>
        <v>19.12</v>
      </c>
      <c r="I63" s="3">
        <f t="shared" ca="1" si="734"/>
        <v>19.12</v>
      </c>
      <c r="J63" s="3">
        <f t="shared" ca="1" si="734"/>
        <v>19.12</v>
      </c>
      <c r="K63" s="3">
        <f t="shared" ca="1" si="734"/>
        <v>19.12</v>
      </c>
      <c r="L63" s="3">
        <f t="shared" ca="1" si="734"/>
        <v>19.12</v>
      </c>
      <c r="M63" s="3">
        <f t="shared" ca="1" si="734"/>
        <v>19.12</v>
      </c>
      <c r="N63" s="3">
        <f t="shared" ca="1" si="734"/>
        <v>19.12</v>
      </c>
      <c r="O63" s="3">
        <f t="shared" ca="1" si="734"/>
        <v>19.12</v>
      </c>
      <c r="P63" s="3">
        <f t="shared" ca="1" si="734"/>
        <v>19.12</v>
      </c>
      <c r="Q63" s="3">
        <f t="shared" ca="1" si="734"/>
        <v>19.12</v>
      </c>
      <c r="R63" s="3">
        <f t="shared" ca="1" si="734"/>
        <v>19.12</v>
      </c>
      <c r="S63" s="3">
        <f t="shared" ca="1" si="734"/>
        <v>19.12</v>
      </c>
      <c r="T63" s="3">
        <f t="shared" ca="1" si="734"/>
        <v>19.12</v>
      </c>
      <c r="U63" s="3">
        <f t="shared" ca="1" si="734"/>
        <v>19.12</v>
      </c>
      <c r="V63" s="3">
        <f t="shared" ca="1" si="734"/>
        <v>19.12</v>
      </c>
      <c r="W63" s="3">
        <f t="shared" ca="1" si="734"/>
        <v>19.12</v>
      </c>
      <c r="X63" s="3">
        <f t="shared" ca="1" si="734"/>
        <v>19.12</v>
      </c>
      <c r="Y63" s="3">
        <f t="shared" ca="1" si="734"/>
        <v>19.12</v>
      </c>
      <c r="Z63" s="3">
        <f ca="1">+AA63</f>
        <v>19.12</v>
      </c>
      <c r="AA63" s="3">
        <f ca="1">+AB63</f>
        <v>19.12</v>
      </c>
      <c r="AB63" s="37">
        <f t="shared" ref="AB63:AB64" ca="1" si="735">AA63</f>
        <v>19.12</v>
      </c>
      <c r="AC63" s="37">
        <f t="shared" ref="AC63:AC64" ca="1" si="736">AB63</f>
        <v>19.12</v>
      </c>
      <c r="AD63" s="37">
        <f t="shared" ref="AD63:AD64" ca="1" si="737">AC63</f>
        <v>19.12</v>
      </c>
      <c r="AE63" s="37">
        <f t="shared" ref="AE63:AE64" ca="1" si="738">AD63</f>
        <v>19.12</v>
      </c>
      <c r="AI63" s="3">
        <f t="shared" ref="AI63:CH63" si="739">+AJ63</f>
        <v>19.12</v>
      </c>
      <c r="AJ63" s="3">
        <f t="shared" si="739"/>
        <v>19.12</v>
      </c>
      <c r="AK63" s="3">
        <f t="shared" si="739"/>
        <v>19.12</v>
      </c>
      <c r="AL63" s="3">
        <f t="shared" si="739"/>
        <v>19.12</v>
      </c>
      <c r="AM63" s="3">
        <f t="shared" si="739"/>
        <v>19.12</v>
      </c>
      <c r="AN63" s="3">
        <f t="shared" si="739"/>
        <v>19.12</v>
      </c>
      <c r="AO63" s="3">
        <f t="shared" si="739"/>
        <v>19.12</v>
      </c>
      <c r="AP63" s="3">
        <f t="shared" si="739"/>
        <v>19.12</v>
      </c>
      <c r="AQ63" s="3">
        <f t="shared" si="739"/>
        <v>19.12</v>
      </c>
      <c r="AR63" s="3">
        <f t="shared" si="739"/>
        <v>19.12</v>
      </c>
      <c r="AS63" s="3">
        <f t="shared" si="739"/>
        <v>19.12</v>
      </c>
      <c r="AT63" s="3">
        <f t="shared" si="739"/>
        <v>19.12</v>
      </c>
      <c r="AU63" s="3">
        <f t="shared" si="739"/>
        <v>19.12</v>
      </c>
      <c r="AV63" s="3">
        <f t="shared" si="739"/>
        <v>19.12</v>
      </c>
      <c r="AW63" s="3">
        <f t="shared" si="739"/>
        <v>19.12</v>
      </c>
      <c r="AX63" s="3">
        <f t="shared" si="739"/>
        <v>19.12</v>
      </c>
      <c r="AY63" s="3">
        <f t="shared" si="739"/>
        <v>19.12</v>
      </c>
      <c r="AZ63" s="3">
        <f t="shared" si="739"/>
        <v>19.12</v>
      </c>
      <c r="BA63" s="3">
        <f t="shared" si="739"/>
        <v>19.12</v>
      </c>
      <c r="BB63" s="3">
        <f t="shared" si="739"/>
        <v>19.12</v>
      </c>
      <c r="BC63" s="3">
        <f t="shared" si="739"/>
        <v>19.12</v>
      </c>
      <c r="BD63" s="3">
        <f t="shared" si="739"/>
        <v>19.12</v>
      </c>
      <c r="BE63" s="3">
        <f t="shared" si="739"/>
        <v>19.12</v>
      </c>
      <c r="BF63" s="3">
        <f t="shared" si="739"/>
        <v>19.12</v>
      </c>
      <c r="BG63" s="3">
        <f t="shared" si="739"/>
        <v>19.12</v>
      </c>
      <c r="BH63" s="3">
        <f t="shared" si="739"/>
        <v>19.12</v>
      </c>
      <c r="BI63" s="3">
        <f t="shared" si="739"/>
        <v>19.12</v>
      </c>
      <c r="BJ63" s="3">
        <f t="shared" si="739"/>
        <v>19.12</v>
      </c>
      <c r="BK63" s="3">
        <f t="shared" si="739"/>
        <v>19.12</v>
      </c>
      <c r="BL63" s="3">
        <f t="shared" si="739"/>
        <v>19.12</v>
      </c>
      <c r="BM63" s="3">
        <f t="shared" si="739"/>
        <v>19.12</v>
      </c>
      <c r="BN63" s="3">
        <f t="shared" si="739"/>
        <v>19.12</v>
      </c>
      <c r="BO63" s="3">
        <f t="shared" si="739"/>
        <v>19.12</v>
      </c>
      <c r="BP63" s="3">
        <f t="shared" si="739"/>
        <v>19.12</v>
      </c>
      <c r="BQ63" s="3">
        <f t="shared" si="739"/>
        <v>19.12</v>
      </c>
      <c r="BR63" s="3">
        <f t="shared" si="739"/>
        <v>19.12</v>
      </c>
      <c r="BS63" s="3">
        <f t="shared" si="739"/>
        <v>19.12</v>
      </c>
      <c r="BT63" s="3">
        <f t="shared" si="739"/>
        <v>19.12</v>
      </c>
      <c r="BU63" s="3">
        <f t="shared" si="739"/>
        <v>19.12</v>
      </c>
      <c r="BV63" s="3">
        <f t="shared" si="739"/>
        <v>19.12</v>
      </c>
      <c r="BW63" s="3">
        <f t="shared" si="739"/>
        <v>19.12</v>
      </c>
      <c r="BX63" s="3">
        <f t="shared" si="739"/>
        <v>19.12</v>
      </c>
      <c r="BY63" s="3">
        <f t="shared" si="739"/>
        <v>19.12</v>
      </c>
      <c r="BZ63" s="3">
        <f t="shared" si="739"/>
        <v>19.12</v>
      </c>
      <c r="CA63" s="3">
        <f t="shared" si="739"/>
        <v>19.12</v>
      </c>
      <c r="CB63" s="3">
        <f t="shared" si="739"/>
        <v>19.12</v>
      </c>
      <c r="CC63" s="3">
        <f t="shared" si="739"/>
        <v>19.12</v>
      </c>
      <c r="CD63" s="3">
        <f t="shared" si="739"/>
        <v>19.12</v>
      </c>
      <c r="CE63" s="3">
        <f t="shared" si="739"/>
        <v>19.12</v>
      </c>
      <c r="CF63" s="3">
        <f t="shared" si="739"/>
        <v>19.12</v>
      </c>
      <c r="CG63" s="3">
        <f t="shared" si="739"/>
        <v>19.12</v>
      </c>
      <c r="CH63" s="3">
        <f t="shared" si="739"/>
        <v>19.12</v>
      </c>
      <c r="CI63" s="3">
        <f>+CJ63</f>
        <v>19.12</v>
      </c>
      <c r="CJ63" s="3">
        <f>'QTR Raw'!BD45</f>
        <v>19.12</v>
      </c>
      <c r="CK63" s="3">
        <f>'QTR Raw'!BE45</f>
        <v>19.12</v>
      </c>
      <c r="CL63" s="3">
        <f>'QTR Raw'!BF45</f>
        <v>19.12</v>
      </c>
      <c r="CM63" s="37">
        <f t="shared" ref="CM63:CM64" si="740">+CL63</f>
        <v>19.12</v>
      </c>
      <c r="CN63" s="37">
        <f t="shared" ref="CN63:CN64" si="741">+CM63</f>
        <v>19.12</v>
      </c>
      <c r="CO63" s="37">
        <f t="shared" ref="CO63:CO64" si="742">+CN63</f>
        <v>19.12</v>
      </c>
      <c r="CP63" s="37">
        <f t="shared" ref="CP63:CP64" si="743">+CO63</f>
        <v>19.12</v>
      </c>
      <c r="CQ63" s="37">
        <f t="shared" ref="CQ63:CQ64" si="744">+CP63</f>
        <v>19.12</v>
      </c>
      <c r="CR63" s="37">
        <f t="shared" ref="CR63:CR64" si="745">+CQ63</f>
        <v>19.12</v>
      </c>
      <c r="CS63" s="37">
        <f t="shared" ref="CS63:CS64" si="746">+CR63</f>
        <v>19.12</v>
      </c>
      <c r="CT63" s="37">
        <f t="shared" ref="CT63:CT64" si="747">+CS63</f>
        <v>19.12</v>
      </c>
      <c r="CU63" s="37">
        <f t="shared" ref="CU63:CU64" si="748">+CT63</f>
        <v>19.12</v>
      </c>
      <c r="CV63" s="37">
        <f t="shared" ref="CV63:CV64" si="749">+CU63</f>
        <v>19.12</v>
      </c>
      <c r="CW63" s="37">
        <f t="shared" ref="CW63:CW64" si="750">+CV63</f>
        <v>19.12</v>
      </c>
      <c r="CX63" s="37">
        <f t="shared" ref="CX63:CX64" si="751">+CW63</f>
        <v>19.12</v>
      </c>
      <c r="CY63" s="37">
        <f t="shared" ref="CY63:CY64" si="752">+CX63</f>
        <v>19.12</v>
      </c>
      <c r="CZ63" s="37">
        <f t="shared" ref="CZ63:CZ64" si="753">+CY63</f>
        <v>19.12</v>
      </c>
      <c r="DA63" s="37">
        <f t="shared" ref="DA63:DA64" si="754">+CZ63</f>
        <v>19.12</v>
      </c>
      <c r="DB63" s="37">
        <f t="shared" ref="DB63:DB64" si="755">+DA63</f>
        <v>19.12</v>
      </c>
      <c r="DE63" s="134"/>
      <c r="DF63" s="3">
        <v>19.12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6">+F64</f>
        <v>2</v>
      </c>
      <c r="F64" s="3">
        <f t="shared" ca="1" si="756"/>
        <v>2</v>
      </c>
      <c r="G64" s="3">
        <f t="shared" ca="1" si="756"/>
        <v>2</v>
      </c>
      <c r="H64" s="3">
        <f t="shared" ca="1" si="756"/>
        <v>2</v>
      </c>
      <c r="I64" s="3">
        <f t="shared" ca="1" si="756"/>
        <v>2</v>
      </c>
      <c r="J64" s="3">
        <f t="shared" ca="1" si="756"/>
        <v>2</v>
      </c>
      <c r="K64" s="3">
        <f t="shared" ca="1" si="756"/>
        <v>2</v>
      </c>
      <c r="L64" s="3">
        <f t="shared" ca="1" si="756"/>
        <v>2</v>
      </c>
      <c r="M64" s="3">
        <f t="shared" ca="1" si="756"/>
        <v>2</v>
      </c>
      <c r="N64" s="3">
        <f t="shared" ca="1" si="756"/>
        <v>2</v>
      </c>
      <c r="O64" s="3">
        <f t="shared" ca="1" si="756"/>
        <v>2</v>
      </c>
      <c r="P64" s="3">
        <f t="shared" ca="1" si="756"/>
        <v>2</v>
      </c>
      <c r="Q64" s="3">
        <f t="shared" ca="1" si="756"/>
        <v>2</v>
      </c>
      <c r="R64" s="3">
        <f t="shared" ca="1" si="756"/>
        <v>2</v>
      </c>
      <c r="S64" s="3">
        <f t="shared" ca="1" si="756"/>
        <v>2</v>
      </c>
      <c r="T64" s="3">
        <f t="shared" ca="1" si="756"/>
        <v>2</v>
      </c>
      <c r="U64" s="3">
        <f t="shared" ca="1" si="756"/>
        <v>2</v>
      </c>
      <c r="V64" s="3">
        <f t="shared" ca="1" si="756"/>
        <v>2</v>
      </c>
      <c r="W64" s="3">
        <f t="shared" ca="1" si="756"/>
        <v>2</v>
      </c>
      <c r="X64" s="3">
        <f t="shared" ca="1" si="756"/>
        <v>2</v>
      </c>
      <c r="Y64" s="3">
        <f t="shared" ca="1" si="756"/>
        <v>2</v>
      </c>
      <c r="Z64" s="3">
        <f ca="1">+AA64</f>
        <v>2</v>
      </c>
      <c r="AA64" s="3">
        <f ca="1">+AB64</f>
        <v>2</v>
      </c>
      <c r="AB64" s="37">
        <f t="shared" ca="1" si="735"/>
        <v>2</v>
      </c>
      <c r="AC64" s="37">
        <f t="shared" ca="1" si="736"/>
        <v>2</v>
      </c>
      <c r="AD64" s="37">
        <f t="shared" ca="1" si="737"/>
        <v>2</v>
      </c>
      <c r="AE64" s="37">
        <f t="shared" ca="1" si="738"/>
        <v>2</v>
      </c>
      <c r="AI64" s="3">
        <f t="shared" ref="AI64:CH64" si="757">AJ64</f>
        <v>2</v>
      </c>
      <c r="AJ64" s="3">
        <f t="shared" si="757"/>
        <v>2</v>
      </c>
      <c r="AK64" s="3">
        <f t="shared" si="757"/>
        <v>2</v>
      </c>
      <c r="AL64" s="3">
        <f t="shared" si="757"/>
        <v>2</v>
      </c>
      <c r="AM64" s="3">
        <f t="shared" si="757"/>
        <v>2</v>
      </c>
      <c r="AN64" s="3">
        <f t="shared" si="757"/>
        <v>2</v>
      </c>
      <c r="AO64" s="3">
        <f t="shared" si="757"/>
        <v>2</v>
      </c>
      <c r="AP64" s="3">
        <f t="shared" si="757"/>
        <v>2</v>
      </c>
      <c r="AQ64" s="3">
        <f t="shared" si="757"/>
        <v>2</v>
      </c>
      <c r="AR64" s="3">
        <f t="shared" si="757"/>
        <v>2</v>
      </c>
      <c r="AS64" s="3">
        <f t="shared" si="757"/>
        <v>2</v>
      </c>
      <c r="AT64" s="3">
        <f t="shared" si="757"/>
        <v>2</v>
      </c>
      <c r="AU64" s="3">
        <f t="shared" si="757"/>
        <v>2</v>
      </c>
      <c r="AV64" s="3">
        <f t="shared" si="757"/>
        <v>2</v>
      </c>
      <c r="AW64" s="3">
        <f t="shared" si="757"/>
        <v>2</v>
      </c>
      <c r="AX64" s="3">
        <f t="shared" si="757"/>
        <v>2</v>
      </c>
      <c r="AY64" s="3">
        <f t="shared" si="757"/>
        <v>2</v>
      </c>
      <c r="AZ64" s="3">
        <f t="shared" si="757"/>
        <v>2</v>
      </c>
      <c r="BA64" s="3">
        <f t="shared" si="757"/>
        <v>2</v>
      </c>
      <c r="BB64" s="3">
        <f t="shared" si="757"/>
        <v>2</v>
      </c>
      <c r="BC64" s="3">
        <f t="shared" si="757"/>
        <v>2</v>
      </c>
      <c r="BD64" s="3">
        <f t="shared" si="757"/>
        <v>2</v>
      </c>
      <c r="BE64" s="3">
        <f t="shared" si="757"/>
        <v>2</v>
      </c>
      <c r="BF64" s="3">
        <f t="shared" si="757"/>
        <v>2</v>
      </c>
      <c r="BG64" s="3">
        <f t="shared" si="757"/>
        <v>2</v>
      </c>
      <c r="BH64" s="3">
        <f t="shared" si="757"/>
        <v>2</v>
      </c>
      <c r="BI64" s="3">
        <f t="shared" si="757"/>
        <v>2</v>
      </c>
      <c r="BJ64" s="3">
        <f t="shared" si="757"/>
        <v>2</v>
      </c>
      <c r="BK64" s="3">
        <f t="shared" si="757"/>
        <v>2</v>
      </c>
      <c r="BL64" s="3">
        <f t="shared" si="757"/>
        <v>2</v>
      </c>
      <c r="BM64" s="3">
        <f t="shared" si="757"/>
        <v>2</v>
      </c>
      <c r="BN64" s="3">
        <f t="shared" si="757"/>
        <v>2</v>
      </c>
      <c r="BO64" s="3">
        <f t="shared" si="757"/>
        <v>2</v>
      </c>
      <c r="BP64" s="3">
        <f t="shared" si="757"/>
        <v>2</v>
      </c>
      <c r="BQ64" s="3">
        <f t="shared" si="757"/>
        <v>2</v>
      </c>
      <c r="BR64" s="3">
        <f t="shared" si="757"/>
        <v>2</v>
      </c>
      <c r="BS64" s="3">
        <f t="shared" si="757"/>
        <v>2</v>
      </c>
      <c r="BT64" s="3">
        <f t="shared" si="757"/>
        <v>2</v>
      </c>
      <c r="BU64" s="3">
        <f t="shared" si="757"/>
        <v>2</v>
      </c>
      <c r="BV64" s="3">
        <f t="shared" si="757"/>
        <v>2</v>
      </c>
      <c r="BW64" s="3">
        <f t="shared" si="757"/>
        <v>2</v>
      </c>
      <c r="BX64" s="3">
        <f t="shared" si="757"/>
        <v>2</v>
      </c>
      <c r="BY64" s="3">
        <f t="shared" si="757"/>
        <v>2</v>
      </c>
      <c r="BZ64" s="3">
        <f t="shared" si="757"/>
        <v>2</v>
      </c>
      <c r="CA64" s="3">
        <f t="shared" si="757"/>
        <v>2</v>
      </c>
      <c r="CB64" s="3">
        <f t="shared" si="757"/>
        <v>2</v>
      </c>
      <c r="CC64" s="3">
        <f t="shared" si="757"/>
        <v>2</v>
      </c>
      <c r="CD64" s="3">
        <f t="shared" si="757"/>
        <v>2</v>
      </c>
      <c r="CE64" s="3">
        <f t="shared" si="757"/>
        <v>2</v>
      </c>
      <c r="CF64" s="3">
        <f t="shared" si="757"/>
        <v>2</v>
      </c>
      <c r="CG64" s="3">
        <f t="shared" si="757"/>
        <v>2</v>
      </c>
      <c r="CH64" s="3">
        <f t="shared" si="757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40"/>
        <v>2</v>
      </c>
      <c r="CN64" s="37">
        <f t="shared" si="741"/>
        <v>2</v>
      </c>
      <c r="CO64" s="37">
        <f t="shared" si="742"/>
        <v>2</v>
      </c>
      <c r="CP64" s="37">
        <f t="shared" si="743"/>
        <v>2</v>
      </c>
      <c r="CQ64" s="37">
        <f t="shared" si="744"/>
        <v>2</v>
      </c>
      <c r="CR64" s="37">
        <f t="shared" si="745"/>
        <v>2</v>
      </c>
      <c r="CS64" s="37">
        <f t="shared" si="746"/>
        <v>2</v>
      </c>
      <c r="CT64" s="37">
        <f t="shared" si="747"/>
        <v>2</v>
      </c>
      <c r="CU64" s="37">
        <f t="shared" si="748"/>
        <v>2</v>
      </c>
      <c r="CV64" s="37">
        <f t="shared" si="749"/>
        <v>2</v>
      </c>
      <c r="CW64" s="37">
        <f t="shared" si="750"/>
        <v>2</v>
      </c>
      <c r="CX64" s="37">
        <f t="shared" si="751"/>
        <v>2</v>
      </c>
      <c r="CY64" s="37">
        <f t="shared" si="752"/>
        <v>2</v>
      </c>
      <c r="CZ64" s="37">
        <f t="shared" si="753"/>
        <v>2</v>
      </c>
      <c r="DA64" s="37">
        <f t="shared" si="754"/>
        <v>2</v>
      </c>
      <c r="DB64" s="37">
        <f t="shared" si="755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8">C63/C64</f>
        <v>#DIV/0!</v>
      </c>
      <c r="D65" s="3" t="e">
        <f t="shared" si="758"/>
        <v>#DIV/0!</v>
      </c>
      <c r="E65" s="3">
        <f t="shared" ca="1" si="758"/>
        <v>9.56</v>
      </c>
      <c r="F65" s="3">
        <f t="shared" ca="1" si="758"/>
        <v>9.56</v>
      </c>
      <c r="G65" s="3">
        <f t="shared" ca="1" si="758"/>
        <v>9.56</v>
      </c>
      <c r="H65" s="3">
        <f t="shared" ca="1" si="758"/>
        <v>9.56</v>
      </c>
      <c r="I65" s="3">
        <f t="shared" ca="1" si="758"/>
        <v>9.56</v>
      </c>
      <c r="J65" s="3">
        <f t="shared" ca="1" si="758"/>
        <v>9.56</v>
      </c>
      <c r="K65" s="3">
        <f t="shared" ca="1" si="758"/>
        <v>9.56</v>
      </c>
      <c r="L65" s="3">
        <f t="shared" ca="1" si="758"/>
        <v>9.56</v>
      </c>
      <c r="M65" s="3">
        <f t="shared" ca="1" si="758"/>
        <v>9.56</v>
      </c>
      <c r="N65" s="3">
        <f t="shared" ca="1" si="758"/>
        <v>9.56</v>
      </c>
      <c r="O65" s="3">
        <f t="shared" ca="1" si="758"/>
        <v>9.56</v>
      </c>
      <c r="P65" s="3">
        <f t="shared" ca="1" si="758"/>
        <v>9.56</v>
      </c>
      <c r="Q65" s="3">
        <f t="shared" ca="1" si="758"/>
        <v>9.56</v>
      </c>
      <c r="R65" s="3">
        <f t="shared" ca="1" si="758"/>
        <v>9.56</v>
      </c>
      <c r="S65" s="3">
        <f t="shared" ca="1" si="758"/>
        <v>9.56</v>
      </c>
      <c r="T65" s="3">
        <f t="shared" ca="1" si="758"/>
        <v>9.56</v>
      </c>
      <c r="U65" s="3">
        <f t="shared" ca="1" si="758"/>
        <v>9.56</v>
      </c>
      <c r="V65" s="3">
        <f ca="1">V63/V64</f>
        <v>9.56</v>
      </c>
      <c r="W65" s="3">
        <f t="shared" ca="1" si="758"/>
        <v>9.56</v>
      </c>
      <c r="X65" s="3">
        <f t="shared" ref="X65:Y65" ca="1" si="759">X63/X64</f>
        <v>9.56</v>
      </c>
      <c r="Y65" s="3">
        <f t="shared" ca="1" si="759"/>
        <v>9.56</v>
      </c>
      <c r="Z65" s="3">
        <f t="shared" ref="Z65:AA65" ca="1" si="760">Z63/Z64</f>
        <v>9.56</v>
      </c>
      <c r="AA65" s="3">
        <f t="shared" ref="AA65" ca="1" si="761">AA63/AA64</f>
        <v>9.56</v>
      </c>
      <c r="AB65" s="37">
        <f t="shared" ref="AB65:AD65" ca="1" si="762">AB63/AB64</f>
        <v>9.56</v>
      </c>
      <c r="AC65" s="37">
        <f t="shared" ca="1" si="762"/>
        <v>9.56</v>
      </c>
      <c r="AD65" s="37">
        <f t="shared" ca="1" si="762"/>
        <v>9.56</v>
      </c>
      <c r="AE65" s="37">
        <f t="shared" ref="AE65" ca="1" si="763">AE63/AE64</f>
        <v>9.56</v>
      </c>
      <c r="AI65" s="3">
        <f t="shared" ref="AI65" si="764">AI63/AI64</f>
        <v>9.56</v>
      </c>
      <c r="AJ65" s="3">
        <f t="shared" ref="AJ65" si="765">AJ63/AJ64</f>
        <v>9.56</v>
      </c>
      <c r="AK65" s="3">
        <f t="shared" ref="AK65:AM65" si="766">AK63/AK64</f>
        <v>9.56</v>
      </c>
      <c r="AL65" s="3">
        <f t="shared" si="766"/>
        <v>9.56</v>
      </c>
      <c r="AM65" s="3">
        <f t="shared" si="766"/>
        <v>9.56</v>
      </c>
      <c r="AN65" s="3">
        <f t="shared" ref="AN65:AO65" si="767">AN63/AN64</f>
        <v>9.56</v>
      </c>
      <c r="AO65" s="3">
        <f t="shared" si="767"/>
        <v>9.56</v>
      </c>
      <c r="AP65" s="3">
        <f t="shared" ref="AP65:CD65" si="768">AP63/AP64</f>
        <v>9.56</v>
      </c>
      <c r="AQ65" s="3">
        <f t="shared" si="768"/>
        <v>9.56</v>
      </c>
      <c r="AR65" s="3">
        <f t="shared" si="768"/>
        <v>9.56</v>
      </c>
      <c r="AS65" s="3">
        <f t="shared" si="768"/>
        <v>9.56</v>
      </c>
      <c r="AT65" s="3">
        <f t="shared" si="768"/>
        <v>9.56</v>
      </c>
      <c r="AU65" s="3">
        <f t="shared" si="768"/>
        <v>9.56</v>
      </c>
      <c r="AV65" s="3">
        <f t="shared" si="768"/>
        <v>9.56</v>
      </c>
      <c r="AW65" s="3">
        <f t="shared" si="768"/>
        <v>9.56</v>
      </c>
      <c r="AX65" s="3">
        <f t="shared" si="768"/>
        <v>9.56</v>
      </c>
      <c r="AY65" s="3">
        <f t="shared" si="768"/>
        <v>9.56</v>
      </c>
      <c r="AZ65" s="3">
        <f t="shared" si="768"/>
        <v>9.56</v>
      </c>
      <c r="BA65" s="3">
        <f t="shared" si="768"/>
        <v>9.56</v>
      </c>
      <c r="BB65" s="3">
        <f t="shared" si="768"/>
        <v>9.56</v>
      </c>
      <c r="BC65" s="3">
        <f t="shared" si="768"/>
        <v>9.56</v>
      </c>
      <c r="BD65" s="3">
        <f t="shared" si="768"/>
        <v>9.56</v>
      </c>
      <c r="BE65" s="3">
        <f t="shared" si="768"/>
        <v>9.56</v>
      </c>
      <c r="BF65" s="3">
        <f t="shared" si="768"/>
        <v>9.56</v>
      </c>
      <c r="BG65" s="3">
        <f t="shared" si="768"/>
        <v>9.56</v>
      </c>
      <c r="BH65" s="3">
        <f t="shared" si="768"/>
        <v>9.56</v>
      </c>
      <c r="BI65" s="3">
        <f t="shared" si="768"/>
        <v>9.56</v>
      </c>
      <c r="BJ65" s="3">
        <f t="shared" si="768"/>
        <v>9.56</v>
      </c>
      <c r="BK65" s="3">
        <f t="shared" si="768"/>
        <v>9.56</v>
      </c>
      <c r="BL65" s="3">
        <f t="shared" si="768"/>
        <v>9.56</v>
      </c>
      <c r="BM65" s="3">
        <f t="shared" si="768"/>
        <v>9.56</v>
      </c>
      <c r="BN65" s="3">
        <f t="shared" si="768"/>
        <v>9.56</v>
      </c>
      <c r="BO65" s="3">
        <f t="shared" si="768"/>
        <v>9.56</v>
      </c>
      <c r="BP65" s="3">
        <f t="shared" si="768"/>
        <v>9.56</v>
      </c>
      <c r="BQ65" s="3">
        <f t="shared" si="768"/>
        <v>9.56</v>
      </c>
      <c r="BR65" s="3">
        <f t="shared" si="768"/>
        <v>9.56</v>
      </c>
      <c r="BS65" s="3">
        <f t="shared" si="768"/>
        <v>9.56</v>
      </c>
      <c r="BT65" s="3">
        <f t="shared" si="768"/>
        <v>9.56</v>
      </c>
      <c r="BU65" s="3">
        <f t="shared" si="768"/>
        <v>9.56</v>
      </c>
      <c r="BV65" s="3">
        <f t="shared" si="768"/>
        <v>9.56</v>
      </c>
      <c r="BW65" s="3">
        <f t="shared" si="768"/>
        <v>9.56</v>
      </c>
      <c r="BX65" s="3">
        <f t="shared" si="768"/>
        <v>9.56</v>
      </c>
      <c r="BY65" s="3">
        <f t="shared" si="768"/>
        <v>9.56</v>
      </c>
      <c r="BZ65" s="3">
        <f t="shared" si="768"/>
        <v>9.56</v>
      </c>
      <c r="CA65" s="3">
        <f t="shared" si="768"/>
        <v>9.56</v>
      </c>
      <c r="CB65" s="3">
        <f t="shared" si="768"/>
        <v>9.56</v>
      </c>
      <c r="CC65" s="3">
        <f t="shared" si="768"/>
        <v>9.56</v>
      </c>
      <c r="CD65" s="3">
        <f t="shared" si="768"/>
        <v>9.56</v>
      </c>
      <c r="CE65" s="3">
        <f t="shared" ref="CE65:CF65" si="769">CE63/CE64</f>
        <v>9.56</v>
      </c>
      <c r="CF65" s="3">
        <f t="shared" si="769"/>
        <v>9.56</v>
      </c>
      <c r="CG65" s="3">
        <f t="shared" ref="CG65:CH65" si="770">CG63/CG64</f>
        <v>9.56</v>
      </c>
      <c r="CH65" s="3">
        <f t="shared" si="770"/>
        <v>9.56</v>
      </c>
      <c r="CI65" s="3">
        <f t="shared" ref="CI65:CJ65" si="771">CI63/CI64</f>
        <v>9.56</v>
      </c>
      <c r="CJ65" s="3">
        <f t="shared" si="771"/>
        <v>9.56</v>
      </c>
      <c r="CK65" s="3">
        <f t="shared" ref="CK65:CL65" si="772">CK63/CK64</f>
        <v>9.56</v>
      </c>
      <c r="CL65" s="3">
        <f t="shared" si="772"/>
        <v>9.56</v>
      </c>
      <c r="CM65" s="37">
        <f t="shared" ref="CM65:DB65" si="773">CM63/CM64</f>
        <v>9.56</v>
      </c>
      <c r="CN65" s="37">
        <f t="shared" si="773"/>
        <v>9.56</v>
      </c>
      <c r="CO65" s="37">
        <f t="shared" si="773"/>
        <v>9.56</v>
      </c>
      <c r="CP65" s="37">
        <f t="shared" si="773"/>
        <v>9.56</v>
      </c>
      <c r="CQ65" s="37">
        <f t="shared" si="773"/>
        <v>9.56</v>
      </c>
      <c r="CR65" s="37">
        <f t="shared" si="773"/>
        <v>9.56</v>
      </c>
      <c r="CS65" s="37">
        <f t="shared" si="773"/>
        <v>9.56</v>
      </c>
      <c r="CT65" s="37">
        <f t="shared" si="773"/>
        <v>9.56</v>
      </c>
      <c r="CU65" s="37">
        <f t="shared" si="773"/>
        <v>9.56</v>
      </c>
      <c r="CV65" s="37">
        <f t="shared" si="773"/>
        <v>9.56</v>
      </c>
      <c r="CW65" s="37">
        <f t="shared" si="773"/>
        <v>9.56</v>
      </c>
      <c r="CX65" s="37">
        <f t="shared" si="773"/>
        <v>9.56</v>
      </c>
      <c r="CY65" s="37">
        <f t="shared" si="773"/>
        <v>9.56</v>
      </c>
      <c r="CZ65" s="37">
        <f t="shared" si="773"/>
        <v>9.56</v>
      </c>
      <c r="DA65" s="37">
        <f t="shared" si="773"/>
        <v>9.56</v>
      </c>
      <c r="DB65" s="37">
        <f t="shared" si="773"/>
        <v>9.56</v>
      </c>
      <c r="DE65" s="134"/>
      <c r="DF65" s="3">
        <v>9.56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 t="e">
        <f t="shared" si="774"/>
        <v>#DIV/0!</v>
      </c>
      <c r="D66" s="53" t="e">
        <f t="shared" si="774"/>
        <v>#DIV/0!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0</v>
      </c>
      <c r="I66" s="53">
        <f t="shared" ca="1" si="774"/>
        <v>0</v>
      </c>
      <c r="J66" s="53">
        <f t="shared" ca="1" si="774"/>
        <v>0</v>
      </c>
      <c r="K66" s="53">
        <f t="shared" ca="1" si="774"/>
        <v>0</v>
      </c>
      <c r="L66" s="53">
        <f t="shared" ca="1" si="774"/>
        <v>0</v>
      </c>
      <c r="M66" s="53">
        <f t="shared" ca="1" si="774"/>
        <v>0</v>
      </c>
      <c r="N66" s="53">
        <f t="shared" ca="1" si="774"/>
        <v>0</v>
      </c>
      <c r="O66" s="53">
        <f t="shared" ca="1" si="774"/>
        <v>0</v>
      </c>
      <c r="P66" s="53">
        <f t="shared" ca="1" si="774"/>
        <v>0</v>
      </c>
      <c r="Q66" s="53">
        <f t="shared" ca="1" si="774"/>
        <v>0</v>
      </c>
      <c r="R66" s="53">
        <f t="shared" ca="1" si="774"/>
        <v>0</v>
      </c>
      <c r="S66" s="53">
        <f t="shared" ca="1" si="774"/>
        <v>0</v>
      </c>
      <c r="T66" s="53">
        <f t="shared" ca="1" si="774"/>
        <v>0</v>
      </c>
      <c r="U66" s="53">
        <f t="shared" ca="1" si="774"/>
        <v>0</v>
      </c>
      <c r="V66" s="53">
        <f t="shared" ca="1" si="774"/>
        <v>-6.0827405857740585E-4</v>
      </c>
      <c r="W66" s="53">
        <f t="shared" ca="1" si="774"/>
        <v>-1.2343096234309625E-4</v>
      </c>
      <c r="X66" s="53">
        <f t="shared" ca="1" si="774"/>
        <v>-1.0460251046025104E-3</v>
      </c>
      <c r="Y66" s="53">
        <f t="shared" ca="1" si="774"/>
        <v>2.6202928870293083</v>
      </c>
      <c r="Z66" s="53">
        <f t="shared" ca="1" si="774"/>
        <v>5.8546025104602624</v>
      </c>
      <c r="AA66" s="53">
        <f t="shared" ref="AA66" ca="1" si="775">(AA48-AA47)/AA65</f>
        <v>5.8546025104602624</v>
      </c>
      <c r="AB66" s="54">
        <f t="shared" ca="1" si="774"/>
        <v>13.468656430807238</v>
      </c>
      <c r="AC66" s="54">
        <f t="shared" ca="1" si="774"/>
        <v>14.967983529912974</v>
      </c>
      <c r="AD66" s="54">
        <f t="shared" ca="1" si="774"/>
        <v>17.247868827974642</v>
      </c>
      <c r="AE66" s="54">
        <f t="shared" ca="1" si="774"/>
        <v>20.257627874741868</v>
      </c>
      <c r="AI66" s="53">
        <f t="shared" ref="AI66:BN66" si="776">(AI48-AI47)/AI65</f>
        <v>0</v>
      </c>
      <c r="AJ66" s="53">
        <f t="shared" si="776"/>
        <v>0</v>
      </c>
      <c r="AK66" s="53">
        <f t="shared" si="776"/>
        <v>0</v>
      </c>
      <c r="AL66" s="53">
        <f t="shared" si="776"/>
        <v>0</v>
      </c>
      <c r="AM66" s="53">
        <f t="shared" si="776"/>
        <v>0</v>
      </c>
      <c r="AN66" s="53">
        <f t="shared" si="776"/>
        <v>0</v>
      </c>
      <c r="AO66" s="53">
        <f t="shared" si="776"/>
        <v>0</v>
      </c>
      <c r="AP66" s="53">
        <f t="shared" si="776"/>
        <v>0</v>
      </c>
      <c r="AQ66" s="53">
        <f t="shared" si="776"/>
        <v>0</v>
      </c>
      <c r="AR66" s="53">
        <f t="shared" si="776"/>
        <v>0</v>
      </c>
      <c r="AS66" s="53">
        <f t="shared" si="776"/>
        <v>0</v>
      </c>
      <c r="AT66" s="53">
        <f t="shared" si="776"/>
        <v>0</v>
      </c>
      <c r="AU66" s="53">
        <f t="shared" si="776"/>
        <v>0</v>
      </c>
      <c r="AV66" s="53">
        <f t="shared" si="776"/>
        <v>0</v>
      </c>
      <c r="AW66" s="53">
        <f t="shared" si="776"/>
        <v>0</v>
      </c>
      <c r="AX66" s="53">
        <f t="shared" si="776"/>
        <v>0</v>
      </c>
      <c r="AY66" s="53">
        <f t="shared" si="776"/>
        <v>0</v>
      </c>
      <c r="AZ66" s="53">
        <f t="shared" si="776"/>
        <v>0</v>
      </c>
      <c r="BA66" s="53">
        <f t="shared" si="776"/>
        <v>0</v>
      </c>
      <c r="BB66" s="53">
        <f t="shared" si="776"/>
        <v>0</v>
      </c>
      <c r="BC66" s="53">
        <f t="shared" si="776"/>
        <v>0</v>
      </c>
      <c r="BD66" s="53">
        <f t="shared" si="776"/>
        <v>0</v>
      </c>
      <c r="BE66" s="53">
        <f t="shared" si="776"/>
        <v>0</v>
      </c>
      <c r="BF66" s="53">
        <f t="shared" si="776"/>
        <v>0</v>
      </c>
      <c r="BG66" s="53">
        <f t="shared" si="776"/>
        <v>0</v>
      </c>
      <c r="BH66" s="53">
        <f t="shared" si="776"/>
        <v>0</v>
      </c>
      <c r="BI66" s="53">
        <f t="shared" si="776"/>
        <v>0</v>
      </c>
      <c r="BJ66" s="53">
        <f t="shared" si="776"/>
        <v>0</v>
      </c>
      <c r="BK66" s="53">
        <f t="shared" si="776"/>
        <v>0</v>
      </c>
      <c r="BL66" s="53">
        <f t="shared" si="776"/>
        <v>0</v>
      </c>
      <c r="BM66" s="53">
        <f t="shared" si="776"/>
        <v>0</v>
      </c>
      <c r="BN66" s="53">
        <f t="shared" si="776"/>
        <v>0</v>
      </c>
      <c r="BO66" s="53">
        <f t="shared" ref="BO66:CT66" si="777">(BO48-BO47)/BO65</f>
        <v>0</v>
      </c>
      <c r="BP66" s="53">
        <f t="shared" si="777"/>
        <v>0</v>
      </c>
      <c r="BQ66" s="53">
        <f t="shared" si="777"/>
        <v>0</v>
      </c>
      <c r="BR66" s="53">
        <f t="shared" si="777"/>
        <v>0</v>
      </c>
      <c r="BS66" s="53">
        <f t="shared" si="777"/>
        <v>0</v>
      </c>
      <c r="BT66" s="53">
        <f t="shared" si="777"/>
        <v>0</v>
      </c>
      <c r="BU66" s="53">
        <f t="shared" si="777"/>
        <v>0</v>
      </c>
      <c r="BV66" s="53">
        <f t="shared" si="777"/>
        <v>0</v>
      </c>
      <c r="BW66" s="53">
        <f t="shared" si="777"/>
        <v>0</v>
      </c>
      <c r="BX66" s="53">
        <f t="shared" si="777"/>
        <v>0</v>
      </c>
      <c r="BY66" s="53">
        <f t="shared" si="777"/>
        <v>0</v>
      </c>
      <c r="BZ66" s="53">
        <f t="shared" si="777"/>
        <v>-1.0460251046025104E-3</v>
      </c>
      <c r="CA66" s="53">
        <f t="shared" si="777"/>
        <v>0.43514644351464249</v>
      </c>
      <c r="CB66" s="53">
        <f t="shared" si="777"/>
        <v>0.6433054393305434</v>
      </c>
      <c r="CC66" s="53">
        <f t="shared" si="777"/>
        <v>0.46966527196652663</v>
      </c>
      <c r="CD66" s="53">
        <f t="shared" si="777"/>
        <v>1.0721757322175725</v>
      </c>
      <c r="CE66" s="53">
        <f t="shared" si="777"/>
        <v>1.2343096234309638</v>
      </c>
      <c r="CF66" s="53">
        <f t="shared" si="777"/>
        <v>2.154811715481169</v>
      </c>
      <c r="CG66" s="53">
        <f t="shared" si="777"/>
        <v>0.98012552301255051</v>
      </c>
      <c r="CH66" s="53">
        <f t="shared" si="777"/>
        <v>1.4853556485355655</v>
      </c>
      <c r="CI66" s="53">
        <f t="shared" si="777"/>
        <v>1.4142259414225911</v>
      </c>
      <c r="CJ66" s="53">
        <f t="shared" si="777"/>
        <v>1.6746861924686194</v>
      </c>
      <c r="CK66" s="53">
        <f t="shared" ref="CK66:CL66" si="778">(CK48-CK47)/CK65</f>
        <v>1.3786610878661083</v>
      </c>
      <c r="CL66" s="53">
        <f t="shared" si="778"/>
        <v>2.8933054393305424</v>
      </c>
      <c r="CM66" s="54">
        <f t="shared" si="777"/>
        <v>3.0278684377368865</v>
      </c>
      <c r="CN66" s="54">
        <f t="shared" si="777"/>
        <v>2.0749879993991875</v>
      </c>
      <c r="CO66" s="54">
        <f t="shared" si="777"/>
        <v>4.1108287819762213</v>
      </c>
      <c r="CP66" s="54">
        <f t="shared" si="777"/>
        <v>4.2549712116949401</v>
      </c>
      <c r="CQ66" s="54">
        <f t="shared" si="777"/>
        <v>3.3039754178603538</v>
      </c>
      <c r="CR66" s="54">
        <f t="shared" si="777"/>
        <v>2.1261955389712792</v>
      </c>
      <c r="CS66" s="54">
        <f t="shared" si="777"/>
        <v>4.7322932989630049</v>
      </c>
      <c r="CT66" s="54">
        <f t="shared" si="777"/>
        <v>4.8055192741183594</v>
      </c>
      <c r="CU66" s="54">
        <f t="shared" ref="CU66:DB66" si="779">(CU48-CU47)/CU65</f>
        <v>3.754197101088979</v>
      </c>
      <c r="CV66" s="54">
        <f t="shared" si="779"/>
        <v>2.367767788411296</v>
      </c>
      <c r="CW66" s="54">
        <f t="shared" si="779"/>
        <v>5.5205184734055894</v>
      </c>
      <c r="CX66" s="54">
        <f t="shared" si="779"/>
        <v>5.6053854650687738</v>
      </c>
      <c r="CY66" s="54">
        <f t="shared" si="779"/>
        <v>4.3773205714976751</v>
      </c>
      <c r="CZ66" s="54">
        <f t="shared" si="779"/>
        <v>2.7353859712222137</v>
      </c>
      <c r="DA66" s="54">
        <f t="shared" si="779"/>
        <v>6.5178515928944112</v>
      </c>
      <c r="DB66" s="54">
        <f t="shared" si="779"/>
        <v>6.6270697391275908</v>
      </c>
      <c r="DE66" s="132"/>
      <c r="DF66" s="53">
        <v>7.360878661087856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0.5</v>
      </c>
      <c r="Z67" s="3">
        <f>'Annual Raw'!AA110</f>
        <v>0.5</v>
      </c>
      <c r="AA67" s="3">
        <f>'Annual Raw'!AB110</f>
        <v>0.6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0.6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0">C67/C66</f>
        <v>#DIV/0!</v>
      </c>
      <c r="D68" s="3" t="e">
        <f t="shared" si="780"/>
        <v>#DIV/0!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 t="e">
        <f t="shared" ca="1" si="780"/>
        <v>#DIV/0!</v>
      </c>
      <c r="I68" s="3" t="e">
        <f t="shared" ca="1" si="780"/>
        <v>#DIV/0!</v>
      </c>
      <c r="J68" s="3" t="e">
        <f t="shared" ca="1" si="780"/>
        <v>#DIV/0!</v>
      </c>
      <c r="K68" s="3" t="e">
        <f t="shared" ca="1" si="780"/>
        <v>#DIV/0!</v>
      </c>
      <c r="L68" s="3" t="e">
        <f t="shared" ca="1" si="780"/>
        <v>#DIV/0!</v>
      </c>
      <c r="M68" s="3" t="e">
        <f t="shared" ca="1" si="780"/>
        <v>#DIV/0!</v>
      </c>
      <c r="N68" s="3" t="e">
        <f t="shared" ca="1" si="780"/>
        <v>#DIV/0!</v>
      </c>
      <c r="O68" s="3" t="e">
        <f t="shared" ca="1" si="780"/>
        <v>#DIV/0!</v>
      </c>
      <c r="P68" s="3" t="e">
        <f t="shared" ca="1" si="780"/>
        <v>#DIV/0!</v>
      </c>
      <c r="Q68" s="3" t="e">
        <f t="shared" ca="1" si="780"/>
        <v>#DIV/0!</v>
      </c>
      <c r="R68" s="3" t="e">
        <f t="shared" ca="1" si="780"/>
        <v>#DIV/0!</v>
      </c>
      <c r="S68" s="3" t="e">
        <f t="shared" ca="1" si="780"/>
        <v>#DIV/0!</v>
      </c>
      <c r="T68" s="3" t="e">
        <f t="shared" ca="1" si="780"/>
        <v>#DIV/0!</v>
      </c>
      <c r="U68" s="3" t="e">
        <f t="shared" ca="1" si="780"/>
        <v>#DIV/0!</v>
      </c>
      <c r="V68" s="3">
        <f ca="1">V67/V66</f>
        <v>0</v>
      </c>
      <c r="W68" s="3">
        <f t="shared" ref="W68" ca="1" si="781">W67/W66</f>
        <v>0</v>
      </c>
      <c r="X68" s="3">
        <f t="shared" ref="X68:Y68" ca="1" si="782">X67/X66</f>
        <v>0</v>
      </c>
      <c r="Y68" s="3">
        <f t="shared" ca="1" si="782"/>
        <v>0.19081836327345167</v>
      </c>
      <c r="Z68" s="3">
        <f t="shared" ref="Z68:AA68" ca="1" si="783">Z67/Z66</f>
        <v>8.5402894407718255E-2</v>
      </c>
      <c r="AA68" s="3">
        <f t="shared" ref="AA68" ca="1" si="784">AA67/AA66</f>
        <v>8.5402894407718255E-2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7">+C66</f>
        <v>#DIV/0!</v>
      </c>
      <c r="D69" s="3" t="e">
        <f t="shared" si="787"/>
        <v>#DIV/0!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0</v>
      </c>
      <c r="I69" s="3">
        <f t="shared" ca="1" si="787"/>
        <v>0</v>
      </c>
      <c r="J69" s="3">
        <f t="shared" ca="1" si="787"/>
        <v>0</v>
      </c>
      <c r="K69" s="3">
        <f t="shared" ca="1" si="787"/>
        <v>0</v>
      </c>
      <c r="L69" s="3">
        <f t="shared" ca="1" si="787"/>
        <v>0</v>
      </c>
      <c r="M69" s="3">
        <f t="shared" ca="1" si="787"/>
        <v>0</v>
      </c>
      <c r="N69" s="3">
        <f t="shared" ca="1" si="787"/>
        <v>0</v>
      </c>
      <c r="O69" s="3">
        <f t="shared" ca="1" si="787"/>
        <v>0</v>
      </c>
      <c r="P69" s="3">
        <f t="shared" ca="1" si="787"/>
        <v>0</v>
      </c>
      <c r="Q69" s="3">
        <f t="shared" ca="1" si="787"/>
        <v>0</v>
      </c>
      <c r="R69" s="3">
        <f t="shared" ca="1" si="787"/>
        <v>0</v>
      </c>
      <c r="S69" s="3">
        <f t="shared" ca="1" si="787"/>
        <v>0</v>
      </c>
      <c r="T69" s="3">
        <f ca="1">+T66</f>
        <v>0</v>
      </c>
      <c r="U69" s="3">
        <f t="shared" ca="1" si="787"/>
        <v>0</v>
      </c>
      <c r="V69" s="3">
        <f ca="1">+V66</f>
        <v>-6.0827405857740585E-4</v>
      </c>
      <c r="W69" s="3">
        <f t="shared" ref="W69" ca="1" si="788">+W66</f>
        <v>-1.2343096234309625E-4</v>
      </c>
      <c r="X69" s="3">
        <f t="shared" ref="X69:Y69" ca="1" si="789">+X66</f>
        <v>-1.0460251046025104E-3</v>
      </c>
      <c r="Y69" s="3">
        <f t="shared" ca="1" si="789"/>
        <v>2.6202928870293083</v>
      </c>
      <c r="Z69" s="3">
        <f t="shared" ref="Z69:AA69" ca="1" si="790">+Z66</f>
        <v>5.8546025104602624</v>
      </c>
      <c r="AA69" s="3">
        <f t="shared" ref="AA69" ca="1" si="791">+AA66</f>
        <v>5.8546025104602624</v>
      </c>
      <c r="AB69" s="37">
        <f t="shared" ref="AB69:AD69" ca="1" si="792">+AB66</f>
        <v>13.468656430807238</v>
      </c>
      <c r="AC69" s="37">
        <f t="shared" ca="1" si="792"/>
        <v>14.967983529912974</v>
      </c>
      <c r="AD69" s="37">
        <f t="shared" ca="1" si="792"/>
        <v>17.247868827974642</v>
      </c>
      <c r="AE69" s="37">
        <f t="shared" ref="AE69" ca="1" si="793">+AE66</f>
        <v>20.257627874741868</v>
      </c>
      <c r="AL69" s="3">
        <f>SUM(AI66:AL66)</f>
        <v>0</v>
      </c>
      <c r="AM69" s="3">
        <f t="shared" ref="AM69" si="794">SUM(AJ66:AM66)</f>
        <v>0</v>
      </c>
      <c r="AN69" s="3">
        <f t="shared" ref="AN69" si="795">SUM(AK66:AN66)</f>
        <v>0</v>
      </c>
      <c r="AO69" s="3">
        <f t="shared" ref="AO69" si="796">SUM(AL66:AO66)</f>
        <v>0</v>
      </c>
      <c r="AP69" s="3">
        <f t="shared" ref="AP69" si="797">SUM(AM66:AP66)</f>
        <v>0</v>
      </c>
      <c r="AQ69" s="3">
        <f t="shared" ref="AQ69" si="798">SUM(AN66:AQ66)</f>
        <v>0</v>
      </c>
      <c r="AR69" s="3">
        <f t="shared" ref="AR69" si="799">SUM(AO66:AR66)</f>
        <v>0</v>
      </c>
      <c r="AS69" s="3">
        <f t="shared" ref="AS69" si="800">SUM(AP66:AS66)</f>
        <v>0</v>
      </c>
      <c r="AT69" s="3">
        <f t="shared" ref="AT69" si="801">SUM(AQ66:AT66)</f>
        <v>0</v>
      </c>
      <c r="AU69" s="3">
        <f t="shared" ref="AU69" si="802">SUM(AR66:AU66)</f>
        <v>0</v>
      </c>
      <c r="AV69" s="3">
        <f t="shared" ref="AV69" si="803">SUM(AS66:AV66)</f>
        <v>0</v>
      </c>
      <c r="AW69" s="3">
        <f t="shared" ref="AW69" si="804">SUM(AT66:AW66)</f>
        <v>0</v>
      </c>
      <c r="AX69" s="3">
        <f t="shared" ref="AX69" si="805">SUM(AU66:AX66)</f>
        <v>0</v>
      </c>
      <c r="AY69" s="3">
        <f t="shared" ref="AY69" si="806">SUM(AV66:AY66)</f>
        <v>0</v>
      </c>
      <c r="AZ69" s="3">
        <f t="shared" ref="AZ69" si="807">SUM(AW66:AZ66)</f>
        <v>0</v>
      </c>
      <c r="BA69" s="3">
        <f t="shared" ref="BA69" si="808">SUM(AX66:BA66)</f>
        <v>0</v>
      </c>
      <c r="BB69" s="3">
        <f t="shared" ref="BB69" si="809">SUM(AY66:BB66)</f>
        <v>0</v>
      </c>
      <c r="BC69" s="3">
        <f t="shared" ref="BC69" si="810">SUM(AZ66:BC66)</f>
        <v>0</v>
      </c>
      <c r="BD69" s="3">
        <f t="shared" ref="BD69" si="811">SUM(BA66:BD66)</f>
        <v>0</v>
      </c>
      <c r="BE69" s="3">
        <f t="shared" ref="BE69" si="812">SUM(BB66:BE66)</f>
        <v>0</v>
      </c>
      <c r="BF69" s="3">
        <f t="shared" ref="BF69" si="813">SUM(BC66:BF66)</f>
        <v>0</v>
      </c>
      <c r="BG69" s="3">
        <f t="shared" ref="BG69" si="814">SUM(BD66:BG66)</f>
        <v>0</v>
      </c>
      <c r="BH69" s="3">
        <f t="shared" ref="BH69" si="815">SUM(BE66:BH66)</f>
        <v>0</v>
      </c>
      <c r="BI69" s="3">
        <f t="shared" ref="BI69" si="816">SUM(BF66:BI66)</f>
        <v>0</v>
      </c>
      <c r="BJ69" s="3">
        <f t="shared" ref="BJ69" si="817">SUM(BG66:BJ66)</f>
        <v>0</v>
      </c>
      <c r="BK69" s="3">
        <f t="shared" ref="BK69" si="818">SUM(BH66:BK66)</f>
        <v>0</v>
      </c>
      <c r="BL69" s="3">
        <f t="shared" ref="BL69" si="819">SUM(BI66:BL66)</f>
        <v>0</v>
      </c>
      <c r="BM69" s="3">
        <f t="shared" ref="BM69" si="820">SUM(BJ66:BM66)</f>
        <v>0</v>
      </c>
      <c r="BN69" s="3">
        <f t="shared" ref="BN69" si="821">SUM(BK66:BN66)</f>
        <v>0</v>
      </c>
      <c r="BO69" s="3">
        <f t="shared" ref="BO69" si="822">SUM(BL66:BO66)</f>
        <v>0</v>
      </c>
      <c r="BP69" s="3">
        <f t="shared" ref="BP69" si="823">SUM(BM66:BP66)</f>
        <v>0</v>
      </c>
      <c r="BQ69" s="3">
        <f t="shared" ref="BQ69" si="824">SUM(BN66:BQ66)</f>
        <v>0</v>
      </c>
      <c r="BR69" s="3">
        <f t="shared" ref="BR69" si="825">SUM(BO66:BR66)</f>
        <v>0</v>
      </c>
      <c r="BS69" s="3">
        <f t="shared" ref="BS69" si="826">SUM(BP66:BS66)</f>
        <v>0</v>
      </c>
      <c r="BT69" s="3">
        <f t="shared" ref="BT69" si="827">SUM(BQ66:BT66)</f>
        <v>0</v>
      </c>
      <c r="BU69" s="3">
        <f t="shared" ref="BU69" si="828">SUM(BR66:BU66)</f>
        <v>0</v>
      </c>
      <c r="BV69" s="3">
        <f t="shared" ref="BV69" si="829">SUM(BS66:BV66)</f>
        <v>0</v>
      </c>
      <c r="BW69" s="3">
        <f t="shared" ref="BW69" si="830">SUM(BT66:BW66)</f>
        <v>0</v>
      </c>
      <c r="BX69" s="3">
        <f t="shared" ref="BX69" si="831">SUM(BU66:BX66)</f>
        <v>0</v>
      </c>
      <c r="BY69" s="3">
        <f t="shared" ref="BY69" si="832">SUM(BV66:BY66)</f>
        <v>0</v>
      </c>
      <c r="BZ69" s="3">
        <f t="shared" ref="BZ69" si="833">SUM(BW66:BZ66)</f>
        <v>-1.0460251046025104E-3</v>
      </c>
      <c r="CA69" s="3">
        <f t="shared" ref="CA69" si="834">SUM(BX66:CA66)</f>
        <v>0.43410041841003999</v>
      </c>
      <c r="CB69" s="3">
        <f t="shared" ref="CB69" si="835">SUM(BY66:CB66)</f>
        <v>1.0774058577405834</v>
      </c>
      <c r="CC69" s="3">
        <f t="shared" ref="CC69" si="836">SUM(BZ66:CC66)</f>
        <v>1.54707112970711</v>
      </c>
      <c r="CD69" s="3">
        <f t="shared" ref="CD69" si="837">SUM(CA66:CD66)</f>
        <v>2.6202928870292848</v>
      </c>
      <c r="CE69" s="3">
        <f t="shared" ref="CE69" si="838">SUM(CB66:CE66)</f>
        <v>3.4194560669456062</v>
      </c>
      <c r="CF69" s="3">
        <f t="shared" ref="CF69" si="839">SUM(CC66:CF66)</f>
        <v>4.9309623430962315</v>
      </c>
      <c r="CG69" s="3">
        <f t="shared" ref="CG69" si="840">SUM(CD66:CG66)</f>
        <v>5.4414225941422556</v>
      </c>
      <c r="CH69" s="3">
        <f t="shared" ref="CH69:CL69" si="841">SUM(CE66:CH66)</f>
        <v>5.8546025104602482</v>
      </c>
      <c r="CI69" s="3">
        <f t="shared" si="841"/>
        <v>6.0345188284518763</v>
      </c>
      <c r="CJ69" s="3">
        <f t="shared" si="841"/>
        <v>5.5543933054393264</v>
      </c>
      <c r="CK69" s="3">
        <f t="shared" si="841"/>
        <v>5.952928870292884</v>
      </c>
      <c r="CL69" s="3">
        <f t="shared" si="841"/>
        <v>7.3608786610878614</v>
      </c>
      <c r="CM69" s="37">
        <f t="shared" ref="CM69" si="842">SUM(CJ66:CM66)</f>
        <v>8.9745211574021564</v>
      </c>
      <c r="CN69" s="37">
        <f t="shared" ref="CN69" si="843">SUM(CK66:CN66)</f>
        <v>9.3748229643327257</v>
      </c>
      <c r="CO69" s="37">
        <f t="shared" ref="CO69" si="844">SUM(CL66:CO66)</f>
        <v>12.106990658442838</v>
      </c>
      <c r="CP69" s="37">
        <f t="shared" ref="CP69" si="845">SUM(CM66:CP66)</f>
        <v>13.468656430807236</v>
      </c>
      <c r="CQ69" s="37">
        <f t="shared" ref="CQ69" si="846">SUM(CN66:CQ66)</f>
        <v>13.744763410930702</v>
      </c>
      <c r="CR69" s="37">
        <f t="shared" ref="CR69" si="847">SUM(CO66:CR66)</f>
        <v>13.795970950502793</v>
      </c>
      <c r="CS69" s="37">
        <f t="shared" ref="CS69" si="848">SUM(CP66:CS66)</f>
        <v>14.417435467489579</v>
      </c>
      <c r="CT69" s="37">
        <f t="shared" ref="CT69" si="849">SUM(CQ66:CT66)</f>
        <v>14.967983529912999</v>
      </c>
      <c r="CU69" s="37">
        <f t="shared" ref="CU69" si="850">SUM(CR66:CU66)</f>
        <v>15.418205213141622</v>
      </c>
      <c r="CV69" s="37">
        <f t="shared" ref="CV69" si="851">SUM(CS66:CV66)</f>
        <v>15.659777462581639</v>
      </c>
      <c r="CW69" s="37">
        <f t="shared" ref="CW69" si="852">SUM(CT66:CW66)</f>
        <v>16.448002637024224</v>
      </c>
      <c r="CX69" s="37">
        <f t="shared" ref="CX69" si="853">SUM(CU66:CX66)</f>
        <v>17.247868827974639</v>
      </c>
      <c r="CY69" s="37">
        <f t="shared" ref="CY69" si="854">SUM(CV66:CY66)</f>
        <v>17.870992298383335</v>
      </c>
      <c r="CZ69" s="37">
        <f t="shared" ref="CZ69" si="855">SUM(CW66:CZ66)</f>
        <v>18.23861048119425</v>
      </c>
      <c r="DA69" s="37">
        <f t="shared" ref="DA69" si="856">SUM(CX66:DA66)</f>
        <v>19.235943600683072</v>
      </c>
      <c r="DB69" s="37">
        <f t="shared" ref="DB69" si="857">SUM(CY66:DB66)</f>
        <v>20.257627874741893</v>
      </c>
      <c r="DE69" s="134"/>
      <c r="DF69" s="3">
        <v>7.360878661087856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 t="e">
        <f t="shared" si="858"/>
        <v>#DIV/0!</v>
      </c>
      <c r="E70" s="101" t="e">
        <f t="shared" ca="1" si="858"/>
        <v>#DIV/0!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 t="e">
        <f t="shared" ca="1" si="858"/>
        <v>#DIV/0!</v>
      </c>
      <c r="J70" s="101" t="e">
        <f t="shared" ca="1" si="858"/>
        <v>#DIV/0!</v>
      </c>
      <c r="K70" s="101" t="e">
        <f t="shared" ca="1" si="858"/>
        <v>#DIV/0!</v>
      </c>
      <c r="L70" s="101" t="e">
        <f t="shared" ca="1" si="858"/>
        <v>#DIV/0!</v>
      </c>
      <c r="M70" s="101" t="e">
        <f t="shared" ca="1" si="858"/>
        <v>#DIV/0!</v>
      </c>
      <c r="N70" s="101" t="e">
        <f t="shared" ca="1" si="858"/>
        <v>#DIV/0!</v>
      </c>
      <c r="O70" s="101" t="e">
        <f t="shared" ca="1" si="858"/>
        <v>#DIV/0!</v>
      </c>
      <c r="P70" s="101" t="e">
        <f t="shared" ca="1" si="858"/>
        <v>#DIV/0!</v>
      </c>
      <c r="Q70" s="101" t="e">
        <f t="shared" ca="1" si="858"/>
        <v>#DIV/0!</v>
      </c>
      <c r="R70" s="101" t="e">
        <f t="shared" ca="1" si="858"/>
        <v>#DIV/0!</v>
      </c>
      <c r="S70" s="101" t="e">
        <f t="shared" ca="1" si="858"/>
        <v>#DIV/0!</v>
      </c>
      <c r="T70" s="101" t="e">
        <f t="shared" ca="1" si="858"/>
        <v>#DIV/0!</v>
      </c>
      <c r="U70" s="101" t="e">
        <f t="shared" ca="1" si="858"/>
        <v>#DIV/0!</v>
      </c>
      <c r="V70" s="101" t="e">
        <f t="shared" ca="1" si="858"/>
        <v>#DIV/0!</v>
      </c>
      <c r="W70" s="101">
        <f t="shared" ca="1" si="858"/>
        <v>-0.79708001582088006</v>
      </c>
      <c r="X70" s="101">
        <f t="shared" ca="1" si="858"/>
        <v>7.4745762711864394</v>
      </c>
      <c r="Y70" s="101">
        <f t="shared" ca="1" si="858"/>
        <v>-2506.0000000000191</v>
      </c>
      <c r="Z70" s="101">
        <f t="shared" ca="1" si="858"/>
        <v>1.2343313373253371</v>
      </c>
      <c r="AA70" s="101">
        <f t="shared" ca="1" si="858"/>
        <v>1.2343313373253371</v>
      </c>
      <c r="AB70" s="174">
        <f t="shared" ref="AB70" ca="1" si="859">+AB69/AA69-1</f>
        <v>0.82976205028445893</v>
      </c>
      <c r="AC70" s="174">
        <f t="shared" ref="AC70" ca="1" si="860">+AC69/AB69-1</f>
        <v>0.11131972270643731</v>
      </c>
      <c r="AD70" s="174">
        <f t="shared" ref="AD70" ca="1" si="861">+AD69/AC69-1</f>
        <v>0.15231746437356763</v>
      </c>
      <c r="AE70" s="174">
        <f t="shared" ref="AE70" ca="1" si="862">+AE69/AD69-1</f>
        <v>0.17450034417502303</v>
      </c>
      <c r="AL70" s="176"/>
      <c r="AM70" s="176"/>
      <c r="AN70" s="176"/>
      <c r="AO70" s="176"/>
      <c r="AP70" s="176" t="e">
        <f t="shared" ref="AP70:CL70" si="863">+IF(AL69&lt;0,1-AP69/AL69,AP69/AL69-1)</f>
        <v>#DIV/0!</v>
      </c>
      <c r="AQ70" s="176" t="e">
        <f t="shared" si="863"/>
        <v>#DIV/0!</v>
      </c>
      <c r="AR70" s="176" t="e">
        <f t="shared" si="863"/>
        <v>#DIV/0!</v>
      </c>
      <c r="AS70" s="176" t="e">
        <f t="shared" si="863"/>
        <v>#DIV/0!</v>
      </c>
      <c r="AT70" s="176" t="e">
        <f t="shared" si="863"/>
        <v>#DIV/0!</v>
      </c>
      <c r="AU70" s="176" t="e">
        <f t="shared" si="863"/>
        <v>#DIV/0!</v>
      </c>
      <c r="AV70" s="176" t="e">
        <f t="shared" si="863"/>
        <v>#DIV/0!</v>
      </c>
      <c r="AW70" s="176" t="e">
        <f t="shared" si="863"/>
        <v>#DIV/0!</v>
      </c>
      <c r="AX70" s="176" t="e">
        <f t="shared" si="863"/>
        <v>#DIV/0!</v>
      </c>
      <c r="AY70" s="176" t="e">
        <f t="shared" si="863"/>
        <v>#DIV/0!</v>
      </c>
      <c r="AZ70" s="176" t="e">
        <f t="shared" si="863"/>
        <v>#DIV/0!</v>
      </c>
      <c r="BA70" s="176" t="e">
        <f t="shared" si="863"/>
        <v>#DIV/0!</v>
      </c>
      <c r="BB70" s="176" t="e">
        <f t="shared" si="863"/>
        <v>#DIV/0!</v>
      </c>
      <c r="BC70" s="176" t="e">
        <f t="shared" si="863"/>
        <v>#DIV/0!</v>
      </c>
      <c r="BD70" s="176" t="e">
        <f t="shared" si="863"/>
        <v>#DIV/0!</v>
      </c>
      <c r="BE70" s="176" t="e">
        <f t="shared" si="863"/>
        <v>#DIV/0!</v>
      </c>
      <c r="BF70" s="176" t="e">
        <f t="shared" si="863"/>
        <v>#DIV/0!</v>
      </c>
      <c r="BG70" s="176" t="e">
        <f t="shared" si="863"/>
        <v>#DIV/0!</v>
      </c>
      <c r="BH70" s="176" t="e">
        <f t="shared" si="863"/>
        <v>#DIV/0!</v>
      </c>
      <c r="BI70" s="176" t="e">
        <f t="shared" si="863"/>
        <v>#DIV/0!</v>
      </c>
      <c r="BJ70" s="176" t="e">
        <f t="shared" si="863"/>
        <v>#DIV/0!</v>
      </c>
      <c r="BK70" s="176" t="e">
        <f t="shared" si="863"/>
        <v>#DIV/0!</v>
      </c>
      <c r="BL70" s="176" t="e">
        <f t="shared" si="863"/>
        <v>#DIV/0!</v>
      </c>
      <c r="BM70" s="176" t="e">
        <f t="shared" si="863"/>
        <v>#DIV/0!</v>
      </c>
      <c r="BN70" s="176" t="e">
        <f t="shared" si="863"/>
        <v>#DIV/0!</v>
      </c>
      <c r="BO70" s="176" t="e">
        <f t="shared" si="863"/>
        <v>#DIV/0!</v>
      </c>
      <c r="BP70" s="176" t="e">
        <f t="shared" si="863"/>
        <v>#DIV/0!</v>
      </c>
      <c r="BQ70" s="176" t="e">
        <f t="shared" si="863"/>
        <v>#DIV/0!</v>
      </c>
      <c r="BR70" s="176" t="e">
        <f t="shared" si="863"/>
        <v>#DIV/0!</v>
      </c>
      <c r="BS70" s="176" t="e">
        <f t="shared" si="863"/>
        <v>#DIV/0!</v>
      </c>
      <c r="BT70" s="176" t="e">
        <f t="shared" si="863"/>
        <v>#DIV/0!</v>
      </c>
      <c r="BU70" s="176" t="e">
        <f t="shared" si="863"/>
        <v>#DIV/0!</v>
      </c>
      <c r="BV70" s="176" t="e">
        <f t="shared" si="863"/>
        <v>#DIV/0!</v>
      </c>
      <c r="BW70" s="176" t="e">
        <f t="shared" si="863"/>
        <v>#DIV/0!</v>
      </c>
      <c r="BX70" s="176" t="e">
        <f t="shared" si="863"/>
        <v>#DIV/0!</v>
      </c>
      <c r="BY70" s="176" t="e">
        <f t="shared" si="863"/>
        <v>#DIV/0!</v>
      </c>
      <c r="BZ70" s="176" t="e">
        <f t="shared" si="863"/>
        <v>#DIV/0!</v>
      </c>
      <c r="CA70" s="176" t="e">
        <f t="shared" si="863"/>
        <v>#DIV/0!</v>
      </c>
      <c r="CB70" s="176" t="e">
        <f t="shared" si="863"/>
        <v>#DIV/0!</v>
      </c>
      <c r="CC70" s="176" t="e">
        <f t="shared" si="863"/>
        <v>#DIV/0!</v>
      </c>
      <c r="CD70" s="176">
        <f t="shared" si="863"/>
        <v>2505.9999999999964</v>
      </c>
      <c r="CE70" s="176">
        <f t="shared" si="863"/>
        <v>6.8771084337349722</v>
      </c>
      <c r="CF70" s="176">
        <f t="shared" si="863"/>
        <v>3.5766990291262211</v>
      </c>
      <c r="CG70" s="176">
        <f t="shared" si="863"/>
        <v>2.5172413793103492</v>
      </c>
      <c r="CH70" s="176">
        <f t="shared" si="863"/>
        <v>1.2343313373253517</v>
      </c>
      <c r="CI70" s="176">
        <f t="shared" si="863"/>
        <v>0.76475986540226204</v>
      </c>
      <c r="CJ70" s="176">
        <f t="shared" si="863"/>
        <v>0.12643190496393708</v>
      </c>
      <c r="CK70" s="176">
        <f t="shared" si="863"/>
        <v>9.4002306805075264E-2</v>
      </c>
      <c r="CL70" s="176">
        <f t="shared" si="863"/>
        <v>0.2572806860818293</v>
      </c>
      <c r="CM70" s="102">
        <f t="shared" ref="CM70:DB70" si="864">+IF(CI69&lt;0,1-CM69/CI69,CM69/CI69-1)</f>
        <v>0.48719747382154122</v>
      </c>
      <c r="CN70" s="102">
        <f t="shared" si="864"/>
        <v>0.68782123425651465</v>
      </c>
      <c r="CO70" s="102">
        <f t="shared" si="864"/>
        <v>1.033787220079311</v>
      </c>
      <c r="CP70" s="102">
        <f t="shared" si="864"/>
        <v>0.82976205028445738</v>
      </c>
      <c r="CQ70" s="102">
        <f t="shared" si="864"/>
        <v>0.53153167393160183</v>
      </c>
      <c r="CR70" s="102">
        <f t="shared" si="864"/>
        <v>0.47159802408970108</v>
      </c>
      <c r="CS70" s="102">
        <f t="shared" si="864"/>
        <v>0.19083559855855237</v>
      </c>
      <c r="CT70" s="102">
        <f t="shared" si="864"/>
        <v>0.11131972270643931</v>
      </c>
      <c r="CU70" s="102">
        <f t="shared" si="864"/>
        <v>0.12175122642562863</v>
      </c>
      <c r="CV70" s="102">
        <f t="shared" si="864"/>
        <v>0.13509788609774653</v>
      </c>
      <c r="CW70" s="102">
        <f t="shared" si="864"/>
        <v>0.14084107913043531</v>
      </c>
      <c r="CX70" s="102">
        <f t="shared" si="864"/>
        <v>0.15231746437356564</v>
      </c>
      <c r="CY70" s="102">
        <f t="shared" si="864"/>
        <v>0.15908382664093046</v>
      </c>
      <c r="CZ70" s="102">
        <f t="shared" si="864"/>
        <v>0.16467877814832432</v>
      </c>
      <c r="DA70" s="102">
        <f t="shared" si="864"/>
        <v>0.16950027460375239</v>
      </c>
      <c r="DB70" s="102">
        <f t="shared" si="864"/>
        <v>0.17450034417502458</v>
      </c>
      <c r="DE70" s="135"/>
      <c r="DF70" s="97">
        <v>0.2572806860818253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>
        <f>+CP69/CP71-1</f>
        <v>-0.5713349321830925</v>
      </c>
      <c r="CQ72" s="145"/>
      <c r="CR72" s="145"/>
      <c r="CS72" s="145"/>
      <c r="CT72" s="185">
        <f>+CT69/CT71-1</f>
        <v>-0.61061437227073356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19.149999999999999</v>
      </c>
      <c r="Z73" s="3">
        <f>'Annual Raw'!AA112</f>
        <v>19.16</v>
      </c>
      <c r="AA73" s="3">
        <f>'Annual Raw'!AB112</f>
        <v>19.2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19.14</v>
      </c>
      <c r="CB73" s="3">
        <f>'QTR Raw'!AV49</f>
        <v>19.149999999999999</v>
      </c>
      <c r="CC73" s="3">
        <f>'QTR Raw'!AW49</f>
        <v>19.149999999999999</v>
      </c>
      <c r="CD73" s="3">
        <f>'QTR Raw'!AX49</f>
        <v>19.149999999999999</v>
      </c>
      <c r="CE73" s="3">
        <f>'QTR Raw'!AY49</f>
        <v>19.16</v>
      </c>
      <c r="CF73" s="3">
        <f>'QTR Raw'!AZ49</f>
        <v>19.16</v>
      </c>
      <c r="CG73" s="3">
        <f>'QTR Raw'!BA49</f>
        <v>19.16</v>
      </c>
      <c r="CH73" s="3">
        <f>'QTR Raw'!BB49</f>
        <v>19.16</v>
      </c>
      <c r="CI73" s="3">
        <f>'QTR Raw'!BC49</f>
        <v>19.16</v>
      </c>
      <c r="CJ73" s="3">
        <f>'QTR Raw'!BD49</f>
        <v>19.16</v>
      </c>
      <c r="CK73" s="3">
        <f>'QTR Raw'!BE49</f>
        <v>19.16</v>
      </c>
      <c r="CL73" s="3">
        <f>'QTR Raw'!BF49</f>
        <v>19.2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1.0900000000000001</v>
      </c>
      <c r="Z74" s="3">
        <f>'Annual Raw'!AA113</f>
        <v>1.0900000000000001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1.0900000000000001</v>
      </c>
      <c r="CB74" s="3">
        <f>'QTR Raw'!AV50</f>
        <v>1.0900000000000001</v>
      </c>
      <c r="CC74" s="3">
        <f>'QTR Raw'!AW50</f>
        <v>1.0900000000000001</v>
      </c>
      <c r="CD74" s="3">
        <f>'QTR Raw'!AX50</f>
        <v>1.0900000000000001</v>
      </c>
      <c r="CE74" s="3">
        <f>'QTR Raw'!AY50</f>
        <v>1.0900000000000001</v>
      </c>
      <c r="CF74" s="3">
        <f>'QTR Raw'!AZ50</f>
        <v>1.0900000000000001</v>
      </c>
      <c r="CG74" s="3">
        <f>'QTR Raw'!BA50</f>
        <v>1.0900000000000001</v>
      </c>
      <c r="CH74" s="3">
        <f>'QTR Raw'!BB50</f>
        <v>1.0900000000000001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75.5</v>
      </c>
      <c r="Z77" s="13">
        <f>'Annual Raw'!AA106</f>
        <v>72.31</v>
      </c>
      <c r="AA77" s="13">
        <f>'Annual Raw'!AB106</f>
        <v>65.569999999999993</v>
      </c>
      <c r="AB77" s="37">
        <f>+CP77</f>
        <v>65.569999999999993</v>
      </c>
      <c r="AC77" s="37">
        <f>+CT77</f>
        <v>65.569999999999993</v>
      </c>
      <c r="AD77" s="37">
        <f>+CX77</f>
        <v>65.569999999999993</v>
      </c>
      <c r="AE77" s="37">
        <f>+DB77</f>
        <v>65.569999999999993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72.8</v>
      </c>
      <c r="CB77" s="13">
        <f>'QTR Share Price'!JH21</f>
        <v>79.91</v>
      </c>
      <c r="CC77" s="13">
        <f>'QTR Share Price'!JI21</f>
        <v>69.510000000000005</v>
      </c>
      <c r="CD77" s="13">
        <f>'QTR Share Price'!JJ21</f>
        <v>75.5</v>
      </c>
      <c r="CE77" s="13">
        <f>'QTR Share Price'!JK21</f>
        <v>91.07</v>
      </c>
      <c r="CF77" s="13">
        <f>'QTR Share Price'!JL21</f>
        <v>102.35</v>
      </c>
      <c r="CG77" s="13">
        <f>'QTR Share Price'!JM21</f>
        <v>100.13</v>
      </c>
      <c r="CH77" s="13">
        <f>'QTR Share Price'!JN21</f>
        <v>72.31</v>
      </c>
      <c r="CI77" s="13">
        <f>'QTR Share Price'!JO21</f>
        <v>96.07</v>
      </c>
      <c r="CJ77" s="13">
        <f>'QTR Share Price'!JP21</f>
        <v>76.64</v>
      </c>
      <c r="CK77" s="13">
        <f>'QTR Share Price'!JQ21</f>
        <v>73.22</v>
      </c>
      <c r="CL77" s="13">
        <f>'QTR Share Price'!JR21</f>
        <v>65.569999999999993</v>
      </c>
      <c r="CM77" s="37">
        <f t="shared" ref="CM77" si="865">+CL77</f>
        <v>65.569999999999993</v>
      </c>
      <c r="CN77" s="37">
        <f t="shared" ref="CN77" si="866">+CM77</f>
        <v>65.569999999999993</v>
      </c>
      <c r="CO77" s="37">
        <f t="shared" ref="CO77" si="867">+CN77</f>
        <v>65.569999999999993</v>
      </c>
      <c r="CP77" s="37">
        <f t="shared" ref="CP77" si="868">+CO77</f>
        <v>65.569999999999993</v>
      </c>
      <c r="CQ77" s="37">
        <f t="shared" ref="CQ77" si="869">+CP77</f>
        <v>65.569999999999993</v>
      </c>
      <c r="CR77" s="37">
        <f t="shared" ref="CR77" si="870">+CQ77</f>
        <v>65.569999999999993</v>
      </c>
      <c r="CS77" s="37">
        <f t="shared" ref="CS77" si="871">+CR77</f>
        <v>65.569999999999993</v>
      </c>
      <c r="CT77" s="37">
        <f t="shared" ref="CT77" si="872">+CS77</f>
        <v>65.569999999999993</v>
      </c>
      <c r="CU77" s="37">
        <f t="shared" ref="CU77" si="873">+CT77</f>
        <v>65.569999999999993</v>
      </c>
      <c r="CV77" s="37">
        <f t="shared" ref="CV77" si="874">+CU77</f>
        <v>65.569999999999993</v>
      </c>
      <c r="CW77" s="37">
        <f t="shared" ref="CW77" si="875">+CV77</f>
        <v>65.569999999999993</v>
      </c>
      <c r="CX77" s="37">
        <f t="shared" ref="CX77" si="876">+CW77</f>
        <v>65.569999999999993</v>
      </c>
      <c r="CY77" s="37">
        <f t="shared" ref="CY77" si="877">+CX77</f>
        <v>65.569999999999993</v>
      </c>
      <c r="CZ77" s="37">
        <f t="shared" ref="CZ77" si="878">+CY77</f>
        <v>65.569999999999993</v>
      </c>
      <c r="DA77" s="37">
        <f t="shared" ref="DA77" si="879">+CZ77</f>
        <v>65.569999999999993</v>
      </c>
      <c r="DB77" s="37">
        <f t="shared" ref="DB77" si="880">+DA77</f>
        <v>65.569999999999993</v>
      </c>
      <c r="DE77" s="134"/>
      <c r="DF77" s="13">
        <v>65.569999999999993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97.95</v>
      </c>
      <c r="Z78" s="13">
        <f>'Annual Raw'!AA107</f>
        <v>123.05</v>
      </c>
      <c r="AA78" s="13">
        <f>'Annual Raw'!AB107</f>
        <v>98.7</v>
      </c>
      <c r="AB78" s="37">
        <f>+MAX(CM78:CP78)</f>
        <v>158.09144114457715</v>
      </c>
      <c r="AC78" s="37">
        <f>+MAX(CQ78:CT78)</f>
        <v>175.69013653505283</v>
      </c>
      <c r="AD78" s="37">
        <f>+MAX(CU78:CX78)</f>
        <v>202.45081264751761</v>
      </c>
      <c r="AE78" s="37">
        <f>+MAX(CY78:DB78)</f>
        <v>237.77854913302289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77.7</v>
      </c>
      <c r="CB78" s="13">
        <f>'QTR Share Price'!JH19</f>
        <v>86</v>
      </c>
      <c r="CC78" s="13">
        <f>'QTR Share Price'!JI19</f>
        <v>93</v>
      </c>
      <c r="CD78" s="13">
        <f>'QTR Share Price'!JJ19</f>
        <v>97.95</v>
      </c>
      <c r="CE78" s="13">
        <f>'QTR Share Price'!JK19</f>
        <v>94.46</v>
      </c>
      <c r="CF78" s="13">
        <f>'QTR Share Price'!JL19</f>
        <v>123.05</v>
      </c>
      <c r="CG78" s="13">
        <f>'QTR Share Price'!JM19</f>
        <v>116.1</v>
      </c>
      <c r="CH78" s="13">
        <f>'QTR Share Price'!JN19</f>
        <v>106.2</v>
      </c>
      <c r="CI78" s="13">
        <f>'QTR Share Price'!JO19</f>
        <v>98.7</v>
      </c>
      <c r="CJ78" s="13">
        <f>'QTR Share Price'!JP19</f>
        <v>97.9</v>
      </c>
      <c r="CK78" s="13">
        <f>'QTR Share Price'!JQ19</f>
        <v>89.99</v>
      </c>
      <c r="CL78" s="13">
        <f>'QTR Share Price'!JR19</f>
        <v>86.4</v>
      </c>
      <c r="CM78" s="37">
        <f t="shared" ref="CM78:DB78" si="881">+CM69*CM86</f>
        <v>105.34049856012034</v>
      </c>
      <c r="CN78" s="37">
        <f t="shared" si="881"/>
        <v>110.03913274650289</v>
      </c>
      <c r="CO78" s="37">
        <f t="shared" si="881"/>
        <v>142.1085771212627</v>
      </c>
      <c r="CP78" s="37">
        <f t="shared" si="881"/>
        <v>158.09144114457715</v>
      </c>
      <c r="CQ78" s="37">
        <f t="shared" si="881"/>
        <v>161.33231009257059</v>
      </c>
      <c r="CR78" s="37">
        <f t="shared" si="881"/>
        <v>161.93337032229798</v>
      </c>
      <c r="CS78" s="37">
        <f t="shared" si="881"/>
        <v>169.22795249650306</v>
      </c>
      <c r="CT78" s="37">
        <f t="shared" si="881"/>
        <v>175.69013653505283</v>
      </c>
      <c r="CU78" s="37">
        <f t="shared" si="881"/>
        <v>180.97471670842091</v>
      </c>
      <c r="CV78" s="37">
        <f t="shared" si="881"/>
        <v>183.81022634152399</v>
      </c>
      <c r="CW78" s="37">
        <f t="shared" si="881"/>
        <v>193.06219994514464</v>
      </c>
      <c r="CX78" s="37">
        <f t="shared" si="881"/>
        <v>202.45081264751761</v>
      </c>
      <c r="CY78" s="37">
        <f t="shared" si="881"/>
        <v>209.76486716765484</v>
      </c>
      <c r="CZ78" s="37">
        <f t="shared" si="881"/>
        <v>214.07986982661311</v>
      </c>
      <c r="DA78" s="37">
        <f t="shared" si="881"/>
        <v>225.78629585145117</v>
      </c>
      <c r="DB78" s="37">
        <f t="shared" si="881"/>
        <v>237.77854913302289</v>
      </c>
      <c r="DE78" s="134"/>
      <c r="DF78" s="13">
        <v>98.7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60</v>
      </c>
      <c r="Z79" s="13">
        <f>'Annual Raw'!AA108</f>
        <v>68.5</v>
      </c>
      <c r="AA79" s="13">
        <f>'Annual Raw'!AB108</f>
        <v>65.349999999999994</v>
      </c>
      <c r="AB79" s="37">
        <f>+MIN(CM79:CP79)</f>
        <v>79.675944223424338</v>
      </c>
      <c r="AC79" s="37">
        <f>+MIN(CQ79:CT79)</f>
        <v>122.02623222858202</v>
      </c>
      <c r="AD79" s="37">
        <f>+MIN(CU79:CX79)</f>
        <v>136.88307565851045</v>
      </c>
      <c r="AE79" s="37">
        <f>+MIN(CY79:DB79)</f>
        <v>158.6589591366463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67.709999999999994</v>
      </c>
      <c r="CC79" s="13">
        <f>+'QTR Share Price'!JI20</f>
        <v>68</v>
      </c>
      <c r="CD79" s="13">
        <f>+'QTR Share Price'!JJ20</f>
        <v>69.91</v>
      </c>
      <c r="CE79" s="13">
        <f>+'QTR Share Price'!JK20</f>
        <v>68.5</v>
      </c>
      <c r="CF79" s="13">
        <f>+'QTR Share Price'!JL20</f>
        <v>83.1</v>
      </c>
      <c r="CG79" s="13">
        <f>+'QTR Share Price'!JM20</f>
        <v>83.15</v>
      </c>
      <c r="CH79" s="13">
        <f>+'QTR Share Price'!JN20</f>
        <v>71.5</v>
      </c>
      <c r="CI79" s="13">
        <f>+'QTR Share Price'!JO20</f>
        <v>65.900000000000006</v>
      </c>
      <c r="CJ79" s="13">
        <f>+'QTR Share Price'!JP20</f>
        <v>75.91</v>
      </c>
      <c r="CK79" s="13">
        <f>+'QTR Share Price'!JQ20</f>
        <v>70.17</v>
      </c>
      <c r="CL79" s="13">
        <f>+'QTR Share Price'!JR20</f>
        <v>65.349999999999994</v>
      </c>
      <c r="CM79" s="37">
        <f t="shared" ref="CM79:DB79" si="882">+CM87*CM69</f>
        <v>79.675944223424338</v>
      </c>
      <c r="CN79" s="37">
        <f t="shared" si="882"/>
        <v>83.229830150277337</v>
      </c>
      <c r="CO79" s="37">
        <f t="shared" si="882"/>
        <v>107.48605919993652</v>
      </c>
      <c r="CP79" s="37">
        <f t="shared" si="882"/>
        <v>119.57494998608927</v>
      </c>
      <c r="CQ79" s="37">
        <f t="shared" si="882"/>
        <v>122.02623222858202</v>
      </c>
      <c r="CR79" s="37">
        <f t="shared" si="882"/>
        <v>122.48085359446955</v>
      </c>
      <c r="CS79" s="37">
        <f t="shared" si="882"/>
        <v>127.9982256440564</v>
      </c>
      <c r="CT79" s="37">
        <f t="shared" si="882"/>
        <v>132.88600026117709</v>
      </c>
      <c r="CU79" s="37">
        <f t="shared" si="882"/>
        <v>136.88307565851045</v>
      </c>
      <c r="CV79" s="37">
        <f t="shared" si="882"/>
        <v>139.02775800252996</v>
      </c>
      <c r="CW79" s="37">
        <f t="shared" si="882"/>
        <v>146.02563387054627</v>
      </c>
      <c r="CX79" s="37">
        <f t="shared" si="882"/>
        <v>153.12685887170454</v>
      </c>
      <c r="CY79" s="37">
        <f t="shared" si="882"/>
        <v>158.6589591366463</v>
      </c>
      <c r="CZ79" s="37">
        <f t="shared" si="882"/>
        <v>161.92267931908751</v>
      </c>
      <c r="DA79" s="37">
        <f t="shared" si="882"/>
        <v>170.77701891079084</v>
      </c>
      <c r="DB79" s="37">
        <f t="shared" si="882"/>
        <v>179.84754844725742</v>
      </c>
      <c r="DE79" s="134"/>
      <c r="DF79" s="13">
        <v>65.349999999999994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1.4110331118587336</v>
      </c>
      <c r="AC81" s="48">
        <f t="shared" si="883"/>
        <v>1.6794286493068911</v>
      </c>
      <c r="AD81" s="48">
        <f t="shared" si="883"/>
        <v>2.0875524271392045</v>
      </c>
      <c r="AE81" s="48">
        <f t="shared" ref="AE81" si="884">+AE78/AE77-1</f>
        <v>2.6263313883334285</v>
      </c>
      <c r="CM81" s="48">
        <f t="shared" ref="CM81:DB81" si="885">+CM78/CM77-1</f>
        <v>0.60653497880311646</v>
      </c>
      <c r="CN81" s="48">
        <f t="shared" si="885"/>
        <v>0.67819327049722289</v>
      </c>
      <c r="CO81" s="48">
        <f t="shared" si="885"/>
        <v>1.1672804197233906</v>
      </c>
      <c r="CP81" s="48">
        <f t="shared" si="885"/>
        <v>1.4110331118587336</v>
      </c>
      <c r="CQ81" s="48">
        <f t="shared" si="885"/>
        <v>1.4604592053160075</v>
      </c>
      <c r="CR81" s="48">
        <f t="shared" si="885"/>
        <v>1.4696259009043464</v>
      </c>
      <c r="CS81" s="48">
        <f t="shared" si="885"/>
        <v>1.5808746758655343</v>
      </c>
      <c r="CT81" s="48">
        <f t="shared" si="885"/>
        <v>1.6794286493068911</v>
      </c>
      <c r="CU81" s="48">
        <f t="shared" si="885"/>
        <v>1.7600231311334595</v>
      </c>
      <c r="CV81" s="48">
        <f t="shared" si="885"/>
        <v>1.8032671395687663</v>
      </c>
      <c r="CW81" s="48">
        <f t="shared" si="885"/>
        <v>1.9443678503148494</v>
      </c>
      <c r="CX81" s="48">
        <f t="shared" si="885"/>
        <v>2.0875524271392045</v>
      </c>
      <c r="CY81" s="48">
        <f t="shared" si="885"/>
        <v>2.1990981724516527</v>
      </c>
      <c r="CZ81" s="48">
        <f t="shared" si="885"/>
        <v>2.2649057469362992</v>
      </c>
      <c r="DA81" s="48">
        <f t="shared" si="885"/>
        <v>2.4434390094776757</v>
      </c>
      <c r="DB81" s="48">
        <f t="shared" si="885"/>
        <v>2.6263313883334285</v>
      </c>
      <c r="DE81" s="129"/>
      <c r="DF81" s="51">
        <v>0.50526155253927119</v>
      </c>
    </row>
    <row r="82" spans="1:110" s="51" customFormat="1" x14ac:dyDescent="0.2">
      <c r="A82" s="51" t="s">
        <v>347</v>
      </c>
      <c r="AB82" s="48">
        <f t="shared" ref="AB82:AD82" si="886">+AB79/AB77-1</f>
        <v>0.21512801926832914</v>
      </c>
      <c r="AC82" s="48">
        <f t="shared" si="886"/>
        <v>0.86100704939121586</v>
      </c>
      <c r="AD82" s="48">
        <f t="shared" si="886"/>
        <v>1.0875869400413372</v>
      </c>
      <c r="AE82" s="48">
        <f t="shared" ref="AE82" si="887">+AE79/AE77-1</f>
        <v>1.4196882589087436</v>
      </c>
      <c r="CM82" s="48">
        <f t="shared" ref="CM82:DB82" si="888">+CM79/CM77-1</f>
        <v>0.21512801926832914</v>
      </c>
      <c r="CN82" s="48">
        <f t="shared" si="888"/>
        <v>0.26932789614575792</v>
      </c>
      <c r="CO82" s="48">
        <f t="shared" si="888"/>
        <v>0.63925666005698534</v>
      </c>
      <c r="CP82" s="48">
        <f t="shared" si="888"/>
        <v>0.82362284560148358</v>
      </c>
      <c r="CQ82" s="48">
        <f t="shared" si="888"/>
        <v>0.86100704939121586</v>
      </c>
      <c r="CR82" s="48">
        <f t="shared" si="888"/>
        <v>0.86794042389003456</v>
      </c>
      <c r="CS82" s="48">
        <f t="shared" si="888"/>
        <v>0.95208518597005365</v>
      </c>
      <c r="CT82" s="48">
        <f t="shared" si="888"/>
        <v>1.0266280350949688</v>
      </c>
      <c r="CU82" s="48">
        <f t="shared" si="888"/>
        <v>1.0875869400413372</v>
      </c>
      <c r="CV82" s="48">
        <f t="shared" si="888"/>
        <v>1.1202952265141066</v>
      </c>
      <c r="CW82" s="48">
        <f t="shared" si="888"/>
        <v>1.2270189701166125</v>
      </c>
      <c r="CX82" s="48">
        <f t="shared" si="888"/>
        <v>1.3353188786290158</v>
      </c>
      <c r="CY82" s="48">
        <f t="shared" si="888"/>
        <v>1.4196882589087436</v>
      </c>
      <c r="CZ82" s="48">
        <f t="shared" si="888"/>
        <v>1.4694628537301742</v>
      </c>
      <c r="DA82" s="48">
        <f t="shared" si="888"/>
        <v>1.6044992970991436</v>
      </c>
      <c r="DB82" s="48">
        <f t="shared" si="888"/>
        <v>1.7428328267082116</v>
      </c>
      <c r="DE82" s="129"/>
      <c r="DF82" s="51">
        <v>-3.3551929235930977E-3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 t="e">
        <f t="shared" si="889"/>
        <v>#DIV/0!</v>
      </c>
      <c r="D85" s="13" t="e">
        <f t="shared" si="889"/>
        <v>#DIV/0!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 t="e">
        <f t="shared" ca="1" si="890"/>
        <v>#DIV/0!</v>
      </c>
      <c r="I85" s="13" t="e">
        <f t="shared" ca="1" si="890"/>
        <v>#DIV/0!</v>
      </c>
      <c r="J85" s="13" t="e">
        <f t="shared" ca="1" si="890"/>
        <v>#DIV/0!</v>
      </c>
      <c r="K85" s="13" t="e">
        <f t="shared" ca="1" si="890"/>
        <v>#DIV/0!</v>
      </c>
      <c r="L85" s="13" t="e">
        <f t="shared" ca="1" si="890"/>
        <v>#DIV/0!</v>
      </c>
      <c r="M85" s="13" t="e">
        <f t="shared" ca="1" si="890"/>
        <v>#DIV/0!</v>
      </c>
      <c r="N85" s="13" t="e">
        <f t="shared" ca="1" si="890"/>
        <v>#DIV/0!</v>
      </c>
      <c r="O85" s="13" t="e">
        <f t="shared" ca="1" si="890"/>
        <v>#DIV/0!</v>
      </c>
      <c r="P85" s="13" t="e">
        <f t="shared" ca="1" si="890"/>
        <v>#DIV/0!</v>
      </c>
      <c r="Q85" s="13" t="e">
        <f t="shared" ca="1" si="890"/>
        <v>#DIV/0!</v>
      </c>
      <c r="R85" s="13" t="e">
        <f t="shared" ca="1" si="890"/>
        <v>#DIV/0!</v>
      </c>
      <c r="S85" s="13" t="e">
        <f t="shared" ca="1" si="890"/>
        <v>#DIV/0!</v>
      </c>
      <c r="T85" s="13" t="e">
        <f t="shared" ca="1" si="890"/>
        <v>#DIV/0!</v>
      </c>
      <c r="U85" s="13" t="e">
        <f t="shared" ca="1" si="890"/>
        <v>#DIV/0!</v>
      </c>
      <c r="V85" s="13">
        <f t="shared" ca="1" si="890"/>
        <v>0</v>
      </c>
      <c r="W85" s="13">
        <f t="shared" ca="1" si="890"/>
        <v>0</v>
      </c>
      <c r="X85" s="13">
        <f t="shared" ca="1" si="890"/>
        <v>0</v>
      </c>
      <c r="Y85" s="13">
        <f t="shared" ca="1" si="890"/>
        <v>28.813572854291202</v>
      </c>
      <c r="Z85" s="13">
        <f t="shared" ref="Z85:AA85" ca="1" si="891">+Z77/Z69</f>
        <v>12.350966589244214</v>
      </c>
      <c r="AA85" s="13">
        <f t="shared" ref="AA85" ca="1" si="892">+AA77/AA69</f>
        <v>12.350966589244214</v>
      </c>
      <c r="AB85" s="37">
        <f t="shared" ca="1" si="890"/>
        <v>4.8683400855054764</v>
      </c>
      <c r="AC85" s="37">
        <f t="shared" ca="1" si="890"/>
        <v>4.3806836016996353</v>
      </c>
      <c r="AD85" s="37">
        <f t="shared" ca="1" si="890"/>
        <v>3.8016290971352227</v>
      </c>
      <c r="AE85" s="37">
        <f t="shared" ca="1" si="890"/>
        <v>3.2368054347446895</v>
      </c>
      <c r="AL85" s="13" t="e">
        <f t="shared" ref="AL85:BQ85" si="893">+AL77/AL69</f>
        <v>#DIV/0!</v>
      </c>
      <c r="AM85" s="13" t="e">
        <f t="shared" si="893"/>
        <v>#DIV/0!</v>
      </c>
      <c r="AN85" s="13" t="e">
        <f t="shared" si="893"/>
        <v>#DIV/0!</v>
      </c>
      <c r="AO85" s="13" t="e">
        <f t="shared" si="893"/>
        <v>#DIV/0!</v>
      </c>
      <c r="AP85" s="13" t="e">
        <f t="shared" si="893"/>
        <v>#DIV/0!</v>
      </c>
      <c r="AQ85" s="13" t="e">
        <f t="shared" si="893"/>
        <v>#DIV/0!</v>
      </c>
      <c r="AR85" s="13" t="e">
        <f t="shared" si="893"/>
        <v>#DIV/0!</v>
      </c>
      <c r="AS85" s="13" t="e">
        <f t="shared" si="893"/>
        <v>#DIV/0!</v>
      </c>
      <c r="AT85" s="13" t="e">
        <f t="shared" si="893"/>
        <v>#DIV/0!</v>
      </c>
      <c r="AU85" s="13" t="e">
        <f t="shared" si="893"/>
        <v>#DIV/0!</v>
      </c>
      <c r="AV85" s="13" t="e">
        <f t="shared" si="893"/>
        <v>#DIV/0!</v>
      </c>
      <c r="AW85" s="13" t="e">
        <f t="shared" si="893"/>
        <v>#DIV/0!</v>
      </c>
      <c r="AX85" s="13" t="e">
        <f t="shared" si="893"/>
        <v>#DIV/0!</v>
      </c>
      <c r="AY85" s="13" t="e">
        <f t="shared" si="893"/>
        <v>#DIV/0!</v>
      </c>
      <c r="AZ85" s="13" t="e">
        <f t="shared" si="893"/>
        <v>#DIV/0!</v>
      </c>
      <c r="BA85" s="13" t="e">
        <f t="shared" si="893"/>
        <v>#DIV/0!</v>
      </c>
      <c r="BB85" s="13" t="e">
        <f t="shared" si="893"/>
        <v>#DIV/0!</v>
      </c>
      <c r="BC85" s="13" t="e">
        <f t="shared" si="893"/>
        <v>#DIV/0!</v>
      </c>
      <c r="BD85" s="13" t="e">
        <f t="shared" si="893"/>
        <v>#DIV/0!</v>
      </c>
      <c r="BE85" s="13" t="e">
        <f t="shared" si="893"/>
        <v>#DIV/0!</v>
      </c>
      <c r="BF85" s="13" t="e">
        <f t="shared" si="893"/>
        <v>#DIV/0!</v>
      </c>
      <c r="BG85" s="13" t="e">
        <f t="shared" si="893"/>
        <v>#DIV/0!</v>
      </c>
      <c r="BH85" s="13" t="e">
        <f t="shared" si="893"/>
        <v>#DIV/0!</v>
      </c>
      <c r="BI85" s="13" t="e">
        <f t="shared" si="893"/>
        <v>#DIV/0!</v>
      </c>
      <c r="BJ85" s="13" t="e">
        <f t="shared" si="893"/>
        <v>#DIV/0!</v>
      </c>
      <c r="BK85" s="13" t="e">
        <f t="shared" si="893"/>
        <v>#DIV/0!</v>
      </c>
      <c r="BL85" s="13" t="e">
        <f t="shared" si="893"/>
        <v>#DIV/0!</v>
      </c>
      <c r="BM85" s="13" t="e">
        <f t="shared" si="893"/>
        <v>#DIV/0!</v>
      </c>
      <c r="BN85" s="13" t="e">
        <f t="shared" si="893"/>
        <v>#DIV/0!</v>
      </c>
      <c r="BO85" s="13" t="e">
        <f t="shared" si="893"/>
        <v>#DIV/0!</v>
      </c>
      <c r="BP85" s="13" t="e">
        <f t="shared" si="893"/>
        <v>#DIV/0!</v>
      </c>
      <c r="BQ85" s="13" t="e">
        <f t="shared" si="893"/>
        <v>#DIV/0!</v>
      </c>
      <c r="BR85" s="13" t="e">
        <f t="shared" ref="BR85:DB85" si="894">+BR77/BR69</f>
        <v>#DIV/0!</v>
      </c>
      <c r="BS85" s="13" t="e">
        <f t="shared" si="894"/>
        <v>#DIV/0!</v>
      </c>
      <c r="BT85" s="13" t="e">
        <f t="shared" si="894"/>
        <v>#DIV/0!</v>
      </c>
      <c r="BU85" s="13" t="e">
        <f t="shared" si="894"/>
        <v>#DIV/0!</v>
      </c>
      <c r="BV85" s="13" t="e">
        <f t="shared" si="894"/>
        <v>#DIV/0!</v>
      </c>
      <c r="BW85" s="13" t="e">
        <f t="shared" si="894"/>
        <v>#DIV/0!</v>
      </c>
      <c r="BX85" s="13" t="e">
        <f t="shared" si="894"/>
        <v>#DIV/0!</v>
      </c>
      <c r="BY85" s="13" t="e">
        <f t="shared" si="894"/>
        <v>#DIV/0!</v>
      </c>
      <c r="BZ85" s="13">
        <f t="shared" si="894"/>
        <v>0</v>
      </c>
      <c r="CA85" s="13">
        <f t="shared" si="894"/>
        <v>167.7031325301212</v>
      </c>
      <c r="CB85" s="13">
        <f t="shared" si="894"/>
        <v>74.168893203883655</v>
      </c>
      <c r="CC85" s="13">
        <f t="shared" si="894"/>
        <v>44.930060851927067</v>
      </c>
      <c r="CD85" s="13">
        <f t="shared" si="894"/>
        <v>28.813572854291461</v>
      </c>
      <c r="CE85" s="13">
        <f t="shared" si="894"/>
        <v>26.632890792291221</v>
      </c>
      <c r="CF85" s="13">
        <f t="shared" si="894"/>
        <v>20.756597369537559</v>
      </c>
      <c r="CG85" s="13">
        <f t="shared" si="894"/>
        <v>18.401437908496742</v>
      </c>
      <c r="CH85" s="13">
        <f t="shared" si="894"/>
        <v>12.350966589244244</v>
      </c>
      <c r="CI85" s="13">
        <f t="shared" ref="CI85:CJ85" si="895">+CI77/CI69</f>
        <v>15.920076269717471</v>
      </c>
      <c r="CJ85" s="13">
        <f t="shared" si="895"/>
        <v>13.798086629001894</v>
      </c>
      <c r="CK85" s="13">
        <f t="shared" ref="CK85:CL85" si="896">+CK77/CK69</f>
        <v>12.299827798277988</v>
      </c>
      <c r="CL85" s="13">
        <f t="shared" si="896"/>
        <v>8.9079039363365116</v>
      </c>
      <c r="CM85" s="37">
        <f t="shared" si="894"/>
        <v>7.3062393914931123</v>
      </c>
      <c r="CN85" s="37">
        <f t="shared" si="894"/>
        <v>6.9942654116740526</v>
      </c>
      <c r="CO85" s="37">
        <f t="shared" si="894"/>
        <v>5.4158792923718497</v>
      </c>
      <c r="CP85" s="37">
        <f t="shared" si="894"/>
        <v>4.8683400855054773</v>
      </c>
      <c r="CQ85" s="37">
        <f t="shared" si="894"/>
        <v>4.77054410029747</v>
      </c>
      <c r="CR85" s="37">
        <f t="shared" si="894"/>
        <v>4.7528369141434226</v>
      </c>
      <c r="CS85" s="37">
        <f t="shared" si="894"/>
        <v>4.547965562104042</v>
      </c>
      <c r="CT85" s="37">
        <f t="shared" si="894"/>
        <v>4.3806836016996282</v>
      </c>
      <c r="CU85" s="37">
        <f t="shared" si="894"/>
        <v>4.2527647734323688</v>
      </c>
      <c r="CV85" s="37">
        <f t="shared" si="894"/>
        <v>4.1871603959045185</v>
      </c>
      <c r="CW85" s="37">
        <f t="shared" si="894"/>
        <v>3.986502279152293</v>
      </c>
      <c r="CX85" s="37">
        <f t="shared" si="894"/>
        <v>3.8016290971352236</v>
      </c>
      <c r="CY85" s="37">
        <f t="shared" si="894"/>
        <v>3.6690743807176087</v>
      </c>
      <c r="CZ85" s="37">
        <f t="shared" si="894"/>
        <v>3.5951203666314893</v>
      </c>
      <c r="DA85" s="37">
        <f t="shared" si="894"/>
        <v>3.4087228243729926</v>
      </c>
      <c r="DB85" s="37">
        <f t="shared" si="894"/>
        <v>3.2368054347446855</v>
      </c>
      <c r="DE85" s="134"/>
      <c r="DF85" s="13">
        <v>8.9079039363365187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 t="e">
        <f t="shared" si="897"/>
        <v>#DIV/0!</v>
      </c>
      <c r="D86" s="13" t="e">
        <f t="shared" si="897"/>
        <v>#DIV/0!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 t="e">
        <f t="shared" ca="1" si="898"/>
        <v>#DIV/0!</v>
      </c>
      <c r="I86" s="13" t="e">
        <f t="shared" ca="1" si="898"/>
        <v>#DIV/0!</v>
      </c>
      <c r="J86" s="13" t="e">
        <f t="shared" ca="1" si="898"/>
        <v>#DIV/0!</v>
      </c>
      <c r="K86" s="13" t="e">
        <f t="shared" ca="1" si="898"/>
        <v>#DIV/0!</v>
      </c>
      <c r="L86" s="13" t="e">
        <f t="shared" ca="1" si="898"/>
        <v>#DIV/0!</v>
      </c>
      <c r="M86" s="13" t="e">
        <f t="shared" ca="1" si="898"/>
        <v>#DIV/0!</v>
      </c>
      <c r="N86" s="13" t="e">
        <f t="shared" ca="1" si="898"/>
        <v>#DIV/0!</v>
      </c>
      <c r="O86" s="13" t="e">
        <f t="shared" ca="1" si="898"/>
        <v>#DIV/0!</v>
      </c>
      <c r="P86" s="13" t="e">
        <f t="shared" ca="1" si="898"/>
        <v>#DIV/0!</v>
      </c>
      <c r="Q86" s="13" t="e">
        <f t="shared" ca="1" si="898"/>
        <v>#DIV/0!</v>
      </c>
      <c r="R86" s="13" t="e">
        <f t="shared" ca="1" si="898"/>
        <v>#DIV/0!</v>
      </c>
      <c r="S86" s="13" t="e">
        <f t="shared" ca="1" si="898"/>
        <v>#DIV/0!</v>
      </c>
      <c r="T86" s="13" t="e">
        <f t="shared" ca="1" si="898"/>
        <v>#DIV/0!</v>
      </c>
      <c r="U86" s="13" t="e">
        <f t="shared" ca="1" si="898"/>
        <v>#DIV/0!</v>
      </c>
      <c r="V86" s="13">
        <f t="shared" ca="1" si="898"/>
        <v>0</v>
      </c>
      <c r="W86" s="13">
        <f t="shared" ca="1" si="898"/>
        <v>0</v>
      </c>
      <c r="X86" s="13">
        <f t="shared" ca="1" si="898"/>
        <v>0</v>
      </c>
      <c r="Y86" s="13">
        <f t="shared" ca="1" si="898"/>
        <v>37.381317365269183</v>
      </c>
      <c r="Z86" s="13">
        <f t="shared" ref="Z86:AA86" ca="1" si="899">+Z78/Z69</f>
        <v>21.017652313739461</v>
      </c>
      <c r="AA86" s="13">
        <f t="shared" ref="AA86" ca="1" si="900">+AA78/AA69</f>
        <v>21.017652313739461</v>
      </c>
      <c r="AB86" s="60">
        <f t="shared" ca="1" si="898"/>
        <v>11.737729145942883</v>
      </c>
      <c r="AC86" s="60">
        <f t="shared" ca="1" si="898"/>
        <v>11.737729145942902</v>
      </c>
      <c r="AD86" s="60">
        <f t="shared" ca="1" si="898"/>
        <v>11.737729145942879</v>
      </c>
      <c r="AE86" s="60">
        <f t="shared" ca="1" si="898"/>
        <v>11.737729145942897</v>
      </c>
      <c r="AL86" s="13" t="e">
        <f t="shared" ref="AL86:BQ86" si="901">+AL78/AL69</f>
        <v>#DIV/0!</v>
      </c>
      <c r="AM86" s="13" t="e">
        <f t="shared" si="901"/>
        <v>#DIV/0!</v>
      </c>
      <c r="AN86" s="13" t="e">
        <f t="shared" si="901"/>
        <v>#DIV/0!</v>
      </c>
      <c r="AO86" s="13" t="e">
        <f t="shared" si="901"/>
        <v>#DIV/0!</v>
      </c>
      <c r="AP86" s="13" t="e">
        <f t="shared" si="901"/>
        <v>#DIV/0!</v>
      </c>
      <c r="AQ86" s="13" t="e">
        <f t="shared" si="901"/>
        <v>#DIV/0!</v>
      </c>
      <c r="AR86" s="13" t="e">
        <f t="shared" si="901"/>
        <v>#DIV/0!</v>
      </c>
      <c r="AS86" s="13" t="e">
        <f t="shared" si="901"/>
        <v>#DIV/0!</v>
      </c>
      <c r="AT86" s="13" t="e">
        <f t="shared" si="901"/>
        <v>#DIV/0!</v>
      </c>
      <c r="AU86" s="13" t="e">
        <f t="shared" si="901"/>
        <v>#DIV/0!</v>
      </c>
      <c r="AV86" s="13" t="e">
        <f t="shared" si="901"/>
        <v>#DIV/0!</v>
      </c>
      <c r="AW86" s="13" t="e">
        <f t="shared" si="901"/>
        <v>#DIV/0!</v>
      </c>
      <c r="AX86" s="13" t="e">
        <f t="shared" si="901"/>
        <v>#DIV/0!</v>
      </c>
      <c r="AY86" s="13" t="e">
        <f t="shared" si="901"/>
        <v>#DIV/0!</v>
      </c>
      <c r="AZ86" s="13" t="e">
        <f t="shared" si="901"/>
        <v>#DIV/0!</v>
      </c>
      <c r="BA86" s="13" t="e">
        <f t="shared" si="901"/>
        <v>#DIV/0!</v>
      </c>
      <c r="BB86" s="13" t="e">
        <f t="shared" si="901"/>
        <v>#DIV/0!</v>
      </c>
      <c r="BC86" s="13" t="e">
        <f t="shared" si="901"/>
        <v>#DIV/0!</v>
      </c>
      <c r="BD86" s="13" t="e">
        <f t="shared" si="901"/>
        <v>#DIV/0!</v>
      </c>
      <c r="BE86" s="13" t="e">
        <f t="shared" si="901"/>
        <v>#DIV/0!</v>
      </c>
      <c r="BF86" s="13" t="e">
        <f t="shared" si="901"/>
        <v>#DIV/0!</v>
      </c>
      <c r="BG86" s="13" t="e">
        <f t="shared" si="901"/>
        <v>#DIV/0!</v>
      </c>
      <c r="BH86" s="13" t="e">
        <f t="shared" si="901"/>
        <v>#DIV/0!</v>
      </c>
      <c r="BI86" s="13" t="e">
        <f t="shared" si="901"/>
        <v>#DIV/0!</v>
      </c>
      <c r="BJ86" s="13" t="e">
        <f t="shared" si="901"/>
        <v>#DIV/0!</v>
      </c>
      <c r="BK86" s="13" t="e">
        <f t="shared" si="901"/>
        <v>#DIV/0!</v>
      </c>
      <c r="BL86" s="13" t="e">
        <f t="shared" si="901"/>
        <v>#DIV/0!</v>
      </c>
      <c r="BM86" s="13" t="e">
        <f t="shared" si="901"/>
        <v>#DIV/0!</v>
      </c>
      <c r="BN86" s="13" t="e">
        <f t="shared" si="901"/>
        <v>#DIV/0!</v>
      </c>
      <c r="BO86" s="13" t="e">
        <f t="shared" si="901"/>
        <v>#DIV/0!</v>
      </c>
      <c r="BP86" s="13" t="e">
        <f t="shared" si="901"/>
        <v>#DIV/0!</v>
      </c>
      <c r="BQ86" s="13" t="e">
        <f t="shared" si="901"/>
        <v>#DIV/0!</v>
      </c>
      <c r="BR86" s="13" t="e">
        <f t="shared" ref="BR86:CH86" si="902">+BR78/BR69</f>
        <v>#DIV/0!</v>
      </c>
      <c r="BS86" s="13" t="e">
        <f t="shared" si="902"/>
        <v>#DIV/0!</v>
      </c>
      <c r="BT86" s="13" t="e">
        <f t="shared" si="902"/>
        <v>#DIV/0!</v>
      </c>
      <c r="BU86" s="13" t="e">
        <f t="shared" si="902"/>
        <v>#DIV/0!</v>
      </c>
      <c r="BV86" s="13" t="e">
        <f t="shared" si="902"/>
        <v>#DIV/0!</v>
      </c>
      <c r="BW86" s="13" t="e">
        <f t="shared" si="902"/>
        <v>#DIV/0!</v>
      </c>
      <c r="BX86" s="13" t="e">
        <f t="shared" si="902"/>
        <v>#DIV/0!</v>
      </c>
      <c r="BY86" s="13" t="e">
        <f t="shared" si="902"/>
        <v>#DIV/0!</v>
      </c>
      <c r="BZ86" s="13">
        <f t="shared" si="902"/>
        <v>0</v>
      </c>
      <c r="CA86" s="13">
        <f t="shared" si="902"/>
        <v>178.99084337349476</v>
      </c>
      <c r="CB86" s="13">
        <f t="shared" si="902"/>
        <v>79.821359223301144</v>
      </c>
      <c r="CC86" s="13">
        <f t="shared" si="902"/>
        <v>60.113590263691798</v>
      </c>
      <c r="CD86" s="13">
        <f t="shared" si="902"/>
        <v>37.381317365269517</v>
      </c>
      <c r="CE86" s="13">
        <f t="shared" si="902"/>
        <v>27.624276537167333</v>
      </c>
      <c r="CF86" s="13">
        <f t="shared" si="902"/>
        <v>24.95456088247774</v>
      </c>
      <c r="CG86" s="13">
        <f t="shared" si="902"/>
        <v>21.33633217993081</v>
      </c>
      <c r="CH86" s="13">
        <f t="shared" si="902"/>
        <v>18.139574772199403</v>
      </c>
      <c r="CI86" s="13">
        <f t="shared" ref="CI86:CJ86" si="903">+CI78/CI69</f>
        <v>16.355902236089463</v>
      </c>
      <c r="CJ86" s="13">
        <f t="shared" si="903"/>
        <v>17.625687382297567</v>
      </c>
      <c r="CK86" s="13">
        <f t="shared" ref="CK86:CL86" si="904">+CK78/CK69</f>
        <v>15.116928483570558</v>
      </c>
      <c r="CL86" s="13">
        <f t="shared" si="904"/>
        <v>11.737729145942883</v>
      </c>
      <c r="CM86" s="60">
        <f t="shared" ref="CM86:CM87" si="905">+CL86</f>
        <v>11.737729145942883</v>
      </c>
      <c r="CN86" s="60">
        <f t="shared" ref="CN86:CN87" si="906">+CM86</f>
        <v>11.737729145942883</v>
      </c>
      <c r="CO86" s="60">
        <f t="shared" ref="CO86:CO87" si="907">+CN86</f>
        <v>11.737729145942883</v>
      </c>
      <c r="CP86" s="60">
        <f t="shared" ref="CP86:CP87" si="908">+CO86</f>
        <v>11.737729145942883</v>
      </c>
      <c r="CQ86" s="60">
        <f t="shared" ref="CQ86:CQ87" si="909">+CP86</f>
        <v>11.737729145942883</v>
      </c>
      <c r="CR86" s="60">
        <f t="shared" ref="CR86:CR87" si="910">+CQ86</f>
        <v>11.737729145942883</v>
      </c>
      <c r="CS86" s="60">
        <f t="shared" ref="CS86:CS87" si="911">+CR86</f>
        <v>11.737729145942883</v>
      </c>
      <c r="CT86" s="60">
        <f t="shared" ref="CT86:CT87" si="912">+CS86</f>
        <v>11.737729145942883</v>
      </c>
      <c r="CU86" s="60">
        <f t="shared" ref="CU86:CU87" si="913">+CT86</f>
        <v>11.737729145942883</v>
      </c>
      <c r="CV86" s="60">
        <f t="shared" ref="CV86:CV87" si="914">+CU86</f>
        <v>11.737729145942883</v>
      </c>
      <c r="CW86" s="60">
        <f t="shared" ref="CW86:CW87" si="915">+CV86</f>
        <v>11.737729145942883</v>
      </c>
      <c r="CX86" s="60">
        <f t="shared" ref="CX86:CX87" si="916">+CW86</f>
        <v>11.737729145942883</v>
      </c>
      <c r="CY86" s="60">
        <f t="shared" ref="CY86:CY87" si="917">+CX86</f>
        <v>11.737729145942883</v>
      </c>
      <c r="CZ86" s="60">
        <f t="shared" ref="CZ86:CZ87" si="918">+CY86</f>
        <v>11.737729145942883</v>
      </c>
      <c r="DA86" s="60">
        <f t="shared" ref="DA86:DA87" si="919">+CZ86</f>
        <v>11.737729145942883</v>
      </c>
      <c r="DB86" s="60">
        <f t="shared" ref="DB86:DB87" si="920">+DA86</f>
        <v>11.737729145942883</v>
      </c>
      <c r="DE86" s="136"/>
      <c r="DF86" s="13">
        <v>13.408725309080593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 t="e">
        <f t="shared" si="921"/>
        <v>#DIV/0!</v>
      </c>
      <c r="D87" s="13" t="e">
        <f t="shared" si="921"/>
        <v>#DIV/0!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 t="e">
        <f t="shared" ca="1" si="922"/>
        <v>#DIV/0!</v>
      </c>
      <c r="I87" s="13" t="e">
        <f t="shared" ca="1" si="922"/>
        <v>#DIV/0!</v>
      </c>
      <c r="J87" s="13" t="e">
        <f t="shared" ca="1" si="922"/>
        <v>#DIV/0!</v>
      </c>
      <c r="K87" s="13" t="e">
        <f t="shared" ca="1" si="922"/>
        <v>#DIV/0!</v>
      </c>
      <c r="L87" s="13" t="e">
        <f t="shared" ca="1" si="922"/>
        <v>#DIV/0!</v>
      </c>
      <c r="M87" s="13" t="e">
        <f t="shared" ca="1" si="922"/>
        <v>#DIV/0!</v>
      </c>
      <c r="N87" s="13" t="e">
        <f t="shared" ca="1" si="922"/>
        <v>#DIV/0!</v>
      </c>
      <c r="O87" s="13" t="e">
        <f t="shared" ca="1" si="922"/>
        <v>#DIV/0!</v>
      </c>
      <c r="P87" s="13" t="e">
        <f t="shared" ca="1" si="922"/>
        <v>#DIV/0!</v>
      </c>
      <c r="Q87" s="13" t="e">
        <f t="shared" ca="1" si="922"/>
        <v>#DIV/0!</v>
      </c>
      <c r="R87" s="13" t="e">
        <f t="shared" ca="1" si="922"/>
        <v>#DIV/0!</v>
      </c>
      <c r="S87" s="13" t="e">
        <f t="shared" ca="1" si="922"/>
        <v>#DIV/0!</v>
      </c>
      <c r="T87" s="13" t="e">
        <f t="shared" ca="1" si="922"/>
        <v>#DIV/0!</v>
      </c>
      <c r="U87" s="13" t="e">
        <f t="shared" ca="1" si="922"/>
        <v>#DIV/0!</v>
      </c>
      <c r="V87" s="13">
        <f t="shared" ca="1" si="922"/>
        <v>0</v>
      </c>
      <c r="W87" s="13">
        <f t="shared" ca="1" si="922"/>
        <v>0</v>
      </c>
      <c r="X87" s="13">
        <f t="shared" ca="1" si="922"/>
        <v>0</v>
      </c>
      <c r="Y87" s="13">
        <f t="shared" ca="1" si="922"/>
        <v>22.898203592814202</v>
      </c>
      <c r="Z87" s="13">
        <f t="shared" ref="Z87:AA87" ca="1" si="923">+Z79/Z69</f>
        <v>11.700196533857401</v>
      </c>
      <c r="AA87" s="13">
        <f t="shared" ref="AA87" ca="1" si="924">+AA79/AA69</f>
        <v>11.700196533857401</v>
      </c>
      <c r="AB87" s="60">
        <f t="shared" ca="1" si="922"/>
        <v>5.9156564452248777</v>
      </c>
      <c r="AC87" s="60">
        <f t="shared" ca="1" si="922"/>
        <v>8.1524830639155237</v>
      </c>
      <c r="AD87" s="60">
        <f t="shared" ca="1" si="922"/>
        <v>7.9362312540606306</v>
      </c>
      <c r="AE87" s="60">
        <f t="shared" ca="1" si="922"/>
        <v>7.8320601068237368</v>
      </c>
      <c r="AL87" s="13" t="e">
        <f t="shared" ref="AL87:BQ87" si="925">+AL79/AL69</f>
        <v>#DIV/0!</v>
      </c>
      <c r="AM87" s="13" t="e">
        <f t="shared" si="925"/>
        <v>#DIV/0!</v>
      </c>
      <c r="AN87" s="13" t="e">
        <f t="shared" si="925"/>
        <v>#DIV/0!</v>
      </c>
      <c r="AO87" s="13" t="e">
        <f t="shared" si="925"/>
        <v>#DIV/0!</v>
      </c>
      <c r="AP87" s="13" t="e">
        <f t="shared" si="925"/>
        <v>#DIV/0!</v>
      </c>
      <c r="AQ87" s="13" t="e">
        <f t="shared" si="925"/>
        <v>#DIV/0!</v>
      </c>
      <c r="AR87" s="13" t="e">
        <f t="shared" si="925"/>
        <v>#DIV/0!</v>
      </c>
      <c r="AS87" s="13" t="e">
        <f t="shared" si="925"/>
        <v>#DIV/0!</v>
      </c>
      <c r="AT87" s="13" t="e">
        <f t="shared" si="925"/>
        <v>#DIV/0!</v>
      </c>
      <c r="AU87" s="13" t="e">
        <f t="shared" si="925"/>
        <v>#DIV/0!</v>
      </c>
      <c r="AV87" s="13" t="e">
        <f t="shared" si="925"/>
        <v>#DIV/0!</v>
      </c>
      <c r="AW87" s="13" t="e">
        <f t="shared" si="925"/>
        <v>#DIV/0!</v>
      </c>
      <c r="AX87" s="13" t="e">
        <f t="shared" si="925"/>
        <v>#DIV/0!</v>
      </c>
      <c r="AY87" s="13" t="e">
        <f t="shared" si="925"/>
        <v>#DIV/0!</v>
      </c>
      <c r="AZ87" s="13" t="e">
        <f t="shared" si="925"/>
        <v>#DIV/0!</v>
      </c>
      <c r="BA87" s="13" t="e">
        <f t="shared" si="925"/>
        <v>#DIV/0!</v>
      </c>
      <c r="BB87" s="13" t="e">
        <f t="shared" si="925"/>
        <v>#DIV/0!</v>
      </c>
      <c r="BC87" s="13" t="e">
        <f t="shared" si="925"/>
        <v>#DIV/0!</v>
      </c>
      <c r="BD87" s="13" t="e">
        <f t="shared" si="925"/>
        <v>#DIV/0!</v>
      </c>
      <c r="BE87" s="13" t="e">
        <f t="shared" si="925"/>
        <v>#DIV/0!</v>
      </c>
      <c r="BF87" s="13" t="e">
        <f t="shared" si="925"/>
        <v>#DIV/0!</v>
      </c>
      <c r="BG87" s="13" t="e">
        <f t="shared" si="925"/>
        <v>#DIV/0!</v>
      </c>
      <c r="BH87" s="13" t="e">
        <f t="shared" si="925"/>
        <v>#DIV/0!</v>
      </c>
      <c r="BI87" s="13" t="e">
        <f t="shared" si="925"/>
        <v>#DIV/0!</v>
      </c>
      <c r="BJ87" s="13" t="e">
        <f t="shared" si="925"/>
        <v>#DIV/0!</v>
      </c>
      <c r="BK87" s="13" t="e">
        <f t="shared" si="925"/>
        <v>#DIV/0!</v>
      </c>
      <c r="BL87" s="13" t="e">
        <f t="shared" si="925"/>
        <v>#DIV/0!</v>
      </c>
      <c r="BM87" s="13" t="e">
        <f t="shared" si="925"/>
        <v>#DIV/0!</v>
      </c>
      <c r="BN87" s="13" t="e">
        <f t="shared" si="925"/>
        <v>#DIV/0!</v>
      </c>
      <c r="BO87" s="13" t="e">
        <f t="shared" si="925"/>
        <v>#DIV/0!</v>
      </c>
      <c r="BP87" s="13" t="e">
        <f t="shared" si="925"/>
        <v>#DIV/0!</v>
      </c>
      <c r="BQ87" s="13" t="e">
        <f t="shared" si="925"/>
        <v>#DIV/0!</v>
      </c>
      <c r="BR87" s="13" t="e">
        <f t="shared" ref="BR87:CH87" si="926">+BR79/BR69</f>
        <v>#DIV/0!</v>
      </c>
      <c r="BS87" s="13" t="e">
        <f t="shared" si="926"/>
        <v>#DIV/0!</v>
      </c>
      <c r="BT87" s="13" t="e">
        <f t="shared" si="926"/>
        <v>#DIV/0!</v>
      </c>
      <c r="BU87" s="13" t="e">
        <f t="shared" si="926"/>
        <v>#DIV/0!</v>
      </c>
      <c r="BV87" s="13" t="e">
        <f t="shared" si="926"/>
        <v>#DIV/0!</v>
      </c>
      <c r="BW87" s="13" t="e">
        <f t="shared" si="926"/>
        <v>#DIV/0!</v>
      </c>
      <c r="BX87" s="13" t="e">
        <f t="shared" si="926"/>
        <v>#DIV/0!</v>
      </c>
      <c r="BY87" s="13" t="e">
        <f t="shared" si="926"/>
        <v>#DIV/0!</v>
      </c>
      <c r="BZ87" s="13">
        <f t="shared" si="926"/>
        <v>0</v>
      </c>
      <c r="CA87" s="13">
        <f t="shared" si="926"/>
        <v>0</v>
      </c>
      <c r="CB87" s="13">
        <f t="shared" si="926"/>
        <v>62.845398058252563</v>
      </c>
      <c r="CC87" s="13">
        <f t="shared" si="926"/>
        <v>43.954022988505834</v>
      </c>
      <c r="CD87" s="13">
        <f t="shared" si="926"/>
        <v>26.680223552894251</v>
      </c>
      <c r="CE87" s="13">
        <f t="shared" si="926"/>
        <v>20.03242581829306</v>
      </c>
      <c r="CF87" s="13">
        <f t="shared" si="926"/>
        <v>16.852694102672899</v>
      </c>
      <c r="CG87" s="13">
        <f t="shared" si="926"/>
        <v>15.28093041138025</v>
      </c>
      <c r="CH87" s="13">
        <f t="shared" si="926"/>
        <v>12.21261390030374</v>
      </c>
      <c r="CI87" s="13">
        <f t="shared" ref="CI87:CJ87" si="927">+CI79/CI69</f>
        <v>10.92050615357949</v>
      </c>
      <c r="CJ87" s="13">
        <f t="shared" si="927"/>
        <v>13.66665913370999</v>
      </c>
      <c r="CK87" s="13">
        <f t="shared" ref="CK87:CL87" si="928">+CK79/CK69</f>
        <v>11.787474960463896</v>
      </c>
      <c r="CL87" s="13">
        <f t="shared" si="928"/>
        <v>8.878016200085268</v>
      </c>
      <c r="CM87" s="60">
        <f t="shared" si="905"/>
        <v>8.878016200085268</v>
      </c>
      <c r="CN87" s="60">
        <f t="shared" si="906"/>
        <v>8.878016200085268</v>
      </c>
      <c r="CO87" s="60">
        <f t="shared" si="907"/>
        <v>8.878016200085268</v>
      </c>
      <c r="CP87" s="60">
        <f t="shared" si="908"/>
        <v>8.878016200085268</v>
      </c>
      <c r="CQ87" s="60">
        <f t="shared" si="909"/>
        <v>8.878016200085268</v>
      </c>
      <c r="CR87" s="60">
        <f t="shared" si="910"/>
        <v>8.878016200085268</v>
      </c>
      <c r="CS87" s="60">
        <f t="shared" si="911"/>
        <v>8.878016200085268</v>
      </c>
      <c r="CT87" s="60">
        <f t="shared" si="912"/>
        <v>8.878016200085268</v>
      </c>
      <c r="CU87" s="60">
        <f t="shared" si="913"/>
        <v>8.878016200085268</v>
      </c>
      <c r="CV87" s="60">
        <f t="shared" si="914"/>
        <v>8.878016200085268</v>
      </c>
      <c r="CW87" s="60">
        <f t="shared" si="915"/>
        <v>8.878016200085268</v>
      </c>
      <c r="CX87" s="60">
        <f t="shared" si="916"/>
        <v>8.878016200085268</v>
      </c>
      <c r="CY87" s="60">
        <f t="shared" si="917"/>
        <v>8.878016200085268</v>
      </c>
      <c r="CZ87" s="60">
        <f t="shared" si="918"/>
        <v>8.878016200085268</v>
      </c>
      <c r="DA87" s="60">
        <f t="shared" si="919"/>
        <v>8.878016200085268</v>
      </c>
      <c r="DB87" s="60">
        <f t="shared" si="920"/>
        <v>8.878016200085268</v>
      </c>
      <c r="DE87" s="136"/>
      <c r="DF87" s="13">
        <v>8.8780162000852751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9">+B78/C69</f>
        <v>#DIV/0!</v>
      </c>
      <c r="C89" s="13" t="e">
        <f t="shared" si="929"/>
        <v>#DIV/0!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 t="e">
        <f t="shared" ca="1" si="929"/>
        <v>#DIV/0!</v>
      </c>
      <c r="H89" s="13" t="e">
        <f t="shared" ca="1" si="929"/>
        <v>#DIV/0!</v>
      </c>
      <c r="I89" s="13" t="e">
        <f t="shared" ca="1" si="929"/>
        <v>#DIV/0!</v>
      </c>
      <c r="J89" s="13" t="e">
        <f t="shared" ca="1" si="929"/>
        <v>#DIV/0!</v>
      </c>
      <c r="K89" s="13" t="e">
        <f t="shared" ca="1" si="929"/>
        <v>#DIV/0!</v>
      </c>
      <c r="L89" s="13" t="e">
        <f t="shared" ca="1" si="929"/>
        <v>#DIV/0!</v>
      </c>
      <c r="M89" s="13" t="e">
        <f t="shared" ca="1" si="929"/>
        <v>#DIV/0!</v>
      </c>
      <c r="N89" s="13" t="e">
        <f t="shared" ca="1" si="929"/>
        <v>#DIV/0!</v>
      </c>
      <c r="O89" s="13" t="e">
        <f t="shared" ca="1" si="929"/>
        <v>#DIV/0!</v>
      </c>
      <c r="P89" s="13" t="e">
        <f t="shared" ca="1" si="929"/>
        <v>#DIV/0!</v>
      </c>
      <c r="Q89" s="13" t="e">
        <f t="shared" ca="1" si="929"/>
        <v>#DIV/0!</v>
      </c>
      <c r="R89" s="13" t="e">
        <f t="shared" ca="1" si="929"/>
        <v>#DIV/0!</v>
      </c>
      <c r="S89" s="13" t="e">
        <f t="shared" ca="1" si="929"/>
        <v>#DIV/0!</v>
      </c>
      <c r="T89" s="13" t="e">
        <f t="shared" ca="1" si="929"/>
        <v>#DIV/0!</v>
      </c>
      <c r="U89" s="13">
        <f t="shared" ca="1" si="929"/>
        <v>0</v>
      </c>
      <c r="V89" s="13">
        <f t="shared" ca="1" si="929"/>
        <v>0</v>
      </c>
      <c r="W89" s="13">
        <f t="shared" ca="1" si="929"/>
        <v>0</v>
      </c>
      <c r="X89" s="13">
        <f t="shared" ca="1" si="929"/>
        <v>0</v>
      </c>
      <c r="Y89" s="13">
        <f t="shared" ca="1" si="929"/>
        <v>16.730427014472006</v>
      </c>
      <c r="Z89" s="13">
        <f t="shared" ref="Z89:AA89" ca="1" si="930">+Z78/AA69</f>
        <v>16.716754298706856</v>
      </c>
      <c r="AA89" s="13">
        <f t="shared" ca="1" si="930"/>
        <v>16.716754298706856</v>
      </c>
      <c r="AB89" s="37">
        <f t="shared" ca="1" si="929"/>
        <v>10.561973216274398</v>
      </c>
      <c r="AC89" s="37">
        <f t="shared" ca="1" si="929"/>
        <v>10.186193916902806</v>
      </c>
      <c r="AD89" s="37">
        <f t="shared" ca="1" si="929"/>
        <v>9.9938064762233338</v>
      </c>
      <c r="AE89" s="37"/>
      <c r="AL89" s="13" t="e">
        <f t="shared" ref="AL89:BQ89" si="931">+AL78/AP69</f>
        <v>#DIV/0!</v>
      </c>
      <c r="AM89" s="13" t="e">
        <f t="shared" si="931"/>
        <v>#DIV/0!</v>
      </c>
      <c r="AN89" s="13" t="e">
        <f t="shared" si="931"/>
        <v>#DIV/0!</v>
      </c>
      <c r="AO89" s="13" t="e">
        <f t="shared" si="931"/>
        <v>#DIV/0!</v>
      </c>
      <c r="AP89" s="13" t="e">
        <f t="shared" si="931"/>
        <v>#DIV/0!</v>
      </c>
      <c r="AQ89" s="13" t="e">
        <f t="shared" si="931"/>
        <v>#DIV/0!</v>
      </c>
      <c r="AR89" s="13" t="e">
        <f t="shared" si="931"/>
        <v>#DIV/0!</v>
      </c>
      <c r="AS89" s="13" t="e">
        <f t="shared" si="931"/>
        <v>#DIV/0!</v>
      </c>
      <c r="AT89" s="13" t="e">
        <f t="shared" si="931"/>
        <v>#DIV/0!</v>
      </c>
      <c r="AU89" s="13" t="e">
        <f t="shared" si="931"/>
        <v>#DIV/0!</v>
      </c>
      <c r="AV89" s="13" t="e">
        <f t="shared" si="931"/>
        <v>#DIV/0!</v>
      </c>
      <c r="AW89" s="13" t="e">
        <f t="shared" si="931"/>
        <v>#DIV/0!</v>
      </c>
      <c r="AX89" s="13" t="e">
        <f t="shared" si="931"/>
        <v>#DIV/0!</v>
      </c>
      <c r="AY89" s="13" t="e">
        <f t="shared" si="931"/>
        <v>#DIV/0!</v>
      </c>
      <c r="AZ89" s="13" t="e">
        <f t="shared" si="931"/>
        <v>#DIV/0!</v>
      </c>
      <c r="BA89" s="13" t="e">
        <f t="shared" si="931"/>
        <v>#DIV/0!</v>
      </c>
      <c r="BB89" s="13" t="e">
        <f t="shared" si="931"/>
        <v>#DIV/0!</v>
      </c>
      <c r="BC89" s="13" t="e">
        <f t="shared" si="931"/>
        <v>#DIV/0!</v>
      </c>
      <c r="BD89" s="13" t="e">
        <f t="shared" si="931"/>
        <v>#DIV/0!</v>
      </c>
      <c r="BE89" s="13" t="e">
        <f t="shared" si="931"/>
        <v>#DIV/0!</v>
      </c>
      <c r="BF89" s="13" t="e">
        <f t="shared" si="931"/>
        <v>#DIV/0!</v>
      </c>
      <c r="BG89" s="13" t="e">
        <f t="shared" si="931"/>
        <v>#DIV/0!</v>
      </c>
      <c r="BH89" s="13" t="e">
        <f t="shared" si="931"/>
        <v>#DIV/0!</v>
      </c>
      <c r="BI89" s="13" t="e">
        <f t="shared" si="931"/>
        <v>#DIV/0!</v>
      </c>
      <c r="BJ89" s="13" t="e">
        <f t="shared" si="931"/>
        <v>#DIV/0!</v>
      </c>
      <c r="BK89" s="13" t="e">
        <f t="shared" si="931"/>
        <v>#DIV/0!</v>
      </c>
      <c r="BL89" s="13" t="e">
        <f t="shared" si="931"/>
        <v>#DIV/0!</v>
      </c>
      <c r="BM89" s="13" t="e">
        <f t="shared" si="931"/>
        <v>#DIV/0!</v>
      </c>
      <c r="BN89" s="13" t="e">
        <f t="shared" si="931"/>
        <v>#DIV/0!</v>
      </c>
      <c r="BO89" s="13" t="e">
        <f t="shared" si="931"/>
        <v>#DIV/0!</v>
      </c>
      <c r="BP89" s="13" t="e">
        <f t="shared" si="931"/>
        <v>#DIV/0!</v>
      </c>
      <c r="BQ89" s="13" t="e">
        <f t="shared" si="931"/>
        <v>#DIV/0!</v>
      </c>
      <c r="BR89" s="13" t="e">
        <f t="shared" ref="BR89:CL89" si="932">+BR78/BV69</f>
        <v>#DIV/0!</v>
      </c>
      <c r="BS89" s="13" t="e">
        <f t="shared" si="932"/>
        <v>#DIV/0!</v>
      </c>
      <c r="BT89" s="13" t="e">
        <f t="shared" si="932"/>
        <v>#DIV/0!</v>
      </c>
      <c r="BU89" s="13" t="e">
        <f t="shared" si="932"/>
        <v>#DIV/0!</v>
      </c>
      <c r="BV89" s="13">
        <f t="shared" si="932"/>
        <v>0</v>
      </c>
      <c r="BW89" s="13">
        <f t="shared" si="932"/>
        <v>0</v>
      </c>
      <c r="BX89" s="13">
        <f t="shared" si="932"/>
        <v>0</v>
      </c>
      <c r="BY89" s="13">
        <f t="shared" si="932"/>
        <v>0</v>
      </c>
      <c r="BZ89" s="13">
        <f t="shared" si="932"/>
        <v>0</v>
      </c>
      <c r="CA89" s="13">
        <f t="shared" si="932"/>
        <v>22.722912205567457</v>
      </c>
      <c r="CB89" s="13">
        <f t="shared" si="932"/>
        <v>17.440814594823937</v>
      </c>
      <c r="CC89" s="13">
        <f t="shared" si="932"/>
        <v>17.091118800461373</v>
      </c>
      <c r="CD89" s="13">
        <f t="shared" si="932"/>
        <v>16.730427014472049</v>
      </c>
      <c r="CE89" s="13">
        <f t="shared" si="932"/>
        <v>15.653277864447928</v>
      </c>
      <c r="CF89" s="13">
        <f t="shared" si="932"/>
        <v>22.153634651600768</v>
      </c>
      <c r="CG89" s="13">
        <f t="shared" si="932"/>
        <v>19.503004744333168</v>
      </c>
      <c r="CH89" s="13">
        <f t="shared" si="932"/>
        <v>14.427625408554791</v>
      </c>
      <c r="CI89" s="13">
        <f t="shared" si="932"/>
        <v>10.997801249662503</v>
      </c>
      <c r="CJ89" s="13">
        <f t="shared" si="932"/>
        <v>10.44286386766646</v>
      </c>
      <c r="CK89" s="13">
        <f t="shared" si="932"/>
        <v>7.4328957986967028</v>
      </c>
      <c r="CL89" s="13">
        <f t="shared" si="932"/>
        <v>6.4148937530528185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7.3281251553971414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33">+CORREL(AL69:AO69,AL86:AO86)</f>
        <v>#DIV/0!</v>
      </c>
      <c r="AP90" s="175" t="e">
        <f t="shared" si="933"/>
        <v>#DIV/0!</v>
      </c>
      <c r="AQ90" s="175" t="e">
        <f t="shared" si="933"/>
        <v>#DIV/0!</v>
      </c>
      <c r="AR90" s="175" t="e">
        <f t="shared" si="933"/>
        <v>#DIV/0!</v>
      </c>
      <c r="AS90" s="175" t="e">
        <f t="shared" si="933"/>
        <v>#DIV/0!</v>
      </c>
      <c r="AT90" s="175" t="e">
        <f t="shared" si="933"/>
        <v>#DIV/0!</v>
      </c>
      <c r="AU90" s="175" t="e">
        <f t="shared" si="933"/>
        <v>#DIV/0!</v>
      </c>
      <c r="AV90" s="175" t="e">
        <f t="shared" si="933"/>
        <v>#DIV/0!</v>
      </c>
      <c r="AW90" s="175" t="e">
        <f t="shared" si="933"/>
        <v>#DIV/0!</v>
      </c>
      <c r="AX90" s="175" t="e">
        <f t="shared" si="933"/>
        <v>#DIV/0!</v>
      </c>
      <c r="AY90" s="175" t="e">
        <f t="shared" si="933"/>
        <v>#DIV/0!</v>
      </c>
      <c r="AZ90" s="175" t="e">
        <f t="shared" si="933"/>
        <v>#DIV/0!</v>
      </c>
      <c r="BA90" s="175" t="e">
        <f t="shared" si="933"/>
        <v>#DIV/0!</v>
      </c>
      <c r="BB90" s="175" t="e">
        <f t="shared" si="933"/>
        <v>#DIV/0!</v>
      </c>
      <c r="BC90" s="175" t="e">
        <f t="shared" si="933"/>
        <v>#DIV/0!</v>
      </c>
      <c r="BD90" s="175" t="e">
        <f t="shared" si="933"/>
        <v>#DIV/0!</v>
      </c>
      <c r="BE90" s="175" t="e">
        <f t="shared" si="933"/>
        <v>#DIV/0!</v>
      </c>
      <c r="BF90" s="175" t="e">
        <f t="shared" si="933"/>
        <v>#DIV/0!</v>
      </c>
      <c r="BG90" s="175" t="e">
        <f t="shared" si="933"/>
        <v>#DIV/0!</v>
      </c>
      <c r="BH90" s="175" t="e">
        <f t="shared" si="933"/>
        <v>#DIV/0!</v>
      </c>
      <c r="BI90" s="175" t="e">
        <f t="shared" si="933"/>
        <v>#DIV/0!</v>
      </c>
      <c r="BJ90" s="175" t="e">
        <f t="shared" si="933"/>
        <v>#DIV/0!</v>
      </c>
      <c r="BK90" s="175" t="e">
        <f t="shared" si="933"/>
        <v>#DIV/0!</v>
      </c>
      <c r="BL90" s="175" t="e">
        <f t="shared" si="933"/>
        <v>#DIV/0!</v>
      </c>
      <c r="BM90" s="175" t="e">
        <f t="shared" si="933"/>
        <v>#DIV/0!</v>
      </c>
      <c r="BN90" s="175" t="e">
        <f t="shared" si="933"/>
        <v>#DIV/0!</v>
      </c>
      <c r="BO90" s="175" t="e">
        <f t="shared" si="933"/>
        <v>#DIV/0!</v>
      </c>
      <c r="BP90" s="175" t="e">
        <f t="shared" si="933"/>
        <v>#DIV/0!</v>
      </c>
      <c r="BQ90" s="175" t="e">
        <f t="shared" si="933"/>
        <v>#DIV/0!</v>
      </c>
      <c r="BR90" s="175" t="e">
        <f t="shared" si="933"/>
        <v>#DIV/0!</v>
      </c>
      <c r="BS90" s="175" t="e">
        <f t="shared" si="933"/>
        <v>#DIV/0!</v>
      </c>
      <c r="BT90" s="175" t="e">
        <f t="shared" si="933"/>
        <v>#DIV/0!</v>
      </c>
      <c r="BU90" s="175" t="e">
        <f t="shared" si="933"/>
        <v>#DIV/0!</v>
      </c>
      <c r="BV90" s="175" t="e">
        <f t="shared" si="933"/>
        <v>#DIV/0!</v>
      </c>
      <c r="BW90" s="175" t="e">
        <f t="shared" si="933"/>
        <v>#DIV/0!</v>
      </c>
      <c r="BX90" s="175" t="e">
        <f t="shared" si="933"/>
        <v>#DIV/0!</v>
      </c>
      <c r="BY90" s="175" t="e">
        <f t="shared" si="933"/>
        <v>#DIV/0!</v>
      </c>
      <c r="BZ90" s="175" t="e">
        <f t="shared" si="933"/>
        <v>#DIV/0!</v>
      </c>
      <c r="CA90" s="175" t="e">
        <f t="shared" si="933"/>
        <v>#DIV/0!</v>
      </c>
      <c r="CB90" s="175" t="e">
        <f t="shared" si="933"/>
        <v>#DIV/0!</v>
      </c>
      <c r="CC90" s="175">
        <f t="shared" si="933"/>
        <v>8.4588441173342285E-2</v>
      </c>
      <c r="CD90" s="175">
        <f t="shared" si="933"/>
        <v>-0.87673946716242512</v>
      </c>
      <c r="CE90" s="175">
        <f t="shared" si="933"/>
        <v>-0.97719019033729138</v>
      </c>
      <c r="CF90" s="175">
        <f t="shared" si="933"/>
        <v>-0.89548291654214962</v>
      </c>
      <c r="CG90" s="175">
        <f t="shared" si="933"/>
        <v>-0.9295512123200308</v>
      </c>
      <c r="CH90" s="175">
        <f t="shared" si="933"/>
        <v>-0.93114926154778066</v>
      </c>
      <c r="CI90" s="175">
        <f t="shared" si="933"/>
        <v>-0.99846695490432813</v>
      </c>
      <c r="CJ90" s="175">
        <f>+CORREL(CG69:CJ69,CG86:CJ86)</f>
        <v>-0.79092880798354448</v>
      </c>
      <c r="CK90" s="175">
        <f>+CORREL(CH69:CK69,CH86:CK86)</f>
        <v>-0.57827189287305303</v>
      </c>
      <c r="CL90" s="175">
        <f>+CORREL(CI69:CL69,CI86:CL86)</f>
        <v>-0.96554879533456794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0</v>
      </c>
      <c r="J92" s="162">
        <f t="shared" ca="1" si="934"/>
        <v>0</v>
      </c>
      <c r="K92" s="162">
        <f t="shared" ca="1" si="934"/>
        <v>0</v>
      </c>
      <c r="L92" s="162">
        <f t="shared" ca="1" si="934"/>
        <v>0</v>
      </c>
      <c r="M92" s="162">
        <f t="shared" ca="1" si="934"/>
        <v>0</v>
      </c>
      <c r="N92" s="162">
        <f t="shared" ca="1" si="934"/>
        <v>0</v>
      </c>
      <c r="O92" s="162">
        <f t="shared" ca="1" si="934"/>
        <v>0</v>
      </c>
      <c r="P92" s="162">
        <f t="shared" ca="1" si="934"/>
        <v>0</v>
      </c>
      <c r="Q92" s="162">
        <f t="shared" ca="1" si="934"/>
        <v>0</v>
      </c>
      <c r="R92" s="162">
        <f t="shared" ca="1" si="934"/>
        <v>0</v>
      </c>
      <c r="S92" s="162">
        <f t="shared" ca="1" si="934"/>
        <v>0</v>
      </c>
      <c r="T92" s="162">
        <f t="shared" ca="1" si="934"/>
        <v>0</v>
      </c>
      <c r="U92" s="162">
        <f t="shared" ca="1" si="934"/>
        <v>0</v>
      </c>
      <c r="V92" s="162">
        <f t="shared" ca="1" si="934"/>
        <v>4.3775104602510458E-4</v>
      </c>
      <c r="W92" s="162">
        <f t="shared" ca="1" si="934"/>
        <v>3.1432008368200841E-4</v>
      </c>
      <c r="X92" s="162">
        <f t="shared" ca="1" si="934"/>
        <v>0</v>
      </c>
      <c r="Y92" s="162">
        <f t="shared" ca="1" si="934"/>
        <v>144.95397489539749</v>
      </c>
      <c r="Z92" s="162">
        <f t="shared" ca="1" si="934"/>
        <v>150.35355648535563</v>
      </c>
      <c r="AA92" s="162">
        <f t="shared" ca="1" si="934"/>
        <v>150.35355648535563</v>
      </c>
      <c r="AB92" s="21">
        <f t="shared" ca="1" si="934"/>
        <v>170.6328823722298</v>
      </c>
      <c r="AC92" s="21">
        <f t="shared" ca="1" si="934"/>
        <v>185.6008659021428</v>
      </c>
      <c r="AD92" s="21">
        <f t="shared" ca="1" si="934"/>
        <v>202.84873473011746</v>
      </c>
      <c r="AE92" s="21">
        <f t="shared" ca="1" si="934"/>
        <v>223.10636260485936</v>
      </c>
      <c r="AL92" s="162">
        <f t="shared" ref="AL92:BQ92" si="935">+AL$120/AL$65</f>
        <v>0</v>
      </c>
      <c r="AM92" s="162">
        <f t="shared" si="935"/>
        <v>0</v>
      </c>
      <c r="AN92" s="162">
        <f t="shared" si="935"/>
        <v>0</v>
      </c>
      <c r="AO92" s="162">
        <f t="shared" si="935"/>
        <v>0</v>
      </c>
      <c r="AP92" s="162">
        <f t="shared" si="935"/>
        <v>0</v>
      </c>
      <c r="AQ92" s="162">
        <f t="shared" si="935"/>
        <v>0</v>
      </c>
      <c r="AR92" s="162">
        <f t="shared" si="935"/>
        <v>0</v>
      </c>
      <c r="AS92" s="162">
        <f t="shared" si="935"/>
        <v>0</v>
      </c>
      <c r="AT92" s="162">
        <f t="shared" si="935"/>
        <v>0</v>
      </c>
      <c r="AU92" s="162">
        <f t="shared" si="935"/>
        <v>0</v>
      </c>
      <c r="AV92" s="162">
        <f t="shared" si="935"/>
        <v>0</v>
      </c>
      <c r="AW92" s="162">
        <f t="shared" si="935"/>
        <v>0</v>
      </c>
      <c r="AX92" s="162">
        <f t="shared" si="935"/>
        <v>0</v>
      </c>
      <c r="AY92" s="162">
        <f t="shared" si="935"/>
        <v>0</v>
      </c>
      <c r="AZ92" s="162">
        <f t="shared" si="935"/>
        <v>0</v>
      </c>
      <c r="BA92" s="162">
        <f t="shared" si="935"/>
        <v>0</v>
      </c>
      <c r="BB92" s="162">
        <f t="shared" si="935"/>
        <v>0</v>
      </c>
      <c r="BC92" s="162">
        <f t="shared" si="935"/>
        <v>0</v>
      </c>
      <c r="BD92" s="162">
        <f t="shared" si="935"/>
        <v>0</v>
      </c>
      <c r="BE92" s="162">
        <f t="shared" si="935"/>
        <v>0</v>
      </c>
      <c r="BF92" s="162">
        <f t="shared" si="935"/>
        <v>0</v>
      </c>
      <c r="BG92" s="162">
        <f t="shared" si="935"/>
        <v>0</v>
      </c>
      <c r="BH92" s="162">
        <f t="shared" si="935"/>
        <v>0</v>
      </c>
      <c r="BI92" s="162">
        <f t="shared" si="935"/>
        <v>0</v>
      </c>
      <c r="BJ92" s="162">
        <f t="shared" si="935"/>
        <v>0</v>
      </c>
      <c r="BK92" s="162">
        <f t="shared" si="935"/>
        <v>0</v>
      </c>
      <c r="BL92" s="162">
        <f t="shared" si="935"/>
        <v>0</v>
      </c>
      <c r="BM92" s="162">
        <f t="shared" si="935"/>
        <v>0</v>
      </c>
      <c r="BN92" s="162">
        <f t="shared" si="935"/>
        <v>0</v>
      </c>
      <c r="BO92" s="162">
        <f t="shared" si="935"/>
        <v>0</v>
      </c>
      <c r="BP92" s="162">
        <f t="shared" si="935"/>
        <v>0</v>
      </c>
      <c r="BQ92" s="162">
        <f t="shared" si="935"/>
        <v>0</v>
      </c>
      <c r="BR92" s="162">
        <f t="shared" ref="BR92:DB92" si="936">+BR$120/BR$65</f>
        <v>0</v>
      </c>
      <c r="BS92" s="162">
        <f t="shared" si="936"/>
        <v>0</v>
      </c>
      <c r="BT92" s="162">
        <f t="shared" si="936"/>
        <v>0</v>
      </c>
      <c r="BU92" s="162">
        <f t="shared" si="936"/>
        <v>0</v>
      </c>
      <c r="BV92" s="162">
        <f t="shared" si="936"/>
        <v>0</v>
      </c>
      <c r="BW92" s="162">
        <f t="shared" si="936"/>
        <v>0</v>
      </c>
      <c r="BX92" s="162">
        <f t="shared" si="936"/>
        <v>0</v>
      </c>
      <c r="BY92" s="162">
        <f t="shared" si="936"/>
        <v>0</v>
      </c>
      <c r="BZ92" s="162">
        <f t="shared" si="936"/>
        <v>0</v>
      </c>
      <c r="CA92" s="162">
        <f t="shared" si="936"/>
        <v>0.43514644351464249</v>
      </c>
      <c r="CB92" s="162">
        <f t="shared" si="936"/>
        <v>143.26255230125523</v>
      </c>
      <c r="CC92" s="162">
        <f t="shared" si="936"/>
        <v>143.73221757322173</v>
      </c>
      <c r="CD92" s="162">
        <f t="shared" si="936"/>
        <v>144.95397489539749</v>
      </c>
      <c r="CE92" s="162">
        <f t="shared" si="936"/>
        <v>146.18828451882843</v>
      </c>
      <c r="CF92" s="162">
        <f t="shared" si="936"/>
        <v>147.92050209205019</v>
      </c>
      <c r="CG92" s="162">
        <f t="shared" si="936"/>
        <v>148.90062761506272</v>
      </c>
      <c r="CH92" s="162">
        <f t="shared" si="936"/>
        <v>150.35355648535563</v>
      </c>
      <c r="CI92" s="162">
        <f t="shared" si="936"/>
        <v>151.76778242677821</v>
      </c>
      <c r="CJ92" s="162">
        <f t="shared" si="936"/>
        <v>152.96443514644349</v>
      </c>
      <c r="CK92" s="162">
        <f t="shared" si="936"/>
        <v>154.34309623430963</v>
      </c>
      <c r="CL92" s="162">
        <f t="shared" si="936"/>
        <v>157.16422594142256</v>
      </c>
      <c r="CM92" s="21">
        <f t="shared" si="936"/>
        <v>160.19209437915944</v>
      </c>
      <c r="CN92" s="21">
        <f t="shared" si="936"/>
        <v>162.26708237855863</v>
      </c>
      <c r="CO92" s="21">
        <f t="shared" si="936"/>
        <v>166.37791116053486</v>
      </c>
      <c r="CP92" s="21">
        <f t="shared" si="936"/>
        <v>170.6328823722298</v>
      </c>
      <c r="CQ92" s="21">
        <f t="shared" si="936"/>
        <v>173.93685779009016</v>
      </c>
      <c r="CR92" s="21">
        <f t="shared" si="936"/>
        <v>176.06305332906143</v>
      </c>
      <c r="CS92" s="21">
        <f t="shared" si="936"/>
        <v>180.79534662802445</v>
      </c>
      <c r="CT92" s="21">
        <f t="shared" si="936"/>
        <v>185.6008659021428</v>
      </c>
      <c r="CU92" s="21">
        <f t="shared" si="936"/>
        <v>189.35506300323178</v>
      </c>
      <c r="CV92" s="21">
        <f t="shared" si="936"/>
        <v>191.72283079164308</v>
      </c>
      <c r="CW92" s="21">
        <f t="shared" si="936"/>
        <v>197.24334926504866</v>
      </c>
      <c r="CX92" s="21">
        <f t="shared" si="936"/>
        <v>202.84873473011746</v>
      </c>
      <c r="CY92" s="21">
        <f t="shared" si="936"/>
        <v>207.22605530161511</v>
      </c>
      <c r="CZ92" s="21">
        <f t="shared" si="936"/>
        <v>209.96144127283733</v>
      </c>
      <c r="DA92" s="21">
        <f t="shared" si="936"/>
        <v>216.47929286573176</v>
      </c>
      <c r="DB92" s="21">
        <f t="shared" si="936"/>
        <v>223.10636260485936</v>
      </c>
      <c r="DE92" s="22"/>
      <c r="DF92" s="162">
        <v>157.16422594142256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 t="e">
        <f t="shared" ca="1" si="937"/>
        <v>#DIV/0!</v>
      </c>
      <c r="I94" s="162" t="e">
        <f t="shared" ca="1" si="937"/>
        <v>#DIV/0!</v>
      </c>
      <c r="J94" s="162" t="e">
        <f t="shared" ca="1" si="937"/>
        <v>#DIV/0!</v>
      </c>
      <c r="K94" s="162" t="e">
        <f t="shared" ca="1" si="937"/>
        <v>#DIV/0!</v>
      </c>
      <c r="L94" s="162" t="e">
        <f t="shared" ca="1" si="937"/>
        <v>#DIV/0!</v>
      </c>
      <c r="M94" s="162" t="e">
        <f t="shared" ca="1" si="937"/>
        <v>#DIV/0!</v>
      </c>
      <c r="N94" s="162" t="e">
        <f t="shared" ca="1" si="937"/>
        <v>#DIV/0!</v>
      </c>
      <c r="O94" s="162" t="e">
        <f t="shared" ca="1" si="937"/>
        <v>#DIV/0!</v>
      </c>
      <c r="P94" s="162" t="e">
        <f t="shared" ca="1" si="937"/>
        <v>#DIV/0!</v>
      </c>
      <c r="Q94" s="162" t="e">
        <f t="shared" ca="1" si="937"/>
        <v>#DIV/0!</v>
      </c>
      <c r="R94" s="162" t="e">
        <f t="shared" ca="1" si="937"/>
        <v>#DIV/0!</v>
      </c>
      <c r="S94" s="162" t="e">
        <f t="shared" ca="1" si="937"/>
        <v>#DIV/0!</v>
      </c>
      <c r="T94" s="162" t="e">
        <f t="shared" ca="1" si="937"/>
        <v>#DIV/0!</v>
      </c>
      <c r="U94" s="162" t="e">
        <f t="shared" ca="1" si="937"/>
        <v>#DIV/0!</v>
      </c>
      <c r="V94" s="162">
        <f t="shared" ca="1" si="937"/>
        <v>0</v>
      </c>
      <c r="W94" s="162">
        <f t="shared" ca="1" si="937"/>
        <v>0</v>
      </c>
      <c r="X94" s="162" t="e">
        <f t="shared" ca="1" si="937"/>
        <v>#DIV/0!</v>
      </c>
      <c r="Y94" s="162">
        <f t="shared" ca="1" si="937"/>
        <v>0.5208549821036832</v>
      </c>
      <c r="Z94" s="162">
        <f t="shared" ca="1" si="937"/>
        <v>0.48093308658809786</v>
      </c>
      <c r="AA94" s="162">
        <f t="shared" ref="AA94" ca="1" si="938">+AA77/AA$92</f>
        <v>0.48093308658809786</v>
      </c>
      <c r="AB94" s="21">
        <f t="shared" ca="1" si="937"/>
        <v>0.38427528790705934</v>
      </c>
      <c r="AC94" s="21">
        <f t="shared" ca="1" si="937"/>
        <v>0.35328498970781458</v>
      </c>
      <c r="AD94" s="21">
        <f t="shared" ca="1" si="937"/>
        <v>0.32324579242379003</v>
      </c>
      <c r="AE94" s="21">
        <f t="shared" ca="1" si="937"/>
        <v>0.29389569725597708</v>
      </c>
      <c r="AL94" s="162" t="e">
        <f t="shared" ref="AL94:CI96" si="939">+AL77/AL$92</f>
        <v>#DIV/0!</v>
      </c>
      <c r="AM94" s="162" t="e">
        <f t="shared" si="939"/>
        <v>#DIV/0!</v>
      </c>
      <c r="AN94" s="162" t="e">
        <f t="shared" si="939"/>
        <v>#DIV/0!</v>
      </c>
      <c r="AO94" s="162" t="e">
        <f t="shared" si="939"/>
        <v>#DIV/0!</v>
      </c>
      <c r="AP94" s="162" t="e">
        <f t="shared" si="939"/>
        <v>#DIV/0!</v>
      </c>
      <c r="AQ94" s="162" t="e">
        <f t="shared" si="939"/>
        <v>#DIV/0!</v>
      </c>
      <c r="AR94" s="162" t="e">
        <f t="shared" si="939"/>
        <v>#DIV/0!</v>
      </c>
      <c r="AS94" s="162" t="e">
        <f t="shared" si="939"/>
        <v>#DIV/0!</v>
      </c>
      <c r="AT94" s="162" t="e">
        <f t="shared" si="939"/>
        <v>#DIV/0!</v>
      </c>
      <c r="AU94" s="162" t="e">
        <f t="shared" si="939"/>
        <v>#DIV/0!</v>
      </c>
      <c r="AV94" s="162" t="e">
        <f t="shared" si="939"/>
        <v>#DIV/0!</v>
      </c>
      <c r="AW94" s="162" t="e">
        <f t="shared" si="939"/>
        <v>#DIV/0!</v>
      </c>
      <c r="AX94" s="162" t="e">
        <f t="shared" si="939"/>
        <v>#DIV/0!</v>
      </c>
      <c r="AY94" s="162" t="e">
        <f t="shared" si="939"/>
        <v>#DIV/0!</v>
      </c>
      <c r="AZ94" s="162" t="e">
        <f t="shared" si="939"/>
        <v>#DIV/0!</v>
      </c>
      <c r="BA94" s="162" t="e">
        <f t="shared" si="939"/>
        <v>#DIV/0!</v>
      </c>
      <c r="BB94" s="162" t="e">
        <f t="shared" si="939"/>
        <v>#DIV/0!</v>
      </c>
      <c r="BC94" s="162" t="e">
        <f t="shared" si="939"/>
        <v>#DIV/0!</v>
      </c>
      <c r="BD94" s="162" t="e">
        <f t="shared" si="939"/>
        <v>#DIV/0!</v>
      </c>
      <c r="BE94" s="162" t="e">
        <f t="shared" si="939"/>
        <v>#DIV/0!</v>
      </c>
      <c r="BF94" s="162" t="e">
        <f t="shared" si="939"/>
        <v>#DIV/0!</v>
      </c>
      <c r="BG94" s="162" t="e">
        <f t="shared" si="939"/>
        <v>#DIV/0!</v>
      </c>
      <c r="BH94" s="162" t="e">
        <f t="shared" si="939"/>
        <v>#DIV/0!</v>
      </c>
      <c r="BI94" s="162" t="e">
        <f t="shared" si="939"/>
        <v>#DIV/0!</v>
      </c>
      <c r="BJ94" s="162" t="e">
        <f t="shared" si="939"/>
        <v>#DIV/0!</v>
      </c>
      <c r="BK94" s="162" t="e">
        <f t="shared" si="939"/>
        <v>#DIV/0!</v>
      </c>
      <c r="BL94" s="162" t="e">
        <f t="shared" si="939"/>
        <v>#DIV/0!</v>
      </c>
      <c r="BM94" s="162" t="e">
        <f t="shared" si="939"/>
        <v>#DIV/0!</v>
      </c>
      <c r="BN94" s="162" t="e">
        <f t="shared" si="939"/>
        <v>#DIV/0!</v>
      </c>
      <c r="BO94" s="162" t="e">
        <f t="shared" si="939"/>
        <v>#DIV/0!</v>
      </c>
      <c r="BP94" s="162" t="e">
        <f t="shared" si="939"/>
        <v>#DIV/0!</v>
      </c>
      <c r="BQ94" s="162" t="e">
        <f t="shared" si="939"/>
        <v>#DIV/0!</v>
      </c>
      <c r="BR94" s="162" t="e">
        <f t="shared" si="939"/>
        <v>#DIV/0!</v>
      </c>
      <c r="BS94" s="162" t="e">
        <f t="shared" si="939"/>
        <v>#DIV/0!</v>
      </c>
      <c r="BT94" s="162" t="e">
        <f t="shared" si="939"/>
        <v>#DIV/0!</v>
      </c>
      <c r="BU94" s="162" t="e">
        <f t="shared" si="939"/>
        <v>#DIV/0!</v>
      </c>
      <c r="BV94" s="162" t="e">
        <f t="shared" si="939"/>
        <v>#DIV/0!</v>
      </c>
      <c r="BW94" s="162" t="e">
        <f t="shared" si="939"/>
        <v>#DIV/0!</v>
      </c>
      <c r="BX94" s="162" t="e">
        <f t="shared" si="939"/>
        <v>#DIV/0!</v>
      </c>
      <c r="BY94" s="162" t="e">
        <f t="shared" si="939"/>
        <v>#DIV/0!</v>
      </c>
      <c r="BZ94" s="162" t="e">
        <f t="shared" si="939"/>
        <v>#DIV/0!</v>
      </c>
      <c r="CA94" s="162">
        <f t="shared" si="939"/>
        <v>167.30000000000072</v>
      </c>
      <c r="CB94" s="162">
        <f t="shared" si="939"/>
        <v>0.55778707496404034</v>
      </c>
      <c r="CC94" s="162">
        <f t="shared" si="939"/>
        <v>0.4836076502095949</v>
      </c>
      <c r="CD94" s="162">
        <f t="shared" si="939"/>
        <v>0.5208549821036832</v>
      </c>
      <c r="CE94" s="162">
        <f t="shared" si="939"/>
        <v>0.62296373679842021</v>
      </c>
      <c r="CF94" s="162">
        <f t="shared" si="939"/>
        <v>0.69192572058948332</v>
      </c>
      <c r="CG94" s="162">
        <f t="shared" si="939"/>
        <v>0.67246190700321062</v>
      </c>
      <c r="CH94" s="162">
        <f t="shared" si="939"/>
        <v>0.48093308658809786</v>
      </c>
      <c r="CI94" s="162">
        <f t="shared" si="939"/>
        <v>0.63300654766007314</v>
      </c>
      <c r="CJ94" s="162">
        <f>+CJ77/CJ$92</f>
        <v>0.50103149746297038</v>
      </c>
      <c r="CK94" s="162">
        <f>+CK77/CK$92</f>
        <v>0.47439763608761654</v>
      </c>
      <c r="CL94" s="162">
        <f>+CL77/CL$92</f>
        <v>0.41720690320734255</v>
      </c>
      <c r="CM94" s="21">
        <f t="shared" ref="CM94:DB94" si="940">+CM77/CM$92</f>
        <v>0.40932107326596306</v>
      </c>
      <c r="CN94" s="21">
        <f t="shared" si="940"/>
        <v>0.40408688588502145</v>
      </c>
      <c r="CO94" s="21">
        <f t="shared" si="940"/>
        <v>0.39410279611415938</v>
      </c>
      <c r="CP94" s="21">
        <f t="shared" si="940"/>
        <v>0.38427528790705934</v>
      </c>
      <c r="CQ94" s="21">
        <f t="shared" si="940"/>
        <v>0.37697587982836245</v>
      </c>
      <c r="CR94" s="21">
        <f t="shared" si="940"/>
        <v>0.3724233946883212</v>
      </c>
      <c r="CS94" s="21">
        <f t="shared" si="940"/>
        <v>0.36267526362227853</v>
      </c>
      <c r="CT94" s="21">
        <f t="shared" si="940"/>
        <v>0.35328498970781458</v>
      </c>
      <c r="CU94" s="21">
        <f t="shared" si="940"/>
        <v>0.34628068011511737</v>
      </c>
      <c r="CV94" s="21">
        <f t="shared" si="940"/>
        <v>0.34200413028148391</v>
      </c>
      <c r="CW94" s="21">
        <f t="shared" si="940"/>
        <v>0.33243199450993571</v>
      </c>
      <c r="CX94" s="21">
        <f t="shared" si="940"/>
        <v>0.32324579242379003</v>
      </c>
      <c r="CY94" s="21">
        <f t="shared" si="940"/>
        <v>0.31641773957702191</v>
      </c>
      <c r="CZ94" s="21">
        <f t="shared" si="940"/>
        <v>0.31229543673590116</v>
      </c>
      <c r="DA94" s="21">
        <f t="shared" si="940"/>
        <v>0.30289271150136682</v>
      </c>
      <c r="DB94" s="21">
        <f t="shared" si="940"/>
        <v>0.29389569725597708</v>
      </c>
      <c r="DE94" s="22"/>
      <c r="DF94" s="162">
        <v>0.41720690320734255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 t="e">
        <f t="shared" ca="1" si="937"/>
        <v>#DIV/0!</v>
      </c>
      <c r="I95" s="162" t="e">
        <f t="shared" ca="1" si="937"/>
        <v>#DIV/0!</v>
      </c>
      <c r="J95" s="162" t="e">
        <f t="shared" ca="1" si="937"/>
        <v>#DIV/0!</v>
      </c>
      <c r="K95" s="162" t="e">
        <f t="shared" ca="1" si="937"/>
        <v>#DIV/0!</v>
      </c>
      <c r="L95" s="162" t="e">
        <f t="shared" ca="1" si="937"/>
        <v>#DIV/0!</v>
      </c>
      <c r="M95" s="162" t="e">
        <f t="shared" ca="1" si="937"/>
        <v>#DIV/0!</v>
      </c>
      <c r="N95" s="162" t="e">
        <f t="shared" ca="1" si="937"/>
        <v>#DIV/0!</v>
      </c>
      <c r="O95" s="162" t="e">
        <f t="shared" ca="1" si="937"/>
        <v>#DIV/0!</v>
      </c>
      <c r="P95" s="162" t="e">
        <f t="shared" ca="1" si="937"/>
        <v>#DIV/0!</v>
      </c>
      <c r="Q95" s="162" t="e">
        <f t="shared" ca="1" si="937"/>
        <v>#DIV/0!</v>
      </c>
      <c r="R95" s="162" t="e">
        <f t="shared" ca="1" si="937"/>
        <v>#DIV/0!</v>
      </c>
      <c r="S95" s="162" t="e">
        <f t="shared" ca="1" si="937"/>
        <v>#DIV/0!</v>
      </c>
      <c r="T95" s="162" t="e">
        <f t="shared" ca="1" si="937"/>
        <v>#DIV/0!</v>
      </c>
      <c r="U95" s="162" t="e">
        <f t="shared" ca="1" si="937"/>
        <v>#DIV/0!</v>
      </c>
      <c r="V95" s="162">
        <f t="shared" ca="1" si="937"/>
        <v>0</v>
      </c>
      <c r="W95" s="162">
        <f t="shared" ca="1" si="937"/>
        <v>0</v>
      </c>
      <c r="X95" s="162" t="e">
        <f t="shared" ca="1" si="937"/>
        <v>#DIV/0!</v>
      </c>
      <c r="Y95" s="162">
        <f t="shared" ca="1" si="937"/>
        <v>0.6757317284378247</v>
      </c>
      <c r="Z95" s="162">
        <f t="shared" ca="1" si="937"/>
        <v>0.81840431896923582</v>
      </c>
      <c r="AA95" s="162">
        <f t="shared" ref="AA95" ca="1" si="941">+AA78/AA$92</f>
        <v>0.81840431896923582</v>
      </c>
      <c r="AB95" s="21">
        <f t="shared" ca="1" si="937"/>
        <v>0.92650044321296798</v>
      </c>
      <c r="AC95" s="21">
        <f t="shared" ca="1" si="937"/>
        <v>0.94660192279320854</v>
      </c>
      <c r="AD95" s="21">
        <f t="shared" ca="1" si="937"/>
        <v>0.99803833096060834</v>
      </c>
      <c r="AE95" s="21">
        <f t="shared" ca="1" si="937"/>
        <v>1.0657631918554884</v>
      </c>
      <c r="AL95" s="162" t="e">
        <f t="shared" si="939"/>
        <v>#DIV/0!</v>
      </c>
      <c r="AM95" s="162" t="e">
        <f t="shared" si="939"/>
        <v>#DIV/0!</v>
      </c>
      <c r="AN95" s="162" t="e">
        <f t="shared" si="939"/>
        <v>#DIV/0!</v>
      </c>
      <c r="AO95" s="162" t="e">
        <f t="shared" si="939"/>
        <v>#DIV/0!</v>
      </c>
      <c r="AP95" s="162" t="e">
        <f t="shared" si="939"/>
        <v>#DIV/0!</v>
      </c>
      <c r="AQ95" s="162" t="e">
        <f t="shared" si="939"/>
        <v>#DIV/0!</v>
      </c>
      <c r="AR95" s="162" t="e">
        <f t="shared" si="939"/>
        <v>#DIV/0!</v>
      </c>
      <c r="AS95" s="162" t="e">
        <f t="shared" si="939"/>
        <v>#DIV/0!</v>
      </c>
      <c r="AT95" s="162" t="e">
        <f t="shared" si="939"/>
        <v>#DIV/0!</v>
      </c>
      <c r="AU95" s="162" t="e">
        <f t="shared" si="939"/>
        <v>#DIV/0!</v>
      </c>
      <c r="AV95" s="162" t="e">
        <f t="shared" si="939"/>
        <v>#DIV/0!</v>
      </c>
      <c r="AW95" s="162" t="e">
        <f t="shared" si="939"/>
        <v>#DIV/0!</v>
      </c>
      <c r="AX95" s="162" t="e">
        <f t="shared" si="939"/>
        <v>#DIV/0!</v>
      </c>
      <c r="AY95" s="162" t="e">
        <f t="shared" si="939"/>
        <v>#DIV/0!</v>
      </c>
      <c r="AZ95" s="162" t="e">
        <f t="shared" si="939"/>
        <v>#DIV/0!</v>
      </c>
      <c r="BA95" s="162" t="e">
        <f t="shared" si="939"/>
        <v>#DIV/0!</v>
      </c>
      <c r="BB95" s="162" t="e">
        <f t="shared" si="939"/>
        <v>#DIV/0!</v>
      </c>
      <c r="BC95" s="162" t="e">
        <f t="shared" si="939"/>
        <v>#DIV/0!</v>
      </c>
      <c r="BD95" s="162" t="e">
        <f t="shared" si="939"/>
        <v>#DIV/0!</v>
      </c>
      <c r="BE95" s="162" t="e">
        <f t="shared" si="939"/>
        <v>#DIV/0!</v>
      </c>
      <c r="BF95" s="162" t="e">
        <f t="shared" si="939"/>
        <v>#DIV/0!</v>
      </c>
      <c r="BG95" s="162" t="e">
        <f t="shared" si="939"/>
        <v>#DIV/0!</v>
      </c>
      <c r="BH95" s="162" t="e">
        <f t="shared" si="939"/>
        <v>#DIV/0!</v>
      </c>
      <c r="BI95" s="162" t="e">
        <f t="shared" si="939"/>
        <v>#DIV/0!</v>
      </c>
      <c r="BJ95" s="162" t="e">
        <f t="shared" si="939"/>
        <v>#DIV/0!</v>
      </c>
      <c r="BK95" s="162" t="e">
        <f t="shared" si="939"/>
        <v>#DIV/0!</v>
      </c>
      <c r="BL95" s="162" t="e">
        <f t="shared" si="939"/>
        <v>#DIV/0!</v>
      </c>
      <c r="BM95" s="162" t="e">
        <f t="shared" si="939"/>
        <v>#DIV/0!</v>
      </c>
      <c r="BN95" s="162" t="e">
        <f t="shared" si="939"/>
        <v>#DIV/0!</v>
      </c>
      <c r="BO95" s="162" t="e">
        <f t="shared" si="939"/>
        <v>#DIV/0!</v>
      </c>
      <c r="BP95" s="162" t="e">
        <f t="shared" si="939"/>
        <v>#DIV/0!</v>
      </c>
      <c r="BQ95" s="162" t="e">
        <f t="shared" si="939"/>
        <v>#DIV/0!</v>
      </c>
      <c r="BR95" s="162" t="e">
        <f t="shared" si="939"/>
        <v>#DIV/0!</v>
      </c>
      <c r="BS95" s="162" t="e">
        <f t="shared" si="939"/>
        <v>#DIV/0!</v>
      </c>
      <c r="BT95" s="162" t="e">
        <f t="shared" si="939"/>
        <v>#DIV/0!</v>
      </c>
      <c r="BU95" s="162" t="e">
        <f t="shared" si="939"/>
        <v>#DIV/0!</v>
      </c>
      <c r="BV95" s="162" t="e">
        <f t="shared" si="939"/>
        <v>#DIV/0!</v>
      </c>
      <c r="BW95" s="162" t="e">
        <f t="shared" si="939"/>
        <v>#DIV/0!</v>
      </c>
      <c r="BX95" s="162" t="e">
        <f t="shared" si="939"/>
        <v>#DIV/0!</v>
      </c>
      <c r="BY95" s="162" t="e">
        <f t="shared" si="939"/>
        <v>#DIV/0!</v>
      </c>
      <c r="BZ95" s="162" t="e">
        <f t="shared" si="939"/>
        <v>#DIV/0!</v>
      </c>
      <c r="CA95" s="162">
        <f t="shared" si="939"/>
        <v>178.56057692307769</v>
      </c>
      <c r="CB95" s="162">
        <f t="shared" si="939"/>
        <v>0.60029643908030872</v>
      </c>
      <c r="CC95" s="162">
        <f t="shared" si="939"/>
        <v>0.64703656264555209</v>
      </c>
      <c r="CD95" s="162">
        <f t="shared" si="939"/>
        <v>0.6757317284378247</v>
      </c>
      <c r="CE95" s="162">
        <f t="shared" si="939"/>
        <v>0.64615300953089683</v>
      </c>
      <c r="CF95" s="162">
        <f t="shared" si="939"/>
        <v>0.83186575396713158</v>
      </c>
      <c r="CG95" s="162">
        <f t="shared" si="939"/>
        <v>0.77971464499223753</v>
      </c>
      <c r="CH95" s="162">
        <f t="shared" si="939"/>
        <v>0.70633513754191668</v>
      </c>
      <c r="CI95" s="162">
        <f t="shared" si="939"/>
        <v>0.6503356537321664</v>
      </c>
      <c r="CJ95" s="162">
        <f t="shared" ref="CJ95:CK96" si="942">+CJ78/CJ$92</f>
        <v>0.64001805325710859</v>
      </c>
      <c r="CK95" s="162">
        <f t="shared" si="942"/>
        <v>0.5830516699197571</v>
      </c>
      <c r="CL95" s="162">
        <f t="shared" ref="CL95" si="943">+CL78/CL$92</f>
        <v>0.54974342591298464</v>
      </c>
      <c r="CM95" s="94">
        <f t="shared" ref="CM95:DB95" si="944">+CL95</f>
        <v>0.54974342591298464</v>
      </c>
      <c r="CN95" s="94">
        <f t="shared" si="944"/>
        <v>0.54974342591298464</v>
      </c>
      <c r="CO95" s="94">
        <f t="shared" si="944"/>
        <v>0.54974342591298464</v>
      </c>
      <c r="CP95" s="94">
        <f t="shared" si="944"/>
        <v>0.54974342591298464</v>
      </c>
      <c r="CQ95" s="94">
        <f t="shared" si="944"/>
        <v>0.54974342591298464</v>
      </c>
      <c r="CR95" s="94">
        <f t="shared" si="944"/>
        <v>0.54974342591298464</v>
      </c>
      <c r="CS95" s="94">
        <f t="shared" si="944"/>
        <v>0.54974342591298464</v>
      </c>
      <c r="CT95" s="94">
        <f t="shared" si="944"/>
        <v>0.54974342591298464</v>
      </c>
      <c r="CU95" s="94">
        <f t="shared" si="944"/>
        <v>0.54974342591298464</v>
      </c>
      <c r="CV95" s="94">
        <f t="shared" si="944"/>
        <v>0.54974342591298464</v>
      </c>
      <c r="CW95" s="94">
        <f t="shared" si="944"/>
        <v>0.54974342591298464</v>
      </c>
      <c r="CX95" s="94">
        <f t="shared" si="944"/>
        <v>0.54974342591298464</v>
      </c>
      <c r="CY95" s="94">
        <f t="shared" si="944"/>
        <v>0.54974342591298464</v>
      </c>
      <c r="CZ95" s="94">
        <f t="shared" si="944"/>
        <v>0.54974342591298464</v>
      </c>
      <c r="DA95" s="94">
        <f t="shared" si="944"/>
        <v>0.54974342591298464</v>
      </c>
      <c r="DB95" s="94">
        <f t="shared" si="944"/>
        <v>0.54974342591298464</v>
      </c>
      <c r="DC95" s="94"/>
      <c r="DE95" s="22"/>
      <c r="DF95" s="162">
        <v>0.62800551085198586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 t="e">
        <f t="shared" ca="1" si="937"/>
        <v>#DIV/0!</v>
      </c>
      <c r="I96" s="162" t="e">
        <f t="shared" ca="1" si="937"/>
        <v>#DIV/0!</v>
      </c>
      <c r="J96" s="162" t="e">
        <f t="shared" ca="1" si="937"/>
        <v>#DIV/0!</v>
      </c>
      <c r="K96" s="162" t="e">
        <f t="shared" ca="1" si="937"/>
        <v>#DIV/0!</v>
      </c>
      <c r="L96" s="162" t="e">
        <f t="shared" ca="1" si="937"/>
        <v>#DIV/0!</v>
      </c>
      <c r="M96" s="162" t="e">
        <f t="shared" ca="1" si="937"/>
        <v>#DIV/0!</v>
      </c>
      <c r="N96" s="162" t="e">
        <f t="shared" ca="1" si="937"/>
        <v>#DIV/0!</v>
      </c>
      <c r="O96" s="162" t="e">
        <f t="shared" ca="1" si="937"/>
        <v>#DIV/0!</v>
      </c>
      <c r="P96" s="162" t="e">
        <f t="shared" ca="1" si="937"/>
        <v>#DIV/0!</v>
      </c>
      <c r="Q96" s="162" t="e">
        <f t="shared" ca="1" si="937"/>
        <v>#DIV/0!</v>
      </c>
      <c r="R96" s="162" t="e">
        <f t="shared" ca="1" si="937"/>
        <v>#DIV/0!</v>
      </c>
      <c r="S96" s="162" t="e">
        <f t="shared" ca="1" si="937"/>
        <v>#DIV/0!</v>
      </c>
      <c r="T96" s="162" t="e">
        <f t="shared" ca="1" si="937"/>
        <v>#DIV/0!</v>
      </c>
      <c r="U96" s="162" t="e">
        <f t="shared" ca="1" si="937"/>
        <v>#DIV/0!</v>
      </c>
      <c r="V96" s="162">
        <f t="shared" ca="1" si="937"/>
        <v>0</v>
      </c>
      <c r="W96" s="162">
        <f t="shared" ca="1" si="937"/>
        <v>0</v>
      </c>
      <c r="X96" s="162" t="e">
        <f t="shared" ca="1" si="937"/>
        <v>#DIV/0!</v>
      </c>
      <c r="Y96" s="162">
        <f t="shared" ca="1" si="937"/>
        <v>0.41392448908901974</v>
      </c>
      <c r="Z96" s="162">
        <f t="shared" ca="1" si="937"/>
        <v>0.45559281470453195</v>
      </c>
      <c r="AA96" s="162">
        <f t="shared" ref="AA96" ca="1" si="945">+AA79/AA$92</f>
        <v>0.45559281470453195</v>
      </c>
      <c r="AB96" s="21">
        <f t="shared" ca="1" si="937"/>
        <v>0.46694366944827193</v>
      </c>
      <c r="AC96" s="21">
        <f t="shared" ca="1" si="937"/>
        <v>0.65746585629034615</v>
      </c>
      <c r="AD96" s="21">
        <f t="shared" ca="1" si="937"/>
        <v>0.67480369468721701</v>
      </c>
      <c r="AE96" s="21">
        <f t="shared" ca="1" si="937"/>
        <v>0.7111359679940864</v>
      </c>
      <c r="AL96" s="162" t="e">
        <f t="shared" si="939"/>
        <v>#DIV/0!</v>
      </c>
      <c r="AM96" s="162" t="e">
        <f t="shared" si="939"/>
        <v>#DIV/0!</v>
      </c>
      <c r="AN96" s="162" t="e">
        <f t="shared" si="939"/>
        <v>#DIV/0!</v>
      </c>
      <c r="AO96" s="162" t="e">
        <f t="shared" si="939"/>
        <v>#DIV/0!</v>
      </c>
      <c r="AP96" s="162" t="e">
        <f t="shared" si="939"/>
        <v>#DIV/0!</v>
      </c>
      <c r="AQ96" s="162" t="e">
        <f t="shared" si="939"/>
        <v>#DIV/0!</v>
      </c>
      <c r="AR96" s="162" t="e">
        <f t="shared" si="939"/>
        <v>#DIV/0!</v>
      </c>
      <c r="AS96" s="162" t="e">
        <f t="shared" si="939"/>
        <v>#DIV/0!</v>
      </c>
      <c r="AT96" s="162" t="e">
        <f t="shared" si="939"/>
        <v>#DIV/0!</v>
      </c>
      <c r="AU96" s="162" t="e">
        <f t="shared" si="939"/>
        <v>#DIV/0!</v>
      </c>
      <c r="AV96" s="162" t="e">
        <f t="shared" si="939"/>
        <v>#DIV/0!</v>
      </c>
      <c r="AW96" s="162" t="e">
        <f t="shared" si="939"/>
        <v>#DIV/0!</v>
      </c>
      <c r="AX96" s="162" t="e">
        <f t="shared" si="939"/>
        <v>#DIV/0!</v>
      </c>
      <c r="AY96" s="162" t="e">
        <f t="shared" si="939"/>
        <v>#DIV/0!</v>
      </c>
      <c r="AZ96" s="162" t="e">
        <f t="shared" si="939"/>
        <v>#DIV/0!</v>
      </c>
      <c r="BA96" s="162" t="e">
        <f t="shared" si="939"/>
        <v>#DIV/0!</v>
      </c>
      <c r="BB96" s="162" t="e">
        <f t="shared" si="939"/>
        <v>#DIV/0!</v>
      </c>
      <c r="BC96" s="162" t="e">
        <f t="shared" si="939"/>
        <v>#DIV/0!</v>
      </c>
      <c r="BD96" s="162" t="e">
        <f t="shared" si="939"/>
        <v>#DIV/0!</v>
      </c>
      <c r="BE96" s="162" t="e">
        <f t="shared" si="939"/>
        <v>#DIV/0!</v>
      </c>
      <c r="BF96" s="162" t="e">
        <f t="shared" si="939"/>
        <v>#DIV/0!</v>
      </c>
      <c r="BG96" s="162" t="e">
        <f t="shared" si="939"/>
        <v>#DIV/0!</v>
      </c>
      <c r="BH96" s="162" t="e">
        <f t="shared" si="939"/>
        <v>#DIV/0!</v>
      </c>
      <c r="BI96" s="162" t="e">
        <f t="shared" si="939"/>
        <v>#DIV/0!</v>
      </c>
      <c r="BJ96" s="162" t="e">
        <f t="shared" si="939"/>
        <v>#DIV/0!</v>
      </c>
      <c r="BK96" s="162" t="e">
        <f t="shared" si="939"/>
        <v>#DIV/0!</v>
      </c>
      <c r="BL96" s="162" t="e">
        <f t="shared" si="939"/>
        <v>#DIV/0!</v>
      </c>
      <c r="BM96" s="162" t="e">
        <f t="shared" si="939"/>
        <v>#DIV/0!</v>
      </c>
      <c r="BN96" s="162" t="e">
        <f t="shared" si="939"/>
        <v>#DIV/0!</v>
      </c>
      <c r="BO96" s="162" t="e">
        <f t="shared" si="939"/>
        <v>#DIV/0!</v>
      </c>
      <c r="BP96" s="162" t="e">
        <f t="shared" si="939"/>
        <v>#DIV/0!</v>
      </c>
      <c r="BQ96" s="162" t="e">
        <f t="shared" si="939"/>
        <v>#DIV/0!</v>
      </c>
      <c r="BR96" s="162" t="e">
        <f t="shared" si="939"/>
        <v>#DIV/0!</v>
      </c>
      <c r="BS96" s="162" t="e">
        <f t="shared" si="939"/>
        <v>#DIV/0!</v>
      </c>
      <c r="BT96" s="162" t="e">
        <f t="shared" si="939"/>
        <v>#DIV/0!</v>
      </c>
      <c r="BU96" s="162" t="e">
        <f t="shared" si="939"/>
        <v>#DIV/0!</v>
      </c>
      <c r="BV96" s="162" t="e">
        <f t="shared" si="939"/>
        <v>#DIV/0!</v>
      </c>
      <c r="BW96" s="162" t="e">
        <f t="shared" si="939"/>
        <v>#DIV/0!</v>
      </c>
      <c r="BX96" s="162" t="e">
        <f t="shared" si="939"/>
        <v>#DIV/0!</v>
      </c>
      <c r="BY96" s="162" t="e">
        <f t="shared" si="939"/>
        <v>#DIV/0!</v>
      </c>
      <c r="BZ96" s="162" t="e">
        <f t="shared" si="939"/>
        <v>#DIV/0!</v>
      </c>
      <c r="CA96" s="162">
        <f t="shared" si="939"/>
        <v>0</v>
      </c>
      <c r="CB96" s="162">
        <f t="shared" si="939"/>
        <v>0.47262874290846163</v>
      </c>
      <c r="CC96" s="162">
        <f t="shared" si="939"/>
        <v>0.47310200279459719</v>
      </c>
      <c r="CD96" s="162">
        <f t="shared" si="939"/>
        <v>0.48229101720355616</v>
      </c>
      <c r="CE96" s="162">
        <f t="shared" si="939"/>
        <v>0.46857380005151844</v>
      </c>
      <c r="CF96" s="162">
        <f t="shared" si="939"/>
        <v>0.56178824993635623</v>
      </c>
      <c r="CG96" s="162">
        <f t="shared" si="939"/>
        <v>0.55842612171494022</v>
      </c>
      <c r="CH96" s="162">
        <f t="shared" si="939"/>
        <v>0.4755457846915917</v>
      </c>
      <c r="CI96" s="162">
        <f t="shared" si="939"/>
        <v>0.43421600385967346</v>
      </c>
      <c r="CJ96" s="162">
        <f t="shared" si="942"/>
        <v>0.4962591462997662</v>
      </c>
      <c r="CK96" s="162">
        <f t="shared" si="942"/>
        <v>0.45463646714378658</v>
      </c>
      <c r="CL96" s="162">
        <f t="shared" ref="CL96" si="946">+CL79/CL$92</f>
        <v>0.41580709355802709</v>
      </c>
      <c r="CM96" s="94">
        <f t="shared" ref="CM96:DB96" si="947">+CL96</f>
        <v>0.41580709355802709</v>
      </c>
      <c r="CN96" s="94">
        <f t="shared" si="947"/>
        <v>0.41580709355802709</v>
      </c>
      <c r="CO96" s="94">
        <f t="shared" si="947"/>
        <v>0.41580709355802709</v>
      </c>
      <c r="CP96" s="94">
        <f t="shared" si="947"/>
        <v>0.41580709355802709</v>
      </c>
      <c r="CQ96" s="94">
        <f t="shared" si="947"/>
        <v>0.41580709355802709</v>
      </c>
      <c r="CR96" s="94">
        <f t="shared" si="947"/>
        <v>0.41580709355802709</v>
      </c>
      <c r="CS96" s="94">
        <f t="shared" si="947"/>
        <v>0.41580709355802709</v>
      </c>
      <c r="CT96" s="94">
        <f t="shared" si="947"/>
        <v>0.41580709355802709</v>
      </c>
      <c r="CU96" s="94">
        <f t="shared" si="947"/>
        <v>0.41580709355802709</v>
      </c>
      <c r="CV96" s="94">
        <f t="shared" si="947"/>
        <v>0.41580709355802709</v>
      </c>
      <c r="CW96" s="94">
        <f t="shared" si="947"/>
        <v>0.41580709355802709</v>
      </c>
      <c r="CX96" s="94">
        <f t="shared" si="947"/>
        <v>0.41580709355802709</v>
      </c>
      <c r="CY96" s="94">
        <f t="shared" si="947"/>
        <v>0.41580709355802709</v>
      </c>
      <c r="CZ96" s="94">
        <f t="shared" si="947"/>
        <v>0.41580709355802709</v>
      </c>
      <c r="DA96" s="94">
        <f t="shared" si="947"/>
        <v>0.41580709355802709</v>
      </c>
      <c r="DB96" s="94">
        <f t="shared" si="947"/>
        <v>0.41580709355802709</v>
      </c>
      <c r="DC96" s="94"/>
      <c r="DE96" s="22"/>
      <c r="DF96" s="162">
        <v>0.41580709355802709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0</v>
      </c>
      <c r="I98" s="177">
        <f t="shared" si="948"/>
        <v>0</v>
      </c>
      <c r="J98" s="177">
        <f t="shared" si="948"/>
        <v>0</v>
      </c>
      <c r="K98" s="177">
        <f t="shared" si="948"/>
        <v>0</v>
      </c>
      <c r="L98" s="177">
        <f t="shared" si="948"/>
        <v>0</v>
      </c>
      <c r="M98" s="177">
        <f t="shared" si="948"/>
        <v>0</v>
      </c>
      <c r="N98" s="177">
        <f t="shared" si="948"/>
        <v>0</v>
      </c>
      <c r="O98" s="177">
        <f t="shared" si="948"/>
        <v>0</v>
      </c>
      <c r="P98" s="177">
        <f t="shared" si="948"/>
        <v>0</v>
      </c>
      <c r="Q98" s="177">
        <f t="shared" si="948"/>
        <v>0</v>
      </c>
      <c r="R98" s="177">
        <f t="shared" si="948"/>
        <v>0</v>
      </c>
      <c r="S98" s="177">
        <f t="shared" si="948"/>
        <v>0</v>
      </c>
      <c r="T98" s="177">
        <f t="shared" si="948"/>
        <v>0</v>
      </c>
      <c r="U98" s="177">
        <f t="shared" si="948"/>
        <v>0</v>
      </c>
      <c r="V98" s="177">
        <f t="shared" si="948"/>
        <v>0</v>
      </c>
      <c r="W98" s="177">
        <f t="shared" si="948"/>
        <v>0</v>
      </c>
      <c r="X98" s="177">
        <f t="shared" si="948"/>
        <v>0</v>
      </c>
      <c r="Y98" s="177">
        <f t="shared" si="948"/>
        <v>1053.8700000000001</v>
      </c>
      <c r="Z98" s="177">
        <f>+Z10</f>
        <v>1161.1600000000001</v>
      </c>
      <c r="AA98" s="177">
        <f>+AA10</f>
        <v>1318.6</v>
      </c>
      <c r="AB98" s="178">
        <f t="shared" ref="AB98:AE98" si="949">+AB10</f>
        <v>1565.7429647584968</v>
      </c>
      <c r="AC98" s="178">
        <f t="shared" si="949"/>
        <v>1869.9001812766373</v>
      </c>
      <c r="AD98" s="178">
        <f t="shared" si="949"/>
        <v>2234.9771068522505</v>
      </c>
      <c r="AE98" s="178">
        <f t="shared" si="949"/>
        <v>2671.6064794945059</v>
      </c>
      <c r="AL98" s="177">
        <f t="shared" ref="AL98:BQ98" si="950">+SUM(AI8:AL8)</f>
        <v>0</v>
      </c>
      <c r="AM98" s="177">
        <f t="shared" si="950"/>
        <v>0</v>
      </c>
      <c r="AN98" s="177">
        <f t="shared" si="950"/>
        <v>0</v>
      </c>
      <c r="AO98" s="177">
        <f t="shared" si="950"/>
        <v>0</v>
      </c>
      <c r="AP98" s="177">
        <f t="shared" si="950"/>
        <v>0</v>
      </c>
      <c r="AQ98" s="177">
        <f t="shared" si="950"/>
        <v>0</v>
      </c>
      <c r="AR98" s="177">
        <f t="shared" si="950"/>
        <v>0</v>
      </c>
      <c r="AS98" s="177">
        <f t="shared" si="950"/>
        <v>0</v>
      </c>
      <c r="AT98" s="177">
        <f t="shared" si="950"/>
        <v>0</v>
      </c>
      <c r="AU98" s="177">
        <f t="shared" si="950"/>
        <v>0</v>
      </c>
      <c r="AV98" s="177">
        <f t="shared" si="950"/>
        <v>0</v>
      </c>
      <c r="AW98" s="177">
        <f t="shared" si="950"/>
        <v>0</v>
      </c>
      <c r="AX98" s="177">
        <f t="shared" si="950"/>
        <v>0</v>
      </c>
      <c r="AY98" s="177">
        <f t="shared" si="950"/>
        <v>0</v>
      </c>
      <c r="AZ98" s="177">
        <f t="shared" si="950"/>
        <v>0</v>
      </c>
      <c r="BA98" s="177">
        <f t="shared" si="950"/>
        <v>0</v>
      </c>
      <c r="BB98" s="177">
        <f t="shared" si="950"/>
        <v>0</v>
      </c>
      <c r="BC98" s="177">
        <f t="shared" si="950"/>
        <v>0</v>
      </c>
      <c r="BD98" s="177">
        <f t="shared" si="950"/>
        <v>0</v>
      </c>
      <c r="BE98" s="177">
        <f t="shared" si="950"/>
        <v>0</v>
      </c>
      <c r="BF98" s="177">
        <f t="shared" si="950"/>
        <v>0</v>
      </c>
      <c r="BG98" s="177">
        <f t="shared" si="950"/>
        <v>0</v>
      </c>
      <c r="BH98" s="177">
        <f t="shared" si="950"/>
        <v>0</v>
      </c>
      <c r="BI98" s="177">
        <f t="shared" si="950"/>
        <v>0</v>
      </c>
      <c r="BJ98" s="177">
        <f t="shared" si="950"/>
        <v>0</v>
      </c>
      <c r="BK98" s="177">
        <f t="shared" si="950"/>
        <v>0</v>
      </c>
      <c r="BL98" s="177">
        <f t="shared" si="950"/>
        <v>0</v>
      </c>
      <c r="BM98" s="177">
        <f t="shared" si="950"/>
        <v>0</v>
      </c>
      <c r="BN98" s="177">
        <f t="shared" si="950"/>
        <v>0</v>
      </c>
      <c r="BO98" s="177">
        <f t="shared" si="950"/>
        <v>0</v>
      </c>
      <c r="BP98" s="177">
        <f t="shared" si="950"/>
        <v>0</v>
      </c>
      <c r="BQ98" s="177">
        <f t="shared" si="950"/>
        <v>0</v>
      </c>
      <c r="BR98" s="177">
        <f t="shared" ref="BR98:CW98" si="951">+SUM(BO8:BR8)</f>
        <v>0</v>
      </c>
      <c r="BS98" s="177">
        <f t="shared" si="951"/>
        <v>0</v>
      </c>
      <c r="BT98" s="177">
        <f t="shared" si="951"/>
        <v>0</v>
      </c>
      <c r="BU98" s="177">
        <f t="shared" si="951"/>
        <v>0</v>
      </c>
      <c r="BV98" s="177">
        <f t="shared" si="951"/>
        <v>0</v>
      </c>
      <c r="BW98" s="177">
        <f t="shared" si="951"/>
        <v>0</v>
      </c>
      <c r="BX98" s="177">
        <f t="shared" si="951"/>
        <v>0</v>
      </c>
      <c r="BY98" s="177">
        <f t="shared" si="951"/>
        <v>0</v>
      </c>
      <c r="BZ98" s="177">
        <f t="shared" si="951"/>
        <v>0</v>
      </c>
      <c r="CA98" s="177">
        <f t="shared" si="951"/>
        <v>263.27999999999997</v>
      </c>
      <c r="CB98" s="177">
        <f t="shared" si="951"/>
        <v>523.30999999999995</v>
      </c>
      <c r="CC98" s="177">
        <f t="shared" si="951"/>
        <v>767.71999999999991</v>
      </c>
      <c r="CD98" s="177">
        <f t="shared" si="951"/>
        <v>1053.8699999999999</v>
      </c>
      <c r="CE98" s="177">
        <f t="shared" si="951"/>
        <v>1078.52</v>
      </c>
      <c r="CF98" s="177">
        <f t="shared" si="951"/>
        <v>1123.1100000000001</v>
      </c>
      <c r="CG98" s="177">
        <f t="shared" si="951"/>
        <v>1163.6999999999998</v>
      </c>
      <c r="CH98" s="177">
        <f t="shared" si="951"/>
        <v>1161.1599999999999</v>
      </c>
      <c r="CI98" s="177">
        <f t="shared" si="951"/>
        <v>1140.98</v>
      </c>
      <c r="CJ98" s="177">
        <f t="shared" si="951"/>
        <v>1174.4000000000001</v>
      </c>
      <c r="CK98" s="177">
        <f t="shared" si="951"/>
        <v>1238.52</v>
      </c>
      <c r="CL98" s="177">
        <f t="shared" si="951"/>
        <v>1318.6</v>
      </c>
      <c r="CM98" s="178">
        <f t="shared" si="951"/>
        <v>1355.2125375630828</v>
      </c>
      <c r="CN98" s="178">
        <f t="shared" si="951"/>
        <v>1418.915668238609</v>
      </c>
      <c r="CO98" s="178">
        <f t="shared" si="951"/>
        <v>1491.5790644415576</v>
      </c>
      <c r="CP98" s="178">
        <f t="shared" si="951"/>
        <v>1565.7429647584968</v>
      </c>
      <c r="CQ98" s="178">
        <f t="shared" si="951"/>
        <v>1621.8403025169835</v>
      </c>
      <c r="CR98" s="178">
        <f t="shared" si="951"/>
        <v>1700.6636175495441</v>
      </c>
      <c r="CS98" s="178">
        <f t="shared" si="951"/>
        <v>1784.2366063165971</v>
      </c>
      <c r="CT98" s="178">
        <f t="shared" si="951"/>
        <v>1869.9001812766373</v>
      </c>
      <c r="CU98" s="178">
        <f t="shared" si="951"/>
        <v>1939.6762322848319</v>
      </c>
      <c r="CV98" s="178">
        <f t="shared" si="951"/>
        <v>2033.8149351919051</v>
      </c>
      <c r="CW98" s="178">
        <f t="shared" si="951"/>
        <v>2132.7703317410883</v>
      </c>
      <c r="CX98" s="178">
        <f t="shared" ref="CX98:DB98" si="952">+SUM(CU8:CX8)</f>
        <v>2234.9771068522505</v>
      </c>
      <c r="CY98" s="178">
        <f t="shared" si="952"/>
        <v>2318.9279870005375</v>
      </c>
      <c r="CZ98" s="178">
        <f t="shared" si="952"/>
        <v>2431.2918435574297</v>
      </c>
      <c r="DA98" s="178">
        <f t="shared" si="952"/>
        <v>2549.3875356603389</v>
      </c>
      <c r="DB98" s="178">
        <f t="shared" si="952"/>
        <v>2671.6064794945059</v>
      </c>
      <c r="DE98" s="179"/>
      <c r="DF98" s="177">
        <v>1318.6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0</v>
      </c>
      <c r="J99" s="163">
        <f t="shared" ca="1" si="953"/>
        <v>0</v>
      </c>
      <c r="K99" s="163">
        <f t="shared" ca="1" si="953"/>
        <v>0</v>
      </c>
      <c r="L99" s="163">
        <f t="shared" ca="1" si="953"/>
        <v>0</v>
      </c>
      <c r="M99" s="163">
        <f t="shared" ca="1" si="953"/>
        <v>0</v>
      </c>
      <c r="N99" s="163">
        <f t="shared" ca="1" si="953"/>
        <v>0</v>
      </c>
      <c r="O99" s="163">
        <f t="shared" ca="1" si="953"/>
        <v>0</v>
      </c>
      <c r="P99" s="163">
        <f t="shared" ca="1" si="953"/>
        <v>0</v>
      </c>
      <c r="Q99" s="163">
        <f t="shared" ca="1" si="953"/>
        <v>0</v>
      </c>
      <c r="R99" s="163">
        <f t="shared" ca="1" si="953"/>
        <v>0</v>
      </c>
      <c r="S99" s="163">
        <f t="shared" ca="1" si="953"/>
        <v>0</v>
      </c>
      <c r="T99" s="163">
        <f t="shared" ca="1" si="953"/>
        <v>0</v>
      </c>
      <c r="U99" s="163">
        <f t="shared" ca="1" si="953"/>
        <v>0</v>
      </c>
      <c r="V99" s="163">
        <f t="shared" ca="1" si="953"/>
        <v>0</v>
      </c>
      <c r="W99" s="163">
        <f t="shared" ca="1" si="953"/>
        <v>0</v>
      </c>
      <c r="X99" s="163">
        <f t="shared" ca="1" si="953"/>
        <v>0</v>
      </c>
      <c r="Y99" s="163">
        <f t="shared" ca="1" si="953"/>
        <v>110.23744769874477</v>
      </c>
      <c r="Z99" s="163">
        <f t="shared" ref="Z99:AA99" ca="1" si="954">+Z98/Z65</f>
        <v>121.46025104602511</v>
      </c>
      <c r="AA99" s="163">
        <f t="shared" ref="AA99" ca="1" si="955">+AA98/AA65</f>
        <v>121.46025104602511</v>
      </c>
      <c r="AB99" s="94">
        <f t="shared" ca="1" si="953"/>
        <v>163.78064484921512</v>
      </c>
      <c r="AC99" s="94">
        <f t="shared" ca="1" si="953"/>
        <v>195.59625327161478</v>
      </c>
      <c r="AD99" s="94">
        <f t="shared" ca="1" si="953"/>
        <v>233.78421619793414</v>
      </c>
      <c r="AE99" s="94">
        <f t="shared" ca="1" si="953"/>
        <v>279.45674471699851</v>
      </c>
      <c r="AL99" s="163">
        <f t="shared" ref="AL99:BQ99" si="956">+AL98/AL65</f>
        <v>0</v>
      </c>
      <c r="AM99" s="163">
        <f t="shared" si="956"/>
        <v>0</v>
      </c>
      <c r="AN99" s="163">
        <f t="shared" si="956"/>
        <v>0</v>
      </c>
      <c r="AO99" s="163">
        <f t="shared" si="956"/>
        <v>0</v>
      </c>
      <c r="AP99" s="163">
        <f t="shared" si="956"/>
        <v>0</v>
      </c>
      <c r="AQ99" s="163">
        <f t="shared" si="956"/>
        <v>0</v>
      </c>
      <c r="AR99" s="163">
        <f t="shared" si="956"/>
        <v>0</v>
      </c>
      <c r="AS99" s="163">
        <f t="shared" si="956"/>
        <v>0</v>
      </c>
      <c r="AT99" s="163">
        <f t="shared" si="956"/>
        <v>0</v>
      </c>
      <c r="AU99" s="163">
        <f t="shared" si="956"/>
        <v>0</v>
      </c>
      <c r="AV99" s="163">
        <f t="shared" si="956"/>
        <v>0</v>
      </c>
      <c r="AW99" s="163">
        <f t="shared" si="956"/>
        <v>0</v>
      </c>
      <c r="AX99" s="163">
        <f t="shared" si="956"/>
        <v>0</v>
      </c>
      <c r="AY99" s="163">
        <f t="shared" si="956"/>
        <v>0</v>
      </c>
      <c r="AZ99" s="163">
        <f t="shared" si="956"/>
        <v>0</v>
      </c>
      <c r="BA99" s="163">
        <f t="shared" si="956"/>
        <v>0</v>
      </c>
      <c r="BB99" s="163">
        <f t="shared" si="956"/>
        <v>0</v>
      </c>
      <c r="BC99" s="163">
        <f t="shared" si="956"/>
        <v>0</v>
      </c>
      <c r="BD99" s="163">
        <f t="shared" si="956"/>
        <v>0</v>
      </c>
      <c r="BE99" s="163">
        <f t="shared" si="956"/>
        <v>0</v>
      </c>
      <c r="BF99" s="163">
        <f t="shared" si="956"/>
        <v>0</v>
      </c>
      <c r="BG99" s="163">
        <f t="shared" si="956"/>
        <v>0</v>
      </c>
      <c r="BH99" s="163">
        <f t="shared" si="956"/>
        <v>0</v>
      </c>
      <c r="BI99" s="163">
        <f t="shared" si="956"/>
        <v>0</v>
      </c>
      <c r="BJ99" s="163">
        <f t="shared" si="956"/>
        <v>0</v>
      </c>
      <c r="BK99" s="163">
        <f t="shared" si="956"/>
        <v>0</v>
      </c>
      <c r="BL99" s="163">
        <f t="shared" si="956"/>
        <v>0</v>
      </c>
      <c r="BM99" s="163">
        <f t="shared" si="956"/>
        <v>0</v>
      </c>
      <c r="BN99" s="163">
        <f t="shared" si="956"/>
        <v>0</v>
      </c>
      <c r="BO99" s="163">
        <f t="shared" si="956"/>
        <v>0</v>
      </c>
      <c r="BP99" s="163">
        <f t="shared" si="956"/>
        <v>0</v>
      </c>
      <c r="BQ99" s="163">
        <f t="shared" si="956"/>
        <v>0</v>
      </c>
      <c r="BR99" s="163">
        <f t="shared" ref="BR99:CW99" si="957">+BR98/BR65</f>
        <v>0</v>
      </c>
      <c r="BS99" s="163">
        <f t="shared" si="957"/>
        <v>0</v>
      </c>
      <c r="BT99" s="163">
        <f t="shared" si="957"/>
        <v>0</v>
      </c>
      <c r="BU99" s="163">
        <f t="shared" si="957"/>
        <v>0</v>
      </c>
      <c r="BV99" s="163">
        <f t="shared" si="957"/>
        <v>0</v>
      </c>
      <c r="BW99" s="163">
        <f t="shared" si="957"/>
        <v>0</v>
      </c>
      <c r="BX99" s="163">
        <f t="shared" si="957"/>
        <v>0</v>
      </c>
      <c r="BY99" s="163">
        <f t="shared" si="957"/>
        <v>0</v>
      </c>
      <c r="BZ99" s="163">
        <f t="shared" si="957"/>
        <v>0</v>
      </c>
      <c r="CA99" s="163">
        <f t="shared" si="957"/>
        <v>27.53974895397489</v>
      </c>
      <c r="CB99" s="163">
        <f t="shared" si="957"/>
        <v>54.739539748953966</v>
      </c>
      <c r="CC99" s="163">
        <f t="shared" si="957"/>
        <v>80.305439330543919</v>
      </c>
      <c r="CD99" s="163">
        <f t="shared" si="957"/>
        <v>110.23744769874476</v>
      </c>
      <c r="CE99" s="163">
        <f t="shared" si="957"/>
        <v>112.81589958158995</v>
      </c>
      <c r="CF99" s="163">
        <f t="shared" si="957"/>
        <v>117.48012552301256</v>
      </c>
      <c r="CG99" s="163">
        <f t="shared" si="957"/>
        <v>121.72594142259412</v>
      </c>
      <c r="CH99" s="163">
        <f t="shared" si="957"/>
        <v>121.46025104602508</v>
      </c>
      <c r="CI99" s="163">
        <f t="shared" si="957"/>
        <v>119.34937238493724</v>
      </c>
      <c r="CJ99" s="163">
        <f t="shared" si="957"/>
        <v>122.84518828451883</v>
      </c>
      <c r="CK99" s="163">
        <f t="shared" ref="CK99:CL99" si="958">+CK98/CK65</f>
        <v>129.55230125523011</v>
      </c>
      <c r="CL99" s="163">
        <f t="shared" si="958"/>
        <v>137.92887029288701</v>
      </c>
      <c r="CM99" s="50">
        <f t="shared" si="957"/>
        <v>141.75863363630572</v>
      </c>
      <c r="CN99" s="50">
        <f t="shared" si="957"/>
        <v>148.42214102914321</v>
      </c>
      <c r="CO99" s="50">
        <f t="shared" si="957"/>
        <v>156.02291469053949</v>
      </c>
      <c r="CP99" s="50">
        <f t="shared" si="957"/>
        <v>163.78064484921512</v>
      </c>
      <c r="CQ99" s="50">
        <f t="shared" si="957"/>
        <v>169.64856720888946</v>
      </c>
      <c r="CR99" s="50">
        <f t="shared" si="957"/>
        <v>177.89368384409457</v>
      </c>
      <c r="CS99" s="50">
        <f t="shared" si="957"/>
        <v>186.63562827579466</v>
      </c>
      <c r="CT99" s="50">
        <f t="shared" si="957"/>
        <v>195.59625327161478</v>
      </c>
      <c r="CU99" s="50">
        <f t="shared" si="957"/>
        <v>202.89500337707446</v>
      </c>
      <c r="CV99" s="50">
        <f t="shared" si="957"/>
        <v>212.74214803262603</v>
      </c>
      <c r="CW99" s="50">
        <f t="shared" si="957"/>
        <v>223.09313093526026</v>
      </c>
      <c r="CX99" s="50">
        <f t="shared" ref="CX99:DB99" si="959">+CX98/CX65</f>
        <v>233.78421619793414</v>
      </c>
      <c r="CY99" s="50">
        <f t="shared" si="959"/>
        <v>242.56568901679262</v>
      </c>
      <c r="CZ99" s="50">
        <f t="shared" si="959"/>
        <v>254.31923049763907</v>
      </c>
      <c r="DA99" s="50">
        <f t="shared" si="959"/>
        <v>266.67233636614424</v>
      </c>
      <c r="DB99" s="50">
        <f t="shared" si="959"/>
        <v>279.45674471699851</v>
      </c>
      <c r="DE99" s="164"/>
      <c r="DF99" s="163">
        <v>137.92887029288701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 t="e">
        <f t="shared" ca="1" si="960"/>
        <v>#DIV/0!</v>
      </c>
      <c r="I102" s="163" t="e">
        <f t="shared" ca="1" si="960"/>
        <v>#DIV/0!</v>
      </c>
      <c r="J102" s="163" t="e">
        <f t="shared" ca="1" si="960"/>
        <v>#DIV/0!</v>
      </c>
      <c r="K102" s="163" t="e">
        <f t="shared" ca="1" si="960"/>
        <v>#DIV/0!</v>
      </c>
      <c r="L102" s="163" t="e">
        <f t="shared" ca="1" si="960"/>
        <v>#DIV/0!</v>
      </c>
      <c r="M102" s="163" t="e">
        <f t="shared" ca="1" si="960"/>
        <v>#DIV/0!</v>
      </c>
      <c r="N102" s="163" t="e">
        <f t="shared" ca="1" si="960"/>
        <v>#DIV/0!</v>
      </c>
      <c r="O102" s="163" t="e">
        <f t="shared" ca="1" si="960"/>
        <v>#DIV/0!</v>
      </c>
      <c r="P102" s="163" t="e">
        <f t="shared" ca="1" si="960"/>
        <v>#DIV/0!</v>
      </c>
      <c r="Q102" s="163" t="e">
        <f t="shared" ca="1" si="960"/>
        <v>#DIV/0!</v>
      </c>
      <c r="R102" s="163" t="e">
        <f t="shared" ca="1" si="960"/>
        <v>#DIV/0!</v>
      </c>
      <c r="S102" s="163" t="e">
        <f t="shared" ca="1" si="960"/>
        <v>#DIV/0!</v>
      </c>
      <c r="T102" s="163" t="e">
        <f t="shared" ca="1" si="960"/>
        <v>#DIV/0!</v>
      </c>
      <c r="U102" s="163" t="e">
        <f t="shared" ca="1" si="960"/>
        <v>#DIV/0!</v>
      </c>
      <c r="V102" s="163" t="e">
        <f t="shared" ca="1" si="960"/>
        <v>#DIV/0!</v>
      </c>
      <c r="W102" s="163" t="e">
        <f t="shared" ca="1" si="960"/>
        <v>#DIV/0!</v>
      </c>
      <c r="X102" s="163" t="e">
        <f t="shared" ca="1" si="960"/>
        <v>#DIV/0!</v>
      </c>
      <c r="Y102" s="163">
        <f t="shared" ca="1" si="960"/>
        <v>0.68488523252393552</v>
      </c>
      <c r="Z102" s="163">
        <f ca="1">+Z77/Z$99</f>
        <v>0.59533879913190257</v>
      </c>
      <c r="AA102" s="163">
        <f ca="1">+AA77/AA$99</f>
        <v>0.59533879913190257</v>
      </c>
      <c r="AB102" s="50">
        <f t="shared" ref="AB102:AE102" ca="1" si="961">+AB77/AB$99</f>
        <v>0.40035255729006991</v>
      </c>
      <c r="AC102" s="50">
        <f t="shared" ca="1" si="961"/>
        <v>0.33523137024995153</v>
      </c>
      <c r="AD102" s="50">
        <f t="shared" ca="1" si="961"/>
        <v>0.28047231359915653</v>
      </c>
      <c r="AE102" s="50">
        <f t="shared" ca="1" si="961"/>
        <v>0.23463380734074502</v>
      </c>
      <c r="AL102" s="163" t="e">
        <f t="shared" ref="AL102:BQ102" si="962">+AL77/AL99</f>
        <v>#DIV/0!</v>
      </c>
      <c r="AM102" s="163" t="e">
        <f t="shared" si="962"/>
        <v>#DIV/0!</v>
      </c>
      <c r="AN102" s="163" t="e">
        <f t="shared" si="962"/>
        <v>#DIV/0!</v>
      </c>
      <c r="AO102" s="163" t="e">
        <f t="shared" si="962"/>
        <v>#DIV/0!</v>
      </c>
      <c r="AP102" s="163" t="e">
        <f t="shared" si="962"/>
        <v>#DIV/0!</v>
      </c>
      <c r="AQ102" s="163" t="e">
        <f t="shared" si="962"/>
        <v>#DIV/0!</v>
      </c>
      <c r="AR102" s="163" t="e">
        <f t="shared" si="962"/>
        <v>#DIV/0!</v>
      </c>
      <c r="AS102" s="163" t="e">
        <f t="shared" si="962"/>
        <v>#DIV/0!</v>
      </c>
      <c r="AT102" s="163" t="e">
        <f t="shared" si="962"/>
        <v>#DIV/0!</v>
      </c>
      <c r="AU102" s="163" t="e">
        <f t="shared" si="962"/>
        <v>#DIV/0!</v>
      </c>
      <c r="AV102" s="163" t="e">
        <f t="shared" si="962"/>
        <v>#DIV/0!</v>
      </c>
      <c r="AW102" s="163" t="e">
        <f t="shared" si="962"/>
        <v>#DIV/0!</v>
      </c>
      <c r="AX102" s="163" t="e">
        <f t="shared" si="962"/>
        <v>#DIV/0!</v>
      </c>
      <c r="AY102" s="163" t="e">
        <f t="shared" si="962"/>
        <v>#DIV/0!</v>
      </c>
      <c r="AZ102" s="163" t="e">
        <f t="shared" si="962"/>
        <v>#DIV/0!</v>
      </c>
      <c r="BA102" s="163" t="e">
        <f t="shared" si="962"/>
        <v>#DIV/0!</v>
      </c>
      <c r="BB102" s="163" t="e">
        <f t="shared" si="962"/>
        <v>#DIV/0!</v>
      </c>
      <c r="BC102" s="163" t="e">
        <f t="shared" si="962"/>
        <v>#DIV/0!</v>
      </c>
      <c r="BD102" s="163" t="e">
        <f t="shared" si="962"/>
        <v>#DIV/0!</v>
      </c>
      <c r="BE102" s="163" t="e">
        <f t="shared" si="962"/>
        <v>#DIV/0!</v>
      </c>
      <c r="BF102" s="163" t="e">
        <f t="shared" si="962"/>
        <v>#DIV/0!</v>
      </c>
      <c r="BG102" s="163" t="e">
        <f t="shared" si="962"/>
        <v>#DIV/0!</v>
      </c>
      <c r="BH102" s="163" t="e">
        <f t="shared" si="962"/>
        <v>#DIV/0!</v>
      </c>
      <c r="BI102" s="163" t="e">
        <f t="shared" si="962"/>
        <v>#DIV/0!</v>
      </c>
      <c r="BJ102" s="163" t="e">
        <f t="shared" si="962"/>
        <v>#DIV/0!</v>
      </c>
      <c r="BK102" s="163" t="e">
        <f t="shared" si="962"/>
        <v>#DIV/0!</v>
      </c>
      <c r="BL102" s="163" t="e">
        <f t="shared" si="962"/>
        <v>#DIV/0!</v>
      </c>
      <c r="BM102" s="163" t="e">
        <f t="shared" si="962"/>
        <v>#DIV/0!</v>
      </c>
      <c r="BN102" s="163" t="e">
        <f t="shared" si="962"/>
        <v>#DIV/0!</v>
      </c>
      <c r="BO102" s="163" t="e">
        <f t="shared" si="962"/>
        <v>#DIV/0!</v>
      </c>
      <c r="BP102" s="163" t="e">
        <f t="shared" si="962"/>
        <v>#DIV/0!</v>
      </c>
      <c r="BQ102" s="163" t="e">
        <f t="shared" si="962"/>
        <v>#DIV/0!</v>
      </c>
      <c r="BR102" s="163" t="e">
        <f t="shared" ref="BR102:DB102" si="963">+BR77/BR99</f>
        <v>#DIV/0!</v>
      </c>
      <c r="BS102" s="163" t="e">
        <f t="shared" si="963"/>
        <v>#DIV/0!</v>
      </c>
      <c r="BT102" s="163" t="e">
        <f t="shared" si="963"/>
        <v>#DIV/0!</v>
      </c>
      <c r="BU102" s="163" t="e">
        <f t="shared" si="963"/>
        <v>#DIV/0!</v>
      </c>
      <c r="BV102" s="163" t="e">
        <f t="shared" si="963"/>
        <v>#DIV/0!</v>
      </c>
      <c r="BW102" s="163" t="e">
        <f t="shared" si="963"/>
        <v>#DIV/0!</v>
      </c>
      <c r="BX102" s="163" t="e">
        <f t="shared" si="963"/>
        <v>#DIV/0!</v>
      </c>
      <c r="BY102" s="163" t="e">
        <f t="shared" si="963"/>
        <v>#DIV/0!</v>
      </c>
      <c r="BZ102" s="163" t="e">
        <f t="shared" si="963"/>
        <v>#DIV/0!</v>
      </c>
      <c r="CA102" s="163">
        <f t="shared" si="963"/>
        <v>2.6434518383470076</v>
      </c>
      <c r="CB102" s="163">
        <f t="shared" si="963"/>
        <v>1.4598222850700351</v>
      </c>
      <c r="CC102" s="163">
        <f t="shared" si="963"/>
        <v>0.86557025999062176</v>
      </c>
      <c r="CD102" s="163">
        <f t="shared" si="963"/>
        <v>0.68488523252393563</v>
      </c>
      <c r="CE102" s="163">
        <f t="shared" si="963"/>
        <v>0.80724437191707155</v>
      </c>
      <c r="CF102" s="163">
        <f t="shared" si="963"/>
        <v>0.87121119035535244</v>
      </c>
      <c r="CG102" s="163">
        <f t="shared" si="963"/>
        <v>0.82258554610294765</v>
      </c>
      <c r="CH102" s="163">
        <f t="shared" si="963"/>
        <v>0.59533879913190269</v>
      </c>
      <c r="CI102" s="163">
        <f t="shared" si="963"/>
        <v>0.80494767655874766</v>
      </c>
      <c r="CJ102" s="163">
        <f t="shared" si="963"/>
        <v>0.62387465940054498</v>
      </c>
      <c r="CK102" s="163">
        <f t="shared" ref="CK102:CL102" si="964">+CK77/CK99</f>
        <v>0.56517714691728849</v>
      </c>
      <c r="CL102" s="163">
        <f t="shared" si="964"/>
        <v>0.47538995904747461</v>
      </c>
      <c r="CM102" s="50">
        <f t="shared" si="963"/>
        <v>0.46254678334601906</v>
      </c>
      <c r="CN102" s="50">
        <f t="shared" si="963"/>
        <v>0.44178044828988888</v>
      </c>
      <c r="CO102" s="50">
        <f t="shared" si="963"/>
        <v>0.42025878141075296</v>
      </c>
      <c r="CP102" s="50">
        <f t="shared" si="963"/>
        <v>0.40035255729006991</v>
      </c>
      <c r="CQ102" s="50">
        <f t="shared" si="963"/>
        <v>0.38650488523880783</v>
      </c>
      <c r="CR102" s="50">
        <f t="shared" si="963"/>
        <v>0.3685909391671563</v>
      </c>
      <c r="CS102" s="50">
        <f t="shared" si="963"/>
        <v>0.35132627465483751</v>
      </c>
      <c r="CT102" s="50">
        <f t="shared" si="963"/>
        <v>0.33523137024995153</v>
      </c>
      <c r="CU102" s="50">
        <f t="shared" si="963"/>
        <v>0.32317207870388043</v>
      </c>
      <c r="CV102" s="50">
        <f t="shared" si="963"/>
        <v>0.30821349039845275</v>
      </c>
      <c r="CW102" s="50">
        <f t="shared" si="963"/>
        <v>0.29391312823086363</v>
      </c>
      <c r="CX102" s="50">
        <f t="shared" si="963"/>
        <v>0.28047231359915653</v>
      </c>
      <c r="CY102" s="50">
        <f t="shared" si="963"/>
        <v>0.2703185280069047</v>
      </c>
      <c r="CZ102" s="50">
        <f t="shared" si="963"/>
        <v>0.25782556777832299</v>
      </c>
      <c r="DA102" s="50">
        <f t="shared" si="963"/>
        <v>0.24588227220528647</v>
      </c>
      <c r="DB102" s="50">
        <f t="shared" si="963"/>
        <v>0.23463380734074502</v>
      </c>
      <c r="DE102" s="106"/>
      <c r="DF102" s="163">
        <v>0.47538995904747461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 t="e">
        <f t="shared" ca="1" si="960"/>
        <v>#DIV/0!</v>
      </c>
      <c r="I103" s="163" t="e">
        <f t="shared" ca="1" si="960"/>
        <v>#DIV/0!</v>
      </c>
      <c r="J103" s="163" t="e">
        <f t="shared" ca="1" si="960"/>
        <v>#DIV/0!</v>
      </c>
      <c r="K103" s="163" t="e">
        <f t="shared" ca="1" si="960"/>
        <v>#DIV/0!</v>
      </c>
      <c r="L103" s="163" t="e">
        <f t="shared" ca="1" si="960"/>
        <v>#DIV/0!</v>
      </c>
      <c r="M103" s="163" t="e">
        <f t="shared" ca="1" si="960"/>
        <v>#DIV/0!</v>
      </c>
      <c r="N103" s="163" t="e">
        <f t="shared" ca="1" si="960"/>
        <v>#DIV/0!</v>
      </c>
      <c r="O103" s="163" t="e">
        <f t="shared" ca="1" si="960"/>
        <v>#DIV/0!</v>
      </c>
      <c r="P103" s="163" t="e">
        <f t="shared" ca="1" si="960"/>
        <v>#DIV/0!</v>
      </c>
      <c r="Q103" s="163" t="e">
        <f t="shared" ca="1" si="960"/>
        <v>#DIV/0!</v>
      </c>
      <c r="R103" s="163" t="e">
        <f t="shared" ca="1" si="960"/>
        <v>#DIV/0!</v>
      </c>
      <c r="S103" s="163" t="e">
        <f t="shared" ca="1" si="960"/>
        <v>#DIV/0!</v>
      </c>
      <c r="T103" s="163" t="e">
        <f t="shared" ca="1" si="960"/>
        <v>#DIV/0!</v>
      </c>
      <c r="U103" s="163" t="e">
        <f t="shared" ca="1" si="960"/>
        <v>#DIV/0!</v>
      </c>
      <c r="V103" s="163" t="e">
        <f t="shared" ca="1" si="960"/>
        <v>#DIV/0!</v>
      </c>
      <c r="W103" s="163" t="e">
        <f t="shared" ca="1" si="960"/>
        <v>#DIV/0!</v>
      </c>
      <c r="X103" s="163" t="e">
        <f t="shared" ca="1" si="960"/>
        <v>#DIV/0!</v>
      </c>
      <c r="Y103" s="163">
        <f t="shared" ca="1" si="960"/>
        <v>0.88853653676449662</v>
      </c>
      <c r="Z103" s="163">
        <f t="shared" ref="Z103:AA104" ca="1" si="965">+Z78/Z$99</f>
        <v>1.0130886355024287</v>
      </c>
      <c r="AA103" s="163">
        <f t="shared" ref="AA103" ca="1" si="966">+AA78/AA$99</f>
        <v>1.0130886355024287</v>
      </c>
      <c r="AB103" s="94">
        <f t="shared" ca="1" si="960"/>
        <v>0.96526327204367923</v>
      </c>
      <c r="AC103" s="94">
        <f t="shared" ca="1" si="960"/>
        <v>0.89822853759412602</v>
      </c>
      <c r="AD103" s="94">
        <f t="shared" ca="1" si="960"/>
        <v>0.86597297259842376</v>
      </c>
      <c r="AE103" s="94">
        <f t="shared" ca="1" si="960"/>
        <v>0.85085994032392209</v>
      </c>
      <c r="AL103" s="163" t="e">
        <f t="shared" ref="AL103:BQ103" si="967">+AL78/AL99</f>
        <v>#DIV/0!</v>
      </c>
      <c r="AM103" s="163" t="e">
        <f t="shared" si="967"/>
        <v>#DIV/0!</v>
      </c>
      <c r="AN103" s="163" t="e">
        <f t="shared" si="967"/>
        <v>#DIV/0!</v>
      </c>
      <c r="AO103" s="163" t="e">
        <f t="shared" si="967"/>
        <v>#DIV/0!</v>
      </c>
      <c r="AP103" s="163" t="e">
        <f t="shared" si="967"/>
        <v>#DIV/0!</v>
      </c>
      <c r="AQ103" s="163" t="e">
        <f t="shared" si="967"/>
        <v>#DIV/0!</v>
      </c>
      <c r="AR103" s="163" t="e">
        <f t="shared" si="967"/>
        <v>#DIV/0!</v>
      </c>
      <c r="AS103" s="163" t="e">
        <f t="shared" si="967"/>
        <v>#DIV/0!</v>
      </c>
      <c r="AT103" s="163" t="e">
        <f t="shared" si="967"/>
        <v>#DIV/0!</v>
      </c>
      <c r="AU103" s="163" t="e">
        <f t="shared" si="967"/>
        <v>#DIV/0!</v>
      </c>
      <c r="AV103" s="163" t="e">
        <f t="shared" si="967"/>
        <v>#DIV/0!</v>
      </c>
      <c r="AW103" s="163" t="e">
        <f t="shared" si="967"/>
        <v>#DIV/0!</v>
      </c>
      <c r="AX103" s="163" t="e">
        <f t="shared" si="967"/>
        <v>#DIV/0!</v>
      </c>
      <c r="AY103" s="163" t="e">
        <f t="shared" si="967"/>
        <v>#DIV/0!</v>
      </c>
      <c r="AZ103" s="163" t="e">
        <f t="shared" si="967"/>
        <v>#DIV/0!</v>
      </c>
      <c r="BA103" s="163" t="e">
        <f t="shared" si="967"/>
        <v>#DIV/0!</v>
      </c>
      <c r="BB103" s="163" t="e">
        <f t="shared" si="967"/>
        <v>#DIV/0!</v>
      </c>
      <c r="BC103" s="163" t="e">
        <f t="shared" si="967"/>
        <v>#DIV/0!</v>
      </c>
      <c r="BD103" s="163" t="e">
        <f t="shared" si="967"/>
        <v>#DIV/0!</v>
      </c>
      <c r="BE103" s="163" t="e">
        <f t="shared" si="967"/>
        <v>#DIV/0!</v>
      </c>
      <c r="BF103" s="163" t="e">
        <f t="shared" si="967"/>
        <v>#DIV/0!</v>
      </c>
      <c r="BG103" s="163" t="e">
        <f t="shared" si="967"/>
        <v>#DIV/0!</v>
      </c>
      <c r="BH103" s="163" t="e">
        <f t="shared" si="967"/>
        <v>#DIV/0!</v>
      </c>
      <c r="BI103" s="163" t="e">
        <f t="shared" si="967"/>
        <v>#DIV/0!</v>
      </c>
      <c r="BJ103" s="163" t="e">
        <f t="shared" si="967"/>
        <v>#DIV/0!</v>
      </c>
      <c r="BK103" s="163" t="e">
        <f t="shared" si="967"/>
        <v>#DIV/0!</v>
      </c>
      <c r="BL103" s="163" t="e">
        <f t="shared" si="967"/>
        <v>#DIV/0!</v>
      </c>
      <c r="BM103" s="163" t="e">
        <f t="shared" si="967"/>
        <v>#DIV/0!</v>
      </c>
      <c r="BN103" s="163" t="e">
        <f t="shared" si="967"/>
        <v>#DIV/0!</v>
      </c>
      <c r="BO103" s="163" t="e">
        <f t="shared" si="967"/>
        <v>#DIV/0!</v>
      </c>
      <c r="BP103" s="163" t="e">
        <f t="shared" si="967"/>
        <v>#DIV/0!</v>
      </c>
      <c r="BQ103" s="163" t="e">
        <f t="shared" si="967"/>
        <v>#DIV/0!</v>
      </c>
      <c r="BR103" s="163" t="e">
        <f t="shared" ref="BR103:CJ103" si="968">+BR78/BR99</f>
        <v>#DIV/0!</v>
      </c>
      <c r="BS103" s="163" t="e">
        <f t="shared" si="968"/>
        <v>#DIV/0!</v>
      </c>
      <c r="BT103" s="163" t="e">
        <f t="shared" si="968"/>
        <v>#DIV/0!</v>
      </c>
      <c r="BU103" s="163" t="e">
        <f t="shared" si="968"/>
        <v>#DIV/0!</v>
      </c>
      <c r="BV103" s="163" t="e">
        <f t="shared" si="968"/>
        <v>#DIV/0!</v>
      </c>
      <c r="BW103" s="163" t="e">
        <f t="shared" si="968"/>
        <v>#DIV/0!</v>
      </c>
      <c r="BX103" s="163" t="e">
        <f t="shared" si="968"/>
        <v>#DIV/0!</v>
      </c>
      <c r="BY103" s="163" t="e">
        <f t="shared" si="968"/>
        <v>#DIV/0!</v>
      </c>
      <c r="BZ103" s="163" t="e">
        <f t="shared" si="968"/>
        <v>#DIV/0!</v>
      </c>
      <c r="CA103" s="163">
        <f t="shared" si="968"/>
        <v>2.8213764813126718</v>
      </c>
      <c r="CB103" s="163">
        <f t="shared" si="968"/>
        <v>1.5710764174198852</v>
      </c>
      <c r="CC103" s="163">
        <f t="shared" si="968"/>
        <v>1.1580784661074353</v>
      </c>
      <c r="CD103" s="163">
        <f t="shared" si="968"/>
        <v>0.88853653676449673</v>
      </c>
      <c r="CE103" s="163">
        <f t="shared" si="968"/>
        <v>0.83729332789378041</v>
      </c>
      <c r="CF103" s="163">
        <f t="shared" si="968"/>
        <v>1.0474112063822776</v>
      </c>
      <c r="CG103" s="163">
        <f t="shared" si="968"/>
        <v>0.9537819025522043</v>
      </c>
      <c r="CH103" s="163">
        <f t="shared" si="968"/>
        <v>0.87436012263598495</v>
      </c>
      <c r="CI103" s="163">
        <f t="shared" si="968"/>
        <v>0.82698382092587075</v>
      </c>
      <c r="CJ103" s="163">
        <f t="shared" si="968"/>
        <v>0.79693801089918259</v>
      </c>
      <c r="CK103" s="163">
        <f t="shared" ref="CK103:CL103" si="969">+CK78/CK99</f>
        <v>0.6946229370539031</v>
      </c>
      <c r="CL103" s="163">
        <f t="shared" si="969"/>
        <v>0.62640982860609751</v>
      </c>
      <c r="CM103" s="94">
        <f t="shared" ref="CM103:DB103" si="970">+CL103</f>
        <v>0.62640982860609751</v>
      </c>
      <c r="CN103" s="94">
        <f t="shared" si="970"/>
        <v>0.62640982860609751</v>
      </c>
      <c r="CO103" s="94">
        <f t="shared" si="970"/>
        <v>0.62640982860609751</v>
      </c>
      <c r="CP103" s="94">
        <f t="shared" si="970"/>
        <v>0.62640982860609751</v>
      </c>
      <c r="CQ103" s="94">
        <f t="shared" si="970"/>
        <v>0.62640982860609751</v>
      </c>
      <c r="CR103" s="94">
        <f t="shared" si="970"/>
        <v>0.62640982860609751</v>
      </c>
      <c r="CS103" s="94">
        <f t="shared" si="970"/>
        <v>0.62640982860609751</v>
      </c>
      <c r="CT103" s="94">
        <f t="shared" si="970"/>
        <v>0.62640982860609751</v>
      </c>
      <c r="CU103" s="94">
        <f t="shared" si="970"/>
        <v>0.62640982860609751</v>
      </c>
      <c r="CV103" s="94">
        <f t="shared" si="970"/>
        <v>0.62640982860609751</v>
      </c>
      <c r="CW103" s="94">
        <f t="shared" si="970"/>
        <v>0.62640982860609751</v>
      </c>
      <c r="CX103" s="94">
        <f t="shared" si="970"/>
        <v>0.62640982860609751</v>
      </c>
      <c r="CY103" s="94">
        <f t="shared" si="970"/>
        <v>0.62640982860609751</v>
      </c>
      <c r="CZ103" s="94">
        <f t="shared" si="970"/>
        <v>0.62640982860609751</v>
      </c>
      <c r="DA103" s="94">
        <f t="shared" si="970"/>
        <v>0.62640982860609751</v>
      </c>
      <c r="DB103" s="94">
        <f t="shared" si="970"/>
        <v>0.62640982860609751</v>
      </c>
      <c r="DE103" s="164"/>
      <c r="DF103" s="163">
        <v>0.71558622781738213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 t="e">
        <f t="shared" ca="1" si="960"/>
        <v>#DIV/0!</v>
      </c>
      <c r="I104" s="163" t="e">
        <f t="shared" ca="1" si="960"/>
        <v>#DIV/0!</v>
      </c>
      <c r="J104" s="163" t="e">
        <f t="shared" ca="1" si="960"/>
        <v>#DIV/0!</v>
      </c>
      <c r="K104" s="163" t="e">
        <f t="shared" ca="1" si="960"/>
        <v>#DIV/0!</v>
      </c>
      <c r="L104" s="163" t="e">
        <f t="shared" ca="1" si="960"/>
        <v>#DIV/0!</v>
      </c>
      <c r="M104" s="163" t="e">
        <f t="shared" ca="1" si="960"/>
        <v>#DIV/0!</v>
      </c>
      <c r="N104" s="163" t="e">
        <f t="shared" ca="1" si="960"/>
        <v>#DIV/0!</v>
      </c>
      <c r="O104" s="163" t="e">
        <f t="shared" ca="1" si="960"/>
        <v>#DIV/0!</v>
      </c>
      <c r="P104" s="163" t="e">
        <f t="shared" ca="1" si="960"/>
        <v>#DIV/0!</v>
      </c>
      <c r="Q104" s="163" t="e">
        <f t="shared" ca="1" si="960"/>
        <v>#DIV/0!</v>
      </c>
      <c r="R104" s="163" t="e">
        <f t="shared" ca="1" si="960"/>
        <v>#DIV/0!</v>
      </c>
      <c r="S104" s="163" t="e">
        <f t="shared" ca="1" si="960"/>
        <v>#DIV/0!</v>
      </c>
      <c r="T104" s="163" t="e">
        <f t="shared" ca="1" si="960"/>
        <v>#DIV/0!</v>
      </c>
      <c r="U104" s="163" t="e">
        <f t="shared" ca="1" si="960"/>
        <v>#DIV/0!</v>
      </c>
      <c r="V104" s="163" t="e">
        <f t="shared" ca="1" si="960"/>
        <v>#DIV/0!</v>
      </c>
      <c r="W104" s="163" t="e">
        <f t="shared" ca="1" si="960"/>
        <v>#DIV/0!</v>
      </c>
      <c r="X104" s="163" t="e">
        <f t="shared" ca="1" si="960"/>
        <v>#DIV/0!</v>
      </c>
      <c r="Y104" s="163">
        <f t="shared" ca="1" si="960"/>
        <v>0.54427965498590902</v>
      </c>
      <c r="Z104" s="163">
        <f t="shared" ca="1" si="965"/>
        <v>0.56397051224637429</v>
      </c>
      <c r="AA104" s="163">
        <f t="shared" ref="AA104" ca="1" si="971">+AA79/AA$99</f>
        <v>0.56397051224637429</v>
      </c>
      <c r="AB104" s="94">
        <f t="shared" ca="1" si="960"/>
        <v>0.48647960994889294</v>
      </c>
      <c r="AC104" s="94">
        <f t="shared" ca="1" si="960"/>
        <v>0.6238679432122366</v>
      </c>
      <c r="AD104" s="94">
        <f t="shared" ca="1" si="960"/>
        <v>0.58551033891277737</v>
      </c>
      <c r="AE104" s="94">
        <f t="shared" ca="1" si="960"/>
        <v>0.56774066876545692</v>
      </c>
      <c r="AL104" s="163" t="e">
        <f t="shared" ref="AL104:BQ104" si="972">+AL79/AL99</f>
        <v>#DIV/0!</v>
      </c>
      <c r="AM104" s="163" t="e">
        <f t="shared" si="972"/>
        <v>#DIV/0!</v>
      </c>
      <c r="AN104" s="163" t="e">
        <f t="shared" si="972"/>
        <v>#DIV/0!</v>
      </c>
      <c r="AO104" s="163" t="e">
        <f t="shared" si="972"/>
        <v>#DIV/0!</v>
      </c>
      <c r="AP104" s="163" t="e">
        <f t="shared" si="972"/>
        <v>#DIV/0!</v>
      </c>
      <c r="AQ104" s="163" t="e">
        <f t="shared" si="972"/>
        <v>#DIV/0!</v>
      </c>
      <c r="AR104" s="163" t="e">
        <f t="shared" si="972"/>
        <v>#DIV/0!</v>
      </c>
      <c r="AS104" s="163" t="e">
        <f t="shared" si="972"/>
        <v>#DIV/0!</v>
      </c>
      <c r="AT104" s="163" t="e">
        <f t="shared" si="972"/>
        <v>#DIV/0!</v>
      </c>
      <c r="AU104" s="163" t="e">
        <f t="shared" si="972"/>
        <v>#DIV/0!</v>
      </c>
      <c r="AV104" s="163" t="e">
        <f t="shared" si="972"/>
        <v>#DIV/0!</v>
      </c>
      <c r="AW104" s="163" t="e">
        <f t="shared" si="972"/>
        <v>#DIV/0!</v>
      </c>
      <c r="AX104" s="163" t="e">
        <f t="shared" si="972"/>
        <v>#DIV/0!</v>
      </c>
      <c r="AY104" s="163" t="e">
        <f t="shared" si="972"/>
        <v>#DIV/0!</v>
      </c>
      <c r="AZ104" s="163" t="e">
        <f t="shared" si="972"/>
        <v>#DIV/0!</v>
      </c>
      <c r="BA104" s="163" t="e">
        <f t="shared" si="972"/>
        <v>#DIV/0!</v>
      </c>
      <c r="BB104" s="163" t="e">
        <f t="shared" si="972"/>
        <v>#DIV/0!</v>
      </c>
      <c r="BC104" s="163" t="e">
        <f t="shared" si="972"/>
        <v>#DIV/0!</v>
      </c>
      <c r="BD104" s="163" t="e">
        <f t="shared" si="972"/>
        <v>#DIV/0!</v>
      </c>
      <c r="BE104" s="163" t="e">
        <f t="shared" si="972"/>
        <v>#DIV/0!</v>
      </c>
      <c r="BF104" s="163" t="e">
        <f t="shared" si="972"/>
        <v>#DIV/0!</v>
      </c>
      <c r="BG104" s="163" t="e">
        <f t="shared" si="972"/>
        <v>#DIV/0!</v>
      </c>
      <c r="BH104" s="163" t="e">
        <f t="shared" si="972"/>
        <v>#DIV/0!</v>
      </c>
      <c r="BI104" s="163" t="e">
        <f t="shared" si="972"/>
        <v>#DIV/0!</v>
      </c>
      <c r="BJ104" s="163" t="e">
        <f t="shared" si="972"/>
        <v>#DIV/0!</v>
      </c>
      <c r="BK104" s="163" t="e">
        <f t="shared" si="972"/>
        <v>#DIV/0!</v>
      </c>
      <c r="BL104" s="163" t="e">
        <f t="shared" si="972"/>
        <v>#DIV/0!</v>
      </c>
      <c r="BM104" s="163" t="e">
        <f t="shared" si="972"/>
        <v>#DIV/0!</v>
      </c>
      <c r="BN104" s="163" t="e">
        <f t="shared" si="972"/>
        <v>#DIV/0!</v>
      </c>
      <c r="BO104" s="163" t="e">
        <f t="shared" si="972"/>
        <v>#DIV/0!</v>
      </c>
      <c r="BP104" s="163" t="e">
        <f t="shared" si="972"/>
        <v>#DIV/0!</v>
      </c>
      <c r="BQ104" s="163" t="e">
        <f t="shared" si="972"/>
        <v>#DIV/0!</v>
      </c>
      <c r="BR104" s="163" t="e">
        <f t="shared" ref="BR104:CJ104" si="973">+BR79/BR99</f>
        <v>#DIV/0!</v>
      </c>
      <c r="BS104" s="163" t="e">
        <f t="shared" si="973"/>
        <v>#DIV/0!</v>
      </c>
      <c r="BT104" s="163" t="e">
        <f t="shared" si="973"/>
        <v>#DIV/0!</v>
      </c>
      <c r="BU104" s="163" t="e">
        <f t="shared" si="973"/>
        <v>#DIV/0!</v>
      </c>
      <c r="BV104" s="163" t="e">
        <f t="shared" si="973"/>
        <v>#DIV/0!</v>
      </c>
      <c r="BW104" s="163" t="e">
        <f t="shared" si="973"/>
        <v>#DIV/0!</v>
      </c>
      <c r="BX104" s="163" t="e">
        <f t="shared" si="973"/>
        <v>#DIV/0!</v>
      </c>
      <c r="BY104" s="163" t="e">
        <f t="shared" si="973"/>
        <v>#DIV/0!</v>
      </c>
      <c r="BZ104" s="163" t="e">
        <f t="shared" si="973"/>
        <v>#DIV/0!</v>
      </c>
      <c r="CA104" s="163">
        <f t="shared" si="973"/>
        <v>0</v>
      </c>
      <c r="CB104" s="163">
        <f t="shared" si="973"/>
        <v>1.2369486537616328</v>
      </c>
      <c r="CC104" s="163">
        <f t="shared" si="973"/>
        <v>0.84676705048715695</v>
      </c>
      <c r="CD104" s="163">
        <f t="shared" si="973"/>
        <v>0.63417651133441511</v>
      </c>
      <c r="CE104" s="163">
        <f t="shared" si="973"/>
        <v>0.60718391870340849</v>
      </c>
      <c r="CF104" s="163">
        <f t="shared" si="973"/>
        <v>0.7073536875283809</v>
      </c>
      <c r="CG104" s="163">
        <f t="shared" si="973"/>
        <v>0.68309186216378814</v>
      </c>
      <c r="CH104" s="163">
        <f t="shared" si="973"/>
        <v>0.58866995073891637</v>
      </c>
      <c r="CI104" s="163">
        <f t="shared" si="973"/>
        <v>0.55216042349559158</v>
      </c>
      <c r="CJ104" s="163">
        <f t="shared" si="973"/>
        <v>0.61793222070844689</v>
      </c>
      <c r="CK104" s="163">
        <f t="shared" ref="CK104:CL104" si="974">+CK79/CK99</f>
        <v>0.54163453153764185</v>
      </c>
      <c r="CL104" s="163">
        <f t="shared" si="974"/>
        <v>0.47379493402093131</v>
      </c>
      <c r="CM104" s="94">
        <f t="shared" ref="CM104:DB104" si="975">+CL104</f>
        <v>0.47379493402093131</v>
      </c>
      <c r="CN104" s="94">
        <f t="shared" si="975"/>
        <v>0.47379493402093131</v>
      </c>
      <c r="CO104" s="94">
        <f t="shared" si="975"/>
        <v>0.47379493402093131</v>
      </c>
      <c r="CP104" s="94">
        <f t="shared" si="975"/>
        <v>0.47379493402093131</v>
      </c>
      <c r="CQ104" s="94">
        <f t="shared" si="975"/>
        <v>0.47379493402093131</v>
      </c>
      <c r="CR104" s="94">
        <f t="shared" si="975"/>
        <v>0.47379493402093131</v>
      </c>
      <c r="CS104" s="94">
        <f t="shared" si="975"/>
        <v>0.47379493402093131</v>
      </c>
      <c r="CT104" s="94">
        <f t="shared" si="975"/>
        <v>0.47379493402093131</v>
      </c>
      <c r="CU104" s="94">
        <f t="shared" si="975"/>
        <v>0.47379493402093131</v>
      </c>
      <c r="CV104" s="94">
        <f t="shared" si="975"/>
        <v>0.47379493402093131</v>
      </c>
      <c r="CW104" s="94">
        <f t="shared" si="975"/>
        <v>0.47379493402093131</v>
      </c>
      <c r="CX104" s="94">
        <f t="shared" si="975"/>
        <v>0.47379493402093131</v>
      </c>
      <c r="CY104" s="94">
        <f t="shared" si="975"/>
        <v>0.47379493402093131</v>
      </c>
      <c r="CZ104" s="94">
        <f t="shared" si="975"/>
        <v>0.47379493402093131</v>
      </c>
      <c r="DA104" s="94">
        <f t="shared" si="975"/>
        <v>0.47379493402093131</v>
      </c>
      <c r="DB104" s="94">
        <f t="shared" si="975"/>
        <v>0.47379493402093131</v>
      </c>
      <c r="DE104" s="164"/>
      <c r="DF104" s="163">
        <v>0.47379493402093131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 t="e">
        <f t="shared" si="976"/>
        <v>#DIV/0!</v>
      </c>
      <c r="D107" s="162" t="e">
        <f t="shared" si="976"/>
        <v>#DIV/0!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0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0</v>
      </c>
      <c r="O107" s="162">
        <f t="shared" ca="1" si="976"/>
        <v>0</v>
      </c>
      <c r="P107" s="162">
        <f t="shared" ca="1" si="976"/>
        <v>0</v>
      </c>
      <c r="Q107" s="162">
        <f t="shared" ca="1" si="976"/>
        <v>0</v>
      </c>
      <c r="R107" s="162">
        <f t="shared" ca="1" si="976"/>
        <v>0</v>
      </c>
      <c r="S107" s="162">
        <f t="shared" ca="1" si="976"/>
        <v>0</v>
      </c>
      <c r="T107" s="162">
        <f t="shared" ca="1" si="976"/>
        <v>0</v>
      </c>
      <c r="U107" s="162">
        <f t="shared" ca="1" si="976"/>
        <v>0</v>
      </c>
      <c r="V107" s="162">
        <f t="shared" ca="1" si="976"/>
        <v>0</v>
      </c>
      <c r="W107" s="162">
        <f t="shared" ca="1" si="976"/>
        <v>0</v>
      </c>
      <c r="X107" s="162">
        <f t="shared" ca="1" si="976"/>
        <v>0</v>
      </c>
      <c r="Y107" s="162">
        <f t="shared" ca="1" si="976"/>
        <v>936.40200000000004</v>
      </c>
      <c r="Z107" s="162">
        <f t="shared" ca="1" si="976"/>
        <v>1176.3579999999999</v>
      </c>
      <c r="AA107" s="162">
        <f t="shared" ref="AA107" ca="1" si="977">+AA78*AA65</f>
        <v>1176.3579999999999</v>
      </c>
      <c r="AB107" s="21">
        <f t="shared" ca="1" si="976"/>
        <v>1511.3541773421575</v>
      </c>
      <c r="AC107" s="21">
        <f t="shared" ca="1" si="976"/>
        <v>1679.5977052751052</v>
      </c>
      <c r="AD107" s="21">
        <f t="shared" ca="1" si="976"/>
        <v>1935.4297689102684</v>
      </c>
      <c r="AE107" s="21">
        <f t="shared" ca="1" si="976"/>
        <v>2273.1629297116988</v>
      </c>
      <c r="AL107" s="162">
        <f t="shared" ref="AL107:BQ107" si="978">+AL78*AL65</f>
        <v>0</v>
      </c>
      <c r="AM107" s="162">
        <f t="shared" si="978"/>
        <v>0</v>
      </c>
      <c r="AN107" s="162">
        <f t="shared" si="978"/>
        <v>0</v>
      </c>
      <c r="AO107" s="162">
        <f t="shared" si="978"/>
        <v>0</v>
      </c>
      <c r="AP107" s="162">
        <f t="shared" si="978"/>
        <v>0</v>
      </c>
      <c r="AQ107" s="162">
        <f t="shared" si="978"/>
        <v>0</v>
      </c>
      <c r="AR107" s="162">
        <f t="shared" si="978"/>
        <v>0</v>
      </c>
      <c r="AS107" s="162">
        <f t="shared" si="978"/>
        <v>0</v>
      </c>
      <c r="AT107" s="162">
        <f t="shared" si="978"/>
        <v>0</v>
      </c>
      <c r="AU107" s="162">
        <f t="shared" si="978"/>
        <v>0</v>
      </c>
      <c r="AV107" s="162">
        <f t="shared" si="978"/>
        <v>0</v>
      </c>
      <c r="AW107" s="162">
        <f t="shared" si="978"/>
        <v>0</v>
      </c>
      <c r="AX107" s="162">
        <f t="shared" si="978"/>
        <v>0</v>
      </c>
      <c r="AY107" s="162">
        <f t="shared" si="978"/>
        <v>0</v>
      </c>
      <c r="AZ107" s="162">
        <f t="shared" si="978"/>
        <v>0</v>
      </c>
      <c r="BA107" s="162">
        <f t="shared" si="978"/>
        <v>0</v>
      </c>
      <c r="BB107" s="162">
        <f t="shared" si="978"/>
        <v>0</v>
      </c>
      <c r="BC107" s="162">
        <f t="shared" si="978"/>
        <v>0</v>
      </c>
      <c r="BD107" s="162">
        <f t="shared" si="978"/>
        <v>0</v>
      </c>
      <c r="BE107" s="162">
        <f t="shared" si="978"/>
        <v>0</v>
      </c>
      <c r="BF107" s="162">
        <f t="shared" si="978"/>
        <v>0</v>
      </c>
      <c r="BG107" s="162">
        <f t="shared" si="978"/>
        <v>0</v>
      </c>
      <c r="BH107" s="162">
        <f t="shared" si="978"/>
        <v>0</v>
      </c>
      <c r="BI107" s="162">
        <f t="shared" si="978"/>
        <v>0</v>
      </c>
      <c r="BJ107" s="162">
        <f t="shared" si="978"/>
        <v>0</v>
      </c>
      <c r="BK107" s="162">
        <f t="shared" si="978"/>
        <v>0</v>
      </c>
      <c r="BL107" s="162">
        <f t="shared" si="978"/>
        <v>0</v>
      </c>
      <c r="BM107" s="162">
        <f t="shared" si="978"/>
        <v>0</v>
      </c>
      <c r="BN107" s="162">
        <f t="shared" si="978"/>
        <v>0</v>
      </c>
      <c r="BO107" s="162">
        <f t="shared" si="978"/>
        <v>0</v>
      </c>
      <c r="BP107" s="162">
        <f t="shared" si="978"/>
        <v>0</v>
      </c>
      <c r="BQ107" s="162">
        <f t="shared" si="978"/>
        <v>0</v>
      </c>
      <c r="BR107" s="162">
        <f t="shared" ref="BR107:CJ107" si="979">+BR78*BR65</f>
        <v>0</v>
      </c>
      <c r="BS107" s="162">
        <f t="shared" si="979"/>
        <v>0</v>
      </c>
      <c r="BT107" s="162">
        <f t="shared" si="979"/>
        <v>0</v>
      </c>
      <c r="BU107" s="162">
        <f t="shared" si="979"/>
        <v>0</v>
      </c>
      <c r="BV107" s="162">
        <f t="shared" si="979"/>
        <v>0</v>
      </c>
      <c r="BW107" s="162">
        <f t="shared" si="979"/>
        <v>0</v>
      </c>
      <c r="BX107" s="162">
        <f t="shared" si="979"/>
        <v>0</v>
      </c>
      <c r="BY107" s="162">
        <f t="shared" si="979"/>
        <v>0</v>
      </c>
      <c r="BZ107" s="162">
        <f t="shared" si="979"/>
        <v>0</v>
      </c>
      <c r="CA107" s="162">
        <f t="shared" si="979"/>
        <v>742.81200000000001</v>
      </c>
      <c r="CB107" s="162">
        <f t="shared" si="979"/>
        <v>822.16000000000008</v>
      </c>
      <c r="CC107" s="162">
        <f t="shared" si="979"/>
        <v>889.08</v>
      </c>
      <c r="CD107" s="162">
        <f t="shared" si="979"/>
        <v>936.40200000000004</v>
      </c>
      <c r="CE107" s="162">
        <f t="shared" si="979"/>
        <v>903.0376</v>
      </c>
      <c r="CF107" s="162">
        <f t="shared" si="979"/>
        <v>1176.3579999999999</v>
      </c>
      <c r="CG107" s="162">
        <f t="shared" si="979"/>
        <v>1109.9159999999999</v>
      </c>
      <c r="CH107" s="162">
        <f t="shared" si="979"/>
        <v>1015.272</v>
      </c>
      <c r="CI107" s="162">
        <f t="shared" si="979"/>
        <v>943.57200000000012</v>
      </c>
      <c r="CJ107" s="162">
        <f t="shared" si="979"/>
        <v>935.92400000000009</v>
      </c>
      <c r="CK107" s="162">
        <f t="shared" ref="CK107:CL107" si="980">+CK78*CK65</f>
        <v>860.30439999999999</v>
      </c>
      <c r="CL107" s="162">
        <f t="shared" si="980"/>
        <v>825.98400000000015</v>
      </c>
      <c r="CM107" s="21">
        <f t="shared" ref="CM107:DB107" si="981">+CM78*CM65</f>
        <v>1007.0551662347505</v>
      </c>
      <c r="CN107" s="21">
        <f t="shared" si="981"/>
        <v>1051.9741090565676</v>
      </c>
      <c r="CO107" s="21">
        <f t="shared" si="981"/>
        <v>1358.5579972792714</v>
      </c>
      <c r="CP107" s="21">
        <f t="shared" si="981"/>
        <v>1511.3541773421575</v>
      </c>
      <c r="CQ107" s="21">
        <f t="shared" si="981"/>
        <v>1542.3368844849749</v>
      </c>
      <c r="CR107" s="21">
        <f t="shared" si="981"/>
        <v>1548.0830202811687</v>
      </c>
      <c r="CS107" s="21">
        <f t="shared" si="981"/>
        <v>1617.8192258665695</v>
      </c>
      <c r="CT107" s="21">
        <f t="shared" si="981"/>
        <v>1679.5977052751052</v>
      </c>
      <c r="CU107" s="21">
        <f t="shared" si="981"/>
        <v>1730.1182917325041</v>
      </c>
      <c r="CV107" s="21">
        <f t="shared" si="981"/>
        <v>1757.2257638249694</v>
      </c>
      <c r="CW107" s="21">
        <f t="shared" si="981"/>
        <v>1845.6746314755828</v>
      </c>
      <c r="CX107" s="21">
        <f t="shared" si="981"/>
        <v>1935.4297689102684</v>
      </c>
      <c r="CY107" s="21">
        <f t="shared" si="981"/>
        <v>2005.3521301227804</v>
      </c>
      <c r="CZ107" s="21">
        <f t="shared" si="981"/>
        <v>2046.6035555424214</v>
      </c>
      <c r="DA107" s="21">
        <f t="shared" si="981"/>
        <v>2158.5169883398735</v>
      </c>
      <c r="DB107" s="21">
        <f t="shared" si="981"/>
        <v>2273.1629297116988</v>
      </c>
      <c r="DE107" s="22"/>
      <c r="DF107" s="162">
        <v>943.57200000000012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 t="e">
        <f t="shared" si="982"/>
        <v>#DIV/0!</v>
      </c>
      <c r="D108" s="162" t="e">
        <f t="shared" si="982"/>
        <v>#DIV/0!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0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0</v>
      </c>
      <c r="O108" s="162">
        <f t="shared" ca="1" si="982"/>
        <v>0</v>
      </c>
      <c r="P108" s="162">
        <f t="shared" ca="1" si="982"/>
        <v>0</v>
      </c>
      <c r="Q108" s="162">
        <f t="shared" ca="1" si="982"/>
        <v>0</v>
      </c>
      <c r="R108" s="162">
        <f t="shared" ca="1" si="982"/>
        <v>0</v>
      </c>
      <c r="S108" s="162">
        <f t="shared" ca="1" si="982"/>
        <v>0</v>
      </c>
      <c r="T108" s="162">
        <f t="shared" ca="1" si="982"/>
        <v>0</v>
      </c>
      <c r="U108" s="162">
        <f t="shared" ca="1" si="982"/>
        <v>0</v>
      </c>
      <c r="V108" s="162">
        <f t="shared" ca="1" si="982"/>
        <v>0</v>
      </c>
      <c r="W108" s="162">
        <f t="shared" ca="1" si="982"/>
        <v>0</v>
      </c>
      <c r="X108" s="162">
        <f t="shared" ca="1" si="982"/>
        <v>0</v>
      </c>
      <c r="Y108" s="162">
        <f t="shared" ca="1" si="982"/>
        <v>573.6</v>
      </c>
      <c r="Z108" s="162">
        <f t="shared" ca="1" si="982"/>
        <v>654.86</v>
      </c>
      <c r="AA108" s="162">
        <f t="shared" ref="AA108" ca="1" si="983">+AA79*AA65</f>
        <v>654.86</v>
      </c>
      <c r="AB108" s="21">
        <f t="shared" ca="1" si="982"/>
        <v>761.7020267759367</v>
      </c>
      <c r="AC108" s="21">
        <f t="shared" ca="1" si="982"/>
        <v>1166.5707801052442</v>
      </c>
      <c r="AD108" s="21">
        <f t="shared" ca="1" si="982"/>
        <v>1308.6022032953599</v>
      </c>
      <c r="AE108" s="21">
        <f t="shared" ca="1" si="982"/>
        <v>1516.7796493463388</v>
      </c>
      <c r="AL108" s="162">
        <f t="shared" ref="AL108:BQ108" si="984">+AL79*AL65</f>
        <v>0</v>
      </c>
      <c r="AM108" s="162">
        <f t="shared" si="984"/>
        <v>0</v>
      </c>
      <c r="AN108" s="162">
        <f t="shared" si="984"/>
        <v>0</v>
      </c>
      <c r="AO108" s="162">
        <f t="shared" si="984"/>
        <v>0</v>
      </c>
      <c r="AP108" s="162">
        <f t="shared" si="984"/>
        <v>0</v>
      </c>
      <c r="AQ108" s="162">
        <f t="shared" si="984"/>
        <v>0</v>
      </c>
      <c r="AR108" s="162">
        <f t="shared" si="984"/>
        <v>0</v>
      </c>
      <c r="AS108" s="162">
        <f t="shared" si="984"/>
        <v>0</v>
      </c>
      <c r="AT108" s="162">
        <f t="shared" si="984"/>
        <v>0</v>
      </c>
      <c r="AU108" s="162">
        <f t="shared" si="984"/>
        <v>0</v>
      </c>
      <c r="AV108" s="162">
        <f t="shared" si="984"/>
        <v>0</v>
      </c>
      <c r="AW108" s="162">
        <f t="shared" si="984"/>
        <v>0</v>
      </c>
      <c r="AX108" s="162">
        <f t="shared" si="984"/>
        <v>0</v>
      </c>
      <c r="AY108" s="162">
        <f t="shared" si="984"/>
        <v>0</v>
      </c>
      <c r="AZ108" s="162">
        <f t="shared" si="984"/>
        <v>0</v>
      </c>
      <c r="BA108" s="162">
        <f t="shared" si="984"/>
        <v>0</v>
      </c>
      <c r="BB108" s="162">
        <f t="shared" si="984"/>
        <v>0</v>
      </c>
      <c r="BC108" s="162">
        <f t="shared" si="984"/>
        <v>0</v>
      </c>
      <c r="BD108" s="162">
        <f t="shared" si="984"/>
        <v>0</v>
      </c>
      <c r="BE108" s="162">
        <f t="shared" si="984"/>
        <v>0</v>
      </c>
      <c r="BF108" s="162">
        <f t="shared" si="984"/>
        <v>0</v>
      </c>
      <c r="BG108" s="162">
        <f t="shared" si="984"/>
        <v>0</v>
      </c>
      <c r="BH108" s="162">
        <f t="shared" si="984"/>
        <v>0</v>
      </c>
      <c r="BI108" s="162">
        <f t="shared" si="984"/>
        <v>0</v>
      </c>
      <c r="BJ108" s="162">
        <f t="shared" si="984"/>
        <v>0</v>
      </c>
      <c r="BK108" s="162">
        <f t="shared" si="984"/>
        <v>0</v>
      </c>
      <c r="BL108" s="162">
        <f t="shared" si="984"/>
        <v>0</v>
      </c>
      <c r="BM108" s="162">
        <f t="shared" si="984"/>
        <v>0</v>
      </c>
      <c r="BN108" s="162">
        <f t="shared" si="984"/>
        <v>0</v>
      </c>
      <c r="BO108" s="162">
        <f t="shared" si="984"/>
        <v>0</v>
      </c>
      <c r="BP108" s="162">
        <f t="shared" si="984"/>
        <v>0</v>
      </c>
      <c r="BQ108" s="162">
        <f t="shared" si="984"/>
        <v>0</v>
      </c>
      <c r="BR108" s="162">
        <f t="shared" ref="BR108:CJ108" si="985">+BR79*BR65</f>
        <v>0</v>
      </c>
      <c r="BS108" s="162">
        <f t="shared" si="985"/>
        <v>0</v>
      </c>
      <c r="BT108" s="162">
        <f t="shared" si="985"/>
        <v>0</v>
      </c>
      <c r="BU108" s="162">
        <f t="shared" si="985"/>
        <v>0</v>
      </c>
      <c r="BV108" s="162">
        <f t="shared" si="985"/>
        <v>0</v>
      </c>
      <c r="BW108" s="162">
        <f t="shared" si="985"/>
        <v>0</v>
      </c>
      <c r="BX108" s="162">
        <f t="shared" si="985"/>
        <v>0</v>
      </c>
      <c r="BY108" s="162">
        <f t="shared" si="985"/>
        <v>0</v>
      </c>
      <c r="BZ108" s="162">
        <f t="shared" si="985"/>
        <v>0</v>
      </c>
      <c r="CA108" s="162">
        <f t="shared" si="985"/>
        <v>0</v>
      </c>
      <c r="CB108" s="162">
        <f t="shared" si="985"/>
        <v>647.30759999999998</v>
      </c>
      <c r="CC108" s="162">
        <f t="shared" si="985"/>
        <v>650.08000000000004</v>
      </c>
      <c r="CD108" s="162">
        <f t="shared" si="985"/>
        <v>668.33960000000002</v>
      </c>
      <c r="CE108" s="162">
        <f t="shared" si="985"/>
        <v>654.86</v>
      </c>
      <c r="CF108" s="162">
        <f t="shared" si="985"/>
        <v>794.43600000000004</v>
      </c>
      <c r="CG108" s="162">
        <f t="shared" si="985"/>
        <v>794.9140000000001</v>
      </c>
      <c r="CH108" s="162">
        <f t="shared" si="985"/>
        <v>683.54000000000008</v>
      </c>
      <c r="CI108" s="162">
        <f t="shared" si="985"/>
        <v>630.00400000000013</v>
      </c>
      <c r="CJ108" s="162">
        <f t="shared" si="985"/>
        <v>725.69960000000003</v>
      </c>
      <c r="CK108" s="162">
        <f t="shared" ref="CK108:CL108" si="986">+CK79*CK65</f>
        <v>670.8252</v>
      </c>
      <c r="CL108" s="162">
        <f t="shared" si="986"/>
        <v>624.74599999999998</v>
      </c>
      <c r="CM108" s="21">
        <f t="shared" ref="CM108:DB108" si="987">+CM79*CM65</f>
        <v>761.7020267759367</v>
      </c>
      <c r="CN108" s="21">
        <f t="shared" si="987"/>
        <v>795.67717623665135</v>
      </c>
      <c r="CO108" s="21">
        <f t="shared" si="987"/>
        <v>1027.5667259513932</v>
      </c>
      <c r="CP108" s="21">
        <f t="shared" si="987"/>
        <v>1143.1365218670135</v>
      </c>
      <c r="CQ108" s="21">
        <f t="shared" si="987"/>
        <v>1166.5707801052442</v>
      </c>
      <c r="CR108" s="21">
        <f t="shared" si="987"/>
        <v>1170.916960363129</v>
      </c>
      <c r="CS108" s="21">
        <f t="shared" si="987"/>
        <v>1223.6630371571794</v>
      </c>
      <c r="CT108" s="21">
        <f t="shared" si="987"/>
        <v>1270.390162496853</v>
      </c>
      <c r="CU108" s="21">
        <f t="shared" si="987"/>
        <v>1308.6022032953599</v>
      </c>
      <c r="CV108" s="21">
        <f t="shared" si="987"/>
        <v>1329.1053665041866</v>
      </c>
      <c r="CW108" s="21">
        <f t="shared" si="987"/>
        <v>1396.0050598024225</v>
      </c>
      <c r="CX108" s="21">
        <f t="shared" si="987"/>
        <v>1463.8927708134954</v>
      </c>
      <c r="CY108" s="21">
        <f t="shared" si="987"/>
        <v>1516.7796493463388</v>
      </c>
      <c r="CZ108" s="21">
        <f t="shared" si="987"/>
        <v>1547.9808142904767</v>
      </c>
      <c r="DA108" s="21">
        <f t="shared" si="987"/>
        <v>1632.6283007871605</v>
      </c>
      <c r="DB108" s="21">
        <f t="shared" si="987"/>
        <v>1719.3425631557811</v>
      </c>
      <c r="DE108" s="22"/>
      <c r="DF108" s="162">
        <v>624.74599999999998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0</v>
      </c>
      <c r="D109" s="162">
        <f t="shared" si="988"/>
        <v>0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0</v>
      </c>
      <c r="I109" s="162">
        <f t="shared" si="988"/>
        <v>0</v>
      </c>
      <c r="J109" s="162">
        <f t="shared" si="988"/>
        <v>0</v>
      </c>
      <c r="K109" s="162">
        <f t="shared" si="988"/>
        <v>0</v>
      </c>
      <c r="L109" s="162">
        <f t="shared" si="988"/>
        <v>0</v>
      </c>
      <c r="M109" s="162">
        <f t="shared" si="988"/>
        <v>0</v>
      </c>
      <c r="N109" s="162">
        <f t="shared" si="988"/>
        <v>0</v>
      </c>
      <c r="O109" s="162">
        <f t="shared" si="988"/>
        <v>0</v>
      </c>
      <c r="P109" s="162">
        <f t="shared" si="988"/>
        <v>0</v>
      </c>
      <c r="Q109" s="162">
        <f t="shared" si="988"/>
        <v>0</v>
      </c>
      <c r="R109" s="162">
        <f t="shared" si="988"/>
        <v>0</v>
      </c>
      <c r="S109" s="162">
        <f t="shared" si="988"/>
        <v>0</v>
      </c>
      <c r="T109" s="162">
        <f t="shared" si="988"/>
        <v>0</v>
      </c>
      <c r="U109" s="162">
        <f t="shared" si="988"/>
        <v>0</v>
      </c>
      <c r="V109" s="162">
        <f t="shared" si="988"/>
        <v>-5.1849000000000001E-3</v>
      </c>
      <c r="W109" s="162">
        <f t="shared" si="988"/>
        <v>-5.1849000000000001E-3</v>
      </c>
      <c r="X109" s="162">
        <f t="shared" ref="X109:Y109" si="989">+X168</f>
        <v>0</v>
      </c>
      <c r="Y109" s="162">
        <f t="shared" si="989"/>
        <v>59.690000000000005</v>
      </c>
      <c r="Z109" s="162">
        <f t="shared" ref="Z109:AA109" si="990">+Z168</f>
        <v>58.139999999999993</v>
      </c>
      <c r="AA109" s="162">
        <f t="shared" ref="AA109" si="991">+AA168</f>
        <v>116.17000000000002</v>
      </c>
      <c r="AB109" s="21">
        <f t="shared" ref="AB109:AD109" si="992">+AB168</f>
        <v>103.48359359200259</v>
      </c>
      <c r="AC109" s="21">
        <f t="shared" si="992"/>
        <v>93.757180226584225</v>
      </c>
      <c r="AD109" s="21">
        <f t="shared" si="992"/>
        <v>87.990764117155052</v>
      </c>
      <c r="AE109" s="21">
        <f t="shared" ref="AE109" si="993">+AE168</f>
        <v>84.607503923336182</v>
      </c>
      <c r="AL109" s="162">
        <f t="shared" ref="AL109:AM109" si="994">+AL168</f>
        <v>0</v>
      </c>
      <c r="AM109" s="162" t="e">
        <f t="shared" si="994"/>
        <v>#DIV/0!</v>
      </c>
      <c r="AN109" s="162">
        <f t="shared" ref="AN109:AO109" si="995">+AN168</f>
        <v>0</v>
      </c>
      <c r="AO109" s="162" t="e">
        <f t="shared" si="995"/>
        <v>#DIV/0!</v>
      </c>
      <c r="AP109" s="162">
        <f t="shared" ref="AP109:CD109" si="996">+AP168</f>
        <v>0</v>
      </c>
      <c r="AQ109" s="162" t="e">
        <f t="shared" si="996"/>
        <v>#DIV/0!</v>
      </c>
      <c r="AR109" s="162">
        <f t="shared" si="996"/>
        <v>0</v>
      </c>
      <c r="AS109" s="162" t="e">
        <f t="shared" si="996"/>
        <v>#DIV/0!</v>
      </c>
      <c r="AT109" s="162">
        <f t="shared" si="996"/>
        <v>0</v>
      </c>
      <c r="AU109" s="162" t="e">
        <f t="shared" si="996"/>
        <v>#DIV/0!</v>
      </c>
      <c r="AV109" s="162">
        <f t="shared" si="996"/>
        <v>0</v>
      </c>
      <c r="AW109" s="162" t="e">
        <f t="shared" si="996"/>
        <v>#DIV/0!</v>
      </c>
      <c r="AX109" s="162">
        <f t="shared" si="996"/>
        <v>0</v>
      </c>
      <c r="AY109" s="162" t="e">
        <f t="shared" si="996"/>
        <v>#DIV/0!</v>
      </c>
      <c r="AZ109" s="162">
        <f t="shared" si="996"/>
        <v>0</v>
      </c>
      <c r="BA109" s="162" t="e">
        <f t="shared" si="996"/>
        <v>#DIV/0!</v>
      </c>
      <c r="BB109" s="162">
        <f t="shared" si="996"/>
        <v>0</v>
      </c>
      <c r="BC109" s="162" t="e">
        <f t="shared" si="996"/>
        <v>#DIV/0!</v>
      </c>
      <c r="BD109" s="162">
        <f t="shared" si="996"/>
        <v>0</v>
      </c>
      <c r="BE109" s="162" t="e">
        <f t="shared" si="996"/>
        <v>#DIV/0!</v>
      </c>
      <c r="BF109" s="162">
        <f t="shared" si="996"/>
        <v>0</v>
      </c>
      <c r="BG109" s="162" t="e">
        <f t="shared" si="996"/>
        <v>#DIV/0!</v>
      </c>
      <c r="BH109" s="162">
        <f t="shared" si="996"/>
        <v>0</v>
      </c>
      <c r="BI109" s="162" t="e">
        <f t="shared" si="996"/>
        <v>#DIV/0!</v>
      </c>
      <c r="BJ109" s="162">
        <f t="shared" si="996"/>
        <v>0</v>
      </c>
      <c r="BK109" s="162" t="e">
        <f t="shared" si="996"/>
        <v>#DIV/0!</v>
      </c>
      <c r="BL109" s="162">
        <f t="shared" si="996"/>
        <v>0</v>
      </c>
      <c r="BM109" s="162" t="e">
        <f t="shared" si="996"/>
        <v>#DIV/0!</v>
      </c>
      <c r="BN109" s="162">
        <f t="shared" si="996"/>
        <v>0</v>
      </c>
      <c r="BO109" s="162" t="e">
        <f t="shared" si="996"/>
        <v>#DIV/0!</v>
      </c>
      <c r="BP109" s="162">
        <f t="shared" si="996"/>
        <v>0</v>
      </c>
      <c r="BQ109" s="162" t="e">
        <f t="shared" si="996"/>
        <v>#DIV/0!</v>
      </c>
      <c r="BR109" s="162">
        <f t="shared" si="996"/>
        <v>0</v>
      </c>
      <c r="BS109" s="162" t="e">
        <f t="shared" si="996"/>
        <v>#DIV/0!</v>
      </c>
      <c r="BT109" s="162">
        <f t="shared" si="996"/>
        <v>0</v>
      </c>
      <c r="BU109" s="162" t="e">
        <f t="shared" si="996"/>
        <v>#DIV/0!</v>
      </c>
      <c r="BV109" s="162">
        <f t="shared" si="996"/>
        <v>0</v>
      </c>
      <c r="BW109" s="162" t="e">
        <f t="shared" si="996"/>
        <v>#DIV/0!</v>
      </c>
      <c r="BX109" s="162">
        <f t="shared" si="996"/>
        <v>0</v>
      </c>
      <c r="BY109" s="162" t="e">
        <f t="shared" si="996"/>
        <v>#DIV/0!</v>
      </c>
      <c r="BZ109" s="162">
        <f t="shared" si="996"/>
        <v>0</v>
      </c>
      <c r="CA109" s="162" t="e">
        <f t="shared" si="996"/>
        <v>#DIV/0!</v>
      </c>
      <c r="CB109" s="162">
        <f t="shared" si="996"/>
        <v>15.309999999999995</v>
      </c>
      <c r="CC109" s="162">
        <f t="shared" si="996"/>
        <v>-9.3539060877590856</v>
      </c>
      <c r="CD109" s="162">
        <f t="shared" si="996"/>
        <v>59.859999999999992</v>
      </c>
      <c r="CE109" s="162">
        <f t="shared" ref="CE109:CF109" si="997">+CE168</f>
        <v>50.790307880482281</v>
      </c>
      <c r="CF109" s="162">
        <f t="shared" si="997"/>
        <v>-92.240000000000009</v>
      </c>
      <c r="CG109" s="162">
        <f t="shared" ref="CG109:CH109" si="998">+CG168</f>
        <v>-120.99233405554466</v>
      </c>
      <c r="CH109" s="162">
        <f t="shared" si="998"/>
        <v>58.139999999999993</v>
      </c>
      <c r="CI109" s="162">
        <f t="shared" ref="CI109:CJ109" si="999">+CI168</f>
        <v>6.6664137371742456</v>
      </c>
      <c r="CJ109" s="162">
        <f t="shared" si="999"/>
        <v>49.18</v>
      </c>
      <c r="CK109" s="162">
        <f t="shared" ref="CK109:CL109" si="1000">+CK168</f>
        <v>50.782183173588727</v>
      </c>
      <c r="CL109" s="162">
        <f t="shared" si="1000"/>
        <v>116.78</v>
      </c>
      <c r="CM109" s="21">
        <f t="shared" ref="CM109:DB109" si="1001">+CM168</f>
        <v>-4.5318867565881078</v>
      </c>
      <c r="CN109" s="21">
        <f t="shared" si="1001"/>
        <v>127.24067401421554</v>
      </c>
      <c r="CO109" s="21">
        <f t="shared" si="1001"/>
        <v>119.141346483745</v>
      </c>
      <c r="CP109" s="21">
        <f t="shared" si="1001"/>
        <v>103.48359359200259</v>
      </c>
      <c r="CQ109" s="21">
        <f t="shared" si="1001"/>
        <v>-48.595261997694934</v>
      </c>
      <c r="CR109" s="21">
        <f t="shared" si="1001"/>
        <v>118.0692687648212</v>
      </c>
      <c r="CS109" s="21">
        <f t="shared" si="1001"/>
        <v>111.42339046142735</v>
      </c>
      <c r="CT109" s="21">
        <f t="shared" si="1001"/>
        <v>93.757180226584225</v>
      </c>
      <c r="CU109" s="21">
        <f t="shared" si="1001"/>
        <v>-87.360689240866776</v>
      </c>
      <c r="CV109" s="21">
        <f t="shared" si="1001"/>
        <v>114.92402328416779</v>
      </c>
      <c r="CW109" s="21">
        <f t="shared" si="1001"/>
        <v>108.24170396543137</v>
      </c>
      <c r="CX109" s="21">
        <f t="shared" si="1001"/>
        <v>87.990764117155052</v>
      </c>
      <c r="CY109" s="21">
        <f t="shared" si="1001"/>
        <v>-127.50631878599481</v>
      </c>
      <c r="CZ109" s="21">
        <f t="shared" si="1001"/>
        <v>115.49942681131122</v>
      </c>
      <c r="DA109" s="21">
        <f t="shared" si="1001"/>
        <v>108.20635640449522</v>
      </c>
      <c r="DB109" s="21">
        <f t="shared" si="1001"/>
        <v>84.607503923336182</v>
      </c>
      <c r="DE109" s="22"/>
      <c r="DF109" s="162">
        <v>116.78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02">+C107+C109</f>
        <v>#DIV/0!</v>
      </c>
      <c r="D110" s="162" t="e">
        <f t="shared" si="1002"/>
        <v>#DIV/0!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0</v>
      </c>
      <c r="J110" s="162">
        <f t="shared" ca="1" si="1002"/>
        <v>0</v>
      </c>
      <c r="K110" s="162">
        <f t="shared" ca="1" si="1002"/>
        <v>0</v>
      </c>
      <c r="L110" s="162">
        <f t="shared" ca="1" si="1002"/>
        <v>0</v>
      </c>
      <c r="M110" s="162">
        <f t="shared" ca="1" si="1002"/>
        <v>0</v>
      </c>
      <c r="N110" s="162">
        <f t="shared" ca="1" si="1002"/>
        <v>0</v>
      </c>
      <c r="O110" s="162">
        <f t="shared" ca="1" si="1002"/>
        <v>0</v>
      </c>
      <c r="P110" s="162">
        <f t="shared" ca="1" si="1002"/>
        <v>0</v>
      </c>
      <c r="Q110" s="162">
        <f t="shared" ca="1" si="1002"/>
        <v>0</v>
      </c>
      <c r="R110" s="162">
        <f t="shared" ca="1" si="1002"/>
        <v>0</v>
      </c>
      <c r="S110" s="162">
        <f t="shared" ca="1" si="1002"/>
        <v>0</v>
      </c>
      <c r="T110" s="162">
        <f t="shared" ca="1" si="1002"/>
        <v>0</v>
      </c>
      <c r="U110" s="162">
        <f t="shared" ca="1" si="1002"/>
        <v>0</v>
      </c>
      <c r="V110" s="162">
        <f t="shared" ca="1" si="1002"/>
        <v>-5.1849000000000001E-3</v>
      </c>
      <c r="W110" s="162">
        <f t="shared" ca="1" si="1002"/>
        <v>-5.1849000000000001E-3</v>
      </c>
      <c r="X110" s="162">
        <f t="shared" ref="X110:Y110" ca="1" si="1003">+X107+X109</f>
        <v>0</v>
      </c>
      <c r="Y110" s="162">
        <f t="shared" ca="1" si="1003"/>
        <v>996.0920000000001</v>
      </c>
      <c r="Z110" s="162">
        <f t="shared" ref="Z110:AA110" ca="1" si="1004">+Z107+Z109</f>
        <v>1234.498</v>
      </c>
      <c r="AA110" s="162">
        <f t="shared" ref="AA110" ca="1" si="1005">+AA107+AA109</f>
        <v>1234.498</v>
      </c>
      <c r="AB110" s="21">
        <f t="shared" ref="AB110:AD110" ca="1" si="1006">+AB107+AB109</f>
        <v>1614.8377709341601</v>
      </c>
      <c r="AC110" s="21">
        <f t="shared" ca="1" si="1006"/>
        <v>1773.3548855016895</v>
      </c>
      <c r="AD110" s="21">
        <f t="shared" ca="1" si="1006"/>
        <v>2023.4205330274235</v>
      </c>
      <c r="AE110" s="21">
        <f t="shared" ref="AE110" ca="1" si="1007">+AE107+AE109</f>
        <v>2357.7704336350348</v>
      </c>
      <c r="AL110" s="162">
        <f t="shared" ref="AL110" si="1008">+AL107+AL109</f>
        <v>0</v>
      </c>
      <c r="AM110" s="162" t="e">
        <f t="shared" ref="AM110:AO110" si="1009">+AM107+AM109</f>
        <v>#DIV/0!</v>
      </c>
      <c r="AN110" s="162">
        <f t="shared" si="1009"/>
        <v>0</v>
      </c>
      <c r="AO110" s="162" t="e">
        <f t="shared" si="1009"/>
        <v>#DIV/0!</v>
      </c>
      <c r="AP110" s="162">
        <f t="shared" ref="AP110:CD110" si="1010">+AP107+AP109</f>
        <v>0</v>
      </c>
      <c r="AQ110" s="162" t="e">
        <f t="shared" si="1010"/>
        <v>#DIV/0!</v>
      </c>
      <c r="AR110" s="162">
        <f t="shared" si="1010"/>
        <v>0</v>
      </c>
      <c r="AS110" s="162" t="e">
        <f t="shared" si="1010"/>
        <v>#DIV/0!</v>
      </c>
      <c r="AT110" s="162">
        <f t="shared" si="1010"/>
        <v>0</v>
      </c>
      <c r="AU110" s="162" t="e">
        <f t="shared" si="1010"/>
        <v>#DIV/0!</v>
      </c>
      <c r="AV110" s="162">
        <f t="shared" si="1010"/>
        <v>0</v>
      </c>
      <c r="AW110" s="162" t="e">
        <f t="shared" si="1010"/>
        <v>#DIV/0!</v>
      </c>
      <c r="AX110" s="162">
        <f t="shared" si="1010"/>
        <v>0</v>
      </c>
      <c r="AY110" s="162" t="e">
        <f t="shared" si="1010"/>
        <v>#DIV/0!</v>
      </c>
      <c r="AZ110" s="162">
        <f t="shared" si="1010"/>
        <v>0</v>
      </c>
      <c r="BA110" s="162" t="e">
        <f t="shared" si="1010"/>
        <v>#DIV/0!</v>
      </c>
      <c r="BB110" s="162">
        <f t="shared" si="1010"/>
        <v>0</v>
      </c>
      <c r="BC110" s="162" t="e">
        <f t="shared" si="1010"/>
        <v>#DIV/0!</v>
      </c>
      <c r="BD110" s="162">
        <f t="shared" si="1010"/>
        <v>0</v>
      </c>
      <c r="BE110" s="162" t="e">
        <f t="shared" si="1010"/>
        <v>#DIV/0!</v>
      </c>
      <c r="BF110" s="162">
        <f t="shared" si="1010"/>
        <v>0</v>
      </c>
      <c r="BG110" s="162" t="e">
        <f t="shared" si="1010"/>
        <v>#DIV/0!</v>
      </c>
      <c r="BH110" s="162">
        <f t="shared" si="1010"/>
        <v>0</v>
      </c>
      <c r="BI110" s="162" t="e">
        <f t="shared" si="1010"/>
        <v>#DIV/0!</v>
      </c>
      <c r="BJ110" s="162">
        <f t="shared" si="1010"/>
        <v>0</v>
      </c>
      <c r="BK110" s="162" t="e">
        <f t="shared" si="1010"/>
        <v>#DIV/0!</v>
      </c>
      <c r="BL110" s="162">
        <f t="shared" si="1010"/>
        <v>0</v>
      </c>
      <c r="BM110" s="162" t="e">
        <f t="shared" si="1010"/>
        <v>#DIV/0!</v>
      </c>
      <c r="BN110" s="162">
        <f t="shared" si="1010"/>
        <v>0</v>
      </c>
      <c r="BO110" s="162" t="e">
        <f t="shared" si="1010"/>
        <v>#DIV/0!</v>
      </c>
      <c r="BP110" s="162">
        <f t="shared" si="1010"/>
        <v>0</v>
      </c>
      <c r="BQ110" s="162" t="e">
        <f t="shared" si="1010"/>
        <v>#DIV/0!</v>
      </c>
      <c r="BR110" s="162">
        <f t="shared" si="1010"/>
        <v>0</v>
      </c>
      <c r="BS110" s="162" t="e">
        <f t="shared" si="1010"/>
        <v>#DIV/0!</v>
      </c>
      <c r="BT110" s="162">
        <f t="shared" si="1010"/>
        <v>0</v>
      </c>
      <c r="BU110" s="162" t="e">
        <f t="shared" si="1010"/>
        <v>#DIV/0!</v>
      </c>
      <c r="BV110" s="162">
        <f t="shared" si="1010"/>
        <v>0</v>
      </c>
      <c r="BW110" s="162" t="e">
        <f t="shared" si="1010"/>
        <v>#DIV/0!</v>
      </c>
      <c r="BX110" s="162">
        <f t="shared" si="1010"/>
        <v>0</v>
      </c>
      <c r="BY110" s="162" t="e">
        <f t="shared" si="1010"/>
        <v>#DIV/0!</v>
      </c>
      <c r="BZ110" s="162">
        <f t="shared" si="1010"/>
        <v>0</v>
      </c>
      <c r="CA110" s="162" t="e">
        <f t="shared" si="1010"/>
        <v>#DIV/0!</v>
      </c>
      <c r="CB110" s="162">
        <f t="shared" si="1010"/>
        <v>837.47</v>
      </c>
      <c r="CC110" s="162">
        <f t="shared" si="1010"/>
        <v>879.72609391224091</v>
      </c>
      <c r="CD110" s="162">
        <f t="shared" si="1010"/>
        <v>996.26200000000006</v>
      </c>
      <c r="CE110" s="162">
        <f t="shared" ref="CE110:CF110" si="1011">+CE107+CE109</f>
        <v>953.82790788048226</v>
      </c>
      <c r="CF110" s="162">
        <f t="shared" si="1011"/>
        <v>1084.1179999999999</v>
      </c>
      <c r="CG110" s="162">
        <f t="shared" ref="CG110:CH110" si="1012">+CG107+CG109</f>
        <v>988.92366594445525</v>
      </c>
      <c r="CH110" s="162">
        <f t="shared" si="1012"/>
        <v>1073.412</v>
      </c>
      <c r="CI110" s="162">
        <f t="shared" ref="CI110:CJ110" si="1013">+CI107+CI109</f>
        <v>950.23841373717437</v>
      </c>
      <c r="CJ110" s="162">
        <f t="shared" si="1013"/>
        <v>985.10400000000004</v>
      </c>
      <c r="CK110" s="162">
        <f t="shared" ref="CK110:CL110" si="1014">+CK107+CK109</f>
        <v>911.08658317358868</v>
      </c>
      <c r="CL110" s="162">
        <f t="shared" si="1014"/>
        <v>942.76400000000012</v>
      </c>
      <c r="CM110" s="21">
        <f t="shared" ref="CM110:DB110" si="1015">+CM107+CM109</f>
        <v>1002.5232794781623</v>
      </c>
      <c r="CN110" s="21">
        <f t="shared" si="1015"/>
        <v>1179.2147830707831</v>
      </c>
      <c r="CO110" s="21">
        <f t="shared" si="1015"/>
        <v>1477.6993437630163</v>
      </c>
      <c r="CP110" s="21">
        <f t="shared" si="1015"/>
        <v>1614.8377709341601</v>
      </c>
      <c r="CQ110" s="21">
        <f t="shared" si="1015"/>
        <v>1493.74162248728</v>
      </c>
      <c r="CR110" s="21">
        <f t="shared" si="1015"/>
        <v>1666.1522890459898</v>
      </c>
      <c r="CS110" s="21">
        <f t="shared" si="1015"/>
        <v>1729.2426163279968</v>
      </c>
      <c r="CT110" s="21">
        <f t="shared" si="1015"/>
        <v>1773.3548855016895</v>
      </c>
      <c r="CU110" s="21">
        <f t="shared" si="1015"/>
        <v>1642.7576024916373</v>
      </c>
      <c r="CV110" s="21">
        <f t="shared" si="1015"/>
        <v>1872.1497871091372</v>
      </c>
      <c r="CW110" s="21">
        <f t="shared" si="1015"/>
        <v>1953.9163354410141</v>
      </c>
      <c r="CX110" s="21">
        <f t="shared" si="1015"/>
        <v>2023.4205330274235</v>
      </c>
      <c r="CY110" s="21">
        <f t="shared" si="1015"/>
        <v>1877.8458113367856</v>
      </c>
      <c r="CZ110" s="21">
        <f t="shared" si="1015"/>
        <v>2162.1029823537328</v>
      </c>
      <c r="DA110" s="21">
        <f t="shared" si="1015"/>
        <v>2266.7233447443687</v>
      </c>
      <c r="DB110" s="21">
        <f t="shared" si="1015"/>
        <v>2357.7704336350348</v>
      </c>
      <c r="DE110" s="22"/>
      <c r="DF110" s="162">
        <v>1060.3520000000001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6">+C108+C109</f>
        <v>#DIV/0!</v>
      </c>
      <c r="D111" s="162" t="e">
        <f t="shared" si="1016"/>
        <v>#DIV/0!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0</v>
      </c>
      <c r="J111" s="162">
        <f t="shared" ca="1" si="1016"/>
        <v>0</v>
      </c>
      <c r="K111" s="162">
        <f t="shared" ca="1" si="1016"/>
        <v>0</v>
      </c>
      <c r="L111" s="162">
        <f t="shared" ca="1" si="1016"/>
        <v>0</v>
      </c>
      <c r="M111" s="162">
        <f t="shared" ca="1" si="1016"/>
        <v>0</v>
      </c>
      <c r="N111" s="162">
        <f t="shared" ca="1" si="1016"/>
        <v>0</v>
      </c>
      <c r="O111" s="162">
        <f t="shared" ca="1" si="1016"/>
        <v>0</v>
      </c>
      <c r="P111" s="162">
        <f t="shared" ca="1" si="1016"/>
        <v>0</v>
      </c>
      <c r="Q111" s="162">
        <f t="shared" ca="1" si="1016"/>
        <v>0</v>
      </c>
      <c r="R111" s="162">
        <f t="shared" ca="1" si="1016"/>
        <v>0</v>
      </c>
      <c r="S111" s="162">
        <f t="shared" ca="1" si="1016"/>
        <v>0</v>
      </c>
      <c r="T111" s="162">
        <f t="shared" ca="1" si="1016"/>
        <v>0</v>
      </c>
      <c r="U111" s="162">
        <f t="shared" ca="1" si="1016"/>
        <v>0</v>
      </c>
      <c r="V111" s="162">
        <f t="shared" ca="1" si="1016"/>
        <v>-5.1849000000000001E-3</v>
      </c>
      <c r="W111" s="162">
        <f t="shared" ca="1" si="1016"/>
        <v>-5.1849000000000001E-3</v>
      </c>
      <c r="X111" s="162">
        <f t="shared" ref="X111:Y111" ca="1" si="1017">+X108+X109</f>
        <v>0</v>
      </c>
      <c r="Y111" s="162">
        <f t="shared" ca="1" si="1017"/>
        <v>633.29000000000008</v>
      </c>
      <c r="Z111" s="162">
        <f t="shared" ref="Z111:AA111" ca="1" si="1018">+Z108+Z109</f>
        <v>713</v>
      </c>
      <c r="AA111" s="162">
        <f t="shared" ref="AA111" ca="1" si="1019">+AA108+AA109</f>
        <v>713</v>
      </c>
      <c r="AB111" s="21">
        <f t="shared" ref="AB111:AD111" ca="1" si="1020">+AB108+AB109</f>
        <v>865.18562036793924</v>
      </c>
      <c r="AC111" s="21">
        <f t="shared" ca="1" si="1020"/>
        <v>1260.3279603318285</v>
      </c>
      <c r="AD111" s="21">
        <f t="shared" ca="1" si="1020"/>
        <v>1396.592967412515</v>
      </c>
      <c r="AE111" s="21">
        <f t="shared" ref="AE111" ca="1" si="1021">+AE108+AE109</f>
        <v>1601.3871532696751</v>
      </c>
      <c r="AL111" s="162">
        <f t="shared" ref="AL111:AM111" si="1022">+AL108+AL109</f>
        <v>0</v>
      </c>
      <c r="AM111" s="162" t="e">
        <f t="shared" si="1022"/>
        <v>#DIV/0!</v>
      </c>
      <c r="AN111" s="162">
        <f t="shared" ref="AN111:AO111" si="1023">+AN108+AN109</f>
        <v>0</v>
      </c>
      <c r="AO111" s="162" t="e">
        <f t="shared" si="1023"/>
        <v>#DIV/0!</v>
      </c>
      <c r="AP111" s="162">
        <f t="shared" ref="AP111:CD111" si="1024">+AP108+AP109</f>
        <v>0</v>
      </c>
      <c r="AQ111" s="162" t="e">
        <f t="shared" si="1024"/>
        <v>#DIV/0!</v>
      </c>
      <c r="AR111" s="162">
        <f t="shared" si="1024"/>
        <v>0</v>
      </c>
      <c r="AS111" s="162" t="e">
        <f t="shared" si="1024"/>
        <v>#DIV/0!</v>
      </c>
      <c r="AT111" s="162">
        <f t="shared" si="1024"/>
        <v>0</v>
      </c>
      <c r="AU111" s="162" t="e">
        <f t="shared" si="1024"/>
        <v>#DIV/0!</v>
      </c>
      <c r="AV111" s="162">
        <f t="shared" si="1024"/>
        <v>0</v>
      </c>
      <c r="AW111" s="162" t="e">
        <f t="shared" si="1024"/>
        <v>#DIV/0!</v>
      </c>
      <c r="AX111" s="162">
        <f t="shared" si="1024"/>
        <v>0</v>
      </c>
      <c r="AY111" s="162" t="e">
        <f t="shared" si="1024"/>
        <v>#DIV/0!</v>
      </c>
      <c r="AZ111" s="162">
        <f t="shared" si="1024"/>
        <v>0</v>
      </c>
      <c r="BA111" s="162" t="e">
        <f t="shared" si="1024"/>
        <v>#DIV/0!</v>
      </c>
      <c r="BB111" s="162">
        <f t="shared" si="1024"/>
        <v>0</v>
      </c>
      <c r="BC111" s="162" t="e">
        <f t="shared" si="1024"/>
        <v>#DIV/0!</v>
      </c>
      <c r="BD111" s="162">
        <f t="shared" si="1024"/>
        <v>0</v>
      </c>
      <c r="BE111" s="162" t="e">
        <f t="shared" si="1024"/>
        <v>#DIV/0!</v>
      </c>
      <c r="BF111" s="162">
        <f t="shared" si="1024"/>
        <v>0</v>
      </c>
      <c r="BG111" s="162" t="e">
        <f t="shared" si="1024"/>
        <v>#DIV/0!</v>
      </c>
      <c r="BH111" s="162">
        <f t="shared" si="1024"/>
        <v>0</v>
      </c>
      <c r="BI111" s="162" t="e">
        <f t="shared" si="1024"/>
        <v>#DIV/0!</v>
      </c>
      <c r="BJ111" s="162">
        <f t="shared" si="1024"/>
        <v>0</v>
      </c>
      <c r="BK111" s="162" t="e">
        <f t="shared" si="1024"/>
        <v>#DIV/0!</v>
      </c>
      <c r="BL111" s="162">
        <f t="shared" si="1024"/>
        <v>0</v>
      </c>
      <c r="BM111" s="162" t="e">
        <f t="shared" si="1024"/>
        <v>#DIV/0!</v>
      </c>
      <c r="BN111" s="162">
        <f t="shared" si="1024"/>
        <v>0</v>
      </c>
      <c r="BO111" s="162" t="e">
        <f t="shared" si="1024"/>
        <v>#DIV/0!</v>
      </c>
      <c r="BP111" s="162">
        <f t="shared" si="1024"/>
        <v>0</v>
      </c>
      <c r="BQ111" s="162" t="e">
        <f t="shared" si="1024"/>
        <v>#DIV/0!</v>
      </c>
      <c r="BR111" s="162">
        <f t="shared" si="1024"/>
        <v>0</v>
      </c>
      <c r="BS111" s="162" t="e">
        <f t="shared" si="1024"/>
        <v>#DIV/0!</v>
      </c>
      <c r="BT111" s="162">
        <f t="shared" si="1024"/>
        <v>0</v>
      </c>
      <c r="BU111" s="162" t="e">
        <f t="shared" si="1024"/>
        <v>#DIV/0!</v>
      </c>
      <c r="BV111" s="162">
        <f t="shared" si="1024"/>
        <v>0</v>
      </c>
      <c r="BW111" s="162" t="e">
        <f t="shared" si="1024"/>
        <v>#DIV/0!</v>
      </c>
      <c r="BX111" s="162">
        <f t="shared" si="1024"/>
        <v>0</v>
      </c>
      <c r="BY111" s="162" t="e">
        <f t="shared" si="1024"/>
        <v>#DIV/0!</v>
      </c>
      <c r="BZ111" s="162">
        <f t="shared" si="1024"/>
        <v>0</v>
      </c>
      <c r="CA111" s="162" t="e">
        <f t="shared" si="1024"/>
        <v>#DIV/0!</v>
      </c>
      <c r="CB111" s="162">
        <f t="shared" si="1024"/>
        <v>662.61759999999992</v>
      </c>
      <c r="CC111" s="162">
        <f t="shared" si="1024"/>
        <v>640.72609391224091</v>
      </c>
      <c r="CD111" s="162">
        <f t="shared" si="1024"/>
        <v>728.19960000000003</v>
      </c>
      <c r="CE111" s="162">
        <f t="shared" ref="CE111:CF111" si="1025">+CE108+CE109</f>
        <v>705.65030788048227</v>
      </c>
      <c r="CF111" s="162">
        <f t="shared" si="1025"/>
        <v>702.19600000000003</v>
      </c>
      <c r="CG111" s="162">
        <f t="shared" ref="CG111:CH111" si="1026">+CG108+CG109</f>
        <v>673.92166594445541</v>
      </c>
      <c r="CH111" s="162">
        <f t="shared" si="1026"/>
        <v>741.68000000000006</v>
      </c>
      <c r="CI111" s="162">
        <f t="shared" ref="CI111:CJ111" si="1027">+CI108+CI109</f>
        <v>636.67041373717439</v>
      </c>
      <c r="CJ111" s="162">
        <f t="shared" si="1027"/>
        <v>774.87959999999998</v>
      </c>
      <c r="CK111" s="162">
        <f t="shared" ref="CK111:CL111" si="1028">+CK108+CK109</f>
        <v>721.60738317358869</v>
      </c>
      <c r="CL111" s="162">
        <f t="shared" si="1028"/>
        <v>741.52599999999995</v>
      </c>
      <c r="CM111" s="21">
        <f t="shared" ref="CM111:DB111" si="1029">+CM108+CM109</f>
        <v>757.17014001934854</v>
      </c>
      <c r="CN111" s="21">
        <f t="shared" si="1029"/>
        <v>922.91785025086688</v>
      </c>
      <c r="CO111" s="21">
        <f t="shared" si="1029"/>
        <v>1146.7080724351381</v>
      </c>
      <c r="CP111" s="21">
        <f t="shared" si="1029"/>
        <v>1246.620115459016</v>
      </c>
      <c r="CQ111" s="21">
        <f t="shared" si="1029"/>
        <v>1117.9755181075493</v>
      </c>
      <c r="CR111" s="21">
        <f t="shared" si="1029"/>
        <v>1288.9862291279501</v>
      </c>
      <c r="CS111" s="21">
        <f t="shared" si="1029"/>
        <v>1335.0864276186066</v>
      </c>
      <c r="CT111" s="21">
        <f t="shared" si="1029"/>
        <v>1364.1473427234373</v>
      </c>
      <c r="CU111" s="21">
        <f t="shared" si="1029"/>
        <v>1221.2415140544931</v>
      </c>
      <c r="CV111" s="21">
        <f t="shared" si="1029"/>
        <v>1444.0293897883544</v>
      </c>
      <c r="CW111" s="21">
        <f t="shared" si="1029"/>
        <v>1504.2467637678537</v>
      </c>
      <c r="CX111" s="21">
        <f t="shared" si="1029"/>
        <v>1551.8835349306505</v>
      </c>
      <c r="CY111" s="21">
        <f t="shared" si="1029"/>
        <v>1389.273330560344</v>
      </c>
      <c r="CZ111" s="21">
        <f t="shared" si="1029"/>
        <v>1663.4802411017879</v>
      </c>
      <c r="DA111" s="21">
        <f t="shared" si="1029"/>
        <v>1740.8346571916557</v>
      </c>
      <c r="DB111" s="21">
        <f t="shared" si="1029"/>
        <v>1803.9500670791174</v>
      </c>
      <c r="DE111" s="22"/>
      <c r="DF111" s="162">
        <v>741.52599999999995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0</v>
      </c>
      <c r="D112" s="162">
        <f t="shared" si="1030"/>
        <v>0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0</v>
      </c>
      <c r="I112" s="162">
        <f t="shared" si="1030"/>
        <v>0</v>
      </c>
      <c r="J112" s="162">
        <f t="shared" si="1030"/>
        <v>0</v>
      </c>
      <c r="K112" s="162">
        <f t="shared" si="1030"/>
        <v>0</v>
      </c>
      <c r="L112" s="162">
        <f t="shared" si="1030"/>
        <v>0</v>
      </c>
      <c r="M112" s="162">
        <f t="shared" si="1030"/>
        <v>0</v>
      </c>
      <c r="N112" s="162">
        <f t="shared" si="1030"/>
        <v>0</v>
      </c>
      <c r="O112" s="162">
        <f t="shared" si="1030"/>
        <v>0</v>
      </c>
      <c r="P112" s="162">
        <f t="shared" si="1030"/>
        <v>0</v>
      </c>
      <c r="Q112" s="162">
        <f t="shared" si="1030"/>
        <v>0</v>
      </c>
      <c r="R112" s="162">
        <f t="shared" si="1030"/>
        <v>0</v>
      </c>
      <c r="S112" s="162">
        <f t="shared" si="1030"/>
        <v>0</v>
      </c>
      <c r="T112" s="162">
        <f t="shared" si="1030"/>
        <v>0</v>
      </c>
      <c r="U112" s="162">
        <f t="shared" si="1030"/>
        <v>0</v>
      </c>
      <c r="V112" s="162">
        <f t="shared" si="1030"/>
        <v>-5.8151000000000001E-3</v>
      </c>
      <c r="W112" s="162">
        <f t="shared" si="1030"/>
        <v>-1.1800000000000001E-3</v>
      </c>
      <c r="X112" s="162">
        <f t="shared" si="1030"/>
        <v>-0.01</v>
      </c>
      <c r="Y112" s="162">
        <f t="shared" si="1030"/>
        <v>84.200000000000188</v>
      </c>
      <c r="Z112" s="162">
        <f t="shared" si="1030"/>
        <v>110.75000000000011</v>
      </c>
      <c r="AA112" s="162">
        <f t="shared" ref="AA112" si="1031">+AA28</f>
        <v>140.52999999999992</v>
      </c>
      <c r="AB112" s="21">
        <f t="shared" si="1030"/>
        <v>165.35325759853629</v>
      </c>
      <c r="AC112" s="21">
        <f t="shared" si="1030"/>
        <v>197.57224584659127</v>
      </c>
      <c r="AD112" s="21">
        <f t="shared" si="1030"/>
        <v>236.2223823531981</v>
      </c>
      <c r="AE112" s="21">
        <f t="shared" si="1030"/>
        <v>282.39715920417689</v>
      </c>
      <c r="AL112" s="162">
        <f t="shared" ref="AL112:BQ112" si="1032">+SUM(AI28:AL28)</f>
        <v>0</v>
      </c>
      <c r="AM112" s="162">
        <f t="shared" si="1032"/>
        <v>0</v>
      </c>
      <c r="AN112" s="162">
        <f t="shared" si="1032"/>
        <v>0</v>
      </c>
      <c r="AO112" s="162">
        <f t="shared" si="1032"/>
        <v>0</v>
      </c>
      <c r="AP112" s="162">
        <f t="shared" si="1032"/>
        <v>0</v>
      </c>
      <c r="AQ112" s="162">
        <f t="shared" si="1032"/>
        <v>0</v>
      </c>
      <c r="AR112" s="162">
        <f t="shared" si="1032"/>
        <v>0</v>
      </c>
      <c r="AS112" s="162">
        <f t="shared" si="1032"/>
        <v>0</v>
      </c>
      <c r="AT112" s="162">
        <f t="shared" si="1032"/>
        <v>0</v>
      </c>
      <c r="AU112" s="162">
        <f t="shared" si="1032"/>
        <v>0</v>
      </c>
      <c r="AV112" s="162">
        <f t="shared" si="1032"/>
        <v>0</v>
      </c>
      <c r="AW112" s="162">
        <f t="shared" si="1032"/>
        <v>0</v>
      </c>
      <c r="AX112" s="162">
        <f t="shared" si="1032"/>
        <v>0</v>
      </c>
      <c r="AY112" s="162">
        <f t="shared" si="1032"/>
        <v>0</v>
      </c>
      <c r="AZ112" s="162">
        <f t="shared" si="1032"/>
        <v>0</v>
      </c>
      <c r="BA112" s="162">
        <f t="shared" si="1032"/>
        <v>0</v>
      </c>
      <c r="BB112" s="162">
        <f t="shared" si="1032"/>
        <v>0</v>
      </c>
      <c r="BC112" s="162">
        <f t="shared" si="1032"/>
        <v>0</v>
      </c>
      <c r="BD112" s="162">
        <f t="shared" si="1032"/>
        <v>0</v>
      </c>
      <c r="BE112" s="162">
        <f t="shared" si="1032"/>
        <v>0</v>
      </c>
      <c r="BF112" s="162">
        <f t="shared" si="1032"/>
        <v>0</v>
      </c>
      <c r="BG112" s="162">
        <f t="shared" si="1032"/>
        <v>0</v>
      </c>
      <c r="BH112" s="162">
        <f t="shared" si="1032"/>
        <v>0</v>
      </c>
      <c r="BI112" s="162">
        <f t="shared" si="1032"/>
        <v>0</v>
      </c>
      <c r="BJ112" s="162">
        <f t="shared" si="1032"/>
        <v>0</v>
      </c>
      <c r="BK112" s="162">
        <f t="shared" si="1032"/>
        <v>0</v>
      </c>
      <c r="BL112" s="162">
        <f t="shared" si="1032"/>
        <v>0</v>
      </c>
      <c r="BM112" s="162">
        <f t="shared" si="1032"/>
        <v>0</v>
      </c>
      <c r="BN112" s="162">
        <f t="shared" si="1032"/>
        <v>0</v>
      </c>
      <c r="BO112" s="162">
        <f t="shared" si="1032"/>
        <v>0</v>
      </c>
      <c r="BP112" s="162">
        <f t="shared" si="1032"/>
        <v>0</v>
      </c>
      <c r="BQ112" s="162">
        <f t="shared" si="1032"/>
        <v>0</v>
      </c>
      <c r="BR112" s="162">
        <f t="shared" ref="BR112:CW112" si="1033">+SUM(BO28:BR28)</f>
        <v>0</v>
      </c>
      <c r="BS112" s="162">
        <f t="shared" si="1033"/>
        <v>0</v>
      </c>
      <c r="BT112" s="162">
        <f t="shared" si="1033"/>
        <v>0</v>
      </c>
      <c r="BU112" s="162">
        <f t="shared" si="1033"/>
        <v>0</v>
      </c>
      <c r="BV112" s="162">
        <f t="shared" si="1033"/>
        <v>0</v>
      </c>
      <c r="BW112" s="162">
        <f t="shared" si="1033"/>
        <v>0</v>
      </c>
      <c r="BX112" s="162">
        <f t="shared" si="1033"/>
        <v>0</v>
      </c>
      <c r="BY112" s="162">
        <f t="shared" si="1033"/>
        <v>0</v>
      </c>
      <c r="BZ112" s="162">
        <f t="shared" si="1033"/>
        <v>-0.01</v>
      </c>
      <c r="CA112" s="162">
        <f t="shared" si="1033"/>
        <v>16.289999999999981</v>
      </c>
      <c r="CB112" s="162">
        <f t="shared" si="1033"/>
        <v>36.739999999999981</v>
      </c>
      <c r="CC112" s="162">
        <f t="shared" si="1033"/>
        <v>55.299999999999976</v>
      </c>
      <c r="CD112" s="162">
        <f t="shared" si="1033"/>
        <v>83.629999999999967</v>
      </c>
      <c r="CE112" s="162">
        <f t="shared" si="1033"/>
        <v>95.72</v>
      </c>
      <c r="CF112" s="162">
        <f t="shared" si="1033"/>
        <v>102.38999999999999</v>
      </c>
      <c r="CG112" s="162">
        <f t="shared" si="1033"/>
        <v>107.26999999999997</v>
      </c>
      <c r="CH112" s="162">
        <f t="shared" si="1033"/>
        <v>109.71999999999998</v>
      </c>
      <c r="CI112" s="162">
        <f t="shared" si="1033"/>
        <v>111.32999999999994</v>
      </c>
      <c r="CJ112" s="162">
        <f t="shared" si="1033"/>
        <v>121.01999999999997</v>
      </c>
      <c r="CK112" s="162">
        <f t="shared" si="1033"/>
        <v>129.48999999999998</v>
      </c>
      <c r="CL112" s="162">
        <f t="shared" si="1033"/>
        <v>139.90999999999997</v>
      </c>
      <c r="CM112" s="21">
        <f t="shared" si="1033"/>
        <v>142.29373943236783</v>
      </c>
      <c r="CN112" s="21">
        <f t="shared" si="1033"/>
        <v>147.66154982605588</v>
      </c>
      <c r="CO112" s="21">
        <f t="shared" si="1033"/>
        <v>159.62151662379085</v>
      </c>
      <c r="CP112" s="21">
        <f t="shared" si="1033"/>
        <v>165.35325759853629</v>
      </c>
      <c r="CQ112" s="21">
        <f t="shared" si="1033"/>
        <v>171.04843132990229</v>
      </c>
      <c r="CR112" s="21">
        <f t="shared" si="1033"/>
        <v>179.54641074152039</v>
      </c>
      <c r="CS112" s="21">
        <f t="shared" si="1033"/>
        <v>189.02484475609</v>
      </c>
      <c r="CT112" s="21">
        <f t="shared" si="1033"/>
        <v>197.57224584659153</v>
      </c>
      <c r="CU112" s="21">
        <f t="shared" si="1033"/>
        <v>204.94889198478995</v>
      </c>
      <c r="CV112" s="21">
        <f t="shared" si="1033"/>
        <v>214.99405798144977</v>
      </c>
      <c r="CW112" s="21">
        <f t="shared" si="1033"/>
        <v>225.52580643762519</v>
      </c>
      <c r="CX112" s="21">
        <f t="shared" ref="CX112:DB112" si="1034">+SUM(CU28:CX28)</f>
        <v>236.22238235319804</v>
      </c>
      <c r="CY112" s="21">
        <f t="shared" si="1034"/>
        <v>245.11101596667805</v>
      </c>
      <c r="CZ112" s="21">
        <f t="shared" si="1034"/>
        <v>257.01244953588298</v>
      </c>
      <c r="DA112" s="21">
        <f t="shared" si="1034"/>
        <v>269.49768811200693</v>
      </c>
      <c r="DB112" s="21">
        <f t="shared" si="1034"/>
        <v>282.39715920417711</v>
      </c>
      <c r="DE112" s="22"/>
      <c r="DF112" s="162">
        <v>139.90999999999991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5">+C110/C112</f>
        <v>#DIV/0!</v>
      </c>
      <c r="D113" s="162" t="e">
        <f t="shared" si="1035"/>
        <v>#DIV/0!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 t="e">
        <f t="shared" ca="1" si="1035"/>
        <v>#DIV/0!</v>
      </c>
      <c r="I113" s="162" t="e">
        <f t="shared" ca="1" si="1035"/>
        <v>#DIV/0!</v>
      </c>
      <c r="J113" s="162" t="e">
        <f t="shared" ca="1" si="1035"/>
        <v>#DIV/0!</v>
      </c>
      <c r="K113" s="162" t="e">
        <f t="shared" ca="1" si="1035"/>
        <v>#DIV/0!</v>
      </c>
      <c r="L113" s="162" t="e">
        <f t="shared" ca="1" si="1035"/>
        <v>#DIV/0!</v>
      </c>
      <c r="M113" s="162" t="e">
        <f t="shared" ca="1" si="1035"/>
        <v>#DIV/0!</v>
      </c>
      <c r="N113" s="162" t="e">
        <f t="shared" ca="1" si="1035"/>
        <v>#DIV/0!</v>
      </c>
      <c r="O113" s="162" t="e">
        <f t="shared" ca="1" si="1035"/>
        <v>#DIV/0!</v>
      </c>
      <c r="P113" s="162" t="e">
        <f t="shared" ca="1" si="1035"/>
        <v>#DIV/0!</v>
      </c>
      <c r="Q113" s="162" t="e">
        <f t="shared" ca="1" si="1035"/>
        <v>#DIV/0!</v>
      </c>
      <c r="R113" s="162" t="e">
        <f t="shared" ca="1" si="1035"/>
        <v>#DIV/0!</v>
      </c>
      <c r="S113" s="162" t="e">
        <f t="shared" ca="1" si="1035"/>
        <v>#DIV/0!</v>
      </c>
      <c r="T113" s="162" t="e">
        <f t="shared" ca="1" si="1035"/>
        <v>#DIV/0!</v>
      </c>
      <c r="U113" s="162" t="e">
        <f t="shared" ca="1" si="1035"/>
        <v>#DIV/0!</v>
      </c>
      <c r="V113" s="162">
        <f t="shared" ca="1" si="1035"/>
        <v>0.89162697116128697</v>
      </c>
      <c r="W113" s="162">
        <f t="shared" ca="1" si="1035"/>
        <v>4.3939830508474573</v>
      </c>
      <c r="X113" s="162">
        <f t="shared" ref="X113:Y113" ca="1" si="1036">+X110/X112</f>
        <v>0</v>
      </c>
      <c r="Y113" s="162">
        <f t="shared" ca="1" si="1036"/>
        <v>11.830071258907338</v>
      </c>
      <c r="Z113" s="162">
        <f t="shared" ref="Z113:AA113" ca="1" si="1037">+Z110/Z112</f>
        <v>11.146708803611727</v>
      </c>
      <c r="AA113" s="162">
        <f t="shared" ref="AA113" ca="1" si="1038">+AA110/AA112</f>
        <v>11.146708803611727</v>
      </c>
      <c r="AB113" s="21">
        <f t="shared" ref="AB113:AD113" ca="1" si="1039">+AB110/AB112</f>
        <v>9.7659870412402121</v>
      </c>
      <c r="AC113" s="21">
        <f t="shared" ca="1" si="1039"/>
        <v>8.9757287411646107</v>
      </c>
      <c r="AD113" s="21">
        <f t="shared" ca="1" si="1039"/>
        <v>8.5657443332445062</v>
      </c>
      <c r="AE113" s="21">
        <f t="shared" ref="AE113" ca="1" si="1040">+AE110/AE112</f>
        <v>8.349129432744526</v>
      </c>
      <c r="AL113" s="162" t="e">
        <f t="shared" ref="AL113" si="1041">+AL110/AL112</f>
        <v>#DIV/0!</v>
      </c>
      <c r="AM113" s="162" t="e">
        <f t="shared" ref="AM113:AO113" si="1042">+AM110/AM112</f>
        <v>#DIV/0!</v>
      </c>
      <c r="AN113" s="162" t="e">
        <f t="shared" si="1042"/>
        <v>#DIV/0!</v>
      </c>
      <c r="AO113" s="162" t="e">
        <f t="shared" si="1042"/>
        <v>#DIV/0!</v>
      </c>
      <c r="AP113" s="162" t="e">
        <f t="shared" ref="AP113:CD113" si="1043">+AP110/AP112</f>
        <v>#DIV/0!</v>
      </c>
      <c r="AQ113" s="162" t="e">
        <f t="shared" si="1043"/>
        <v>#DIV/0!</v>
      </c>
      <c r="AR113" s="162" t="e">
        <f t="shared" si="1043"/>
        <v>#DIV/0!</v>
      </c>
      <c r="AS113" s="162" t="e">
        <f t="shared" si="1043"/>
        <v>#DIV/0!</v>
      </c>
      <c r="AT113" s="162" t="e">
        <f t="shared" si="1043"/>
        <v>#DIV/0!</v>
      </c>
      <c r="AU113" s="162" t="e">
        <f t="shared" si="1043"/>
        <v>#DIV/0!</v>
      </c>
      <c r="AV113" s="162" t="e">
        <f t="shared" si="1043"/>
        <v>#DIV/0!</v>
      </c>
      <c r="AW113" s="162" t="e">
        <f t="shared" si="1043"/>
        <v>#DIV/0!</v>
      </c>
      <c r="AX113" s="162" t="e">
        <f t="shared" si="1043"/>
        <v>#DIV/0!</v>
      </c>
      <c r="AY113" s="162" t="e">
        <f t="shared" si="1043"/>
        <v>#DIV/0!</v>
      </c>
      <c r="AZ113" s="162" t="e">
        <f t="shared" si="1043"/>
        <v>#DIV/0!</v>
      </c>
      <c r="BA113" s="162" t="e">
        <f t="shared" si="1043"/>
        <v>#DIV/0!</v>
      </c>
      <c r="BB113" s="162" t="e">
        <f t="shared" si="1043"/>
        <v>#DIV/0!</v>
      </c>
      <c r="BC113" s="162" t="e">
        <f t="shared" si="1043"/>
        <v>#DIV/0!</v>
      </c>
      <c r="BD113" s="162" t="e">
        <f t="shared" si="1043"/>
        <v>#DIV/0!</v>
      </c>
      <c r="BE113" s="162" t="e">
        <f t="shared" si="1043"/>
        <v>#DIV/0!</v>
      </c>
      <c r="BF113" s="162" t="e">
        <f t="shared" si="1043"/>
        <v>#DIV/0!</v>
      </c>
      <c r="BG113" s="162" t="e">
        <f t="shared" si="1043"/>
        <v>#DIV/0!</v>
      </c>
      <c r="BH113" s="162" t="e">
        <f t="shared" si="1043"/>
        <v>#DIV/0!</v>
      </c>
      <c r="BI113" s="162" t="e">
        <f t="shared" si="1043"/>
        <v>#DIV/0!</v>
      </c>
      <c r="BJ113" s="162" t="e">
        <f t="shared" si="1043"/>
        <v>#DIV/0!</v>
      </c>
      <c r="BK113" s="162" t="e">
        <f t="shared" si="1043"/>
        <v>#DIV/0!</v>
      </c>
      <c r="BL113" s="162" t="e">
        <f t="shared" si="1043"/>
        <v>#DIV/0!</v>
      </c>
      <c r="BM113" s="162" t="e">
        <f t="shared" si="1043"/>
        <v>#DIV/0!</v>
      </c>
      <c r="BN113" s="162" t="e">
        <f t="shared" si="1043"/>
        <v>#DIV/0!</v>
      </c>
      <c r="BO113" s="162" t="e">
        <f t="shared" si="1043"/>
        <v>#DIV/0!</v>
      </c>
      <c r="BP113" s="162" t="e">
        <f t="shared" si="1043"/>
        <v>#DIV/0!</v>
      </c>
      <c r="BQ113" s="162" t="e">
        <f t="shared" si="1043"/>
        <v>#DIV/0!</v>
      </c>
      <c r="BR113" s="162" t="e">
        <f t="shared" si="1043"/>
        <v>#DIV/0!</v>
      </c>
      <c r="BS113" s="162" t="e">
        <f t="shared" si="1043"/>
        <v>#DIV/0!</v>
      </c>
      <c r="BT113" s="162" t="e">
        <f t="shared" si="1043"/>
        <v>#DIV/0!</v>
      </c>
      <c r="BU113" s="162" t="e">
        <f t="shared" si="1043"/>
        <v>#DIV/0!</v>
      </c>
      <c r="BV113" s="162" t="e">
        <f t="shared" si="1043"/>
        <v>#DIV/0!</v>
      </c>
      <c r="BW113" s="162" t="e">
        <f t="shared" si="1043"/>
        <v>#DIV/0!</v>
      </c>
      <c r="BX113" s="162" t="e">
        <f t="shared" si="1043"/>
        <v>#DIV/0!</v>
      </c>
      <c r="BY113" s="162" t="e">
        <f t="shared" si="1043"/>
        <v>#DIV/0!</v>
      </c>
      <c r="BZ113" s="162">
        <f t="shared" si="1043"/>
        <v>0</v>
      </c>
      <c r="CA113" s="162" t="e">
        <f t="shared" si="1043"/>
        <v>#DIV/0!</v>
      </c>
      <c r="CB113" s="162">
        <f t="shared" si="1043"/>
        <v>22.794501905280359</v>
      </c>
      <c r="CC113" s="162">
        <f t="shared" si="1043"/>
        <v>15.908247629516117</v>
      </c>
      <c r="CD113" s="162">
        <f t="shared" si="1043"/>
        <v>11.912734664594051</v>
      </c>
      <c r="CE113" s="162">
        <f t="shared" ref="CE113:CF113" si="1044">+CE110/CE112</f>
        <v>9.9647712900175751</v>
      </c>
      <c r="CF113" s="162">
        <f t="shared" si="1044"/>
        <v>10.588123840218772</v>
      </c>
      <c r="CG113" s="162">
        <f t="shared" ref="CG113:CH113" si="1045">+CG110/CG112</f>
        <v>9.2190143184903093</v>
      </c>
      <c r="CH113" s="162">
        <f t="shared" si="1045"/>
        <v>9.7831935836675186</v>
      </c>
      <c r="CI113" s="162">
        <f t="shared" ref="CI113:CJ113" si="1046">+CI110/CI112</f>
        <v>8.5353311213255623</v>
      </c>
      <c r="CJ113" s="162">
        <f t="shared" si="1046"/>
        <v>8.1400099157164139</v>
      </c>
      <c r="CK113" s="162">
        <f t="shared" ref="CK113:CL113" si="1047">+CK110/CK112</f>
        <v>7.0359609481318159</v>
      </c>
      <c r="CL113" s="162">
        <f t="shared" si="1047"/>
        <v>6.7383603745264837</v>
      </c>
      <c r="CM113" s="21">
        <f t="shared" ref="CM113:DB113" si="1048">+CM110/CM112</f>
        <v>7.0454489668862861</v>
      </c>
      <c r="CN113" s="21">
        <f t="shared" si="1048"/>
        <v>7.9859298812716561</v>
      </c>
      <c r="CO113" s="21">
        <f t="shared" si="1048"/>
        <v>9.2575197568494474</v>
      </c>
      <c r="CP113" s="21">
        <f t="shared" si="1048"/>
        <v>9.7659870412402121</v>
      </c>
      <c r="CQ113" s="21">
        <f t="shared" si="1048"/>
        <v>8.732857769424907</v>
      </c>
      <c r="CR113" s="21">
        <f t="shared" si="1048"/>
        <v>9.2797861130436363</v>
      </c>
      <c r="CS113" s="21">
        <f t="shared" si="1048"/>
        <v>9.1482292635094673</v>
      </c>
      <c r="CT113" s="21">
        <f t="shared" si="1048"/>
        <v>8.9757287411645983</v>
      </c>
      <c r="CU113" s="21">
        <f t="shared" si="1048"/>
        <v>8.015450030408326</v>
      </c>
      <c r="CV113" s="21">
        <f t="shared" si="1048"/>
        <v>8.7079140916102471</v>
      </c>
      <c r="CW113" s="21">
        <f t="shared" si="1048"/>
        <v>8.6638259554629666</v>
      </c>
      <c r="CX113" s="21">
        <f t="shared" si="1048"/>
        <v>8.565744333244508</v>
      </c>
      <c r="CY113" s="21">
        <f t="shared" si="1048"/>
        <v>7.6612052866366147</v>
      </c>
      <c r="CZ113" s="21">
        <f t="shared" si="1048"/>
        <v>8.4124445576783984</v>
      </c>
      <c r="DA113" s="21">
        <f t="shared" si="1048"/>
        <v>8.4109194428498668</v>
      </c>
      <c r="DB113" s="21">
        <f t="shared" si="1048"/>
        <v>8.3491294327445189</v>
      </c>
      <c r="DE113" s="22"/>
      <c r="DF113" s="162">
        <v>7.5788149524694504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9">+C111/C112</f>
        <v>#DIV/0!</v>
      </c>
      <c r="D114" s="162" t="e">
        <f t="shared" si="1049"/>
        <v>#DIV/0!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 t="e">
        <f t="shared" ca="1" si="1049"/>
        <v>#DIV/0!</v>
      </c>
      <c r="I114" s="162" t="e">
        <f t="shared" ca="1" si="1049"/>
        <v>#DIV/0!</v>
      </c>
      <c r="J114" s="162" t="e">
        <f t="shared" ca="1" si="1049"/>
        <v>#DIV/0!</v>
      </c>
      <c r="K114" s="162" t="e">
        <f t="shared" ca="1" si="1049"/>
        <v>#DIV/0!</v>
      </c>
      <c r="L114" s="162" t="e">
        <f t="shared" ca="1" si="1049"/>
        <v>#DIV/0!</v>
      </c>
      <c r="M114" s="162" t="e">
        <f t="shared" ca="1" si="1049"/>
        <v>#DIV/0!</v>
      </c>
      <c r="N114" s="162" t="e">
        <f t="shared" ca="1" si="1049"/>
        <v>#DIV/0!</v>
      </c>
      <c r="O114" s="162" t="e">
        <f t="shared" ca="1" si="1049"/>
        <v>#DIV/0!</v>
      </c>
      <c r="P114" s="162" t="e">
        <f t="shared" ca="1" si="1049"/>
        <v>#DIV/0!</v>
      </c>
      <c r="Q114" s="162" t="e">
        <f t="shared" ca="1" si="1049"/>
        <v>#DIV/0!</v>
      </c>
      <c r="R114" s="162" t="e">
        <f t="shared" ca="1" si="1049"/>
        <v>#DIV/0!</v>
      </c>
      <c r="S114" s="162" t="e">
        <f t="shared" ca="1" si="1049"/>
        <v>#DIV/0!</v>
      </c>
      <c r="T114" s="162" t="e">
        <f t="shared" ca="1" si="1049"/>
        <v>#DIV/0!</v>
      </c>
      <c r="U114" s="162" t="e">
        <f t="shared" ca="1" si="1049"/>
        <v>#DIV/0!</v>
      </c>
      <c r="V114" s="162">
        <f t="shared" ca="1" si="1049"/>
        <v>0.89162697116128697</v>
      </c>
      <c r="W114" s="162">
        <f t="shared" ca="1" si="1049"/>
        <v>4.3939830508474573</v>
      </c>
      <c r="X114" s="162">
        <f t="shared" ref="X114:Y114" ca="1" si="1050">+X111/X112</f>
        <v>0</v>
      </c>
      <c r="Y114" s="162">
        <f t="shared" ca="1" si="1050"/>
        <v>7.5212589073634044</v>
      </c>
      <c r="Z114" s="162">
        <f t="shared" ref="Z114:AA114" ca="1" si="1051">+Z111/Z112</f>
        <v>6.4379232505643271</v>
      </c>
      <c r="AA114" s="162">
        <f t="shared" ref="AA114" ca="1" si="1052">+AA111/AA112</f>
        <v>6.4379232505643271</v>
      </c>
      <c r="AB114" s="21">
        <f t="shared" ref="AB114:AD114" ca="1" si="1053">+AB111/AB112</f>
        <v>5.2323469941459315</v>
      </c>
      <c r="AC114" s="21">
        <f t="shared" ca="1" si="1053"/>
        <v>6.3790739176515414</v>
      </c>
      <c r="AD114" s="21">
        <f t="shared" ca="1" si="1053"/>
        <v>5.9121957601982809</v>
      </c>
      <c r="AE114" s="21">
        <f t="shared" ref="AE114" ca="1" si="1054">+AE111/AE112</f>
        <v>5.6706914396112991</v>
      </c>
      <c r="AL114" s="162" t="e">
        <f t="shared" ref="AL114:AM114" si="1055">+AL111/AL112</f>
        <v>#DIV/0!</v>
      </c>
      <c r="AM114" s="162" t="e">
        <f t="shared" si="1055"/>
        <v>#DIV/0!</v>
      </c>
      <c r="AN114" s="162" t="e">
        <f t="shared" ref="AN114:AO114" si="1056">+AN111/AN112</f>
        <v>#DIV/0!</v>
      </c>
      <c r="AO114" s="162" t="e">
        <f t="shared" si="1056"/>
        <v>#DIV/0!</v>
      </c>
      <c r="AP114" s="162" t="e">
        <f t="shared" ref="AP114:CD114" si="1057">+AP111/AP112</f>
        <v>#DIV/0!</v>
      </c>
      <c r="AQ114" s="162" t="e">
        <f t="shared" si="1057"/>
        <v>#DIV/0!</v>
      </c>
      <c r="AR114" s="162" t="e">
        <f t="shared" si="1057"/>
        <v>#DIV/0!</v>
      </c>
      <c r="AS114" s="162" t="e">
        <f t="shared" si="1057"/>
        <v>#DIV/0!</v>
      </c>
      <c r="AT114" s="162" t="e">
        <f t="shared" si="1057"/>
        <v>#DIV/0!</v>
      </c>
      <c r="AU114" s="162" t="e">
        <f t="shared" si="1057"/>
        <v>#DIV/0!</v>
      </c>
      <c r="AV114" s="162" t="e">
        <f t="shared" si="1057"/>
        <v>#DIV/0!</v>
      </c>
      <c r="AW114" s="162" t="e">
        <f t="shared" si="1057"/>
        <v>#DIV/0!</v>
      </c>
      <c r="AX114" s="162" t="e">
        <f t="shared" si="1057"/>
        <v>#DIV/0!</v>
      </c>
      <c r="AY114" s="162" t="e">
        <f t="shared" si="1057"/>
        <v>#DIV/0!</v>
      </c>
      <c r="AZ114" s="162" t="e">
        <f t="shared" si="1057"/>
        <v>#DIV/0!</v>
      </c>
      <c r="BA114" s="162" t="e">
        <f t="shared" si="1057"/>
        <v>#DIV/0!</v>
      </c>
      <c r="BB114" s="162" t="e">
        <f t="shared" si="1057"/>
        <v>#DIV/0!</v>
      </c>
      <c r="BC114" s="162" t="e">
        <f t="shared" si="1057"/>
        <v>#DIV/0!</v>
      </c>
      <c r="BD114" s="162" t="e">
        <f t="shared" si="1057"/>
        <v>#DIV/0!</v>
      </c>
      <c r="BE114" s="162" t="e">
        <f t="shared" si="1057"/>
        <v>#DIV/0!</v>
      </c>
      <c r="BF114" s="162" t="e">
        <f t="shared" si="1057"/>
        <v>#DIV/0!</v>
      </c>
      <c r="BG114" s="162" t="e">
        <f t="shared" si="1057"/>
        <v>#DIV/0!</v>
      </c>
      <c r="BH114" s="162" t="e">
        <f t="shared" si="1057"/>
        <v>#DIV/0!</v>
      </c>
      <c r="BI114" s="162" t="e">
        <f t="shared" si="1057"/>
        <v>#DIV/0!</v>
      </c>
      <c r="BJ114" s="162" t="e">
        <f t="shared" si="1057"/>
        <v>#DIV/0!</v>
      </c>
      <c r="BK114" s="162" t="e">
        <f t="shared" si="1057"/>
        <v>#DIV/0!</v>
      </c>
      <c r="BL114" s="162" t="e">
        <f t="shared" si="1057"/>
        <v>#DIV/0!</v>
      </c>
      <c r="BM114" s="162" t="e">
        <f t="shared" si="1057"/>
        <v>#DIV/0!</v>
      </c>
      <c r="BN114" s="162" t="e">
        <f t="shared" si="1057"/>
        <v>#DIV/0!</v>
      </c>
      <c r="BO114" s="162" t="e">
        <f t="shared" si="1057"/>
        <v>#DIV/0!</v>
      </c>
      <c r="BP114" s="162" t="e">
        <f t="shared" si="1057"/>
        <v>#DIV/0!</v>
      </c>
      <c r="BQ114" s="162" t="e">
        <f t="shared" si="1057"/>
        <v>#DIV/0!</v>
      </c>
      <c r="BR114" s="162" t="e">
        <f t="shared" si="1057"/>
        <v>#DIV/0!</v>
      </c>
      <c r="BS114" s="162" t="e">
        <f t="shared" si="1057"/>
        <v>#DIV/0!</v>
      </c>
      <c r="BT114" s="162" t="e">
        <f t="shared" si="1057"/>
        <v>#DIV/0!</v>
      </c>
      <c r="BU114" s="162" t="e">
        <f t="shared" si="1057"/>
        <v>#DIV/0!</v>
      </c>
      <c r="BV114" s="162" t="e">
        <f t="shared" si="1057"/>
        <v>#DIV/0!</v>
      </c>
      <c r="BW114" s="162" t="e">
        <f t="shared" si="1057"/>
        <v>#DIV/0!</v>
      </c>
      <c r="BX114" s="162" t="e">
        <f t="shared" si="1057"/>
        <v>#DIV/0!</v>
      </c>
      <c r="BY114" s="162" t="e">
        <f t="shared" si="1057"/>
        <v>#DIV/0!</v>
      </c>
      <c r="BZ114" s="162">
        <f t="shared" si="1057"/>
        <v>0</v>
      </c>
      <c r="CA114" s="162" t="e">
        <f t="shared" si="1057"/>
        <v>#DIV/0!</v>
      </c>
      <c r="CB114" s="162">
        <f t="shared" si="1057"/>
        <v>18.035318454001096</v>
      </c>
      <c r="CC114" s="162">
        <f t="shared" si="1057"/>
        <v>11.586366978521541</v>
      </c>
      <c r="CD114" s="162">
        <f t="shared" si="1057"/>
        <v>8.7073968671529389</v>
      </c>
      <c r="CE114" s="162">
        <f t="shared" ref="CE114:CF114" si="1058">+CE111/CE112</f>
        <v>7.372025782286693</v>
      </c>
      <c r="CF114" s="162">
        <f t="shared" si="1058"/>
        <v>6.8580525441937699</v>
      </c>
      <c r="CG114" s="162">
        <f t="shared" ref="CG114:CH114" si="1059">+CG111/CG112</f>
        <v>6.2824803388128609</v>
      </c>
      <c r="CH114" s="162">
        <f t="shared" si="1059"/>
        <v>6.7597520962449886</v>
      </c>
      <c r="CI114" s="162">
        <f t="shared" ref="CI114:CJ114" si="1060">+CI111/CI112</f>
        <v>5.7187677511647781</v>
      </c>
      <c r="CJ114" s="162">
        <f t="shared" si="1060"/>
        <v>6.4029053049082814</v>
      </c>
      <c r="CK114" s="162">
        <f t="shared" ref="CK114:CL114" si="1061">+CK111/CK112</f>
        <v>5.5726881085303015</v>
      </c>
      <c r="CL114" s="162">
        <f t="shared" si="1061"/>
        <v>5.300021442355801</v>
      </c>
      <c r="CM114" s="21">
        <f t="shared" ref="CM114:DB114" si="1062">+CM111/CM112</f>
        <v>5.3211767646266077</v>
      </c>
      <c r="CN114" s="21">
        <f t="shared" si="1062"/>
        <v>6.2502245935929608</v>
      </c>
      <c r="CO114" s="21">
        <f t="shared" si="1062"/>
        <v>7.1839191650947294</v>
      </c>
      <c r="CP114" s="21">
        <f t="shared" si="1062"/>
        <v>7.5391324825647166</v>
      </c>
      <c r="CQ114" s="21">
        <f t="shared" si="1062"/>
        <v>6.5360173689713781</v>
      </c>
      <c r="CR114" s="21">
        <f t="shared" si="1062"/>
        <v>7.1791255742984896</v>
      </c>
      <c r="CS114" s="21">
        <f t="shared" si="1062"/>
        <v>7.0630208919962243</v>
      </c>
      <c r="CT114" s="21">
        <f t="shared" si="1062"/>
        <v>6.9045494567220427</v>
      </c>
      <c r="CU114" s="21">
        <f t="shared" si="1062"/>
        <v>5.95876124153492</v>
      </c>
      <c r="CV114" s="21">
        <f t="shared" si="1062"/>
        <v>6.7166013951555295</v>
      </c>
      <c r="CW114" s="21">
        <f t="shared" si="1062"/>
        <v>6.6699540399776414</v>
      </c>
      <c r="CX114" s="21">
        <f t="shared" si="1062"/>
        <v>6.5695871808213546</v>
      </c>
      <c r="CY114" s="21">
        <f t="shared" si="1062"/>
        <v>5.6679350990459385</v>
      </c>
      <c r="CZ114" s="21">
        <f t="shared" si="1062"/>
        <v>6.4723722298500563</v>
      </c>
      <c r="DA114" s="21">
        <f t="shared" si="1062"/>
        <v>6.4595532131917253</v>
      </c>
      <c r="DB114" s="21">
        <f t="shared" si="1062"/>
        <v>6.3879894265325667</v>
      </c>
      <c r="DE114" s="22"/>
      <c r="DF114" s="162">
        <v>5.3000214423558027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</v>
      </c>
      <c r="V117" s="23">
        <f>'Annual Raw'!W41</f>
        <v>0.01</v>
      </c>
      <c r="W117" s="23">
        <f>'Annual Raw'!X41</f>
        <v>0.01</v>
      </c>
      <c r="X117" s="23">
        <f>'Annual Raw'!Y41</f>
        <v>0.01</v>
      </c>
      <c r="Y117" s="23">
        <f>'Annual Raw'!Z41</f>
        <v>19.12</v>
      </c>
      <c r="Z117" s="23">
        <f>'Annual Raw'!AA41</f>
        <v>19.12</v>
      </c>
      <c r="AA117" s="23">
        <f>'Annual Raw'!AB41</f>
        <v>19.12</v>
      </c>
      <c r="AB117" s="24">
        <f>+CP117</f>
        <v>19.12</v>
      </c>
      <c r="AC117" s="24">
        <f>+CT117</f>
        <v>19.12</v>
      </c>
      <c r="AD117" s="24">
        <f>+CX117</f>
        <v>19.12</v>
      </c>
      <c r="AE117" s="24">
        <f>+DB117</f>
        <v>19.12</v>
      </c>
      <c r="AJ117" s="23">
        <f>+'QTR Raw'!D56</f>
        <v>0</v>
      </c>
      <c r="AK117" s="23">
        <f t="shared" ref="AK117:CE117" si="1063">+AJ117</f>
        <v>0</v>
      </c>
      <c r="AL117" s="23">
        <f>+'QTR Raw'!F56</f>
        <v>0</v>
      </c>
      <c r="AM117" s="23">
        <f t="shared" si="1063"/>
        <v>0</v>
      </c>
      <c r="AN117" s="23">
        <f>+'QTR Raw'!H56</f>
        <v>0</v>
      </c>
      <c r="AO117" s="23">
        <f t="shared" si="1063"/>
        <v>0</v>
      </c>
      <c r="AP117" s="23">
        <f>+'QTR Raw'!J56</f>
        <v>0</v>
      </c>
      <c r="AQ117" s="23">
        <f t="shared" si="1063"/>
        <v>0</v>
      </c>
      <c r="AR117" s="23">
        <f>+'QTR Raw'!L56</f>
        <v>0</v>
      </c>
      <c r="AS117" s="23">
        <f t="shared" si="1063"/>
        <v>0</v>
      </c>
      <c r="AT117" s="23">
        <f>+'QTR Raw'!N56</f>
        <v>0</v>
      </c>
      <c r="AU117" s="23">
        <f t="shared" si="1063"/>
        <v>0</v>
      </c>
      <c r="AV117" s="23">
        <f>+'QTR Raw'!P56</f>
        <v>0</v>
      </c>
      <c r="AW117" s="23">
        <f t="shared" si="1063"/>
        <v>0</v>
      </c>
      <c r="AX117" s="23">
        <f>+'QTR Raw'!R56</f>
        <v>0</v>
      </c>
      <c r="AY117" s="23">
        <f t="shared" si="1063"/>
        <v>0</v>
      </c>
      <c r="AZ117" s="23">
        <f>+'QTR Raw'!T56</f>
        <v>0</v>
      </c>
      <c r="BA117" s="23">
        <f t="shared" si="1063"/>
        <v>0</v>
      </c>
      <c r="BB117" s="23">
        <f>+'QTR Raw'!V56</f>
        <v>0</v>
      </c>
      <c r="BC117" s="23">
        <f t="shared" si="1063"/>
        <v>0</v>
      </c>
      <c r="BD117" s="23">
        <f>+'QTR Raw'!X56</f>
        <v>0</v>
      </c>
      <c r="BE117" s="23">
        <f t="shared" si="1063"/>
        <v>0</v>
      </c>
      <c r="BF117" s="23">
        <f>+'QTR Raw'!Z56</f>
        <v>0</v>
      </c>
      <c r="BG117" s="23">
        <f t="shared" si="1063"/>
        <v>0</v>
      </c>
      <c r="BH117" s="23">
        <f>+'QTR Raw'!AB56</f>
        <v>0</v>
      </c>
      <c r="BI117" s="23">
        <f t="shared" si="1063"/>
        <v>0</v>
      </c>
      <c r="BJ117" s="23">
        <f>+'QTR Raw'!AD56</f>
        <v>0</v>
      </c>
      <c r="BK117" s="23">
        <f t="shared" si="1063"/>
        <v>0</v>
      </c>
      <c r="BL117" s="23">
        <f>+'QTR Raw'!AF56</f>
        <v>0</v>
      </c>
      <c r="BM117" s="23">
        <f t="shared" si="1063"/>
        <v>0</v>
      </c>
      <c r="BN117" s="23">
        <f>+'QTR Raw'!AH56</f>
        <v>0</v>
      </c>
      <c r="BO117" s="23">
        <f t="shared" si="1063"/>
        <v>0</v>
      </c>
      <c r="BP117" s="23">
        <f>+'QTR Raw'!AJ56</f>
        <v>0</v>
      </c>
      <c r="BQ117" s="23">
        <f t="shared" si="1063"/>
        <v>0</v>
      </c>
      <c r="BR117" s="23">
        <f>+'QTR Raw'!AL56</f>
        <v>0</v>
      </c>
      <c r="BS117" s="23">
        <f t="shared" si="1063"/>
        <v>0</v>
      </c>
      <c r="BT117" s="23">
        <f>+'QTR Raw'!AN56</f>
        <v>0</v>
      </c>
      <c r="BU117" s="23">
        <f t="shared" si="1063"/>
        <v>0</v>
      </c>
      <c r="BV117" s="23">
        <f>+'QTR Raw'!AP56</f>
        <v>0</v>
      </c>
      <c r="BW117" s="23">
        <f t="shared" si="1063"/>
        <v>0</v>
      </c>
      <c r="BX117" s="23">
        <f>+'QTR Raw'!AR56</f>
        <v>0</v>
      </c>
      <c r="BY117" s="23">
        <f t="shared" si="1063"/>
        <v>0</v>
      </c>
      <c r="BZ117" s="23">
        <f>+'QTR Raw'!AT56</f>
        <v>0.01</v>
      </c>
      <c r="CA117" s="23">
        <f t="shared" si="1063"/>
        <v>0.01</v>
      </c>
      <c r="CB117" s="23">
        <f>+'QTR Raw'!AV56</f>
        <v>19.12</v>
      </c>
      <c r="CC117" s="23">
        <f t="shared" si="1063"/>
        <v>19.12</v>
      </c>
      <c r="CD117" s="23">
        <f>+'QTR Raw'!AX56</f>
        <v>19.12</v>
      </c>
      <c r="CE117" s="23">
        <f t="shared" si="1063"/>
        <v>19.12</v>
      </c>
      <c r="CF117" s="23">
        <f>+'QTR Raw'!AZ56</f>
        <v>19.12</v>
      </c>
      <c r="CG117" s="23">
        <f t="shared" ref="CG117:CG118" si="1064">+CF117</f>
        <v>19.12</v>
      </c>
      <c r="CH117" s="23">
        <f>Z117</f>
        <v>19.12</v>
      </c>
      <c r="CI117" s="23">
        <f>CH117</f>
        <v>19.12</v>
      </c>
      <c r="CJ117" s="23">
        <f>+'QTR Raw'!BD56</f>
        <v>19.12</v>
      </c>
      <c r="CK117" s="24">
        <f t="shared" ref="CK117:DB117" si="1065">CJ117</f>
        <v>19.12</v>
      </c>
      <c r="CL117" s="23">
        <f>+'QTR Raw'!BF56</f>
        <v>19.12</v>
      </c>
      <c r="CM117" s="24">
        <f t="shared" si="1065"/>
        <v>19.12</v>
      </c>
      <c r="CN117" s="24">
        <f t="shared" si="1065"/>
        <v>19.12</v>
      </c>
      <c r="CO117" s="24">
        <f t="shared" si="1065"/>
        <v>19.12</v>
      </c>
      <c r="CP117" s="24">
        <f t="shared" si="1065"/>
        <v>19.12</v>
      </c>
      <c r="CQ117" s="24">
        <f t="shared" si="1065"/>
        <v>19.12</v>
      </c>
      <c r="CR117" s="24">
        <f t="shared" si="1065"/>
        <v>19.12</v>
      </c>
      <c r="CS117" s="24">
        <f t="shared" si="1065"/>
        <v>19.12</v>
      </c>
      <c r="CT117" s="24">
        <f t="shared" si="1065"/>
        <v>19.12</v>
      </c>
      <c r="CU117" s="24">
        <f t="shared" si="1065"/>
        <v>19.12</v>
      </c>
      <c r="CV117" s="24">
        <f t="shared" si="1065"/>
        <v>19.12</v>
      </c>
      <c r="CW117" s="24">
        <f t="shared" si="1065"/>
        <v>19.12</v>
      </c>
      <c r="CX117" s="24">
        <f t="shared" si="1065"/>
        <v>19.12</v>
      </c>
      <c r="CY117" s="24">
        <f t="shared" si="1065"/>
        <v>19.12</v>
      </c>
      <c r="CZ117" s="24">
        <f t="shared" si="1065"/>
        <v>19.12</v>
      </c>
      <c r="DA117" s="24">
        <f t="shared" si="1065"/>
        <v>19.12</v>
      </c>
      <c r="DB117" s="24">
        <f t="shared" si="1065"/>
        <v>19.12</v>
      </c>
      <c r="DE117" s="123"/>
      <c r="DF117" s="23">
        <v>19.12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0</v>
      </c>
      <c r="V119" s="23">
        <f>'Annual Raw'!W43</f>
        <v>-5.8151000000000001E-3</v>
      </c>
      <c r="W119" s="23">
        <f>'Annual Raw'!X43</f>
        <v>-6.9950999999999998E-3</v>
      </c>
      <c r="X119" s="23">
        <f>'Annual Raw'!Y43</f>
        <v>-0.01</v>
      </c>
      <c r="Y119" s="23">
        <f>'Annual Raw'!Z43</f>
        <v>1366.64</v>
      </c>
      <c r="Z119" s="23">
        <f>'Annual Raw'!AA43</f>
        <v>1418.26</v>
      </c>
      <c r="AA119" s="23">
        <f>'Annual Raw'!AB43</f>
        <v>1483.37</v>
      </c>
      <c r="AB119" s="24">
        <f t="shared" si="1066"/>
        <v>1612.130355478517</v>
      </c>
      <c r="AC119" s="24">
        <f t="shared" si="1067"/>
        <v>1755.2242780244853</v>
      </c>
      <c r="AD119" s="24">
        <f t="shared" si="1068"/>
        <v>1920.113904019923</v>
      </c>
      <c r="AE119" s="24">
        <f t="shared" si="1069"/>
        <v>2113.7768265024556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0</v>
      </c>
      <c r="BV119" s="23">
        <f>+'QTR Raw'!AP58</f>
        <v>0</v>
      </c>
      <c r="BW119" s="23">
        <f>+BV119+BW48</f>
        <v>0</v>
      </c>
      <c r="BX119" s="23">
        <f>+'QTR Raw'!AR58</f>
        <v>0</v>
      </c>
      <c r="BY119" s="23">
        <f>+BX119+BY48</f>
        <v>0</v>
      </c>
      <c r="BZ119" s="23">
        <f>+'QTR Raw'!AT58</f>
        <v>-0.01</v>
      </c>
      <c r="CA119" s="23">
        <f>+BZ119+CA48</f>
        <v>4.1499999999999826</v>
      </c>
      <c r="CB119" s="23">
        <f>+'QTR Raw'!AV58</f>
        <v>1350.47</v>
      </c>
      <c r="CC119" s="23">
        <f>+CB119+CC48</f>
        <v>1354.96</v>
      </c>
      <c r="CD119" s="23">
        <f>+'QTR Raw'!AX58</f>
        <v>1366.64</v>
      </c>
      <c r="CE119" s="23">
        <f>+CD119+CE48</f>
        <v>1378.44</v>
      </c>
      <c r="CF119" s="23">
        <f>+'QTR Raw'!AZ58</f>
        <v>1395</v>
      </c>
      <c r="CG119" s="23">
        <f>+CF119+CG48</f>
        <v>1404.37</v>
      </c>
      <c r="CH119" s="23">
        <f t="shared" si="1071"/>
        <v>1418.26</v>
      </c>
      <c r="CI119" s="23">
        <f>CH119+CI48</f>
        <v>1431.78</v>
      </c>
      <c r="CJ119" s="23">
        <f>+'QTR Raw'!BD58</f>
        <v>1443.22</v>
      </c>
      <c r="CK119" s="24">
        <f t="shared" ref="CK119:DB119" si="1073">CJ119+CK48</f>
        <v>1456.4</v>
      </c>
      <c r="CL119" s="23">
        <f>+'QTR Raw'!BF58</f>
        <v>1483.37</v>
      </c>
      <c r="CM119" s="24">
        <f t="shared" si="1073"/>
        <v>1512.3164222647645</v>
      </c>
      <c r="CN119" s="24">
        <f t="shared" si="1073"/>
        <v>1532.1533075390207</v>
      </c>
      <c r="CO119" s="24">
        <f t="shared" si="1073"/>
        <v>1571.4528306947134</v>
      </c>
      <c r="CP119" s="24">
        <f t="shared" si="1073"/>
        <v>1612.130355478517</v>
      </c>
      <c r="CQ119" s="24">
        <f t="shared" si="1073"/>
        <v>1643.7163604732621</v>
      </c>
      <c r="CR119" s="24">
        <f t="shared" si="1073"/>
        <v>1664.0427898258274</v>
      </c>
      <c r="CS119" s="24">
        <f t="shared" si="1073"/>
        <v>1709.2835137639138</v>
      </c>
      <c r="CT119" s="24">
        <f t="shared" si="1073"/>
        <v>1755.2242780244853</v>
      </c>
      <c r="CU119" s="24">
        <f t="shared" si="1073"/>
        <v>1791.1144023108959</v>
      </c>
      <c r="CV119" s="24">
        <f t="shared" si="1073"/>
        <v>1813.750262368108</v>
      </c>
      <c r="CW119" s="24">
        <f t="shared" si="1073"/>
        <v>1866.5264189738655</v>
      </c>
      <c r="CX119" s="24">
        <f t="shared" si="1073"/>
        <v>1920.113904019923</v>
      </c>
      <c r="CY119" s="24">
        <f t="shared" si="1073"/>
        <v>1961.9610886834407</v>
      </c>
      <c r="CZ119" s="24">
        <f t="shared" si="1073"/>
        <v>1988.1113785683251</v>
      </c>
      <c r="DA119" s="24">
        <f t="shared" si="1073"/>
        <v>2050.4220397963959</v>
      </c>
      <c r="DB119" s="24">
        <f t="shared" si="1073"/>
        <v>2113.7768265024556</v>
      </c>
      <c r="DE119" s="123"/>
      <c r="DF119" s="23">
        <v>1483.37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0</v>
      </c>
      <c r="D120" s="22">
        <f t="shared" si="1074"/>
        <v>0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0</v>
      </c>
      <c r="I120" s="22">
        <f t="shared" si="1074"/>
        <v>0</v>
      </c>
      <c r="J120" s="22">
        <f t="shared" si="1074"/>
        <v>0</v>
      </c>
      <c r="K120" s="22">
        <f t="shared" si="1074"/>
        <v>0</v>
      </c>
      <c r="L120" s="22">
        <f t="shared" si="1074"/>
        <v>0</v>
      </c>
      <c r="M120" s="22">
        <f>M117+M118+M119</f>
        <v>0</v>
      </c>
      <c r="N120" s="22">
        <f t="shared" si="1074"/>
        <v>0</v>
      </c>
      <c r="O120" s="22">
        <f t="shared" si="1074"/>
        <v>0</v>
      </c>
      <c r="P120" s="22">
        <f t="shared" si="1074"/>
        <v>0</v>
      </c>
      <c r="Q120" s="22">
        <f t="shared" si="1074"/>
        <v>0</v>
      </c>
      <c r="R120" s="22">
        <f t="shared" si="1074"/>
        <v>0</v>
      </c>
      <c r="S120" s="22">
        <f t="shared" si="1074"/>
        <v>0</v>
      </c>
      <c r="T120" s="22">
        <f t="shared" si="1074"/>
        <v>0</v>
      </c>
      <c r="U120" s="22">
        <f t="shared" si="1074"/>
        <v>0</v>
      </c>
      <c r="V120" s="22">
        <f t="shared" si="1074"/>
        <v>4.1849000000000001E-3</v>
      </c>
      <c r="W120" s="22">
        <f t="shared" ref="W120" si="1075">W117+W118+W119</f>
        <v>3.0049000000000005E-3</v>
      </c>
      <c r="X120" s="22">
        <f t="shared" ref="X120:Y120" si="1076">X117+X118+X119</f>
        <v>0</v>
      </c>
      <c r="Y120" s="22">
        <f t="shared" si="1076"/>
        <v>1385.76</v>
      </c>
      <c r="Z120" s="22">
        <f t="shared" ref="Z120:AA120" si="1077">Z117+Z118+Z119</f>
        <v>1437.3799999999999</v>
      </c>
      <c r="AA120" s="22">
        <f t="shared" ref="AA120" si="1078">AA117+AA118+AA119</f>
        <v>1502.4899999999998</v>
      </c>
      <c r="AB120" s="21">
        <f t="shared" ref="AB120:AD120" si="1079">AB117+AB118+AB119</f>
        <v>1631.2503554785169</v>
      </c>
      <c r="AC120" s="21">
        <f t="shared" si="1079"/>
        <v>1774.3442780244852</v>
      </c>
      <c r="AD120" s="21">
        <f t="shared" si="1079"/>
        <v>1939.2339040199229</v>
      </c>
      <c r="AE120" s="21">
        <f t="shared" ref="AE120" si="1080">AE117+AE118+AE119</f>
        <v>2132.8968265024555</v>
      </c>
      <c r="AJ120" s="22">
        <f t="shared" ref="AJ120" si="1081">AJ117+AJ118+AJ119</f>
        <v>0</v>
      </c>
      <c r="AK120" s="22">
        <f t="shared" ref="AK120" si="1082">AK117+AK118+AK119</f>
        <v>0</v>
      </c>
      <c r="AL120" s="22">
        <f t="shared" ref="AL120:AM120" si="1083">AL117+AL118+AL119</f>
        <v>0</v>
      </c>
      <c r="AM120" s="22">
        <f t="shared" si="1083"/>
        <v>0</v>
      </c>
      <c r="AN120" s="22">
        <f t="shared" ref="AN120:AO120" si="1084">AN117+AN118+AN119</f>
        <v>0</v>
      </c>
      <c r="AO120" s="22">
        <f t="shared" si="1084"/>
        <v>0</v>
      </c>
      <c r="AP120" s="22">
        <f t="shared" ref="AP120:CE120" si="1085">AP117+AP118+AP119</f>
        <v>0</v>
      </c>
      <c r="AQ120" s="22">
        <f t="shared" si="1085"/>
        <v>0</v>
      </c>
      <c r="AR120" s="22">
        <f t="shared" si="1085"/>
        <v>0</v>
      </c>
      <c r="AS120" s="22">
        <f t="shared" si="1085"/>
        <v>0</v>
      </c>
      <c r="AT120" s="22">
        <f t="shared" si="1085"/>
        <v>0</v>
      </c>
      <c r="AU120" s="22">
        <f t="shared" si="1085"/>
        <v>0</v>
      </c>
      <c r="AV120" s="22">
        <f t="shared" si="1085"/>
        <v>0</v>
      </c>
      <c r="AW120" s="22">
        <f t="shared" si="1085"/>
        <v>0</v>
      </c>
      <c r="AX120" s="22">
        <f t="shared" si="1085"/>
        <v>0</v>
      </c>
      <c r="AY120" s="22">
        <f t="shared" si="1085"/>
        <v>0</v>
      </c>
      <c r="AZ120" s="22">
        <f t="shared" si="1085"/>
        <v>0</v>
      </c>
      <c r="BA120" s="22">
        <f t="shared" si="1085"/>
        <v>0</v>
      </c>
      <c r="BB120" s="22">
        <f t="shared" si="1085"/>
        <v>0</v>
      </c>
      <c r="BC120" s="22">
        <f t="shared" si="1085"/>
        <v>0</v>
      </c>
      <c r="BD120" s="22">
        <f t="shared" si="1085"/>
        <v>0</v>
      </c>
      <c r="BE120" s="22">
        <f t="shared" si="1085"/>
        <v>0</v>
      </c>
      <c r="BF120" s="22">
        <f t="shared" si="1085"/>
        <v>0</v>
      </c>
      <c r="BG120" s="22">
        <f t="shared" si="1085"/>
        <v>0</v>
      </c>
      <c r="BH120" s="22">
        <f t="shared" si="1085"/>
        <v>0</v>
      </c>
      <c r="BI120" s="22">
        <f t="shared" si="1085"/>
        <v>0</v>
      </c>
      <c r="BJ120" s="22">
        <f t="shared" si="1085"/>
        <v>0</v>
      </c>
      <c r="BK120" s="22">
        <f t="shared" si="1085"/>
        <v>0</v>
      </c>
      <c r="BL120" s="22">
        <f t="shared" si="1085"/>
        <v>0</v>
      </c>
      <c r="BM120" s="22">
        <f t="shared" si="1085"/>
        <v>0</v>
      </c>
      <c r="BN120" s="22">
        <f t="shared" si="1085"/>
        <v>0</v>
      </c>
      <c r="BO120" s="22">
        <f t="shared" si="1085"/>
        <v>0</v>
      </c>
      <c r="BP120" s="22">
        <f t="shared" si="1085"/>
        <v>0</v>
      </c>
      <c r="BQ120" s="22">
        <f t="shared" si="1085"/>
        <v>0</v>
      </c>
      <c r="BR120" s="22">
        <f t="shared" si="1085"/>
        <v>0</v>
      </c>
      <c r="BS120" s="22">
        <f t="shared" si="1085"/>
        <v>0</v>
      </c>
      <c r="BT120" s="22">
        <f t="shared" si="1085"/>
        <v>0</v>
      </c>
      <c r="BU120" s="22">
        <f t="shared" si="1085"/>
        <v>0</v>
      </c>
      <c r="BV120" s="22">
        <f t="shared" si="1085"/>
        <v>0</v>
      </c>
      <c r="BW120" s="22">
        <f t="shared" si="1085"/>
        <v>0</v>
      </c>
      <c r="BX120" s="22">
        <f t="shared" si="1085"/>
        <v>0</v>
      </c>
      <c r="BY120" s="22">
        <f t="shared" si="1085"/>
        <v>0</v>
      </c>
      <c r="BZ120" s="22">
        <f t="shared" si="1085"/>
        <v>0</v>
      </c>
      <c r="CA120" s="22">
        <f t="shared" si="1085"/>
        <v>4.1599999999999824</v>
      </c>
      <c r="CB120" s="22">
        <f t="shared" si="1085"/>
        <v>1369.59</v>
      </c>
      <c r="CC120" s="22">
        <f t="shared" si="1085"/>
        <v>1374.08</v>
      </c>
      <c r="CD120" s="22">
        <f t="shared" si="1085"/>
        <v>1385.76</v>
      </c>
      <c r="CE120" s="22">
        <f t="shared" si="1085"/>
        <v>1397.56</v>
      </c>
      <c r="CF120" s="22">
        <f t="shared" ref="CF120:CG120" si="1086">CF117+CF118+CF119</f>
        <v>1414.12</v>
      </c>
      <c r="CG120" s="22">
        <f t="shared" si="1086"/>
        <v>1423.4899999999998</v>
      </c>
      <c r="CH120" s="22">
        <f t="shared" ref="CH120:CI120" si="1087">CH117+CH118+CH119</f>
        <v>1437.3799999999999</v>
      </c>
      <c r="CI120" s="22">
        <f t="shared" si="1087"/>
        <v>1450.8999999999999</v>
      </c>
      <c r="CJ120" s="22">
        <f t="shared" ref="CJ120:DB120" si="1088">CJ117+CJ118+CJ119</f>
        <v>1462.34</v>
      </c>
      <c r="CK120" s="21">
        <f t="shared" si="1088"/>
        <v>1475.52</v>
      </c>
      <c r="CL120" s="22">
        <f t="shared" ref="CL120" si="1089">CL117+CL118+CL119</f>
        <v>1502.4899999999998</v>
      </c>
      <c r="CM120" s="21">
        <f t="shared" si="1088"/>
        <v>1531.4364222647644</v>
      </c>
      <c r="CN120" s="21">
        <f t="shared" si="1088"/>
        <v>1551.2733075390206</v>
      </c>
      <c r="CO120" s="21">
        <f t="shared" si="1088"/>
        <v>1590.5728306947133</v>
      </c>
      <c r="CP120" s="21">
        <f t="shared" si="1088"/>
        <v>1631.2503554785169</v>
      </c>
      <c r="CQ120" s="21">
        <f t="shared" si="1088"/>
        <v>1662.8363604732619</v>
      </c>
      <c r="CR120" s="21">
        <f t="shared" si="1088"/>
        <v>1683.1627898258273</v>
      </c>
      <c r="CS120" s="21">
        <f t="shared" si="1088"/>
        <v>1728.4035137639137</v>
      </c>
      <c r="CT120" s="21">
        <f t="shared" si="1088"/>
        <v>1774.3442780244852</v>
      </c>
      <c r="CU120" s="21">
        <f t="shared" si="1088"/>
        <v>1810.2344023108958</v>
      </c>
      <c r="CV120" s="21">
        <f t="shared" si="1088"/>
        <v>1832.8702623681079</v>
      </c>
      <c r="CW120" s="21">
        <f t="shared" si="1088"/>
        <v>1885.6464189738654</v>
      </c>
      <c r="CX120" s="21">
        <f t="shared" si="1088"/>
        <v>1939.2339040199229</v>
      </c>
      <c r="CY120" s="21">
        <f t="shared" si="1088"/>
        <v>1981.0810886834406</v>
      </c>
      <c r="CZ120" s="21">
        <f t="shared" si="1088"/>
        <v>2007.231378568325</v>
      </c>
      <c r="DA120" s="21">
        <f t="shared" si="1088"/>
        <v>2069.5420397963958</v>
      </c>
      <c r="DB120" s="21">
        <f t="shared" si="1088"/>
        <v>2132.8968265024555</v>
      </c>
      <c r="DE120" s="126"/>
      <c r="DF120" s="22">
        <v>1502.4899999999998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29.18</v>
      </c>
      <c r="Z124" s="23">
        <f>'Annual Raw'!AA47</f>
        <v>2.73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2.73</v>
      </c>
      <c r="CI124" s="23">
        <f t="shared" si="1116"/>
        <v>2.73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0</v>
      </c>
      <c r="AC125" s="24">
        <f t="shared" si="1111"/>
        <v>0</v>
      </c>
      <c r="AD125" s="24">
        <f t="shared" si="1112"/>
        <v>0</v>
      </c>
      <c r="AE125" s="24">
        <f t="shared" si="1113"/>
        <v>0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0</v>
      </c>
      <c r="AW125" s="23">
        <f t="shared" si="1114"/>
        <v>0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0</v>
      </c>
      <c r="BC125" s="23">
        <f t="shared" si="1114"/>
        <v>0</v>
      </c>
      <c r="BD125" s="23">
        <f>+'QTR Raw'!X63</f>
        <v>0</v>
      </c>
      <c r="BE125" s="23">
        <f t="shared" si="1114"/>
        <v>0</v>
      </c>
      <c r="BF125" s="23">
        <f>+'QTR Raw'!Z63</f>
        <v>0</v>
      </c>
      <c r="BG125" s="23">
        <f t="shared" si="1114"/>
        <v>0</v>
      </c>
      <c r="BH125" s="23">
        <f>+'QTR Raw'!AB63</f>
        <v>0</v>
      </c>
      <c r="BI125" s="23">
        <f t="shared" si="1114"/>
        <v>0</v>
      </c>
      <c r="BJ125" s="23">
        <f>+'QTR Raw'!AD63</f>
        <v>0</v>
      </c>
      <c r="BK125" s="23">
        <f t="shared" si="1114"/>
        <v>0</v>
      </c>
      <c r="BL125" s="23">
        <f>+'QTR Raw'!AF63</f>
        <v>0</v>
      </c>
      <c r="BM125" s="23">
        <f t="shared" si="1114"/>
        <v>0</v>
      </c>
      <c r="BN125" s="23">
        <f>+'QTR Raw'!AH63</f>
        <v>0</v>
      </c>
      <c r="BO125" s="23">
        <f t="shared" si="1114"/>
        <v>0</v>
      </c>
      <c r="BP125" s="23">
        <f>+'QTR Raw'!AJ63</f>
        <v>0</v>
      </c>
      <c r="BQ125" s="23">
        <f t="shared" si="1114"/>
        <v>0</v>
      </c>
      <c r="BR125" s="23">
        <f>+'QTR Raw'!AL63</f>
        <v>0</v>
      </c>
      <c r="BS125" s="23">
        <f t="shared" si="1114"/>
        <v>0</v>
      </c>
      <c r="BT125" s="23">
        <f>+'QTR Raw'!AN63</f>
        <v>0</v>
      </c>
      <c r="BU125" s="23">
        <f t="shared" si="1114"/>
        <v>0</v>
      </c>
      <c r="BV125" s="23">
        <f>+'QTR Raw'!AP63</f>
        <v>0</v>
      </c>
      <c r="BW125" s="23">
        <f t="shared" si="1114"/>
        <v>0</v>
      </c>
      <c r="BX125" s="23">
        <f>+'QTR Raw'!AR63</f>
        <v>0</v>
      </c>
      <c r="BY125" s="23">
        <f t="shared" si="1114"/>
        <v>0</v>
      </c>
      <c r="BZ125" s="23">
        <f>+'QTR Raw'!AT63</f>
        <v>0</v>
      </c>
      <c r="CA125" s="23">
        <f t="shared" si="1114"/>
        <v>0</v>
      </c>
      <c r="CB125" s="23">
        <f>+'QTR Raw'!AV63</f>
        <v>40.4</v>
      </c>
      <c r="CC125" s="23">
        <f t="shared" si="1114"/>
        <v>40.4</v>
      </c>
      <c r="CD125" s="23">
        <f>+'QTR Raw'!AX63</f>
        <v>29.18</v>
      </c>
      <c r="CE125" s="23">
        <f t="shared" si="1115"/>
        <v>29.18</v>
      </c>
      <c r="CF125" s="23">
        <f>+'QTR Raw'!AZ63</f>
        <v>4.5999999999999996</v>
      </c>
      <c r="CG125" s="23">
        <f t="shared" si="1116"/>
        <v>4.5999999999999996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0</v>
      </c>
      <c r="CM125" s="24">
        <f t="shared" si="1118"/>
        <v>0</v>
      </c>
      <c r="CN125" s="24">
        <f t="shared" si="1119"/>
        <v>0</v>
      </c>
      <c r="CO125" s="24">
        <f t="shared" si="1120"/>
        <v>0</v>
      </c>
      <c r="CP125" s="24">
        <f t="shared" si="1121"/>
        <v>0</v>
      </c>
      <c r="CQ125" s="24">
        <f t="shared" si="1122"/>
        <v>0</v>
      </c>
      <c r="CR125" s="24">
        <f t="shared" si="1123"/>
        <v>0</v>
      </c>
      <c r="CS125" s="24">
        <f t="shared" si="1124"/>
        <v>0</v>
      </c>
      <c r="CT125" s="24">
        <f t="shared" si="1125"/>
        <v>0</v>
      </c>
      <c r="CU125" s="24">
        <f t="shared" si="1126"/>
        <v>0</v>
      </c>
      <c r="CV125" s="24">
        <f t="shared" si="1127"/>
        <v>0</v>
      </c>
      <c r="CW125" s="24">
        <f t="shared" si="1128"/>
        <v>0</v>
      </c>
      <c r="CX125" s="24">
        <f t="shared" si="1129"/>
        <v>0</v>
      </c>
      <c r="CY125" s="24">
        <f t="shared" si="1130"/>
        <v>0</v>
      </c>
      <c r="CZ125" s="24">
        <f t="shared" si="1131"/>
        <v>0</v>
      </c>
      <c r="DA125" s="24">
        <f t="shared" si="1132"/>
        <v>0</v>
      </c>
      <c r="DB125" s="24">
        <f t="shared" si="113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23.4</v>
      </c>
      <c r="Z126" s="23">
        <f>'Annual Raw'!AA87+'Annual Raw'!AA88+'Annual Raw'!AA89+'Annual Raw'!AA90</f>
        <v>4.42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4.42</v>
      </c>
      <c r="CI126" s="23">
        <f t="shared" si="1116"/>
        <v>4.42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19.07</v>
      </c>
      <c r="Z127" s="23">
        <f>'Annual Raw'!AA56</f>
        <v>56.05</v>
      </c>
      <c r="AA127" s="23">
        <f>'Annual Raw'!AB56</f>
        <v>133.61000000000001</v>
      </c>
      <c r="AB127" s="24">
        <f t="shared" si="1110"/>
        <v>134.22</v>
      </c>
      <c r="AC127" s="24">
        <f t="shared" si="1111"/>
        <v>134.22</v>
      </c>
      <c r="AD127" s="24">
        <f t="shared" si="1112"/>
        <v>134.22</v>
      </c>
      <c r="AE127" s="24">
        <f t="shared" si="1113"/>
        <v>134.22</v>
      </c>
      <c r="AJ127" s="23">
        <f>+'QTR Raw'!D88</f>
        <v>0</v>
      </c>
      <c r="AK127" s="23">
        <f t="shared" si="1114"/>
        <v>0</v>
      </c>
      <c r="AL127" s="23">
        <f>+'QTR Raw'!F88</f>
        <v>0</v>
      </c>
      <c r="AM127" s="23">
        <f t="shared" si="1114"/>
        <v>0</v>
      </c>
      <c r="AN127" s="23">
        <f>+'QTR Raw'!H88</f>
        <v>0</v>
      </c>
      <c r="AO127" s="23">
        <f t="shared" si="1114"/>
        <v>0</v>
      </c>
      <c r="AP127" s="23">
        <f>+'QTR Raw'!J88</f>
        <v>0</v>
      </c>
      <c r="AQ127" s="23">
        <f t="shared" si="1114"/>
        <v>0</v>
      </c>
      <c r="AR127" s="23">
        <f>+'QTR Raw'!L88</f>
        <v>0</v>
      </c>
      <c r="AS127" s="23">
        <f t="shared" si="1114"/>
        <v>0</v>
      </c>
      <c r="AT127" s="23">
        <f>+'QTR Raw'!N88</f>
        <v>0</v>
      </c>
      <c r="AU127" s="23">
        <f t="shared" si="1114"/>
        <v>0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0</v>
      </c>
      <c r="BK127" s="23">
        <f t="shared" si="1114"/>
        <v>0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0</v>
      </c>
      <c r="BQ127" s="23">
        <f t="shared" si="1114"/>
        <v>0</v>
      </c>
      <c r="BR127" s="23">
        <f>+'QTR Raw'!AL88</f>
        <v>0</v>
      </c>
      <c r="BS127" s="23">
        <f t="shared" si="1114"/>
        <v>0</v>
      </c>
      <c r="BT127" s="23">
        <f>+'QTR Raw'!AN88</f>
        <v>0</v>
      </c>
      <c r="BU127" s="23">
        <f t="shared" si="1114"/>
        <v>0</v>
      </c>
      <c r="BV127" s="23">
        <f>+'QTR Raw'!AP88</f>
        <v>0</v>
      </c>
      <c r="BW127" s="23">
        <f t="shared" si="1114"/>
        <v>0</v>
      </c>
      <c r="BX127" s="23">
        <f>+'QTR Raw'!AR88</f>
        <v>0</v>
      </c>
      <c r="BY127" s="23">
        <f t="shared" si="1114"/>
        <v>0</v>
      </c>
      <c r="BZ127" s="23">
        <f>+'QTR Raw'!AT88</f>
        <v>0</v>
      </c>
      <c r="CA127" s="23">
        <f t="shared" si="1114"/>
        <v>0</v>
      </c>
      <c r="CB127" s="23">
        <f>+'QTR Raw'!AV88</f>
        <v>26.7</v>
      </c>
      <c r="CC127" s="23">
        <f t="shared" si="1114"/>
        <v>26.7</v>
      </c>
      <c r="CD127" s="23">
        <f>+'QTR Raw'!AX88</f>
        <v>42.64</v>
      </c>
      <c r="CE127" s="23">
        <f t="shared" si="1115"/>
        <v>42.64</v>
      </c>
      <c r="CF127" s="23">
        <f>+'QTR Raw'!AZ88</f>
        <v>9.4600000000000009</v>
      </c>
      <c r="CG127" s="23">
        <f t="shared" si="1116"/>
        <v>9.4600000000000009</v>
      </c>
      <c r="CH127" s="23">
        <f t="shared" si="1092"/>
        <v>56.05</v>
      </c>
      <c r="CI127" s="23">
        <f t="shared" si="1116"/>
        <v>56.05</v>
      </c>
      <c r="CJ127" s="23">
        <f>+'QTR Raw'!BD88</f>
        <v>56.72</v>
      </c>
      <c r="CK127" s="24">
        <f t="shared" si="1117"/>
        <v>56.72</v>
      </c>
      <c r="CL127" s="23">
        <f>+'QTR Raw'!BF88</f>
        <v>134.22</v>
      </c>
      <c r="CM127" s="24">
        <f t="shared" si="1118"/>
        <v>134.22</v>
      </c>
      <c r="CN127" s="24">
        <f t="shared" si="1119"/>
        <v>134.22</v>
      </c>
      <c r="CO127" s="24">
        <f t="shared" si="1120"/>
        <v>134.22</v>
      </c>
      <c r="CP127" s="24">
        <f t="shared" si="1121"/>
        <v>134.22</v>
      </c>
      <c r="CQ127" s="24">
        <f t="shared" si="1122"/>
        <v>134.22</v>
      </c>
      <c r="CR127" s="24">
        <f t="shared" si="1123"/>
        <v>134.22</v>
      </c>
      <c r="CS127" s="24">
        <f t="shared" si="1124"/>
        <v>134.22</v>
      </c>
      <c r="CT127" s="24">
        <f t="shared" si="1125"/>
        <v>134.22</v>
      </c>
      <c r="CU127" s="24">
        <f t="shared" si="1126"/>
        <v>134.22</v>
      </c>
      <c r="CV127" s="24">
        <f t="shared" si="1127"/>
        <v>134.22</v>
      </c>
      <c r="CW127" s="24">
        <f t="shared" si="1128"/>
        <v>134.22</v>
      </c>
      <c r="CX127" s="24">
        <f t="shared" si="1129"/>
        <v>134.22</v>
      </c>
      <c r="CY127" s="24">
        <f t="shared" si="1130"/>
        <v>134.22</v>
      </c>
      <c r="CZ127" s="24">
        <f t="shared" si="1131"/>
        <v>134.22</v>
      </c>
      <c r="DA127" s="24">
        <f t="shared" si="1132"/>
        <v>134.22</v>
      </c>
      <c r="DB127" s="24">
        <f t="shared" si="1133"/>
        <v>134.22</v>
      </c>
      <c r="DE127" s="123"/>
      <c r="DF127" s="23">
        <v>134.22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0</v>
      </c>
      <c r="D128" s="22">
        <f t="shared" si="1134"/>
        <v>0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0</v>
      </c>
      <c r="I128" s="22">
        <f t="shared" si="1134"/>
        <v>0</v>
      </c>
      <c r="J128" s="22">
        <f t="shared" si="1134"/>
        <v>0</v>
      </c>
      <c r="K128" s="22">
        <f t="shared" si="1134"/>
        <v>0</v>
      </c>
      <c r="L128" s="22">
        <f t="shared" si="1134"/>
        <v>0</v>
      </c>
      <c r="M128" s="22">
        <f t="shared" si="1134"/>
        <v>0</v>
      </c>
      <c r="N128" s="22">
        <f t="shared" si="1134"/>
        <v>0</v>
      </c>
      <c r="O128" s="22">
        <f t="shared" si="1134"/>
        <v>0</v>
      </c>
      <c r="P128" s="22">
        <f t="shared" si="1134"/>
        <v>0</v>
      </c>
      <c r="Q128" s="22">
        <f t="shared" si="1134"/>
        <v>0</v>
      </c>
      <c r="R128" s="22">
        <f t="shared" si="1134"/>
        <v>0</v>
      </c>
      <c r="S128" s="22">
        <f t="shared" si="1134"/>
        <v>0</v>
      </c>
      <c r="T128" s="22">
        <f t="shared" si="1134"/>
        <v>0</v>
      </c>
      <c r="U128" s="22">
        <f t="shared" si="1134"/>
        <v>0</v>
      </c>
      <c r="V128" s="22">
        <f t="shared" si="1134"/>
        <v>0</v>
      </c>
      <c r="W128" s="22">
        <f t="shared" ref="W128" si="1135">SUM(W124:W127)</f>
        <v>0</v>
      </c>
      <c r="X128" s="22">
        <f t="shared" ref="X128:Y128" si="1136">SUM(X124:X127)</f>
        <v>0</v>
      </c>
      <c r="Y128" s="22">
        <f t="shared" si="1136"/>
        <v>71.650000000000006</v>
      </c>
      <c r="Z128" s="22">
        <f t="shared" ref="Z128:AA128" si="1137">SUM(Z124:Z127)</f>
        <v>63.199999999999996</v>
      </c>
      <c r="AA128" s="22">
        <f t="shared" ref="AA128" si="1138">SUM(AA124:AA127)</f>
        <v>133.61000000000001</v>
      </c>
      <c r="AB128" s="21">
        <f t="shared" ref="AB128:AD128" si="1139">SUM(AB124:AB127)</f>
        <v>134.22</v>
      </c>
      <c r="AC128" s="21">
        <f t="shared" si="1139"/>
        <v>134.22</v>
      </c>
      <c r="AD128" s="21">
        <f t="shared" si="1139"/>
        <v>134.22</v>
      </c>
      <c r="AE128" s="21">
        <f t="shared" ref="AE128" si="1140">SUM(AE124:AE127)</f>
        <v>134.22</v>
      </c>
      <c r="AJ128" s="22">
        <f t="shared" ref="AJ128" si="1141">SUM(AJ124:AJ127)</f>
        <v>0</v>
      </c>
      <c r="AK128" s="22">
        <f t="shared" ref="AK128" si="1142">SUM(AK124:AK127)</f>
        <v>0</v>
      </c>
      <c r="AL128" s="22">
        <f t="shared" ref="AL128:AM128" si="1143">SUM(AL124:AL127)</f>
        <v>0</v>
      </c>
      <c r="AM128" s="22">
        <f t="shared" si="1143"/>
        <v>0</v>
      </c>
      <c r="AN128" s="22">
        <f t="shared" ref="AN128:AO128" si="1144">SUM(AN124:AN127)</f>
        <v>0</v>
      </c>
      <c r="AO128" s="22">
        <f t="shared" si="1144"/>
        <v>0</v>
      </c>
      <c r="AP128" s="22">
        <f t="shared" ref="AP128:CE128" si="1145">SUM(AP124:AP127)</f>
        <v>0</v>
      </c>
      <c r="AQ128" s="22">
        <f t="shared" si="1145"/>
        <v>0</v>
      </c>
      <c r="AR128" s="22">
        <f t="shared" si="1145"/>
        <v>0</v>
      </c>
      <c r="AS128" s="22">
        <f t="shared" si="1145"/>
        <v>0</v>
      </c>
      <c r="AT128" s="22">
        <f t="shared" si="1145"/>
        <v>0</v>
      </c>
      <c r="AU128" s="22">
        <f t="shared" si="1145"/>
        <v>0</v>
      </c>
      <c r="AV128" s="22">
        <f t="shared" si="1145"/>
        <v>0</v>
      </c>
      <c r="AW128" s="22">
        <f t="shared" si="1145"/>
        <v>0</v>
      </c>
      <c r="AX128" s="22">
        <f t="shared" si="1145"/>
        <v>0</v>
      </c>
      <c r="AY128" s="22">
        <f t="shared" si="1145"/>
        <v>0</v>
      </c>
      <c r="AZ128" s="22">
        <f t="shared" si="1145"/>
        <v>0</v>
      </c>
      <c r="BA128" s="22">
        <f t="shared" si="1145"/>
        <v>0</v>
      </c>
      <c r="BB128" s="22">
        <f t="shared" si="1145"/>
        <v>0</v>
      </c>
      <c r="BC128" s="22">
        <f t="shared" si="1145"/>
        <v>0</v>
      </c>
      <c r="BD128" s="22">
        <f t="shared" si="1145"/>
        <v>0</v>
      </c>
      <c r="BE128" s="22">
        <f t="shared" si="1145"/>
        <v>0</v>
      </c>
      <c r="BF128" s="22">
        <f t="shared" si="1145"/>
        <v>0</v>
      </c>
      <c r="BG128" s="22">
        <f t="shared" si="1145"/>
        <v>0</v>
      </c>
      <c r="BH128" s="22">
        <f t="shared" ref="BH128" si="1146">SUM(BH124:BH127)</f>
        <v>0</v>
      </c>
      <c r="BI128" s="22">
        <f t="shared" si="1145"/>
        <v>0</v>
      </c>
      <c r="BJ128" s="22">
        <f t="shared" si="1145"/>
        <v>0</v>
      </c>
      <c r="BK128" s="22">
        <f t="shared" si="1145"/>
        <v>0</v>
      </c>
      <c r="BL128" s="22">
        <f t="shared" si="1145"/>
        <v>0</v>
      </c>
      <c r="BM128" s="22">
        <f t="shared" si="1145"/>
        <v>0</v>
      </c>
      <c r="BN128" s="22">
        <f t="shared" si="1145"/>
        <v>0</v>
      </c>
      <c r="BO128" s="22">
        <f t="shared" si="1145"/>
        <v>0</v>
      </c>
      <c r="BP128" s="22">
        <f t="shared" si="1145"/>
        <v>0</v>
      </c>
      <c r="BQ128" s="22">
        <f t="shared" si="1145"/>
        <v>0</v>
      </c>
      <c r="BR128" s="22">
        <f t="shared" si="1145"/>
        <v>0</v>
      </c>
      <c r="BS128" s="22">
        <f t="shared" si="1145"/>
        <v>0</v>
      </c>
      <c r="BT128" s="22">
        <f t="shared" si="1145"/>
        <v>0</v>
      </c>
      <c r="BU128" s="22">
        <f t="shared" si="1145"/>
        <v>0</v>
      </c>
      <c r="BV128" s="22">
        <f t="shared" si="1145"/>
        <v>0</v>
      </c>
      <c r="BW128" s="22">
        <f t="shared" si="1145"/>
        <v>0</v>
      </c>
      <c r="BX128" s="22">
        <f t="shared" si="1145"/>
        <v>0</v>
      </c>
      <c r="BY128" s="22">
        <f t="shared" si="1145"/>
        <v>0</v>
      </c>
      <c r="BZ128" s="22">
        <f t="shared" si="1145"/>
        <v>0</v>
      </c>
      <c r="CA128" s="22">
        <f t="shared" si="1145"/>
        <v>0</v>
      </c>
      <c r="CB128" s="22">
        <f t="shared" si="1145"/>
        <v>67.099999999999994</v>
      </c>
      <c r="CC128" s="22">
        <f t="shared" si="1145"/>
        <v>67.099999999999994</v>
      </c>
      <c r="CD128" s="22">
        <f t="shared" si="1145"/>
        <v>71.819999999999993</v>
      </c>
      <c r="CE128" s="22">
        <f t="shared" si="1145"/>
        <v>71.819999999999993</v>
      </c>
      <c r="CF128" s="22">
        <f t="shared" ref="CF128:CG128" si="1147">SUM(CF124:CF127)</f>
        <v>14.06</v>
      </c>
      <c r="CG128" s="22">
        <f t="shared" si="1147"/>
        <v>14.06</v>
      </c>
      <c r="CH128" s="22">
        <f t="shared" ref="CH128:CI128" si="1148">SUM(CH124:CH127)</f>
        <v>63.199999999999996</v>
      </c>
      <c r="CI128" s="22">
        <f t="shared" si="1148"/>
        <v>63.199999999999996</v>
      </c>
      <c r="CJ128" s="22">
        <f t="shared" ref="CJ128:DB128" si="1149">SUM(CJ124:CJ127)</f>
        <v>56.72</v>
      </c>
      <c r="CK128" s="21">
        <f t="shared" si="1149"/>
        <v>56.72</v>
      </c>
      <c r="CL128" s="22">
        <f t="shared" ref="CL128" si="1150">SUM(CL124:CL127)</f>
        <v>134.22</v>
      </c>
      <c r="CM128" s="21">
        <f t="shared" si="1149"/>
        <v>134.22</v>
      </c>
      <c r="CN128" s="21">
        <f t="shared" si="1149"/>
        <v>134.22</v>
      </c>
      <c r="CO128" s="21">
        <f t="shared" si="1149"/>
        <v>134.22</v>
      </c>
      <c r="CP128" s="21">
        <f t="shared" si="1149"/>
        <v>134.22</v>
      </c>
      <c r="CQ128" s="21">
        <f t="shared" si="1149"/>
        <v>134.22</v>
      </c>
      <c r="CR128" s="21">
        <f t="shared" si="1149"/>
        <v>134.22</v>
      </c>
      <c r="CS128" s="21">
        <f t="shared" si="1149"/>
        <v>134.22</v>
      </c>
      <c r="CT128" s="21">
        <f t="shared" si="1149"/>
        <v>134.22</v>
      </c>
      <c r="CU128" s="21">
        <f t="shared" si="1149"/>
        <v>134.22</v>
      </c>
      <c r="CV128" s="21">
        <f t="shared" si="1149"/>
        <v>134.22</v>
      </c>
      <c r="CW128" s="21">
        <f t="shared" si="1149"/>
        <v>134.22</v>
      </c>
      <c r="CX128" s="21">
        <f t="shared" si="1149"/>
        <v>134.22</v>
      </c>
      <c r="CY128" s="21">
        <f t="shared" si="1149"/>
        <v>134.22</v>
      </c>
      <c r="CZ128" s="21">
        <f t="shared" si="1149"/>
        <v>134.22</v>
      </c>
      <c r="DA128" s="21">
        <f t="shared" si="1149"/>
        <v>134.22</v>
      </c>
      <c r="DB128" s="21">
        <f t="shared" si="1149"/>
        <v>134.22</v>
      </c>
      <c r="DE128" s="126"/>
      <c r="DF128" s="22">
        <v>134.22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0</v>
      </c>
      <c r="D129" s="26">
        <f>D128+D120+D122</f>
        <v>0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0</v>
      </c>
      <c r="I129" s="26">
        <f t="shared" si="1151"/>
        <v>0</v>
      </c>
      <c r="J129" s="26">
        <f t="shared" si="1151"/>
        <v>0</v>
      </c>
      <c r="K129" s="26">
        <f t="shared" si="1151"/>
        <v>0</v>
      </c>
      <c r="L129" s="26">
        <f t="shared" si="1151"/>
        <v>0</v>
      </c>
      <c r="M129" s="26">
        <f t="shared" si="1151"/>
        <v>0</v>
      </c>
      <c r="N129" s="26">
        <f t="shared" si="1151"/>
        <v>0</v>
      </c>
      <c r="O129" s="26">
        <f t="shared" si="1151"/>
        <v>0</v>
      </c>
      <c r="P129" s="26">
        <f t="shared" si="1151"/>
        <v>0</v>
      </c>
      <c r="Q129" s="26">
        <f t="shared" si="1151"/>
        <v>0</v>
      </c>
      <c r="R129" s="26">
        <f t="shared" si="1151"/>
        <v>0</v>
      </c>
      <c r="S129" s="26">
        <f t="shared" si="1151"/>
        <v>0</v>
      </c>
      <c r="T129" s="26">
        <f t="shared" si="1151"/>
        <v>0</v>
      </c>
      <c r="U129" s="26">
        <f t="shared" si="1151"/>
        <v>0</v>
      </c>
      <c r="V129" s="26">
        <f t="shared" si="1151"/>
        <v>4.1849000000000001E-3</v>
      </c>
      <c r="W129" s="26">
        <f t="shared" ref="W129" si="1152">W128+W120+W122</f>
        <v>3.0049000000000005E-3</v>
      </c>
      <c r="X129" s="26">
        <f t="shared" ref="X129:Y129" si="1153">X128+X120+X122</f>
        <v>0</v>
      </c>
      <c r="Y129" s="26">
        <f t="shared" si="1153"/>
        <v>1457.41</v>
      </c>
      <c r="Z129" s="26">
        <f t="shared" ref="Z129:AA129" si="1154">Z128+Z120+Z122</f>
        <v>1500.58</v>
      </c>
      <c r="AA129" s="26">
        <f t="shared" ref="AA129" si="1155">AA128+AA120+AA122</f>
        <v>1636.1</v>
      </c>
      <c r="AB129" s="27">
        <f t="shared" ref="AB129:AD129" si="1156">AB128+AB120+AB122</f>
        <v>1765.4703554785169</v>
      </c>
      <c r="AC129" s="27">
        <f t="shared" si="1156"/>
        <v>1908.5642780244852</v>
      </c>
      <c r="AD129" s="27">
        <f t="shared" si="1156"/>
        <v>2073.4539040199229</v>
      </c>
      <c r="AE129" s="27">
        <f t="shared" ref="AE129" si="1157">AE128+AE120+AE122</f>
        <v>2267.1168265024553</v>
      </c>
      <c r="AJ129" s="26">
        <f t="shared" ref="AJ129" si="1158">AJ128+AJ120+AJ122</f>
        <v>0</v>
      </c>
      <c r="AK129" s="26">
        <f t="shared" ref="AK129" si="1159">AK128+AK120+AK122</f>
        <v>0</v>
      </c>
      <c r="AL129" s="26">
        <f t="shared" ref="AL129" si="1160">AL128+AL120+AL122</f>
        <v>0</v>
      </c>
      <c r="AM129" s="26">
        <f t="shared" ref="AM129:AO129" si="1161">AM128+AM120+AM122</f>
        <v>0</v>
      </c>
      <c r="AN129" s="26">
        <f t="shared" si="1161"/>
        <v>0</v>
      </c>
      <c r="AO129" s="26">
        <f t="shared" si="1161"/>
        <v>0</v>
      </c>
      <c r="AP129" s="26">
        <f t="shared" ref="AP129:CE129" si="1162">AP128+AP120+AP122</f>
        <v>0</v>
      </c>
      <c r="AQ129" s="26">
        <f t="shared" si="1162"/>
        <v>0</v>
      </c>
      <c r="AR129" s="26">
        <f t="shared" si="1162"/>
        <v>0</v>
      </c>
      <c r="AS129" s="26">
        <f t="shared" si="1162"/>
        <v>0</v>
      </c>
      <c r="AT129" s="26">
        <f t="shared" si="1162"/>
        <v>0</v>
      </c>
      <c r="AU129" s="26">
        <f t="shared" si="1162"/>
        <v>0</v>
      </c>
      <c r="AV129" s="26">
        <f t="shared" si="1162"/>
        <v>0</v>
      </c>
      <c r="AW129" s="26">
        <f t="shared" si="1162"/>
        <v>0</v>
      </c>
      <c r="AX129" s="26">
        <f t="shared" si="1162"/>
        <v>0</v>
      </c>
      <c r="AY129" s="26">
        <f t="shared" si="1162"/>
        <v>0</v>
      </c>
      <c r="AZ129" s="26">
        <f t="shared" si="1162"/>
        <v>0</v>
      </c>
      <c r="BA129" s="26">
        <f t="shared" si="1162"/>
        <v>0</v>
      </c>
      <c r="BB129" s="26">
        <f t="shared" si="1162"/>
        <v>0</v>
      </c>
      <c r="BC129" s="26">
        <f t="shared" si="1162"/>
        <v>0</v>
      </c>
      <c r="BD129" s="26">
        <f t="shared" si="1162"/>
        <v>0</v>
      </c>
      <c r="BE129" s="26">
        <f t="shared" si="1162"/>
        <v>0</v>
      </c>
      <c r="BF129" s="26">
        <f t="shared" si="1162"/>
        <v>0</v>
      </c>
      <c r="BG129" s="26">
        <f t="shared" si="1162"/>
        <v>0</v>
      </c>
      <c r="BH129" s="26">
        <f t="shared" ref="BH129" si="1163">BH128+BH120+BH122</f>
        <v>0</v>
      </c>
      <c r="BI129" s="26">
        <f t="shared" si="1162"/>
        <v>0</v>
      </c>
      <c r="BJ129" s="26">
        <f t="shared" si="1162"/>
        <v>0</v>
      </c>
      <c r="BK129" s="26">
        <f t="shared" si="1162"/>
        <v>0</v>
      </c>
      <c r="BL129" s="26">
        <f t="shared" si="1162"/>
        <v>0</v>
      </c>
      <c r="BM129" s="26">
        <f t="shared" si="1162"/>
        <v>0</v>
      </c>
      <c r="BN129" s="26">
        <f t="shared" si="1162"/>
        <v>0</v>
      </c>
      <c r="BO129" s="26">
        <f t="shared" si="1162"/>
        <v>0</v>
      </c>
      <c r="BP129" s="26">
        <f t="shared" si="1162"/>
        <v>0</v>
      </c>
      <c r="BQ129" s="26">
        <f t="shared" si="1162"/>
        <v>0</v>
      </c>
      <c r="BR129" s="26">
        <f t="shared" si="1162"/>
        <v>0</v>
      </c>
      <c r="BS129" s="26">
        <f t="shared" si="1162"/>
        <v>0</v>
      </c>
      <c r="BT129" s="26">
        <f t="shared" si="1162"/>
        <v>0</v>
      </c>
      <c r="BU129" s="26">
        <f t="shared" si="1162"/>
        <v>0</v>
      </c>
      <c r="BV129" s="26">
        <f t="shared" si="1162"/>
        <v>0</v>
      </c>
      <c r="BW129" s="26">
        <f t="shared" si="1162"/>
        <v>0</v>
      </c>
      <c r="BX129" s="26">
        <f t="shared" si="1162"/>
        <v>0</v>
      </c>
      <c r="BY129" s="26">
        <f t="shared" si="1162"/>
        <v>0</v>
      </c>
      <c r="BZ129" s="26">
        <f t="shared" si="1162"/>
        <v>0</v>
      </c>
      <c r="CA129" s="26">
        <f t="shared" si="1162"/>
        <v>4.1599999999999824</v>
      </c>
      <c r="CB129" s="26">
        <f t="shared" si="1162"/>
        <v>1436.6899999999998</v>
      </c>
      <c r="CC129" s="26">
        <f t="shared" si="1162"/>
        <v>1441.1799999999998</v>
      </c>
      <c r="CD129" s="26">
        <f t="shared" si="1162"/>
        <v>1457.58</v>
      </c>
      <c r="CE129" s="26">
        <f t="shared" si="1162"/>
        <v>1469.3799999999999</v>
      </c>
      <c r="CF129" s="26">
        <f t="shared" ref="CF129:CG129" si="1164">CF128+CF120+CF122</f>
        <v>1428.1799999999998</v>
      </c>
      <c r="CG129" s="26">
        <f t="shared" si="1164"/>
        <v>1437.5499999999997</v>
      </c>
      <c r="CH129" s="26">
        <f t="shared" ref="CH129:CI129" si="1165">CH128+CH120+CH122</f>
        <v>1500.58</v>
      </c>
      <c r="CI129" s="26">
        <f t="shared" si="1165"/>
        <v>1514.1</v>
      </c>
      <c r="CJ129" s="26">
        <f t="shared" ref="CJ129:DB129" si="1166">CJ128+CJ120+CJ122</f>
        <v>1519.06</v>
      </c>
      <c r="CK129" s="27">
        <f t="shared" si="1166"/>
        <v>1532.24</v>
      </c>
      <c r="CL129" s="26">
        <f t="shared" ref="CL129" si="1167">CL128+CL120+CL122</f>
        <v>1636.7099999999998</v>
      </c>
      <c r="CM129" s="27">
        <f t="shared" si="1166"/>
        <v>1665.6564222647644</v>
      </c>
      <c r="CN129" s="27">
        <f t="shared" si="1166"/>
        <v>1685.4933075390206</v>
      </c>
      <c r="CO129" s="27">
        <f t="shared" si="1166"/>
        <v>1724.7928306947133</v>
      </c>
      <c r="CP129" s="27">
        <f t="shared" si="1166"/>
        <v>1765.4703554785169</v>
      </c>
      <c r="CQ129" s="27">
        <f t="shared" si="1166"/>
        <v>1797.056360473262</v>
      </c>
      <c r="CR129" s="27">
        <f t="shared" si="1166"/>
        <v>1817.3827898258273</v>
      </c>
      <c r="CS129" s="27">
        <f t="shared" si="1166"/>
        <v>1862.6235137639137</v>
      </c>
      <c r="CT129" s="27">
        <f t="shared" si="1166"/>
        <v>1908.5642780244852</v>
      </c>
      <c r="CU129" s="27">
        <f t="shared" si="1166"/>
        <v>1944.4544023108958</v>
      </c>
      <c r="CV129" s="27">
        <f t="shared" si="1166"/>
        <v>1967.0902623681079</v>
      </c>
      <c r="CW129" s="27">
        <f t="shared" si="1166"/>
        <v>2019.8664189738654</v>
      </c>
      <c r="CX129" s="27">
        <f t="shared" si="1166"/>
        <v>2073.4539040199229</v>
      </c>
      <c r="CY129" s="27">
        <f t="shared" si="1166"/>
        <v>2115.3010886834404</v>
      </c>
      <c r="CZ129" s="27">
        <f t="shared" si="1166"/>
        <v>2141.4513785683248</v>
      </c>
      <c r="DA129" s="27">
        <f t="shared" si="1166"/>
        <v>2203.7620397963956</v>
      </c>
      <c r="DB129" s="27">
        <f t="shared" si="1166"/>
        <v>2267.1168265024553</v>
      </c>
      <c r="DE129" s="121"/>
      <c r="DF129" s="26">
        <v>1636.7099999999998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0</v>
      </c>
      <c r="V131" s="23">
        <f>'Annual Raw'!W62-V135</f>
        <v>0</v>
      </c>
      <c r="W131" s="23">
        <f>'Annual Raw'!X62-W135</f>
        <v>0</v>
      </c>
      <c r="X131" s="23">
        <f>'Annual Raw'!Y62-X135</f>
        <v>0</v>
      </c>
      <c r="Y131" s="23">
        <f>'Annual Raw'!Z62-Y135</f>
        <v>1327.69</v>
      </c>
      <c r="Z131" s="23">
        <f>'Annual Raw'!AA62-Z135</f>
        <v>1324.94</v>
      </c>
      <c r="AA131" s="23">
        <f>'Annual Raw'!AB62-AA135</f>
        <v>1551.99</v>
      </c>
      <c r="AB131" s="24">
        <f t="shared" ref="AB131:AB137" si="1168">+CP131</f>
        <v>1607.9592406122431</v>
      </c>
      <c r="AC131" s="24">
        <f t="shared" ref="AC131:AC137" si="1169">+CT131</f>
        <v>1668.1084812244862</v>
      </c>
      <c r="AD131" s="24">
        <f t="shared" ref="AD131:AD137" si="1170">+CX131</f>
        <v>1728.2577218367296</v>
      </c>
      <c r="AE131" s="24">
        <f t="shared" ref="AE131:AE137" si="1171">+DB131</f>
        <v>1788.406962448973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0</v>
      </c>
      <c r="CB131" s="23">
        <f>+'QTR Raw'!AV68</f>
        <v>1018.52</v>
      </c>
      <c r="CD131" s="23">
        <f>+'QTR Raw'!AX68</f>
        <v>1065.03</v>
      </c>
      <c r="CF131" s="23">
        <f>+'QTR Raw'!AZ68</f>
        <v>1040.05</v>
      </c>
      <c r="CH131" s="23">
        <f t="shared" ref="CH131:CH137" si="1172">Z131</f>
        <v>1324.94</v>
      </c>
      <c r="CI131" s="23">
        <f>CH131</f>
        <v>1324.94</v>
      </c>
      <c r="CJ131" s="23">
        <f>+CJ132+CJ134</f>
        <v>1510.8400000000001</v>
      </c>
      <c r="CK131" s="24">
        <f t="shared" ref="CK131:DB131" si="1173">+CK132+CK134</f>
        <v>1525.95</v>
      </c>
      <c r="CL131" s="23">
        <f>+CL132+CL134</f>
        <v>1547.81</v>
      </c>
      <c r="CM131" s="24">
        <f t="shared" si="1173"/>
        <v>1562.8473101530608</v>
      </c>
      <c r="CN131" s="24">
        <f t="shared" si="1173"/>
        <v>1577.8846203061216</v>
      </c>
      <c r="CO131" s="24">
        <f t="shared" si="1173"/>
        <v>1592.9219304591822</v>
      </c>
      <c r="CP131" s="24">
        <f t="shared" si="1173"/>
        <v>1607.9592406122431</v>
      </c>
      <c r="CQ131" s="24">
        <f t="shared" si="1173"/>
        <v>1622.9965507653039</v>
      </c>
      <c r="CR131" s="24">
        <f t="shared" si="1173"/>
        <v>1638.0338609183646</v>
      </c>
      <c r="CS131" s="24">
        <f t="shared" si="1173"/>
        <v>1653.0711710714254</v>
      </c>
      <c r="CT131" s="24">
        <f t="shared" si="1173"/>
        <v>1668.1084812244862</v>
      </c>
      <c r="CU131" s="24">
        <f t="shared" si="1173"/>
        <v>1683.1457913775471</v>
      </c>
      <c r="CV131" s="24">
        <f t="shared" si="1173"/>
        <v>1698.1831015306079</v>
      </c>
      <c r="CW131" s="24">
        <f t="shared" si="1173"/>
        <v>1713.2204116836688</v>
      </c>
      <c r="CX131" s="24">
        <f t="shared" si="1173"/>
        <v>1728.2577218367296</v>
      </c>
      <c r="CY131" s="24">
        <f t="shared" si="1173"/>
        <v>1743.2950319897905</v>
      </c>
      <c r="CZ131" s="24">
        <f t="shared" si="1173"/>
        <v>1758.3323421428513</v>
      </c>
      <c r="DA131" s="24">
        <f t="shared" si="1173"/>
        <v>1773.3696522959121</v>
      </c>
      <c r="DB131" s="24">
        <f t="shared" si="1173"/>
        <v>1788.406962448973</v>
      </c>
      <c r="DE131" s="123"/>
      <c r="DF131" s="23">
        <v>1547.81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0</v>
      </c>
      <c r="V132" s="23">
        <f>'Annual Raw'!W63</f>
        <v>0</v>
      </c>
      <c r="W132" s="23">
        <f>'Annual Raw'!X63</f>
        <v>0</v>
      </c>
      <c r="X132" s="23">
        <f>'Annual Raw'!Y63</f>
        <v>0</v>
      </c>
      <c r="Y132" s="23">
        <f>'Annual Raw'!Z63</f>
        <v>262.66000000000003</v>
      </c>
      <c r="Z132" s="23">
        <f>'Annual Raw'!AA63</f>
        <v>299.81</v>
      </c>
      <c r="AA132" s="23">
        <f>'Annual Raw'!AB63</f>
        <v>361.89</v>
      </c>
      <c r="AB132" s="24">
        <f t="shared" si="1168"/>
        <v>417.85924061224318</v>
      </c>
      <c r="AC132" s="24">
        <f t="shared" si="1169"/>
        <v>478.00848122448633</v>
      </c>
      <c r="AD132" s="24">
        <f t="shared" si="1170"/>
        <v>538.15772183672959</v>
      </c>
      <c r="AE132" s="24">
        <f t="shared" si="1171"/>
        <v>598.30696244897297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299.81</v>
      </c>
      <c r="CI132" s="23">
        <f t="shared" ref="CI132:DB132" si="1174">CH132+CI32</f>
        <v>312.79000000000002</v>
      </c>
      <c r="CJ132" s="23">
        <f t="shared" si="1174"/>
        <v>327.65000000000003</v>
      </c>
      <c r="CK132" s="24">
        <f t="shared" si="1174"/>
        <v>342.76000000000005</v>
      </c>
      <c r="CL132" s="23">
        <f t="shared" si="1174"/>
        <v>357.71000000000004</v>
      </c>
      <c r="CM132" s="24">
        <f t="shared" si="1174"/>
        <v>372.74731015306082</v>
      </c>
      <c r="CN132" s="24">
        <f t="shared" si="1174"/>
        <v>387.78462030612161</v>
      </c>
      <c r="CO132" s="24">
        <f t="shared" si="1174"/>
        <v>402.8219304591824</v>
      </c>
      <c r="CP132" s="24">
        <f t="shared" si="1174"/>
        <v>417.85924061224318</v>
      </c>
      <c r="CQ132" s="24">
        <f t="shared" si="1174"/>
        <v>432.89655076530397</v>
      </c>
      <c r="CR132" s="24">
        <f t="shared" si="1174"/>
        <v>447.93386091836476</v>
      </c>
      <c r="CS132" s="24">
        <f t="shared" si="1174"/>
        <v>462.97117107142554</v>
      </c>
      <c r="CT132" s="24">
        <f t="shared" si="1174"/>
        <v>478.00848122448633</v>
      </c>
      <c r="CU132" s="24">
        <f t="shared" si="1174"/>
        <v>493.04579137754712</v>
      </c>
      <c r="CV132" s="24">
        <f t="shared" si="1174"/>
        <v>508.08310153060791</v>
      </c>
      <c r="CW132" s="24">
        <f t="shared" si="1174"/>
        <v>523.12041168366875</v>
      </c>
      <c r="CX132" s="24">
        <f t="shared" si="1174"/>
        <v>538.15772183672959</v>
      </c>
      <c r="CY132" s="24">
        <f t="shared" si="1174"/>
        <v>553.19503198979044</v>
      </c>
      <c r="CZ132" s="24">
        <f t="shared" si="1174"/>
        <v>568.23234214285128</v>
      </c>
      <c r="DA132" s="24">
        <f t="shared" si="1174"/>
        <v>583.26965229591212</v>
      </c>
      <c r="DB132" s="24">
        <f t="shared" si="1174"/>
        <v>598.30696244897297</v>
      </c>
      <c r="DE132" s="123"/>
      <c r="DF132" s="23">
        <v>357.71000000000004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0</v>
      </c>
      <c r="D134" s="22">
        <f t="shared" si="1176"/>
        <v>0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0</v>
      </c>
      <c r="I134" s="22">
        <f t="shared" si="1176"/>
        <v>0</v>
      </c>
      <c r="J134" s="22">
        <f t="shared" si="1176"/>
        <v>0</v>
      </c>
      <c r="K134" s="22">
        <f t="shared" si="1176"/>
        <v>0</v>
      </c>
      <c r="L134" s="22">
        <f t="shared" si="1176"/>
        <v>0</v>
      </c>
      <c r="M134" s="22">
        <f t="shared" si="1176"/>
        <v>0</v>
      </c>
      <c r="N134" s="22">
        <f t="shared" si="1176"/>
        <v>0</v>
      </c>
      <c r="O134" s="22">
        <f t="shared" si="1176"/>
        <v>0</v>
      </c>
      <c r="P134" s="22">
        <f t="shared" si="1176"/>
        <v>0</v>
      </c>
      <c r="Q134" s="22">
        <f t="shared" si="1176"/>
        <v>0</v>
      </c>
      <c r="R134" s="22">
        <f t="shared" si="1176"/>
        <v>0</v>
      </c>
      <c r="S134" s="22">
        <f t="shared" si="1176"/>
        <v>0</v>
      </c>
      <c r="T134" s="22">
        <f t="shared" si="1176"/>
        <v>0</v>
      </c>
      <c r="U134" s="22">
        <f t="shared" si="1176"/>
        <v>0</v>
      </c>
      <c r="V134" s="22">
        <f t="shared" si="1176"/>
        <v>0</v>
      </c>
      <c r="W134" s="22">
        <f t="shared" si="1176"/>
        <v>0</v>
      </c>
      <c r="X134" s="22">
        <f t="shared" ref="X134:Y134" si="1177">+X131-X132-X133</f>
        <v>0</v>
      </c>
      <c r="Y134" s="22">
        <f t="shared" si="1177"/>
        <v>1065.03</v>
      </c>
      <c r="Z134" s="22">
        <f t="shared" ref="Z134:AE134" si="1178">+Z131-Z132-Z133</f>
        <v>1025.1300000000001</v>
      </c>
      <c r="AA134" s="22">
        <f t="shared" ref="AA134" si="1179">+AA131-AA132-AA133</f>
        <v>1190.0999999999999</v>
      </c>
      <c r="AB134" s="21">
        <f t="shared" si="1178"/>
        <v>1190.0999999999999</v>
      </c>
      <c r="AC134" s="21">
        <f t="shared" si="1178"/>
        <v>1190.0999999999999</v>
      </c>
      <c r="AD134" s="21">
        <f t="shared" si="1178"/>
        <v>1190.0999999999999</v>
      </c>
      <c r="AE134" s="21">
        <f t="shared" si="1178"/>
        <v>1190.0999999999999</v>
      </c>
      <c r="AJ134" s="22">
        <f t="shared" ref="AJ134:AL134" si="1180">+AJ131-AJ132-AJ133</f>
        <v>0</v>
      </c>
      <c r="AK134" s="22">
        <f t="shared" ref="AK134:CE134" si="1181">+AJ134</f>
        <v>0</v>
      </c>
      <c r="AL134" s="22">
        <f t="shared" si="1180"/>
        <v>0</v>
      </c>
      <c r="AM134" s="22">
        <f t="shared" si="1181"/>
        <v>0</v>
      </c>
      <c r="AN134" s="22">
        <f t="shared" ref="AN134" si="1182">+AN131-AN132-AN133</f>
        <v>0</v>
      </c>
      <c r="AO134" s="22">
        <f t="shared" si="1181"/>
        <v>0</v>
      </c>
      <c r="AP134" s="22">
        <f t="shared" ref="AP134:CD134" si="1183">+AP131-AP132-AP133</f>
        <v>0</v>
      </c>
      <c r="AQ134" s="22">
        <f t="shared" si="1181"/>
        <v>0</v>
      </c>
      <c r="AR134" s="22">
        <f t="shared" si="1183"/>
        <v>0</v>
      </c>
      <c r="AS134" s="22">
        <f t="shared" si="1181"/>
        <v>0</v>
      </c>
      <c r="AT134" s="22">
        <f t="shared" si="1183"/>
        <v>0</v>
      </c>
      <c r="AU134" s="22">
        <f t="shared" si="1181"/>
        <v>0</v>
      </c>
      <c r="AV134" s="22">
        <f t="shared" si="1183"/>
        <v>0</v>
      </c>
      <c r="AW134" s="22">
        <f t="shared" si="1181"/>
        <v>0</v>
      </c>
      <c r="AX134" s="22">
        <f t="shared" si="1183"/>
        <v>0</v>
      </c>
      <c r="AY134" s="22">
        <f t="shared" si="1181"/>
        <v>0</v>
      </c>
      <c r="AZ134" s="22">
        <f t="shared" si="1183"/>
        <v>0</v>
      </c>
      <c r="BA134" s="22">
        <f t="shared" si="1181"/>
        <v>0</v>
      </c>
      <c r="BB134" s="22">
        <f t="shared" si="1183"/>
        <v>0</v>
      </c>
      <c r="BC134" s="22">
        <f t="shared" si="1181"/>
        <v>0</v>
      </c>
      <c r="BD134" s="22">
        <f t="shared" si="1183"/>
        <v>0</v>
      </c>
      <c r="BE134" s="22">
        <f t="shared" si="1181"/>
        <v>0</v>
      </c>
      <c r="BF134" s="22">
        <f t="shared" si="1183"/>
        <v>0</v>
      </c>
      <c r="BG134" s="22">
        <f t="shared" si="1181"/>
        <v>0</v>
      </c>
      <c r="BH134" s="22">
        <f t="shared" si="1183"/>
        <v>0</v>
      </c>
      <c r="BI134" s="22">
        <f t="shared" si="1181"/>
        <v>0</v>
      </c>
      <c r="BJ134" s="22">
        <f t="shared" si="1183"/>
        <v>0</v>
      </c>
      <c r="BK134" s="22">
        <f t="shared" si="1181"/>
        <v>0</v>
      </c>
      <c r="BL134" s="22">
        <f t="shared" si="1183"/>
        <v>0</v>
      </c>
      <c r="BM134" s="22">
        <f t="shared" si="1181"/>
        <v>0</v>
      </c>
      <c r="BN134" s="22">
        <f t="shared" si="1183"/>
        <v>0</v>
      </c>
      <c r="BO134" s="22">
        <f t="shared" si="1181"/>
        <v>0</v>
      </c>
      <c r="BP134" s="22">
        <f t="shared" si="1183"/>
        <v>0</v>
      </c>
      <c r="BQ134" s="22">
        <f t="shared" si="1181"/>
        <v>0</v>
      </c>
      <c r="BR134" s="22">
        <f t="shared" si="1183"/>
        <v>0</v>
      </c>
      <c r="BS134" s="22">
        <f t="shared" si="1181"/>
        <v>0</v>
      </c>
      <c r="BT134" s="22">
        <f t="shared" si="1183"/>
        <v>0</v>
      </c>
      <c r="BU134" s="22">
        <f t="shared" si="1181"/>
        <v>0</v>
      </c>
      <c r="BV134" s="22">
        <f t="shared" si="1183"/>
        <v>0</v>
      </c>
      <c r="BW134" s="22">
        <f t="shared" si="1181"/>
        <v>0</v>
      </c>
      <c r="BX134" s="22">
        <f t="shared" si="1183"/>
        <v>0</v>
      </c>
      <c r="BY134" s="22">
        <f t="shared" si="1181"/>
        <v>0</v>
      </c>
      <c r="BZ134" s="22">
        <f t="shared" si="1183"/>
        <v>0</v>
      </c>
      <c r="CA134" s="22">
        <f t="shared" si="1181"/>
        <v>0</v>
      </c>
      <c r="CB134" s="22">
        <f t="shared" si="1183"/>
        <v>1018.52</v>
      </c>
      <c r="CC134" s="22">
        <f t="shared" si="1181"/>
        <v>1018.52</v>
      </c>
      <c r="CD134" s="22">
        <f t="shared" si="1183"/>
        <v>1065.03</v>
      </c>
      <c r="CE134" s="22">
        <f t="shared" si="1181"/>
        <v>1065.03</v>
      </c>
      <c r="CF134" s="22">
        <f t="shared" ref="CF134:CI134" si="1184">+CF131-CF132-CF133</f>
        <v>1040.05</v>
      </c>
      <c r="CG134" s="22">
        <f t="shared" ref="CG134:CI137" si="1185">+CF134</f>
        <v>1040.05</v>
      </c>
      <c r="CH134" s="22">
        <f t="shared" si="1184"/>
        <v>1025.1300000000001</v>
      </c>
      <c r="CI134" s="22">
        <f t="shared" si="1184"/>
        <v>1012.1500000000001</v>
      </c>
      <c r="CJ134" s="23">
        <f>+'QTR Raw'!BD68</f>
        <v>1183.19</v>
      </c>
      <c r="CK134" s="21">
        <f>+CJ134</f>
        <v>1183.19</v>
      </c>
      <c r="CL134" s="23">
        <f>+'QTR Raw'!BF68</f>
        <v>1190.0999999999999</v>
      </c>
      <c r="CM134" s="21">
        <f t="shared" ref="CM134:DB134" si="1186">+CL134</f>
        <v>1190.0999999999999</v>
      </c>
      <c r="CN134" s="21">
        <f t="shared" si="1186"/>
        <v>1190.0999999999999</v>
      </c>
      <c r="CO134" s="21">
        <f t="shared" si="1186"/>
        <v>1190.0999999999999</v>
      </c>
      <c r="CP134" s="21">
        <f t="shared" si="1186"/>
        <v>1190.0999999999999</v>
      </c>
      <c r="CQ134" s="21">
        <f t="shared" si="1186"/>
        <v>1190.0999999999999</v>
      </c>
      <c r="CR134" s="21">
        <f t="shared" si="1186"/>
        <v>1190.0999999999999</v>
      </c>
      <c r="CS134" s="21">
        <f t="shared" si="1186"/>
        <v>1190.0999999999999</v>
      </c>
      <c r="CT134" s="21">
        <f t="shared" si="1186"/>
        <v>1190.0999999999999</v>
      </c>
      <c r="CU134" s="21">
        <f t="shared" si="1186"/>
        <v>1190.0999999999999</v>
      </c>
      <c r="CV134" s="21">
        <f t="shared" si="1186"/>
        <v>1190.0999999999999</v>
      </c>
      <c r="CW134" s="21">
        <f t="shared" si="1186"/>
        <v>1190.0999999999999</v>
      </c>
      <c r="CX134" s="21">
        <f t="shared" si="1186"/>
        <v>1190.0999999999999</v>
      </c>
      <c r="CY134" s="21">
        <f t="shared" si="1186"/>
        <v>1190.0999999999999</v>
      </c>
      <c r="CZ134" s="21">
        <f t="shared" si="1186"/>
        <v>1190.0999999999999</v>
      </c>
      <c r="DA134" s="21">
        <f t="shared" si="1186"/>
        <v>1190.0999999999999</v>
      </c>
      <c r="DB134" s="21">
        <f t="shared" si="1186"/>
        <v>1190.0999999999999</v>
      </c>
      <c r="DE134" s="126"/>
      <c r="DF134" s="22">
        <v>1190.0999999999999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4.84</v>
      </c>
      <c r="Z137" s="23">
        <f>'Annual Raw'!AA67+'Annual Raw'!AA66+'Annual Raw'!AA69+'Annual Raw'!AA70</f>
        <v>155.01</v>
      </c>
      <c r="AA137" s="23">
        <f>'Annual Raw'!AB67+'Annual Raw'!AB66+'Annual Raw'!AB69+'Annual Raw'!AB70</f>
        <v>1.89</v>
      </c>
      <c r="AB137" s="24">
        <f t="shared" si="1168"/>
        <v>1.89</v>
      </c>
      <c r="AC137" s="24">
        <f t="shared" si="1169"/>
        <v>1.89</v>
      </c>
      <c r="AD137" s="24">
        <f t="shared" si="1170"/>
        <v>1.89</v>
      </c>
      <c r="AE137" s="24">
        <f t="shared" si="1171"/>
        <v>1.89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0</v>
      </c>
      <c r="BK137" s="23">
        <f t="shared" si="1187"/>
        <v>0</v>
      </c>
      <c r="BL137" s="23">
        <f>+'QTR Raw'!AF74+'QTR Raw'!AF75</f>
        <v>0</v>
      </c>
      <c r="BM137" s="23">
        <f t="shared" si="1187"/>
        <v>0</v>
      </c>
      <c r="BN137" s="23">
        <f>+'QTR Raw'!AH74+'QTR Raw'!AH75</f>
        <v>0</v>
      </c>
      <c r="BO137" s="23">
        <f t="shared" si="1187"/>
        <v>0</v>
      </c>
      <c r="BP137" s="23">
        <f>+'QTR Raw'!AJ74+'QTR Raw'!AJ75</f>
        <v>0</v>
      </c>
      <c r="BQ137" s="23">
        <f t="shared" si="1187"/>
        <v>0</v>
      </c>
      <c r="BR137" s="23">
        <f>+'QTR Raw'!AL74+'QTR Raw'!AL75</f>
        <v>0</v>
      </c>
      <c r="BS137" s="23">
        <f t="shared" si="1187"/>
        <v>0</v>
      </c>
      <c r="BT137" s="23">
        <f>+'QTR Raw'!AN74+'QTR Raw'!AN75</f>
        <v>0</v>
      </c>
      <c r="BU137" s="23">
        <f t="shared" si="1187"/>
        <v>0</v>
      </c>
      <c r="BV137" s="23">
        <f>+'QTR Raw'!AP74+'QTR Raw'!AP75</f>
        <v>0</v>
      </c>
      <c r="BW137" s="23">
        <f t="shared" si="1187"/>
        <v>0</v>
      </c>
      <c r="BX137" s="23">
        <f>+'QTR Raw'!AR74+'QTR Raw'!AR75</f>
        <v>0</v>
      </c>
      <c r="BY137" s="23">
        <f t="shared" si="1187"/>
        <v>0</v>
      </c>
      <c r="BZ137" s="23">
        <f>+'QTR Raw'!AT74+'QTR Raw'!AT75</f>
        <v>0</v>
      </c>
      <c r="CA137" s="23">
        <f t="shared" si="1187"/>
        <v>0</v>
      </c>
      <c r="CB137" s="23">
        <f>+'QTR Raw'!AV74+'QTR Raw'!AV75</f>
        <v>56.44</v>
      </c>
      <c r="CC137" s="23">
        <f t="shared" si="1187"/>
        <v>56.44</v>
      </c>
      <c r="CD137" s="23">
        <f>+'QTR Raw'!AX74+'QTR Raw'!AX75</f>
        <v>4.84</v>
      </c>
      <c r="CE137" s="23">
        <f t="shared" si="1187"/>
        <v>4.84</v>
      </c>
      <c r="CF137" s="23">
        <f>+'QTR Raw'!AZ74+'QTR Raw'!AZ75</f>
        <v>23.27</v>
      </c>
      <c r="CG137" s="23">
        <f t="shared" si="1185"/>
        <v>23.27</v>
      </c>
      <c r="CH137" s="23">
        <f t="shared" si="1172"/>
        <v>155.01</v>
      </c>
      <c r="CI137" s="23">
        <f t="shared" si="1185"/>
        <v>155.01</v>
      </c>
      <c r="CJ137" s="23">
        <f>+'QTR Raw'!BD74+'QTR Raw'!BD75</f>
        <v>13.03</v>
      </c>
      <c r="CK137" s="24">
        <f t="shared" si="1188"/>
        <v>13.03</v>
      </c>
      <c r="CL137" s="23">
        <f>+'QTR Raw'!BF74+'QTR Raw'!BF75</f>
        <v>1.89</v>
      </c>
      <c r="CM137" s="24">
        <f t="shared" si="1189"/>
        <v>1.89</v>
      </c>
      <c r="CN137" s="24">
        <f t="shared" si="1190"/>
        <v>1.89</v>
      </c>
      <c r="CO137" s="24">
        <f t="shared" si="1191"/>
        <v>1.89</v>
      </c>
      <c r="CP137" s="24">
        <f t="shared" si="1192"/>
        <v>1.89</v>
      </c>
      <c r="CQ137" s="24">
        <f t="shared" si="1193"/>
        <v>1.89</v>
      </c>
      <c r="CR137" s="24">
        <f t="shared" si="1194"/>
        <v>1.89</v>
      </c>
      <c r="CS137" s="24">
        <f t="shared" si="1195"/>
        <v>1.89</v>
      </c>
      <c r="CT137" s="24">
        <f t="shared" si="1196"/>
        <v>1.89</v>
      </c>
      <c r="CU137" s="24">
        <f t="shared" si="1197"/>
        <v>1.89</v>
      </c>
      <c r="CV137" s="24">
        <f t="shared" si="1198"/>
        <v>1.89</v>
      </c>
      <c r="CW137" s="24">
        <f t="shared" si="1199"/>
        <v>1.89</v>
      </c>
      <c r="CX137" s="24">
        <f t="shared" si="1200"/>
        <v>1.89</v>
      </c>
      <c r="CY137" s="24">
        <f t="shared" si="1201"/>
        <v>1.89</v>
      </c>
      <c r="CZ137" s="24">
        <f t="shared" si="1202"/>
        <v>1.89</v>
      </c>
      <c r="DA137" s="24">
        <f t="shared" si="1203"/>
        <v>1.89</v>
      </c>
      <c r="DB137" s="24">
        <f t="shared" si="1204"/>
        <v>1.89</v>
      </c>
      <c r="DE137" s="123"/>
      <c r="DF137" s="23">
        <v>1.89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0</v>
      </c>
      <c r="D138" s="22">
        <f t="shared" si="1205"/>
        <v>0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0</v>
      </c>
      <c r="I138" s="22">
        <f t="shared" si="1206"/>
        <v>0</v>
      </c>
      <c r="J138" s="22">
        <f t="shared" si="1206"/>
        <v>0</v>
      </c>
      <c r="K138" s="22">
        <f t="shared" si="1206"/>
        <v>0</v>
      </c>
      <c r="L138" s="22">
        <f t="shared" si="1206"/>
        <v>0</v>
      </c>
      <c r="M138" s="22">
        <f t="shared" si="1206"/>
        <v>0</v>
      </c>
      <c r="N138" s="22">
        <f t="shared" si="1206"/>
        <v>0</v>
      </c>
      <c r="O138" s="22">
        <f t="shared" si="1206"/>
        <v>0</v>
      </c>
      <c r="P138" s="22">
        <f t="shared" si="1206"/>
        <v>0</v>
      </c>
      <c r="Q138" s="22">
        <f t="shared" si="1206"/>
        <v>0</v>
      </c>
      <c r="R138" s="22">
        <f t="shared" si="1206"/>
        <v>0</v>
      </c>
      <c r="S138" s="22">
        <f t="shared" si="1206"/>
        <v>0</v>
      </c>
      <c r="T138" s="22">
        <f t="shared" si="1206"/>
        <v>0</v>
      </c>
      <c r="U138" s="22">
        <f t="shared" si="1206"/>
        <v>0</v>
      </c>
      <c r="V138" s="22">
        <f t="shared" si="1206"/>
        <v>0</v>
      </c>
      <c r="W138" s="22">
        <f t="shared" si="1206"/>
        <v>0</v>
      </c>
      <c r="X138" s="22">
        <f t="shared" si="1206"/>
        <v>0</v>
      </c>
      <c r="Y138" s="22">
        <f t="shared" si="1206"/>
        <v>1069.8699999999999</v>
      </c>
      <c r="Z138" s="22">
        <f>Z134+Z137+Z136+Z135</f>
        <v>1180.1400000000001</v>
      </c>
      <c r="AA138" s="22">
        <f>AA134+AA137+AA136+AA135</f>
        <v>1191.99</v>
      </c>
      <c r="AB138" s="161">
        <f t="shared" ref="AB138:AE138" si="1207">AB134+AB137+AB136+AB135</f>
        <v>1191.99</v>
      </c>
      <c r="AC138" s="161">
        <f t="shared" si="1207"/>
        <v>1191.99</v>
      </c>
      <c r="AD138" s="161">
        <f t="shared" si="1207"/>
        <v>1191.99</v>
      </c>
      <c r="AE138" s="161">
        <f t="shared" si="1207"/>
        <v>1191.99</v>
      </c>
      <c r="AJ138" s="22">
        <f t="shared" ref="AJ138" si="1208">AJ134+AJ137+AJ135+AJ136</f>
        <v>0</v>
      </c>
      <c r="AK138" s="22">
        <f t="shared" ref="AK138" si="1209">AK134+AK137+AK135+AK136</f>
        <v>0</v>
      </c>
      <c r="AL138" s="22">
        <f t="shared" ref="AL138:AM138" si="1210">AL134+AL137+AL135+AL136</f>
        <v>0</v>
      </c>
      <c r="AM138" s="22">
        <f t="shared" si="1210"/>
        <v>0</v>
      </c>
      <c r="AN138" s="22">
        <f t="shared" ref="AN138:AO138" si="1211">AN134+AN137+AN135+AN136</f>
        <v>0</v>
      </c>
      <c r="AO138" s="22">
        <f t="shared" si="1211"/>
        <v>0</v>
      </c>
      <c r="AP138" s="22">
        <f t="shared" ref="AP138:CE138" si="1212">AP134+AP137+AP135+AP136</f>
        <v>0</v>
      </c>
      <c r="AQ138" s="22">
        <f t="shared" si="1212"/>
        <v>0</v>
      </c>
      <c r="AR138" s="22">
        <f t="shared" si="1212"/>
        <v>0</v>
      </c>
      <c r="AS138" s="22">
        <f t="shared" si="1212"/>
        <v>0</v>
      </c>
      <c r="AT138" s="22">
        <f t="shared" si="1212"/>
        <v>0</v>
      </c>
      <c r="AU138" s="22">
        <f t="shared" si="1212"/>
        <v>0</v>
      </c>
      <c r="AV138" s="22">
        <f t="shared" si="1212"/>
        <v>0</v>
      </c>
      <c r="AW138" s="22">
        <f t="shared" si="1212"/>
        <v>0</v>
      </c>
      <c r="AX138" s="22">
        <f t="shared" si="1212"/>
        <v>0</v>
      </c>
      <c r="AY138" s="22">
        <f t="shared" si="1212"/>
        <v>0</v>
      </c>
      <c r="AZ138" s="22">
        <f t="shared" si="1212"/>
        <v>0</v>
      </c>
      <c r="BA138" s="22">
        <f t="shared" si="1212"/>
        <v>0</v>
      </c>
      <c r="BB138" s="22">
        <f t="shared" si="1212"/>
        <v>0</v>
      </c>
      <c r="BC138" s="22">
        <f t="shared" si="1212"/>
        <v>0</v>
      </c>
      <c r="BD138" s="22">
        <f t="shared" si="1212"/>
        <v>0</v>
      </c>
      <c r="BE138" s="22">
        <f t="shared" si="1212"/>
        <v>0</v>
      </c>
      <c r="BF138" s="22">
        <f t="shared" si="1212"/>
        <v>0</v>
      </c>
      <c r="BG138" s="22">
        <f t="shared" si="1212"/>
        <v>0</v>
      </c>
      <c r="BH138" s="22">
        <f t="shared" si="1212"/>
        <v>0</v>
      </c>
      <c r="BI138" s="22">
        <f t="shared" si="1212"/>
        <v>0</v>
      </c>
      <c r="BJ138" s="22">
        <f t="shared" si="1212"/>
        <v>0</v>
      </c>
      <c r="BK138" s="22">
        <f t="shared" si="1212"/>
        <v>0</v>
      </c>
      <c r="BL138" s="22">
        <f t="shared" si="1212"/>
        <v>0</v>
      </c>
      <c r="BM138" s="22">
        <f t="shared" si="1212"/>
        <v>0</v>
      </c>
      <c r="BN138" s="22">
        <f t="shared" si="1212"/>
        <v>0</v>
      </c>
      <c r="BO138" s="22">
        <f t="shared" si="1212"/>
        <v>0</v>
      </c>
      <c r="BP138" s="22">
        <f t="shared" si="1212"/>
        <v>0</v>
      </c>
      <c r="BQ138" s="22">
        <f t="shared" si="1212"/>
        <v>0</v>
      </c>
      <c r="BR138" s="22">
        <f t="shared" si="1212"/>
        <v>0</v>
      </c>
      <c r="BS138" s="22">
        <f t="shared" si="1212"/>
        <v>0</v>
      </c>
      <c r="BT138" s="22">
        <f t="shared" si="1212"/>
        <v>0</v>
      </c>
      <c r="BU138" s="22">
        <f t="shared" si="1212"/>
        <v>0</v>
      </c>
      <c r="BV138" s="22">
        <f t="shared" si="1212"/>
        <v>0</v>
      </c>
      <c r="BW138" s="22">
        <f t="shared" si="1212"/>
        <v>0</v>
      </c>
      <c r="BX138" s="22">
        <f t="shared" si="1212"/>
        <v>0</v>
      </c>
      <c r="BY138" s="22">
        <f t="shared" si="1212"/>
        <v>0</v>
      </c>
      <c r="BZ138" s="22">
        <f t="shared" si="1212"/>
        <v>0</v>
      </c>
      <c r="CA138" s="22">
        <f t="shared" si="1212"/>
        <v>0</v>
      </c>
      <c r="CB138" s="22">
        <f t="shared" si="1212"/>
        <v>1074.96</v>
      </c>
      <c r="CC138" s="22">
        <f t="shared" si="1212"/>
        <v>1074.96</v>
      </c>
      <c r="CD138" s="22">
        <f t="shared" si="1212"/>
        <v>1069.8699999999999</v>
      </c>
      <c r="CE138" s="22">
        <f t="shared" si="1212"/>
        <v>1069.8699999999999</v>
      </c>
      <c r="CF138" s="22">
        <f t="shared" ref="CF138:CG138" si="1213">CF134+CF137+CF135+CF136</f>
        <v>1063.32</v>
      </c>
      <c r="CG138" s="22">
        <f t="shared" si="1213"/>
        <v>1063.32</v>
      </c>
      <c r="CH138" s="22">
        <f t="shared" ref="CH138:CJ138" si="1214">CH134+CH137+CH135+CH136</f>
        <v>1180.1400000000001</v>
      </c>
      <c r="CI138" s="22">
        <f t="shared" si="1214"/>
        <v>1167.1600000000001</v>
      </c>
      <c r="CJ138" s="22">
        <f t="shared" si="1214"/>
        <v>1196.22</v>
      </c>
      <c r="CK138" s="21">
        <f t="shared" ref="CK138:DB138" si="1215">CK134+CK137+CK135+CK136</f>
        <v>1196.22</v>
      </c>
      <c r="CL138" s="22">
        <f t="shared" si="1215"/>
        <v>1191.99</v>
      </c>
      <c r="CM138" s="21">
        <f t="shared" si="1215"/>
        <v>1191.99</v>
      </c>
      <c r="CN138" s="21">
        <f t="shared" si="1215"/>
        <v>1191.99</v>
      </c>
      <c r="CO138" s="21">
        <f t="shared" si="1215"/>
        <v>1191.99</v>
      </c>
      <c r="CP138" s="21">
        <f t="shared" si="1215"/>
        <v>1191.99</v>
      </c>
      <c r="CQ138" s="21">
        <f t="shared" si="1215"/>
        <v>1191.99</v>
      </c>
      <c r="CR138" s="21">
        <f t="shared" si="1215"/>
        <v>1191.99</v>
      </c>
      <c r="CS138" s="21">
        <f t="shared" si="1215"/>
        <v>1191.99</v>
      </c>
      <c r="CT138" s="21">
        <f t="shared" si="1215"/>
        <v>1191.99</v>
      </c>
      <c r="CU138" s="21">
        <f t="shared" si="1215"/>
        <v>1191.99</v>
      </c>
      <c r="CV138" s="21">
        <f t="shared" si="1215"/>
        <v>1191.99</v>
      </c>
      <c r="CW138" s="21">
        <f t="shared" si="1215"/>
        <v>1191.99</v>
      </c>
      <c r="CX138" s="21">
        <f t="shared" si="1215"/>
        <v>1191.99</v>
      </c>
      <c r="CY138" s="21">
        <f t="shared" si="1215"/>
        <v>1191.99</v>
      </c>
      <c r="CZ138" s="21">
        <f t="shared" si="1215"/>
        <v>1191.99</v>
      </c>
      <c r="DA138" s="21">
        <f t="shared" si="1215"/>
        <v>1191.99</v>
      </c>
      <c r="DB138" s="21">
        <f t="shared" si="1215"/>
        <v>1191.99</v>
      </c>
      <c r="DE138" s="126"/>
      <c r="DF138" s="22">
        <v>1191.99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1.83</v>
      </c>
      <c r="Z140" s="23">
        <f>'Annual Raw'!AA71</f>
        <v>0.61</v>
      </c>
      <c r="AA140" s="23">
        <f>'Annual Raw'!AB71</f>
        <v>1.21</v>
      </c>
      <c r="AB140" s="24">
        <f>+CP140</f>
        <v>1.21</v>
      </c>
      <c r="AC140" s="24">
        <f>+CT140</f>
        <v>1.21</v>
      </c>
      <c r="AD140" s="24">
        <f>+CX140</f>
        <v>1.21</v>
      </c>
      <c r="AE140" s="24">
        <f>+DB140</f>
        <v>1.21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0</v>
      </c>
      <c r="AW140" s="23">
        <f t="shared" si="1216"/>
        <v>0</v>
      </c>
      <c r="AX140" s="23">
        <f>+'QTR Raw'!R77</f>
        <v>0</v>
      </c>
      <c r="AY140" s="23">
        <f t="shared" si="1216"/>
        <v>0</v>
      </c>
      <c r="AZ140" s="23">
        <f>+'QTR Raw'!T77</f>
        <v>0</v>
      </c>
      <c r="BA140" s="23">
        <f t="shared" si="1216"/>
        <v>0</v>
      </c>
      <c r="BB140" s="23">
        <f>+'QTR Raw'!V77</f>
        <v>0</v>
      </c>
      <c r="BC140" s="23">
        <f t="shared" si="1216"/>
        <v>0</v>
      </c>
      <c r="BD140" s="23">
        <f>+'QTR Raw'!X77</f>
        <v>0</v>
      </c>
      <c r="BE140" s="23">
        <f t="shared" si="1216"/>
        <v>0</v>
      </c>
      <c r="BF140" s="23">
        <f>+'QTR Raw'!Z77</f>
        <v>0</v>
      </c>
      <c r="BG140" s="23">
        <f t="shared" si="1216"/>
        <v>0</v>
      </c>
      <c r="BH140" s="23">
        <f>+'QTR Raw'!AB77</f>
        <v>0</v>
      </c>
      <c r="BI140" s="23">
        <f t="shared" si="1216"/>
        <v>0</v>
      </c>
      <c r="BJ140" s="23">
        <f>+'QTR Raw'!AD77</f>
        <v>0</v>
      </c>
      <c r="BK140" s="23">
        <f t="shared" si="1216"/>
        <v>0</v>
      </c>
      <c r="BL140" s="23">
        <f>+'QTR Raw'!AF77</f>
        <v>0</v>
      </c>
      <c r="BM140" s="23">
        <f t="shared" si="1216"/>
        <v>0</v>
      </c>
      <c r="BN140" s="23">
        <f>+'QTR Raw'!AH77</f>
        <v>0</v>
      </c>
      <c r="BO140" s="23">
        <f t="shared" si="1216"/>
        <v>0</v>
      </c>
      <c r="BP140" s="23">
        <f>+'QTR Raw'!AJ77</f>
        <v>0</v>
      </c>
      <c r="BQ140" s="23">
        <f t="shared" si="1216"/>
        <v>0</v>
      </c>
      <c r="BR140" s="23">
        <f>+'QTR Raw'!AL77</f>
        <v>0</v>
      </c>
      <c r="BS140" s="23">
        <f t="shared" si="1216"/>
        <v>0</v>
      </c>
      <c r="BT140" s="23">
        <f>+'QTR Raw'!AN77</f>
        <v>0</v>
      </c>
      <c r="BU140" s="23">
        <f t="shared" si="1216"/>
        <v>0</v>
      </c>
      <c r="BV140" s="23">
        <f>+'QTR Raw'!AP77</f>
        <v>0</v>
      </c>
      <c r="BW140" s="23">
        <f t="shared" si="1216"/>
        <v>0</v>
      </c>
      <c r="BX140" s="23">
        <f>+'QTR Raw'!AR77</f>
        <v>0</v>
      </c>
      <c r="BY140" s="23">
        <f t="shared" si="1216"/>
        <v>0</v>
      </c>
      <c r="BZ140" s="23">
        <f>+'QTR Raw'!AT77</f>
        <v>0</v>
      </c>
      <c r="CA140" s="23">
        <f t="shared" si="1216"/>
        <v>0</v>
      </c>
      <c r="CB140" s="23">
        <f>+'QTR Raw'!AV77</f>
        <v>1.83</v>
      </c>
      <c r="CC140" s="23">
        <f t="shared" si="1216"/>
        <v>1.83</v>
      </c>
      <c r="CD140" s="23">
        <f>+'QTR Raw'!AX77</f>
        <v>1.83</v>
      </c>
      <c r="CE140" s="23">
        <f t="shared" si="1216"/>
        <v>1.83</v>
      </c>
      <c r="CF140" s="23">
        <f>+'QTR Raw'!AZ77</f>
        <v>0.61</v>
      </c>
      <c r="CG140" s="23">
        <f t="shared" ref="CG140:CI143" si="1217">+CF140</f>
        <v>0.61</v>
      </c>
      <c r="CH140" s="23">
        <f t="shared" ref="CH140:CH155" si="1218">Z140</f>
        <v>0.61</v>
      </c>
      <c r="CI140" s="23">
        <f t="shared" si="1217"/>
        <v>0.61</v>
      </c>
      <c r="CJ140" s="23">
        <f>+'QTR Raw'!BD77</f>
        <v>0.61</v>
      </c>
      <c r="CK140" s="24">
        <f t="shared" ref="CK140" si="1219">+CJ140</f>
        <v>0.61</v>
      </c>
      <c r="CL140" s="23">
        <f>+'QTR Raw'!BF77</f>
        <v>1.21</v>
      </c>
      <c r="CM140" s="24">
        <f t="shared" ref="CM140" si="1220">+CL140</f>
        <v>1.21</v>
      </c>
      <c r="CN140" s="24">
        <f t="shared" ref="CN140" si="1221">+CM140</f>
        <v>1.21</v>
      </c>
      <c r="CO140" s="24">
        <f t="shared" ref="CO140" si="1222">+CN140</f>
        <v>1.21</v>
      </c>
      <c r="CP140" s="24">
        <f t="shared" ref="CP140" si="1223">+CO140</f>
        <v>1.21</v>
      </c>
      <c r="CQ140" s="24">
        <f t="shared" ref="CQ140" si="1224">+CP140</f>
        <v>1.21</v>
      </c>
      <c r="CR140" s="24">
        <f t="shared" ref="CR140" si="1225">+CQ140</f>
        <v>1.21</v>
      </c>
      <c r="CS140" s="24">
        <f t="shared" ref="CS140" si="1226">+CR140</f>
        <v>1.21</v>
      </c>
      <c r="CT140" s="24">
        <f t="shared" ref="CT140" si="1227">+CS140</f>
        <v>1.21</v>
      </c>
      <c r="CU140" s="24">
        <f t="shared" ref="CU140" si="1228">+CT140</f>
        <v>1.21</v>
      </c>
      <c r="CV140" s="24">
        <f t="shared" ref="CV140" si="1229">+CU140</f>
        <v>1.21</v>
      </c>
      <c r="CW140" s="24">
        <f t="shared" ref="CW140" si="1230">+CV140</f>
        <v>1.21</v>
      </c>
      <c r="CX140" s="24">
        <f t="shared" ref="CX140" si="1231">+CW140</f>
        <v>1.21</v>
      </c>
      <c r="CY140" s="24">
        <f t="shared" ref="CY140" si="1232">+CX140</f>
        <v>1.21</v>
      </c>
      <c r="CZ140" s="24">
        <f t="shared" ref="CZ140" si="1233">+CY140</f>
        <v>1.21</v>
      </c>
      <c r="DA140" s="24">
        <f t="shared" ref="DA140" si="1234">+CZ140</f>
        <v>1.21</v>
      </c>
      <c r="DB140" s="24">
        <f t="shared" ref="DB140" si="1235">+DA140</f>
        <v>1.21</v>
      </c>
      <c r="DE140" s="123"/>
      <c r="DF140" s="23">
        <v>1.21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0</v>
      </c>
      <c r="X142" s="23">
        <f>'Annual Raw'!Y72+'Annual Raw'!Y61</f>
        <v>0</v>
      </c>
      <c r="Y142" s="23">
        <f>'Annual Raw'!Z72+'Annual Raw'!Z61</f>
        <v>28.79</v>
      </c>
      <c r="Z142" s="23">
        <f>'Annual Raw'!AA72+'Annual Raw'!AA61</f>
        <v>49.6</v>
      </c>
      <c r="AA142" s="23">
        <f>'Annual Raw'!AB72+'Annual Raw'!AB61</f>
        <v>42.09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</v>
      </c>
      <c r="AK142" s="23">
        <f t="shared" ref="AK142:CE147" si="1240">+AJ142</f>
        <v>0</v>
      </c>
      <c r="AL142" s="23">
        <f>+'QTR Raw'!F78</f>
        <v>0</v>
      </c>
      <c r="AM142" s="23">
        <f t="shared" si="1240"/>
        <v>0</v>
      </c>
      <c r="AN142" s="23">
        <f>+'QTR Raw'!H78</f>
        <v>0</v>
      </c>
      <c r="AO142" s="23">
        <f t="shared" si="1240"/>
        <v>0</v>
      </c>
      <c r="AP142" s="23">
        <f>+'QTR Raw'!J78</f>
        <v>0</v>
      </c>
      <c r="AQ142" s="23">
        <f t="shared" si="1240"/>
        <v>0</v>
      </c>
      <c r="AR142" s="23">
        <f>+'QTR Raw'!L78</f>
        <v>0</v>
      </c>
      <c r="AS142" s="23">
        <f t="shared" si="1240"/>
        <v>0</v>
      </c>
      <c r="AT142" s="23">
        <f>+'QTR Raw'!N78</f>
        <v>0</v>
      </c>
      <c r="AU142" s="23">
        <f t="shared" si="1240"/>
        <v>0</v>
      </c>
      <c r="AV142" s="23">
        <f>+'QTR Raw'!P78</f>
        <v>0</v>
      </c>
      <c r="AW142" s="23">
        <f t="shared" si="1240"/>
        <v>0</v>
      </c>
      <c r="AX142" s="23">
        <f>+'QTR Raw'!R78</f>
        <v>0</v>
      </c>
      <c r="AY142" s="23">
        <f t="shared" si="1240"/>
        <v>0</v>
      </c>
      <c r="AZ142" s="23">
        <f>+'QTR Raw'!T78</f>
        <v>0</v>
      </c>
      <c r="BA142" s="23">
        <f t="shared" si="1240"/>
        <v>0</v>
      </c>
      <c r="BB142" s="23">
        <f>+'QTR Raw'!V78</f>
        <v>0</v>
      </c>
      <c r="BC142" s="23">
        <f t="shared" si="1240"/>
        <v>0</v>
      </c>
      <c r="BD142" s="23">
        <f>+'QTR Raw'!X78</f>
        <v>0</v>
      </c>
      <c r="BE142" s="23">
        <f t="shared" si="1240"/>
        <v>0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0.1</v>
      </c>
      <c r="CC142" s="23">
        <f t="shared" si="1240"/>
        <v>0.1</v>
      </c>
      <c r="CD142" s="23">
        <f>+'QTR Raw'!AX78</f>
        <v>0.04</v>
      </c>
      <c r="CE142" s="23">
        <f t="shared" si="1240"/>
        <v>0.04</v>
      </c>
      <c r="CF142" s="23">
        <f>+'QTR Raw'!AZ78</f>
        <v>7.0000000000000007E-2</v>
      </c>
      <c r="CG142" s="23">
        <f t="shared" si="1217"/>
        <v>7.0000000000000007E-2</v>
      </c>
      <c r="CH142" s="23">
        <f t="shared" si="1218"/>
        <v>49.6</v>
      </c>
      <c r="CJ142" s="23">
        <f>+'QTR Raw'!BD78</f>
        <v>0.1</v>
      </c>
      <c r="CK142" s="24"/>
      <c r="CL142" s="23">
        <f>+'QTR Raw'!BF78</f>
        <v>0.12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0.12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0.44999999999999996</v>
      </c>
      <c r="Z143" s="23">
        <f>'Annual Raw'!AA73+'Annual Raw'!AA81</f>
        <v>7.3</v>
      </c>
      <c r="AA143" s="23">
        <f>'Annual Raw'!AB73+'Annual Raw'!AB81</f>
        <v>0.66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0</v>
      </c>
      <c r="BC143" s="23">
        <f t="shared" si="1240"/>
        <v>0</v>
      </c>
      <c r="BD143" s="23">
        <f>+'QTR Raw'!X79+'QTR Raw'!X76</f>
        <v>0</v>
      </c>
      <c r="BE143" s="23">
        <f t="shared" si="1240"/>
        <v>0</v>
      </c>
      <c r="BF143" s="23">
        <f>+'QTR Raw'!Z79+'QTR Raw'!Z76</f>
        <v>0</v>
      </c>
      <c r="BG143" s="23">
        <f t="shared" si="1240"/>
        <v>0</v>
      </c>
      <c r="BH143" s="23">
        <f>+'QTR Raw'!AB79+'QTR Raw'!AB76</f>
        <v>0</v>
      </c>
      <c r="BI143" s="23">
        <f t="shared" si="1240"/>
        <v>0</v>
      </c>
      <c r="BJ143" s="23">
        <f>+'QTR Raw'!AD79+'QTR Raw'!AD76</f>
        <v>0</v>
      </c>
      <c r="BK143" s="23">
        <f t="shared" si="1240"/>
        <v>0</v>
      </c>
      <c r="BL143" s="23">
        <f>+'QTR Raw'!AF79+'QTR Raw'!AF76</f>
        <v>0</v>
      </c>
      <c r="BM143" s="23">
        <f t="shared" si="1240"/>
        <v>0</v>
      </c>
      <c r="BN143" s="23">
        <f>+'QTR Raw'!AH79+'QTR Raw'!AH76</f>
        <v>0</v>
      </c>
      <c r="BO143" s="23">
        <f t="shared" si="1240"/>
        <v>0</v>
      </c>
      <c r="BP143" s="23">
        <f>+'QTR Raw'!AJ79+'QTR Raw'!AJ76</f>
        <v>0</v>
      </c>
      <c r="BQ143" s="23">
        <f t="shared" si="1240"/>
        <v>0</v>
      </c>
      <c r="BR143" s="23">
        <f>+'QTR Raw'!AL79+'QTR Raw'!AL76</f>
        <v>0</v>
      </c>
      <c r="BS143" s="23">
        <f t="shared" si="1240"/>
        <v>0</v>
      </c>
      <c r="BT143" s="23">
        <f>+'QTR Raw'!AN79+'QTR Raw'!AN76</f>
        <v>0</v>
      </c>
      <c r="BU143" s="23">
        <f t="shared" si="1240"/>
        <v>0</v>
      </c>
      <c r="BV143" s="23">
        <f>+'QTR Raw'!AP79+'QTR Raw'!AP76</f>
        <v>0</v>
      </c>
      <c r="BW143" s="23">
        <f t="shared" si="1240"/>
        <v>0</v>
      </c>
      <c r="BX143" s="23">
        <f>+'QTR Raw'!AR79+'QTR Raw'!AR76</f>
        <v>0</v>
      </c>
      <c r="BY143" s="23">
        <f t="shared" si="1240"/>
        <v>0</v>
      </c>
      <c r="BZ143" s="23">
        <f>+'QTR Raw'!AT79+'QTR Raw'!AT76</f>
        <v>0</v>
      </c>
      <c r="CA143" s="23">
        <f t="shared" si="1240"/>
        <v>0</v>
      </c>
      <c r="CB143" s="23">
        <f>+'QTR Raw'!AV79+'QTR Raw'!AV76</f>
        <v>31.96</v>
      </c>
      <c r="CC143" s="23">
        <f t="shared" si="1240"/>
        <v>31.96</v>
      </c>
      <c r="CD143" s="23">
        <f>+'QTR Raw'!AX79+'QTR Raw'!AX76</f>
        <v>29.2</v>
      </c>
      <c r="CE143" s="23">
        <f t="shared" si="1240"/>
        <v>29.2</v>
      </c>
      <c r="CF143" s="23">
        <f>+'QTR Raw'!AZ79+'QTR Raw'!AZ76</f>
        <v>36.5</v>
      </c>
      <c r="CG143" s="23">
        <f t="shared" si="1217"/>
        <v>36.5</v>
      </c>
      <c r="CH143" s="23">
        <f t="shared" si="1218"/>
        <v>7.3</v>
      </c>
      <c r="CJ143" s="23">
        <f>+'QTR Raw'!BD79+'QTR Raw'!BD76</f>
        <v>48.57</v>
      </c>
      <c r="CK143" s="24"/>
      <c r="CL143" s="23">
        <f>+'QTR Raw'!BF79+'QTR Raw'!BF76</f>
        <v>42.63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42.63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347.33</v>
      </c>
      <c r="Z144" s="23">
        <f>'Annual Raw'!AA76</f>
        <v>295.19</v>
      </c>
      <c r="AA144" s="23">
        <f>'Annual Raw'!AB76</f>
        <v>421.12</v>
      </c>
      <c r="AB144" s="24">
        <f t="shared" si="1236"/>
        <v>506.99506310723257</v>
      </c>
      <c r="AC144" s="24">
        <f t="shared" si="1237"/>
        <v>606.18570537722144</v>
      </c>
      <c r="AD144" s="24">
        <f t="shared" si="1238"/>
        <v>724.53187143846208</v>
      </c>
      <c r="AE144" s="24">
        <f t="shared" si="1239"/>
        <v>866.05031194395997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 t="e">
        <f>+BU179*BU10/90</f>
        <v>#DIV/0!</v>
      </c>
      <c r="BV144" s="23">
        <f>+'QTR Raw'!AP81</f>
        <v>0</v>
      </c>
      <c r="BW144" s="23" t="e">
        <f>+BW179*BW10/90</f>
        <v>#DIV/0!</v>
      </c>
      <c r="BX144" s="23">
        <f>+'QTR Raw'!AR81</f>
        <v>0</v>
      </c>
      <c r="BY144" s="23" t="e">
        <f>+BY179*BY10/90</f>
        <v>#DIV/0!</v>
      </c>
      <c r="BZ144" s="23">
        <f>+'QTR Raw'!AT81</f>
        <v>0</v>
      </c>
      <c r="CA144" s="23" t="e">
        <f>+CA179*CA10/90</f>
        <v>#DIV/0!</v>
      </c>
      <c r="CB144" s="23">
        <f>+'QTR Raw'!AV81</f>
        <v>287.88</v>
      </c>
      <c r="CC144" s="23">
        <f>+CC179*CC10/90</f>
        <v>270.58705072491642</v>
      </c>
      <c r="CD144" s="23">
        <f>+'QTR Raw'!AX81</f>
        <v>347.33</v>
      </c>
      <c r="CE144" s="23">
        <f>+CE179*CE10/90</f>
        <v>349.49057102918056</v>
      </c>
      <c r="CF144" s="23">
        <f>+'QTR Raw'!AZ81</f>
        <v>246.91</v>
      </c>
      <c r="CG144" s="23">
        <f>+CG179*CG10/90</f>
        <v>231.00699231829819</v>
      </c>
      <c r="CH144" s="23">
        <f t="shared" si="1218"/>
        <v>295.19</v>
      </c>
      <c r="CI144" s="23">
        <f>+CI179*CI10/90</f>
        <v>278.68242480871623</v>
      </c>
      <c r="CJ144" s="23">
        <f>+'QTR Raw'!BD81</f>
        <v>290.39</v>
      </c>
      <c r="CK144" s="24">
        <f t="shared" ref="CK144:DB144" si="1241">+CK179*CK10/90</f>
        <v>299.90816708081883</v>
      </c>
      <c r="CL144" s="23">
        <f>+'QTR Raw'!BF81</f>
        <v>421.12</v>
      </c>
      <c r="CM144" s="24">
        <f t="shared" si="1241"/>
        <v>352.4241849337771</v>
      </c>
      <c r="CN144" s="24">
        <f t="shared" si="1241"/>
        <v>465.182070417327</v>
      </c>
      <c r="CO144" s="24">
        <f t="shared" si="1241"/>
        <v>488.38687841014519</v>
      </c>
      <c r="CP144" s="24">
        <f t="shared" si="1241"/>
        <v>506.99506310723257</v>
      </c>
      <c r="CQ144" s="24">
        <f t="shared" si="1241"/>
        <v>417.37980889059156</v>
      </c>
      <c r="CR144" s="24">
        <f t="shared" si="1241"/>
        <v>556.45231272949366</v>
      </c>
      <c r="CS144" s="24">
        <f t="shared" si="1241"/>
        <v>585.15681167633704</v>
      </c>
      <c r="CT144" s="24">
        <f t="shared" si="1241"/>
        <v>606.18570537722144</v>
      </c>
      <c r="CU144" s="24">
        <f t="shared" si="1241"/>
        <v>498.17414087819321</v>
      </c>
      <c r="CV144" s="24">
        <f t="shared" si="1241"/>
        <v>665.4563836916501</v>
      </c>
      <c r="CW144" s="24">
        <f t="shared" si="1241"/>
        <v>699.73817656069468</v>
      </c>
      <c r="CX144" s="24">
        <f t="shared" si="1241"/>
        <v>724.53187143846208</v>
      </c>
      <c r="CY144" s="24">
        <f t="shared" si="1241"/>
        <v>595.38163805448789</v>
      </c>
      <c r="CZ144" s="24">
        <f t="shared" si="1241"/>
        <v>795.56352788928712</v>
      </c>
      <c r="DA144" s="24">
        <f t="shared" si="1241"/>
        <v>836.48226591805121</v>
      </c>
      <c r="DB144" s="24">
        <f t="shared" si="1241"/>
        <v>866.05031194395997</v>
      </c>
      <c r="DE144" s="123"/>
      <c r="DF144" s="23">
        <v>421.12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0</v>
      </c>
      <c r="Y145" s="23">
        <f>'Annual Raw'!Z77</f>
        <v>117.12</v>
      </c>
      <c r="Z145" s="23">
        <f>'Annual Raw'!AA77</f>
        <v>117.29</v>
      </c>
      <c r="AA145" s="23">
        <f>'Annual Raw'!AB77</f>
        <v>170.59</v>
      </c>
      <c r="AB145" s="24">
        <f t="shared" si="1236"/>
        <v>205.37682327000095</v>
      </c>
      <c r="AC145" s="24">
        <f t="shared" si="1237"/>
        <v>245.5576070485852</v>
      </c>
      <c r="AD145" s="24">
        <f t="shared" si="1238"/>
        <v>293.49803369274139</v>
      </c>
      <c r="AE145" s="24">
        <f t="shared" si="1239"/>
        <v>350.82523440947978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 t="e">
        <f>+BU180*BU10/90</f>
        <v>#DIV/0!</v>
      </c>
      <c r="BV145" s="23">
        <f>+'QTR Raw'!AP82</f>
        <v>0</v>
      </c>
      <c r="BW145" s="23" t="e">
        <f>+BW180*BW10/90</f>
        <v>#DIV/0!</v>
      </c>
      <c r="BX145" s="23">
        <f>+'QTR Raw'!AR82</f>
        <v>0</v>
      </c>
      <c r="BY145" s="23" t="e">
        <f>+BY180*BY10/90</f>
        <v>#DIV/0!</v>
      </c>
      <c r="BZ145" s="23">
        <f>+'QTR Raw'!AT82</f>
        <v>0</v>
      </c>
      <c r="CA145" s="23" t="e">
        <f>+CA180*CA10/90</f>
        <v>#DIV/0!</v>
      </c>
      <c r="CB145" s="23">
        <f>+'QTR Raw'!AV82</f>
        <v>89.09</v>
      </c>
      <c r="CC145" s="23">
        <f>+CC180*CC10/90</f>
        <v>83.738364419490068</v>
      </c>
      <c r="CD145" s="23">
        <f>+'QTR Raw'!AX82</f>
        <v>117.12</v>
      </c>
      <c r="CE145" s="23">
        <f>+CE180*CE10/90</f>
        <v>117.84854656648612</v>
      </c>
      <c r="CF145" s="23">
        <f>+'QTR Raw'!AZ82</f>
        <v>122.63</v>
      </c>
      <c r="CG145" s="23">
        <f>+CG180*CG10/90</f>
        <v>114.73163285404767</v>
      </c>
      <c r="CH145" s="23">
        <f t="shared" si="1218"/>
        <v>117.29</v>
      </c>
      <c r="CI145" s="23">
        <f>+CI180*CI10/90</f>
        <v>110.73092450900884</v>
      </c>
      <c r="CJ145" s="23">
        <f>+'QTR Raw'!BD82</f>
        <v>133.05000000000001</v>
      </c>
      <c r="CK145" s="24">
        <f t="shared" ref="CK145:DB145" si="1242">+CK180*CK10/90</f>
        <v>137.41100461483848</v>
      </c>
      <c r="CL145" s="23">
        <f>+'QTR Raw'!BF82</f>
        <v>170.59</v>
      </c>
      <c r="CM145" s="24">
        <f t="shared" si="1242"/>
        <v>142.76225709501574</v>
      </c>
      <c r="CN145" s="24">
        <f t="shared" si="1242"/>
        <v>188.43894707563595</v>
      </c>
      <c r="CO145" s="24">
        <f t="shared" si="1242"/>
        <v>197.83890004746075</v>
      </c>
      <c r="CP145" s="24">
        <f t="shared" si="1242"/>
        <v>205.37682327000095</v>
      </c>
      <c r="CQ145" s="24">
        <f t="shared" si="1242"/>
        <v>169.07489931289425</v>
      </c>
      <c r="CR145" s="24">
        <f t="shared" si="1242"/>
        <v>225.41128426226331</v>
      </c>
      <c r="CS145" s="24">
        <f t="shared" si="1242"/>
        <v>237.03908744269171</v>
      </c>
      <c r="CT145" s="24">
        <f t="shared" si="1242"/>
        <v>245.5576070485852</v>
      </c>
      <c r="CU145" s="24">
        <f t="shared" si="1242"/>
        <v>201.80358732050476</v>
      </c>
      <c r="CV145" s="24">
        <f t="shared" si="1242"/>
        <v>269.56735489636827</v>
      </c>
      <c r="CW145" s="24">
        <f t="shared" si="1242"/>
        <v>283.45444419521488</v>
      </c>
      <c r="CX145" s="24">
        <f t="shared" si="1242"/>
        <v>293.49803369274139</v>
      </c>
      <c r="CY145" s="24">
        <f t="shared" si="1242"/>
        <v>241.18102592067601</v>
      </c>
      <c r="CZ145" s="24">
        <f t="shared" si="1242"/>
        <v>322.27199425967297</v>
      </c>
      <c r="DA145" s="24">
        <f t="shared" si="1242"/>
        <v>338.84762002032761</v>
      </c>
      <c r="DB145" s="24">
        <f t="shared" si="1242"/>
        <v>350.82523440947978</v>
      </c>
      <c r="DE145" s="123"/>
      <c r="DF145" s="23">
        <v>170.59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</v>
      </c>
      <c r="X146" s="23">
        <f>'Annual Raw'!Y79</f>
        <v>0</v>
      </c>
      <c r="Y146" s="23">
        <f>'Annual Raw'!Z79</f>
        <v>10.85</v>
      </c>
      <c r="Z146" s="23">
        <f>'Annual Raw'!AA79</f>
        <v>21.26</v>
      </c>
      <c r="AA146" s="23">
        <f>'Annual Raw'!AB79</f>
        <v>6.4</v>
      </c>
      <c r="AB146" s="24">
        <f t="shared" si="1236"/>
        <v>81.962917686978628</v>
      </c>
      <c r="AC146" s="24">
        <f t="shared" si="1237"/>
        <v>97.998486944531948</v>
      </c>
      <c r="AD146" s="24">
        <f t="shared" si="1238"/>
        <v>117.13081736210715</v>
      </c>
      <c r="AE146" s="24">
        <f t="shared" si="1239"/>
        <v>140.00927345446635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0</v>
      </c>
      <c r="AU146" s="23">
        <f t="shared" si="1240"/>
        <v>0</v>
      </c>
      <c r="AV146" s="23">
        <f>+'QTR Raw'!P84</f>
        <v>0</v>
      </c>
      <c r="AW146" s="23">
        <f t="shared" si="1240"/>
        <v>0</v>
      </c>
      <c r="AX146" s="23">
        <f>+'QTR Raw'!R84</f>
        <v>0</v>
      </c>
      <c r="AY146" s="23">
        <f t="shared" si="1240"/>
        <v>0</v>
      </c>
      <c r="AZ146" s="23">
        <f>+'QTR Raw'!T84</f>
        <v>0</v>
      </c>
      <c r="BA146" s="23">
        <f t="shared" si="1240"/>
        <v>0</v>
      </c>
      <c r="BB146" s="23">
        <f>+'QTR Raw'!V84</f>
        <v>0</v>
      </c>
      <c r="BC146" s="23">
        <f t="shared" si="1240"/>
        <v>0</v>
      </c>
      <c r="BD146" s="23">
        <f>+'QTR Raw'!X84</f>
        <v>0</v>
      </c>
      <c r="BE146" s="23">
        <f t="shared" si="1240"/>
        <v>0</v>
      </c>
      <c r="BF146" s="23">
        <f>+'QTR Raw'!Z84</f>
        <v>0</v>
      </c>
      <c r="BG146" s="23">
        <f t="shared" si="1240"/>
        <v>0</v>
      </c>
      <c r="BH146" s="23">
        <f>+'QTR Raw'!AB84</f>
        <v>0</v>
      </c>
      <c r="BI146" s="23">
        <f t="shared" si="1240"/>
        <v>0</v>
      </c>
      <c r="BJ146" s="23">
        <f>+'QTR Raw'!AD84</f>
        <v>0</v>
      </c>
      <c r="BK146" s="23">
        <f t="shared" si="1240"/>
        <v>0</v>
      </c>
      <c r="BL146" s="23">
        <f>+'QTR Raw'!AF84</f>
        <v>0</v>
      </c>
      <c r="BM146" s="23">
        <f t="shared" si="1240"/>
        <v>0</v>
      </c>
      <c r="BN146" s="23">
        <f>+'QTR Raw'!AH84</f>
        <v>0</v>
      </c>
      <c r="BO146" s="23">
        <f t="shared" si="1240"/>
        <v>0</v>
      </c>
      <c r="BP146" s="23">
        <f>+'QTR Raw'!AJ84</f>
        <v>0</v>
      </c>
      <c r="BQ146" s="23">
        <f t="shared" si="1240"/>
        <v>0</v>
      </c>
      <c r="BR146" s="23">
        <f>+'QTR Raw'!AL84</f>
        <v>0</v>
      </c>
      <c r="BS146" s="23">
        <f t="shared" si="1240"/>
        <v>0</v>
      </c>
      <c r="BT146" s="23">
        <f>+'QTR Raw'!AN84</f>
        <v>0</v>
      </c>
      <c r="BU146" s="23">
        <f t="shared" si="1240"/>
        <v>0</v>
      </c>
      <c r="BV146" s="23">
        <f>+'QTR Raw'!AP84</f>
        <v>0</v>
      </c>
      <c r="BW146" s="23">
        <f t="shared" si="1240"/>
        <v>0</v>
      </c>
      <c r="BX146" s="23">
        <f>+'QTR Raw'!AR84</f>
        <v>0</v>
      </c>
      <c r="BY146" s="23">
        <f t="shared" si="1240"/>
        <v>0</v>
      </c>
      <c r="BZ146" s="23">
        <f>+'QTR Raw'!AT84</f>
        <v>0</v>
      </c>
      <c r="CA146" s="23">
        <f t="shared" si="1240"/>
        <v>0</v>
      </c>
      <c r="CB146" s="23">
        <f>+'QTR Raw'!AV84</f>
        <v>77.98</v>
      </c>
      <c r="CC146" s="23">
        <f t="shared" si="1240"/>
        <v>77.98</v>
      </c>
      <c r="CD146" s="23">
        <f>+'QTR Raw'!AX84</f>
        <v>55.34</v>
      </c>
      <c r="CE146" s="23">
        <f t="shared" si="1240"/>
        <v>55.34</v>
      </c>
      <c r="CF146" s="23">
        <f>+'QTR Raw'!AZ84</f>
        <v>60.64</v>
      </c>
      <c r="CG146" s="23">
        <f t="shared" ref="CG146:CG147" si="1243">+CF146</f>
        <v>60.64</v>
      </c>
      <c r="CH146" s="23">
        <f t="shared" si="1218"/>
        <v>21.26</v>
      </c>
      <c r="CI146" s="23">
        <f>CI10/90*CI181</f>
        <v>98.703369063149992</v>
      </c>
      <c r="CJ146" s="23">
        <f>+'QTR Raw'!BD84</f>
        <v>32.97</v>
      </c>
      <c r="CK146" s="24">
        <f t="shared" ref="CK146:DB146" si="1244">CK10/90*CK181</f>
        <v>84.522484913028023</v>
      </c>
      <c r="CL146" s="23">
        <f>+'QTR Raw'!BF84</f>
        <v>25.08</v>
      </c>
      <c r="CM146" s="24">
        <f t="shared" si="1244"/>
        <v>56.97435056585195</v>
      </c>
      <c r="CN146" s="24">
        <f t="shared" si="1244"/>
        <v>75.203256444746529</v>
      </c>
      <c r="CO146" s="24">
        <f t="shared" si="1244"/>
        <v>78.954641627476093</v>
      </c>
      <c r="CP146" s="24">
        <f t="shared" si="1244"/>
        <v>81.962917686978628</v>
      </c>
      <c r="CQ146" s="24">
        <f t="shared" si="1244"/>
        <v>67.47534524428076</v>
      </c>
      <c r="CR146" s="24">
        <f t="shared" si="1244"/>
        <v>89.958381104255267</v>
      </c>
      <c r="CS146" s="24">
        <f t="shared" si="1244"/>
        <v>94.598869060897329</v>
      </c>
      <c r="CT146" s="24">
        <f t="shared" si="1244"/>
        <v>97.998486944531948</v>
      </c>
      <c r="CU146" s="24">
        <f t="shared" si="1244"/>
        <v>80.536890936045396</v>
      </c>
      <c r="CV146" s="24">
        <f t="shared" si="1244"/>
        <v>107.5804298103334</v>
      </c>
      <c r="CW146" s="24">
        <f t="shared" si="1244"/>
        <v>113.12256615751367</v>
      </c>
      <c r="CX146" s="24">
        <f t="shared" si="1244"/>
        <v>117.13081736210715</v>
      </c>
      <c r="CY146" s="24">
        <f t="shared" si="1244"/>
        <v>96.25185675994868</v>
      </c>
      <c r="CZ146" s="24">
        <f t="shared" si="1244"/>
        <v>128.61408857024776</v>
      </c>
      <c r="DA146" s="24">
        <f t="shared" si="1244"/>
        <v>135.22918090734473</v>
      </c>
      <c r="DB146" s="24">
        <f t="shared" si="1244"/>
        <v>140.00927345446635</v>
      </c>
      <c r="DE146" s="123"/>
      <c r="DF146" s="23">
        <v>25.08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0</v>
      </c>
      <c r="Y147" s="23">
        <f>'Annual Raw'!Z80</f>
        <v>44.66</v>
      </c>
      <c r="Z147" s="23">
        <f>'Annual Raw'!AA80</f>
        <v>26.39</v>
      </c>
      <c r="AA147" s="23">
        <f>'Annual Raw'!AB80</f>
        <v>18.93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0</v>
      </c>
      <c r="AK147" s="23">
        <f t="shared" si="1240"/>
        <v>0</v>
      </c>
      <c r="AL147" s="23">
        <f>+'QTR Raw'!F85</f>
        <v>0</v>
      </c>
      <c r="AM147" s="23">
        <f t="shared" si="1240"/>
        <v>0</v>
      </c>
      <c r="AN147" s="23">
        <f>+'QTR Raw'!H85</f>
        <v>0</v>
      </c>
      <c r="AO147" s="23">
        <f t="shared" si="1240"/>
        <v>0</v>
      </c>
      <c r="AP147" s="23">
        <f>+'QTR Raw'!J85</f>
        <v>0</v>
      </c>
      <c r="AQ147" s="23">
        <f t="shared" si="1240"/>
        <v>0</v>
      </c>
      <c r="AR147" s="23">
        <f>+'QTR Raw'!L85</f>
        <v>0</v>
      </c>
      <c r="AS147" s="23">
        <f t="shared" si="1240"/>
        <v>0</v>
      </c>
      <c r="AT147" s="23">
        <f>+'QTR Raw'!N85</f>
        <v>0</v>
      </c>
      <c r="AU147" s="23">
        <f t="shared" si="1240"/>
        <v>0</v>
      </c>
      <c r="AV147" s="23">
        <f>+'QTR Raw'!P85</f>
        <v>0</v>
      </c>
      <c r="AW147" s="23">
        <f t="shared" si="1240"/>
        <v>0</v>
      </c>
      <c r="AX147" s="23">
        <f>+'QTR Raw'!R85</f>
        <v>0</v>
      </c>
      <c r="AY147" s="23">
        <f t="shared" si="1240"/>
        <v>0</v>
      </c>
      <c r="AZ147" s="23">
        <f>+'QTR Raw'!T85</f>
        <v>0</v>
      </c>
      <c r="BA147" s="23">
        <f t="shared" si="1240"/>
        <v>0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</v>
      </c>
      <c r="BK147" s="23">
        <f t="shared" si="1240"/>
        <v>0</v>
      </c>
      <c r="BL147" s="23">
        <f>+'QTR Raw'!AF85</f>
        <v>0</v>
      </c>
      <c r="BM147" s="23">
        <f t="shared" si="1240"/>
        <v>0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0.15</v>
      </c>
      <c r="CC147" s="23">
        <f t="shared" si="1240"/>
        <v>0.15</v>
      </c>
      <c r="CD147" s="23">
        <f>+'QTR Raw'!AX85</f>
        <v>0.17</v>
      </c>
      <c r="CE147" s="23">
        <f t="shared" si="1240"/>
        <v>0.17</v>
      </c>
      <c r="CF147" s="23">
        <f>+'QTR Raw'!AZ85</f>
        <v>0.18</v>
      </c>
      <c r="CG147" s="23">
        <f t="shared" si="1243"/>
        <v>0.18</v>
      </c>
      <c r="CH147" s="23">
        <f t="shared" si="1218"/>
        <v>26.39</v>
      </c>
      <c r="CJ147" s="23">
        <f>+'QTR Raw'!BD85</f>
        <v>0.2</v>
      </c>
      <c r="CK147" s="24"/>
      <c r="CL147" s="23">
        <f>+'QTR Raw'!BF85</f>
        <v>0.25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0.25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0</v>
      </c>
      <c r="D148" s="22">
        <f t="shared" si="1245"/>
        <v>0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0</v>
      </c>
      <c r="I148" s="22">
        <f t="shared" si="1245"/>
        <v>0</v>
      </c>
      <c r="J148" s="22">
        <f t="shared" si="1245"/>
        <v>0</v>
      </c>
      <c r="K148" s="22">
        <f t="shared" si="1245"/>
        <v>0</v>
      </c>
      <c r="L148" s="22">
        <f>SUM(L142:L147)</f>
        <v>0</v>
      </c>
      <c r="M148" s="22">
        <f>SUM(M142:M147)</f>
        <v>0</v>
      </c>
      <c r="N148" s="22">
        <f t="shared" si="1245"/>
        <v>0</v>
      </c>
      <c r="O148" s="22">
        <f t="shared" si="1245"/>
        <v>0</v>
      </c>
      <c r="P148" s="22">
        <f t="shared" si="1245"/>
        <v>0</v>
      </c>
      <c r="Q148" s="22">
        <f t="shared" si="1245"/>
        <v>0</v>
      </c>
      <c r="R148" s="22">
        <f t="shared" si="1245"/>
        <v>0</v>
      </c>
      <c r="S148" s="22">
        <f t="shared" si="1245"/>
        <v>0</v>
      </c>
      <c r="T148" s="22">
        <f t="shared" si="1245"/>
        <v>0</v>
      </c>
      <c r="U148" s="22">
        <f t="shared" si="1245"/>
        <v>0</v>
      </c>
      <c r="V148" s="22">
        <f t="shared" si="1245"/>
        <v>0</v>
      </c>
      <c r="W148" s="22">
        <f t="shared" ref="W148" si="1246">SUM(W142:W147)</f>
        <v>0</v>
      </c>
      <c r="X148" s="22">
        <f t="shared" ref="X148:Y148" si="1247">SUM(X142:X147)</f>
        <v>0</v>
      </c>
      <c r="Y148" s="22">
        <f t="shared" si="1247"/>
        <v>549.20000000000005</v>
      </c>
      <c r="Z148" s="22">
        <f t="shared" ref="Z148:AA148" si="1248">SUM(Z142:Z147)</f>
        <v>517.03</v>
      </c>
      <c r="AA148" s="22">
        <f t="shared" ref="AA148" si="1249">SUM(AA142:AA147)</f>
        <v>659.79</v>
      </c>
      <c r="AB148" s="21">
        <f t="shared" ref="AB148:AD148" si="1250">SUM(AB142:AB147)</f>
        <v>794.33480406421211</v>
      </c>
      <c r="AC148" s="21">
        <f t="shared" si="1250"/>
        <v>949.74179937033853</v>
      </c>
      <c r="AD148" s="21">
        <f t="shared" si="1250"/>
        <v>1135.1607224933107</v>
      </c>
      <c r="AE148" s="21">
        <f t="shared" ref="AE148" si="1251">SUM(AE142:AE147)</f>
        <v>1356.8848198079063</v>
      </c>
      <c r="AJ148" s="22">
        <f t="shared" ref="AJ148" si="1252">SUM(AJ142:AJ147)</f>
        <v>0</v>
      </c>
      <c r="AK148" s="22" t="e">
        <f t="shared" ref="AK148" si="1253">SUM(AK142:AK147)</f>
        <v>#DIV/0!</v>
      </c>
      <c r="AL148" s="22">
        <f t="shared" ref="AL148:AM148" si="1254">SUM(AL142:AL147)</f>
        <v>0</v>
      </c>
      <c r="AM148" s="22" t="e">
        <f t="shared" si="1254"/>
        <v>#DIV/0!</v>
      </c>
      <c r="AN148" s="22">
        <f t="shared" ref="AN148:AO148" si="1255">SUM(AN142:AN147)</f>
        <v>0</v>
      </c>
      <c r="AO148" s="22" t="e">
        <f t="shared" si="1255"/>
        <v>#DIV/0!</v>
      </c>
      <c r="AP148" s="22">
        <f t="shared" ref="AP148:CE148" si="1256">SUM(AP142:AP147)</f>
        <v>0</v>
      </c>
      <c r="AQ148" s="22" t="e">
        <f t="shared" si="1256"/>
        <v>#DIV/0!</v>
      </c>
      <c r="AR148" s="22">
        <f t="shared" si="1256"/>
        <v>0</v>
      </c>
      <c r="AS148" s="22" t="e">
        <f t="shared" si="1256"/>
        <v>#DIV/0!</v>
      </c>
      <c r="AT148" s="22">
        <f t="shared" si="1256"/>
        <v>0</v>
      </c>
      <c r="AU148" s="22" t="e">
        <f t="shared" si="1256"/>
        <v>#DIV/0!</v>
      </c>
      <c r="AV148" s="22">
        <f t="shared" si="1256"/>
        <v>0</v>
      </c>
      <c r="AW148" s="22" t="e">
        <f t="shared" si="1256"/>
        <v>#DIV/0!</v>
      </c>
      <c r="AX148" s="22">
        <f t="shared" si="1256"/>
        <v>0</v>
      </c>
      <c r="AY148" s="22" t="e">
        <f t="shared" si="1256"/>
        <v>#DIV/0!</v>
      </c>
      <c r="AZ148" s="22">
        <f t="shared" si="1256"/>
        <v>0</v>
      </c>
      <c r="BA148" s="22" t="e">
        <f t="shared" si="1256"/>
        <v>#DIV/0!</v>
      </c>
      <c r="BB148" s="22">
        <f t="shared" si="1256"/>
        <v>0</v>
      </c>
      <c r="BC148" s="22" t="e">
        <f t="shared" si="1256"/>
        <v>#DIV/0!</v>
      </c>
      <c r="BD148" s="22">
        <f t="shared" si="1256"/>
        <v>0</v>
      </c>
      <c r="BE148" s="22" t="e">
        <f t="shared" si="1256"/>
        <v>#DIV/0!</v>
      </c>
      <c r="BF148" s="22">
        <f t="shared" si="1256"/>
        <v>0</v>
      </c>
      <c r="BG148" s="22" t="e">
        <f t="shared" si="1256"/>
        <v>#DIV/0!</v>
      </c>
      <c r="BH148" s="22">
        <f t="shared" si="1256"/>
        <v>0</v>
      </c>
      <c r="BI148" s="22" t="e">
        <f t="shared" si="1256"/>
        <v>#DIV/0!</v>
      </c>
      <c r="BJ148" s="22">
        <f t="shared" si="1256"/>
        <v>0</v>
      </c>
      <c r="BK148" s="22" t="e">
        <f t="shared" si="1256"/>
        <v>#DIV/0!</v>
      </c>
      <c r="BL148" s="22">
        <f t="shared" si="1256"/>
        <v>0</v>
      </c>
      <c r="BM148" s="22" t="e">
        <f t="shared" si="1256"/>
        <v>#DIV/0!</v>
      </c>
      <c r="BN148" s="22">
        <f t="shared" si="1256"/>
        <v>0</v>
      </c>
      <c r="BO148" s="22" t="e">
        <f t="shared" si="1256"/>
        <v>#DIV/0!</v>
      </c>
      <c r="BP148" s="22">
        <f t="shared" si="1256"/>
        <v>0</v>
      </c>
      <c r="BQ148" s="22" t="e">
        <f t="shared" si="1256"/>
        <v>#DIV/0!</v>
      </c>
      <c r="BR148" s="22">
        <f t="shared" si="1256"/>
        <v>0</v>
      </c>
      <c r="BS148" s="22" t="e">
        <f t="shared" si="1256"/>
        <v>#DIV/0!</v>
      </c>
      <c r="BT148" s="22">
        <f t="shared" si="1256"/>
        <v>0</v>
      </c>
      <c r="BU148" s="22" t="e">
        <f t="shared" si="1256"/>
        <v>#DIV/0!</v>
      </c>
      <c r="BV148" s="22">
        <f t="shared" si="1256"/>
        <v>0</v>
      </c>
      <c r="BW148" s="22" t="e">
        <f t="shared" si="1256"/>
        <v>#DIV/0!</v>
      </c>
      <c r="BX148" s="22">
        <f t="shared" si="1256"/>
        <v>0</v>
      </c>
      <c r="BY148" s="22" t="e">
        <f t="shared" si="1256"/>
        <v>#DIV/0!</v>
      </c>
      <c r="BZ148" s="22">
        <f t="shared" si="1256"/>
        <v>0</v>
      </c>
      <c r="CA148" s="22" t="e">
        <f t="shared" si="1256"/>
        <v>#DIV/0!</v>
      </c>
      <c r="CB148" s="22">
        <f t="shared" si="1256"/>
        <v>487.15999999999997</v>
      </c>
      <c r="CC148" s="22">
        <f t="shared" si="1256"/>
        <v>464.51541514440646</v>
      </c>
      <c r="CD148" s="22">
        <f t="shared" si="1256"/>
        <v>549.19999999999993</v>
      </c>
      <c r="CE148" s="22">
        <f t="shared" si="1256"/>
        <v>552.08911759566661</v>
      </c>
      <c r="CF148" s="22">
        <f t="shared" ref="CF148:CG148" si="1257">SUM(CF142:CF147)</f>
        <v>466.93</v>
      </c>
      <c r="CG148" s="22">
        <f t="shared" si="1257"/>
        <v>443.12862517234589</v>
      </c>
      <c r="CH148" s="22">
        <f t="shared" ref="CH148:CI148" si="1258">SUM(CH142:CH147)</f>
        <v>517.03</v>
      </c>
      <c r="CI148" s="22">
        <f t="shared" si="1258"/>
        <v>488.11671838087506</v>
      </c>
      <c r="CJ148" s="22">
        <f t="shared" ref="CJ148:DB148" si="1259">SUM(CJ142:CJ147)</f>
        <v>505.28000000000003</v>
      </c>
      <c r="CK148" s="21">
        <f t="shared" si="1259"/>
        <v>521.8416566086853</v>
      </c>
      <c r="CL148" s="22">
        <f t="shared" ref="CL148" si="1260">SUM(CL142:CL147)</f>
        <v>659.79000000000008</v>
      </c>
      <c r="CM148" s="21">
        <f t="shared" si="1259"/>
        <v>552.16079259464482</v>
      </c>
      <c r="CN148" s="21">
        <f t="shared" si="1259"/>
        <v>728.82427393770945</v>
      </c>
      <c r="CO148" s="21">
        <f t="shared" si="1259"/>
        <v>765.18042008508201</v>
      </c>
      <c r="CP148" s="21">
        <f t="shared" si="1259"/>
        <v>794.33480406421211</v>
      </c>
      <c r="CQ148" s="21">
        <f t="shared" si="1259"/>
        <v>653.93005344776657</v>
      </c>
      <c r="CR148" s="21">
        <f t="shared" si="1259"/>
        <v>871.82197809601223</v>
      </c>
      <c r="CS148" s="21">
        <f t="shared" si="1259"/>
        <v>916.79476817992611</v>
      </c>
      <c r="CT148" s="21">
        <f t="shared" si="1259"/>
        <v>949.74179937033853</v>
      </c>
      <c r="CU148" s="21">
        <f t="shared" si="1259"/>
        <v>780.51461913474338</v>
      </c>
      <c r="CV148" s="21">
        <f t="shared" si="1259"/>
        <v>1042.6041683983519</v>
      </c>
      <c r="CW148" s="21">
        <f t="shared" si="1259"/>
        <v>1096.3151869134231</v>
      </c>
      <c r="CX148" s="21">
        <f t="shared" si="1259"/>
        <v>1135.1607224933107</v>
      </c>
      <c r="CY148" s="21">
        <f t="shared" si="1259"/>
        <v>932.81452073511264</v>
      </c>
      <c r="CZ148" s="21">
        <f t="shared" si="1259"/>
        <v>1246.4496107192078</v>
      </c>
      <c r="DA148" s="21">
        <f t="shared" si="1259"/>
        <v>1310.5590668457235</v>
      </c>
      <c r="DB148" s="21">
        <f t="shared" si="1259"/>
        <v>1356.8848198079063</v>
      </c>
      <c r="DE148" s="126"/>
      <c r="DF148" s="22">
        <v>659.79000000000008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0</v>
      </c>
      <c r="BM149" s="23">
        <f t="shared" si="1265"/>
        <v>0</v>
      </c>
      <c r="BN149" s="23">
        <f>+'QTR Raw'!AH64</f>
        <v>0</v>
      </c>
      <c r="BO149" s="23">
        <f t="shared" si="1265"/>
        <v>0</v>
      </c>
      <c r="BP149" s="23">
        <f>+'QTR Raw'!AJ64</f>
        <v>0</v>
      </c>
      <c r="BQ149" s="23">
        <f t="shared" si="1265"/>
        <v>0</v>
      </c>
      <c r="BR149" s="23">
        <f>+'QTR Raw'!AL64</f>
        <v>0</v>
      </c>
      <c r="BS149" s="23">
        <f t="shared" si="1265"/>
        <v>0</v>
      </c>
      <c r="BT149" s="23">
        <f>+'QTR Raw'!AN64</f>
        <v>0</v>
      </c>
      <c r="BU149" s="23">
        <f t="shared" si="1265"/>
        <v>0</v>
      </c>
      <c r="BV149" s="23">
        <f>+'QTR Raw'!AP64</f>
        <v>0</v>
      </c>
      <c r="BW149" s="23">
        <f t="shared" si="1265"/>
        <v>0</v>
      </c>
      <c r="BX149" s="23">
        <f>+'QTR Raw'!AR64</f>
        <v>0</v>
      </c>
      <c r="BY149" s="23">
        <f t="shared" si="1265"/>
        <v>0</v>
      </c>
      <c r="BZ149" s="23">
        <f>+'QTR Raw'!AT64</f>
        <v>0</v>
      </c>
      <c r="CA149" s="23">
        <f t="shared" si="1265"/>
        <v>0</v>
      </c>
      <c r="CB149" s="23">
        <f>+'QTR Raw'!AV64</f>
        <v>0</v>
      </c>
      <c r="CC149" s="23">
        <f t="shared" si="1265"/>
        <v>0</v>
      </c>
      <c r="CD149" s="23">
        <f>+'QTR Raw'!AX64</f>
        <v>0</v>
      </c>
      <c r="CE149" s="23">
        <f t="shared" si="1265"/>
        <v>0</v>
      </c>
      <c r="CF149" s="23">
        <f>+'QTR Raw'!AZ64</f>
        <v>0</v>
      </c>
      <c r="CG149" s="23">
        <f t="shared" ref="CG149:CG152" si="1266">+CF149</f>
        <v>0</v>
      </c>
      <c r="CH149" s="23">
        <f t="shared" si="1218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3">
        <f>'Annual Raw'!AB52</f>
        <v>0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</v>
      </c>
      <c r="AM151" s="23">
        <f t="shared" si="1265"/>
        <v>0</v>
      </c>
      <c r="AN151" s="23">
        <f>+'QTR Raw'!H66</f>
        <v>0</v>
      </c>
      <c r="AO151" s="23">
        <f t="shared" si="1265"/>
        <v>0</v>
      </c>
      <c r="AP151" s="23">
        <f>+'QTR Raw'!J66</f>
        <v>0</v>
      </c>
      <c r="AQ151" s="23">
        <f t="shared" si="1265"/>
        <v>0</v>
      </c>
      <c r="AR151" s="23">
        <f>+'QTR Raw'!L66</f>
        <v>0</v>
      </c>
      <c r="AS151" s="23">
        <f t="shared" si="1265"/>
        <v>0</v>
      </c>
      <c r="AT151" s="23">
        <f>+'QTR Raw'!N66</f>
        <v>0</v>
      </c>
      <c r="AU151" s="23">
        <f t="shared" si="1265"/>
        <v>0</v>
      </c>
      <c r="AV151" s="23">
        <f>+'QTR Raw'!P66</f>
        <v>0</v>
      </c>
      <c r="AW151" s="23">
        <f t="shared" si="1265"/>
        <v>0</v>
      </c>
      <c r="AX151" s="23">
        <f>+'QTR Raw'!R66</f>
        <v>0</v>
      </c>
      <c r="AY151" s="23">
        <f t="shared" si="1265"/>
        <v>0</v>
      </c>
      <c r="AZ151" s="23">
        <f>+'QTR Raw'!T66</f>
        <v>0</v>
      </c>
      <c r="BA151" s="23">
        <f t="shared" si="1265"/>
        <v>0</v>
      </c>
      <c r="BB151" s="23">
        <f>+'QTR Raw'!V66</f>
        <v>0</v>
      </c>
      <c r="BC151" s="23">
        <f t="shared" si="1265"/>
        <v>0</v>
      </c>
      <c r="BD151" s="23">
        <f>+'QTR Raw'!X66</f>
        <v>0</v>
      </c>
      <c r="BE151" s="23">
        <f t="shared" si="1265"/>
        <v>0</v>
      </c>
      <c r="BF151" s="23">
        <f>+'QTR Raw'!Z66</f>
        <v>0</v>
      </c>
      <c r="BG151" s="23">
        <f t="shared" si="1265"/>
        <v>0</v>
      </c>
      <c r="BH151" s="23">
        <f>+'QTR Raw'!AB66</f>
        <v>0</v>
      </c>
      <c r="BI151" s="23">
        <f t="shared" si="1265"/>
        <v>0</v>
      </c>
      <c r="BJ151" s="23">
        <f>+'QTR Raw'!AD66</f>
        <v>0</v>
      </c>
      <c r="BK151" s="23">
        <f t="shared" si="1265"/>
        <v>0</v>
      </c>
      <c r="BL151" s="23">
        <f>+'QTR Raw'!AF66</f>
        <v>0</v>
      </c>
      <c r="BM151" s="23">
        <f t="shared" si="1265"/>
        <v>0</v>
      </c>
      <c r="BN151" s="23">
        <f>+'QTR Raw'!AH66</f>
        <v>0</v>
      </c>
      <c r="BO151" s="23">
        <f t="shared" si="1265"/>
        <v>0</v>
      </c>
      <c r="BP151" s="23">
        <f>+'QTR Raw'!AJ66</f>
        <v>0</v>
      </c>
      <c r="BQ151" s="23">
        <f t="shared" si="1265"/>
        <v>0</v>
      </c>
      <c r="BR151" s="23">
        <f>+'QTR Raw'!AL66</f>
        <v>0</v>
      </c>
      <c r="BS151" s="23">
        <f t="shared" si="1265"/>
        <v>0</v>
      </c>
      <c r="BT151" s="23">
        <f>+'QTR Raw'!AN66</f>
        <v>0</v>
      </c>
      <c r="BU151" s="23">
        <f t="shared" si="1265"/>
        <v>0</v>
      </c>
      <c r="BV151" s="23">
        <f>+'QTR Raw'!AP66</f>
        <v>0</v>
      </c>
      <c r="BW151" s="23">
        <f t="shared" si="1265"/>
        <v>0</v>
      </c>
      <c r="BX151" s="23">
        <f>+'QTR Raw'!AR66</f>
        <v>0</v>
      </c>
      <c r="BY151" s="23">
        <f t="shared" si="1265"/>
        <v>0</v>
      </c>
      <c r="BZ151" s="23">
        <f>+'QTR Raw'!AT66</f>
        <v>0</v>
      </c>
      <c r="CA151" s="23">
        <f t="shared" si="1265"/>
        <v>0</v>
      </c>
      <c r="CB151" s="23">
        <f>+'QTR Raw'!AV66</f>
        <v>0</v>
      </c>
      <c r="CC151" s="23">
        <f t="shared" si="1265"/>
        <v>0</v>
      </c>
      <c r="CD151" s="23">
        <f>+'QTR Raw'!AX66</f>
        <v>0</v>
      </c>
      <c r="CE151" s="23">
        <f t="shared" si="1265"/>
        <v>0</v>
      </c>
      <c r="CF151" s="23">
        <f>+'QTR Raw'!AZ66</f>
        <v>0</v>
      </c>
      <c r="CG151" s="23">
        <f t="shared" si="1266"/>
        <v>0</v>
      </c>
      <c r="CH151" s="23">
        <f t="shared" si="1218"/>
        <v>0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36.827932609351834</v>
      </c>
      <c r="AC152" s="24">
        <f t="shared" si="1262"/>
        <v>44.033103931157868</v>
      </c>
      <c r="AD152" s="24">
        <f t="shared" si="1263"/>
        <v>52.629725368784555</v>
      </c>
      <c r="AE152" s="24">
        <f t="shared" si="1264"/>
        <v>62.909572194067557</v>
      </c>
      <c r="AJ152" s="23">
        <f>+'QTR Raw'!D87</f>
        <v>0</v>
      </c>
      <c r="AK152" s="23">
        <f t="shared" si="1265"/>
        <v>0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27.076160925214225</v>
      </c>
      <c r="CJ152" s="23">
        <f>+'QTR Raw'!BD87</f>
        <v>0</v>
      </c>
      <c r="CK152" s="24">
        <f t="shared" ref="CK152:DB152" si="1267">CK10/90*CK184</f>
        <v>22.721098094900011</v>
      </c>
      <c r="CL152" s="23">
        <f>+'QTR Raw'!BF87</f>
        <v>0</v>
      </c>
      <c r="CM152" s="24">
        <f t="shared" si="1267"/>
        <v>25.599961571818575</v>
      </c>
      <c r="CN152" s="24">
        <f t="shared" si="1267"/>
        <v>33.790652389024572</v>
      </c>
      <c r="CO152" s="24">
        <f t="shared" si="1267"/>
        <v>35.476241001534817</v>
      </c>
      <c r="CP152" s="24">
        <f t="shared" si="1267"/>
        <v>36.827932609351834</v>
      </c>
      <c r="CQ152" s="24">
        <f t="shared" si="1267"/>
        <v>30.318313910436917</v>
      </c>
      <c r="CR152" s="24">
        <f t="shared" si="1267"/>
        <v>40.420488806979506</v>
      </c>
      <c r="CS152" s="24">
        <f t="shared" si="1267"/>
        <v>42.505572922632858</v>
      </c>
      <c r="CT152" s="24">
        <f t="shared" si="1267"/>
        <v>44.033103931157868</v>
      </c>
      <c r="CU152" s="24">
        <f t="shared" si="1267"/>
        <v>36.187184103020343</v>
      </c>
      <c r="CV152" s="24">
        <f t="shared" si="1267"/>
        <v>48.338503935048386</v>
      </c>
      <c r="CW152" s="24">
        <f t="shared" si="1267"/>
        <v>50.828720604558434</v>
      </c>
      <c r="CX152" s="24">
        <f t="shared" si="1267"/>
        <v>52.629725368784555</v>
      </c>
      <c r="CY152" s="24">
        <f t="shared" si="1267"/>
        <v>43.248300503625529</v>
      </c>
      <c r="CZ152" s="24">
        <f t="shared" si="1267"/>
        <v>57.789438445415293</v>
      </c>
      <c r="DA152" s="24">
        <f t="shared" si="1267"/>
        <v>60.761760340124397</v>
      </c>
      <c r="DB152" s="24">
        <f t="shared" si="1267"/>
        <v>62.909572194067557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1E-3</v>
      </c>
      <c r="X153" s="23">
        <f>'Annual Raw'!Y54</f>
        <v>0</v>
      </c>
      <c r="Y153" s="23">
        <f>'Annual Raw'!Z54</f>
        <v>25.53</v>
      </c>
      <c r="Z153" s="23">
        <f>'Annual Raw'!AA54</f>
        <v>41.77</v>
      </c>
      <c r="AA153" s="23">
        <f>'Annual Raw'!AB54</f>
        <v>62.98</v>
      </c>
      <c r="AB153" s="24">
        <f t="shared" si="1261"/>
        <v>75.8229223843406</v>
      </c>
      <c r="AC153" s="24">
        <f t="shared" si="1262"/>
        <v>90.657237188111253</v>
      </c>
      <c r="AD153" s="24">
        <f t="shared" si="1263"/>
        <v>108.35632898744858</v>
      </c>
      <c r="AE153" s="24">
        <f t="shared" si="1264"/>
        <v>129.52091718804758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 t="e">
        <f>+BU183*BU10/90</f>
        <v>#DIV/0!</v>
      </c>
      <c r="BV153" s="23">
        <f>+'QTR Raw'!AP89</f>
        <v>0</v>
      </c>
      <c r="BW153" s="23" t="e">
        <f>+BW183*BW10/90</f>
        <v>#DIV/0!</v>
      </c>
      <c r="BX153" s="23">
        <f>+'QTR Raw'!AR89</f>
        <v>0</v>
      </c>
      <c r="BY153" s="23" t="e">
        <f>+BY183*BY10/90</f>
        <v>#DIV/0!</v>
      </c>
      <c r="BZ153" s="23">
        <f>+'QTR Raw'!AT89</f>
        <v>0</v>
      </c>
      <c r="CA153" s="23" t="e">
        <f>+CA183*CA10/90</f>
        <v>#DIV/0!</v>
      </c>
      <c r="CB153" s="23">
        <f>+'QTR Raw'!AV89</f>
        <v>41.13</v>
      </c>
      <c r="CC153" s="23">
        <f>+CC183*CC10/90</f>
        <v>38.659321232165524</v>
      </c>
      <c r="CD153" s="23">
        <f>+'QTR Raw'!AX89</f>
        <v>25.53</v>
      </c>
      <c r="CE153" s="23">
        <f>+CE183*CE10/90</f>
        <v>25.688809715184348</v>
      </c>
      <c r="CF153" s="23">
        <f>+'QTR Raw'!AZ89</f>
        <v>68.61</v>
      </c>
      <c r="CG153" s="23">
        <f>+CG183*CG10/90</f>
        <v>64.190959227890488</v>
      </c>
      <c r="CH153" s="23">
        <f t="shared" si="1218"/>
        <v>41.77</v>
      </c>
      <c r="CI153" s="23">
        <f>+CI183*CI10/90</f>
        <v>39.434143718486652</v>
      </c>
      <c r="CJ153" s="23">
        <f>+'QTR Raw'!BD89</f>
        <v>32.29</v>
      </c>
      <c r="CK153" s="24">
        <f t="shared" ref="CK153:DB153" si="1268">+CK183*CK10/90</f>
        <v>33.348375340196426</v>
      </c>
      <c r="CL153" s="23">
        <f>+'QTR Raw'!BF89</f>
        <v>62.98</v>
      </c>
      <c r="CM153" s="24">
        <f t="shared" si="1268"/>
        <v>52.706295514649696</v>
      </c>
      <c r="CN153" s="24">
        <f t="shared" si="1268"/>
        <v>69.569639995448455</v>
      </c>
      <c r="CO153" s="24">
        <f t="shared" si="1268"/>
        <v>73.040001905088687</v>
      </c>
      <c r="CP153" s="24">
        <f t="shared" si="1268"/>
        <v>75.8229223843406</v>
      </c>
      <c r="CQ153" s="24">
        <f t="shared" si="1268"/>
        <v>62.420641061762588</v>
      </c>
      <c r="CR153" s="24">
        <f t="shared" si="1268"/>
        <v>83.219430698384102</v>
      </c>
      <c r="CS153" s="24">
        <f t="shared" si="1268"/>
        <v>87.512291031952202</v>
      </c>
      <c r="CT153" s="24">
        <f t="shared" si="1268"/>
        <v>90.657237188111253</v>
      </c>
      <c r="CU153" s="24">
        <f t="shared" si="1268"/>
        <v>74.503721961694069</v>
      </c>
      <c r="CV153" s="24">
        <f t="shared" si="1268"/>
        <v>99.521378811028043</v>
      </c>
      <c r="CW153" s="24">
        <f t="shared" si="1268"/>
        <v>104.64834336956818</v>
      </c>
      <c r="CX153" s="24">
        <f t="shared" si="1268"/>
        <v>108.35632898744858</v>
      </c>
      <c r="CY153" s="24">
        <f t="shared" si="1268"/>
        <v>89.041450334041713</v>
      </c>
      <c r="CZ153" s="24">
        <f t="shared" si="1268"/>
        <v>118.97936689415678</v>
      </c>
      <c r="DA153" s="24">
        <f t="shared" si="1268"/>
        <v>125.09891030470857</v>
      </c>
      <c r="DB153" s="24">
        <f t="shared" si="1268"/>
        <v>129.52091718804758</v>
      </c>
      <c r="DE153" s="123"/>
      <c r="DF153" s="23">
        <v>62.98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1E-3</v>
      </c>
      <c r="W154" s="23">
        <f>'Annual Raw'!X55-Template!W126</f>
        <v>1.1800000000000001E-3</v>
      </c>
      <c r="X154" s="23">
        <f>'Annual Raw'!Y55-Template!X126</f>
        <v>0</v>
      </c>
      <c r="Y154" s="23">
        <f>'Annual Raw'!Z55-Template!Y126</f>
        <v>19.399999999999999</v>
      </c>
      <c r="Z154" s="23">
        <f>'Annual Raw'!AA55-Template!Z126</f>
        <v>26.78</v>
      </c>
      <c r="AA154" s="23">
        <f>'Annual Raw'!AB55-Template!AA126</f>
        <v>27.36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0</v>
      </c>
      <c r="AO154" s="23">
        <f t="shared" si="1265"/>
        <v>0</v>
      </c>
      <c r="AP154" s="23">
        <f>+'QTR Raw'!J91</f>
        <v>0</v>
      </c>
      <c r="AQ154" s="23">
        <f t="shared" si="1265"/>
        <v>0</v>
      </c>
      <c r="AR154" s="23">
        <f>+'QTR Raw'!L91</f>
        <v>0</v>
      </c>
      <c r="AS154" s="23">
        <f t="shared" si="1265"/>
        <v>0</v>
      </c>
      <c r="AT154" s="23">
        <f>+'QTR Raw'!N91</f>
        <v>0</v>
      </c>
      <c r="AU154" s="23">
        <f t="shared" si="1265"/>
        <v>0</v>
      </c>
      <c r="AV154" s="23">
        <f>+'QTR Raw'!P91</f>
        <v>0</v>
      </c>
      <c r="AW154" s="23">
        <f t="shared" si="1265"/>
        <v>0</v>
      </c>
      <c r="AX154" s="23">
        <f>+'QTR Raw'!R91</f>
        <v>0</v>
      </c>
      <c r="AY154" s="23">
        <f t="shared" si="1265"/>
        <v>0</v>
      </c>
      <c r="AZ154" s="23">
        <f>+'QTR Raw'!T91</f>
        <v>0</v>
      </c>
      <c r="BA154" s="23">
        <f t="shared" si="1265"/>
        <v>0</v>
      </c>
      <c r="BB154" s="23">
        <f>+'QTR Raw'!V91</f>
        <v>0</v>
      </c>
      <c r="BC154" s="23">
        <f t="shared" si="1265"/>
        <v>0</v>
      </c>
      <c r="BD154" s="23">
        <f>+'QTR Raw'!X91</f>
        <v>0</v>
      </c>
      <c r="BE154" s="23">
        <f t="shared" si="1265"/>
        <v>0</v>
      </c>
      <c r="BF154" s="23">
        <f>+'QTR Raw'!Z91</f>
        <v>0</v>
      </c>
      <c r="BG154" s="23">
        <f t="shared" si="1265"/>
        <v>0</v>
      </c>
      <c r="BH154" s="23">
        <f>+'QTR Raw'!AB91</f>
        <v>0</v>
      </c>
      <c r="BI154" s="23">
        <f t="shared" si="1265"/>
        <v>0</v>
      </c>
      <c r="BJ154" s="23">
        <f>+'QTR Raw'!AD91</f>
        <v>0</v>
      </c>
      <c r="BK154" s="23">
        <f t="shared" si="1265"/>
        <v>0</v>
      </c>
      <c r="BL154" s="23">
        <f>+'QTR Raw'!AF91</f>
        <v>0</v>
      </c>
      <c r="BM154" s="23">
        <f t="shared" si="1265"/>
        <v>0</v>
      </c>
      <c r="BN154" s="23">
        <f>+'QTR Raw'!AH91</f>
        <v>0</v>
      </c>
      <c r="BO154" s="23">
        <f t="shared" si="1265"/>
        <v>0</v>
      </c>
      <c r="BP154" s="23">
        <f>+'QTR Raw'!AJ91</f>
        <v>0</v>
      </c>
      <c r="BQ154" s="23">
        <f t="shared" si="1265"/>
        <v>0</v>
      </c>
      <c r="BR154" s="23">
        <f>+'QTR Raw'!AL91</f>
        <v>0</v>
      </c>
      <c r="BS154" s="23">
        <f t="shared" si="1265"/>
        <v>0</v>
      </c>
      <c r="BT154" s="23">
        <f>+'QTR Raw'!AN91</f>
        <v>0</v>
      </c>
      <c r="BU154" s="23">
        <f t="shared" si="1265"/>
        <v>0</v>
      </c>
      <c r="BV154" s="23">
        <f>+'QTR Raw'!AP91</f>
        <v>0</v>
      </c>
      <c r="BW154" s="23">
        <f t="shared" si="1265"/>
        <v>0</v>
      </c>
      <c r="BX154" s="23">
        <f>+'QTR Raw'!AR91</f>
        <v>0</v>
      </c>
      <c r="BY154" s="23">
        <f t="shared" si="1265"/>
        <v>0</v>
      </c>
      <c r="BZ154" s="23">
        <f>+'QTR Raw'!AT91</f>
        <v>0</v>
      </c>
      <c r="CA154" s="23">
        <f t="shared" si="1265"/>
        <v>0</v>
      </c>
      <c r="CB154" s="23">
        <f>+'QTR Raw'!AV91</f>
        <v>13.91</v>
      </c>
      <c r="CC154" s="23">
        <f t="shared" si="1265"/>
        <v>13.91</v>
      </c>
      <c r="CD154" s="23">
        <f>+'QTR Raw'!AX91</f>
        <v>19.23</v>
      </c>
      <c r="CE154" s="23">
        <f t="shared" si="1265"/>
        <v>19.23</v>
      </c>
      <c r="CF154" s="23">
        <f>+'QTR Raw'!AZ91</f>
        <v>12.74</v>
      </c>
      <c r="CG154" s="23">
        <f t="shared" ref="CG154:CG155" si="1269">+CF154</f>
        <v>12.74</v>
      </c>
      <c r="CH154" s="23">
        <f t="shared" si="1218"/>
        <v>26.78</v>
      </c>
      <c r="CJ154" s="23">
        <f>+'QTR Raw'!BD91</f>
        <v>19.93</v>
      </c>
      <c r="CK154" s="24"/>
      <c r="CL154" s="23">
        <f>+'QTR Raw'!BF91</f>
        <v>26.75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26.75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0</v>
      </c>
      <c r="V155" s="23">
        <f>'Annual Raw'!W57</f>
        <v>0</v>
      </c>
      <c r="W155" s="23">
        <f>'Annual Raw'!X57</f>
        <v>0</v>
      </c>
      <c r="X155" s="23">
        <f>'Annual Raw'!Y57</f>
        <v>0</v>
      </c>
      <c r="Y155" s="23">
        <f>'Annual Raw'!Z57</f>
        <v>2.0099999999999998</v>
      </c>
      <c r="Z155" s="23">
        <f>'Annual Raw'!AA57</f>
        <v>1.9</v>
      </c>
      <c r="AA155" s="23">
        <f>'Annual Raw'!AB57</f>
        <v>3.84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0</v>
      </c>
      <c r="AK155" s="23">
        <f t="shared" si="1265"/>
        <v>0</v>
      </c>
      <c r="AL155" s="23">
        <f>+'QTR Raw'!F92</f>
        <v>0</v>
      </c>
      <c r="AM155" s="23">
        <f t="shared" si="1265"/>
        <v>0</v>
      </c>
      <c r="AN155" s="23">
        <f>+'QTR Raw'!H92</f>
        <v>0</v>
      </c>
      <c r="AO155" s="23">
        <f t="shared" si="1265"/>
        <v>0</v>
      </c>
      <c r="AP155" s="23">
        <f>+'QTR Raw'!J92</f>
        <v>0</v>
      </c>
      <c r="AQ155" s="23">
        <f t="shared" si="1265"/>
        <v>0</v>
      </c>
      <c r="AR155" s="23">
        <f>+'QTR Raw'!L92</f>
        <v>0</v>
      </c>
      <c r="AS155" s="23">
        <f t="shared" si="1265"/>
        <v>0</v>
      </c>
      <c r="AT155" s="23">
        <f>+'QTR Raw'!N92</f>
        <v>0</v>
      </c>
      <c r="AU155" s="23">
        <f t="shared" si="1265"/>
        <v>0</v>
      </c>
      <c r="AV155" s="23">
        <f>+'QTR Raw'!P92</f>
        <v>0</v>
      </c>
      <c r="AW155" s="23">
        <f t="shared" si="1265"/>
        <v>0</v>
      </c>
      <c r="AX155" s="23">
        <f>+'QTR Raw'!R92</f>
        <v>0</v>
      </c>
      <c r="AY155" s="23">
        <f t="shared" si="1265"/>
        <v>0</v>
      </c>
      <c r="AZ155" s="23">
        <f>+'QTR Raw'!T92</f>
        <v>0</v>
      </c>
      <c r="BA155" s="23">
        <f t="shared" si="1265"/>
        <v>0</v>
      </c>
      <c r="BB155" s="23">
        <f>+'QTR Raw'!V92</f>
        <v>0</v>
      </c>
      <c r="BC155" s="23">
        <f t="shared" si="1265"/>
        <v>0</v>
      </c>
      <c r="BD155" s="23">
        <f>+'QTR Raw'!X92</f>
        <v>0</v>
      </c>
      <c r="BE155" s="23">
        <f t="shared" si="1265"/>
        <v>0</v>
      </c>
      <c r="BF155" s="23">
        <f>+'QTR Raw'!Z92</f>
        <v>0</v>
      </c>
      <c r="BG155" s="23">
        <f t="shared" si="1265"/>
        <v>0</v>
      </c>
      <c r="BH155" s="23">
        <f>+'QTR Raw'!AB92</f>
        <v>0</v>
      </c>
      <c r="BI155" s="23">
        <f t="shared" si="1265"/>
        <v>0</v>
      </c>
      <c r="BJ155" s="23">
        <f>+'QTR Raw'!AD92</f>
        <v>0</v>
      </c>
      <c r="BK155" s="23">
        <f t="shared" si="1265"/>
        <v>0</v>
      </c>
      <c r="BL155" s="23">
        <f>+'QTR Raw'!AF92</f>
        <v>0</v>
      </c>
      <c r="BM155" s="23">
        <f t="shared" si="1265"/>
        <v>0</v>
      </c>
      <c r="BN155" s="23">
        <f>+'QTR Raw'!AH92</f>
        <v>0</v>
      </c>
      <c r="BO155" s="23">
        <f t="shared" si="1265"/>
        <v>0</v>
      </c>
      <c r="BP155" s="23">
        <f>+'QTR Raw'!AJ92</f>
        <v>0</v>
      </c>
      <c r="BQ155" s="23">
        <f t="shared" si="1265"/>
        <v>0</v>
      </c>
      <c r="BR155" s="23">
        <f>+'QTR Raw'!AL92</f>
        <v>0</v>
      </c>
      <c r="BS155" s="23">
        <f t="shared" si="1265"/>
        <v>0</v>
      </c>
      <c r="BT155" s="23">
        <f>+'QTR Raw'!AN92</f>
        <v>0</v>
      </c>
      <c r="BU155" s="23">
        <f t="shared" si="1265"/>
        <v>0</v>
      </c>
      <c r="BV155" s="23">
        <f>+'QTR Raw'!AP92</f>
        <v>0</v>
      </c>
      <c r="BW155" s="23">
        <f t="shared" si="1265"/>
        <v>0</v>
      </c>
      <c r="BX155" s="23">
        <f>+'QTR Raw'!AR92</f>
        <v>0</v>
      </c>
      <c r="BY155" s="23">
        <f t="shared" si="1265"/>
        <v>0</v>
      </c>
      <c r="BZ155" s="23">
        <f>+'QTR Raw'!AT92</f>
        <v>0</v>
      </c>
      <c r="CA155" s="23">
        <f t="shared" si="1265"/>
        <v>0</v>
      </c>
      <c r="CB155" s="23">
        <f>+'QTR Raw'!AV92</f>
        <v>1.88</v>
      </c>
      <c r="CC155" s="23">
        <f t="shared" si="1265"/>
        <v>1.88</v>
      </c>
      <c r="CD155" s="23">
        <f>+'QTR Raw'!AX92</f>
        <v>2.0099999999999998</v>
      </c>
      <c r="CE155" s="23">
        <f t="shared" si="1265"/>
        <v>2.0099999999999998</v>
      </c>
      <c r="CF155" s="23">
        <f>+'QTR Raw'!AZ92</f>
        <v>2.2400000000000002</v>
      </c>
      <c r="CG155" s="23">
        <f t="shared" si="1269"/>
        <v>2.2400000000000002</v>
      </c>
      <c r="CH155" s="23">
        <f t="shared" si="1218"/>
        <v>1.9</v>
      </c>
      <c r="CJ155" s="23">
        <f>+'QTR Raw'!BD92</f>
        <v>2.0699999999999998</v>
      </c>
      <c r="CK155" s="24"/>
      <c r="CL155" s="23">
        <f>+'QTR Raw'!BF92</f>
        <v>3.84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3.84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0</v>
      </c>
      <c r="D156" s="22">
        <f t="shared" si="1270"/>
        <v>0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0</v>
      </c>
      <c r="I156" s="22">
        <f t="shared" si="1270"/>
        <v>0</v>
      </c>
      <c r="J156" s="22">
        <f t="shared" si="1270"/>
        <v>0</v>
      </c>
      <c r="K156" s="22">
        <f t="shared" si="1270"/>
        <v>0</v>
      </c>
      <c r="L156" s="22">
        <f t="shared" si="1270"/>
        <v>0</v>
      </c>
      <c r="M156" s="22">
        <f t="shared" si="1270"/>
        <v>0</v>
      </c>
      <c r="N156" s="22">
        <f t="shared" si="1270"/>
        <v>0</v>
      </c>
      <c r="O156" s="22">
        <f t="shared" si="1270"/>
        <v>0</v>
      </c>
      <c r="P156" s="22">
        <f t="shared" si="1270"/>
        <v>0</v>
      </c>
      <c r="Q156" s="22">
        <f t="shared" si="1270"/>
        <v>0</v>
      </c>
      <c r="R156" s="22">
        <f t="shared" si="1270"/>
        <v>0</v>
      </c>
      <c r="S156" s="22">
        <f t="shared" si="1270"/>
        <v>0</v>
      </c>
      <c r="T156" s="22">
        <f t="shared" si="1270"/>
        <v>0</v>
      </c>
      <c r="U156" s="22">
        <f t="shared" si="1270"/>
        <v>0</v>
      </c>
      <c r="V156" s="22">
        <f t="shared" si="1270"/>
        <v>1E-3</v>
      </c>
      <c r="W156" s="22">
        <f t="shared" ref="W156" si="1271">SUM(W149:W155)</f>
        <v>2.1800000000000001E-3</v>
      </c>
      <c r="X156" s="22">
        <f t="shared" ref="X156:Y156" si="1272">SUM(X149:X155)</f>
        <v>0</v>
      </c>
      <c r="Y156" s="22">
        <f t="shared" si="1272"/>
        <v>46.94</v>
      </c>
      <c r="Z156" s="22">
        <f t="shared" ref="Z156:AA156" si="1273">SUM(Z149:Z155)</f>
        <v>70.450000000000017</v>
      </c>
      <c r="AA156" s="22">
        <f t="shared" ref="AA156" si="1274">SUM(AA149:AA155)</f>
        <v>94.18</v>
      </c>
      <c r="AB156" s="21">
        <f t="shared" ref="AB156:AD156" si="1275">SUM(AB149:AB155)</f>
        <v>112.65085499369243</v>
      </c>
      <c r="AC156" s="21">
        <f t="shared" si="1275"/>
        <v>134.69034111926914</v>
      </c>
      <c r="AD156" s="21">
        <f t="shared" si="1275"/>
        <v>160.98605435623313</v>
      </c>
      <c r="AE156" s="21">
        <f t="shared" ref="AE156" si="1276">SUM(AE149:AE155)</f>
        <v>192.43048938211513</v>
      </c>
      <c r="AJ156" s="22">
        <f t="shared" ref="AJ156" si="1277">SUM(AJ149:AJ155)</f>
        <v>0</v>
      </c>
      <c r="AK156" s="22" t="e">
        <f t="shared" ref="AK156" si="1278">SUM(AK149:AK155)</f>
        <v>#DIV/0!</v>
      </c>
      <c r="AL156" s="22">
        <f t="shared" ref="AL156:AM156" si="1279">SUM(AL149:AL155)</f>
        <v>0</v>
      </c>
      <c r="AM156" s="22" t="e">
        <f t="shared" si="1279"/>
        <v>#DIV/0!</v>
      </c>
      <c r="AN156" s="22">
        <f t="shared" ref="AN156:AO156" si="1280">SUM(AN149:AN155)</f>
        <v>0</v>
      </c>
      <c r="AO156" s="22" t="e">
        <f t="shared" si="1280"/>
        <v>#DIV/0!</v>
      </c>
      <c r="AP156" s="22">
        <f t="shared" ref="AP156:CE156" si="1281">SUM(AP149:AP155)</f>
        <v>0</v>
      </c>
      <c r="AQ156" s="22" t="e">
        <f t="shared" si="1281"/>
        <v>#DIV/0!</v>
      </c>
      <c r="AR156" s="22">
        <f t="shared" si="1281"/>
        <v>0</v>
      </c>
      <c r="AS156" s="22" t="e">
        <f t="shared" si="1281"/>
        <v>#DIV/0!</v>
      </c>
      <c r="AT156" s="22">
        <f t="shared" si="1281"/>
        <v>0</v>
      </c>
      <c r="AU156" s="22" t="e">
        <f t="shared" si="1281"/>
        <v>#DIV/0!</v>
      </c>
      <c r="AV156" s="22">
        <f t="shared" si="1281"/>
        <v>0</v>
      </c>
      <c r="AW156" s="22" t="e">
        <f t="shared" si="1281"/>
        <v>#DIV/0!</v>
      </c>
      <c r="AX156" s="22">
        <f t="shared" si="1281"/>
        <v>0</v>
      </c>
      <c r="AY156" s="22" t="e">
        <f t="shared" si="1281"/>
        <v>#DIV/0!</v>
      </c>
      <c r="AZ156" s="22">
        <f t="shared" si="1281"/>
        <v>0</v>
      </c>
      <c r="BA156" s="22" t="e">
        <f t="shared" si="1281"/>
        <v>#DIV/0!</v>
      </c>
      <c r="BB156" s="22">
        <f t="shared" si="1281"/>
        <v>0</v>
      </c>
      <c r="BC156" s="22" t="e">
        <f t="shared" si="1281"/>
        <v>#DIV/0!</v>
      </c>
      <c r="BD156" s="22">
        <f t="shared" si="1281"/>
        <v>0</v>
      </c>
      <c r="BE156" s="22" t="e">
        <f t="shared" si="1281"/>
        <v>#DIV/0!</v>
      </c>
      <c r="BF156" s="22">
        <f t="shared" si="1281"/>
        <v>0</v>
      </c>
      <c r="BG156" s="22" t="e">
        <f t="shared" si="1281"/>
        <v>#DIV/0!</v>
      </c>
      <c r="BH156" s="22">
        <f t="shared" ref="BH156" si="1282">SUM(BH149:BH155)</f>
        <v>0</v>
      </c>
      <c r="BI156" s="22" t="e">
        <f t="shared" si="1281"/>
        <v>#DIV/0!</v>
      </c>
      <c r="BJ156" s="22">
        <f t="shared" si="1281"/>
        <v>0</v>
      </c>
      <c r="BK156" s="22" t="e">
        <f t="shared" si="1281"/>
        <v>#DIV/0!</v>
      </c>
      <c r="BL156" s="22">
        <f t="shared" si="1281"/>
        <v>0</v>
      </c>
      <c r="BM156" s="22" t="e">
        <f t="shared" si="1281"/>
        <v>#DIV/0!</v>
      </c>
      <c r="BN156" s="22">
        <f t="shared" si="1281"/>
        <v>0</v>
      </c>
      <c r="BO156" s="22" t="e">
        <f t="shared" si="1281"/>
        <v>#DIV/0!</v>
      </c>
      <c r="BP156" s="22">
        <f t="shared" si="1281"/>
        <v>0</v>
      </c>
      <c r="BQ156" s="22" t="e">
        <f t="shared" si="1281"/>
        <v>#DIV/0!</v>
      </c>
      <c r="BR156" s="22">
        <f t="shared" si="1281"/>
        <v>0</v>
      </c>
      <c r="BS156" s="22" t="e">
        <f t="shared" si="1281"/>
        <v>#DIV/0!</v>
      </c>
      <c r="BT156" s="22">
        <f t="shared" si="1281"/>
        <v>0</v>
      </c>
      <c r="BU156" s="22" t="e">
        <f t="shared" si="1281"/>
        <v>#DIV/0!</v>
      </c>
      <c r="BV156" s="22">
        <f t="shared" si="1281"/>
        <v>0</v>
      </c>
      <c r="BW156" s="22" t="e">
        <f t="shared" si="1281"/>
        <v>#DIV/0!</v>
      </c>
      <c r="BX156" s="22">
        <f t="shared" si="1281"/>
        <v>0</v>
      </c>
      <c r="BY156" s="22" t="e">
        <f t="shared" si="1281"/>
        <v>#DIV/0!</v>
      </c>
      <c r="BZ156" s="22">
        <f t="shared" si="1281"/>
        <v>0</v>
      </c>
      <c r="CA156" s="22" t="e">
        <f t="shared" si="1281"/>
        <v>#DIV/0!</v>
      </c>
      <c r="CB156" s="22">
        <f t="shared" si="1281"/>
        <v>56.920000000000009</v>
      </c>
      <c r="CC156" s="22">
        <f t="shared" si="1281"/>
        <v>54.449321232165524</v>
      </c>
      <c r="CD156" s="22">
        <f t="shared" si="1281"/>
        <v>46.77</v>
      </c>
      <c r="CE156" s="22">
        <f t="shared" si="1281"/>
        <v>46.92880971518435</v>
      </c>
      <c r="CF156" s="22">
        <f t="shared" ref="CF156:CG156" si="1283">SUM(CF149:CF155)</f>
        <v>83.589999999999989</v>
      </c>
      <c r="CG156" s="22">
        <f t="shared" si="1283"/>
        <v>79.170959227890478</v>
      </c>
      <c r="CH156" s="22">
        <f t="shared" ref="CH156:CI156" si="1284">SUM(CH149:CH155)</f>
        <v>70.450000000000017</v>
      </c>
      <c r="CI156" s="22">
        <f t="shared" si="1284"/>
        <v>66.510304643700877</v>
      </c>
      <c r="CJ156" s="22">
        <f t="shared" ref="CJ156:DB156" si="1285">SUM(CJ149:CJ155)</f>
        <v>54.29</v>
      </c>
      <c r="CK156" s="21">
        <f t="shared" si="1285"/>
        <v>56.069473435096441</v>
      </c>
      <c r="CL156" s="22">
        <f t="shared" ref="CL156" si="1286">SUM(CL149:CL155)</f>
        <v>93.57</v>
      </c>
      <c r="CM156" s="21">
        <f t="shared" si="1285"/>
        <v>78.306257086468264</v>
      </c>
      <c r="CN156" s="21">
        <f t="shared" si="1285"/>
        <v>103.36029238447303</v>
      </c>
      <c r="CO156" s="21">
        <f t="shared" si="1285"/>
        <v>108.5162429066235</v>
      </c>
      <c r="CP156" s="21">
        <f t="shared" si="1285"/>
        <v>112.65085499369243</v>
      </c>
      <c r="CQ156" s="21">
        <f t="shared" si="1285"/>
        <v>92.738954972199508</v>
      </c>
      <c r="CR156" s="21">
        <f t="shared" si="1285"/>
        <v>123.63991950536361</v>
      </c>
      <c r="CS156" s="21">
        <f t="shared" si="1285"/>
        <v>130.01786395458507</v>
      </c>
      <c r="CT156" s="21">
        <f t="shared" si="1285"/>
        <v>134.69034111926914</v>
      </c>
      <c r="CU156" s="21">
        <f t="shared" si="1285"/>
        <v>110.69090606471441</v>
      </c>
      <c r="CV156" s="21">
        <f t="shared" si="1285"/>
        <v>147.85988274607644</v>
      </c>
      <c r="CW156" s="21">
        <f t="shared" si="1285"/>
        <v>155.47706397412662</v>
      </c>
      <c r="CX156" s="21">
        <f t="shared" si="1285"/>
        <v>160.98605435623313</v>
      </c>
      <c r="CY156" s="21">
        <f t="shared" si="1285"/>
        <v>132.28975083766724</v>
      </c>
      <c r="CZ156" s="21">
        <f t="shared" si="1285"/>
        <v>176.76880533957208</v>
      </c>
      <c r="DA156" s="21">
        <f t="shared" si="1285"/>
        <v>185.86067064483296</v>
      </c>
      <c r="DB156" s="21">
        <f t="shared" si="1285"/>
        <v>192.43048938211513</v>
      </c>
      <c r="DE156" s="126"/>
      <c r="DF156" s="22">
        <v>93.57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0</v>
      </c>
      <c r="K157" s="22">
        <f t="shared" si="1287"/>
        <v>0</v>
      </c>
      <c r="L157" s="22">
        <f t="shared" si="1287"/>
        <v>0</v>
      </c>
      <c r="M157" s="22">
        <f t="shared" si="1287"/>
        <v>0</v>
      </c>
      <c r="N157" s="22">
        <f t="shared" si="1287"/>
        <v>0</v>
      </c>
      <c r="O157" s="22">
        <f t="shared" si="1287"/>
        <v>0</v>
      </c>
      <c r="P157" s="22">
        <f t="shared" si="1287"/>
        <v>0</v>
      </c>
      <c r="Q157" s="22">
        <f t="shared" si="1287"/>
        <v>0</v>
      </c>
      <c r="R157" s="22">
        <f t="shared" si="1287"/>
        <v>0</v>
      </c>
      <c r="S157" s="22">
        <f t="shared" si="1287"/>
        <v>0</v>
      </c>
      <c r="T157" s="22">
        <f t="shared" si="1287"/>
        <v>0</v>
      </c>
      <c r="U157" s="22">
        <f t="shared" si="1287"/>
        <v>0</v>
      </c>
      <c r="V157" s="22">
        <f t="shared" si="1287"/>
        <v>-1E-3</v>
      </c>
      <c r="W157" s="22">
        <f t="shared" ref="W157" si="1288">W148-W156</f>
        <v>-2.1800000000000001E-3</v>
      </c>
      <c r="X157" s="22">
        <f t="shared" ref="X157:Y157" si="1289">X148-X156</f>
        <v>0</v>
      </c>
      <c r="Y157" s="22">
        <f t="shared" si="1289"/>
        <v>502.26000000000005</v>
      </c>
      <c r="Z157" s="22">
        <f t="shared" ref="Z157:AA157" si="1290">Z148-Z156</f>
        <v>446.57999999999993</v>
      </c>
      <c r="AA157" s="22">
        <f t="shared" ref="AA157" si="1291">AA148-AA156</f>
        <v>565.6099999999999</v>
      </c>
      <c r="AB157" s="21">
        <f t="shared" ref="AB157:AD157" si="1292">AB148-AB156</f>
        <v>681.6839490705197</v>
      </c>
      <c r="AC157" s="21">
        <f t="shared" si="1292"/>
        <v>815.05145825106933</v>
      </c>
      <c r="AD157" s="21">
        <f t="shared" si="1292"/>
        <v>974.17466813707756</v>
      </c>
      <c r="AE157" s="21">
        <f t="shared" ref="AE157" si="1293">AE148-AE156</f>
        <v>1164.4543304257911</v>
      </c>
      <c r="AJ157" s="22">
        <f t="shared" ref="AJ157" si="1294">AJ148-AJ156</f>
        <v>0</v>
      </c>
      <c r="AK157" s="22" t="e">
        <f t="shared" ref="AK157" si="1295">AK148-AK156</f>
        <v>#DIV/0!</v>
      </c>
      <c r="AL157" s="22">
        <f t="shared" ref="AL157:AM157" si="1296">AL148-AL156</f>
        <v>0</v>
      </c>
      <c r="AM157" s="22" t="e">
        <f t="shared" si="1296"/>
        <v>#DIV/0!</v>
      </c>
      <c r="AN157" s="22">
        <f t="shared" ref="AN157:AO157" si="1297">AN148-AN156</f>
        <v>0</v>
      </c>
      <c r="AO157" s="22" t="e">
        <f t="shared" si="1297"/>
        <v>#DIV/0!</v>
      </c>
      <c r="AP157" s="22">
        <f t="shared" ref="AP157:CE157" si="1298">AP148-AP156</f>
        <v>0</v>
      </c>
      <c r="AQ157" s="22" t="e">
        <f t="shared" si="1298"/>
        <v>#DIV/0!</v>
      </c>
      <c r="AR157" s="22">
        <f t="shared" si="1298"/>
        <v>0</v>
      </c>
      <c r="AS157" s="22" t="e">
        <f t="shared" si="1298"/>
        <v>#DIV/0!</v>
      </c>
      <c r="AT157" s="22">
        <f t="shared" si="1298"/>
        <v>0</v>
      </c>
      <c r="AU157" s="22" t="e">
        <f t="shared" si="1298"/>
        <v>#DIV/0!</v>
      </c>
      <c r="AV157" s="22">
        <f t="shared" si="1298"/>
        <v>0</v>
      </c>
      <c r="AW157" s="22" t="e">
        <f t="shared" si="1298"/>
        <v>#DIV/0!</v>
      </c>
      <c r="AX157" s="22">
        <f t="shared" si="1298"/>
        <v>0</v>
      </c>
      <c r="AY157" s="22" t="e">
        <f t="shared" si="1298"/>
        <v>#DIV/0!</v>
      </c>
      <c r="AZ157" s="22">
        <f t="shared" si="1298"/>
        <v>0</v>
      </c>
      <c r="BA157" s="22" t="e">
        <f t="shared" si="1298"/>
        <v>#DIV/0!</v>
      </c>
      <c r="BB157" s="22">
        <f t="shared" si="1298"/>
        <v>0</v>
      </c>
      <c r="BC157" s="22" t="e">
        <f t="shared" si="1298"/>
        <v>#DIV/0!</v>
      </c>
      <c r="BD157" s="22">
        <f t="shared" si="1298"/>
        <v>0</v>
      </c>
      <c r="BE157" s="22" t="e">
        <f t="shared" si="1298"/>
        <v>#DIV/0!</v>
      </c>
      <c r="BF157" s="22">
        <f t="shared" si="1298"/>
        <v>0</v>
      </c>
      <c r="BG157" s="22" t="e">
        <f t="shared" si="1298"/>
        <v>#DIV/0!</v>
      </c>
      <c r="BH157" s="22">
        <f t="shared" ref="BH157" si="1299">BH148-BH156</f>
        <v>0</v>
      </c>
      <c r="BI157" s="22" t="e">
        <f t="shared" si="1298"/>
        <v>#DIV/0!</v>
      </c>
      <c r="BJ157" s="22">
        <f t="shared" si="1298"/>
        <v>0</v>
      </c>
      <c r="BK157" s="22" t="e">
        <f t="shared" si="1298"/>
        <v>#DIV/0!</v>
      </c>
      <c r="BL157" s="22">
        <f t="shared" si="1298"/>
        <v>0</v>
      </c>
      <c r="BM157" s="22" t="e">
        <f t="shared" si="1298"/>
        <v>#DIV/0!</v>
      </c>
      <c r="BN157" s="22">
        <f t="shared" si="1298"/>
        <v>0</v>
      </c>
      <c r="BO157" s="22" t="e">
        <f t="shared" si="1298"/>
        <v>#DIV/0!</v>
      </c>
      <c r="BP157" s="22">
        <f t="shared" si="1298"/>
        <v>0</v>
      </c>
      <c r="BQ157" s="22" t="e">
        <f t="shared" si="1298"/>
        <v>#DIV/0!</v>
      </c>
      <c r="BR157" s="22">
        <f t="shared" si="1298"/>
        <v>0</v>
      </c>
      <c r="BS157" s="22" t="e">
        <f t="shared" si="1298"/>
        <v>#DIV/0!</v>
      </c>
      <c r="BT157" s="22">
        <f t="shared" si="1298"/>
        <v>0</v>
      </c>
      <c r="BU157" s="22" t="e">
        <f t="shared" si="1298"/>
        <v>#DIV/0!</v>
      </c>
      <c r="BV157" s="22">
        <f t="shared" si="1298"/>
        <v>0</v>
      </c>
      <c r="BW157" s="22" t="e">
        <f t="shared" si="1298"/>
        <v>#DIV/0!</v>
      </c>
      <c r="BX157" s="22">
        <f t="shared" si="1298"/>
        <v>0</v>
      </c>
      <c r="BY157" s="22" t="e">
        <f t="shared" si="1298"/>
        <v>#DIV/0!</v>
      </c>
      <c r="BZ157" s="22">
        <f t="shared" si="1298"/>
        <v>0</v>
      </c>
      <c r="CA157" s="22" t="e">
        <f t="shared" si="1298"/>
        <v>#DIV/0!</v>
      </c>
      <c r="CB157" s="22">
        <f t="shared" si="1298"/>
        <v>430.23999999999995</v>
      </c>
      <c r="CC157" s="22">
        <f t="shared" si="1298"/>
        <v>410.06609391224094</v>
      </c>
      <c r="CD157" s="22">
        <f t="shared" si="1298"/>
        <v>502.42999999999995</v>
      </c>
      <c r="CE157" s="22">
        <f t="shared" si="1298"/>
        <v>505.16030788048226</v>
      </c>
      <c r="CF157" s="22">
        <f t="shared" ref="CF157:CG157" si="1300">CF148-CF156</f>
        <v>383.34000000000003</v>
      </c>
      <c r="CG157" s="22">
        <f t="shared" si="1300"/>
        <v>363.95766594445541</v>
      </c>
      <c r="CH157" s="22">
        <f t="shared" ref="CH157:CI157" si="1301">CH148-CH156</f>
        <v>446.57999999999993</v>
      </c>
      <c r="CI157" s="22">
        <f t="shared" si="1301"/>
        <v>421.60641373717419</v>
      </c>
      <c r="CJ157" s="22">
        <f t="shared" ref="CJ157:DB157" si="1302">CJ148-CJ156</f>
        <v>450.99</v>
      </c>
      <c r="CK157" s="21">
        <f t="shared" si="1302"/>
        <v>465.77218317358887</v>
      </c>
      <c r="CL157" s="22">
        <f t="shared" ref="CL157" si="1303">CL148-CL156</f>
        <v>566.22</v>
      </c>
      <c r="CM157" s="21">
        <f t="shared" si="1302"/>
        <v>473.85453550817658</v>
      </c>
      <c r="CN157" s="21">
        <f t="shared" si="1302"/>
        <v>625.46398155323641</v>
      </c>
      <c r="CO157" s="21">
        <f t="shared" si="1302"/>
        <v>656.66417717845854</v>
      </c>
      <c r="CP157" s="21">
        <f t="shared" si="1302"/>
        <v>681.6839490705197</v>
      </c>
      <c r="CQ157" s="21">
        <f t="shared" si="1302"/>
        <v>561.19109847556706</v>
      </c>
      <c r="CR157" s="21">
        <f t="shared" si="1302"/>
        <v>748.18205859064858</v>
      </c>
      <c r="CS157" s="21">
        <f t="shared" si="1302"/>
        <v>786.77690422534101</v>
      </c>
      <c r="CT157" s="21">
        <f t="shared" si="1302"/>
        <v>815.05145825106933</v>
      </c>
      <c r="CU157" s="21">
        <f t="shared" si="1302"/>
        <v>669.82371307002893</v>
      </c>
      <c r="CV157" s="21">
        <f t="shared" si="1302"/>
        <v>894.74428565227549</v>
      </c>
      <c r="CW157" s="21">
        <f t="shared" si="1302"/>
        <v>940.83812293929645</v>
      </c>
      <c r="CX157" s="21">
        <f t="shared" si="1302"/>
        <v>974.17466813707756</v>
      </c>
      <c r="CY157" s="21">
        <f t="shared" si="1302"/>
        <v>800.52476989744537</v>
      </c>
      <c r="CZ157" s="21">
        <f t="shared" si="1302"/>
        <v>1069.6808053796358</v>
      </c>
      <c r="DA157" s="21">
        <f t="shared" si="1302"/>
        <v>1124.6983962008906</v>
      </c>
      <c r="DB157" s="21">
        <f t="shared" si="1302"/>
        <v>1164.4543304257911</v>
      </c>
      <c r="DE157" s="126"/>
      <c r="DF157" s="22">
        <v>566.22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12.94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47.66</v>
      </c>
      <c r="CD159" s="23">
        <f>+'QTR Raw'!AX80</f>
        <v>0</v>
      </c>
      <c r="CF159" s="23">
        <f>+'QTR Raw'!AZ80</f>
        <v>92.54</v>
      </c>
      <c r="CH159" s="23">
        <f t="shared" ref="CH159:CH160" si="1308">Z159</f>
        <v>0</v>
      </c>
      <c r="CJ159" s="23">
        <f>+'QTR Raw'!BD80</f>
        <v>1.25</v>
      </c>
      <c r="CK159" s="24"/>
      <c r="CL159" s="23">
        <f>+'QTR Raw'!BF80</f>
        <v>12.94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12.94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0</v>
      </c>
      <c r="V160" s="23">
        <f>'Annual Raw'!W78</f>
        <v>5.1849000000000001E-3</v>
      </c>
      <c r="W160" s="23">
        <f>'Annual Raw'!X78</f>
        <v>5.1849000000000001E-3</v>
      </c>
      <c r="X160" s="23">
        <f>'Annual Raw'!Y78</f>
        <v>0</v>
      </c>
      <c r="Y160" s="23">
        <f>'Annual Raw'!Z78</f>
        <v>11.96</v>
      </c>
      <c r="Z160" s="23">
        <f>'Annual Raw'!AA78</f>
        <v>5.0599999999999996</v>
      </c>
      <c r="AA160" s="23">
        <f>'Annual Raw'!AB78</f>
        <v>4.5</v>
      </c>
      <c r="AB160" s="24">
        <f t="shared" si="1304"/>
        <v>30.736406407997407</v>
      </c>
      <c r="AC160" s="24">
        <f t="shared" si="1305"/>
        <v>40.462819773415774</v>
      </c>
      <c r="AD160" s="24">
        <f t="shared" si="1306"/>
        <v>46.229235882844947</v>
      </c>
      <c r="AE160" s="24">
        <f t="shared" si="1307"/>
        <v>49.612496076663817</v>
      </c>
      <c r="AJ160" s="23">
        <f>+'QTR Raw'!D83</f>
        <v>0</v>
      </c>
      <c r="AK160" s="23" t="e">
        <f t="shared" ref="AK160:AM160" si="1309">+AK210</f>
        <v>#DIV/0!</v>
      </c>
      <c r="AL160" s="23">
        <f>+'QTR Raw'!F83</f>
        <v>0</v>
      </c>
      <c r="AM160" s="23" t="e">
        <f t="shared" si="1309"/>
        <v>#DIV/0!</v>
      </c>
      <c r="AN160" s="23">
        <f>+'QTR Raw'!H83</f>
        <v>0</v>
      </c>
      <c r="AO160" s="23" t="e">
        <f t="shared" ref="AO160" si="1310">+AO210</f>
        <v>#DIV/0!</v>
      </c>
      <c r="AP160" s="23">
        <f>+'QTR Raw'!J83</f>
        <v>0</v>
      </c>
      <c r="AQ160" s="23" t="e">
        <f t="shared" ref="AQ160" si="1311">+AQ210</f>
        <v>#DIV/0!</v>
      </c>
      <c r="AR160" s="23">
        <f>+'QTR Raw'!L83</f>
        <v>0</v>
      </c>
      <c r="AS160" s="23" t="e">
        <f t="shared" ref="AS160" si="1312">+AS210</f>
        <v>#DIV/0!</v>
      </c>
      <c r="AT160" s="23">
        <f>+'QTR Raw'!N83</f>
        <v>0</v>
      </c>
      <c r="AU160" s="23" t="e">
        <f t="shared" ref="AU160" si="1313">+AU210</f>
        <v>#DIV/0!</v>
      </c>
      <c r="AV160" s="23">
        <f>+'QTR Raw'!P83</f>
        <v>0</v>
      </c>
      <c r="AW160" s="23" t="e">
        <f t="shared" ref="AW160" si="1314">+AW210</f>
        <v>#DIV/0!</v>
      </c>
      <c r="AX160" s="23">
        <f>+'QTR Raw'!R83</f>
        <v>0</v>
      </c>
      <c r="AY160" s="23" t="e">
        <f t="shared" ref="AY160" si="1315">+AY210</f>
        <v>#DIV/0!</v>
      </c>
      <c r="AZ160" s="23">
        <f>+'QTR Raw'!T83</f>
        <v>0</v>
      </c>
      <c r="BA160" s="23" t="e">
        <f t="shared" ref="BA160" si="1316">+BA210</f>
        <v>#DIV/0!</v>
      </c>
      <c r="BB160" s="23">
        <f>+'QTR Raw'!V83</f>
        <v>0</v>
      </c>
      <c r="BC160" s="23" t="e">
        <f t="shared" ref="BC160" si="1317">+BC210</f>
        <v>#DIV/0!</v>
      </c>
      <c r="BD160" s="23">
        <f>+'QTR Raw'!X83</f>
        <v>0</v>
      </c>
      <c r="BE160" s="23" t="e">
        <f t="shared" ref="BE160" si="1318">+BE210</f>
        <v>#DIV/0!</v>
      </c>
      <c r="BF160" s="23">
        <f>+'QTR Raw'!Z83</f>
        <v>0</v>
      </c>
      <c r="BG160" s="23" t="e">
        <f t="shared" ref="BG160" si="1319">+BG210</f>
        <v>#DIV/0!</v>
      </c>
      <c r="BH160" s="23">
        <f>+'QTR Raw'!AB83</f>
        <v>0</v>
      </c>
      <c r="BI160" s="23" t="e">
        <f t="shared" ref="BI160" si="1320">+BI210</f>
        <v>#DIV/0!</v>
      </c>
      <c r="BJ160" s="23">
        <f>+'QTR Raw'!AD83</f>
        <v>0</v>
      </c>
      <c r="BK160" s="23" t="e">
        <f t="shared" ref="BK160" si="1321">+BK210</f>
        <v>#DIV/0!</v>
      </c>
      <c r="BL160" s="23">
        <f>+'QTR Raw'!AF83</f>
        <v>0</v>
      </c>
      <c r="BM160" s="23" t="e">
        <f t="shared" ref="BM160" si="1322">+BM210</f>
        <v>#DIV/0!</v>
      </c>
      <c r="BN160" s="23">
        <f>+'QTR Raw'!AH83</f>
        <v>0</v>
      </c>
      <c r="BO160" s="23" t="e">
        <f t="shared" ref="BO160" si="1323">+BO210</f>
        <v>#DIV/0!</v>
      </c>
      <c r="BP160" s="23">
        <f>+'QTR Raw'!AJ83</f>
        <v>0</v>
      </c>
      <c r="BQ160" s="23" t="e">
        <f t="shared" ref="BQ160" si="1324">+BQ210</f>
        <v>#DIV/0!</v>
      </c>
      <c r="BR160" s="23">
        <f>+'QTR Raw'!AL83</f>
        <v>0</v>
      </c>
      <c r="BS160" s="23" t="e">
        <f t="shared" ref="BS160" si="1325">+BS210</f>
        <v>#DIV/0!</v>
      </c>
      <c r="BT160" s="23">
        <f>+'QTR Raw'!AN83</f>
        <v>0</v>
      </c>
      <c r="BU160" s="23" t="e">
        <f t="shared" ref="BU160" si="1326">+BU210</f>
        <v>#DIV/0!</v>
      </c>
      <c r="BV160" s="23">
        <f>+'QTR Raw'!AP83</f>
        <v>0</v>
      </c>
      <c r="BW160" s="23" t="e">
        <f t="shared" ref="BW160" si="1327">+BW210</f>
        <v>#DIV/0!</v>
      </c>
      <c r="BX160" s="23">
        <f>+'QTR Raw'!AR83</f>
        <v>0</v>
      </c>
      <c r="BY160" s="23" t="e">
        <f t="shared" ref="BY160" si="1328">+BY210</f>
        <v>#DIV/0!</v>
      </c>
      <c r="BZ160" s="23">
        <f>+'QTR Raw'!AT83</f>
        <v>0</v>
      </c>
      <c r="CA160" s="23" t="e">
        <f t="shared" ref="CA160" si="1329">+CA210</f>
        <v>#DIV/0!</v>
      </c>
      <c r="CB160" s="23">
        <f>+'QTR Raw'!AV83</f>
        <v>4.13</v>
      </c>
      <c r="CC160" s="23">
        <f t="shared" ref="CC160" si="1330">+CC210</f>
        <v>76.45390608775908</v>
      </c>
      <c r="CD160" s="23">
        <f>+'QTR Raw'!AX83</f>
        <v>11.96</v>
      </c>
      <c r="CE160" s="23">
        <f t="shared" ref="CE160" si="1331">+CE210</f>
        <v>21.029692119517712</v>
      </c>
      <c r="CF160" s="23">
        <f>+'QTR Raw'!AZ83</f>
        <v>13.76</v>
      </c>
      <c r="CG160" s="23">
        <f t="shared" ref="CG160:CI160" si="1332">+CG210</f>
        <v>135.05233405554466</v>
      </c>
      <c r="CH160" s="23">
        <f t="shared" si="1308"/>
        <v>5.0599999999999996</v>
      </c>
      <c r="CI160" s="23">
        <f t="shared" si="1332"/>
        <v>56.53358626282575</v>
      </c>
      <c r="CJ160" s="23">
        <f>+'QTR Raw'!BD83</f>
        <v>6.29</v>
      </c>
      <c r="CK160" s="24">
        <f t="shared" ref="CK160:DB160" si="1333">+CK210</f>
        <v>5.937816826411269</v>
      </c>
      <c r="CL160" s="23">
        <f>+'QTR Raw'!BF83</f>
        <v>4.5</v>
      </c>
      <c r="CM160" s="24">
        <f t="shared" si="1333"/>
        <v>138.75188675658811</v>
      </c>
      <c r="CN160" s="24">
        <f t="shared" si="1333"/>
        <v>6.9793259857844561</v>
      </c>
      <c r="CO160" s="24">
        <f t="shared" si="1333"/>
        <v>15.078653516255002</v>
      </c>
      <c r="CP160" s="24">
        <f t="shared" si="1333"/>
        <v>30.736406407997407</v>
      </c>
      <c r="CQ160" s="24">
        <f t="shared" si="1333"/>
        <v>182.81526199769493</v>
      </c>
      <c r="CR160" s="24">
        <f t="shared" si="1333"/>
        <v>16.150731235178796</v>
      </c>
      <c r="CS160" s="24">
        <f t="shared" si="1333"/>
        <v>22.796609538572653</v>
      </c>
      <c r="CT160" s="24">
        <f t="shared" si="1333"/>
        <v>40.462819773415774</v>
      </c>
      <c r="CU160" s="24">
        <f t="shared" si="1333"/>
        <v>221.58068924086677</v>
      </c>
      <c r="CV160" s="24">
        <f t="shared" si="1333"/>
        <v>19.295976715832211</v>
      </c>
      <c r="CW160" s="24">
        <f t="shared" si="1333"/>
        <v>25.978296034568629</v>
      </c>
      <c r="CX160" s="24">
        <f t="shared" si="1333"/>
        <v>46.229235882844947</v>
      </c>
      <c r="CY160" s="24">
        <f t="shared" si="1333"/>
        <v>261.72631878599481</v>
      </c>
      <c r="CZ160" s="24">
        <f t="shared" si="1333"/>
        <v>18.720573188688775</v>
      </c>
      <c r="DA160" s="24">
        <f t="shared" si="1333"/>
        <v>26.013643595504774</v>
      </c>
      <c r="DB160" s="24">
        <f t="shared" si="1333"/>
        <v>49.612496076663817</v>
      </c>
      <c r="DE160" s="123"/>
      <c r="DF160" s="23">
        <v>4.5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0</v>
      </c>
      <c r="D161" s="22">
        <f t="shared" si="1334"/>
        <v>0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0</v>
      </c>
      <c r="I161" s="22">
        <f t="shared" si="1334"/>
        <v>0</v>
      </c>
      <c r="J161" s="22">
        <f t="shared" si="1334"/>
        <v>0</v>
      </c>
      <c r="K161" s="22">
        <f t="shared" si="1334"/>
        <v>0</v>
      </c>
      <c r="L161" s="22">
        <f t="shared" si="1334"/>
        <v>0</v>
      </c>
      <c r="M161" s="22">
        <f t="shared" si="1334"/>
        <v>0</v>
      </c>
      <c r="N161" s="22">
        <f t="shared" si="1334"/>
        <v>0</v>
      </c>
      <c r="O161" s="22">
        <f t="shared" si="1334"/>
        <v>0</v>
      </c>
      <c r="P161" s="22">
        <f t="shared" si="1334"/>
        <v>0</v>
      </c>
      <c r="Q161" s="22">
        <f t="shared" si="1334"/>
        <v>0</v>
      </c>
      <c r="R161" s="22">
        <f t="shared" si="1334"/>
        <v>0</v>
      </c>
      <c r="S161" s="22">
        <f t="shared" si="1334"/>
        <v>0</v>
      </c>
      <c r="T161" s="22">
        <f t="shared" si="1334"/>
        <v>0</v>
      </c>
      <c r="U161" s="22">
        <f t="shared" si="1334"/>
        <v>0</v>
      </c>
      <c r="V161" s="22">
        <f t="shared" si="1334"/>
        <v>5.1849000000000001E-3</v>
      </c>
      <c r="W161" s="22">
        <f t="shared" ref="W161" si="1335">W159+W160</f>
        <v>5.1849000000000001E-3</v>
      </c>
      <c r="X161" s="22">
        <f t="shared" ref="X161:Y161" si="1336">X159+X160</f>
        <v>0</v>
      </c>
      <c r="Y161" s="22">
        <f t="shared" si="1336"/>
        <v>11.96</v>
      </c>
      <c r="Z161" s="22">
        <f t="shared" ref="Z161:AA161" si="1337">Z159+Z160</f>
        <v>5.0599999999999996</v>
      </c>
      <c r="AA161" s="22">
        <f t="shared" ref="AA161" si="1338">AA159+AA160</f>
        <v>17.439999999999998</v>
      </c>
      <c r="AB161" s="21">
        <f t="shared" ref="AB161:AD161" si="1339">AB159+AB160</f>
        <v>30.736406407997407</v>
      </c>
      <c r="AC161" s="21">
        <f t="shared" si="1339"/>
        <v>40.462819773415774</v>
      </c>
      <c r="AD161" s="21">
        <f t="shared" si="1339"/>
        <v>46.229235882844947</v>
      </c>
      <c r="AE161" s="21">
        <f t="shared" ref="AE161" si="1340">AE159+AE160</f>
        <v>49.612496076663817</v>
      </c>
      <c r="AJ161" s="22">
        <f t="shared" ref="AJ161" si="1341">AJ159+AJ160</f>
        <v>0</v>
      </c>
      <c r="AK161" s="22" t="e">
        <f t="shared" ref="AK161" si="1342">AK159+AK160</f>
        <v>#DIV/0!</v>
      </c>
      <c r="AL161" s="22">
        <f t="shared" ref="AL161:AM161" si="1343">AL159+AL160</f>
        <v>0</v>
      </c>
      <c r="AM161" s="22" t="e">
        <f t="shared" si="1343"/>
        <v>#DIV/0!</v>
      </c>
      <c r="AN161" s="22">
        <f t="shared" ref="AN161:AO161" si="1344">AN159+AN160</f>
        <v>0</v>
      </c>
      <c r="AO161" s="22" t="e">
        <f t="shared" si="1344"/>
        <v>#DIV/0!</v>
      </c>
      <c r="AP161" s="22">
        <f t="shared" ref="AP161:CE161" si="1345">AP159+AP160</f>
        <v>0</v>
      </c>
      <c r="AQ161" s="22" t="e">
        <f t="shared" si="1345"/>
        <v>#DIV/0!</v>
      </c>
      <c r="AR161" s="22">
        <f t="shared" si="1345"/>
        <v>0</v>
      </c>
      <c r="AS161" s="22" t="e">
        <f t="shared" si="1345"/>
        <v>#DIV/0!</v>
      </c>
      <c r="AT161" s="22">
        <f t="shared" si="1345"/>
        <v>0</v>
      </c>
      <c r="AU161" s="22" t="e">
        <f t="shared" si="1345"/>
        <v>#DIV/0!</v>
      </c>
      <c r="AV161" s="22">
        <f t="shared" si="1345"/>
        <v>0</v>
      </c>
      <c r="AW161" s="22" t="e">
        <f t="shared" si="1345"/>
        <v>#DIV/0!</v>
      </c>
      <c r="AX161" s="22">
        <f t="shared" si="1345"/>
        <v>0</v>
      </c>
      <c r="AY161" s="22" t="e">
        <f t="shared" si="1345"/>
        <v>#DIV/0!</v>
      </c>
      <c r="AZ161" s="22">
        <f t="shared" si="1345"/>
        <v>0</v>
      </c>
      <c r="BA161" s="22" t="e">
        <f t="shared" si="1345"/>
        <v>#DIV/0!</v>
      </c>
      <c r="BB161" s="22">
        <f t="shared" si="1345"/>
        <v>0</v>
      </c>
      <c r="BC161" s="22" t="e">
        <f t="shared" si="1345"/>
        <v>#DIV/0!</v>
      </c>
      <c r="BD161" s="22">
        <f t="shared" si="1345"/>
        <v>0</v>
      </c>
      <c r="BE161" s="22" t="e">
        <f t="shared" si="1345"/>
        <v>#DIV/0!</v>
      </c>
      <c r="BF161" s="22">
        <f t="shared" si="1345"/>
        <v>0</v>
      </c>
      <c r="BG161" s="22" t="e">
        <f t="shared" si="1345"/>
        <v>#DIV/0!</v>
      </c>
      <c r="BH161" s="22">
        <f t="shared" si="1345"/>
        <v>0</v>
      </c>
      <c r="BI161" s="22" t="e">
        <f t="shared" si="1345"/>
        <v>#DIV/0!</v>
      </c>
      <c r="BJ161" s="22">
        <f t="shared" si="1345"/>
        <v>0</v>
      </c>
      <c r="BK161" s="22" t="e">
        <f t="shared" si="1345"/>
        <v>#DIV/0!</v>
      </c>
      <c r="BL161" s="22">
        <f t="shared" si="1345"/>
        <v>0</v>
      </c>
      <c r="BM161" s="22" t="e">
        <f t="shared" si="1345"/>
        <v>#DIV/0!</v>
      </c>
      <c r="BN161" s="22">
        <f t="shared" si="1345"/>
        <v>0</v>
      </c>
      <c r="BO161" s="22" t="e">
        <f t="shared" si="1345"/>
        <v>#DIV/0!</v>
      </c>
      <c r="BP161" s="22">
        <f t="shared" si="1345"/>
        <v>0</v>
      </c>
      <c r="BQ161" s="22" t="e">
        <f t="shared" si="1345"/>
        <v>#DIV/0!</v>
      </c>
      <c r="BR161" s="22">
        <f t="shared" si="1345"/>
        <v>0</v>
      </c>
      <c r="BS161" s="22" t="e">
        <f t="shared" si="1345"/>
        <v>#DIV/0!</v>
      </c>
      <c r="BT161" s="22">
        <f t="shared" si="1345"/>
        <v>0</v>
      </c>
      <c r="BU161" s="22" t="e">
        <f t="shared" si="1345"/>
        <v>#DIV/0!</v>
      </c>
      <c r="BV161" s="22">
        <f t="shared" si="1345"/>
        <v>0</v>
      </c>
      <c r="BW161" s="22" t="e">
        <f t="shared" si="1345"/>
        <v>#DIV/0!</v>
      </c>
      <c r="BX161" s="22">
        <f t="shared" si="1345"/>
        <v>0</v>
      </c>
      <c r="BY161" s="22" t="e">
        <f t="shared" si="1345"/>
        <v>#DIV/0!</v>
      </c>
      <c r="BZ161" s="22">
        <f t="shared" si="1345"/>
        <v>0</v>
      </c>
      <c r="CA161" s="22" t="e">
        <f t="shared" si="1345"/>
        <v>#DIV/0!</v>
      </c>
      <c r="CB161" s="22">
        <f t="shared" si="1345"/>
        <v>51.79</v>
      </c>
      <c r="CC161" s="22">
        <f t="shared" si="1345"/>
        <v>76.45390608775908</v>
      </c>
      <c r="CD161" s="22">
        <f t="shared" si="1345"/>
        <v>11.96</v>
      </c>
      <c r="CE161" s="22">
        <f t="shared" si="1345"/>
        <v>21.029692119517712</v>
      </c>
      <c r="CF161" s="22">
        <f t="shared" ref="CF161:CG161" si="1346">CF159+CF160</f>
        <v>106.30000000000001</v>
      </c>
      <c r="CG161" s="22">
        <f t="shared" si="1346"/>
        <v>135.05233405554466</v>
      </c>
      <c r="CH161" s="22">
        <f t="shared" ref="CH161:CI161" si="1347">CH159+CH160</f>
        <v>5.0599999999999996</v>
      </c>
      <c r="CI161" s="22">
        <f t="shared" si="1347"/>
        <v>56.53358626282575</v>
      </c>
      <c r="CJ161" s="22">
        <f t="shared" ref="CJ161:DB161" si="1348">CJ159+CJ160</f>
        <v>7.54</v>
      </c>
      <c r="CK161" s="21">
        <f t="shared" si="1348"/>
        <v>5.937816826411269</v>
      </c>
      <c r="CL161" s="22">
        <f t="shared" ref="CL161" si="1349">CL159+CL160</f>
        <v>17.439999999999998</v>
      </c>
      <c r="CM161" s="21">
        <f t="shared" si="1348"/>
        <v>138.75188675658811</v>
      </c>
      <c r="CN161" s="21">
        <f t="shared" si="1348"/>
        <v>6.9793259857844561</v>
      </c>
      <c r="CO161" s="21">
        <f t="shared" si="1348"/>
        <v>15.078653516255002</v>
      </c>
      <c r="CP161" s="21">
        <f t="shared" si="1348"/>
        <v>30.736406407997407</v>
      </c>
      <c r="CQ161" s="21">
        <f t="shared" si="1348"/>
        <v>182.81526199769493</v>
      </c>
      <c r="CR161" s="21">
        <f t="shared" si="1348"/>
        <v>16.150731235178796</v>
      </c>
      <c r="CS161" s="21">
        <f t="shared" si="1348"/>
        <v>22.796609538572653</v>
      </c>
      <c r="CT161" s="21">
        <f t="shared" si="1348"/>
        <v>40.462819773415774</v>
      </c>
      <c r="CU161" s="21">
        <f t="shared" si="1348"/>
        <v>221.58068924086677</v>
      </c>
      <c r="CV161" s="21">
        <f t="shared" si="1348"/>
        <v>19.295976715832211</v>
      </c>
      <c r="CW161" s="21">
        <f t="shared" si="1348"/>
        <v>25.978296034568629</v>
      </c>
      <c r="CX161" s="21">
        <f t="shared" si="1348"/>
        <v>46.229235882844947</v>
      </c>
      <c r="CY161" s="21">
        <f t="shared" si="1348"/>
        <v>261.72631878599481</v>
      </c>
      <c r="CZ161" s="21">
        <f t="shared" si="1348"/>
        <v>18.720573188688775</v>
      </c>
      <c r="DA161" s="21">
        <f t="shared" si="1348"/>
        <v>26.013643595504774</v>
      </c>
      <c r="DB161" s="21">
        <f t="shared" si="1348"/>
        <v>49.612496076663817</v>
      </c>
      <c r="DE161" s="126"/>
      <c r="DF161" s="22">
        <v>17.439999999999998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0</v>
      </c>
      <c r="Y163" s="23">
        <f>-'Annual Raw'!Z49</f>
        <v>-128.51</v>
      </c>
      <c r="Z163" s="23">
        <f>-'Annual Raw'!AA49</f>
        <v>-131.81</v>
      </c>
      <c r="AA163" s="23">
        <f>-'Annual Raw'!AB49</f>
        <v>-140.15</v>
      </c>
      <c r="AB163" s="24">
        <f t="shared" ref="AB163:AB164" si="1350">+CP163</f>
        <v>-140.15</v>
      </c>
      <c r="AC163" s="24">
        <f t="shared" ref="AC163:AC164" si="1351">+CT163</f>
        <v>-140.15</v>
      </c>
      <c r="AD163" s="24">
        <f t="shared" ref="AD163:AD164" si="1352">+CX163</f>
        <v>-140.15</v>
      </c>
      <c r="AE163" s="24">
        <f t="shared" ref="AE163:AE164" si="1353">+DB163</f>
        <v>-140.15</v>
      </c>
      <c r="AJ163" s="23">
        <f>+'QTR Raw'!D96</f>
        <v>0</v>
      </c>
      <c r="AK163" s="23">
        <f t="shared" ref="AK163:CE163" si="1354">+AJ163</f>
        <v>0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</v>
      </c>
      <c r="AW163" s="23">
        <f t="shared" si="1354"/>
        <v>0</v>
      </c>
      <c r="AX163" s="23">
        <f>+'QTR Raw'!R96</f>
        <v>0</v>
      </c>
      <c r="AY163" s="23">
        <f t="shared" si="1354"/>
        <v>0</v>
      </c>
      <c r="AZ163" s="23">
        <f>+'QTR Raw'!T96</f>
        <v>0</v>
      </c>
      <c r="BA163" s="23">
        <f t="shared" si="1354"/>
        <v>0</v>
      </c>
      <c r="BB163" s="23">
        <f>+'QTR Raw'!V96</f>
        <v>0</v>
      </c>
      <c r="BC163" s="23">
        <f t="shared" si="1354"/>
        <v>0</v>
      </c>
      <c r="BD163" s="23">
        <f>+'QTR Raw'!X96</f>
        <v>0</v>
      </c>
      <c r="BE163" s="23">
        <f t="shared" si="1354"/>
        <v>0</v>
      </c>
      <c r="BF163" s="23">
        <f>+'QTR Raw'!Z96</f>
        <v>0</v>
      </c>
      <c r="BG163" s="23">
        <f t="shared" si="1354"/>
        <v>0</v>
      </c>
      <c r="BH163" s="23">
        <f>+'QTR Raw'!AB96</f>
        <v>0</v>
      </c>
      <c r="BI163" s="23">
        <f t="shared" si="1354"/>
        <v>0</v>
      </c>
      <c r="BJ163" s="23">
        <f>+'QTR Raw'!AD96</f>
        <v>0</v>
      </c>
      <c r="BK163" s="23">
        <f t="shared" si="1354"/>
        <v>0</v>
      </c>
      <c r="BL163" s="23">
        <f>+'QTR Raw'!AF96</f>
        <v>0</v>
      </c>
      <c r="BM163" s="23">
        <f t="shared" si="1354"/>
        <v>0</v>
      </c>
      <c r="BN163" s="23">
        <f>+'QTR Raw'!AH96</f>
        <v>0</v>
      </c>
      <c r="BO163" s="23">
        <f t="shared" si="1354"/>
        <v>0</v>
      </c>
      <c r="BP163" s="23">
        <f>+'QTR Raw'!AJ96</f>
        <v>0</v>
      </c>
      <c r="BQ163" s="23">
        <f t="shared" si="1354"/>
        <v>0</v>
      </c>
      <c r="BR163" s="23">
        <f>+'QTR Raw'!AL96</f>
        <v>0</v>
      </c>
      <c r="BS163" s="23">
        <f t="shared" si="1354"/>
        <v>0</v>
      </c>
      <c r="BT163" s="23">
        <f>+'QTR Raw'!AN96</f>
        <v>0</v>
      </c>
      <c r="BU163" s="23">
        <f t="shared" si="1354"/>
        <v>0</v>
      </c>
      <c r="BV163" s="23">
        <f>+'QTR Raw'!AP96</f>
        <v>0</v>
      </c>
      <c r="BW163" s="23">
        <f t="shared" si="1354"/>
        <v>0</v>
      </c>
      <c r="BX163" s="23">
        <f>+'QTR Raw'!AR96</f>
        <v>0</v>
      </c>
      <c r="BY163" s="23">
        <f t="shared" si="1354"/>
        <v>0</v>
      </c>
      <c r="BZ163" s="23">
        <f>+'QTR Raw'!AT96</f>
        <v>0</v>
      </c>
      <c r="CA163" s="23">
        <f t="shared" si="1354"/>
        <v>0</v>
      </c>
      <c r="CB163" s="23">
        <f>+'QTR Raw'!AV96</f>
        <v>-122.13</v>
      </c>
      <c r="CC163" s="23">
        <f t="shared" si="1354"/>
        <v>-122.13</v>
      </c>
      <c r="CD163" s="23">
        <f>+'QTR Raw'!AX96</f>
        <v>-128.51</v>
      </c>
      <c r="CE163" s="23">
        <f t="shared" si="1354"/>
        <v>-128.51</v>
      </c>
      <c r="CF163" s="23">
        <f>+'QTR Raw'!AZ96</f>
        <v>-125.39</v>
      </c>
      <c r="CG163" s="23">
        <f t="shared" ref="CG163:CI164" si="1355">+CF163</f>
        <v>-125.39</v>
      </c>
      <c r="CH163" s="23">
        <f t="shared" ref="CH163:CH164" si="1356">Z163</f>
        <v>-131.81</v>
      </c>
      <c r="CI163" s="23">
        <f t="shared" si="1355"/>
        <v>-131.81</v>
      </c>
      <c r="CJ163" s="23">
        <f>+'QTR Raw'!BD96</f>
        <v>-136.30000000000001</v>
      </c>
      <c r="CK163" s="24">
        <f t="shared" ref="CK163:CK164" si="1357">+CJ163</f>
        <v>-136.30000000000001</v>
      </c>
      <c r="CL163" s="23">
        <f>+'QTR Raw'!BF96</f>
        <v>-140.15</v>
      </c>
      <c r="CM163" s="24">
        <f t="shared" ref="CM163:CM164" si="1358">+CL163</f>
        <v>-140.15</v>
      </c>
      <c r="CN163" s="24">
        <f t="shared" ref="CN163:CN164" si="1359">+CM163</f>
        <v>-140.15</v>
      </c>
      <c r="CO163" s="24">
        <f t="shared" ref="CO163:CO164" si="1360">+CN163</f>
        <v>-140.15</v>
      </c>
      <c r="CP163" s="24">
        <f t="shared" ref="CP163:CP164" si="1361">+CO163</f>
        <v>-140.15</v>
      </c>
      <c r="CQ163" s="24">
        <f t="shared" ref="CQ163:CQ164" si="1362">+CP163</f>
        <v>-140.15</v>
      </c>
      <c r="CR163" s="24">
        <f t="shared" ref="CR163:CR164" si="1363">+CQ163</f>
        <v>-140.15</v>
      </c>
      <c r="CS163" s="24">
        <f t="shared" ref="CS163:CS164" si="1364">+CR163</f>
        <v>-140.15</v>
      </c>
      <c r="CT163" s="24">
        <f t="shared" ref="CT163:CT164" si="1365">+CS163</f>
        <v>-140.15</v>
      </c>
      <c r="CU163" s="24">
        <f t="shared" ref="CU163:CU164" si="1366">+CT163</f>
        <v>-140.15</v>
      </c>
      <c r="CV163" s="24">
        <f t="shared" ref="CV163:CV164" si="1367">+CU163</f>
        <v>-140.15</v>
      </c>
      <c r="CW163" s="24">
        <f t="shared" ref="CW163:CW164" si="1368">+CV163</f>
        <v>-140.15</v>
      </c>
      <c r="CX163" s="24">
        <f t="shared" ref="CX163:CX164" si="1369">+CW163</f>
        <v>-140.15</v>
      </c>
      <c r="CY163" s="24">
        <f t="shared" ref="CY163:CY164" si="1370">+CX163</f>
        <v>-140.15</v>
      </c>
      <c r="CZ163" s="24">
        <f t="shared" ref="CZ163:CZ164" si="1371">+CY163</f>
        <v>-140.15</v>
      </c>
      <c r="DA163" s="24">
        <f t="shared" ref="DA163:DA164" si="1372">+CZ163</f>
        <v>-140.15</v>
      </c>
      <c r="DB163" s="24">
        <f t="shared" ref="DB163:DB164" si="1373">+DA163</f>
        <v>-140.15</v>
      </c>
      <c r="DE163" s="123"/>
      <c r="DF163" s="23">
        <v>-140.15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0</v>
      </c>
      <c r="D165" s="26">
        <f t="shared" si="1375"/>
        <v>0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0</v>
      </c>
      <c r="I165" s="26">
        <f t="shared" si="1375"/>
        <v>0</v>
      </c>
      <c r="J165" s="26">
        <f t="shared" si="1375"/>
        <v>0</v>
      </c>
      <c r="K165" s="26">
        <f t="shared" si="1375"/>
        <v>0</v>
      </c>
      <c r="L165" s="26">
        <f t="shared" si="1375"/>
        <v>0</v>
      </c>
      <c r="M165" s="26">
        <f t="shared" si="1375"/>
        <v>0</v>
      </c>
      <c r="N165" s="26">
        <f t="shared" si="1375"/>
        <v>0</v>
      </c>
      <c r="O165" s="26">
        <f t="shared" si="1375"/>
        <v>0</v>
      </c>
      <c r="P165" s="26">
        <f t="shared" si="1375"/>
        <v>0</v>
      </c>
      <c r="Q165" s="26">
        <f t="shared" si="1375"/>
        <v>0</v>
      </c>
      <c r="R165" s="26">
        <f t="shared" si="1375"/>
        <v>0</v>
      </c>
      <c r="S165" s="26">
        <f t="shared" si="1375"/>
        <v>0</v>
      </c>
      <c r="T165" s="26">
        <f t="shared" si="1375"/>
        <v>0</v>
      </c>
      <c r="U165" s="26">
        <f t="shared" si="1375"/>
        <v>0</v>
      </c>
      <c r="V165" s="26">
        <f t="shared" si="1375"/>
        <v>4.1849000000000001E-3</v>
      </c>
      <c r="W165" s="26">
        <f t="shared" si="1375"/>
        <v>3.0049E-3</v>
      </c>
      <c r="X165" s="26">
        <f t="shared" ref="X165:Y165" si="1376">X163+X161+X157+X140+X138+X164</f>
        <v>0</v>
      </c>
      <c r="Y165" s="26">
        <f t="shared" si="1376"/>
        <v>1457.4099999999999</v>
      </c>
      <c r="Z165" s="26">
        <f t="shared" ref="Z165:AA165" si="1377">Z163+Z161+Z157+Z140+Z138+Z164</f>
        <v>1500.58</v>
      </c>
      <c r="AA165" s="26">
        <f t="shared" ref="AA165" si="1378">AA163+AA161+AA157+AA140+AA138+AA164</f>
        <v>1636.1</v>
      </c>
      <c r="AB165" s="27">
        <f t="shared" ref="AB165:AD165" si="1379">AB163+AB161+AB157+AB140+AB138+AB164</f>
        <v>1765.4703554785171</v>
      </c>
      <c r="AC165" s="27">
        <f t="shared" si="1379"/>
        <v>1908.5642780244852</v>
      </c>
      <c r="AD165" s="27">
        <f t="shared" si="1379"/>
        <v>2073.4539040199224</v>
      </c>
      <c r="AE165" s="27">
        <f t="shared" ref="AE165" si="1380">AE163+AE161+AE157+AE140+AE138+AE164</f>
        <v>2267.1168265024553</v>
      </c>
      <c r="AJ165" s="26">
        <f t="shared" ref="AJ165" si="1381">AJ163+AJ161+AJ157+AJ140+AJ138+AJ164</f>
        <v>0</v>
      </c>
      <c r="AK165" s="26" t="e">
        <f t="shared" ref="AK165:AL165" si="1382">AK163+AK161+AK157+AK140+AK138+AK164</f>
        <v>#DIV/0!</v>
      </c>
      <c r="AL165" s="26">
        <f t="shared" si="1382"/>
        <v>0</v>
      </c>
      <c r="AM165" s="26" t="e">
        <f t="shared" ref="AM165:AO165" si="1383">AM163+AM161+AM157+AM140+AM138+AM164</f>
        <v>#DIV/0!</v>
      </c>
      <c r="AN165" s="26">
        <f t="shared" si="1383"/>
        <v>0</v>
      </c>
      <c r="AO165" s="26" t="e">
        <f t="shared" si="1383"/>
        <v>#DIV/0!</v>
      </c>
      <c r="AP165" s="26">
        <f t="shared" ref="AP165:CE165" si="1384">AP163+AP161+AP157+AP140+AP138+AP164</f>
        <v>0</v>
      </c>
      <c r="AQ165" s="26" t="e">
        <f t="shared" si="1384"/>
        <v>#DIV/0!</v>
      </c>
      <c r="AR165" s="26">
        <f t="shared" si="1384"/>
        <v>0</v>
      </c>
      <c r="AS165" s="26" t="e">
        <f t="shared" si="1384"/>
        <v>#DIV/0!</v>
      </c>
      <c r="AT165" s="26">
        <f t="shared" si="1384"/>
        <v>0</v>
      </c>
      <c r="AU165" s="26" t="e">
        <f t="shared" si="1384"/>
        <v>#DIV/0!</v>
      </c>
      <c r="AV165" s="26">
        <f t="shared" si="1384"/>
        <v>0</v>
      </c>
      <c r="AW165" s="26" t="e">
        <f t="shared" si="1384"/>
        <v>#DIV/0!</v>
      </c>
      <c r="AX165" s="26">
        <f t="shared" si="1384"/>
        <v>0</v>
      </c>
      <c r="AY165" s="26" t="e">
        <f t="shared" si="1384"/>
        <v>#DIV/0!</v>
      </c>
      <c r="AZ165" s="26">
        <f t="shared" si="1384"/>
        <v>0</v>
      </c>
      <c r="BA165" s="26" t="e">
        <f t="shared" si="1384"/>
        <v>#DIV/0!</v>
      </c>
      <c r="BB165" s="26">
        <f t="shared" si="1384"/>
        <v>0</v>
      </c>
      <c r="BC165" s="26" t="e">
        <f t="shared" si="1384"/>
        <v>#DIV/0!</v>
      </c>
      <c r="BD165" s="26">
        <f t="shared" si="1384"/>
        <v>0</v>
      </c>
      <c r="BE165" s="26" t="e">
        <f t="shared" si="1384"/>
        <v>#DIV/0!</v>
      </c>
      <c r="BF165" s="26">
        <f t="shared" si="1384"/>
        <v>0</v>
      </c>
      <c r="BG165" s="26" t="e">
        <f t="shared" si="1384"/>
        <v>#DIV/0!</v>
      </c>
      <c r="BH165" s="26">
        <f t="shared" ref="BH165" si="1385">BH163+BH161+BH157+BH140+BH138+BH164</f>
        <v>0</v>
      </c>
      <c r="BI165" s="26" t="e">
        <f t="shared" si="1384"/>
        <v>#DIV/0!</v>
      </c>
      <c r="BJ165" s="26">
        <f t="shared" si="1384"/>
        <v>0</v>
      </c>
      <c r="BK165" s="26" t="e">
        <f t="shared" si="1384"/>
        <v>#DIV/0!</v>
      </c>
      <c r="BL165" s="26">
        <f t="shared" si="1384"/>
        <v>0</v>
      </c>
      <c r="BM165" s="26" t="e">
        <f t="shared" si="1384"/>
        <v>#DIV/0!</v>
      </c>
      <c r="BN165" s="26">
        <f t="shared" si="1384"/>
        <v>0</v>
      </c>
      <c r="BO165" s="26" t="e">
        <f t="shared" si="1384"/>
        <v>#DIV/0!</v>
      </c>
      <c r="BP165" s="26">
        <f t="shared" si="1384"/>
        <v>0</v>
      </c>
      <c r="BQ165" s="26" t="e">
        <f t="shared" si="1384"/>
        <v>#DIV/0!</v>
      </c>
      <c r="BR165" s="26">
        <f t="shared" si="1384"/>
        <v>0</v>
      </c>
      <c r="BS165" s="26" t="e">
        <f t="shared" si="1384"/>
        <v>#DIV/0!</v>
      </c>
      <c r="BT165" s="26">
        <f t="shared" si="1384"/>
        <v>0</v>
      </c>
      <c r="BU165" s="26" t="e">
        <f t="shared" si="1384"/>
        <v>#DIV/0!</v>
      </c>
      <c r="BV165" s="26">
        <f t="shared" si="1384"/>
        <v>0</v>
      </c>
      <c r="BW165" s="26" t="e">
        <f t="shared" si="1384"/>
        <v>#DIV/0!</v>
      </c>
      <c r="BX165" s="26">
        <f t="shared" si="1384"/>
        <v>0</v>
      </c>
      <c r="BY165" s="26" t="e">
        <f t="shared" si="1384"/>
        <v>#DIV/0!</v>
      </c>
      <c r="BZ165" s="26">
        <f t="shared" si="1384"/>
        <v>0</v>
      </c>
      <c r="CA165" s="26" t="e">
        <f t="shared" si="1384"/>
        <v>#DIV/0!</v>
      </c>
      <c r="CB165" s="26">
        <f t="shared" si="1384"/>
        <v>1436.69</v>
      </c>
      <c r="CC165" s="26">
        <f t="shared" si="1384"/>
        <v>1441.18</v>
      </c>
      <c r="CD165" s="26">
        <f t="shared" si="1384"/>
        <v>1457.58</v>
      </c>
      <c r="CE165" s="26">
        <f t="shared" si="1384"/>
        <v>1469.3799999999999</v>
      </c>
      <c r="CF165" s="26">
        <f t="shared" ref="CF165:CG165" si="1386">CF163+CF161+CF157+CF140+CF138+CF164</f>
        <v>1428.18</v>
      </c>
      <c r="CG165" s="26">
        <f t="shared" si="1386"/>
        <v>1437.55</v>
      </c>
      <c r="CH165" s="26">
        <f t="shared" ref="CH165:CI165" si="1387">CH163+CH161+CH157+CH140+CH138+CH164</f>
        <v>1500.58</v>
      </c>
      <c r="CI165" s="26">
        <f t="shared" si="1387"/>
        <v>1514.1</v>
      </c>
      <c r="CJ165" s="26">
        <f t="shared" ref="CJ165:DB165" si="1388">CJ163+CJ161+CJ157+CJ140+CJ138+CJ164</f>
        <v>1519.06</v>
      </c>
      <c r="CK165" s="27">
        <f t="shared" si="1388"/>
        <v>1532.2400000000002</v>
      </c>
      <c r="CL165" s="26">
        <f t="shared" ref="CL165" si="1389">CL163+CL161+CL157+CL140+CL138+CL164</f>
        <v>1636.71</v>
      </c>
      <c r="CM165" s="27">
        <f t="shared" si="1388"/>
        <v>1665.6564222647646</v>
      </c>
      <c r="CN165" s="27">
        <f t="shared" si="1388"/>
        <v>1685.4933075390209</v>
      </c>
      <c r="CO165" s="27">
        <f t="shared" si="1388"/>
        <v>1724.7928306947135</v>
      </c>
      <c r="CP165" s="27">
        <f t="shared" si="1388"/>
        <v>1765.4703554785171</v>
      </c>
      <c r="CQ165" s="27">
        <f t="shared" si="1388"/>
        <v>1797.056360473262</v>
      </c>
      <c r="CR165" s="27">
        <f t="shared" si="1388"/>
        <v>1817.3827898258273</v>
      </c>
      <c r="CS165" s="27">
        <f t="shared" si="1388"/>
        <v>1862.6235137639137</v>
      </c>
      <c r="CT165" s="27">
        <f t="shared" si="1388"/>
        <v>1908.5642780244852</v>
      </c>
      <c r="CU165" s="27">
        <f t="shared" si="1388"/>
        <v>1944.4544023108956</v>
      </c>
      <c r="CV165" s="27">
        <f t="shared" si="1388"/>
        <v>1967.0902623681077</v>
      </c>
      <c r="CW165" s="27">
        <f t="shared" si="1388"/>
        <v>2019.8664189738652</v>
      </c>
      <c r="CX165" s="27">
        <f t="shared" si="1388"/>
        <v>2073.4539040199224</v>
      </c>
      <c r="CY165" s="27">
        <f t="shared" si="1388"/>
        <v>2115.30108868344</v>
      </c>
      <c r="CZ165" s="27">
        <f t="shared" si="1388"/>
        <v>2141.4513785683248</v>
      </c>
      <c r="DA165" s="27">
        <f t="shared" si="1388"/>
        <v>2203.7620397963956</v>
      </c>
      <c r="DB165" s="27">
        <f t="shared" si="1388"/>
        <v>2267.1168265024553</v>
      </c>
      <c r="DE165" s="121"/>
      <c r="DF165" s="26">
        <v>1636.71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 t="e">
        <f t="shared" ref="AK166" si="1397">AK165-AK129</f>
        <v>#DIV/0!</v>
      </c>
      <c r="AL166" s="23">
        <f t="shared" ref="AL166:AM166" si="1398">AL165-AL129</f>
        <v>0</v>
      </c>
      <c r="AM166" s="23" t="e">
        <f t="shared" si="1398"/>
        <v>#DIV/0!</v>
      </c>
      <c r="AN166" s="23">
        <f t="shared" ref="AN166:AO166" si="1399">AN165-AN129</f>
        <v>0</v>
      </c>
      <c r="AO166" s="23" t="e">
        <f t="shared" si="1399"/>
        <v>#DIV/0!</v>
      </c>
      <c r="AP166" s="23">
        <f t="shared" ref="AP166:CE166" si="1400">AP165-AP129</f>
        <v>0</v>
      </c>
      <c r="AQ166" s="23" t="e">
        <f t="shared" si="1400"/>
        <v>#DIV/0!</v>
      </c>
      <c r="AR166" s="23">
        <f t="shared" si="1400"/>
        <v>0</v>
      </c>
      <c r="AS166" s="23" t="e">
        <f t="shared" si="1400"/>
        <v>#DIV/0!</v>
      </c>
      <c r="AT166" s="23">
        <f t="shared" si="1400"/>
        <v>0</v>
      </c>
      <c r="AU166" s="23" t="e">
        <f t="shared" si="1400"/>
        <v>#DIV/0!</v>
      </c>
      <c r="AV166" s="23">
        <f t="shared" si="1400"/>
        <v>0</v>
      </c>
      <c r="AW166" s="23" t="e">
        <f t="shared" si="1400"/>
        <v>#DIV/0!</v>
      </c>
      <c r="AX166" s="23">
        <f t="shared" si="1400"/>
        <v>0</v>
      </c>
      <c r="AY166" s="23" t="e">
        <f t="shared" si="1400"/>
        <v>#DIV/0!</v>
      </c>
      <c r="AZ166" s="23">
        <f t="shared" si="1400"/>
        <v>0</v>
      </c>
      <c r="BA166" s="23" t="e">
        <f t="shared" si="1400"/>
        <v>#DIV/0!</v>
      </c>
      <c r="BB166" s="23">
        <f t="shared" si="1400"/>
        <v>0</v>
      </c>
      <c r="BC166" s="23" t="e">
        <f t="shared" si="1400"/>
        <v>#DIV/0!</v>
      </c>
      <c r="BD166" s="23">
        <f t="shared" si="1400"/>
        <v>0</v>
      </c>
      <c r="BE166" s="23" t="e">
        <f t="shared" si="1400"/>
        <v>#DIV/0!</v>
      </c>
      <c r="BF166" s="23">
        <f t="shared" si="1400"/>
        <v>0</v>
      </c>
      <c r="BG166" s="23" t="e">
        <f t="shared" si="1400"/>
        <v>#DIV/0!</v>
      </c>
      <c r="BH166" s="23">
        <f t="shared" ref="BH166" si="1401">BH165-BH129</f>
        <v>0</v>
      </c>
      <c r="BI166" s="23" t="e">
        <f t="shared" si="1400"/>
        <v>#DIV/0!</v>
      </c>
      <c r="BJ166" s="23">
        <f t="shared" si="1400"/>
        <v>0</v>
      </c>
      <c r="BK166" s="23" t="e">
        <f t="shared" si="1400"/>
        <v>#DIV/0!</v>
      </c>
      <c r="BL166" s="23">
        <f t="shared" si="1400"/>
        <v>0</v>
      </c>
      <c r="BM166" s="23" t="e">
        <f t="shared" si="1400"/>
        <v>#DIV/0!</v>
      </c>
      <c r="BN166" s="23">
        <f t="shared" si="1400"/>
        <v>0</v>
      </c>
      <c r="BO166" s="23" t="e">
        <f t="shared" si="1400"/>
        <v>#DIV/0!</v>
      </c>
      <c r="BP166" s="23">
        <f t="shared" si="1400"/>
        <v>0</v>
      </c>
      <c r="BQ166" s="23" t="e">
        <f t="shared" si="1400"/>
        <v>#DIV/0!</v>
      </c>
      <c r="BR166" s="23">
        <f t="shared" si="1400"/>
        <v>0</v>
      </c>
      <c r="BS166" s="23" t="e">
        <f t="shared" si="1400"/>
        <v>#DIV/0!</v>
      </c>
      <c r="BT166" s="23">
        <f t="shared" si="1400"/>
        <v>0</v>
      </c>
      <c r="BU166" s="23" t="e">
        <f t="shared" si="1400"/>
        <v>#DIV/0!</v>
      </c>
      <c r="BV166" s="23">
        <f t="shared" si="1400"/>
        <v>0</v>
      </c>
      <c r="BW166" s="23" t="e">
        <f t="shared" si="1400"/>
        <v>#DIV/0!</v>
      </c>
      <c r="BX166" s="23">
        <f t="shared" si="1400"/>
        <v>0</v>
      </c>
      <c r="BY166" s="23" t="e">
        <f t="shared" si="1400"/>
        <v>#DIV/0!</v>
      </c>
      <c r="BZ166" s="23">
        <f t="shared" si="1400"/>
        <v>0</v>
      </c>
      <c r="CA166" s="23" t="e">
        <f t="shared" si="1400"/>
        <v>#DIV/0!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0</v>
      </c>
      <c r="D168" s="22">
        <f t="shared" si="1406"/>
        <v>0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0</v>
      </c>
      <c r="I168" s="22">
        <f t="shared" si="1406"/>
        <v>0</v>
      </c>
      <c r="J168" s="22">
        <f t="shared" si="1406"/>
        <v>0</v>
      </c>
      <c r="K168" s="22">
        <f t="shared" si="1406"/>
        <v>0</v>
      </c>
      <c r="L168" s="22">
        <f t="shared" si="1406"/>
        <v>0</v>
      </c>
      <c r="M168" s="22">
        <f t="shared" si="1406"/>
        <v>0</v>
      </c>
      <c r="N168" s="22">
        <f t="shared" si="1406"/>
        <v>0</v>
      </c>
      <c r="O168" s="22">
        <f t="shared" si="1406"/>
        <v>0</v>
      </c>
      <c r="P168" s="22">
        <f t="shared" si="1406"/>
        <v>0</v>
      </c>
      <c r="Q168" s="22">
        <f t="shared" si="1406"/>
        <v>0</v>
      </c>
      <c r="R168" s="22">
        <f t="shared" si="1406"/>
        <v>0</v>
      </c>
      <c r="S168" s="22">
        <f t="shared" si="1406"/>
        <v>0</v>
      </c>
      <c r="T168" s="22">
        <f t="shared" si="1406"/>
        <v>0</v>
      </c>
      <c r="U168" s="22">
        <f t="shared" si="1406"/>
        <v>0</v>
      </c>
      <c r="V168" s="22">
        <f t="shared" si="1406"/>
        <v>-5.1849000000000001E-3</v>
      </c>
      <c r="W168" s="22">
        <f t="shared" si="1406"/>
        <v>-5.1849000000000001E-3</v>
      </c>
      <c r="X168" s="22">
        <f t="shared" ref="X168:Y168" si="1407">X128-X161</f>
        <v>0</v>
      </c>
      <c r="Y168" s="22">
        <f t="shared" si="1407"/>
        <v>59.690000000000005</v>
      </c>
      <c r="Z168" s="22">
        <f t="shared" ref="Z168:AA168" si="1408">Z128-Z161</f>
        <v>58.139999999999993</v>
      </c>
      <c r="AA168" s="22">
        <f t="shared" ref="AA168" si="1409">AA128-AA161</f>
        <v>116.17000000000002</v>
      </c>
      <c r="AB168" s="21">
        <f t="shared" ref="AB168:AD168" si="1410">AB128-AB161</f>
        <v>103.48359359200259</v>
      </c>
      <c r="AC168" s="21">
        <f t="shared" si="1410"/>
        <v>93.757180226584225</v>
      </c>
      <c r="AD168" s="21">
        <f t="shared" si="1410"/>
        <v>87.990764117155052</v>
      </c>
      <c r="AE168" s="21">
        <f t="shared" ref="AE168" si="1411">AE128-AE161</f>
        <v>84.607503923336182</v>
      </c>
      <c r="AJ168" s="22">
        <f t="shared" ref="AJ168:AM168" si="1412">AJ128-AJ161</f>
        <v>0</v>
      </c>
      <c r="AK168" s="22" t="e">
        <f t="shared" si="1412"/>
        <v>#DIV/0!</v>
      </c>
      <c r="AL168" s="22">
        <f t="shared" si="1412"/>
        <v>0</v>
      </c>
      <c r="AM168" s="22" t="e">
        <f t="shared" si="1412"/>
        <v>#DIV/0!</v>
      </c>
      <c r="AN168" s="22">
        <f t="shared" ref="AN168:AO168" si="1413">AN128-AN161</f>
        <v>0</v>
      </c>
      <c r="AO168" s="22" t="e">
        <f t="shared" si="1413"/>
        <v>#DIV/0!</v>
      </c>
      <c r="AP168" s="22">
        <f t="shared" ref="AP168:CE168" si="1414">AP128-AP161</f>
        <v>0</v>
      </c>
      <c r="AQ168" s="22" t="e">
        <f t="shared" si="1414"/>
        <v>#DIV/0!</v>
      </c>
      <c r="AR168" s="22">
        <f t="shared" si="1414"/>
        <v>0</v>
      </c>
      <c r="AS168" s="22" t="e">
        <f t="shared" si="1414"/>
        <v>#DIV/0!</v>
      </c>
      <c r="AT168" s="22">
        <f t="shared" si="1414"/>
        <v>0</v>
      </c>
      <c r="AU168" s="22" t="e">
        <f t="shared" si="1414"/>
        <v>#DIV/0!</v>
      </c>
      <c r="AV168" s="22">
        <f t="shared" si="1414"/>
        <v>0</v>
      </c>
      <c r="AW168" s="22" t="e">
        <f t="shared" si="1414"/>
        <v>#DIV/0!</v>
      </c>
      <c r="AX168" s="22">
        <f t="shared" si="1414"/>
        <v>0</v>
      </c>
      <c r="AY168" s="22" t="e">
        <f t="shared" si="1414"/>
        <v>#DIV/0!</v>
      </c>
      <c r="AZ168" s="22">
        <f t="shared" si="1414"/>
        <v>0</v>
      </c>
      <c r="BA168" s="22" t="e">
        <f t="shared" si="1414"/>
        <v>#DIV/0!</v>
      </c>
      <c r="BB168" s="22">
        <f t="shared" si="1414"/>
        <v>0</v>
      </c>
      <c r="BC168" s="22" t="e">
        <f t="shared" si="1414"/>
        <v>#DIV/0!</v>
      </c>
      <c r="BD168" s="22">
        <f t="shared" si="1414"/>
        <v>0</v>
      </c>
      <c r="BE168" s="22" t="e">
        <f t="shared" si="1414"/>
        <v>#DIV/0!</v>
      </c>
      <c r="BF168" s="22">
        <f t="shared" si="1414"/>
        <v>0</v>
      </c>
      <c r="BG168" s="22" t="e">
        <f t="shared" si="1414"/>
        <v>#DIV/0!</v>
      </c>
      <c r="BH168" s="22">
        <f t="shared" si="1414"/>
        <v>0</v>
      </c>
      <c r="BI168" s="22" t="e">
        <f t="shared" si="1414"/>
        <v>#DIV/0!</v>
      </c>
      <c r="BJ168" s="22">
        <f t="shared" si="1414"/>
        <v>0</v>
      </c>
      <c r="BK168" s="22" t="e">
        <f t="shared" si="1414"/>
        <v>#DIV/0!</v>
      </c>
      <c r="BL168" s="22">
        <f t="shared" si="1414"/>
        <v>0</v>
      </c>
      <c r="BM168" s="22" t="e">
        <f t="shared" si="1414"/>
        <v>#DIV/0!</v>
      </c>
      <c r="BN168" s="22">
        <f t="shared" si="1414"/>
        <v>0</v>
      </c>
      <c r="BO168" s="22" t="e">
        <f t="shared" si="1414"/>
        <v>#DIV/0!</v>
      </c>
      <c r="BP168" s="22">
        <f t="shared" si="1414"/>
        <v>0</v>
      </c>
      <c r="BQ168" s="22" t="e">
        <f t="shared" si="1414"/>
        <v>#DIV/0!</v>
      </c>
      <c r="BR168" s="22">
        <f t="shared" si="1414"/>
        <v>0</v>
      </c>
      <c r="BS168" s="22" t="e">
        <f t="shared" si="1414"/>
        <v>#DIV/0!</v>
      </c>
      <c r="BT168" s="22">
        <f t="shared" si="1414"/>
        <v>0</v>
      </c>
      <c r="BU168" s="22" t="e">
        <f t="shared" si="1414"/>
        <v>#DIV/0!</v>
      </c>
      <c r="BV168" s="22">
        <f t="shared" si="1414"/>
        <v>0</v>
      </c>
      <c r="BW168" s="22" t="e">
        <f t="shared" si="1414"/>
        <v>#DIV/0!</v>
      </c>
      <c r="BX168" s="22">
        <f t="shared" si="1414"/>
        <v>0</v>
      </c>
      <c r="BY168" s="22" t="e">
        <f t="shared" si="1414"/>
        <v>#DIV/0!</v>
      </c>
      <c r="BZ168" s="22">
        <f t="shared" si="1414"/>
        <v>0</v>
      </c>
      <c r="CA168" s="22" t="e">
        <f t="shared" si="1414"/>
        <v>#DIV/0!</v>
      </c>
      <c r="CB168" s="22">
        <f t="shared" si="1414"/>
        <v>15.309999999999995</v>
      </c>
      <c r="CC168" s="22">
        <f t="shared" si="1414"/>
        <v>-9.3539060877590856</v>
      </c>
      <c r="CD168" s="22">
        <f t="shared" si="1414"/>
        <v>59.859999999999992</v>
      </c>
      <c r="CE168" s="22">
        <f t="shared" si="1414"/>
        <v>50.790307880482281</v>
      </c>
      <c r="CF168" s="22">
        <f t="shared" ref="CF168:CG168" si="1415">CF128-CF161</f>
        <v>-92.240000000000009</v>
      </c>
      <c r="CG168" s="22">
        <f t="shared" si="1415"/>
        <v>-120.99233405554466</v>
      </c>
      <c r="CH168" s="22">
        <f t="shared" ref="CH168:CI168" si="1416">CH128-CH161</f>
        <v>58.139999999999993</v>
      </c>
      <c r="CI168" s="22">
        <f t="shared" si="1416"/>
        <v>6.6664137371742456</v>
      </c>
      <c r="CJ168" s="22">
        <f t="shared" ref="CJ168:DB168" si="1417">CJ128-CJ161</f>
        <v>49.18</v>
      </c>
      <c r="CK168" s="21">
        <f t="shared" si="1417"/>
        <v>50.782183173588727</v>
      </c>
      <c r="CL168" s="22">
        <f t="shared" ref="CL168" si="1418">CL128-CL161</f>
        <v>116.78</v>
      </c>
      <c r="CM168" s="21">
        <f t="shared" si="1417"/>
        <v>-4.5318867565881078</v>
      </c>
      <c r="CN168" s="21">
        <f t="shared" si="1417"/>
        <v>127.24067401421554</v>
      </c>
      <c r="CO168" s="21">
        <f t="shared" si="1417"/>
        <v>119.141346483745</v>
      </c>
      <c r="CP168" s="21">
        <f t="shared" si="1417"/>
        <v>103.48359359200259</v>
      </c>
      <c r="CQ168" s="21">
        <f t="shared" si="1417"/>
        <v>-48.595261997694934</v>
      </c>
      <c r="CR168" s="21">
        <f t="shared" si="1417"/>
        <v>118.0692687648212</v>
      </c>
      <c r="CS168" s="21">
        <f t="shared" si="1417"/>
        <v>111.42339046142735</v>
      </c>
      <c r="CT168" s="21">
        <f t="shared" si="1417"/>
        <v>93.757180226584225</v>
      </c>
      <c r="CU168" s="21">
        <f t="shared" si="1417"/>
        <v>-87.360689240866776</v>
      </c>
      <c r="CV168" s="21">
        <f t="shared" si="1417"/>
        <v>114.92402328416779</v>
      </c>
      <c r="CW168" s="21">
        <f t="shared" si="1417"/>
        <v>108.24170396543137</v>
      </c>
      <c r="CX168" s="21">
        <f t="shared" si="1417"/>
        <v>87.990764117155052</v>
      </c>
      <c r="CY168" s="21">
        <f t="shared" si="1417"/>
        <v>-127.50631878599481</v>
      </c>
      <c r="CZ168" s="21">
        <f t="shared" si="1417"/>
        <v>115.49942681131122</v>
      </c>
      <c r="DA168" s="21">
        <f t="shared" si="1417"/>
        <v>108.20635640449522</v>
      </c>
      <c r="DB168" s="21">
        <f t="shared" si="1417"/>
        <v>84.607503923336182</v>
      </c>
      <c r="DE168" s="126"/>
      <c r="DF168" s="22">
        <v>116.78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0</v>
      </c>
      <c r="Y170" s="49">
        <f>'Annual Raw'!Z85</f>
        <v>7.65</v>
      </c>
      <c r="Z170" s="49">
        <f>'Annual Raw'!AA85</f>
        <v>6.15</v>
      </c>
      <c r="AA170" s="49">
        <f>'Annual Raw'!AB85</f>
        <v>6.15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6.15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7.65</v>
      </c>
      <c r="Z172" s="29">
        <f>'Annual Raw'!AA93</f>
        <v>6.15</v>
      </c>
      <c r="AA172" s="29">
        <f>'Annual Raw'!AB93</f>
        <v>6.15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6.15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 t="e">
        <f t="shared" si="1426"/>
        <v>#DIV/0!</v>
      </c>
      <c r="D175" s="95" t="e">
        <f t="shared" si="1426"/>
        <v>#DIV/0!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 t="e">
        <f t="shared" si="1426"/>
        <v>#DIV/0!</v>
      </c>
      <c r="I175" s="95" t="e">
        <f t="shared" si="1426"/>
        <v>#DIV/0!</v>
      </c>
      <c r="J175" s="95" t="e">
        <f t="shared" si="1426"/>
        <v>#DIV/0!</v>
      </c>
      <c r="K175" s="95" t="e">
        <f t="shared" si="1426"/>
        <v>#DIV/0!</v>
      </c>
      <c r="L175" s="95" t="e">
        <f t="shared" si="1426"/>
        <v>#DIV/0!</v>
      </c>
      <c r="M175" s="95" t="e">
        <f t="shared" si="1426"/>
        <v>#DIV/0!</v>
      </c>
      <c r="N175" s="95" t="e">
        <f t="shared" si="1426"/>
        <v>#DIV/0!</v>
      </c>
      <c r="O175" s="95" t="e">
        <f t="shared" si="1426"/>
        <v>#DIV/0!</v>
      </c>
      <c r="P175" s="95" t="e">
        <f t="shared" si="1426"/>
        <v>#DIV/0!</v>
      </c>
      <c r="Q175" s="95" t="e">
        <f t="shared" si="1426"/>
        <v>#DIV/0!</v>
      </c>
      <c r="R175" s="95" t="e">
        <f t="shared" si="1426"/>
        <v>#DIV/0!</v>
      </c>
      <c r="S175" s="95" t="e">
        <f t="shared" si="1426"/>
        <v>#DIV/0!</v>
      </c>
      <c r="T175" s="95" t="e">
        <f t="shared" si="1426"/>
        <v>#DIV/0!</v>
      </c>
      <c r="U175" s="95" t="e">
        <f t="shared" si="1426"/>
        <v>#DIV/0!</v>
      </c>
      <c r="V175" s="95">
        <f t="shared" si="1426"/>
        <v>0</v>
      </c>
      <c r="W175" s="95">
        <f t="shared" si="1426"/>
        <v>0</v>
      </c>
      <c r="X175" s="95" t="e">
        <f t="shared" ref="X175:Y175" si="1427">X170/X120</f>
        <v>#DIV/0!</v>
      </c>
      <c r="Y175" s="95">
        <f t="shared" si="1427"/>
        <v>5.5204364392102533E-3</v>
      </c>
      <c r="Z175" s="95">
        <f t="shared" ref="Z175:AA175" si="1428">Z170/Z120</f>
        <v>4.2786180411582189E-3</v>
      </c>
      <c r="AA175" s="95">
        <f t="shared" ref="AA175" si="1429">AA170/AA120</f>
        <v>4.0932052792364681E-3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 t="e">
        <f t="shared" si="1432"/>
        <v>#DIV/0!</v>
      </c>
      <c r="D179" s="67" t="e">
        <f t="shared" si="1432"/>
        <v>#DIV/0!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 t="e">
        <f t="shared" si="1432"/>
        <v>#DIV/0!</v>
      </c>
      <c r="I179" s="67" t="e">
        <f t="shared" si="1432"/>
        <v>#DIV/0!</v>
      </c>
      <c r="J179" s="67" t="e">
        <f t="shared" si="1432"/>
        <v>#DIV/0!</v>
      </c>
      <c r="K179" s="67" t="e">
        <f t="shared" si="1432"/>
        <v>#DIV/0!</v>
      </c>
      <c r="L179" s="67" t="e">
        <f t="shared" si="1432"/>
        <v>#DIV/0!</v>
      </c>
      <c r="M179" s="67" t="e">
        <f t="shared" si="1432"/>
        <v>#DIV/0!</v>
      </c>
      <c r="N179" s="67" t="e">
        <f t="shared" si="1432"/>
        <v>#DIV/0!</v>
      </c>
      <c r="O179" s="67" t="e">
        <f t="shared" si="1432"/>
        <v>#DIV/0!</v>
      </c>
      <c r="P179" s="67" t="e">
        <f t="shared" si="1432"/>
        <v>#DIV/0!</v>
      </c>
      <c r="Q179" s="67" t="e">
        <f t="shared" si="1432"/>
        <v>#DIV/0!</v>
      </c>
      <c r="R179" s="67" t="e">
        <f t="shared" si="1432"/>
        <v>#DIV/0!</v>
      </c>
      <c r="S179" s="67" t="e">
        <f t="shared" si="1432"/>
        <v>#DIV/0!</v>
      </c>
      <c r="T179" s="67" t="e">
        <f t="shared" si="1432"/>
        <v>#DIV/0!</v>
      </c>
      <c r="U179" s="67" t="e">
        <f t="shared" si="1432"/>
        <v>#DIV/0!</v>
      </c>
      <c r="V179" s="67" t="e">
        <f t="shared" si="1432"/>
        <v>#DIV/0!</v>
      </c>
      <c r="W179" s="67" t="e">
        <f t="shared" si="1432"/>
        <v>#DIV/0!</v>
      </c>
      <c r="X179" s="67" t="e">
        <f t="shared" si="1432"/>
        <v>#DIV/0!</v>
      </c>
      <c r="Y179" s="67">
        <f t="shared" si="1432"/>
        <v>119.80292005292003</v>
      </c>
      <c r="Z179" s="67">
        <f t="shared" si="1432"/>
        <v>92.563079354988346</v>
      </c>
      <c r="AA179" s="67">
        <f t="shared" ref="AA179" si="1433">AA144/AA8*365</f>
        <v>116.2057260363037</v>
      </c>
      <c r="AB179" s="18">
        <f t="shared" si="1432"/>
        <v>118.18874630082266</v>
      </c>
      <c r="AC179" s="18">
        <f t="shared" si="1432"/>
        <v>118.32598588852292</v>
      </c>
      <c r="AD179" s="18">
        <f t="shared" si="1432"/>
        <v>118.32520890896139</v>
      </c>
      <c r="AE179" s="18">
        <f t="shared" si="1432"/>
        <v>118.32145425824696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34">+AJ179</f>
        <v>#DIV/0!</v>
      </c>
      <c r="AL179" s="67" t="e">
        <f>AL144/AL8*90</f>
        <v>#DIV/0!</v>
      </c>
      <c r="AM179" s="67" t="e">
        <f t="shared" ref="AM179:AM180" si="1435">+AL179</f>
        <v>#DIV/0!</v>
      </c>
      <c r="AN179" s="67" t="e">
        <f>AN144/AN8*90</f>
        <v>#DIV/0!</v>
      </c>
      <c r="AO179" s="67" t="e">
        <f t="shared" ref="AO179:AO180" si="1436">+AN179</f>
        <v>#DIV/0!</v>
      </c>
      <c r="AP179" s="67" t="e">
        <f>AP144/AP8*90</f>
        <v>#DIV/0!</v>
      </c>
      <c r="AQ179" s="67" t="e">
        <f t="shared" ref="AQ179:AQ180" si="1437">+AP179</f>
        <v>#DIV/0!</v>
      </c>
      <c r="AR179" s="67" t="e">
        <f>AR144/AR8*90</f>
        <v>#DIV/0!</v>
      </c>
      <c r="AS179" s="67" t="e">
        <f t="shared" ref="AS179:AS180" si="1438">+AR179</f>
        <v>#DIV/0!</v>
      </c>
      <c r="AT179" s="67" t="e">
        <f>AT144/AT8*90</f>
        <v>#DIV/0!</v>
      </c>
      <c r="AU179" s="67" t="e">
        <f t="shared" ref="AU179:AU180" si="1439">+AT179</f>
        <v>#DIV/0!</v>
      </c>
      <c r="AV179" s="67" t="e">
        <f>AV144/AV8*90</f>
        <v>#DIV/0!</v>
      </c>
      <c r="AW179" s="67" t="e">
        <f t="shared" ref="AW179:AW180" si="1440">+AV179</f>
        <v>#DIV/0!</v>
      </c>
      <c r="AX179" s="67" t="e">
        <f>AX144/AX8*90</f>
        <v>#DIV/0!</v>
      </c>
      <c r="AY179" s="67" t="e">
        <f t="shared" ref="AY179:AY180" si="1441">+AX179</f>
        <v>#DIV/0!</v>
      </c>
      <c r="AZ179" s="67" t="e">
        <f>AZ144/AZ8*90</f>
        <v>#DIV/0!</v>
      </c>
      <c r="BA179" s="67" t="e">
        <f t="shared" ref="BA179:BA180" si="1442">+AZ179</f>
        <v>#DIV/0!</v>
      </c>
      <c r="BB179" s="67" t="e">
        <f>BB144/BB8*90</f>
        <v>#DIV/0!</v>
      </c>
      <c r="BC179" s="67" t="e">
        <f t="shared" ref="BC179:BC180" si="1443">+BB179</f>
        <v>#DIV/0!</v>
      </c>
      <c r="BD179" s="67" t="e">
        <f>BD144/BD8*90</f>
        <v>#DIV/0!</v>
      </c>
      <c r="BE179" s="67" t="e">
        <f t="shared" ref="BE179:BE180" si="1444">+BD179</f>
        <v>#DIV/0!</v>
      </c>
      <c r="BF179" s="67" t="e">
        <f>BF144/BF8*90</f>
        <v>#DIV/0!</v>
      </c>
      <c r="BG179" s="67" t="e">
        <f t="shared" ref="BG179:BG180" si="1445">+BF179</f>
        <v>#DIV/0!</v>
      </c>
      <c r="BH179" s="67" t="e">
        <f>BH144/BH8*90</f>
        <v>#DIV/0!</v>
      </c>
      <c r="BI179" s="67" t="e">
        <f t="shared" ref="BI179:BI180" si="1446">+BH179</f>
        <v>#DIV/0!</v>
      </c>
      <c r="BJ179" s="67" t="e">
        <f>BJ144/BJ8*90</f>
        <v>#DIV/0!</v>
      </c>
      <c r="BK179" s="67" t="e">
        <f t="shared" ref="BK179:BK180" si="1447">+BJ179</f>
        <v>#DIV/0!</v>
      </c>
      <c r="BL179" s="67" t="e">
        <f>BL144/BL8*90</f>
        <v>#DIV/0!</v>
      </c>
      <c r="BM179" s="67" t="e">
        <f t="shared" ref="BM179:BM180" si="1448">+BL179</f>
        <v>#DIV/0!</v>
      </c>
      <c r="BN179" s="67" t="e">
        <f>BN144/BN8*90</f>
        <v>#DIV/0!</v>
      </c>
      <c r="BO179" s="67" t="e">
        <f t="shared" ref="BO179:BO180" si="1449">+BN179</f>
        <v>#DIV/0!</v>
      </c>
      <c r="BP179" s="67" t="e">
        <f>BP144/BP8*90</f>
        <v>#DIV/0!</v>
      </c>
      <c r="BQ179" s="67" t="e">
        <f t="shared" ref="BQ179:BQ180" si="1450">+BP179</f>
        <v>#DIV/0!</v>
      </c>
      <c r="BR179" s="67" t="e">
        <f>BR144/BR8*90</f>
        <v>#DIV/0!</v>
      </c>
      <c r="BS179" s="67" t="e">
        <f t="shared" ref="BS179:BS180" si="1451">+BR179</f>
        <v>#DIV/0!</v>
      </c>
      <c r="BT179" s="67" t="e">
        <f>BT144/BT8*90</f>
        <v>#DIV/0!</v>
      </c>
      <c r="BU179" s="67" t="e">
        <f t="shared" ref="BU179:BU180" si="1452">+BT179</f>
        <v>#DIV/0!</v>
      </c>
      <c r="BV179" s="67" t="e">
        <f>BV144/BV8*90</f>
        <v>#DIV/0!</v>
      </c>
      <c r="BW179" s="67" t="e">
        <f t="shared" ref="BW179:BW180" si="1453">+BV179</f>
        <v>#DIV/0!</v>
      </c>
      <c r="BX179" s="67" t="e">
        <f>BX144/BX8*90</f>
        <v>#DIV/0!</v>
      </c>
      <c r="BY179" s="67" t="e">
        <f t="shared" ref="BY179:BY180" si="1454">+BX179</f>
        <v>#DIV/0!</v>
      </c>
      <c r="BZ179" s="67" t="e">
        <f>BZ144/BZ8*90</f>
        <v>#DIV/0!</v>
      </c>
      <c r="CA179" s="67" t="e">
        <f t="shared" ref="CA179:CA180" si="1455">+BZ179</f>
        <v>#DIV/0!</v>
      </c>
      <c r="CB179" s="67">
        <f>CB144/CB8*90</f>
        <v>99.63927239164714</v>
      </c>
      <c r="CC179" s="67">
        <f t="shared" ref="CC179:CC180" si="1456">+CB179</f>
        <v>99.63927239164714</v>
      </c>
      <c r="CD179" s="67">
        <f>CD144/CD8*90</f>
        <v>109.24235540800281</v>
      </c>
      <c r="CE179" s="67">
        <f t="shared" si="1434"/>
        <v>109.24235540800281</v>
      </c>
      <c r="CF179" s="67">
        <f>CF144/CF8*90</f>
        <v>72.949576521567849</v>
      </c>
      <c r="CG179" s="67">
        <f t="shared" ref="CG179:CI180" si="1457">+CF179</f>
        <v>72.949576521567849</v>
      </c>
      <c r="CH179" s="67">
        <f>CH144/CH8*90</f>
        <v>93.674764641585284</v>
      </c>
      <c r="CI179" s="67">
        <f t="shared" si="1457"/>
        <v>93.674764641585284</v>
      </c>
      <c r="CJ179" s="67">
        <f>CJ144/CJ8*90</f>
        <v>77.313631522896699</v>
      </c>
      <c r="CK179" s="30">
        <f t="shared" ref="CK179:CK180" si="1458">+CJ179</f>
        <v>77.313631522896699</v>
      </c>
      <c r="CL179" s="67">
        <f>CL144/CL8*90</f>
        <v>104.21182875525859</v>
      </c>
      <c r="CM179" s="30">
        <f t="shared" ref="CM179:CM180" si="1459">+CL179</f>
        <v>104.21182875525859</v>
      </c>
      <c r="CN179" s="30">
        <f t="shared" ref="CN179:CN180" si="1460">+CM179</f>
        <v>104.21182875525859</v>
      </c>
      <c r="CO179" s="30">
        <f t="shared" ref="CO179:CO180" si="1461">+CN179</f>
        <v>104.21182875525859</v>
      </c>
      <c r="CP179" s="30">
        <f t="shared" ref="CP179:CP180" si="1462">+CO179</f>
        <v>104.21182875525859</v>
      </c>
      <c r="CQ179" s="30">
        <f t="shared" ref="CQ179:CQ180" si="1463">+CP179</f>
        <v>104.21182875525859</v>
      </c>
      <c r="CR179" s="30">
        <f t="shared" ref="CR179:CR180" si="1464">+CQ179</f>
        <v>104.21182875525859</v>
      </c>
      <c r="CS179" s="30">
        <f t="shared" ref="CS179:CS180" si="1465">+CR179</f>
        <v>104.21182875525859</v>
      </c>
      <c r="CT179" s="30">
        <f t="shared" ref="CT179:CT180" si="1466">+CS179</f>
        <v>104.21182875525859</v>
      </c>
      <c r="CU179" s="30">
        <f t="shared" ref="CU179:CU180" si="1467">+CT179</f>
        <v>104.21182875525859</v>
      </c>
      <c r="CV179" s="30">
        <f t="shared" ref="CV179:CV180" si="1468">+CU179</f>
        <v>104.21182875525859</v>
      </c>
      <c r="CW179" s="30">
        <f t="shared" ref="CW179:CW180" si="1469">+CV179</f>
        <v>104.21182875525859</v>
      </c>
      <c r="CX179" s="30">
        <f t="shared" ref="CX179:CX180" si="1470">+CW179</f>
        <v>104.21182875525859</v>
      </c>
      <c r="CY179" s="30">
        <f t="shared" ref="CY179:CY180" si="1471">+CX179</f>
        <v>104.21182875525859</v>
      </c>
      <c r="CZ179" s="30">
        <f t="shared" ref="CZ179:CZ180" si="1472">+CY179</f>
        <v>104.21182875525859</v>
      </c>
      <c r="DA179" s="30">
        <f t="shared" ref="DA179:DA180" si="1473">+CZ179</f>
        <v>104.21182875525859</v>
      </c>
      <c r="DB179" s="30">
        <f t="shared" ref="DB179:DB180" si="1474">+DA179</f>
        <v>104.21182875525859</v>
      </c>
      <c r="DE179" s="139"/>
      <c r="DF179" s="62">
        <v>116.56969513119975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 t="e">
        <f t="shared" si="1475"/>
        <v>#DIV/0!</v>
      </c>
      <c r="D180" s="67" t="e">
        <f t="shared" si="1475"/>
        <v>#DIV/0!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 t="e">
        <f t="shared" si="1475"/>
        <v>#DIV/0!</v>
      </c>
      <c r="I180" s="67" t="e">
        <f t="shared" si="1475"/>
        <v>#DIV/0!</v>
      </c>
      <c r="J180" s="67" t="e">
        <f t="shared" si="1475"/>
        <v>#DIV/0!</v>
      </c>
      <c r="K180" s="67" t="e">
        <f t="shared" si="1475"/>
        <v>#DIV/0!</v>
      </c>
      <c r="L180" s="67" t="e">
        <f t="shared" si="1475"/>
        <v>#DIV/0!</v>
      </c>
      <c r="M180" s="67" t="e">
        <f t="shared" si="1475"/>
        <v>#DIV/0!</v>
      </c>
      <c r="N180" s="67" t="e">
        <f t="shared" si="1475"/>
        <v>#DIV/0!</v>
      </c>
      <c r="O180" s="67" t="e">
        <f t="shared" si="1475"/>
        <v>#DIV/0!</v>
      </c>
      <c r="P180" s="67" t="e">
        <f t="shared" si="1475"/>
        <v>#DIV/0!</v>
      </c>
      <c r="Q180" s="67" t="e">
        <f t="shared" si="1475"/>
        <v>#DIV/0!</v>
      </c>
      <c r="R180" s="67" t="e">
        <f t="shared" si="1475"/>
        <v>#DIV/0!</v>
      </c>
      <c r="S180" s="67" t="e">
        <f t="shared" si="1475"/>
        <v>#DIV/0!</v>
      </c>
      <c r="T180" s="67" t="e">
        <f t="shared" si="1475"/>
        <v>#DIV/0!</v>
      </c>
      <c r="U180" s="67" t="e">
        <f t="shared" si="1475"/>
        <v>#DIV/0!</v>
      </c>
      <c r="V180" s="67" t="e">
        <f t="shared" si="1475"/>
        <v>#DIV/0!</v>
      </c>
      <c r="W180" s="67" t="e">
        <f t="shared" si="1475"/>
        <v>#DIV/0!</v>
      </c>
      <c r="X180" s="67" t="e">
        <f t="shared" si="1475"/>
        <v>#DIV/0!</v>
      </c>
      <c r="Y180" s="67">
        <f t="shared" si="1475"/>
        <v>40.397656397656398</v>
      </c>
      <c r="Z180" s="67">
        <f t="shared" si="1475"/>
        <v>36.778764787244093</v>
      </c>
      <c r="AA180" s="67">
        <f t="shared" ref="AA180" si="1476">AA145/AA8*365</f>
        <v>47.073363422618371</v>
      </c>
      <c r="AB180" s="18">
        <f t="shared" si="1475"/>
        <v>47.876658034425667</v>
      </c>
      <c r="AC180" s="18">
        <f t="shared" si="1475"/>
        <v>47.932251929908631</v>
      </c>
      <c r="AD180" s="18">
        <f t="shared" si="1475"/>
        <v>47.931937186027085</v>
      </c>
      <c r="AE180" s="18">
        <f t="shared" si="1475"/>
        <v>47.930416227950104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35"/>
        <v>#DIV/0!</v>
      </c>
      <c r="AN180" s="67" t="e">
        <f>AN145/AN8*90</f>
        <v>#DIV/0!</v>
      </c>
      <c r="AO180" s="67" t="e">
        <f t="shared" si="1436"/>
        <v>#DIV/0!</v>
      </c>
      <c r="AP180" s="67" t="e">
        <f>AP145/AP8*90</f>
        <v>#DIV/0!</v>
      </c>
      <c r="AQ180" s="67" t="e">
        <f t="shared" si="1437"/>
        <v>#DIV/0!</v>
      </c>
      <c r="AR180" s="67" t="e">
        <f>AR145/AR8*90</f>
        <v>#DIV/0!</v>
      </c>
      <c r="AS180" s="67" t="e">
        <f t="shared" si="1438"/>
        <v>#DIV/0!</v>
      </c>
      <c r="AT180" s="67" t="e">
        <f>AT145/AT8*90</f>
        <v>#DIV/0!</v>
      </c>
      <c r="AU180" s="67" t="e">
        <f t="shared" si="1439"/>
        <v>#DIV/0!</v>
      </c>
      <c r="AV180" s="67" t="e">
        <f>AV145/AV8*90</f>
        <v>#DIV/0!</v>
      </c>
      <c r="AW180" s="67" t="e">
        <f t="shared" si="1440"/>
        <v>#DIV/0!</v>
      </c>
      <c r="AX180" s="67" t="e">
        <f>AX145/AX8*90</f>
        <v>#DIV/0!</v>
      </c>
      <c r="AY180" s="67" t="e">
        <f t="shared" si="1441"/>
        <v>#DIV/0!</v>
      </c>
      <c r="AZ180" s="67" t="e">
        <f>AZ145/AZ8*90</f>
        <v>#DIV/0!</v>
      </c>
      <c r="BA180" s="67" t="e">
        <f t="shared" si="1442"/>
        <v>#DIV/0!</v>
      </c>
      <c r="BB180" s="67" t="e">
        <f>BB145/BB8*90</f>
        <v>#DIV/0!</v>
      </c>
      <c r="BC180" s="67" t="e">
        <f t="shared" si="1443"/>
        <v>#DIV/0!</v>
      </c>
      <c r="BD180" s="67" t="e">
        <f>BD145/BD8*90</f>
        <v>#DIV/0!</v>
      </c>
      <c r="BE180" s="67" t="e">
        <f t="shared" si="1444"/>
        <v>#DIV/0!</v>
      </c>
      <c r="BF180" s="67" t="e">
        <f>BF145/BF8*90</f>
        <v>#DIV/0!</v>
      </c>
      <c r="BG180" s="67" t="e">
        <f t="shared" si="1445"/>
        <v>#DIV/0!</v>
      </c>
      <c r="BH180" s="67" t="e">
        <f>BH145/BH8*90</f>
        <v>#DIV/0!</v>
      </c>
      <c r="BI180" s="67" t="e">
        <f t="shared" si="1446"/>
        <v>#DIV/0!</v>
      </c>
      <c r="BJ180" s="67" t="e">
        <f>BJ145/BJ8*90</f>
        <v>#DIV/0!</v>
      </c>
      <c r="BK180" s="67" t="e">
        <f t="shared" si="1447"/>
        <v>#DIV/0!</v>
      </c>
      <c r="BL180" s="67" t="e">
        <f>BL145/BL8*90</f>
        <v>#DIV/0!</v>
      </c>
      <c r="BM180" s="67" t="e">
        <f t="shared" si="1448"/>
        <v>#DIV/0!</v>
      </c>
      <c r="BN180" s="67" t="e">
        <f>BN145/BN8*90</f>
        <v>#DIV/0!</v>
      </c>
      <c r="BO180" s="67" t="e">
        <f t="shared" si="1449"/>
        <v>#DIV/0!</v>
      </c>
      <c r="BP180" s="67" t="e">
        <f>BP145/BP8*90</f>
        <v>#DIV/0!</v>
      </c>
      <c r="BQ180" s="67" t="e">
        <f t="shared" si="1450"/>
        <v>#DIV/0!</v>
      </c>
      <c r="BR180" s="67" t="e">
        <f>BR145/BR8*90</f>
        <v>#DIV/0!</v>
      </c>
      <c r="BS180" s="67" t="e">
        <f t="shared" si="1451"/>
        <v>#DIV/0!</v>
      </c>
      <c r="BT180" s="67" t="e">
        <f>BT145/BT8*90</f>
        <v>#DIV/0!</v>
      </c>
      <c r="BU180" s="67" t="e">
        <f t="shared" si="1452"/>
        <v>#DIV/0!</v>
      </c>
      <c r="BV180" s="67" t="e">
        <f>BV145/BV8*90</f>
        <v>#DIV/0!</v>
      </c>
      <c r="BW180" s="67" t="e">
        <f t="shared" si="1453"/>
        <v>#DIV/0!</v>
      </c>
      <c r="BX180" s="67" t="e">
        <f>BX145/BX8*90</f>
        <v>#DIV/0!</v>
      </c>
      <c r="BY180" s="67" t="e">
        <f t="shared" si="1454"/>
        <v>#DIV/0!</v>
      </c>
      <c r="BZ180" s="67" t="e">
        <f>BZ145/BZ8*90</f>
        <v>#DIV/0!</v>
      </c>
      <c r="CA180" s="67" t="e">
        <f t="shared" si="1455"/>
        <v>#DIV/0!</v>
      </c>
      <c r="CB180" s="67">
        <f>CB145/CB8*90</f>
        <v>30.835288235972776</v>
      </c>
      <c r="CC180" s="67">
        <f t="shared" si="1456"/>
        <v>30.835288235972776</v>
      </c>
      <c r="CD180" s="67">
        <f>CD145/CD8*90</f>
        <v>36.836624148174039</v>
      </c>
      <c r="CE180" s="114">
        <f t="shared" ref="CE180" si="1477">+CD180</f>
        <v>36.836624148174039</v>
      </c>
      <c r="CF180" s="67">
        <f>CF145/CF8*90</f>
        <v>36.231041953909788</v>
      </c>
      <c r="CG180" s="67">
        <f t="shared" si="1457"/>
        <v>36.231041953909788</v>
      </c>
      <c r="CH180" s="67">
        <f>CH145/CH8*90</f>
        <v>37.220478826557596</v>
      </c>
      <c r="CI180" s="67">
        <f t="shared" si="1457"/>
        <v>37.220478826557596</v>
      </c>
      <c r="CJ180" s="67">
        <f>CJ145/CJ8*90</f>
        <v>35.423322683706068</v>
      </c>
      <c r="CK180" s="30">
        <f t="shared" si="1458"/>
        <v>35.423322683706068</v>
      </c>
      <c r="CL180" s="67">
        <f>CL145/CL8*90</f>
        <v>42.214798317248203</v>
      </c>
      <c r="CM180" s="30">
        <f t="shared" si="1459"/>
        <v>42.214798317248203</v>
      </c>
      <c r="CN180" s="30">
        <f t="shared" si="1460"/>
        <v>42.214798317248203</v>
      </c>
      <c r="CO180" s="30">
        <f t="shared" si="1461"/>
        <v>42.214798317248203</v>
      </c>
      <c r="CP180" s="30">
        <f t="shared" si="1462"/>
        <v>42.214798317248203</v>
      </c>
      <c r="CQ180" s="30">
        <f t="shared" si="1463"/>
        <v>42.214798317248203</v>
      </c>
      <c r="CR180" s="30">
        <f t="shared" si="1464"/>
        <v>42.214798317248203</v>
      </c>
      <c r="CS180" s="30">
        <f t="shared" si="1465"/>
        <v>42.214798317248203</v>
      </c>
      <c r="CT180" s="30">
        <f t="shared" si="1466"/>
        <v>42.214798317248203</v>
      </c>
      <c r="CU180" s="30">
        <f t="shared" si="1467"/>
        <v>42.214798317248203</v>
      </c>
      <c r="CV180" s="30">
        <f t="shared" si="1468"/>
        <v>42.214798317248203</v>
      </c>
      <c r="CW180" s="30">
        <f t="shared" si="1469"/>
        <v>42.214798317248203</v>
      </c>
      <c r="CX180" s="30">
        <f t="shared" si="1470"/>
        <v>42.214798317248203</v>
      </c>
      <c r="CY180" s="30">
        <f t="shared" si="1471"/>
        <v>42.214798317248203</v>
      </c>
      <c r="CZ180" s="30">
        <f t="shared" si="1472"/>
        <v>42.214798317248203</v>
      </c>
      <c r="DA180" s="30">
        <f t="shared" si="1473"/>
        <v>42.214798317248203</v>
      </c>
      <c r="DB180" s="30">
        <f t="shared" si="1474"/>
        <v>42.214798317248203</v>
      </c>
      <c r="DE180" s="139"/>
      <c r="DF180" s="62">
        <v>47.220802366145911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8">C182-C180-C179</f>
        <v>#DIV/0!</v>
      </c>
      <c r="D181" s="67" t="e">
        <f t="shared" si="1478"/>
        <v>#DIV/0!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 t="e">
        <f t="shared" si="1478"/>
        <v>#DIV/0!</v>
      </c>
      <c r="I181" s="67" t="e">
        <f t="shared" si="1478"/>
        <v>#DIV/0!</v>
      </c>
      <c r="J181" s="67" t="e">
        <f t="shared" si="1478"/>
        <v>#DIV/0!</v>
      </c>
      <c r="K181" s="67" t="e">
        <f t="shared" si="1478"/>
        <v>#DIV/0!</v>
      </c>
      <c r="L181" s="67" t="e">
        <f t="shared" si="1478"/>
        <v>#DIV/0!</v>
      </c>
      <c r="M181" s="67" t="e">
        <f t="shared" si="1478"/>
        <v>#DIV/0!</v>
      </c>
      <c r="N181" s="67" t="e">
        <f t="shared" si="1478"/>
        <v>#DIV/0!</v>
      </c>
      <c r="O181" s="67" t="e">
        <f t="shared" si="1478"/>
        <v>#DIV/0!</v>
      </c>
      <c r="P181" s="67" t="e">
        <f t="shared" si="1478"/>
        <v>#DIV/0!</v>
      </c>
      <c r="Q181" s="67" t="e">
        <f t="shared" si="1478"/>
        <v>#DIV/0!</v>
      </c>
      <c r="R181" s="67" t="e">
        <f t="shared" si="1478"/>
        <v>#DIV/0!</v>
      </c>
      <c r="S181" s="67" t="e">
        <f t="shared" si="1478"/>
        <v>#DIV/0!</v>
      </c>
      <c r="T181" s="67" t="e">
        <f t="shared" si="1478"/>
        <v>#DIV/0!</v>
      </c>
      <c r="U181" s="67" t="e">
        <f t="shared" si="1478"/>
        <v>#DIV/0!</v>
      </c>
      <c r="V181" s="67" t="e">
        <f>V182-V180-V179</f>
        <v>#DIV/0!</v>
      </c>
      <c r="W181" s="67" t="e">
        <f t="shared" ref="W181" si="1479">W182-W180-W179</f>
        <v>#DIV/0!</v>
      </c>
      <c r="X181" s="67" t="e">
        <f t="shared" ref="X181:Y181" si="1480">X182-X180-X179</f>
        <v>#DIV/0!</v>
      </c>
      <c r="Y181" s="67">
        <f t="shared" si="1480"/>
        <v>29.232422982423003</v>
      </c>
      <c r="Z181" s="67">
        <f t="shared" ref="Z181:AA181" si="1481">Z182-Z180-Z179</f>
        <v>32.783867836186985</v>
      </c>
      <c r="AA181" s="67">
        <f t="shared" ref="AA181" si="1482">AA182-AA180-AA179</f>
        <v>18.786298035124304</v>
      </c>
      <c r="AB181" s="18">
        <f t="shared" ref="AB181:AD181" si="1483">AB182-AB180-AB179</f>
        <v>19.10688128837387</v>
      </c>
      <c r="AC181" s="18">
        <f t="shared" si="1483"/>
        <v>19.129068007434086</v>
      </c>
      <c r="AD181" s="18">
        <f t="shared" si="1483"/>
        <v>19.128942397706382</v>
      </c>
      <c r="AE181" s="18">
        <f t="shared" ref="AE181" si="1484">AE182-AE180-AE179</f>
        <v>19.128335405351137</v>
      </c>
      <c r="AI181" s="67" t="e">
        <f t="shared" ref="AI181:AK181" si="1485">AI182-AI180-AI179</f>
        <v>#DIV/0!</v>
      </c>
      <c r="AJ181" s="67" t="e">
        <f t="shared" ref="AJ181:AM181" si="1486">AJ182-AJ180-AJ179</f>
        <v>#DIV/0!</v>
      </c>
      <c r="AK181" s="67" t="e">
        <f t="shared" si="1485"/>
        <v>#DIV/0!</v>
      </c>
      <c r="AL181" s="67" t="e">
        <f t="shared" si="1486"/>
        <v>#DIV/0!</v>
      </c>
      <c r="AM181" s="67" t="e">
        <f t="shared" si="1486"/>
        <v>#DIV/0!</v>
      </c>
      <c r="AN181" s="67" t="e">
        <f t="shared" ref="AN181:AY181" si="1487">AN182-AN180-AN179</f>
        <v>#DIV/0!</v>
      </c>
      <c r="AO181" s="67" t="e">
        <f t="shared" si="1487"/>
        <v>#DIV/0!</v>
      </c>
      <c r="AP181" s="67" t="e">
        <f t="shared" si="1487"/>
        <v>#DIV/0!</v>
      </c>
      <c r="AQ181" s="67" t="e">
        <f t="shared" si="1487"/>
        <v>#DIV/0!</v>
      </c>
      <c r="AR181" s="67" t="e">
        <f t="shared" si="1487"/>
        <v>#DIV/0!</v>
      </c>
      <c r="AS181" s="67" t="e">
        <f t="shared" si="1487"/>
        <v>#DIV/0!</v>
      </c>
      <c r="AT181" s="67" t="e">
        <f t="shared" si="1487"/>
        <v>#DIV/0!</v>
      </c>
      <c r="AU181" s="67" t="e">
        <f t="shared" si="1487"/>
        <v>#DIV/0!</v>
      </c>
      <c r="AV181" s="67" t="e">
        <f t="shared" si="1487"/>
        <v>#DIV/0!</v>
      </c>
      <c r="AW181" s="67" t="e">
        <f t="shared" si="1487"/>
        <v>#DIV/0!</v>
      </c>
      <c r="AX181" s="67" t="e">
        <f t="shared" si="1487"/>
        <v>#DIV/0!</v>
      </c>
      <c r="AY181" s="67" t="e">
        <f t="shared" si="1487"/>
        <v>#DIV/0!</v>
      </c>
      <c r="AZ181" s="67" t="e">
        <f t="shared" ref="AZ181:BC181" si="1488">AZ182-AZ180-AZ179</f>
        <v>#DIV/0!</v>
      </c>
      <c r="BA181" s="67" t="e">
        <f t="shared" si="1488"/>
        <v>#DIV/0!</v>
      </c>
      <c r="BB181" s="67" t="e">
        <f t="shared" si="1488"/>
        <v>#DIV/0!</v>
      </c>
      <c r="BC181" s="67" t="e">
        <f t="shared" si="1488"/>
        <v>#DIV/0!</v>
      </c>
      <c r="BD181" s="67" t="e">
        <f t="shared" ref="BD181:CE181" si="1489">BD182-BD180-BD179</f>
        <v>#DIV/0!</v>
      </c>
      <c r="BE181" s="67" t="e">
        <f t="shared" si="1489"/>
        <v>#DIV/0!</v>
      </c>
      <c r="BF181" s="67" t="e">
        <f t="shared" si="1489"/>
        <v>#DIV/0!</v>
      </c>
      <c r="BG181" s="67" t="e">
        <f t="shared" si="1489"/>
        <v>#DIV/0!</v>
      </c>
      <c r="BH181" s="67" t="e">
        <f t="shared" si="1489"/>
        <v>#DIV/0!</v>
      </c>
      <c r="BI181" s="67" t="e">
        <f t="shared" si="1489"/>
        <v>#DIV/0!</v>
      </c>
      <c r="BJ181" s="67" t="e">
        <f t="shared" si="1489"/>
        <v>#DIV/0!</v>
      </c>
      <c r="BK181" s="67" t="e">
        <f t="shared" si="1489"/>
        <v>#DIV/0!</v>
      </c>
      <c r="BL181" s="67" t="e">
        <f t="shared" si="1489"/>
        <v>#DIV/0!</v>
      </c>
      <c r="BM181" s="67" t="e">
        <f t="shared" si="1489"/>
        <v>#DIV/0!</v>
      </c>
      <c r="BN181" s="67" t="e">
        <f t="shared" si="1489"/>
        <v>#DIV/0!</v>
      </c>
      <c r="BO181" s="67" t="e">
        <f t="shared" si="1489"/>
        <v>#DIV/0!</v>
      </c>
      <c r="BP181" s="67" t="e">
        <f t="shared" si="1489"/>
        <v>#DIV/0!</v>
      </c>
      <c r="BQ181" s="67" t="e">
        <f t="shared" si="1489"/>
        <v>#DIV/0!</v>
      </c>
      <c r="BR181" s="67" t="e">
        <f t="shared" si="1489"/>
        <v>#DIV/0!</v>
      </c>
      <c r="BS181" s="67" t="e">
        <f t="shared" si="1489"/>
        <v>#DIV/0!</v>
      </c>
      <c r="BT181" s="67" t="e">
        <f t="shared" si="1489"/>
        <v>#DIV/0!</v>
      </c>
      <c r="BU181" s="67" t="e">
        <f t="shared" si="1489"/>
        <v>#DIV/0!</v>
      </c>
      <c r="BV181" s="67" t="e">
        <f t="shared" si="1489"/>
        <v>#DIV/0!</v>
      </c>
      <c r="BW181" s="67" t="e">
        <f t="shared" si="1489"/>
        <v>#DIV/0!</v>
      </c>
      <c r="BX181" s="67" t="e">
        <f t="shared" si="1489"/>
        <v>#DIV/0!</v>
      </c>
      <c r="BY181" s="67" t="e">
        <f t="shared" si="1489"/>
        <v>#DIV/0!</v>
      </c>
      <c r="BZ181" s="67" t="e">
        <f t="shared" si="1489"/>
        <v>#DIV/0!</v>
      </c>
      <c r="CA181" s="67" t="e">
        <f t="shared" si="1489"/>
        <v>#DIV/0!</v>
      </c>
      <c r="CB181" s="67">
        <f t="shared" si="1489"/>
        <v>38.138291735568956</v>
      </c>
      <c r="CC181" s="67">
        <f t="shared" si="1489"/>
        <v>40.575672026512834</v>
      </c>
      <c r="CD181" s="67">
        <f t="shared" si="1489"/>
        <v>26.655600209680202</v>
      </c>
      <c r="CE181" s="114">
        <f t="shared" si="1489"/>
        <v>26.49081373945053</v>
      </c>
      <c r="CF181" s="67">
        <f t="shared" ref="CF181:CG181" si="1490">CF182-CF180-CF179</f>
        <v>28.773882213905864</v>
      </c>
      <c r="CG181" s="67">
        <f t="shared" si="1490"/>
        <v>30.754736842105274</v>
      </c>
      <c r="CH181" s="67">
        <f t="shared" ref="CH181" si="1491">CH182-CH180-CH179</f>
        <v>33.177603046436971</v>
      </c>
      <c r="CI181" s="67">
        <f>CH181</f>
        <v>33.177603046436971</v>
      </c>
      <c r="CJ181" s="67">
        <f t="shared" ref="CJ181:CL181" si="1492">CJ182-CJ180-CJ179</f>
        <v>21.78913738019169</v>
      </c>
      <c r="CK181" s="30">
        <f t="shared" ref="CK181:DB181" si="1493">CJ181</f>
        <v>21.78913738019169</v>
      </c>
      <c r="CL181" s="67">
        <f t="shared" si="1492"/>
        <v>16.847315021034419</v>
      </c>
      <c r="CM181" s="30">
        <f t="shared" si="1493"/>
        <v>16.847315021034419</v>
      </c>
      <c r="CN181" s="30">
        <f t="shared" si="1493"/>
        <v>16.847315021034419</v>
      </c>
      <c r="CO181" s="30">
        <f t="shared" si="1493"/>
        <v>16.847315021034419</v>
      </c>
      <c r="CP181" s="30">
        <f t="shared" si="1493"/>
        <v>16.847315021034419</v>
      </c>
      <c r="CQ181" s="30">
        <f t="shared" si="1493"/>
        <v>16.847315021034419</v>
      </c>
      <c r="CR181" s="30">
        <f t="shared" si="1493"/>
        <v>16.847315021034419</v>
      </c>
      <c r="CS181" s="30">
        <f t="shared" si="1493"/>
        <v>16.847315021034419</v>
      </c>
      <c r="CT181" s="30">
        <f t="shared" si="1493"/>
        <v>16.847315021034419</v>
      </c>
      <c r="CU181" s="30">
        <f t="shared" si="1493"/>
        <v>16.847315021034419</v>
      </c>
      <c r="CV181" s="30">
        <f t="shared" si="1493"/>
        <v>16.847315021034419</v>
      </c>
      <c r="CW181" s="30">
        <f t="shared" si="1493"/>
        <v>16.847315021034419</v>
      </c>
      <c r="CX181" s="30">
        <f t="shared" si="1493"/>
        <v>16.847315021034419</v>
      </c>
      <c r="CY181" s="30">
        <f t="shared" si="1493"/>
        <v>16.847315021034419</v>
      </c>
      <c r="CZ181" s="30">
        <f t="shared" si="1493"/>
        <v>16.847315021034419</v>
      </c>
      <c r="DA181" s="30">
        <f t="shared" si="1493"/>
        <v>16.847315021034419</v>
      </c>
      <c r="DB181" s="30">
        <f t="shared" si="1493"/>
        <v>16.847315021034419</v>
      </c>
      <c r="DE181" s="139"/>
      <c r="DF181" s="62">
        <v>18.845138783558355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 t="e">
        <f t="shared" si="1494"/>
        <v>#DIV/0!</v>
      </c>
      <c r="D182" s="70" t="e">
        <f t="shared" si="1494"/>
        <v>#DIV/0!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 t="e">
        <f t="shared" si="1494"/>
        <v>#DIV/0!</v>
      </c>
      <c r="I182" s="70" t="e">
        <f t="shared" si="1494"/>
        <v>#DIV/0!</v>
      </c>
      <c r="J182" s="70" t="e">
        <f t="shared" si="1494"/>
        <v>#DIV/0!</v>
      </c>
      <c r="K182" s="70" t="e">
        <f t="shared" si="1494"/>
        <v>#DIV/0!</v>
      </c>
      <c r="L182" s="70" t="e">
        <f t="shared" si="1494"/>
        <v>#DIV/0!</v>
      </c>
      <c r="M182" s="70" t="e">
        <f t="shared" si="1494"/>
        <v>#DIV/0!</v>
      </c>
      <c r="N182" s="70" t="e">
        <f t="shared" si="1494"/>
        <v>#DIV/0!</v>
      </c>
      <c r="O182" s="70" t="e">
        <f t="shared" si="1494"/>
        <v>#DIV/0!</v>
      </c>
      <c r="P182" s="70" t="e">
        <f t="shared" si="1494"/>
        <v>#DIV/0!</v>
      </c>
      <c r="Q182" s="70" t="e">
        <f t="shared" si="1494"/>
        <v>#DIV/0!</v>
      </c>
      <c r="R182" s="70" t="e">
        <f t="shared" si="1494"/>
        <v>#DIV/0!</v>
      </c>
      <c r="S182" s="70" t="e">
        <f t="shared" si="1494"/>
        <v>#DIV/0!</v>
      </c>
      <c r="T182" s="70" t="e">
        <f t="shared" si="1494"/>
        <v>#DIV/0!</v>
      </c>
      <c r="U182" s="70" t="e">
        <f t="shared" si="1494"/>
        <v>#DIV/0!</v>
      </c>
      <c r="V182" s="70" t="e">
        <f t="shared" si="1494"/>
        <v>#DIV/0!</v>
      </c>
      <c r="W182" s="70" t="e">
        <f t="shared" si="1494"/>
        <v>#DIV/0!</v>
      </c>
      <c r="X182" s="70" t="e">
        <f t="shared" si="1494"/>
        <v>#DIV/0!</v>
      </c>
      <c r="Y182" s="70">
        <f t="shared" si="1494"/>
        <v>189.43299943299942</v>
      </c>
      <c r="Z182" s="70">
        <f t="shared" si="1494"/>
        <v>162.12571197841942</v>
      </c>
      <c r="AA182" s="70">
        <f t="shared" ref="AA182" si="1495">AA148/AA8*365</f>
        <v>182.06538749404638</v>
      </c>
      <c r="AB182" s="71">
        <f t="shared" si="1494"/>
        <v>185.1722856236222</v>
      </c>
      <c r="AC182" s="71">
        <f t="shared" si="1494"/>
        <v>185.38730582586564</v>
      </c>
      <c r="AD182" s="71">
        <f t="shared" si="1494"/>
        <v>185.38608849269485</v>
      </c>
      <c r="AE182" s="71">
        <f t="shared" si="1494"/>
        <v>185.3802058915482</v>
      </c>
      <c r="AI182" s="70" t="e">
        <f t="shared" ref="AI182:CD182" si="1496">AI148/AI8*90</f>
        <v>#DIV/0!</v>
      </c>
      <c r="AJ182" s="70" t="e">
        <f t="shared" si="1496"/>
        <v>#DIV/0!</v>
      </c>
      <c r="AK182" s="70" t="e">
        <f t="shared" si="1496"/>
        <v>#DIV/0!</v>
      </c>
      <c r="AL182" s="70" t="e">
        <f t="shared" si="1496"/>
        <v>#DIV/0!</v>
      </c>
      <c r="AM182" s="70" t="e">
        <f t="shared" si="1496"/>
        <v>#DIV/0!</v>
      </c>
      <c r="AN182" s="70" t="e">
        <f t="shared" si="1496"/>
        <v>#DIV/0!</v>
      </c>
      <c r="AO182" s="70" t="e">
        <f t="shared" si="1496"/>
        <v>#DIV/0!</v>
      </c>
      <c r="AP182" s="70" t="e">
        <f t="shared" si="1496"/>
        <v>#DIV/0!</v>
      </c>
      <c r="AQ182" s="70" t="e">
        <f t="shared" si="1496"/>
        <v>#DIV/0!</v>
      </c>
      <c r="AR182" s="70" t="e">
        <f t="shared" si="1496"/>
        <v>#DIV/0!</v>
      </c>
      <c r="AS182" s="70" t="e">
        <f t="shared" si="1496"/>
        <v>#DIV/0!</v>
      </c>
      <c r="AT182" s="70" t="e">
        <f t="shared" si="1496"/>
        <v>#DIV/0!</v>
      </c>
      <c r="AU182" s="70" t="e">
        <f t="shared" si="1496"/>
        <v>#DIV/0!</v>
      </c>
      <c r="AV182" s="70" t="e">
        <f t="shared" si="1496"/>
        <v>#DIV/0!</v>
      </c>
      <c r="AW182" s="70" t="e">
        <f t="shared" si="1496"/>
        <v>#DIV/0!</v>
      </c>
      <c r="AX182" s="70" t="e">
        <f t="shared" si="1496"/>
        <v>#DIV/0!</v>
      </c>
      <c r="AY182" s="70" t="e">
        <f t="shared" si="1496"/>
        <v>#DIV/0!</v>
      </c>
      <c r="AZ182" s="70" t="e">
        <f t="shared" si="1496"/>
        <v>#DIV/0!</v>
      </c>
      <c r="BA182" s="70" t="e">
        <f t="shared" si="1496"/>
        <v>#DIV/0!</v>
      </c>
      <c r="BB182" s="70" t="e">
        <f t="shared" si="1496"/>
        <v>#DIV/0!</v>
      </c>
      <c r="BC182" s="70" t="e">
        <f t="shared" si="1496"/>
        <v>#DIV/0!</v>
      </c>
      <c r="BD182" s="70" t="e">
        <f t="shared" si="1496"/>
        <v>#DIV/0!</v>
      </c>
      <c r="BE182" s="70" t="e">
        <f t="shared" si="1496"/>
        <v>#DIV/0!</v>
      </c>
      <c r="BF182" s="70" t="e">
        <f t="shared" si="1496"/>
        <v>#DIV/0!</v>
      </c>
      <c r="BG182" s="70" t="e">
        <f t="shared" si="1496"/>
        <v>#DIV/0!</v>
      </c>
      <c r="BH182" s="70" t="e">
        <f t="shared" si="1496"/>
        <v>#DIV/0!</v>
      </c>
      <c r="BI182" s="70" t="e">
        <f t="shared" si="1496"/>
        <v>#DIV/0!</v>
      </c>
      <c r="BJ182" s="70" t="e">
        <f t="shared" si="1496"/>
        <v>#DIV/0!</v>
      </c>
      <c r="BK182" s="70" t="e">
        <f t="shared" si="1496"/>
        <v>#DIV/0!</v>
      </c>
      <c r="BL182" s="70" t="e">
        <f t="shared" si="1496"/>
        <v>#DIV/0!</v>
      </c>
      <c r="BM182" s="70" t="e">
        <f t="shared" si="1496"/>
        <v>#DIV/0!</v>
      </c>
      <c r="BN182" s="70" t="e">
        <f t="shared" si="1496"/>
        <v>#DIV/0!</v>
      </c>
      <c r="BO182" s="70" t="e">
        <f t="shared" si="1496"/>
        <v>#DIV/0!</v>
      </c>
      <c r="BP182" s="70" t="e">
        <f t="shared" si="1496"/>
        <v>#DIV/0!</v>
      </c>
      <c r="BQ182" s="70" t="e">
        <f t="shared" si="1496"/>
        <v>#DIV/0!</v>
      </c>
      <c r="BR182" s="70" t="e">
        <f t="shared" si="1496"/>
        <v>#DIV/0!</v>
      </c>
      <c r="BS182" s="70" t="e">
        <f t="shared" si="1496"/>
        <v>#DIV/0!</v>
      </c>
      <c r="BT182" s="70" t="e">
        <f t="shared" si="1496"/>
        <v>#DIV/0!</v>
      </c>
      <c r="BU182" s="70" t="e">
        <f t="shared" si="1496"/>
        <v>#DIV/0!</v>
      </c>
      <c r="BV182" s="70" t="e">
        <f t="shared" si="1496"/>
        <v>#DIV/0!</v>
      </c>
      <c r="BW182" s="70" t="e">
        <f t="shared" si="1496"/>
        <v>#DIV/0!</v>
      </c>
      <c r="BX182" s="70" t="e">
        <f t="shared" si="1496"/>
        <v>#DIV/0!</v>
      </c>
      <c r="BY182" s="70" t="e">
        <f t="shared" si="1496"/>
        <v>#DIV/0!</v>
      </c>
      <c r="BZ182" s="70" t="e">
        <f t="shared" si="1496"/>
        <v>#DIV/0!</v>
      </c>
      <c r="CA182" s="70" t="e">
        <f t="shared" si="1496"/>
        <v>#DIV/0!</v>
      </c>
      <c r="CB182" s="70">
        <f t="shared" si="1496"/>
        <v>168.61285236318886</v>
      </c>
      <c r="CC182" s="70">
        <f t="shared" si="1496"/>
        <v>171.05023265413274</v>
      </c>
      <c r="CD182" s="70">
        <f t="shared" si="1496"/>
        <v>172.73457976585706</v>
      </c>
      <c r="CE182" s="115">
        <f>CE148/CE10*90</f>
        <v>172.56979329562739</v>
      </c>
      <c r="CF182" s="70">
        <f>CF148/CF8*90</f>
        <v>137.95450068938351</v>
      </c>
      <c r="CG182" s="70">
        <f>CG148/CG10*90</f>
        <v>139.93535531758292</v>
      </c>
      <c r="CH182" s="70">
        <f>CH148/CH8*90</f>
        <v>164.07284651457985</v>
      </c>
      <c r="CI182" s="70">
        <f>CI179+CI180+CI181</f>
        <v>164.07284651457985</v>
      </c>
      <c r="CJ182" s="70">
        <f>CJ148/CJ8*90</f>
        <v>134.52609158679445</v>
      </c>
      <c r="CK182" s="50">
        <f t="shared" ref="CK182:DB182" si="1497">CK179+CK180+CK181</f>
        <v>134.52609158679445</v>
      </c>
      <c r="CL182" s="70">
        <f>CL148/CL8*90</f>
        <v>163.27394209354122</v>
      </c>
      <c r="CM182" s="50">
        <f t="shared" si="1497"/>
        <v>163.27394209354122</v>
      </c>
      <c r="CN182" s="50">
        <f t="shared" si="1497"/>
        <v>163.27394209354122</v>
      </c>
      <c r="CO182" s="50">
        <f t="shared" si="1497"/>
        <v>163.27394209354122</v>
      </c>
      <c r="CP182" s="50">
        <f t="shared" si="1497"/>
        <v>163.27394209354122</v>
      </c>
      <c r="CQ182" s="50">
        <f t="shared" si="1497"/>
        <v>163.27394209354122</v>
      </c>
      <c r="CR182" s="50">
        <f t="shared" si="1497"/>
        <v>163.27394209354122</v>
      </c>
      <c r="CS182" s="50">
        <f t="shared" si="1497"/>
        <v>163.27394209354122</v>
      </c>
      <c r="CT182" s="50">
        <f t="shared" si="1497"/>
        <v>163.27394209354122</v>
      </c>
      <c r="CU182" s="50">
        <f t="shared" si="1497"/>
        <v>163.27394209354122</v>
      </c>
      <c r="CV182" s="50">
        <f t="shared" si="1497"/>
        <v>163.27394209354122</v>
      </c>
      <c r="CW182" s="50">
        <f t="shared" si="1497"/>
        <v>163.27394209354122</v>
      </c>
      <c r="CX182" s="50">
        <f t="shared" si="1497"/>
        <v>163.27394209354122</v>
      </c>
      <c r="CY182" s="50">
        <f t="shared" si="1497"/>
        <v>163.27394209354122</v>
      </c>
      <c r="CZ182" s="50">
        <f t="shared" si="1497"/>
        <v>163.27394209354122</v>
      </c>
      <c r="DA182" s="50">
        <f t="shared" si="1497"/>
        <v>163.27394209354122</v>
      </c>
      <c r="DB182" s="50">
        <f t="shared" si="1497"/>
        <v>163.27394209354122</v>
      </c>
      <c r="DE182" s="138"/>
      <c r="DF182" s="7">
        <v>182.63563628090401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 t="e">
        <f t="shared" si="1498"/>
        <v>#DIV/0!</v>
      </c>
      <c r="D183" s="67" t="e">
        <f t="shared" si="1498"/>
        <v>#DIV/0!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 t="e">
        <f t="shared" si="1498"/>
        <v>#DIV/0!</v>
      </c>
      <c r="I183" s="67" t="e">
        <f t="shared" si="1498"/>
        <v>#DIV/0!</v>
      </c>
      <c r="J183" s="67" t="e">
        <f t="shared" si="1498"/>
        <v>#DIV/0!</v>
      </c>
      <c r="K183" s="67" t="e">
        <f t="shared" si="1498"/>
        <v>#DIV/0!</v>
      </c>
      <c r="L183" s="67" t="e">
        <f t="shared" si="1498"/>
        <v>#DIV/0!</v>
      </c>
      <c r="M183" s="67" t="e">
        <f t="shared" si="1498"/>
        <v>#DIV/0!</v>
      </c>
      <c r="N183" s="67" t="e">
        <f t="shared" si="1498"/>
        <v>#DIV/0!</v>
      </c>
      <c r="O183" s="67" t="e">
        <f t="shared" si="1498"/>
        <v>#DIV/0!</v>
      </c>
      <c r="P183" s="67" t="e">
        <f t="shared" si="1498"/>
        <v>#DIV/0!</v>
      </c>
      <c r="Q183" s="67" t="e">
        <f t="shared" si="1498"/>
        <v>#DIV/0!</v>
      </c>
      <c r="R183" s="67" t="e">
        <f t="shared" si="1498"/>
        <v>#DIV/0!</v>
      </c>
      <c r="S183" s="67" t="e">
        <f t="shared" si="1498"/>
        <v>#DIV/0!</v>
      </c>
      <c r="T183" s="67" t="e">
        <f t="shared" si="1498"/>
        <v>#DIV/0!</v>
      </c>
      <c r="U183" s="67" t="e">
        <f t="shared" si="1498"/>
        <v>#DIV/0!</v>
      </c>
      <c r="V183" s="67" t="e">
        <f t="shared" si="1498"/>
        <v>#DIV/0!</v>
      </c>
      <c r="W183" s="67" t="e">
        <f t="shared" si="1498"/>
        <v>#DIV/0!</v>
      </c>
      <c r="X183" s="67" t="e">
        <f t="shared" si="1498"/>
        <v>#DIV/0!</v>
      </c>
      <c r="Y183" s="67">
        <f t="shared" si="1498"/>
        <v>8.8059440559440567</v>
      </c>
      <c r="Z183" s="67">
        <f t="shared" si="1498"/>
        <v>13.097868575012244</v>
      </c>
      <c r="AA183" s="67">
        <f t="shared" ref="AA183" si="1499">AA153/AA8*365</f>
        <v>17.378981349179348</v>
      </c>
      <c r="AB183" s="18">
        <f t="shared" si="1498"/>
        <v>17.675549111953391</v>
      </c>
      <c r="AC183" s="18">
        <f t="shared" si="1498"/>
        <v>17.696073782435349</v>
      </c>
      <c r="AD183" s="18">
        <f t="shared" si="1498"/>
        <v>17.695957582366994</v>
      </c>
      <c r="AE183" s="18">
        <f t="shared" si="1498"/>
        <v>17.695396060943182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500">+AJ183</f>
        <v>#DIV/0!</v>
      </c>
      <c r="AL183" s="67" t="e">
        <f>AL153/AL8*90</f>
        <v>#DIV/0!</v>
      </c>
      <c r="AM183" s="67" t="e">
        <f t="shared" ref="AM183" si="1501">+AL183</f>
        <v>#DIV/0!</v>
      </c>
      <c r="AN183" s="67" t="e">
        <f>AN153/AN8*90</f>
        <v>#DIV/0!</v>
      </c>
      <c r="AO183" s="67" t="e">
        <f t="shared" ref="AO183" si="1502">+AN183</f>
        <v>#DIV/0!</v>
      </c>
      <c r="AP183" s="67" t="e">
        <f>AP153/AP8*90</f>
        <v>#DIV/0!</v>
      </c>
      <c r="AQ183" s="67" t="e">
        <f t="shared" ref="AQ183" si="1503">+AP183</f>
        <v>#DIV/0!</v>
      </c>
      <c r="AR183" s="67" t="e">
        <f>AR153/AR8*90</f>
        <v>#DIV/0!</v>
      </c>
      <c r="AS183" s="67" t="e">
        <f t="shared" ref="AS183" si="1504">+AR183</f>
        <v>#DIV/0!</v>
      </c>
      <c r="AT183" s="67" t="e">
        <f>AT153/AT8*90</f>
        <v>#DIV/0!</v>
      </c>
      <c r="AU183" s="67" t="e">
        <f t="shared" ref="AU183" si="1505">+AT183</f>
        <v>#DIV/0!</v>
      </c>
      <c r="AV183" s="67" t="e">
        <f>AV153/AV8*90</f>
        <v>#DIV/0!</v>
      </c>
      <c r="AW183" s="67" t="e">
        <f t="shared" ref="AW183" si="1506">+AV183</f>
        <v>#DIV/0!</v>
      </c>
      <c r="AX183" s="67" t="e">
        <f>AX153/AX8*90</f>
        <v>#DIV/0!</v>
      </c>
      <c r="AY183" s="67" t="e">
        <f t="shared" ref="AY183" si="1507">+AX183</f>
        <v>#DIV/0!</v>
      </c>
      <c r="AZ183" s="67" t="e">
        <f>AZ153/AZ8*90</f>
        <v>#DIV/0!</v>
      </c>
      <c r="BA183" s="67" t="e">
        <f t="shared" ref="BA183" si="1508">+AZ183</f>
        <v>#DIV/0!</v>
      </c>
      <c r="BB183" s="67" t="e">
        <f>BB153/BB8*90</f>
        <v>#DIV/0!</v>
      </c>
      <c r="BC183" s="67" t="e">
        <f t="shared" ref="BC183" si="1509">+BB183</f>
        <v>#DIV/0!</v>
      </c>
      <c r="BD183" s="67" t="e">
        <f>BD153/BD8*90</f>
        <v>#DIV/0!</v>
      </c>
      <c r="BE183" s="67" t="e">
        <f t="shared" ref="BE183" si="1510">+BD183</f>
        <v>#DIV/0!</v>
      </c>
      <c r="BF183" s="67" t="e">
        <f>BF153/BF8*90</f>
        <v>#DIV/0!</v>
      </c>
      <c r="BG183" s="67" t="e">
        <f t="shared" ref="BG183" si="1511">+BF183</f>
        <v>#DIV/0!</v>
      </c>
      <c r="BH183" s="67" t="e">
        <f>BH153/BH8*90</f>
        <v>#DIV/0!</v>
      </c>
      <c r="BI183" s="67" t="e">
        <f t="shared" ref="BI183" si="1512">+BH183</f>
        <v>#DIV/0!</v>
      </c>
      <c r="BJ183" s="67" t="e">
        <f>BJ153/BJ8*90</f>
        <v>#DIV/0!</v>
      </c>
      <c r="BK183" s="67" t="e">
        <f t="shared" ref="BK183" si="1513">+BJ183</f>
        <v>#DIV/0!</v>
      </c>
      <c r="BL183" s="67" t="e">
        <f>BL153/BL8*90</f>
        <v>#DIV/0!</v>
      </c>
      <c r="BM183" s="67" t="e">
        <f t="shared" ref="BM183" si="1514">+BL183</f>
        <v>#DIV/0!</v>
      </c>
      <c r="BN183" s="67" t="e">
        <f>BN153/BN8*90</f>
        <v>#DIV/0!</v>
      </c>
      <c r="BO183" s="67" t="e">
        <f t="shared" ref="BO183" si="1515">+BN183</f>
        <v>#DIV/0!</v>
      </c>
      <c r="BP183" s="67" t="e">
        <f>BP153/BP8*90</f>
        <v>#DIV/0!</v>
      </c>
      <c r="BQ183" s="67" t="e">
        <f t="shared" ref="BQ183" si="1516">+BP183</f>
        <v>#DIV/0!</v>
      </c>
      <c r="BR183" s="67" t="e">
        <f>BR153/BR8*90</f>
        <v>#DIV/0!</v>
      </c>
      <c r="BS183" s="67" t="e">
        <f t="shared" ref="BS183" si="1517">+BR183</f>
        <v>#DIV/0!</v>
      </c>
      <c r="BT183" s="67" t="e">
        <f>BT153/BT8*90</f>
        <v>#DIV/0!</v>
      </c>
      <c r="BU183" s="67" t="e">
        <f t="shared" ref="BU183" si="1518">+BT183</f>
        <v>#DIV/0!</v>
      </c>
      <c r="BV183" s="67" t="e">
        <f>BV153/BV8*90</f>
        <v>#DIV/0!</v>
      </c>
      <c r="BW183" s="67" t="e">
        <f t="shared" ref="BW183" si="1519">+BV183</f>
        <v>#DIV/0!</v>
      </c>
      <c r="BX183" s="67" t="e">
        <f>BX153/BX8*90</f>
        <v>#DIV/0!</v>
      </c>
      <c r="BY183" s="67" t="e">
        <f t="shared" ref="BY183" si="1520">+BX183</f>
        <v>#DIV/0!</v>
      </c>
      <c r="BZ183" s="67" t="e">
        <f>BZ153/BZ8*90</f>
        <v>#DIV/0!</v>
      </c>
      <c r="CA183" s="67" t="e">
        <f t="shared" ref="CA183" si="1521">+BZ183</f>
        <v>#DIV/0!</v>
      </c>
      <c r="CB183" s="67">
        <f>CB153/CB8*90</f>
        <v>14.235665115563592</v>
      </c>
      <c r="CC183" s="67">
        <f t="shared" ref="CC183" si="1522">+CB183</f>
        <v>14.235665115563592</v>
      </c>
      <c r="CD183" s="67">
        <f>CD153/CD8*90</f>
        <v>8.0297047003319957</v>
      </c>
      <c r="CE183" s="114">
        <f t="shared" si="1500"/>
        <v>8.0297047003319957</v>
      </c>
      <c r="CF183" s="67">
        <f>CF153/CF8*90</f>
        <v>20.270829229860155</v>
      </c>
      <c r="CG183" s="67">
        <f t="shared" ref="CG183:CI183" si="1523">+CF183</f>
        <v>20.270829229860155</v>
      </c>
      <c r="CH183" s="67">
        <f>CH153/CH8*90</f>
        <v>13.255174359155177</v>
      </c>
      <c r="CI183" s="67">
        <f t="shared" si="1523"/>
        <v>13.255174359155177</v>
      </c>
      <c r="CJ183" s="67">
        <f>CJ153/CJ8*90</f>
        <v>8.5969116080937162</v>
      </c>
      <c r="CK183" s="30">
        <f t="shared" ref="CK183" si="1524">+CJ183</f>
        <v>8.5969116080937162</v>
      </c>
      <c r="CL183" s="67">
        <f>CL153/CL8*90</f>
        <v>15.585251175451621</v>
      </c>
      <c r="CM183" s="30">
        <f t="shared" ref="CM183" si="1525">+CL183</f>
        <v>15.585251175451621</v>
      </c>
      <c r="CN183" s="30">
        <f t="shared" ref="CN183" si="1526">+CM183</f>
        <v>15.585251175451621</v>
      </c>
      <c r="CO183" s="30">
        <f t="shared" ref="CO183" si="1527">+CN183</f>
        <v>15.585251175451621</v>
      </c>
      <c r="CP183" s="30">
        <f t="shared" ref="CP183" si="1528">+CO183</f>
        <v>15.585251175451621</v>
      </c>
      <c r="CQ183" s="30">
        <f t="shared" ref="CQ183" si="1529">+CP183</f>
        <v>15.585251175451621</v>
      </c>
      <c r="CR183" s="30">
        <f t="shared" ref="CR183" si="1530">+CQ183</f>
        <v>15.585251175451621</v>
      </c>
      <c r="CS183" s="30">
        <f t="shared" ref="CS183" si="1531">+CR183</f>
        <v>15.585251175451621</v>
      </c>
      <c r="CT183" s="30">
        <f t="shared" ref="CT183" si="1532">+CS183</f>
        <v>15.585251175451621</v>
      </c>
      <c r="CU183" s="30">
        <f t="shared" ref="CU183" si="1533">+CT183</f>
        <v>15.585251175451621</v>
      </c>
      <c r="CV183" s="30">
        <f t="shared" ref="CV183" si="1534">+CU183</f>
        <v>15.585251175451621</v>
      </c>
      <c r="CW183" s="30">
        <f t="shared" ref="CW183" si="1535">+CV183</f>
        <v>15.585251175451621</v>
      </c>
      <c r="CX183" s="30">
        <f t="shared" ref="CX183" si="1536">+CW183</f>
        <v>15.585251175451621</v>
      </c>
      <c r="CY183" s="30">
        <f t="shared" ref="CY183" si="1537">+CX183</f>
        <v>15.585251175451621</v>
      </c>
      <c r="CZ183" s="30">
        <f t="shared" ref="CZ183" si="1538">+CY183</f>
        <v>15.585251175451621</v>
      </c>
      <c r="DA183" s="30">
        <f t="shared" ref="DA183" si="1539">+CZ183</f>
        <v>15.585251175451621</v>
      </c>
      <c r="DB183" s="30">
        <f t="shared" ref="DB183" si="1540">+DA183</f>
        <v>15.585251175451621</v>
      </c>
      <c r="DE183" s="139"/>
      <c r="DF183" s="62">
        <v>17.433414227210676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41">C185-C183</f>
        <v>#DIV/0!</v>
      </c>
      <c r="D184" s="67" t="e">
        <f t="shared" si="1541"/>
        <v>#DIV/0!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 t="e">
        <f t="shared" si="1541"/>
        <v>#DIV/0!</v>
      </c>
      <c r="I184" s="67" t="e">
        <f t="shared" si="1541"/>
        <v>#DIV/0!</v>
      </c>
      <c r="J184" s="67" t="e">
        <f t="shared" si="1541"/>
        <v>#DIV/0!</v>
      </c>
      <c r="K184" s="67" t="e">
        <f t="shared" si="1541"/>
        <v>#DIV/0!</v>
      </c>
      <c r="L184" s="67" t="e">
        <f t="shared" si="1541"/>
        <v>#DIV/0!</v>
      </c>
      <c r="M184" s="67" t="e">
        <f t="shared" si="1541"/>
        <v>#DIV/0!</v>
      </c>
      <c r="N184" s="67" t="e">
        <f t="shared" si="1541"/>
        <v>#DIV/0!</v>
      </c>
      <c r="O184" s="67" t="e">
        <f t="shared" si="1541"/>
        <v>#DIV/0!</v>
      </c>
      <c r="P184" s="67" t="e">
        <f t="shared" si="1541"/>
        <v>#DIV/0!</v>
      </c>
      <c r="Q184" s="67" t="e">
        <f t="shared" si="1541"/>
        <v>#DIV/0!</v>
      </c>
      <c r="R184" s="67" t="e">
        <f t="shared" si="1541"/>
        <v>#DIV/0!</v>
      </c>
      <c r="S184" s="67" t="e">
        <f t="shared" si="1541"/>
        <v>#DIV/0!</v>
      </c>
      <c r="T184" s="67" t="e">
        <f t="shared" si="1541"/>
        <v>#DIV/0!</v>
      </c>
      <c r="U184" s="67" t="e">
        <f t="shared" si="1541"/>
        <v>#DIV/0!</v>
      </c>
      <c r="V184" s="67" t="e">
        <f t="shared" si="1541"/>
        <v>#DIV/0!</v>
      </c>
      <c r="W184" s="67" t="e">
        <f t="shared" ref="W184" si="1542">W185-W183</f>
        <v>#DIV/0!</v>
      </c>
      <c r="X184" s="67" t="e">
        <f t="shared" ref="X184:Y184" si="1543">X185-X183</f>
        <v>#DIV/0!</v>
      </c>
      <c r="Y184" s="67">
        <f t="shared" si="1543"/>
        <v>7.384851634851632</v>
      </c>
      <c r="Z184" s="67">
        <f t="shared" ref="Z184:AA184" si="1544">Z185-Z183</f>
        <v>8.9932217077172911</v>
      </c>
      <c r="AA184" s="67">
        <f t="shared" ref="AA184" si="1545">AA185-AA183</f>
        <v>8.6094667846045674</v>
      </c>
      <c r="AB184" s="18">
        <f t="shared" ref="AB184:AD184" si="1546">AB185-AB183</f>
        <v>8.585186524843671</v>
      </c>
      <c r="AC184" s="18">
        <f t="shared" si="1546"/>
        <v>8.5951555573943672</v>
      </c>
      <c r="AD184" s="18">
        <f t="shared" si="1546"/>
        <v>8.5950991178883172</v>
      </c>
      <c r="AE184" s="18">
        <f t="shared" ref="AE184" si="1547">AE185-AE183</f>
        <v>8.5948263814584323</v>
      </c>
      <c r="AI184" s="67" t="e">
        <f t="shared" ref="AI184:AK184" si="1548">AI185-AI183</f>
        <v>#DIV/0!</v>
      </c>
      <c r="AJ184" s="67" t="e">
        <f t="shared" ref="AJ184:AM184" si="1549">AJ185-AJ183</f>
        <v>#DIV/0!</v>
      </c>
      <c r="AK184" s="67" t="e">
        <f t="shared" si="1548"/>
        <v>#DIV/0!</v>
      </c>
      <c r="AL184" s="67" t="e">
        <f t="shared" si="1549"/>
        <v>#DIV/0!</v>
      </c>
      <c r="AM184" s="67" t="e">
        <f t="shared" si="1549"/>
        <v>#DIV/0!</v>
      </c>
      <c r="AN184" s="67" t="e">
        <f t="shared" ref="AN184:AY184" si="1550">AN185-AN183</f>
        <v>#DIV/0!</v>
      </c>
      <c r="AO184" s="67" t="e">
        <f t="shared" si="1550"/>
        <v>#DIV/0!</v>
      </c>
      <c r="AP184" s="67" t="e">
        <f t="shared" si="1550"/>
        <v>#DIV/0!</v>
      </c>
      <c r="AQ184" s="67" t="e">
        <f t="shared" si="1550"/>
        <v>#DIV/0!</v>
      </c>
      <c r="AR184" s="67" t="e">
        <f t="shared" si="1550"/>
        <v>#DIV/0!</v>
      </c>
      <c r="AS184" s="67" t="e">
        <f t="shared" si="1550"/>
        <v>#DIV/0!</v>
      </c>
      <c r="AT184" s="67" t="e">
        <f t="shared" si="1550"/>
        <v>#DIV/0!</v>
      </c>
      <c r="AU184" s="67" t="e">
        <f t="shared" si="1550"/>
        <v>#DIV/0!</v>
      </c>
      <c r="AV184" s="67" t="e">
        <f t="shared" si="1550"/>
        <v>#DIV/0!</v>
      </c>
      <c r="AW184" s="67" t="e">
        <f t="shared" si="1550"/>
        <v>#DIV/0!</v>
      </c>
      <c r="AX184" s="67" t="e">
        <f t="shared" si="1550"/>
        <v>#DIV/0!</v>
      </c>
      <c r="AY184" s="67" t="e">
        <f t="shared" si="1550"/>
        <v>#DIV/0!</v>
      </c>
      <c r="AZ184" s="67" t="e">
        <f t="shared" ref="AZ184:BC184" si="1551">AZ185-AZ183</f>
        <v>#DIV/0!</v>
      </c>
      <c r="BA184" s="67" t="e">
        <f t="shared" si="1551"/>
        <v>#DIV/0!</v>
      </c>
      <c r="BB184" s="67" t="e">
        <f t="shared" si="1551"/>
        <v>#DIV/0!</v>
      </c>
      <c r="BC184" s="67" t="e">
        <f t="shared" si="1551"/>
        <v>#DIV/0!</v>
      </c>
      <c r="BD184" s="67" t="e">
        <f t="shared" ref="BD184:CE184" si="1552">BD185-BD183</f>
        <v>#DIV/0!</v>
      </c>
      <c r="BE184" s="67" t="e">
        <f t="shared" si="1552"/>
        <v>#DIV/0!</v>
      </c>
      <c r="BF184" s="67" t="e">
        <f t="shared" si="1552"/>
        <v>#DIV/0!</v>
      </c>
      <c r="BG184" s="67" t="e">
        <f t="shared" si="1552"/>
        <v>#DIV/0!</v>
      </c>
      <c r="BH184" s="67" t="e">
        <f t="shared" si="1552"/>
        <v>#DIV/0!</v>
      </c>
      <c r="BI184" s="67" t="e">
        <f t="shared" si="1552"/>
        <v>#DIV/0!</v>
      </c>
      <c r="BJ184" s="67" t="e">
        <f t="shared" si="1552"/>
        <v>#DIV/0!</v>
      </c>
      <c r="BK184" s="67" t="e">
        <f t="shared" si="1552"/>
        <v>#DIV/0!</v>
      </c>
      <c r="BL184" s="67" t="e">
        <f t="shared" si="1552"/>
        <v>#DIV/0!</v>
      </c>
      <c r="BM184" s="67" t="e">
        <f t="shared" si="1552"/>
        <v>#DIV/0!</v>
      </c>
      <c r="BN184" s="67" t="e">
        <f t="shared" si="1552"/>
        <v>#DIV/0!</v>
      </c>
      <c r="BO184" s="67" t="e">
        <f t="shared" si="1552"/>
        <v>#DIV/0!</v>
      </c>
      <c r="BP184" s="67" t="e">
        <f t="shared" si="1552"/>
        <v>#DIV/0!</v>
      </c>
      <c r="BQ184" s="67" t="e">
        <f t="shared" si="1552"/>
        <v>#DIV/0!</v>
      </c>
      <c r="BR184" s="67" t="e">
        <f t="shared" si="1552"/>
        <v>#DIV/0!</v>
      </c>
      <c r="BS184" s="67" t="e">
        <f t="shared" si="1552"/>
        <v>#DIV/0!</v>
      </c>
      <c r="BT184" s="67" t="e">
        <f t="shared" si="1552"/>
        <v>#DIV/0!</v>
      </c>
      <c r="BU184" s="67" t="e">
        <f t="shared" si="1552"/>
        <v>#DIV/0!</v>
      </c>
      <c r="BV184" s="67" t="e">
        <f t="shared" si="1552"/>
        <v>#DIV/0!</v>
      </c>
      <c r="BW184" s="67" t="e">
        <f t="shared" si="1552"/>
        <v>#DIV/0!</v>
      </c>
      <c r="BX184" s="67" t="e">
        <f t="shared" si="1552"/>
        <v>#DIV/0!</v>
      </c>
      <c r="BY184" s="67" t="e">
        <f t="shared" si="1552"/>
        <v>#DIV/0!</v>
      </c>
      <c r="BZ184" s="67" t="e">
        <f t="shared" si="1552"/>
        <v>#DIV/0!</v>
      </c>
      <c r="CA184" s="67" t="e">
        <f t="shared" si="1552"/>
        <v>#DIV/0!</v>
      </c>
      <c r="CB184" s="67">
        <f t="shared" si="1552"/>
        <v>5.4651386378494813</v>
      </c>
      <c r="CC184" s="67">
        <f t="shared" si="1552"/>
        <v>5.8144102123481041</v>
      </c>
      <c r="CD184" s="67">
        <f t="shared" si="1552"/>
        <v>6.6804123711340218</v>
      </c>
      <c r="CE184" s="114">
        <f t="shared" si="1552"/>
        <v>6.6391136734623011</v>
      </c>
      <c r="CF184" s="67">
        <f t="shared" ref="CF184:CG184" si="1553">CF185-CF183</f>
        <v>4.4258420326964689</v>
      </c>
      <c r="CG184" s="67">
        <f t="shared" si="1553"/>
        <v>4.7305263157894686</v>
      </c>
      <c r="CH184" s="67">
        <f t="shared" ref="CH184" si="1554">CH185-CH183</f>
        <v>9.1012305630972179</v>
      </c>
      <c r="CI184" s="67">
        <f>CH184</f>
        <v>9.1012305630972179</v>
      </c>
      <c r="CJ184" s="67">
        <f t="shared" ref="CJ184:CL184" si="1555">CJ185-CJ183</f>
        <v>5.8572949946751862</v>
      </c>
      <c r="CK184" s="30">
        <f t="shared" ref="CK184:DB184" si="1556">CJ184</f>
        <v>5.8572949946751862</v>
      </c>
      <c r="CL184" s="67">
        <f t="shared" si="1555"/>
        <v>7.569908438505319</v>
      </c>
      <c r="CM184" s="30">
        <f t="shared" si="1556"/>
        <v>7.569908438505319</v>
      </c>
      <c r="CN184" s="30">
        <f t="shared" si="1556"/>
        <v>7.569908438505319</v>
      </c>
      <c r="CO184" s="30">
        <f t="shared" si="1556"/>
        <v>7.569908438505319</v>
      </c>
      <c r="CP184" s="30">
        <f t="shared" si="1556"/>
        <v>7.569908438505319</v>
      </c>
      <c r="CQ184" s="30">
        <f t="shared" si="1556"/>
        <v>7.569908438505319</v>
      </c>
      <c r="CR184" s="30">
        <f t="shared" si="1556"/>
        <v>7.569908438505319</v>
      </c>
      <c r="CS184" s="30">
        <f t="shared" si="1556"/>
        <v>7.569908438505319</v>
      </c>
      <c r="CT184" s="30">
        <f t="shared" si="1556"/>
        <v>7.569908438505319</v>
      </c>
      <c r="CU184" s="30">
        <f t="shared" si="1556"/>
        <v>7.569908438505319</v>
      </c>
      <c r="CV184" s="30">
        <f t="shared" si="1556"/>
        <v>7.569908438505319</v>
      </c>
      <c r="CW184" s="30">
        <f t="shared" si="1556"/>
        <v>7.569908438505319</v>
      </c>
      <c r="CX184" s="30">
        <f t="shared" si="1556"/>
        <v>7.569908438505319</v>
      </c>
      <c r="CY184" s="30">
        <f t="shared" si="1556"/>
        <v>7.569908438505319</v>
      </c>
      <c r="CZ184" s="30">
        <f t="shared" si="1556"/>
        <v>7.569908438505319</v>
      </c>
      <c r="DA184" s="30">
        <f t="shared" si="1556"/>
        <v>7.569908438505319</v>
      </c>
      <c r="DB184" s="30">
        <f t="shared" si="1556"/>
        <v>7.569908438505319</v>
      </c>
      <c r="DE184" s="139"/>
      <c r="DF184" s="62">
        <v>8.4675792507204655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 t="e">
        <f t="shared" si="1557"/>
        <v>#DIV/0!</v>
      </c>
      <c r="D185" s="70" t="e">
        <f t="shared" si="1557"/>
        <v>#DIV/0!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 t="e">
        <f t="shared" si="1557"/>
        <v>#DIV/0!</v>
      </c>
      <c r="I185" s="70" t="e">
        <f t="shared" si="1557"/>
        <v>#DIV/0!</v>
      </c>
      <c r="J185" s="70" t="e">
        <f t="shared" si="1557"/>
        <v>#DIV/0!</v>
      </c>
      <c r="K185" s="70" t="e">
        <f t="shared" si="1557"/>
        <v>#DIV/0!</v>
      </c>
      <c r="L185" s="70" t="e">
        <f t="shared" si="1557"/>
        <v>#DIV/0!</v>
      </c>
      <c r="M185" s="70" t="e">
        <f t="shared" si="1557"/>
        <v>#DIV/0!</v>
      </c>
      <c r="N185" s="70" t="e">
        <f t="shared" si="1557"/>
        <v>#DIV/0!</v>
      </c>
      <c r="O185" s="70" t="e">
        <f t="shared" si="1557"/>
        <v>#DIV/0!</v>
      </c>
      <c r="P185" s="70" t="e">
        <f t="shared" si="1557"/>
        <v>#DIV/0!</v>
      </c>
      <c r="Q185" s="70" t="e">
        <f t="shared" si="1557"/>
        <v>#DIV/0!</v>
      </c>
      <c r="R185" s="70" t="e">
        <f t="shared" si="1557"/>
        <v>#DIV/0!</v>
      </c>
      <c r="S185" s="70" t="e">
        <f t="shared" si="1557"/>
        <v>#DIV/0!</v>
      </c>
      <c r="T185" s="70" t="e">
        <f t="shared" si="1557"/>
        <v>#DIV/0!</v>
      </c>
      <c r="U185" s="70" t="e">
        <f t="shared" si="1557"/>
        <v>#DIV/0!</v>
      </c>
      <c r="V185" s="70" t="e">
        <f t="shared" si="1557"/>
        <v>#DIV/0!</v>
      </c>
      <c r="W185" s="70" t="e">
        <f t="shared" si="1557"/>
        <v>#DIV/0!</v>
      </c>
      <c r="X185" s="70" t="e">
        <f t="shared" si="1557"/>
        <v>#DIV/0!</v>
      </c>
      <c r="Y185" s="70">
        <f t="shared" si="1557"/>
        <v>16.190795690795689</v>
      </c>
      <c r="Z185" s="70">
        <f t="shared" si="1557"/>
        <v>22.091090282729535</v>
      </c>
      <c r="AA185" s="70">
        <f t="shared" ref="AA185" si="1558">AA156/AA8*365</f>
        <v>25.988448133783915</v>
      </c>
      <c r="AB185" s="71">
        <f t="shared" si="1557"/>
        <v>26.260735636797062</v>
      </c>
      <c r="AC185" s="71">
        <f t="shared" si="1557"/>
        <v>26.291229339829716</v>
      </c>
      <c r="AD185" s="71">
        <f t="shared" si="1557"/>
        <v>26.291056700255311</v>
      </c>
      <c r="AE185" s="71">
        <f t="shared" si="1557"/>
        <v>26.290222442401614</v>
      </c>
      <c r="AI185" s="70" t="e">
        <f t="shared" ref="AI185:CD185" si="1559">AI156/AI8*90</f>
        <v>#DIV/0!</v>
      </c>
      <c r="AJ185" s="70" t="e">
        <f t="shared" si="1559"/>
        <v>#DIV/0!</v>
      </c>
      <c r="AK185" s="70" t="e">
        <f>AK156/AK8*90</f>
        <v>#DIV/0!</v>
      </c>
      <c r="AL185" s="70" t="e">
        <f t="shared" si="1559"/>
        <v>#DIV/0!</v>
      </c>
      <c r="AM185" s="70" t="e">
        <f t="shared" si="1559"/>
        <v>#DIV/0!</v>
      </c>
      <c r="AN185" s="70" t="e">
        <f t="shared" si="1559"/>
        <v>#DIV/0!</v>
      </c>
      <c r="AO185" s="70" t="e">
        <f t="shared" si="1559"/>
        <v>#DIV/0!</v>
      </c>
      <c r="AP185" s="70" t="e">
        <f t="shared" si="1559"/>
        <v>#DIV/0!</v>
      </c>
      <c r="AQ185" s="70" t="e">
        <f t="shared" si="1559"/>
        <v>#DIV/0!</v>
      </c>
      <c r="AR185" s="70" t="e">
        <f t="shared" si="1559"/>
        <v>#DIV/0!</v>
      </c>
      <c r="AS185" s="70" t="e">
        <f t="shared" si="1559"/>
        <v>#DIV/0!</v>
      </c>
      <c r="AT185" s="70" t="e">
        <f t="shared" si="1559"/>
        <v>#DIV/0!</v>
      </c>
      <c r="AU185" s="70" t="e">
        <f t="shared" si="1559"/>
        <v>#DIV/0!</v>
      </c>
      <c r="AV185" s="70" t="e">
        <f t="shared" si="1559"/>
        <v>#DIV/0!</v>
      </c>
      <c r="AW185" s="70" t="e">
        <f t="shared" si="1559"/>
        <v>#DIV/0!</v>
      </c>
      <c r="AX185" s="70" t="e">
        <f t="shared" si="1559"/>
        <v>#DIV/0!</v>
      </c>
      <c r="AY185" s="70" t="e">
        <f t="shared" si="1559"/>
        <v>#DIV/0!</v>
      </c>
      <c r="AZ185" s="70" t="e">
        <f t="shared" si="1559"/>
        <v>#DIV/0!</v>
      </c>
      <c r="BA185" s="70" t="e">
        <f t="shared" si="1559"/>
        <v>#DIV/0!</v>
      </c>
      <c r="BB185" s="70" t="e">
        <f t="shared" si="1559"/>
        <v>#DIV/0!</v>
      </c>
      <c r="BC185" s="70" t="e">
        <f t="shared" si="1559"/>
        <v>#DIV/0!</v>
      </c>
      <c r="BD185" s="70" t="e">
        <f t="shared" si="1559"/>
        <v>#DIV/0!</v>
      </c>
      <c r="BE185" s="70" t="e">
        <f t="shared" si="1559"/>
        <v>#DIV/0!</v>
      </c>
      <c r="BF185" s="70" t="e">
        <f t="shared" si="1559"/>
        <v>#DIV/0!</v>
      </c>
      <c r="BG185" s="70" t="e">
        <f t="shared" si="1559"/>
        <v>#DIV/0!</v>
      </c>
      <c r="BH185" s="70" t="e">
        <f t="shared" si="1559"/>
        <v>#DIV/0!</v>
      </c>
      <c r="BI185" s="70" t="e">
        <f t="shared" si="1559"/>
        <v>#DIV/0!</v>
      </c>
      <c r="BJ185" s="70" t="e">
        <f t="shared" si="1559"/>
        <v>#DIV/0!</v>
      </c>
      <c r="BK185" s="70" t="e">
        <f t="shared" si="1559"/>
        <v>#DIV/0!</v>
      </c>
      <c r="BL185" s="70" t="e">
        <f t="shared" si="1559"/>
        <v>#DIV/0!</v>
      </c>
      <c r="BM185" s="70" t="e">
        <f t="shared" si="1559"/>
        <v>#DIV/0!</v>
      </c>
      <c r="BN185" s="70" t="e">
        <f t="shared" si="1559"/>
        <v>#DIV/0!</v>
      </c>
      <c r="BO185" s="70" t="e">
        <f t="shared" si="1559"/>
        <v>#DIV/0!</v>
      </c>
      <c r="BP185" s="70" t="e">
        <f t="shared" si="1559"/>
        <v>#DIV/0!</v>
      </c>
      <c r="BQ185" s="70" t="e">
        <f t="shared" si="1559"/>
        <v>#DIV/0!</v>
      </c>
      <c r="BR185" s="70" t="e">
        <f t="shared" si="1559"/>
        <v>#DIV/0!</v>
      </c>
      <c r="BS185" s="70" t="e">
        <f t="shared" si="1559"/>
        <v>#DIV/0!</v>
      </c>
      <c r="BT185" s="70" t="e">
        <f t="shared" si="1559"/>
        <v>#DIV/0!</v>
      </c>
      <c r="BU185" s="70" t="e">
        <f t="shared" si="1559"/>
        <v>#DIV/0!</v>
      </c>
      <c r="BV185" s="70" t="e">
        <f t="shared" si="1559"/>
        <v>#DIV/0!</v>
      </c>
      <c r="BW185" s="70" t="e">
        <f t="shared" si="1559"/>
        <v>#DIV/0!</v>
      </c>
      <c r="BX185" s="70" t="e">
        <f t="shared" si="1559"/>
        <v>#DIV/0!</v>
      </c>
      <c r="BY185" s="70" t="e">
        <f t="shared" si="1559"/>
        <v>#DIV/0!</v>
      </c>
      <c r="BZ185" s="70" t="e">
        <f t="shared" si="1559"/>
        <v>#DIV/0!</v>
      </c>
      <c r="CA185" s="70" t="e">
        <f t="shared" si="1559"/>
        <v>#DIV/0!</v>
      </c>
      <c r="CB185" s="70">
        <f t="shared" si="1559"/>
        <v>19.700803753413073</v>
      </c>
      <c r="CC185" s="70">
        <f t="shared" si="1559"/>
        <v>20.050075327911696</v>
      </c>
      <c r="CD185" s="70">
        <f t="shared" si="1559"/>
        <v>14.710117071466017</v>
      </c>
      <c r="CE185" s="115">
        <f>CE156/CE10*90</f>
        <v>14.668818373794297</v>
      </c>
      <c r="CF185" s="70">
        <f>CF156/CF8*90</f>
        <v>24.696671262556624</v>
      </c>
      <c r="CG185" s="70">
        <f>CG156/CG10*90</f>
        <v>25.001355545649623</v>
      </c>
      <c r="CH185" s="70">
        <f>CH156/CH8*90</f>
        <v>22.356404922252395</v>
      </c>
      <c r="CI185" s="70">
        <f>CI183+CI184</f>
        <v>22.356404922252395</v>
      </c>
      <c r="CJ185" s="70">
        <f>CJ156/CJ8*90</f>
        <v>14.454206602768902</v>
      </c>
      <c r="CK185" s="50">
        <f t="shared" ref="CK185:DB185" si="1560">CK183+CK184</f>
        <v>14.454206602768902</v>
      </c>
      <c r="CL185" s="70">
        <f>CL156/CL8*90</f>
        <v>23.15515961395694</v>
      </c>
      <c r="CM185" s="50">
        <f t="shared" si="1560"/>
        <v>23.15515961395694</v>
      </c>
      <c r="CN185" s="50">
        <f t="shared" si="1560"/>
        <v>23.15515961395694</v>
      </c>
      <c r="CO185" s="50">
        <f t="shared" si="1560"/>
        <v>23.15515961395694</v>
      </c>
      <c r="CP185" s="50">
        <f t="shared" si="1560"/>
        <v>23.15515961395694</v>
      </c>
      <c r="CQ185" s="50">
        <f t="shared" si="1560"/>
        <v>23.15515961395694</v>
      </c>
      <c r="CR185" s="50">
        <f t="shared" si="1560"/>
        <v>23.15515961395694</v>
      </c>
      <c r="CS185" s="50">
        <f t="shared" si="1560"/>
        <v>23.15515961395694</v>
      </c>
      <c r="CT185" s="50">
        <f t="shared" si="1560"/>
        <v>23.15515961395694</v>
      </c>
      <c r="CU185" s="50">
        <f t="shared" si="1560"/>
        <v>23.15515961395694</v>
      </c>
      <c r="CV185" s="50">
        <f t="shared" si="1560"/>
        <v>23.15515961395694</v>
      </c>
      <c r="CW185" s="50">
        <f t="shared" si="1560"/>
        <v>23.15515961395694</v>
      </c>
      <c r="CX185" s="50">
        <f t="shared" si="1560"/>
        <v>23.15515961395694</v>
      </c>
      <c r="CY185" s="50">
        <f t="shared" si="1560"/>
        <v>23.15515961395694</v>
      </c>
      <c r="CZ185" s="50">
        <f t="shared" si="1560"/>
        <v>23.15515961395694</v>
      </c>
      <c r="DA185" s="50">
        <f t="shared" si="1560"/>
        <v>23.15515961395694</v>
      </c>
      <c r="DB185" s="50">
        <f t="shared" si="1560"/>
        <v>23.15515961395694</v>
      </c>
      <c r="DE185" s="138"/>
      <c r="DF185" s="7">
        <v>25.900993477931141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61">C182-C185</f>
        <v>#DIV/0!</v>
      </c>
      <c r="D186" s="70" t="e">
        <f t="shared" si="1561"/>
        <v>#DIV/0!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 t="e">
        <f t="shared" si="1561"/>
        <v>#DIV/0!</v>
      </c>
      <c r="I186" s="70" t="e">
        <f t="shared" si="1561"/>
        <v>#DIV/0!</v>
      </c>
      <c r="J186" s="70" t="e">
        <f t="shared" si="1561"/>
        <v>#DIV/0!</v>
      </c>
      <c r="K186" s="70" t="e">
        <f t="shared" si="1561"/>
        <v>#DIV/0!</v>
      </c>
      <c r="L186" s="70" t="e">
        <f t="shared" si="1561"/>
        <v>#DIV/0!</v>
      </c>
      <c r="M186" s="70" t="e">
        <f t="shared" si="1561"/>
        <v>#DIV/0!</v>
      </c>
      <c r="N186" s="70" t="e">
        <f t="shared" si="1561"/>
        <v>#DIV/0!</v>
      </c>
      <c r="O186" s="70" t="e">
        <f t="shared" si="1561"/>
        <v>#DIV/0!</v>
      </c>
      <c r="P186" s="70" t="e">
        <f t="shared" si="1561"/>
        <v>#DIV/0!</v>
      </c>
      <c r="Q186" s="70" t="e">
        <f t="shared" si="1561"/>
        <v>#DIV/0!</v>
      </c>
      <c r="R186" s="70" t="e">
        <f t="shared" si="1561"/>
        <v>#DIV/0!</v>
      </c>
      <c r="S186" s="70" t="e">
        <f t="shared" si="1561"/>
        <v>#DIV/0!</v>
      </c>
      <c r="T186" s="70" t="e">
        <f t="shared" si="1561"/>
        <v>#DIV/0!</v>
      </c>
      <c r="U186" s="70" t="e">
        <f t="shared" si="1561"/>
        <v>#DIV/0!</v>
      </c>
      <c r="V186" s="70" t="e">
        <f t="shared" si="1561"/>
        <v>#DIV/0!</v>
      </c>
      <c r="W186" s="70" t="e">
        <f t="shared" ref="W186" si="1562">W182-W185</f>
        <v>#DIV/0!</v>
      </c>
      <c r="X186" s="70" t="e">
        <f t="shared" ref="X186:Y186" si="1563">X182-X185</f>
        <v>#DIV/0!</v>
      </c>
      <c r="Y186" s="70">
        <f t="shared" si="1563"/>
        <v>173.24220374220374</v>
      </c>
      <c r="Z186" s="70">
        <f t="shared" ref="Z186:AA186" si="1564">Z182-Z185</f>
        <v>140.03462169568988</v>
      </c>
      <c r="AA186" s="70">
        <f t="shared" ref="AA186" si="1565">AA182-AA185</f>
        <v>156.07693936026246</v>
      </c>
      <c r="AB186" s="71">
        <f t="shared" ref="AB186:AD186" si="1566">AB182-AB185</f>
        <v>158.91154998682515</v>
      </c>
      <c r="AC186" s="71">
        <f t="shared" si="1566"/>
        <v>159.09607648603591</v>
      </c>
      <c r="AD186" s="71">
        <f t="shared" si="1566"/>
        <v>159.09503179243956</v>
      </c>
      <c r="AE186" s="71">
        <f t="shared" ref="AE186" si="1567">AE182-AE185</f>
        <v>159.08998344914659</v>
      </c>
      <c r="AI186" s="70" t="e">
        <f t="shared" ref="AI186:AK186" si="1568">AI182-AI185</f>
        <v>#DIV/0!</v>
      </c>
      <c r="AJ186" s="70" t="e">
        <f t="shared" ref="AJ186:AM186" si="1569">AJ182-AJ185</f>
        <v>#DIV/0!</v>
      </c>
      <c r="AK186" s="70" t="e">
        <f t="shared" si="1568"/>
        <v>#DIV/0!</v>
      </c>
      <c r="AL186" s="70" t="e">
        <f t="shared" si="1569"/>
        <v>#DIV/0!</v>
      </c>
      <c r="AM186" s="70" t="e">
        <f t="shared" si="1569"/>
        <v>#DIV/0!</v>
      </c>
      <c r="AN186" s="70" t="e">
        <f t="shared" ref="AN186:AY186" si="1570">AN182-AN185</f>
        <v>#DIV/0!</v>
      </c>
      <c r="AO186" s="70" t="e">
        <f t="shared" si="1570"/>
        <v>#DIV/0!</v>
      </c>
      <c r="AP186" s="70" t="e">
        <f t="shared" si="1570"/>
        <v>#DIV/0!</v>
      </c>
      <c r="AQ186" s="70" t="e">
        <f t="shared" si="1570"/>
        <v>#DIV/0!</v>
      </c>
      <c r="AR186" s="70" t="e">
        <f t="shared" si="1570"/>
        <v>#DIV/0!</v>
      </c>
      <c r="AS186" s="70" t="e">
        <f t="shared" si="1570"/>
        <v>#DIV/0!</v>
      </c>
      <c r="AT186" s="70" t="e">
        <f t="shared" si="1570"/>
        <v>#DIV/0!</v>
      </c>
      <c r="AU186" s="70" t="e">
        <f t="shared" si="1570"/>
        <v>#DIV/0!</v>
      </c>
      <c r="AV186" s="70" t="e">
        <f t="shared" si="1570"/>
        <v>#DIV/0!</v>
      </c>
      <c r="AW186" s="70" t="e">
        <f t="shared" si="1570"/>
        <v>#DIV/0!</v>
      </c>
      <c r="AX186" s="70" t="e">
        <f t="shared" si="1570"/>
        <v>#DIV/0!</v>
      </c>
      <c r="AY186" s="70" t="e">
        <f t="shared" si="1570"/>
        <v>#DIV/0!</v>
      </c>
      <c r="AZ186" s="70" t="e">
        <f t="shared" ref="AZ186:BC186" si="1571">AZ182-AZ185</f>
        <v>#DIV/0!</v>
      </c>
      <c r="BA186" s="70" t="e">
        <f t="shared" si="1571"/>
        <v>#DIV/0!</v>
      </c>
      <c r="BB186" s="70" t="e">
        <f t="shared" si="1571"/>
        <v>#DIV/0!</v>
      </c>
      <c r="BC186" s="70" t="e">
        <f t="shared" si="1571"/>
        <v>#DIV/0!</v>
      </c>
      <c r="BD186" s="70" t="e">
        <f t="shared" ref="BD186:CE186" si="1572">BD182-BD185</f>
        <v>#DIV/0!</v>
      </c>
      <c r="BE186" s="70" t="e">
        <f t="shared" si="1572"/>
        <v>#DIV/0!</v>
      </c>
      <c r="BF186" s="70" t="e">
        <f t="shared" si="1572"/>
        <v>#DIV/0!</v>
      </c>
      <c r="BG186" s="70" t="e">
        <f t="shared" si="1572"/>
        <v>#DIV/0!</v>
      </c>
      <c r="BH186" s="70" t="e">
        <f t="shared" si="1572"/>
        <v>#DIV/0!</v>
      </c>
      <c r="BI186" s="70" t="e">
        <f t="shared" si="1572"/>
        <v>#DIV/0!</v>
      </c>
      <c r="BJ186" s="70" t="e">
        <f t="shared" si="1572"/>
        <v>#DIV/0!</v>
      </c>
      <c r="BK186" s="70" t="e">
        <f t="shared" si="1572"/>
        <v>#DIV/0!</v>
      </c>
      <c r="BL186" s="70" t="e">
        <f t="shared" si="1572"/>
        <v>#DIV/0!</v>
      </c>
      <c r="BM186" s="70" t="e">
        <f t="shared" si="1572"/>
        <v>#DIV/0!</v>
      </c>
      <c r="BN186" s="70" t="e">
        <f t="shared" si="1572"/>
        <v>#DIV/0!</v>
      </c>
      <c r="BO186" s="70" t="e">
        <f t="shared" si="1572"/>
        <v>#DIV/0!</v>
      </c>
      <c r="BP186" s="70" t="e">
        <f t="shared" si="1572"/>
        <v>#DIV/0!</v>
      </c>
      <c r="BQ186" s="70" t="e">
        <f t="shared" si="1572"/>
        <v>#DIV/0!</v>
      </c>
      <c r="BR186" s="70" t="e">
        <f t="shared" si="1572"/>
        <v>#DIV/0!</v>
      </c>
      <c r="BS186" s="70" t="e">
        <f t="shared" si="1572"/>
        <v>#DIV/0!</v>
      </c>
      <c r="BT186" s="70" t="e">
        <f t="shared" si="1572"/>
        <v>#DIV/0!</v>
      </c>
      <c r="BU186" s="70" t="e">
        <f t="shared" si="1572"/>
        <v>#DIV/0!</v>
      </c>
      <c r="BV186" s="70" t="e">
        <f t="shared" si="1572"/>
        <v>#DIV/0!</v>
      </c>
      <c r="BW186" s="70" t="e">
        <f t="shared" si="1572"/>
        <v>#DIV/0!</v>
      </c>
      <c r="BX186" s="70" t="e">
        <f t="shared" si="1572"/>
        <v>#DIV/0!</v>
      </c>
      <c r="BY186" s="70" t="e">
        <f t="shared" si="1572"/>
        <v>#DIV/0!</v>
      </c>
      <c r="BZ186" s="70" t="e">
        <f t="shared" si="1572"/>
        <v>#DIV/0!</v>
      </c>
      <c r="CA186" s="70" t="e">
        <f t="shared" si="1572"/>
        <v>#DIV/0!</v>
      </c>
      <c r="CB186" s="70">
        <f t="shared" si="1572"/>
        <v>148.91204860977578</v>
      </c>
      <c r="CC186" s="70">
        <f t="shared" si="1572"/>
        <v>151.00015732622106</v>
      </c>
      <c r="CD186" s="70">
        <f t="shared" si="1572"/>
        <v>158.02446269439105</v>
      </c>
      <c r="CE186" s="115">
        <f t="shared" si="1572"/>
        <v>157.9009749218331</v>
      </c>
      <c r="CF186" s="70">
        <f t="shared" ref="CF186:CG186" si="1573">CF182-CF185</f>
        <v>113.25782942682689</v>
      </c>
      <c r="CG186" s="70">
        <f t="shared" si="1573"/>
        <v>114.93399977193329</v>
      </c>
      <c r="CH186" s="70">
        <f t="shared" ref="CH186:CI186" si="1574">CH182-CH185</f>
        <v>141.71644159232744</v>
      </c>
      <c r="CI186" s="70">
        <f t="shared" si="1574"/>
        <v>141.71644159232744</v>
      </c>
      <c r="CJ186" s="70">
        <f t="shared" ref="CJ186:DB186" si="1575">CJ182-CJ185</f>
        <v>120.07188498402554</v>
      </c>
      <c r="CK186" s="50">
        <f t="shared" si="1575"/>
        <v>120.07188498402554</v>
      </c>
      <c r="CL186" s="70">
        <f t="shared" ref="CL186" si="1576">CL182-CL185</f>
        <v>140.1187824795843</v>
      </c>
      <c r="CM186" s="50">
        <f t="shared" si="1575"/>
        <v>140.1187824795843</v>
      </c>
      <c r="CN186" s="50">
        <f t="shared" si="1575"/>
        <v>140.1187824795843</v>
      </c>
      <c r="CO186" s="50">
        <f t="shared" si="1575"/>
        <v>140.1187824795843</v>
      </c>
      <c r="CP186" s="50">
        <f t="shared" si="1575"/>
        <v>140.1187824795843</v>
      </c>
      <c r="CQ186" s="50">
        <f t="shared" si="1575"/>
        <v>140.1187824795843</v>
      </c>
      <c r="CR186" s="50">
        <f t="shared" si="1575"/>
        <v>140.1187824795843</v>
      </c>
      <c r="CS186" s="50">
        <f t="shared" si="1575"/>
        <v>140.1187824795843</v>
      </c>
      <c r="CT186" s="50">
        <f t="shared" si="1575"/>
        <v>140.1187824795843</v>
      </c>
      <c r="CU186" s="50">
        <f t="shared" si="1575"/>
        <v>140.1187824795843</v>
      </c>
      <c r="CV186" s="50">
        <f t="shared" si="1575"/>
        <v>140.1187824795843</v>
      </c>
      <c r="CW186" s="50">
        <f t="shared" si="1575"/>
        <v>140.1187824795843</v>
      </c>
      <c r="CX186" s="50">
        <f t="shared" si="1575"/>
        <v>140.1187824795843</v>
      </c>
      <c r="CY186" s="50">
        <f t="shared" si="1575"/>
        <v>140.1187824795843</v>
      </c>
      <c r="CZ186" s="50">
        <f t="shared" si="1575"/>
        <v>140.1187824795843</v>
      </c>
      <c r="DA186" s="50">
        <f t="shared" si="1575"/>
        <v>140.1187824795843</v>
      </c>
      <c r="DB186" s="50">
        <f t="shared" si="1575"/>
        <v>140.1187824795843</v>
      </c>
      <c r="DE186" s="138"/>
      <c r="DF186" s="7">
        <v>156.73464280297287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 t="e">
        <f t="shared" si="1577"/>
        <v>#DIV/0!</v>
      </c>
      <c r="E188" s="86" t="e">
        <f t="shared" si="1577"/>
        <v>#DIV/0!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 t="e">
        <f t="shared" si="1577"/>
        <v>#DIV/0!</v>
      </c>
      <c r="J188" s="86" t="e">
        <f t="shared" si="1577"/>
        <v>#DIV/0!</v>
      </c>
      <c r="K188" s="86" t="e">
        <f t="shared" si="1577"/>
        <v>#DIV/0!</v>
      </c>
      <c r="L188" s="86" t="e">
        <f t="shared" si="1577"/>
        <v>#DIV/0!</v>
      </c>
      <c r="M188" s="86" t="e">
        <f t="shared" si="1577"/>
        <v>#DIV/0!</v>
      </c>
      <c r="N188" s="86" t="e">
        <f t="shared" si="1577"/>
        <v>#DIV/0!</v>
      </c>
      <c r="O188" s="86" t="e">
        <f t="shared" si="1577"/>
        <v>#DIV/0!</v>
      </c>
      <c r="P188" s="86" t="e">
        <f t="shared" si="1577"/>
        <v>#DIV/0!</v>
      </c>
      <c r="Q188" s="86" t="e">
        <f t="shared" si="1577"/>
        <v>#DIV/0!</v>
      </c>
      <c r="R188" s="86" t="e">
        <f t="shared" si="1577"/>
        <v>#DIV/0!</v>
      </c>
      <c r="S188" s="86" t="e">
        <f t="shared" si="1577"/>
        <v>#DIV/0!</v>
      </c>
      <c r="T188" s="86" t="e">
        <f t="shared" si="1577"/>
        <v>#DIV/0!</v>
      </c>
      <c r="U188" s="86" t="e">
        <f t="shared" si="1577"/>
        <v>#DIV/0!</v>
      </c>
      <c r="V188" s="86" t="e">
        <f t="shared" si="1577"/>
        <v>#DIV/0!</v>
      </c>
      <c r="W188" s="86" t="e">
        <f t="shared" si="1577"/>
        <v>#DIV/0!</v>
      </c>
      <c r="X188" s="86" t="e">
        <f t="shared" si="1577"/>
        <v>#DIV/0!</v>
      </c>
      <c r="Y188" s="86" t="e">
        <f t="shared" si="1577"/>
        <v>#DIV/0!</v>
      </c>
      <c r="Z188" s="86">
        <f>Z10/Y10-1</f>
        <v>0.10180572556387402</v>
      </c>
      <c r="AA188" s="86">
        <f>AA10/Z10-1</f>
        <v>0.13558854938165266</v>
      </c>
      <c r="AB188" s="87">
        <f t="shared" ref="AB188:AE188" si="1578">AB10/AA10-1</f>
        <v>0.18742830635408536</v>
      </c>
      <c r="AC188" s="87">
        <f t="shared" si="1578"/>
        <v>0.19425743775579041</v>
      </c>
      <c r="AD188" s="87">
        <f t="shared" si="1578"/>
        <v>0.19523872409401233</v>
      </c>
      <c r="AE188" s="87">
        <f t="shared" si="1578"/>
        <v>0.19536189936961179</v>
      </c>
      <c r="AN188" s="86" t="e">
        <f t="shared" ref="AN188:CI188" si="1579">+(AN10+AM10)/(AJ10+AI10)-1</f>
        <v>#DIV/0!</v>
      </c>
      <c r="AO188" s="86" t="e">
        <f t="shared" si="1579"/>
        <v>#DIV/0!</v>
      </c>
      <c r="AP188" s="86" t="e">
        <f t="shared" si="1579"/>
        <v>#DIV/0!</v>
      </c>
      <c r="AQ188" s="86" t="e">
        <f t="shared" si="1579"/>
        <v>#DIV/0!</v>
      </c>
      <c r="AR188" s="86" t="e">
        <f t="shared" si="1579"/>
        <v>#DIV/0!</v>
      </c>
      <c r="AS188" s="86" t="e">
        <f t="shared" si="1579"/>
        <v>#DIV/0!</v>
      </c>
      <c r="AT188" s="86" t="e">
        <f t="shared" si="1579"/>
        <v>#DIV/0!</v>
      </c>
      <c r="AU188" s="86" t="e">
        <f t="shared" si="1579"/>
        <v>#DIV/0!</v>
      </c>
      <c r="AV188" s="86" t="e">
        <f t="shared" si="1579"/>
        <v>#DIV/0!</v>
      </c>
      <c r="AW188" s="86" t="e">
        <f t="shared" si="1579"/>
        <v>#DIV/0!</v>
      </c>
      <c r="AX188" s="86" t="e">
        <f t="shared" si="1579"/>
        <v>#DIV/0!</v>
      </c>
      <c r="AY188" s="86" t="e">
        <f t="shared" si="1579"/>
        <v>#DIV/0!</v>
      </c>
      <c r="AZ188" s="86" t="e">
        <f t="shared" si="1579"/>
        <v>#DIV/0!</v>
      </c>
      <c r="BA188" s="86" t="e">
        <f t="shared" si="1579"/>
        <v>#DIV/0!</v>
      </c>
      <c r="BB188" s="86" t="e">
        <f t="shared" si="1579"/>
        <v>#DIV/0!</v>
      </c>
      <c r="BC188" s="86" t="e">
        <f t="shared" si="1579"/>
        <v>#DIV/0!</v>
      </c>
      <c r="BD188" s="86" t="e">
        <f t="shared" si="1579"/>
        <v>#DIV/0!</v>
      </c>
      <c r="BE188" s="86" t="e">
        <f t="shared" si="1579"/>
        <v>#DIV/0!</v>
      </c>
      <c r="BF188" s="86" t="e">
        <f t="shared" si="1579"/>
        <v>#DIV/0!</v>
      </c>
      <c r="BG188" s="86" t="e">
        <f t="shared" si="1579"/>
        <v>#DIV/0!</v>
      </c>
      <c r="BH188" s="86" t="e">
        <f t="shared" si="1579"/>
        <v>#DIV/0!</v>
      </c>
      <c r="BI188" s="86" t="e">
        <f t="shared" si="1579"/>
        <v>#DIV/0!</v>
      </c>
      <c r="BJ188" s="86" t="e">
        <f t="shared" si="1579"/>
        <v>#DIV/0!</v>
      </c>
      <c r="BK188" s="86" t="e">
        <f t="shared" si="1579"/>
        <v>#DIV/0!</v>
      </c>
      <c r="BL188" s="86" t="e">
        <f t="shared" si="1579"/>
        <v>#DIV/0!</v>
      </c>
      <c r="BM188" s="86" t="e">
        <f t="shared" si="1579"/>
        <v>#DIV/0!</v>
      </c>
      <c r="BN188" s="86" t="e">
        <f t="shared" si="1579"/>
        <v>#DIV/0!</v>
      </c>
      <c r="BO188" s="86" t="e">
        <f t="shared" si="1579"/>
        <v>#DIV/0!</v>
      </c>
      <c r="BP188" s="86" t="e">
        <f t="shared" si="1579"/>
        <v>#DIV/0!</v>
      </c>
      <c r="BQ188" s="86" t="e">
        <f t="shared" si="1579"/>
        <v>#DIV/0!</v>
      </c>
      <c r="BR188" s="86" t="e">
        <f t="shared" si="1579"/>
        <v>#DIV/0!</v>
      </c>
      <c r="BS188" s="86" t="e">
        <f t="shared" si="1579"/>
        <v>#DIV/0!</v>
      </c>
      <c r="BT188" s="86" t="e">
        <f t="shared" si="1579"/>
        <v>#DIV/0!</v>
      </c>
      <c r="BU188" s="86" t="e">
        <f t="shared" si="1579"/>
        <v>#DIV/0!</v>
      </c>
      <c r="BV188" s="86" t="e">
        <f t="shared" si="1579"/>
        <v>#DIV/0!</v>
      </c>
      <c r="BW188" s="86" t="e">
        <f t="shared" si="1579"/>
        <v>#DIV/0!</v>
      </c>
      <c r="BX188" s="86" t="e">
        <f t="shared" si="1579"/>
        <v>#DIV/0!</v>
      </c>
      <c r="BY188" s="86" t="e">
        <f t="shared" si="1579"/>
        <v>#DIV/0!</v>
      </c>
      <c r="BZ188" s="86" t="e">
        <f t="shared" si="1579"/>
        <v>#DIV/0!</v>
      </c>
      <c r="CA188" s="86" t="e">
        <f t="shared" si="1579"/>
        <v>#DIV/0!</v>
      </c>
      <c r="CB188" s="86" t="e">
        <f t="shared" si="1579"/>
        <v>#DIV/0!</v>
      </c>
      <c r="CC188" s="86" t="e">
        <f t="shared" si="1579"/>
        <v>#DIV/0!</v>
      </c>
      <c r="CD188" s="86" t="e">
        <f t="shared" si="1579"/>
        <v>#DIV/0!</v>
      </c>
      <c r="CE188" s="86">
        <f t="shared" si="1579"/>
        <v>1.1804922515952598</v>
      </c>
      <c r="CF188" s="86">
        <f t="shared" si="1579"/>
        <v>0.13231163172880334</v>
      </c>
      <c r="CG188" s="86">
        <f t="shared" si="1579"/>
        <v>0.16886051859487772</v>
      </c>
      <c r="CH188" s="86">
        <f t="shared" si="1579"/>
        <v>7.1716676718938555E-2</v>
      </c>
      <c r="CI188" s="86">
        <f t="shared" si="1579"/>
        <v>-3.9576365663322011E-2</v>
      </c>
      <c r="CJ188" s="86">
        <f>+(CJ10+CI10)/(CF10+CE10)-1</f>
        <v>2.234410598261749E-2</v>
      </c>
      <c r="CK188" s="87"/>
      <c r="CL188" s="86">
        <f>+(CL10+CK10)/(CH10+CG10)-1</f>
        <v>0.25360088637202982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0.13558854938165266</v>
      </c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 t="e">
        <f t="shared" ref="D189" si="1581">D186/C186-1</f>
        <v>#DIV/0!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 t="e">
        <f t="shared" ref="J189" si="1586">J186/I186-1</f>
        <v>#DIV/0!</v>
      </c>
      <c r="K189" s="86" t="e">
        <f>K186/J186-1</f>
        <v>#DIV/0!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 t="e">
        <f t="shared" ref="N189" si="1589">N186/M186-1</f>
        <v>#DIV/0!</v>
      </c>
      <c r="O189" s="86" t="e">
        <f t="shared" ref="O189" si="1590">O186/N186-1</f>
        <v>#DIV/0!</v>
      </c>
      <c r="P189" s="86" t="e">
        <f t="shared" ref="P189" si="1591">P186/O186-1</f>
        <v>#DIV/0!</v>
      </c>
      <c r="Q189" s="86" t="e">
        <f t="shared" ref="Q189" si="1592">Q186/P186-1</f>
        <v>#DIV/0!</v>
      </c>
      <c r="R189" s="86" t="e">
        <f t="shared" ref="R189" si="1593">R186/Q186-1</f>
        <v>#DIV/0!</v>
      </c>
      <c r="S189" s="86" t="e">
        <f t="shared" ref="S189" si="1594">S186/R186-1</f>
        <v>#DIV/0!</v>
      </c>
      <c r="T189" s="86" t="e">
        <f t="shared" ref="T189" si="1595">T186/S186-1</f>
        <v>#DIV/0!</v>
      </c>
      <c r="U189" s="86" t="e">
        <f t="shared" ref="U189" si="1596">U186/T186-1</f>
        <v>#DIV/0!</v>
      </c>
      <c r="V189" s="86" t="e">
        <f t="shared" ref="V189" si="1597">V186/U186-1</f>
        <v>#DIV/0!</v>
      </c>
      <c r="W189" s="86" t="e">
        <f t="shared" ref="W189:AA189" si="1598">W186/V186-1</f>
        <v>#DIV/0!</v>
      </c>
      <c r="X189" s="86" t="e">
        <f t="shared" si="1598"/>
        <v>#DIV/0!</v>
      </c>
      <c r="Y189" s="86" t="e">
        <f t="shared" si="1598"/>
        <v>#DIV/0!</v>
      </c>
      <c r="Z189" s="86">
        <f t="shared" si="1598"/>
        <v>-0.19168298098960357</v>
      </c>
      <c r="AA189" s="86">
        <f t="shared" si="1598"/>
        <v>0.11455965296520909</v>
      </c>
      <c r="AB189" s="87">
        <f t="shared" ref="AB189" si="1599">AB186/AA186-1</f>
        <v>1.8161623608083044E-2</v>
      </c>
      <c r="AC189" s="87">
        <f t="shared" ref="AC189" si="1600">AC186/AB186-1</f>
        <v>1.1611899778591894E-3</v>
      </c>
      <c r="AD189" s="87">
        <f t="shared" ref="AD189" si="1601">AD186/AC186-1</f>
        <v>-6.5664321799996372E-6</v>
      </c>
      <c r="AE189" s="87">
        <f t="shared" ref="AE189" si="1602">AE186/AD186-1</f>
        <v>-3.1731621258690446E-5</v>
      </c>
      <c r="AN189" s="86" t="e">
        <f t="shared" ref="AN189:CI189" si="1603">+AN186/AJ186-1</f>
        <v>#DIV/0!</v>
      </c>
      <c r="AO189" s="86" t="e">
        <f t="shared" si="1603"/>
        <v>#DIV/0!</v>
      </c>
      <c r="AP189" s="86" t="e">
        <f t="shared" si="1603"/>
        <v>#DIV/0!</v>
      </c>
      <c r="AQ189" s="86" t="e">
        <f t="shared" si="1603"/>
        <v>#DIV/0!</v>
      </c>
      <c r="AR189" s="86" t="e">
        <f t="shared" si="1603"/>
        <v>#DIV/0!</v>
      </c>
      <c r="AS189" s="86" t="e">
        <f t="shared" si="1603"/>
        <v>#DIV/0!</v>
      </c>
      <c r="AT189" s="86" t="e">
        <f t="shared" si="1603"/>
        <v>#DIV/0!</v>
      </c>
      <c r="AU189" s="86" t="e">
        <f t="shared" si="1603"/>
        <v>#DIV/0!</v>
      </c>
      <c r="AV189" s="86" t="e">
        <f t="shared" si="1603"/>
        <v>#DIV/0!</v>
      </c>
      <c r="AW189" s="86" t="e">
        <f t="shared" si="1603"/>
        <v>#DIV/0!</v>
      </c>
      <c r="AX189" s="86" t="e">
        <f t="shared" si="1603"/>
        <v>#DIV/0!</v>
      </c>
      <c r="AY189" s="86" t="e">
        <f t="shared" si="1603"/>
        <v>#DIV/0!</v>
      </c>
      <c r="AZ189" s="86" t="e">
        <f t="shared" si="1603"/>
        <v>#DIV/0!</v>
      </c>
      <c r="BA189" s="86" t="e">
        <f t="shared" si="1603"/>
        <v>#DIV/0!</v>
      </c>
      <c r="BB189" s="86" t="e">
        <f t="shared" si="1603"/>
        <v>#DIV/0!</v>
      </c>
      <c r="BC189" s="86" t="e">
        <f t="shared" si="1603"/>
        <v>#DIV/0!</v>
      </c>
      <c r="BD189" s="86" t="e">
        <f t="shared" si="1603"/>
        <v>#DIV/0!</v>
      </c>
      <c r="BE189" s="86" t="e">
        <f t="shared" si="1603"/>
        <v>#DIV/0!</v>
      </c>
      <c r="BF189" s="86" t="e">
        <f t="shared" si="1603"/>
        <v>#DIV/0!</v>
      </c>
      <c r="BG189" s="86" t="e">
        <f t="shared" si="1603"/>
        <v>#DIV/0!</v>
      </c>
      <c r="BH189" s="86" t="e">
        <f t="shared" si="1603"/>
        <v>#DIV/0!</v>
      </c>
      <c r="BI189" s="86" t="e">
        <f t="shared" si="1603"/>
        <v>#DIV/0!</v>
      </c>
      <c r="BJ189" s="86" t="e">
        <f t="shared" si="1603"/>
        <v>#DIV/0!</v>
      </c>
      <c r="BK189" s="86" t="e">
        <f t="shared" si="1603"/>
        <v>#DIV/0!</v>
      </c>
      <c r="BL189" s="86" t="e">
        <f t="shared" si="1603"/>
        <v>#DIV/0!</v>
      </c>
      <c r="BM189" s="86" t="e">
        <f t="shared" si="1603"/>
        <v>#DIV/0!</v>
      </c>
      <c r="BN189" s="86" t="e">
        <f t="shared" si="1603"/>
        <v>#DIV/0!</v>
      </c>
      <c r="BO189" s="86" t="e">
        <f t="shared" si="1603"/>
        <v>#DIV/0!</v>
      </c>
      <c r="BP189" s="86" t="e">
        <f t="shared" si="1603"/>
        <v>#DIV/0!</v>
      </c>
      <c r="BQ189" s="86" t="e">
        <f t="shared" si="1603"/>
        <v>#DIV/0!</v>
      </c>
      <c r="BR189" s="86" t="e">
        <f t="shared" si="1603"/>
        <v>#DIV/0!</v>
      </c>
      <c r="BS189" s="86" t="e">
        <f t="shared" si="1603"/>
        <v>#DIV/0!</v>
      </c>
      <c r="BT189" s="86" t="e">
        <f t="shared" si="1603"/>
        <v>#DIV/0!</v>
      </c>
      <c r="BU189" s="86" t="e">
        <f t="shared" si="1603"/>
        <v>#DIV/0!</v>
      </c>
      <c r="BV189" s="86" t="e">
        <f t="shared" si="1603"/>
        <v>#DIV/0!</v>
      </c>
      <c r="BW189" s="86" t="e">
        <f t="shared" si="1603"/>
        <v>#DIV/0!</v>
      </c>
      <c r="BX189" s="86" t="e">
        <f t="shared" si="1603"/>
        <v>#DIV/0!</v>
      </c>
      <c r="BY189" s="86" t="e">
        <f t="shared" si="1603"/>
        <v>#DIV/0!</v>
      </c>
      <c r="BZ189" s="86" t="e">
        <f t="shared" si="1603"/>
        <v>#DIV/0!</v>
      </c>
      <c r="CA189" s="86" t="e">
        <f t="shared" si="1603"/>
        <v>#DIV/0!</v>
      </c>
      <c r="CB189" s="86" t="e">
        <f t="shared" si="1603"/>
        <v>#DIV/0!</v>
      </c>
      <c r="CC189" s="86" t="e">
        <f t="shared" si="1603"/>
        <v>#DIV/0!</v>
      </c>
      <c r="CD189" s="86" t="e">
        <f t="shared" si="1603"/>
        <v>#DIV/0!</v>
      </c>
      <c r="CE189" s="86" t="e">
        <f t="shared" si="1603"/>
        <v>#DIV/0!</v>
      </c>
      <c r="CF189" s="86">
        <f t="shared" si="1603"/>
        <v>-0.23943139266306668</v>
      </c>
      <c r="CG189" s="86">
        <f t="shared" si="1603"/>
        <v>-0.2388484766699307</v>
      </c>
      <c r="CH189" s="86">
        <f t="shared" si="1603"/>
        <v>-0.10319934536719322</v>
      </c>
      <c r="CI189" s="86">
        <f t="shared" si="1603"/>
        <v>-0.10249799494599454</v>
      </c>
      <c r="CJ189" s="86">
        <f>+CJ186/CF186-1</f>
        <v>6.01641016050114E-2</v>
      </c>
      <c r="CK189" s="87"/>
      <c r="CL189" s="86">
        <f>+CL186/CH186-1</f>
        <v>-1.1273632718912685E-2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0.11925637321014748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 t="e">
        <f t="shared" si="1604"/>
        <v>#DIV/0!</v>
      </c>
      <c r="K190" s="103" t="e">
        <f t="shared" si="1604"/>
        <v>#DIV/0!</v>
      </c>
      <c r="L190" s="103" t="e">
        <f t="shared" si="1604"/>
        <v>#DIV/0!</v>
      </c>
      <c r="M190" s="103" t="e">
        <f t="shared" si="1604"/>
        <v>#DIV/0!</v>
      </c>
      <c r="N190" s="103" t="e">
        <f t="shared" si="1604"/>
        <v>#DIV/0!</v>
      </c>
      <c r="O190" s="103" t="e">
        <f t="shared" si="1604"/>
        <v>#DIV/0!</v>
      </c>
      <c r="P190" s="103" t="e">
        <f t="shared" si="1604"/>
        <v>#DIV/0!</v>
      </c>
      <c r="Q190" s="103" t="e">
        <f t="shared" si="1604"/>
        <v>#DIV/0!</v>
      </c>
      <c r="R190" s="103" t="e">
        <f t="shared" si="1604"/>
        <v>#DIV/0!</v>
      </c>
      <c r="S190" s="103" t="e">
        <f t="shared" si="1604"/>
        <v>#DIV/0!</v>
      </c>
      <c r="T190" s="103" t="e">
        <f t="shared" si="1604"/>
        <v>#DIV/0!</v>
      </c>
      <c r="U190" s="103" t="e">
        <f t="shared" si="1604"/>
        <v>#DIV/0!</v>
      </c>
      <c r="V190" s="103" t="e">
        <f>IF(V189&gt;V188,"RF",0)</f>
        <v>#DIV/0!</v>
      </c>
      <c r="W190" s="103" t="e">
        <f t="shared" ref="W190" si="1605">IF(W189&gt;W188,"RF",0)</f>
        <v>#DIV/0!</v>
      </c>
      <c r="X190" s="103" t="e">
        <f t="shared" ref="X190:Y190" si="1606">IF(X189&gt;X188,"RF",0)</f>
        <v>#DIV/0!</v>
      </c>
      <c r="Y190" s="103" t="e">
        <f t="shared" si="1606"/>
        <v>#DIV/0!</v>
      </c>
      <c r="Z190" s="103">
        <f t="shared" ref="Z190:AA190" si="1607">IF(Z189&gt;Z188,"RF",0)</f>
        <v>0</v>
      </c>
      <c r="AA190" s="103">
        <f t="shared" ref="AA190" si="1608">IF(AA189&gt;AA188,"RF",0)</f>
        <v>0</v>
      </c>
      <c r="AB190" s="73">
        <f t="shared" ref="AB190:AD190" si="1609">IF(AB189&gt;AB188,"RF",0)</f>
        <v>0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</v>
      </c>
      <c r="D193" s="23">
        <f t="shared" si="1611"/>
        <v>0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0</v>
      </c>
      <c r="I193" s="23">
        <f t="shared" si="1611"/>
        <v>0</v>
      </c>
      <c r="J193" s="23">
        <f t="shared" si="1611"/>
        <v>0</v>
      </c>
      <c r="K193" s="23">
        <f t="shared" si="1611"/>
        <v>0</v>
      </c>
      <c r="L193" s="23">
        <f t="shared" si="1611"/>
        <v>0</v>
      </c>
      <c r="M193" s="23">
        <f t="shared" si="1611"/>
        <v>0</v>
      </c>
      <c r="N193" s="23">
        <f t="shared" si="1611"/>
        <v>0</v>
      </c>
      <c r="O193" s="23">
        <f t="shared" si="1611"/>
        <v>0</v>
      </c>
      <c r="P193" s="23">
        <f t="shared" si="1611"/>
        <v>0</v>
      </c>
      <c r="Q193" s="23">
        <f t="shared" si="1611"/>
        <v>0</v>
      </c>
      <c r="R193" s="23">
        <f t="shared" si="1611"/>
        <v>0</v>
      </c>
      <c r="S193" s="23">
        <f t="shared" si="1611"/>
        <v>0</v>
      </c>
      <c r="T193" s="23">
        <f t="shared" si="1611"/>
        <v>0</v>
      </c>
      <c r="U193" s="23">
        <f t="shared" si="1611"/>
        <v>0</v>
      </c>
      <c r="V193" s="23">
        <f t="shared" si="1611"/>
        <v>-5.8151000000000001E-3</v>
      </c>
      <c r="W193" s="23">
        <f t="shared" si="1611"/>
        <v>-1.1800000000000001E-3</v>
      </c>
      <c r="X193" s="23">
        <f t="shared" si="1611"/>
        <v>-0.01</v>
      </c>
      <c r="Y193" s="23">
        <f t="shared" si="1611"/>
        <v>25.050000000000189</v>
      </c>
      <c r="Z193" s="23">
        <f t="shared" si="1611"/>
        <v>55.970000000000113</v>
      </c>
      <c r="AA193" s="23">
        <f t="shared" ref="AA193" si="1612">AA48</f>
        <v>70.369999999999905</v>
      </c>
      <c r="AB193" s="24">
        <f t="shared" si="1611"/>
        <v>128.7603554785172</v>
      </c>
      <c r="AC193" s="24">
        <f t="shared" si="1611"/>
        <v>143.09392254596804</v>
      </c>
      <c r="AD193" s="24">
        <f t="shared" si="1611"/>
        <v>164.8896259954376</v>
      </c>
      <c r="AE193" s="24">
        <f t="shared" si="1611"/>
        <v>193.66292248253228</v>
      </c>
      <c r="AI193" s="23">
        <f t="shared" ref="AI193:BN193" si="1613">AI48</f>
        <v>0</v>
      </c>
      <c r="AJ193" s="23">
        <f t="shared" si="1613"/>
        <v>0</v>
      </c>
      <c r="AK193" s="23">
        <f t="shared" si="1613"/>
        <v>0</v>
      </c>
      <c r="AL193" s="23">
        <f t="shared" si="1613"/>
        <v>0</v>
      </c>
      <c r="AM193" s="23">
        <f t="shared" si="1613"/>
        <v>0</v>
      </c>
      <c r="AN193" s="23">
        <f t="shared" si="1613"/>
        <v>0</v>
      </c>
      <c r="AO193" s="23">
        <f t="shared" si="1613"/>
        <v>0</v>
      </c>
      <c r="AP193" s="23">
        <f t="shared" si="1613"/>
        <v>0</v>
      </c>
      <c r="AQ193" s="23">
        <f t="shared" si="1613"/>
        <v>0</v>
      </c>
      <c r="AR193" s="23">
        <f t="shared" si="1613"/>
        <v>0</v>
      </c>
      <c r="AS193" s="23">
        <f t="shared" si="1613"/>
        <v>0</v>
      </c>
      <c r="AT193" s="23">
        <f t="shared" si="1613"/>
        <v>0</v>
      </c>
      <c r="AU193" s="23">
        <f t="shared" si="1613"/>
        <v>0</v>
      </c>
      <c r="AV193" s="23">
        <f t="shared" si="1613"/>
        <v>0</v>
      </c>
      <c r="AW193" s="23">
        <f t="shared" si="1613"/>
        <v>0</v>
      </c>
      <c r="AX193" s="23">
        <f t="shared" si="1613"/>
        <v>0</v>
      </c>
      <c r="AY193" s="23">
        <f t="shared" si="1613"/>
        <v>0</v>
      </c>
      <c r="AZ193" s="23">
        <f t="shared" si="1613"/>
        <v>0</v>
      </c>
      <c r="BA193" s="23">
        <f t="shared" si="1613"/>
        <v>0</v>
      </c>
      <c r="BB193" s="23">
        <f t="shared" si="1613"/>
        <v>0</v>
      </c>
      <c r="BC193" s="23">
        <f t="shared" si="1613"/>
        <v>0</v>
      </c>
      <c r="BD193" s="23">
        <f t="shared" si="1613"/>
        <v>0</v>
      </c>
      <c r="BE193" s="23">
        <f t="shared" si="1613"/>
        <v>0</v>
      </c>
      <c r="BF193" s="23">
        <f t="shared" si="1613"/>
        <v>0</v>
      </c>
      <c r="BG193" s="23">
        <f t="shared" si="1613"/>
        <v>0</v>
      </c>
      <c r="BH193" s="23">
        <f t="shared" si="1613"/>
        <v>0</v>
      </c>
      <c r="BI193" s="23">
        <f t="shared" si="1613"/>
        <v>0</v>
      </c>
      <c r="BJ193" s="23">
        <f t="shared" si="1613"/>
        <v>0</v>
      </c>
      <c r="BK193" s="23">
        <f t="shared" si="1613"/>
        <v>0</v>
      </c>
      <c r="BL193" s="23">
        <f t="shared" si="1613"/>
        <v>0</v>
      </c>
      <c r="BM193" s="23">
        <f t="shared" si="1613"/>
        <v>0</v>
      </c>
      <c r="BN193" s="23">
        <f t="shared" si="1613"/>
        <v>0</v>
      </c>
      <c r="BO193" s="23">
        <f t="shared" ref="BO193:CT193" si="1614">BO48</f>
        <v>0</v>
      </c>
      <c r="BP193" s="23">
        <f t="shared" si="1614"/>
        <v>0</v>
      </c>
      <c r="BQ193" s="23">
        <f t="shared" si="1614"/>
        <v>0</v>
      </c>
      <c r="BR193" s="23">
        <f t="shared" si="1614"/>
        <v>0</v>
      </c>
      <c r="BS193" s="23">
        <f t="shared" si="1614"/>
        <v>0</v>
      </c>
      <c r="BT193" s="23">
        <f t="shared" si="1614"/>
        <v>0</v>
      </c>
      <c r="BU193" s="23">
        <f t="shared" si="1614"/>
        <v>0</v>
      </c>
      <c r="BV193" s="23">
        <f t="shared" si="1614"/>
        <v>0</v>
      </c>
      <c r="BW193" s="23">
        <f t="shared" si="1614"/>
        <v>0</v>
      </c>
      <c r="BX193" s="23">
        <f t="shared" si="1614"/>
        <v>0</v>
      </c>
      <c r="BY193" s="23">
        <f t="shared" si="1614"/>
        <v>0</v>
      </c>
      <c r="BZ193" s="23">
        <f t="shared" si="1614"/>
        <v>-0.01</v>
      </c>
      <c r="CA193" s="23">
        <f t="shared" si="1614"/>
        <v>4.1599999999999824</v>
      </c>
      <c r="CB193" s="23">
        <f t="shared" si="1614"/>
        <v>6.149999999999995</v>
      </c>
      <c r="CC193" s="23">
        <f t="shared" si="1614"/>
        <v>4.4899999999999949</v>
      </c>
      <c r="CD193" s="23">
        <f t="shared" si="1614"/>
        <v>10.249999999999993</v>
      </c>
      <c r="CE193" s="23">
        <f t="shared" si="1614"/>
        <v>11.800000000000015</v>
      </c>
      <c r="CF193" s="23">
        <f t="shared" si="1614"/>
        <v>20.599999999999977</v>
      </c>
      <c r="CG193" s="23">
        <f t="shared" si="1614"/>
        <v>9.3699999999999832</v>
      </c>
      <c r="CH193" s="23">
        <f t="shared" si="1614"/>
        <v>14.200000000000006</v>
      </c>
      <c r="CI193" s="23">
        <f t="shared" si="1614"/>
        <v>13.519999999999971</v>
      </c>
      <c r="CJ193" s="23">
        <f t="shared" si="1614"/>
        <v>16.010000000000002</v>
      </c>
      <c r="CK193" s="24">
        <f t="shared" si="1614"/>
        <v>13.179999999999996</v>
      </c>
      <c r="CL193" s="23">
        <f t="shared" ref="CL193" si="1615">CL48</f>
        <v>27.659999999999986</v>
      </c>
      <c r="CM193" s="24">
        <f t="shared" si="1614"/>
        <v>28.946422264764635</v>
      </c>
      <c r="CN193" s="24">
        <f t="shared" si="1614"/>
        <v>19.836885274256232</v>
      </c>
      <c r="CO193" s="24">
        <f t="shared" si="1614"/>
        <v>39.299523155692675</v>
      </c>
      <c r="CP193" s="24">
        <f t="shared" si="1614"/>
        <v>40.677524783803626</v>
      </c>
      <c r="CQ193" s="24">
        <f t="shared" si="1614"/>
        <v>31.586004994744982</v>
      </c>
      <c r="CR193" s="24">
        <f t="shared" si="1614"/>
        <v>20.32642935256543</v>
      </c>
      <c r="CS193" s="24">
        <f t="shared" si="1614"/>
        <v>45.240723938086326</v>
      </c>
      <c r="CT193" s="24">
        <f t="shared" si="1614"/>
        <v>45.94076426057152</v>
      </c>
      <c r="CU193" s="24">
        <f t="shared" ref="CU193:DB193" si="1616">CU48</f>
        <v>35.890124286410639</v>
      </c>
      <c r="CV193" s="24">
        <f t="shared" si="1616"/>
        <v>22.635860057211993</v>
      </c>
      <c r="CW193" s="24">
        <f t="shared" si="1616"/>
        <v>52.776156605757436</v>
      </c>
      <c r="CX193" s="24">
        <f t="shared" si="1616"/>
        <v>53.587485046057481</v>
      </c>
      <c r="CY193" s="24">
        <f t="shared" si="1616"/>
        <v>41.847184663517773</v>
      </c>
      <c r="CZ193" s="24">
        <f t="shared" si="1616"/>
        <v>26.150289884884366</v>
      </c>
      <c r="DA193" s="24">
        <f t="shared" si="1616"/>
        <v>62.310661228070572</v>
      </c>
      <c r="DB193" s="24">
        <f t="shared" si="1616"/>
        <v>63.35478670605977</v>
      </c>
      <c r="DE193" s="123"/>
      <c r="DF193" s="23">
        <v>70.369999999999905</v>
      </c>
    </row>
    <row r="194" spans="1:110" s="23" customFormat="1" x14ac:dyDescent="0.2">
      <c r="A194" s="23" t="s">
        <v>88</v>
      </c>
      <c r="C194" s="23">
        <f t="shared" ref="C194:AE194" si="1617">C32</f>
        <v>0</v>
      </c>
      <c r="D194" s="23">
        <f t="shared" si="1617"/>
        <v>0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0</v>
      </c>
      <c r="I194" s="23">
        <f t="shared" si="1617"/>
        <v>0</v>
      </c>
      <c r="J194" s="23">
        <f t="shared" si="1617"/>
        <v>0</v>
      </c>
      <c r="K194" s="23">
        <f t="shared" si="1617"/>
        <v>0</v>
      </c>
      <c r="L194" s="23">
        <f t="shared" si="1617"/>
        <v>0</v>
      </c>
      <c r="M194" s="23">
        <f t="shared" si="1617"/>
        <v>0</v>
      </c>
      <c r="N194" s="23">
        <f t="shared" si="1617"/>
        <v>0</v>
      </c>
      <c r="O194" s="23">
        <f t="shared" si="1617"/>
        <v>0</v>
      </c>
      <c r="P194" s="23">
        <f t="shared" si="1617"/>
        <v>0</v>
      </c>
      <c r="Q194" s="23">
        <f t="shared" si="1617"/>
        <v>0</v>
      </c>
      <c r="R194" s="23">
        <f t="shared" si="1617"/>
        <v>0</v>
      </c>
      <c r="S194" s="23">
        <f t="shared" si="1617"/>
        <v>0</v>
      </c>
      <c r="T194" s="23">
        <f t="shared" si="1617"/>
        <v>0</v>
      </c>
      <c r="U194" s="23">
        <f t="shared" si="1617"/>
        <v>0</v>
      </c>
      <c r="V194" s="23">
        <f t="shared" si="1617"/>
        <v>0</v>
      </c>
      <c r="W194" s="23">
        <f t="shared" si="1617"/>
        <v>0</v>
      </c>
      <c r="X194" s="23">
        <f t="shared" si="1617"/>
        <v>0</v>
      </c>
      <c r="Y194" s="23">
        <f t="shared" si="1617"/>
        <v>47.36</v>
      </c>
      <c r="Z194" s="23">
        <f t="shared" si="1617"/>
        <v>50.65</v>
      </c>
      <c r="AA194" s="23">
        <f t="shared" ref="AA194" si="1618">AA32</f>
        <v>57.9</v>
      </c>
      <c r="AB194" s="24">
        <f t="shared" si="1617"/>
        <v>60.149240612243162</v>
      </c>
      <c r="AC194" s="24">
        <f t="shared" si="1617"/>
        <v>60.149240612243162</v>
      </c>
      <c r="AD194" s="24">
        <f t="shared" si="1617"/>
        <v>60.149240612243162</v>
      </c>
      <c r="AE194" s="24">
        <f t="shared" si="1617"/>
        <v>60.149240612243162</v>
      </c>
      <c r="AI194" s="23">
        <f t="shared" ref="AI194:BN194" si="1619">AI32</f>
        <v>0</v>
      </c>
      <c r="AJ194" s="23">
        <f t="shared" si="1619"/>
        <v>0</v>
      </c>
      <c r="AK194" s="23">
        <f t="shared" si="1619"/>
        <v>0</v>
      </c>
      <c r="AL194" s="23">
        <f t="shared" si="1619"/>
        <v>0</v>
      </c>
      <c r="AM194" s="23">
        <f t="shared" si="1619"/>
        <v>0</v>
      </c>
      <c r="AN194" s="23">
        <f t="shared" si="1619"/>
        <v>0</v>
      </c>
      <c r="AO194" s="23">
        <f t="shared" si="1619"/>
        <v>0</v>
      </c>
      <c r="AP194" s="23">
        <f t="shared" si="1619"/>
        <v>0</v>
      </c>
      <c r="AQ194" s="23">
        <f t="shared" si="1619"/>
        <v>0</v>
      </c>
      <c r="AR194" s="23">
        <f t="shared" si="1619"/>
        <v>0</v>
      </c>
      <c r="AS194" s="23">
        <f t="shared" si="1619"/>
        <v>0</v>
      </c>
      <c r="AT194" s="23">
        <f t="shared" si="1619"/>
        <v>0</v>
      </c>
      <c r="AU194" s="23">
        <f t="shared" si="1619"/>
        <v>0</v>
      </c>
      <c r="AV194" s="23">
        <f t="shared" si="1619"/>
        <v>0</v>
      </c>
      <c r="AW194" s="23">
        <f t="shared" si="1619"/>
        <v>0</v>
      </c>
      <c r="AX194" s="23">
        <f t="shared" si="1619"/>
        <v>0</v>
      </c>
      <c r="AY194" s="23">
        <f t="shared" si="1619"/>
        <v>0</v>
      </c>
      <c r="AZ194" s="23">
        <f t="shared" si="1619"/>
        <v>0</v>
      </c>
      <c r="BA194" s="23">
        <f t="shared" si="1619"/>
        <v>0</v>
      </c>
      <c r="BB194" s="23">
        <f t="shared" si="1619"/>
        <v>0</v>
      </c>
      <c r="BC194" s="23">
        <f t="shared" si="1619"/>
        <v>0</v>
      </c>
      <c r="BD194" s="23">
        <f t="shared" si="1619"/>
        <v>0</v>
      </c>
      <c r="BE194" s="23">
        <f t="shared" si="1619"/>
        <v>0</v>
      </c>
      <c r="BF194" s="23">
        <f t="shared" si="1619"/>
        <v>0</v>
      </c>
      <c r="BG194" s="23">
        <f t="shared" si="1619"/>
        <v>0</v>
      </c>
      <c r="BH194" s="23">
        <f t="shared" si="1619"/>
        <v>0</v>
      </c>
      <c r="BI194" s="23">
        <f t="shared" si="1619"/>
        <v>0</v>
      </c>
      <c r="BJ194" s="23">
        <f t="shared" si="1619"/>
        <v>0</v>
      </c>
      <c r="BK194" s="23">
        <f t="shared" si="1619"/>
        <v>0</v>
      </c>
      <c r="BL194" s="23">
        <f t="shared" si="1619"/>
        <v>0</v>
      </c>
      <c r="BM194" s="23">
        <f t="shared" si="1619"/>
        <v>0</v>
      </c>
      <c r="BN194" s="23">
        <f t="shared" si="1619"/>
        <v>0</v>
      </c>
      <c r="BO194" s="23">
        <f t="shared" ref="BO194:CT194" si="1620">BO32</f>
        <v>0</v>
      </c>
      <c r="BP194" s="23">
        <f t="shared" si="1620"/>
        <v>0</v>
      </c>
      <c r="BQ194" s="23">
        <f t="shared" si="1620"/>
        <v>0</v>
      </c>
      <c r="BR194" s="23">
        <f t="shared" si="1620"/>
        <v>0</v>
      </c>
      <c r="BS194" s="23">
        <f t="shared" si="1620"/>
        <v>0</v>
      </c>
      <c r="BT194" s="23">
        <f t="shared" si="1620"/>
        <v>0</v>
      </c>
      <c r="BU194" s="23">
        <f t="shared" si="1620"/>
        <v>0</v>
      </c>
      <c r="BV194" s="23">
        <f t="shared" si="1620"/>
        <v>0</v>
      </c>
      <c r="BW194" s="23">
        <f t="shared" si="1620"/>
        <v>0</v>
      </c>
      <c r="BX194" s="23">
        <f t="shared" si="1620"/>
        <v>0</v>
      </c>
      <c r="BY194" s="23">
        <f t="shared" si="1620"/>
        <v>0</v>
      </c>
      <c r="BZ194" s="23">
        <f t="shared" si="1620"/>
        <v>0</v>
      </c>
      <c r="CA194" s="23">
        <f t="shared" si="1620"/>
        <v>10.53</v>
      </c>
      <c r="CB194" s="23">
        <f t="shared" si="1620"/>
        <v>11.49</v>
      </c>
      <c r="CC194" s="23">
        <f t="shared" si="1620"/>
        <v>12.32</v>
      </c>
      <c r="CD194" s="23">
        <f t="shared" si="1620"/>
        <v>13.02</v>
      </c>
      <c r="CE194" s="23">
        <f t="shared" si="1620"/>
        <v>12.53</v>
      </c>
      <c r="CF194" s="23">
        <f t="shared" si="1620"/>
        <v>12.77</v>
      </c>
      <c r="CG194" s="23">
        <f t="shared" si="1620"/>
        <v>12.82</v>
      </c>
      <c r="CH194" s="23">
        <f t="shared" si="1620"/>
        <v>12.53</v>
      </c>
      <c r="CI194" s="23">
        <f t="shared" si="1620"/>
        <v>12.98</v>
      </c>
      <c r="CJ194" s="23">
        <f t="shared" si="1620"/>
        <v>14.86</v>
      </c>
      <c r="CK194" s="24">
        <f t="shared" si="1620"/>
        <v>15.11</v>
      </c>
      <c r="CL194" s="23">
        <f t="shared" ref="CL194" si="1621">CL32</f>
        <v>14.95</v>
      </c>
      <c r="CM194" s="24">
        <f t="shared" si="1620"/>
        <v>15.03731015306079</v>
      </c>
      <c r="CN194" s="24">
        <f t="shared" si="1620"/>
        <v>15.03731015306079</v>
      </c>
      <c r="CO194" s="24">
        <f t="shared" si="1620"/>
        <v>15.03731015306079</v>
      </c>
      <c r="CP194" s="24">
        <f t="shared" si="1620"/>
        <v>15.03731015306079</v>
      </c>
      <c r="CQ194" s="24">
        <f t="shared" si="1620"/>
        <v>15.03731015306079</v>
      </c>
      <c r="CR194" s="24">
        <f t="shared" si="1620"/>
        <v>15.03731015306079</v>
      </c>
      <c r="CS194" s="24">
        <f t="shared" si="1620"/>
        <v>15.03731015306079</v>
      </c>
      <c r="CT194" s="24">
        <f t="shared" si="1620"/>
        <v>15.03731015306079</v>
      </c>
      <c r="CU194" s="24">
        <f t="shared" ref="CU194:DB194" si="1622">CU32</f>
        <v>15.03731015306079</v>
      </c>
      <c r="CV194" s="24">
        <f t="shared" si="1622"/>
        <v>15.03731015306079</v>
      </c>
      <c r="CW194" s="24">
        <f t="shared" si="1622"/>
        <v>15.03731015306079</v>
      </c>
      <c r="CX194" s="24">
        <f t="shared" si="1622"/>
        <v>15.03731015306079</v>
      </c>
      <c r="CY194" s="24">
        <f t="shared" si="1622"/>
        <v>15.03731015306079</v>
      </c>
      <c r="CZ194" s="24">
        <f t="shared" si="1622"/>
        <v>15.03731015306079</v>
      </c>
      <c r="DA194" s="24">
        <f t="shared" si="1622"/>
        <v>15.03731015306079</v>
      </c>
      <c r="DB194" s="24">
        <f t="shared" si="1622"/>
        <v>15.03731015306079</v>
      </c>
      <c r="DE194" s="123"/>
      <c r="DF194" s="23">
        <v>57.900000000000006</v>
      </c>
    </row>
    <row r="195" spans="1:110" s="22" customFormat="1" x14ac:dyDescent="0.2">
      <c r="A195" s="22" t="s">
        <v>89</v>
      </c>
      <c r="C195" s="22">
        <f t="shared" ref="C195:W195" si="1623">C193+C194</f>
        <v>0</v>
      </c>
      <c r="D195" s="22">
        <f t="shared" si="1623"/>
        <v>0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0</v>
      </c>
      <c r="I195" s="22">
        <f t="shared" si="1623"/>
        <v>0</v>
      </c>
      <c r="J195" s="22">
        <f t="shared" si="1623"/>
        <v>0</v>
      </c>
      <c r="K195" s="22">
        <f t="shared" si="1623"/>
        <v>0</v>
      </c>
      <c r="L195" s="22">
        <f t="shared" si="1623"/>
        <v>0</v>
      </c>
      <c r="M195" s="22">
        <f t="shared" si="1623"/>
        <v>0</v>
      </c>
      <c r="N195" s="22">
        <f t="shared" si="1623"/>
        <v>0</v>
      </c>
      <c r="O195" s="22">
        <f t="shared" si="1623"/>
        <v>0</v>
      </c>
      <c r="P195" s="22">
        <f t="shared" si="1623"/>
        <v>0</v>
      </c>
      <c r="Q195" s="22">
        <f t="shared" si="1623"/>
        <v>0</v>
      </c>
      <c r="R195" s="22">
        <f t="shared" si="1623"/>
        <v>0</v>
      </c>
      <c r="S195" s="22">
        <f t="shared" si="1623"/>
        <v>0</v>
      </c>
      <c r="T195" s="22">
        <f t="shared" si="1623"/>
        <v>0</v>
      </c>
      <c r="U195" s="22">
        <f t="shared" si="1623"/>
        <v>0</v>
      </c>
      <c r="V195" s="22">
        <f t="shared" si="1623"/>
        <v>-5.8151000000000001E-3</v>
      </c>
      <c r="W195" s="22">
        <f t="shared" si="1623"/>
        <v>-1.1800000000000001E-3</v>
      </c>
      <c r="X195" s="22">
        <f t="shared" ref="X195:Y195" si="1624">X193+X194</f>
        <v>-0.01</v>
      </c>
      <c r="Y195" s="22">
        <f t="shared" si="1624"/>
        <v>72.410000000000196</v>
      </c>
      <c r="Z195" s="22">
        <f t="shared" ref="Z195:AA195" si="1625">Z193+Z194</f>
        <v>106.62000000000012</v>
      </c>
      <c r="AA195" s="22">
        <f t="shared" ref="AA195" si="1626">AA193+AA194</f>
        <v>128.2699999999999</v>
      </c>
      <c r="AB195" s="21">
        <f t="shared" ref="AB195:AD195" si="1627">AB193+AB194</f>
        <v>188.90959609076037</v>
      </c>
      <c r="AC195" s="21">
        <f t="shared" si="1627"/>
        <v>203.24316315821119</v>
      </c>
      <c r="AD195" s="21">
        <f t="shared" si="1627"/>
        <v>225.03886660768075</v>
      </c>
      <c r="AE195" s="21">
        <f t="shared" ref="AE195" si="1628">AE193+AE194</f>
        <v>253.81216309477543</v>
      </c>
      <c r="AI195" s="22">
        <f t="shared" ref="AI195" si="1629">AI193+AI194</f>
        <v>0</v>
      </c>
      <c r="AJ195" s="22">
        <f t="shared" ref="AJ195:AL195" si="1630">AJ193+AJ194</f>
        <v>0</v>
      </c>
      <c r="AK195" s="22">
        <f t="shared" si="1630"/>
        <v>0</v>
      </c>
      <c r="AL195" s="22">
        <f t="shared" si="1630"/>
        <v>0</v>
      </c>
      <c r="AM195" s="22">
        <f t="shared" ref="AM195" si="1631">AM193+AM194</f>
        <v>0</v>
      </c>
      <c r="AN195" s="22">
        <f t="shared" ref="AN195:CD195" si="1632">AN193+AN194</f>
        <v>0</v>
      </c>
      <c r="AO195" s="22">
        <f t="shared" si="1632"/>
        <v>0</v>
      </c>
      <c r="AP195" s="22">
        <f t="shared" si="1632"/>
        <v>0</v>
      </c>
      <c r="AQ195" s="22">
        <f t="shared" si="1632"/>
        <v>0</v>
      </c>
      <c r="AR195" s="22">
        <f t="shared" si="1632"/>
        <v>0</v>
      </c>
      <c r="AS195" s="22">
        <f t="shared" si="1632"/>
        <v>0</v>
      </c>
      <c r="AT195" s="22">
        <f t="shared" si="1632"/>
        <v>0</v>
      </c>
      <c r="AU195" s="22">
        <f t="shared" si="1632"/>
        <v>0</v>
      </c>
      <c r="AV195" s="22">
        <f t="shared" si="1632"/>
        <v>0</v>
      </c>
      <c r="AW195" s="22">
        <f t="shared" si="1632"/>
        <v>0</v>
      </c>
      <c r="AX195" s="22">
        <f t="shared" si="1632"/>
        <v>0</v>
      </c>
      <c r="AY195" s="22">
        <f t="shared" si="1632"/>
        <v>0</v>
      </c>
      <c r="AZ195" s="22">
        <f t="shared" si="1632"/>
        <v>0</v>
      </c>
      <c r="BA195" s="22">
        <f t="shared" si="1632"/>
        <v>0</v>
      </c>
      <c r="BB195" s="22">
        <f t="shared" si="1632"/>
        <v>0</v>
      </c>
      <c r="BC195" s="22">
        <f t="shared" si="1632"/>
        <v>0</v>
      </c>
      <c r="BD195" s="22">
        <f t="shared" si="1632"/>
        <v>0</v>
      </c>
      <c r="BE195" s="22">
        <f t="shared" si="1632"/>
        <v>0</v>
      </c>
      <c r="BF195" s="22">
        <f t="shared" si="1632"/>
        <v>0</v>
      </c>
      <c r="BG195" s="22">
        <f t="shared" si="1632"/>
        <v>0</v>
      </c>
      <c r="BH195" s="22">
        <f t="shared" si="1632"/>
        <v>0</v>
      </c>
      <c r="BI195" s="22">
        <f t="shared" si="1632"/>
        <v>0</v>
      </c>
      <c r="BJ195" s="22">
        <f t="shared" si="1632"/>
        <v>0</v>
      </c>
      <c r="BK195" s="22">
        <f t="shared" si="1632"/>
        <v>0</v>
      </c>
      <c r="BL195" s="22">
        <f t="shared" si="1632"/>
        <v>0</v>
      </c>
      <c r="BM195" s="22">
        <f t="shared" si="1632"/>
        <v>0</v>
      </c>
      <c r="BN195" s="22">
        <f t="shared" si="1632"/>
        <v>0</v>
      </c>
      <c r="BO195" s="22">
        <f t="shared" si="1632"/>
        <v>0</v>
      </c>
      <c r="BP195" s="22">
        <f t="shared" si="1632"/>
        <v>0</v>
      </c>
      <c r="BQ195" s="22">
        <f t="shared" si="1632"/>
        <v>0</v>
      </c>
      <c r="BR195" s="22">
        <f t="shared" si="1632"/>
        <v>0</v>
      </c>
      <c r="BS195" s="22">
        <f t="shared" si="1632"/>
        <v>0</v>
      </c>
      <c r="BT195" s="22">
        <f t="shared" si="1632"/>
        <v>0</v>
      </c>
      <c r="BU195" s="22">
        <f t="shared" si="1632"/>
        <v>0</v>
      </c>
      <c r="BV195" s="22">
        <f t="shared" si="1632"/>
        <v>0</v>
      </c>
      <c r="BW195" s="22">
        <f t="shared" si="1632"/>
        <v>0</v>
      </c>
      <c r="BX195" s="22">
        <f t="shared" si="1632"/>
        <v>0</v>
      </c>
      <c r="BY195" s="22">
        <f t="shared" si="1632"/>
        <v>0</v>
      </c>
      <c r="BZ195" s="22">
        <f t="shared" si="1632"/>
        <v>-0.01</v>
      </c>
      <c r="CA195" s="22">
        <f t="shared" si="1632"/>
        <v>14.689999999999982</v>
      </c>
      <c r="CB195" s="22">
        <f t="shared" si="1632"/>
        <v>17.639999999999993</v>
      </c>
      <c r="CC195" s="22">
        <f t="shared" si="1632"/>
        <v>16.809999999999995</v>
      </c>
      <c r="CD195" s="22">
        <f t="shared" si="1632"/>
        <v>23.269999999999992</v>
      </c>
      <c r="CE195" s="22">
        <f t="shared" ref="CE195:CF195" si="1633">CE193+CE194</f>
        <v>24.330000000000013</v>
      </c>
      <c r="CF195" s="22">
        <f t="shared" si="1633"/>
        <v>33.369999999999976</v>
      </c>
      <c r="CG195" s="22">
        <f t="shared" ref="CG195:CH195" si="1634">CG193+CG194</f>
        <v>22.189999999999984</v>
      </c>
      <c r="CH195" s="22">
        <f t="shared" si="1634"/>
        <v>26.730000000000004</v>
      </c>
      <c r="CI195" s="22">
        <f t="shared" ref="CI195:CJ195" si="1635">CI193+CI194</f>
        <v>26.499999999999972</v>
      </c>
      <c r="CJ195" s="22">
        <f t="shared" si="1635"/>
        <v>30.87</v>
      </c>
      <c r="CK195" s="21">
        <f t="shared" ref="CK195:DB195" si="1636">CK193+CK194</f>
        <v>28.289999999999996</v>
      </c>
      <c r="CL195" s="22">
        <f t="shared" si="1636"/>
        <v>42.609999999999985</v>
      </c>
      <c r="CM195" s="21">
        <f t="shared" si="1636"/>
        <v>43.983732417825422</v>
      </c>
      <c r="CN195" s="21">
        <f t="shared" si="1636"/>
        <v>34.874195427317019</v>
      </c>
      <c r="CO195" s="21">
        <f t="shared" si="1636"/>
        <v>54.336833308753469</v>
      </c>
      <c r="CP195" s="21">
        <f t="shared" si="1636"/>
        <v>55.71483493686442</v>
      </c>
      <c r="CQ195" s="21">
        <f t="shared" si="1636"/>
        <v>46.623315147805769</v>
      </c>
      <c r="CR195" s="21">
        <f t="shared" si="1636"/>
        <v>35.363739505626221</v>
      </c>
      <c r="CS195" s="21">
        <f t="shared" si="1636"/>
        <v>60.27803409114712</v>
      </c>
      <c r="CT195" s="21">
        <f t="shared" si="1636"/>
        <v>60.978074413632314</v>
      </c>
      <c r="CU195" s="21">
        <f t="shared" si="1636"/>
        <v>50.927434439471426</v>
      </c>
      <c r="CV195" s="21">
        <f t="shared" si="1636"/>
        <v>37.673170210272787</v>
      </c>
      <c r="CW195" s="21">
        <f t="shared" si="1636"/>
        <v>67.813466758818223</v>
      </c>
      <c r="CX195" s="21">
        <f t="shared" si="1636"/>
        <v>68.624795199118267</v>
      </c>
      <c r="CY195" s="21">
        <f t="shared" si="1636"/>
        <v>56.884494816578567</v>
      </c>
      <c r="CZ195" s="21">
        <f t="shared" si="1636"/>
        <v>41.18760003794516</v>
      </c>
      <c r="DA195" s="21">
        <f t="shared" si="1636"/>
        <v>77.347971381131359</v>
      </c>
      <c r="DB195" s="21">
        <f t="shared" si="1636"/>
        <v>78.392096859120556</v>
      </c>
      <c r="DE195" s="126"/>
      <c r="DF195" s="22">
        <v>128.26999999999992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</v>
      </c>
      <c r="D196" s="23">
        <f t="shared" si="1637"/>
        <v>0</v>
      </c>
      <c r="E196" s="23">
        <f>D148-E148+D163+D164-E163-E164</f>
        <v>0</v>
      </c>
      <c r="F196" s="23">
        <f t="shared" si="1637"/>
        <v>0</v>
      </c>
      <c r="G196" s="23">
        <f t="shared" si="1637"/>
        <v>0</v>
      </c>
      <c r="H196" s="23">
        <f t="shared" si="1637"/>
        <v>0</v>
      </c>
      <c r="I196" s="23">
        <f t="shared" si="163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37"/>
        <v>0</v>
      </c>
      <c r="M196" s="23">
        <f t="shared" si="1637"/>
        <v>0</v>
      </c>
      <c r="N196" s="23">
        <f t="shared" si="1637"/>
        <v>0</v>
      </c>
      <c r="O196" s="23">
        <f t="shared" si="1637"/>
        <v>0</v>
      </c>
      <c r="P196" s="23">
        <f t="shared" si="1637"/>
        <v>0</v>
      </c>
      <c r="Q196" s="23">
        <f t="shared" si="1637"/>
        <v>0</v>
      </c>
      <c r="R196" s="23">
        <f t="shared" si="1637"/>
        <v>0</v>
      </c>
      <c r="S196" s="23">
        <f t="shared" si="1637"/>
        <v>0</v>
      </c>
      <c r="T196" s="23">
        <f t="shared" si="1637"/>
        <v>0</v>
      </c>
      <c r="U196" s="23">
        <f t="shared" si="1637"/>
        <v>0</v>
      </c>
      <c r="V196" s="23">
        <f t="shared" si="1637"/>
        <v>0</v>
      </c>
      <c r="W196" s="23">
        <f t="shared" si="1637"/>
        <v>0</v>
      </c>
      <c r="X196" s="23">
        <f t="shared" si="1637"/>
        <v>0</v>
      </c>
      <c r="Y196" s="23">
        <f t="shared" si="1637"/>
        <v>-420.69000000000005</v>
      </c>
      <c r="Z196" s="23">
        <f t="shared" si="1637"/>
        <v>35.470000000000084</v>
      </c>
      <c r="AA196" s="23">
        <f t="shared" si="1637"/>
        <v>-134.41999999999999</v>
      </c>
      <c r="AB196" s="24">
        <f t="shared" ref="AB196" si="1638">AA148-AB148+AA163+AA164-AB163-AB164</f>
        <v>-134.54480406421212</v>
      </c>
      <c r="AC196" s="24">
        <f t="shared" ref="AC196" si="1639">AB148-AC148+AB163+AB164-AC163-AC164</f>
        <v>-155.40699530612639</v>
      </c>
      <c r="AD196" s="24">
        <f t="shared" ref="AD196" si="1640">AC148-AD148+AC163+AC164-AD163-AD164</f>
        <v>-185.41892312297213</v>
      </c>
      <c r="AE196" s="24">
        <f t="shared" ref="AE196" si="1641">AD148-AE148+AD163+AD164-AE163-AE164</f>
        <v>-221.72409731459558</v>
      </c>
      <c r="AI196" s="23">
        <f>AH148-AI148+AH163+AH164-AI163-AJ164</f>
        <v>0</v>
      </c>
      <c r="AJ196" s="23">
        <f t="shared" ref="AJ196:AL196" si="1642">AI148-AJ148+AI163+AI164-AJ163-AK164</f>
        <v>0</v>
      </c>
      <c r="AK196" s="23" t="e">
        <f t="shared" si="1642"/>
        <v>#DIV/0!</v>
      </c>
      <c r="AL196" s="23" t="e">
        <f t="shared" si="1642"/>
        <v>#DIV/0!</v>
      </c>
      <c r="AM196" s="23" t="e">
        <f t="shared" ref="AM196" si="1643">AL148-AM148+AL163+AL164-AM163-AM164</f>
        <v>#DIV/0!</v>
      </c>
      <c r="AN196" s="23" t="e">
        <f t="shared" ref="AN196" si="1644">AM148-AN148+AM163+AM164-AN163-AN164</f>
        <v>#DIV/0!</v>
      </c>
      <c r="AO196" s="23" t="e">
        <f t="shared" ref="AO196" si="1645">AN148-AO148+AN163+AN164-AO163-AO164</f>
        <v>#DIV/0!</v>
      </c>
      <c r="AP196" s="23" t="e">
        <f t="shared" ref="AP196" si="1646">AO148-AP148+AO163+AO164-AP163-AP164</f>
        <v>#DIV/0!</v>
      </c>
      <c r="AQ196" s="23" t="e">
        <f t="shared" ref="AQ196" si="1647">AP148-AQ148+AP163+AP164-AQ163-AQ164</f>
        <v>#DIV/0!</v>
      </c>
      <c r="AR196" s="23" t="e">
        <f t="shared" ref="AR196" si="1648">AQ148-AR148+AQ163+AQ164-AR163-AR164</f>
        <v>#DIV/0!</v>
      </c>
      <c r="AS196" s="23" t="e">
        <f t="shared" ref="AS196" si="1649">AR148-AS148+AR163+AR164-AS163-AS164</f>
        <v>#DIV/0!</v>
      </c>
      <c r="AT196" s="23" t="e">
        <f t="shared" ref="AT196" si="1650">AS148-AT148+AS163+AS164-AT163-AT164</f>
        <v>#DIV/0!</v>
      </c>
      <c r="AU196" s="23" t="e">
        <f t="shared" ref="AU196" si="1651">AT148-AU148+AT163+AT164-AU163-AU164</f>
        <v>#DIV/0!</v>
      </c>
      <c r="AV196" s="23" t="e">
        <f t="shared" ref="AV196" si="1652">AU148-AV148+AU163+AU164-AV163-AV164</f>
        <v>#DIV/0!</v>
      </c>
      <c r="AW196" s="23" t="e">
        <f t="shared" ref="AW196" si="1653">AV148-AW148+AV163+AV164-AW163-AW164</f>
        <v>#DIV/0!</v>
      </c>
      <c r="AX196" s="23" t="e">
        <f t="shared" ref="AX196" si="1654">AW148-AX148+AW163+AW164-AX163-AX164</f>
        <v>#DIV/0!</v>
      </c>
      <c r="AY196" s="23" t="e">
        <f t="shared" ref="AY196" si="1655">AX148-AY148+AX163+AX164-AY163-AY164</f>
        <v>#DIV/0!</v>
      </c>
      <c r="AZ196" s="23" t="e">
        <f t="shared" ref="AZ196" si="1656">AY148-AZ148+AY163+AY164-AZ163-AZ164</f>
        <v>#DIV/0!</v>
      </c>
      <c r="BA196" s="23" t="e">
        <f t="shared" ref="BA196" si="1657">AZ148-BA148+AZ163+AZ164-BA163-BA164</f>
        <v>#DIV/0!</v>
      </c>
      <c r="BB196" s="23" t="e">
        <f t="shared" ref="BB196" si="1658">BA148-BB148+BA163+BA164-BB163-BB164</f>
        <v>#DIV/0!</v>
      </c>
      <c r="BC196" s="23" t="e">
        <f t="shared" ref="BC196" si="1659">BB148-BC148+BB163+BB164-BC163-BC164</f>
        <v>#DIV/0!</v>
      </c>
      <c r="BD196" s="23" t="e">
        <f t="shared" ref="BD196" si="1660">BC148-BD148+BC163+BC164-BD163-BD164</f>
        <v>#DIV/0!</v>
      </c>
      <c r="BE196" s="23" t="e">
        <f t="shared" ref="BE196" si="1661">BD148-BE148+BD163+BD164-BE163-BE164</f>
        <v>#DIV/0!</v>
      </c>
      <c r="BF196" s="23" t="e">
        <f t="shared" ref="BF196" si="1662">BE148-BF148+BE163+BE164-BF163-BF164</f>
        <v>#DIV/0!</v>
      </c>
      <c r="BG196" s="23" t="e">
        <f t="shared" ref="BG196" si="1663">BF148-BG148+BF163+BF164-BG163-BG164</f>
        <v>#DIV/0!</v>
      </c>
      <c r="BH196" s="23" t="e">
        <f t="shared" ref="BH196" si="1664">BG148-BH148+BG163+BG164-BH163-BH164</f>
        <v>#DIV/0!</v>
      </c>
      <c r="BI196" s="23" t="e">
        <f t="shared" ref="BI196" si="1665">BH148-BI148+BH163+BH164-BI163-BI164</f>
        <v>#DIV/0!</v>
      </c>
      <c r="BJ196" s="23" t="e">
        <f t="shared" ref="BJ196" si="1666">BI148-BJ148+BI163+BI164-BJ163-BJ164</f>
        <v>#DIV/0!</v>
      </c>
      <c r="BK196" s="23" t="e">
        <f t="shared" ref="BK196" si="1667">BJ148-BK148+BJ163+BJ164-BK163-BK164</f>
        <v>#DIV/0!</v>
      </c>
      <c r="BL196" s="23" t="e">
        <f t="shared" ref="BL196" si="1668">BK148-BL148+BK163+BK164-BL163-BL164</f>
        <v>#DIV/0!</v>
      </c>
      <c r="BM196" s="23" t="e">
        <f t="shared" ref="BM196" si="1669">BL148-BM148+BL163+BL164-BM163-BM164</f>
        <v>#DIV/0!</v>
      </c>
      <c r="BN196" s="23" t="e">
        <f t="shared" ref="BN196" si="1670">BM148-BN148+BM163+BM164-BN163-BN164</f>
        <v>#DIV/0!</v>
      </c>
      <c r="BO196" s="23" t="e">
        <f t="shared" ref="BO196" si="1671">BN148-BO148+BN163+BN164-BO163-BO164</f>
        <v>#DIV/0!</v>
      </c>
      <c r="BP196" s="23" t="e">
        <f t="shared" ref="BP196" si="1672">BO148-BP148+BO163+BO164-BP163-BP164</f>
        <v>#DIV/0!</v>
      </c>
      <c r="BQ196" s="23" t="e">
        <f t="shared" ref="BQ196" si="1673">BP148-BQ148+BP163+BP164-BQ163-BQ164</f>
        <v>#DIV/0!</v>
      </c>
      <c r="BR196" s="23" t="e">
        <f t="shared" ref="BR196" si="1674">BQ148-BR148+BQ163+BQ164-BR163-BR164</f>
        <v>#DIV/0!</v>
      </c>
      <c r="BS196" s="23" t="e">
        <f t="shared" ref="BS196" si="1675">BR148-BS148+BR163+BR164-BS163-BS164</f>
        <v>#DIV/0!</v>
      </c>
      <c r="BT196" s="23" t="e">
        <f t="shared" ref="BT196" si="1676">BS148-BT148+BS163+BS164-BT163-BT164</f>
        <v>#DIV/0!</v>
      </c>
      <c r="BU196" s="23" t="e">
        <f t="shared" ref="BU196" si="1677">BT148-BU148+BT163+BT164-BU163-BU164</f>
        <v>#DIV/0!</v>
      </c>
      <c r="BV196" s="23" t="e">
        <f t="shared" ref="BV196" si="1678">BU148-BV148+BU163+BU164-BV163-BV164</f>
        <v>#DIV/0!</v>
      </c>
      <c r="BW196" s="23" t="e">
        <f t="shared" ref="BW196" si="1679">BV148-BW148+BV163+BV164-BW163-BW164</f>
        <v>#DIV/0!</v>
      </c>
      <c r="BX196" s="23" t="e">
        <f t="shared" ref="BX196" si="1680">BW148-BX148+BW163+BW164-BX163-BX164</f>
        <v>#DIV/0!</v>
      </c>
      <c r="BY196" s="23" t="e">
        <f t="shared" ref="BY196" si="1681">BX148-BY148+BX163+BX164-BY163-BY164</f>
        <v>#DIV/0!</v>
      </c>
      <c r="BZ196" s="23" t="e">
        <f t="shared" ref="BZ196" si="1682">BY148-BZ148+BY163+BY164-BZ163-BZ164</f>
        <v>#DIV/0!</v>
      </c>
      <c r="CA196" s="23" t="e">
        <f t="shared" ref="CA196" si="1683">BZ148-CA148+BZ163+BZ164-CA163-CA164</f>
        <v>#DIV/0!</v>
      </c>
      <c r="CB196" s="23" t="e">
        <f t="shared" ref="CB196" si="1684">CA148-CB148+CA163+CA164-CB163-CB164</f>
        <v>#DIV/0!</v>
      </c>
      <c r="CC196" s="23">
        <f t="shared" ref="CC196" si="1685">CB148-CC148+CB163+CB164-CC163-CC164</f>
        <v>22.644584855593507</v>
      </c>
      <c r="CD196" s="23">
        <f t="shared" ref="CD196" si="1686">CC148-CD148+CC163+CC164-CD163-CD164</f>
        <v>-78.304584855593475</v>
      </c>
      <c r="CE196" s="23">
        <f t="shared" ref="CE196" si="1687">CD148-CE148+CD163+CD164-CE163-CE164</f>
        <v>-2.8891175956666757</v>
      </c>
      <c r="CF196" s="23">
        <f t="shared" ref="CF196" si="1688">CE148-CF148+CE163+CE164-CF163-CF164</f>
        <v>82.03911759566661</v>
      </c>
      <c r="CG196" s="23">
        <f t="shared" ref="CG196" si="1689">CF148-CG148+CF163+CF164-CG163-CG164</f>
        <v>23.801374827654115</v>
      </c>
      <c r="CH196" s="23">
        <f t="shared" ref="CH196:CL196" si="1690">CG148-CH148+CG163+CG164-CH163-CH164</f>
        <v>-67.481374827654065</v>
      </c>
      <c r="CI196" s="23">
        <f t="shared" si="1690"/>
        <v>28.913281619124916</v>
      </c>
      <c r="CJ196" s="23">
        <f t="shared" si="1690"/>
        <v>-12.673281619124964</v>
      </c>
      <c r="CK196" s="24">
        <f t="shared" ref="CK196" si="1691">CJ148-CK148+CJ163+CJ164-CK163-CK164</f>
        <v>-16.561656608685269</v>
      </c>
      <c r="CL196" s="23">
        <f t="shared" si="1690"/>
        <v>-134.09834339131478</v>
      </c>
      <c r="CM196" s="24">
        <f t="shared" ref="CM196" si="1692">CL148-CM148+CL163+CL164-CM163-CM164</f>
        <v>107.62920740535526</v>
      </c>
      <c r="CN196" s="24">
        <f t="shared" ref="CN196" si="1693">CM148-CN148+CM163+CM164-CN163-CN164</f>
        <v>-176.6634813430646</v>
      </c>
      <c r="CO196" s="24">
        <f t="shared" ref="CO196" si="1694">CN148-CO148+CN163+CN164-CO163-CO164</f>
        <v>-36.356146147372556</v>
      </c>
      <c r="CP196" s="24">
        <f t="shared" ref="CP196" si="1695">CO148-CP148+CO163+CO164-CP163-CP164</f>
        <v>-29.154383979130102</v>
      </c>
      <c r="CQ196" s="24">
        <f t="shared" ref="CQ196" si="1696">CP148-CQ148+CP163+CP164-CQ163-CQ164</f>
        <v>140.40475061644554</v>
      </c>
      <c r="CR196" s="24">
        <f t="shared" ref="CR196" si="1697">CQ148-CR148+CQ163+CQ164-CR163-CR164</f>
        <v>-217.89192464824563</v>
      </c>
      <c r="CS196" s="24">
        <f t="shared" ref="CS196" si="1698">CR148-CS148+CR163+CR164-CS163-CS164</f>
        <v>-44.972790083913878</v>
      </c>
      <c r="CT196" s="24">
        <f t="shared" ref="CT196" si="1699">CS148-CT148+CS163+CS164-CT163-CT164</f>
        <v>-32.947031190412417</v>
      </c>
      <c r="CU196" s="24">
        <f t="shared" ref="CU196" si="1700">CT148-CU148+CT163+CT164-CU163-CU164</f>
        <v>169.22718023559514</v>
      </c>
      <c r="CV196" s="24">
        <f t="shared" ref="CV196" si="1701">CU148-CV148+CU163+CU164-CV163-CV164</f>
        <v>-262.08954926360855</v>
      </c>
      <c r="CW196" s="24">
        <f t="shared" ref="CW196" si="1702">CV148-CW148+CV163+CV164-CW163-CW164</f>
        <v>-53.711018515071146</v>
      </c>
      <c r="CX196" s="24">
        <f t="shared" ref="CX196" si="1703">CW148-CX148+CW163+CW164-CX163-CX164</f>
        <v>-38.84553557988761</v>
      </c>
      <c r="CY196" s="24">
        <f t="shared" ref="CY196" si="1704">CX148-CY148+CX163+CX164-CY163-CY164</f>
        <v>202.34620175819805</v>
      </c>
      <c r="CZ196" s="24">
        <f t="shared" ref="CZ196" si="1705">CY148-CZ148+CY163+CY164-CZ163-CZ164</f>
        <v>-313.6350899840952</v>
      </c>
      <c r="DA196" s="24">
        <f t="shared" ref="DA196" si="1706">CZ148-DA148+CZ163+CZ164-DA163-DA164</f>
        <v>-64.109456126515624</v>
      </c>
      <c r="DB196" s="24">
        <f t="shared" ref="DB196" si="1707">DA148-DB148+DA163+DA164-DB163-DB164</f>
        <v>-46.325752962182833</v>
      </c>
      <c r="DE196" s="123"/>
      <c r="DF196" s="23">
        <v>-134.4200000000001</v>
      </c>
    </row>
    <row r="197" spans="1:110" s="23" customFormat="1" x14ac:dyDescent="0.2">
      <c r="A197" s="23" t="s">
        <v>73</v>
      </c>
      <c r="C197" s="23">
        <f t="shared" ref="C197:AA197" si="1708">B156-C156</f>
        <v>0</v>
      </c>
      <c r="D197" s="23">
        <f t="shared" si="1708"/>
        <v>0</v>
      </c>
      <c r="E197" s="23">
        <f>D156-E156</f>
        <v>0</v>
      </c>
      <c r="F197" s="23">
        <f t="shared" si="1708"/>
        <v>0</v>
      </c>
      <c r="G197" s="23">
        <f t="shared" si="1708"/>
        <v>0</v>
      </c>
      <c r="H197" s="23">
        <f t="shared" si="1708"/>
        <v>0</v>
      </c>
      <c r="I197" s="23">
        <f t="shared" si="1708"/>
        <v>0</v>
      </c>
      <c r="J197" s="23">
        <f>I156-J156</f>
        <v>0</v>
      </c>
      <c r="K197" s="23">
        <f>J156-K156</f>
        <v>0</v>
      </c>
      <c r="L197" s="23">
        <f t="shared" si="1708"/>
        <v>0</v>
      </c>
      <c r="M197" s="23">
        <f t="shared" si="1708"/>
        <v>0</v>
      </c>
      <c r="N197" s="23">
        <f t="shared" si="1708"/>
        <v>0</v>
      </c>
      <c r="O197" s="23">
        <f t="shared" si="1708"/>
        <v>0</v>
      </c>
      <c r="P197" s="23">
        <f t="shared" si="1708"/>
        <v>0</v>
      </c>
      <c r="Q197" s="23">
        <f t="shared" si="1708"/>
        <v>0</v>
      </c>
      <c r="R197" s="23">
        <f t="shared" si="1708"/>
        <v>0</v>
      </c>
      <c r="S197" s="23">
        <f t="shared" si="1708"/>
        <v>0</v>
      </c>
      <c r="T197" s="23">
        <f t="shared" si="1708"/>
        <v>0</v>
      </c>
      <c r="U197" s="23">
        <f t="shared" si="1708"/>
        <v>0</v>
      </c>
      <c r="V197" s="23">
        <f t="shared" si="1708"/>
        <v>-1E-3</v>
      </c>
      <c r="W197" s="23">
        <f t="shared" si="1708"/>
        <v>-1.1800000000000001E-3</v>
      </c>
      <c r="X197" s="23">
        <f t="shared" si="1708"/>
        <v>2.1800000000000001E-3</v>
      </c>
      <c r="Y197" s="23">
        <f t="shared" si="1708"/>
        <v>-46.94</v>
      </c>
      <c r="Z197" s="23">
        <f t="shared" si="1708"/>
        <v>-23.510000000000019</v>
      </c>
      <c r="AA197" s="23">
        <f t="shared" si="1708"/>
        <v>-23.72999999999999</v>
      </c>
      <c r="AB197" s="24">
        <f t="shared" ref="AB197" si="1709">AA156-AB156</f>
        <v>-18.470854993692427</v>
      </c>
      <c r="AC197" s="24">
        <f t="shared" ref="AC197" si="1710">AB156-AC156</f>
        <v>-22.039486125576701</v>
      </c>
      <c r="AD197" s="24">
        <f t="shared" ref="AD197" si="1711">AC156-AD156</f>
        <v>-26.295713236963991</v>
      </c>
      <c r="AE197" s="24">
        <f t="shared" ref="AE197" si="1712">AD156-AE156</f>
        <v>-31.444435025882001</v>
      </c>
      <c r="AI197" s="23">
        <f t="shared" ref="AI197" si="1713">AH156-AI156</f>
        <v>0</v>
      </c>
      <c r="AJ197" s="23">
        <f t="shared" ref="AJ197" si="1714">AI156-AJ156</f>
        <v>0</v>
      </c>
      <c r="AK197" s="23" t="e">
        <f t="shared" ref="AK197" si="1715">AJ156-AK156</f>
        <v>#DIV/0!</v>
      </c>
      <c r="AL197" s="23" t="e">
        <f t="shared" ref="AL197" si="1716">AK156-AL156</f>
        <v>#DIV/0!</v>
      </c>
      <c r="AM197" s="23" t="e">
        <f t="shared" ref="AM197" si="1717">AL156-AM156</f>
        <v>#DIV/0!</v>
      </c>
      <c r="AN197" s="23" t="e">
        <f t="shared" ref="AN197" si="1718">AM156-AN156</f>
        <v>#DIV/0!</v>
      </c>
      <c r="AO197" s="23" t="e">
        <f t="shared" ref="AO197" si="1719">AN156-AO156</f>
        <v>#DIV/0!</v>
      </c>
      <c r="AP197" s="23" t="e">
        <f t="shared" ref="AP197" si="1720">AO156-AP156</f>
        <v>#DIV/0!</v>
      </c>
      <c r="AQ197" s="23" t="e">
        <f t="shared" ref="AQ197" si="1721">AP156-AQ156</f>
        <v>#DIV/0!</v>
      </c>
      <c r="AR197" s="23" t="e">
        <f t="shared" ref="AR197" si="1722">AQ156-AR156</f>
        <v>#DIV/0!</v>
      </c>
      <c r="AS197" s="23" t="e">
        <f t="shared" ref="AS197" si="1723">AR156-AS156</f>
        <v>#DIV/0!</v>
      </c>
      <c r="AT197" s="23" t="e">
        <f t="shared" ref="AT197" si="1724">AS156-AT156</f>
        <v>#DIV/0!</v>
      </c>
      <c r="AU197" s="23" t="e">
        <f t="shared" ref="AU197" si="1725">AT156-AU156</f>
        <v>#DIV/0!</v>
      </c>
      <c r="AV197" s="23" t="e">
        <f t="shared" ref="AV197" si="1726">AU156-AV156</f>
        <v>#DIV/0!</v>
      </c>
      <c r="AW197" s="23" t="e">
        <f t="shared" ref="AW197" si="1727">AV156-AW156</f>
        <v>#DIV/0!</v>
      </c>
      <c r="AX197" s="23" t="e">
        <f t="shared" ref="AX197" si="1728">AW156-AX156</f>
        <v>#DIV/0!</v>
      </c>
      <c r="AY197" s="23" t="e">
        <f t="shared" ref="AY197" si="1729">AX156-AY156</f>
        <v>#DIV/0!</v>
      </c>
      <c r="AZ197" s="23" t="e">
        <f t="shared" ref="AZ197" si="1730">AY156-AZ156</f>
        <v>#DIV/0!</v>
      </c>
      <c r="BA197" s="23" t="e">
        <f t="shared" ref="BA197" si="1731">AZ156-BA156</f>
        <v>#DIV/0!</v>
      </c>
      <c r="BB197" s="23" t="e">
        <f t="shared" ref="BB197" si="1732">BA156-BB156</f>
        <v>#DIV/0!</v>
      </c>
      <c r="BC197" s="23" t="e">
        <f t="shared" ref="BC197" si="1733">BB156-BC156</f>
        <v>#DIV/0!</v>
      </c>
      <c r="BD197" s="23" t="e">
        <f t="shared" ref="BD197" si="1734">BC156-BD156</f>
        <v>#DIV/0!</v>
      </c>
      <c r="BE197" s="23" t="e">
        <f t="shared" ref="BE197" si="1735">BD156-BE156</f>
        <v>#DIV/0!</v>
      </c>
      <c r="BF197" s="23" t="e">
        <f t="shared" ref="BF197" si="1736">BE156-BF156</f>
        <v>#DIV/0!</v>
      </c>
      <c r="BG197" s="23" t="e">
        <f t="shared" ref="BG197" si="1737">BF156-BG156</f>
        <v>#DIV/0!</v>
      </c>
      <c r="BH197" s="23" t="e">
        <f t="shared" ref="BH197" si="1738">BG156-BH156</f>
        <v>#DIV/0!</v>
      </c>
      <c r="BI197" s="23" t="e">
        <f t="shared" ref="BI197" si="1739">BH156-BI156</f>
        <v>#DIV/0!</v>
      </c>
      <c r="BJ197" s="23" t="e">
        <f t="shared" ref="BJ197" si="1740">BI156-BJ156</f>
        <v>#DIV/0!</v>
      </c>
      <c r="BK197" s="23" t="e">
        <f t="shared" ref="BK197" si="1741">BJ156-BK156</f>
        <v>#DIV/0!</v>
      </c>
      <c r="BL197" s="23" t="e">
        <f t="shared" ref="BL197" si="1742">BK156-BL156</f>
        <v>#DIV/0!</v>
      </c>
      <c r="BM197" s="23" t="e">
        <f t="shared" ref="BM197" si="1743">BL156-BM156</f>
        <v>#DIV/0!</v>
      </c>
      <c r="BN197" s="23" t="e">
        <f t="shared" ref="BN197" si="1744">BM156-BN156</f>
        <v>#DIV/0!</v>
      </c>
      <c r="BO197" s="23" t="e">
        <f t="shared" ref="BO197" si="1745">BN156-BO156</f>
        <v>#DIV/0!</v>
      </c>
      <c r="BP197" s="23" t="e">
        <f t="shared" ref="BP197" si="1746">BO156-BP156</f>
        <v>#DIV/0!</v>
      </c>
      <c r="BQ197" s="23" t="e">
        <f t="shared" ref="BQ197" si="1747">BP156-BQ156</f>
        <v>#DIV/0!</v>
      </c>
      <c r="BR197" s="23" t="e">
        <f t="shared" ref="BR197" si="1748">BQ156-BR156</f>
        <v>#DIV/0!</v>
      </c>
      <c r="BS197" s="23" t="e">
        <f t="shared" ref="BS197" si="1749">BR156-BS156</f>
        <v>#DIV/0!</v>
      </c>
      <c r="BT197" s="23" t="e">
        <f t="shared" ref="BT197" si="1750">BS156-BT156</f>
        <v>#DIV/0!</v>
      </c>
      <c r="BU197" s="23" t="e">
        <f t="shared" ref="BU197" si="1751">BT156-BU156</f>
        <v>#DIV/0!</v>
      </c>
      <c r="BV197" s="23" t="e">
        <f t="shared" ref="BV197" si="1752">BU156-BV156</f>
        <v>#DIV/0!</v>
      </c>
      <c r="BW197" s="23" t="e">
        <f t="shared" ref="BW197" si="1753">BV156-BW156</f>
        <v>#DIV/0!</v>
      </c>
      <c r="BX197" s="23" t="e">
        <f t="shared" ref="BX197" si="1754">BW156-BX156</f>
        <v>#DIV/0!</v>
      </c>
      <c r="BY197" s="23" t="e">
        <f t="shared" ref="BY197" si="1755">BX156-BY156</f>
        <v>#DIV/0!</v>
      </c>
      <c r="BZ197" s="23" t="e">
        <f t="shared" ref="BZ197" si="1756">BY156-BZ156</f>
        <v>#DIV/0!</v>
      </c>
      <c r="CA197" s="23" t="e">
        <f t="shared" ref="CA197" si="1757">BZ156-CA156</f>
        <v>#DIV/0!</v>
      </c>
      <c r="CB197" s="23" t="e">
        <f t="shared" ref="CB197" si="1758">CA156-CB156</f>
        <v>#DIV/0!</v>
      </c>
      <c r="CC197" s="23">
        <f t="shared" ref="CC197" si="1759">CB156-CC156</f>
        <v>2.4706787678344853</v>
      </c>
      <c r="CD197" s="23">
        <f t="shared" ref="CD197" si="1760">CC156-CD156</f>
        <v>7.6793212321655204</v>
      </c>
      <c r="CE197" s="23">
        <f t="shared" ref="CE197" si="1761">CD156-CE156</f>
        <v>-0.15880971518434706</v>
      </c>
      <c r="CF197" s="23">
        <f t="shared" ref="CF197" si="1762">CE156-CF156</f>
        <v>-36.661190284815639</v>
      </c>
      <c r="CG197" s="23">
        <f t="shared" ref="CG197" si="1763">CF156-CG156</f>
        <v>4.4190407721095113</v>
      </c>
      <c r="CH197" s="23">
        <f t="shared" ref="CH197:CL197" si="1764">CG156-CH156</f>
        <v>8.7209592278904609</v>
      </c>
      <c r="CI197" s="23">
        <f t="shared" si="1764"/>
        <v>3.9396953562991399</v>
      </c>
      <c r="CJ197" s="23">
        <f t="shared" si="1764"/>
        <v>12.220304643700878</v>
      </c>
      <c r="CK197" s="24">
        <f t="shared" ref="CK197" si="1765">CJ156-CK156</f>
        <v>-1.7794734350964418</v>
      </c>
      <c r="CL197" s="23">
        <f t="shared" si="1764"/>
        <v>-37.500526564903552</v>
      </c>
      <c r="CM197" s="24">
        <f t="shared" ref="CM197" si="1766">CL156-CM156</f>
        <v>15.263742913531729</v>
      </c>
      <c r="CN197" s="24">
        <f t="shared" ref="CN197" si="1767">CM156-CN156</f>
        <v>-25.054035298004763</v>
      </c>
      <c r="CO197" s="24">
        <f t="shared" ref="CO197" si="1768">CN156-CO156</f>
        <v>-5.1559505221504764</v>
      </c>
      <c r="CP197" s="24">
        <f t="shared" ref="CP197" si="1769">CO156-CP156</f>
        <v>-4.1346120870689305</v>
      </c>
      <c r="CQ197" s="24">
        <f t="shared" ref="CQ197" si="1770">CP156-CQ156</f>
        <v>19.911900021492926</v>
      </c>
      <c r="CR197" s="24">
        <f t="shared" ref="CR197" si="1771">CQ156-CR156</f>
        <v>-30.9009645331641</v>
      </c>
      <c r="CS197" s="24">
        <f t="shared" ref="CS197" si="1772">CR156-CS156</f>
        <v>-6.3779444492214594</v>
      </c>
      <c r="CT197" s="24">
        <f t="shared" ref="CT197" si="1773">CS156-CT156</f>
        <v>-4.6724771646840679</v>
      </c>
      <c r="CU197" s="24">
        <f t="shared" ref="CU197" si="1774">CT156-CU156</f>
        <v>23.999435054554723</v>
      </c>
      <c r="CV197" s="24">
        <f t="shared" ref="CV197" si="1775">CU156-CV156</f>
        <v>-37.168976681362025</v>
      </c>
      <c r="CW197" s="24">
        <f t="shared" ref="CW197" si="1776">CV156-CW156</f>
        <v>-7.6171812280501854</v>
      </c>
      <c r="CX197" s="24">
        <f t="shared" ref="CX197" si="1777">CW156-CX156</f>
        <v>-5.5089903821065036</v>
      </c>
      <c r="CY197" s="24">
        <f t="shared" ref="CY197" si="1778">CX156-CY156</f>
        <v>28.696303518565884</v>
      </c>
      <c r="CZ197" s="24">
        <f t="shared" ref="CZ197" si="1779">CY156-CZ156</f>
        <v>-44.479054501904841</v>
      </c>
      <c r="DA197" s="24">
        <f t="shared" ref="DA197" si="1780">CZ156-DA156</f>
        <v>-9.0918653052608818</v>
      </c>
      <c r="DB197" s="24">
        <f t="shared" ref="DB197" si="1781">DA156-DB156</f>
        <v>-6.5698187372821621</v>
      </c>
      <c r="DE197" s="123"/>
      <c r="DF197" s="23">
        <v>-23.119999999999976</v>
      </c>
    </row>
    <row r="198" spans="1:110" s="22" customFormat="1" x14ac:dyDescent="0.2">
      <c r="A198" s="22" t="s">
        <v>90</v>
      </c>
      <c r="C198" s="22">
        <f t="shared" ref="C198:W198" si="1782">C196-C197</f>
        <v>0</v>
      </c>
      <c r="D198" s="22">
        <f t="shared" si="1782"/>
        <v>0</v>
      </c>
      <c r="E198" s="22">
        <f t="shared" si="1782"/>
        <v>0</v>
      </c>
      <c r="F198" s="22">
        <f t="shared" si="1782"/>
        <v>0</v>
      </c>
      <c r="G198" s="22">
        <f t="shared" si="1782"/>
        <v>0</v>
      </c>
      <c r="H198" s="22">
        <f t="shared" si="1782"/>
        <v>0</v>
      </c>
      <c r="I198" s="22">
        <f t="shared" si="1782"/>
        <v>0</v>
      </c>
      <c r="J198" s="22">
        <f>J196-J197</f>
        <v>0</v>
      </c>
      <c r="K198" s="22">
        <f t="shared" si="1782"/>
        <v>0</v>
      </c>
      <c r="L198" s="22">
        <f t="shared" si="1782"/>
        <v>0</v>
      </c>
      <c r="M198" s="22">
        <f t="shared" si="1782"/>
        <v>0</v>
      </c>
      <c r="N198" s="22">
        <f t="shared" si="1782"/>
        <v>0</v>
      </c>
      <c r="O198" s="22">
        <f t="shared" si="1782"/>
        <v>0</v>
      </c>
      <c r="P198" s="22">
        <f t="shared" si="1782"/>
        <v>0</v>
      </c>
      <c r="Q198" s="22">
        <f t="shared" si="1782"/>
        <v>0</v>
      </c>
      <c r="R198" s="22">
        <f t="shared" si="1782"/>
        <v>0</v>
      </c>
      <c r="S198" s="22">
        <f t="shared" si="1782"/>
        <v>0</v>
      </c>
      <c r="T198" s="22">
        <f t="shared" si="1782"/>
        <v>0</v>
      </c>
      <c r="U198" s="22">
        <f t="shared" si="1782"/>
        <v>0</v>
      </c>
      <c r="V198" s="22">
        <f t="shared" si="1782"/>
        <v>1E-3</v>
      </c>
      <c r="W198" s="22">
        <f t="shared" si="1782"/>
        <v>1.1800000000000001E-3</v>
      </c>
      <c r="X198" s="22">
        <f t="shared" ref="X198:Y198" si="1783">X196-X197</f>
        <v>-2.1800000000000001E-3</v>
      </c>
      <c r="Y198" s="22">
        <f t="shared" si="1783"/>
        <v>-373.75000000000006</v>
      </c>
      <c r="Z198" s="22">
        <f t="shared" ref="Z198:AA198" si="1784">Z196-Z197</f>
        <v>58.980000000000103</v>
      </c>
      <c r="AA198" s="22">
        <f t="shared" ref="AA198" si="1785">AA196-AA197</f>
        <v>-110.69</v>
      </c>
      <c r="AB198" s="21">
        <f t="shared" ref="AB198:AD198" si="1786">AB196-AB197</f>
        <v>-116.07394907051969</v>
      </c>
      <c r="AC198" s="21">
        <f t="shared" si="1786"/>
        <v>-133.36750918054969</v>
      </c>
      <c r="AD198" s="21">
        <f t="shared" si="1786"/>
        <v>-159.12320988600814</v>
      </c>
      <c r="AE198" s="21">
        <f t="shared" ref="AE198" si="1787">AE196-AE197</f>
        <v>-190.27966228871358</v>
      </c>
      <c r="AI198" s="22">
        <f t="shared" ref="AI198" si="1788">AI196-AI197</f>
        <v>0</v>
      </c>
      <c r="AJ198" s="22">
        <f t="shared" ref="AJ198:AL198" si="1789">AJ196-AJ197</f>
        <v>0</v>
      </c>
      <c r="AK198" s="22" t="e">
        <f t="shared" si="1789"/>
        <v>#DIV/0!</v>
      </c>
      <c r="AL198" s="22" t="e">
        <f t="shared" si="1789"/>
        <v>#DIV/0!</v>
      </c>
      <c r="AM198" s="22" t="e">
        <f t="shared" ref="AM198" si="1790">AM196-AM197</f>
        <v>#DIV/0!</v>
      </c>
      <c r="AN198" s="22" t="e">
        <f t="shared" ref="AN198:CD198" si="1791">AN196-AN197</f>
        <v>#DIV/0!</v>
      </c>
      <c r="AO198" s="22" t="e">
        <f t="shared" si="1791"/>
        <v>#DIV/0!</v>
      </c>
      <c r="AP198" s="22" t="e">
        <f t="shared" si="1791"/>
        <v>#DIV/0!</v>
      </c>
      <c r="AQ198" s="22" t="e">
        <f t="shared" si="1791"/>
        <v>#DIV/0!</v>
      </c>
      <c r="AR198" s="22" t="e">
        <f t="shared" si="1791"/>
        <v>#DIV/0!</v>
      </c>
      <c r="AS198" s="22" t="e">
        <f t="shared" si="1791"/>
        <v>#DIV/0!</v>
      </c>
      <c r="AT198" s="22" t="e">
        <f t="shared" si="1791"/>
        <v>#DIV/0!</v>
      </c>
      <c r="AU198" s="22" t="e">
        <f t="shared" si="1791"/>
        <v>#DIV/0!</v>
      </c>
      <c r="AV198" s="22" t="e">
        <f t="shared" si="1791"/>
        <v>#DIV/0!</v>
      </c>
      <c r="AW198" s="22" t="e">
        <f t="shared" si="1791"/>
        <v>#DIV/0!</v>
      </c>
      <c r="AX198" s="22" t="e">
        <f t="shared" si="1791"/>
        <v>#DIV/0!</v>
      </c>
      <c r="AY198" s="22" t="e">
        <f t="shared" si="1791"/>
        <v>#DIV/0!</v>
      </c>
      <c r="AZ198" s="22" t="e">
        <f t="shared" si="1791"/>
        <v>#DIV/0!</v>
      </c>
      <c r="BA198" s="22" t="e">
        <f t="shared" si="1791"/>
        <v>#DIV/0!</v>
      </c>
      <c r="BB198" s="22" t="e">
        <f t="shared" si="1791"/>
        <v>#DIV/0!</v>
      </c>
      <c r="BC198" s="22" t="e">
        <f t="shared" si="1791"/>
        <v>#DIV/0!</v>
      </c>
      <c r="BD198" s="22" t="e">
        <f t="shared" si="1791"/>
        <v>#DIV/0!</v>
      </c>
      <c r="BE198" s="22" t="e">
        <f t="shared" si="1791"/>
        <v>#DIV/0!</v>
      </c>
      <c r="BF198" s="22" t="e">
        <f t="shared" si="1791"/>
        <v>#DIV/0!</v>
      </c>
      <c r="BG198" s="22" t="e">
        <f t="shared" si="1791"/>
        <v>#DIV/0!</v>
      </c>
      <c r="BH198" s="22" t="e">
        <f t="shared" si="1791"/>
        <v>#DIV/0!</v>
      </c>
      <c r="BI198" s="22" t="e">
        <f t="shared" si="1791"/>
        <v>#DIV/0!</v>
      </c>
      <c r="BJ198" s="22" t="e">
        <f t="shared" si="1791"/>
        <v>#DIV/0!</v>
      </c>
      <c r="BK198" s="22" t="e">
        <f t="shared" si="1791"/>
        <v>#DIV/0!</v>
      </c>
      <c r="BL198" s="22" t="e">
        <f t="shared" si="1791"/>
        <v>#DIV/0!</v>
      </c>
      <c r="BM198" s="22" t="e">
        <f t="shared" si="1791"/>
        <v>#DIV/0!</v>
      </c>
      <c r="BN198" s="22" t="e">
        <f t="shared" si="1791"/>
        <v>#DIV/0!</v>
      </c>
      <c r="BO198" s="22" t="e">
        <f t="shared" si="1791"/>
        <v>#DIV/0!</v>
      </c>
      <c r="BP198" s="22" t="e">
        <f t="shared" si="1791"/>
        <v>#DIV/0!</v>
      </c>
      <c r="BQ198" s="22" t="e">
        <f t="shared" si="1791"/>
        <v>#DIV/0!</v>
      </c>
      <c r="BR198" s="22" t="e">
        <f t="shared" si="1791"/>
        <v>#DIV/0!</v>
      </c>
      <c r="BS198" s="22" t="e">
        <f t="shared" si="1791"/>
        <v>#DIV/0!</v>
      </c>
      <c r="BT198" s="22" t="e">
        <f t="shared" si="1791"/>
        <v>#DIV/0!</v>
      </c>
      <c r="BU198" s="22" t="e">
        <f t="shared" si="1791"/>
        <v>#DIV/0!</v>
      </c>
      <c r="BV198" s="22" t="e">
        <f t="shared" si="1791"/>
        <v>#DIV/0!</v>
      </c>
      <c r="BW198" s="22" t="e">
        <f t="shared" si="1791"/>
        <v>#DIV/0!</v>
      </c>
      <c r="BX198" s="22" t="e">
        <f t="shared" si="1791"/>
        <v>#DIV/0!</v>
      </c>
      <c r="BY198" s="22" t="e">
        <f t="shared" si="1791"/>
        <v>#DIV/0!</v>
      </c>
      <c r="BZ198" s="22" t="e">
        <f t="shared" si="1791"/>
        <v>#DIV/0!</v>
      </c>
      <c r="CA198" s="22" t="e">
        <f t="shared" si="1791"/>
        <v>#DIV/0!</v>
      </c>
      <c r="CB198" s="22" t="e">
        <f t="shared" si="1791"/>
        <v>#DIV/0!</v>
      </c>
      <c r="CC198" s="22">
        <f t="shared" si="1791"/>
        <v>20.173906087759022</v>
      </c>
      <c r="CD198" s="22">
        <f t="shared" si="1791"/>
        <v>-85.983906087758996</v>
      </c>
      <c r="CE198" s="22">
        <f t="shared" ref="CE198:CF198" si="1792">CE196-CE197</f>
        <v>-2.7303078804823286</v>
      </c>
      <c r="CF198" s="22">
        <f t="shared" si="1792"/>
        <v>118.70030788048226</v>
      </c>
      <c r="CG198" s="22">
        <f t="shared" ref="CG198:CH198" si="1793">CG196-CG197</f>
        <v>19.382334055544604</v>
      </c>
      <c r="CH198" s="22">
        <f t="shared" si="1793"/>
        <v>-76.202334055544526</v>
      </c>
      <c r="CI198" s="22">
        <f t="shared" ref="CI198:CJ198" si="1794">CI196-CI197</f>
        <v>24.973586262825776</v>
      </c>
      <c r="CJ198" s="22">
        <f t="shared" si="1794"/>
        <v>-24.893586262825842</v>
      </c>
      <c r="CK198" s="21">
        <f t="shared" ref="CK198:DB198" si="1795">CK196-CK197</f>
        <v>-14.782183173588827</v>
      </c>
      <c r="CL198" s="22">
        <f t="shared" si="1795"/>
        <v>-96.597816826411233</v>
      </c>
      <c r="CM198" s="21">
        <f t="shared" si="1795"/>
        <v>92.365464491823531</v>
      </c>
      <c r="CN198" s="21">
        <f t="shared" si="1795"/>
        <v>-151.60944604505983</v>
      </c>
      <c r="CO198" s="21">
        <f t="shared" si="1795"/>
        <v>-31.200195625222079</v>
      </c>
      <c r="CP198" s="21">
        <f t="shared" si="1795"/>
        <v>-25.019771892061172</v>
      </c>
      <c r="CQ198" s="21">
        <f t="shared" si="1795"/>
        <v>120.49285059495261</v>
      </c>
      <c r="CR198" s="21">
        <f t="shared" si="1795"/>
        <v>-186.99096011508152</v>
      </c>
      <c r="CS198" s="21">
        <f t="shared" si="1795"/>
        <v>-38.594845634692419</v>
      </c>
      <c r="CT198" s="21">
        <f t="shared" si="1795"/>
        <v>-28.274554025728349</v>
      </c>
      <c r="CU198" s="21">
        <f t="shared" si="1795"/>
        <v>145.2277451810404</v>
      </c>
      <c r="CV198" s="21">
        <f t="shared" si="1795"/>
        <v>-224.92057258224651</v>
      </c>
      <c r="CW198" s="21">
        <f t="shared" si="1795"/>
        <v>-46.093837287020961</v>
      </c>
      <c r="CX198" s="21">
        <f t="shared" si="1795"/>
        <v>-33.336545197781106</v>
      </c>
      <c r="CY198" s="21">
        <f t="shared" si="1795"/>
        <v>173.64989823963217</v>
      </c>
      <c r="CZ198" s="21">
        <f t="shared" si="1795"/>
        <v>-269.15603548219036</v>
      </c>
      <c r="DA198" s="21">
        <f t="shared" si="1795"/>
        <v>-55.017590821254743</v>
      </c>
      <c r="DB198" s="21">
        <f t="shared" si="1795"/>
        <v>-39.75593422490067</v>
      </c>
      <c r="DE198" s="126"/>
      <c r="DF198" s="22">
        <v>-111.30000000000013</v>
      </c>
    </row>
    <row r="199" spans="1:110" s="22" customFormat="1" x14ac:dyDescent="0.2">
      <c r="A199" s="22" t="s">
        <v>91</v>
      </c>
      <c r="C199" s="22">
        <f t="shared" ref="C199:W199" si="1796">C195+C198</f>
        <v>0</v>
      </c>
      <c r="D199" s="22">
        <f>D195+D198</f>
        <v>0</v>
      </c>
      <c r="E199" s="22">
        <f t="shared" si="1796"/>
        <v>0</v>
      </c>
      <c r="F199" s="22">
        <f t="shared" si="1796"/>
        <v>0</v>
      </c>
      <c r="G199" s="22">
        <f t="shared" si="1796"/>
        <v>0</v>
      </c>
      <c r="H199" s="22">
        <f t="shared" si="1796"/>
        <v>0</v>
      </c>
      <c r="I199" s="22">
        <f t="shared" si="1796"/>
        <v>0</v>
      </c>
      <c r="J199" s="22">
        <f>J195+J198</f>
        <v>0</v>
      </c>
      <c r="K199" s="22">
        <f t="shared" si="1796"/>
        <v>0</v>
      </c>
      <c r="L199" s="22">
        <f t="shared" si="1796"/>
        <v>0</v>
      </c>
      <c r="M199" s="22">
        <f t="shared" si="1796"/>
        <v>0</v>
      </c>
      <c r="N199" s="22">
        <f t="shared" si="1796"/>
        <v>0</v>
      </c>
      <c r="O199" s="22">
        <f t="shared" si="1796"/>
        <v>0</v>
      </c>
      <c r="P199" s="22">
        <f t="shared" si="1796"/>
        <v>0</v>
      </c>
      <c r="Q199" s="22">
        <f t="shared" si="1796"/>
        <v>0</v>
      </c>
      <c r="R199" s="22">
        <f t="shared" si="1796"/>
        <v>0</v>
      </c>
      <c r="S199" s="22">
        <f t="shared" si="1796"/>
        <v>0</v>
      </c>
      <c r="T199" s="22">
        <f t="shared" si="1796"/>
        <v>0</v>
      </c>
      <c r="U199" s="22">
        <f t="shared" si="1796"/>
        <v>0</v>
      </c>
      <c r="V199" s="22">
        <f t="shared" si="1796"/>
        <v>-4.8151000000000001E-3</v>
      </c>
      <c r="W199" s="22">
        <f t="shared" si="1796"/>
        <v>0</v>
      </c>
      <c r="X199" s="22">
        <f t="shared" ref="X199:Y199" si="1797">X195+X198</f>
        <v>-1.218E-2</v>
      </c>
      <c r="Y199" s="22">
        <f t="shared" si="1797"/>
        <v>-301.33999999999986</v>
      </c>
      <c r="Z199" s="22">
        <f t="shared" ref="Z199:AA199" si="1798">Z195+Z198</f>
        <v>165.60000000000022</v>
      </c>
      <c r="AA199" s="22">
        <f t="shared" ref="AA199" si="1799">AA195+AA198</f>
        <v>17.579999999999899</v>
      </c>
      <c r="AB199" s="21">
        <f t="shared" ref="AB199:AD199" si="1800">AB195+AB198</f>
        <v>72.835647020240685</v>
      </c>
      <c r="AC199" s="21">
        <f t="shared" si="1800"/>
        <v>69.8756539776615</v>
      </c>
      <c r="AD199" s="21">
        <f t="shared" si="1800"/>
        <v>65.915656721672605</v>
      </c>
      <c r="AE199" s="21">
        <f t="shared" ref="AE199" si="1801">AE195+AE198</f>
        <v>63.532500806061847</v>
      </c>
      <c r="AI199" s="22">
        <f t="shared" ref="AI199" si="1802">AI195+AI198</f>
        <v>0</v>
      </c>
      <c r="AJ199" s="22">
        <f t="shared" ref="AJ199:AL199" si="1803">AJ195+AJ198</f>
        <v>0</v>
      </c>
      <c r="AK199" s="22" t="e">
        <f t="shared" si="1803"/>
        <v>#DIV/0!</v>
      </c>
      <c r="AL199" s="22" t="e">
        <f t="shared" si="1803"/>
        <v>#DIV/0!</v>
      </c>
      <c r="AM199" s="22" t="e">
        <f t="shared" ref="AM199" si="1804">AM195+AM198</f>
        <v>#DIV/0!</v>
      </c>
      <c r="AN199" s="22" t="e">
        <f t="shared" ref="AN199:CD199" si="1805">AN195+AN198</f>
        <v>#DIV/0!</v>
      </c>
      <c r="AO199" s="22" t="e">
        <f t="shared" si="1805"/>
        <v>#DIV/0!</v>
      </c>
      <c r="AP199" s="22" t="e">
        <f t="shared" si="1805"/>
        <v>#DIV/0!</v>
      </c>
      <c r="AQ199" s="22" t="e">
        <f t="shared" si="1805"/>
        <v>#DIV/0!</v>
      </c>
      <c r="AR199" s="22" t="e">
        <f t="shared" si="1805"/>
        <v>#DIV/0!</v>
      </c>
      <c r="AS199" s="22" t="e">
        <f t="shared" si="1805"/>
        <v>#DIV/0!</v>
      </c>
      <c r="AT199" s="22" t="e">
        <f t="shared" si="1805"/>
        <v>#DIV/0!</v>
      </c>
      <c r="AU199" s="22" t="e">
        <f t="shared" si="1805"/>
        <v>#DIV/0!</v>
      </c>
      <c r="AV199" s="22" t="e">
        <f t="shared" si="1805"/>
        <v>#DIV/0!</v>
      </c>
      <c r="AW199" s="22" t="e">
        <f t="shared" si="1805"/>
        <v>#DIV/0!</v>
      </c>
      <c r="AX199" s="22" t="e">
        <f t="shared" si="1805"/>
        <v>#DIV/0!</v>
      </c>
      <c r="AY199" s="22" t="e">
        <f t="shared" si="1805"/>
        <v>#DIV/0!</v>
      </c>
      <c r="AZ199" s="22" t="e">
        <f t="shared" si="1805"/>
        <v>#DIV/0!</v>
      </c>
      <c r="BA199" s="22" t="e">
        <f t="shared" si="1805"/>
        <v>#DIV/0!</v>
      </c>
      <c r="BB199" s="22" t="e">
        <f t="shared" si="1805"/>
        <v>#DIV/0!</v>
      </c>
      <c r="BC199" s="22" t="e">
        <f t="shared" si="1805"/>
        <v>#DIV/0!</v>
      </c>
      <c r="BD199" s="22" t="e">
        <f t="shared" si="1805"/>
        <v>#DIV/0!</v>
      </c>
      <c r="BE199" s="22" t="e">
        <f t="shared" si="1805"/>
        <v>#DIV/0!</v>
      </c>
      <c r="BF199" s="22" t="e">
        <f t="shared" si="1805"/>
        <v>#DIV/0!</v>
      </c>
      <c r="BG199" s="22" t="e">
        <f t="shared" si="1805"/>
        <v>#DIV/0!</v>
      </c>
      <c r="BH199" s="22" t="e">
        <f t="shared" si="1805"/>
        <v>#DIV/0!</v>
      </c>
      <c r="BI199" s="22" t="e">
        <f t="shared" si="1805"/>
        <v>#DIV/0!</v>
      </c>
      <c r="BJ199" s="22" t="e">
        <f t="shared" si="1805"/>
        <v>#DIV/0!</v>
      </c>
      <c r="BK199" s="22" t="e">
        <f t="shared" si="1805"/>
        <v>#DIV/0!</v>
      </c>
      <c r="BL199" s="22" t="e">
        <f t="shared" si="1805"/>
        <v>#DIV/0!</v>
      </c>
      <c r="BM199" s="22" t="e">
        <f t="shared" si="1805"/>
        <v>#DIV/0!</v>
      </c>
      <c r="BN199" s="22" t="e">
        <f t="shared" si="1805"/>
        <v>#DIV/0!</v>
      </c>
      <c r="BO199" s="22" t="e">
        <f t="shared" si="1805"/>
        <v>#DIV/0!</v>
      </c>
      <c r="BP199" s="22" t="e">
        <f t="shared" si="1805"/>
        <v>#DIV/0!</v>
      </c>
      <c r="BQ199" s="22" t="e">
        <f t="shared" si="1805"/>
        <v>#DIV/0!</v>
      </c>
      <c r="BR199" s="22" t="e">
        <f t="shared" si="1805"/>
        <v>#DIV/0!</v>
      </c>
      <c r="BS199" s="22" t="e">
        <f t="shared" si="1805"/>
        <v>#DIV/0!</v>
      </c>
      <c r="BT199" s="22" t="e">
        <f t="shared" si="1805"/>
        <v>#DIV/0!</v>
      </c>
      <c r="BU199" s="22" t="e">
        <f t="shared" si="1805"/>
        <v>#DIV/0!</v>
      </c>
      <c r="BV199" s="22" t="e">
        <f t="shared" si="1805"/>
        <v>#DIV/0!</v>
      </c>
      <c r="BW199" s="22" t="e">
        <f t="shared" si="1805"/>
        <v>#DIV/0!</v>
      </c>
      <c r="BX199" s="22" t="e">
        <f t="shared" si="1805"/>
        <v>#DIV/0!</v>
      </c>
      <c r="BY199" s="22" t="e">
        <f t="shared" si="1805"/>
        <v>#DIV/0!</v>
      </c>
      <c r="BZ199" s="22" t="e">
        <f t="shared" si="1805"/>
        <v>#DIV/0!</v>
      </c>
      <c r="CA199" s="22" t="e">
        <f t="shared" si="1805"/>
        <v>#DIV/0!</v>
      </c>
      <c r="CB199" s="22" t="e">
        <f t="shared" si="1805"/>
        <v>#DIV/0!</v>
      </c>
      <c r="CC199" s="22">
        <f t="shared" si="1805"/>
        <v>36.983906087759017</v>
      </c>
      <c r="CD199" s="22">
        <f t="shared" si="1805"/>
        <v>-62.713906087759</v>
      </c>
      <c r="CE199" s="22">
        <f t="shared" ref="CE199:CF199" si="1806">CE195+CE198</f>
        <v>21.599692119517684</v>
      </c>
      <c r="CF199" s="22">
        <f t="shared" si="1806"/>
        <v>152.07030788048223</v>
      </c>
      <c r="CG199" s="22">
        <f t="shared" ref="CG199:CH199" si="1807">CG195+CG198</f>
        <v>41.572334055544587</v>
      </c>
      <c r="CH199" s="22">
        <f t="shared" si="1807"/>
        <v>-49.472334055544522</v>
      </c>
      <c r="CI199" s="22">
        <f t="shared" ref="CI199:CJ199" si="1808">CI195+CI198</f>
        <v>51.473586262825748</v>
      </c>
      <c r="CJ199" s="22">
        <f t="shared" si="1808"/>
        <v>5.976413737174159</v>
      </c>
      <c r="CK199" s="21">
        <f t="shared" ref="CK199:DB199" si="1809">CK195+CK198</f>
        <v>13.507816826411169</v>
      </c>
      <c r="CL199" s="22">
        <f t="shared" si="1809"/>
        <v>-53.987816826411247</v>
      </c>
      <c r="CM199" s="21">
        <f t="shared" si="1809"/>
        <v>136.34919690964895</v>
      </c>
      <c r="CN199" s="21">
        <f t="shared" si="1809"/>
        <v>-116.73525061774281</v>
      </c>
      <c r="CO199" s="21">
        <f t="shared" si="1809"/>
        <v>23.13663768353139</v>
      </c>
      <c r="CP199" s="21">
        <f t="shared" si="1809"/>
        <v>30.695063044803248</v>
      </c>
      <c r="CQ199" s="21">
        <f t="shared" si="1809"/>
        <v>167.11616574275837</v>
      </c>
      <c r="CR199" s="21">
        <f t="shared" si="1809"/>
        <v>-151.62722060945529</v>
      </c>
      <c r="CS199" s="21">
        <f t="shared" si="1809"/>
        <v>21.683188456454701</v>
      </c>
      <c r="CT199" s="21">
        <f t="shared" si="1809"/>
        <v>32.703520387903964</v>
      </c>
      <c r="CU199" s="21">
        <f t="shared" si="1809"/>
        <v>196.15517962051183</v>
      </c>
      <c r="CV199" s="21">
        <f t="shared" si="1809"/>
        <v>-187.24740237197372</v>
      </c>
      <c r="CW199" s="21">
        <f t="shared" si="1809"/>
        <v>21.719629471797262</v>
      </c>
      <c r="CX199" s="21">
        <f t="shared" si="1809"/>
        <v>35.288250001337161</v>
      </c>
      <c r="CY199" s="21">
        <f t="shared" si="1809"/>
        <v>230.53439305621072</v>
      </c>
      <c r="CZ199" s="21">
        <f t="shared" si="1809"/>
        <v>-227.96843544424519</v>
      </c>
      <c r="DA199" s="21">
        <f t="shared" si="1809"/>
        <v>22.330380559876616</v>
      </c>
      <c r="DB199" s="21">
        <f t="shared" si="1809"/>
        <v>38.636162634219886</v>
      </c>
      <c r="DE199" s="126"/>
      <c r="DF199" s="22">
        <v>16.9699999999998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0</v>
      </c>
      <c r="D201" s="22">
        <f>D202+D203</f>
        <v>0</v>
      </c>
      <c r="E201" s="22">
        <f t="shared" si="1810"/>
        <v>0</v>
      </c>
      <c r="F201" s="22">
        <f t="shared" si="1810"/>
        <v>0</v>
      </c>
      <c r="G201" s="22">
        <f t="shared" si="1810"/>
        <v>0</v>
      </c>
      <c r="H201" s="22">
        <f t="shared" si="1810"/>
        <v>0</v>
      </c>
      <c r="I201" s="22">
        <f t="shared" si="1810"/>
        <v>0</v>
      </c>
      <c r="J201" s="22">
        <f t="shared" si="1810"/>
        <v>0</v>
      </c>
      <c r="K201" s="22">
        <f t="shared" si="1810"/>
        <v>0</v>
      </c>
      <c r="L201" s="22">
        <f t="shared" si="1810"/>
        <v>0</v>
      </c>
      <c r="M201" s="22">
        <f t="shared" si="1810"/>
        <v>0</v>
      </c>
      <c r="N201" s="22">
        <f t="shared" si="1810"/>
        <v>0</v>
      </c>
      <c r="O201" s="22">
        <f t="shared" si="1810"/>
        <v>0</v>
      </c>
      <c r="P201" s="22">
        <f t="shared" si="1810"/>
        <v>0</v>
      </c>
      <c r="Q201" s="22">
        <f t="shared" si="1810"/>
        <v>0</v>
      </c>
      <c r="R201" s="22">
        <f t="shared" si="1810"/>
        <v>0</v>
      </c>
      <c r="S201" s="22">
        <f t="shared" si="1810"/>
        <v>0</v>
      </c>
      <c r="T201" s="22">
        <f t="shared" si="1810"/>
        <v>0</v>
      </c>
      <c r="U201" s="22">
        <f t="shared" si="1810"/>
        <v>0</v>
      </c>
      <c r="V201" s="22">
        <f t="shared" si="1810"/>
        <v>0</v>
      </c>
      <c r="W201" s="22">
        <f t="shared" si="1810"/>
        <v>0</v>
      </c>
      <c r="X201" s="22">
        <f t="shared" ref="X201:Y201" si="1811">X202+X203</f>
        <v>0</v>
      </c>
      <c r="Y201" s="22">
        <f t="shared" si="1811"/>
        <v>-1119.0599999999997</v>
      </c>
      <c r="Z201" s="22">
        <f t="shared" ref="Z201:AA201" si="1812">Z202+Z203</f>
        <v>-159.70000000000019</v>
      </c>
      <c r="AA201" s="22">
        <f t="shared" ref="AA201" si="1813">AA202+AA203</f>
        <v>-70.349999999999994</v>
      </c>
      <c r="AB201" s="21">
        <f t="shared" ref="AB201:AD201" si="1814">AB202+AB203</f>
        <v>-60.149240612243148</v>
      </c>
      <c r="AC201" s="21">
        <f t="shared" si="1814"/>
        <v>-60.149240612243148</v>
      </c>
      <c r="AD201" s="21">
        <f t="shared" si="1814"/>
        <v>-60.149240612243148</v>
      </c>
      <c r="AE201" s="21">
        <f t="shared" ref="AE201" si="1815">AE202+AE203</f>
        <v>-60.149240612243148</v>
      </c>
      <c r="AI201" s="22">
        <f t="shared" ref="AI201" si="1816">AI202+AI203</f>
        <v>0</v>
      </c>
      <c r="AJ201" s="22">
        <f t="shared" ref="AJ201:AL201" si="1817">AJ202+AJ203</f>
        <v>0</v>
      </c>
      <c r="AK201" s="22">
        <f t="shared" si="1817"/>
        <v>0</v>
      </c>
      <c r="AL201" s="22">
        <f t="shared" si="1817"/>
        <v>0</v>
      </c>
      <c r="AM201" s="22">
        <f t="shared" ref="AM201" si="1818">AM202+AM203</f>
        <v>0</v>
      </c>
      <c r="AN201" s="22">
        <f t="shared" ref="AN201:CD201" si="1819">AN202+AN203</f>
        <v>0</v>
      </c>
      <c r="AO201" s="22">
        <f t="shared" si="1819"/>
        <v>0</v>
      </c>
      <c r="AP201" s="22">
        <f t="shared" si="1819"/>
        <v>0</v>
      </c>
      <c r="AQ201" s="22">
        <f t="shared" si="1819"/>
        <v>0</v>
      </c>
      <c r="AR201" s="22">
        <f t="shared" si="1819"/>
        <v>0</v>
      </c>
      <c r="AS201" s="22">
        <f t="shared" si="1819"/>
        <v>0</v>
      </c>
      <c r="AT201" s="22">
        <f t="shared" si="1819"/>
        <v>0</v>
      </c>
      <c r="AU201" s="22">
        <f t="shared" si="1819"/>
        <v>0</v>
      </c>
      <c r="AV201" s="22">
        <f t="shared" si="1819"/>
        <v>0</v>
      </c>
      <c r="AW201" s="22">
        <f t="shared" si="1819"/>
        <v>0</v>
      </c>
      <c r="AX201" s="22">
        <f t="shared" si="1819"/>
        <v>0</v>
      </c>
      <c r="AY201" s="22">
        <f t="shared" si="1819"/>
        <v>0</v>
      </c>
      <c r="AZ201" s="22">
        <f t="shared" si="1819"/>
        <v>0</v>
      </c>
      <c r="BA201" s="22">
        <f t="shared" si="1819"/>
        <v>0</v>
      </c>
      <c r="BB201" s="22">
        <f t="shared" si="1819"/>
        <v>0</v>
      </c>
      <c r="BC201" s="22">
        <f t="shared" si="1819"/>
        <v>0</v>
      </c>
      <c r="BD201" s="22">
        <f t="shared" si="1819"/>
        <v>0</v>
      </c>
      <c r="BE201" s="22">
        <f t="shared" si="1819"/>
        <v>0</v>
      </c>
      <c r="BF201" s="22">
        <f t="shared" si="1819"/>
        <v>0</v>
      </c>
      <c r="BG201" s="22">
        <f t="shared" si="1819"/>
        <v>0</v>
      </c>
      <c r="BH201" s="22">
        <f t="shared" si="1819"/>
        <v>0</v>
      </c>
      <c r="BI201" s="22">
        <f t="shared" si="1819"/>
        <v>0</v>
      </c>
      <c r="BJ201" s="22">
        <f t="shared" si="1819"/>
        <v>0</v>
      </c>
      <c r="BK201" s="22">
        <f t="shared" si="1819"/>
        <v>0</v>
      </c>
      <c r="BL201" s="22">
        <f t="shared" si="1819"/>
        <v>0</v>
      </c>
      <c r="BM201" s="22">
        <f t="shared" si="1819"/>
        <v>0</v>
      </c>
      <c r="BN201" s="22">
        <f t="shared" si="1819"/>
        <v>0</v>
      </c>
      <c r="BO201" s="22">
        <f t="shared" si="1819"/>
        <v>0</v>
      </c>
      <c r="BP201" s="22">
        <f t="shared" si="1819"/>
        <v>0</v>
      </c>
      <c r="BQ201" s="22">
        <f t="shared" si="1819"/>
        <v>0</v>
      </c>
      <c r="BR201" s="22">
        <f t="shared" si="1819"/>
        <v>0</v>
      </c>
      <c r="BS201" s="22">
        <f t="shared" si="1819"/>
        <v>0</v>
      </c>
      <c r="BT201" s="22">
        <f t="shared" si="1819"/>
        <v>0</v>
      </c>
      <c r="BU201" s="22">
        <f t="shared" si="1819"/>
        <v>0</v>
      </c>
      <c r="BV201" s="22">
        <f t="shared" si="1819"/>
        <v>0</v>
      </c>
      <c r="BW201" s="22">
        <f t="shared" si="1819"/>
        <v>0</v>
      </c>
      <c r="BX201" s="22">
        <f t="shared" si="1819"/>
        <v>0</v>
      </c>
      <c r="BY201" s="22">
        <f t="shared" si="1819"/>
        <v>0</v>
      </c>
      <c r="BZ201" s="22">
        <f t="shared" si="1819"/>
        <v>0</v>
      </c>
      <c r="CA201" s="22">
        <f t="shared" si="1819"/>
        <v>-10.53</v>
      </c>
      <c r="CB201" s="22">
        <f t="shared" si="1819"/>
        <v>-1088.28</v>
      </c>
      <c r="CC201" s="22">
        <f t="shared" si="1819"/>
        <v>-12.319999999999936</v>
      </c>
      <c r="CD201" s="22">
        <f t="shared" si="1819"/>
        <v>-7.9299999999998363</v>
      </c>
      <c r="CE201" s="22">
        <f t="shared" ref="CE201:CF201" si="1820">CE202+CE203</f>
        <v>-12.529999999999973</v>
      </c>
      <c r="CF201" s="22">
        <f t="shared" si="1820"/>
        <v>-5.0000000000000266</v>
      </c>
      <c r="CG201" s="22">
        <f t="shared" ref="CG201:CH201" si="1821">CG202+CG203</f>
        <v>-12.819999999999936</v>
      </c>
      <c r="CH201" s="22">
        <f t="shared" si="1821"/>
        <v>-129.35000000000014</v>
      </c>
      <c r="CI201" s="22">
        <f t="shared" ref="CI201:CJ201" si="1822">CI202+CI203</f>
        <v>0</v>
      </c>
      <c r="CJ201" s="22">
        <f t="shared" si="1822"/>
        <v>-43.919999999999845</v>
      </c>
      <c r="CK201" s="21">
        <f t="shared" ref="CK201:DB201" si="1823">CK202+CK203</f>
        <v>-15.1099999999999</v>
      </c>
      <c r="CL201" s="22">
        <f t="shared" si="1823"/>
        <v>-11.320000000000027</v>
      </c>
      <c r="CM201" s="21">
        <f t="shared" si="1823"/>
        <v>-15.037310153060844</v>
      </c>
      <c r="CN201" s="21">
        <f t="shared" si="1823"/>
        <v>-15.037310153060844</v>
      </c>
      <c r="CO201" s="21">
        <f t="shared" si="1823"/>
        <v>-15.037310153060844</v>
      </c>
      <c r="CP201" s="21">
        <f t="shared" si="1823"/>
        <v>-15.037310153060844</v>
      </c>
      <c r="CQ201" s="21">
        <f t="shared" si="1823"/>
        <v>-15.037310153060844</v>
      </c>
      <c r="CR201" s="21">
        <f t="shared" si="1823"/>
        <v>-15.037310153060844</v>
      </c>
      <c r="CS201" s="21">
        <f t="shared" si="1823"/>
        <v>-15.037310153060844</v>
      </c>
      <c r="CT201" s="21">
        <f t="shared" si="1823"/>
        <v>-15.037310153060844</v>
      </c>
      <c r="CU201" s="21">
        <f t="shared" si="1823"/>
        <v>-15.037310153060844</v>
      </c>
      <c r="CV201" s="21">
        <f t="shared" si="1823"/>
        <v>-15.037310153060844</v>
      </c>
      <c r="CW201" s="21">
        <f t="shared" si="1823"/>
        <v>-15.037310153060844</v>
      </c>
      <c r="CX201" s="21">
        <f t="shared" si="1823"/>
        <v>-15.037310153060844</v>
      </c>
      <c r="CY201" s="21">
        <f t="shared" si="1823"/>
        <v>-15.037310153060844</v>
      </c>
      <c r="CZ201" s="21">
        <f t="shared" si="1823"/>
        <v>-15.037310153060844</v>
      </c>
      <c r="DA201" s="21">
        <f t="shared" si="1823"/>
        <v>-15.037310153060844</v>
      </c>
      <c r="DB201" s="21">
        <f t="shared" si="1823"/>
        <v>-15.037310153060844</v>
      </c>
      <c r="DE201" s="126"/>
      <c r="DF201" s="22">
        <v>-70.349999999999994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0</v>
      </c>
      <c r="R202" s="23">
        <f t="shared" si="1824"/>
        <v>0</v>
      </c>
      <c r="S202" s="23">
        <f t="shared" si="1824"/>
        <v>0</v>
      </c>
      <c r="T202" s="23">
        <f t="shared" si="1824"/>
        <v>0</v>
      </c>
      <c r="U202" s="23">
        <f t="shared" si="1824"/>
        <v>0</v>
      </c>
      <c r="V202" s="23">
        <f t="shared" si="1824"/>
        <v>0</v>
      </c>
      <c r="W202" s="23">
        <f t="shared" si="1824"/>
        <v>0</v>
      </c>
      <c r="X202" s="23">
        <f t="shared" si="1824"/>
        <v>0</v>
      </c>
      <c r="Y202" s="23">
        <f t="shared" si="1824"/>
        <v>-1.83</v>
      </c>
      <c r="Z202" s="23">
        <f t="shared" si="1824"/>
        <v>1.2200000000000002</v>
      </c>
      <c r="AA202" s="23">
        <f t="shared" si="1824"/>
        <v>-0.6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0</v>
      </c>
      <c r="BC202" s="23">
        <f t="shared" ref="BC202" si="1849">BB140-BC140</f>
        <v>0</v>
      </c>
      <c r="BD202" s="23">
        <f t="shared" ref="BD202" si="1850">BC140-BD140</f>
        <v>0</v>
      </c>
      <c r="BE202" s="23">
        <f t="shared" ref="BE202" si="1851">BD140-BE140</f>
        <v>0</v>
      </c>
      <c r="BF202" s="23">
        <f t="shared" ref="BF202" si="1852">BE140-BF140</f>
        <v>0</v>
      </c>
      <c r="BG202" s="23">
        <f t="shared" ref="BG202" si="1853">BF140-BG140</f>
        <v>0</v>
      </c>
      <c r="BH202" s="23">
        <f t="shared" ref="BH202" si="1854">BG140-BH140</f>
        <v>0</v>
      </c>
      <c r="BI202" s="23">
        <f t="shared" ref="BI202" si="1855">BH140-BI140</f>
        <v>0</v>
      </c>
      <c r="BJ202" s="23">
        <f t="shared" ref="BJ202" si="1856">BI140-BJ140</f>
        <v>0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0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0</v>
      </c>
      <c r="BS202" s="23">
        <f t="shared" ref="BS202" si="1865">BR140-BS140</f>
        <v>0</v>
      </c>
      <c r="BT202" s="23">
        <f t="shared" ref="BT202" si="1866">BS140-BT140</f>
        <v>0</v>
      </c>
      <c r="BU202" s="23">
        <f t="shared" ref="BU202" si="1867">BT140-BU140</f>
        <v>0</v>
      </c>
      <c r="BV202" s="23">
        <f t="shared" ref="BV202" si="1868">BU140-BV140</f>
        <v>0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0</v>
      </c>
      <c r="CA202" s="23">
        <f t="shared" ref="CA202" si="1873">BZ140-CA140</f>
        <v>0</v>
      </c>
      <c r="CB202" s="23">
        <f t="shared" ref="CB202" si="1874">CA140-CB140</f>
        <v>-1.83</v>
      </c>
      <c r="CC202" s="23">
        <f t="shared" ref="CC202" si="1875">CB140-CC140</f>
        <v>0</v>
      </c>
      <c r="CD202" s="23">
        <f t="shared" ref="CD202" si="1876">CC140-CD140</f>
        <v>0</v>
      </c>
      <c r="CE202" s="23">
        <f t="shared" ref="CE202" si="1877">CD140-CE140</f>
        <v>0</v>
      </c>
      <c r="CF202" s="23">
        <f t="shared" ref="CF202" si="1878">CE140-CF140</f>
        <v>1.2200000000000002</v>
      </c>
      <c r="CG202" s="23">
        <f t="shared" ref="CG202" si="1879">CF140-CG140</f>
        <v>0</v>
      </c>
      <c r="CH202" s="23">
        <f t="shared" ref="CH202:CL202" si="1880">CG140-CH140</f>
        <v>0</v>
      </c>
      <c r="CI202" s="23">
        <f t="shared" si="1880"/>
        <v>0</v>
      </c>
      <c r="CJ202" s="23">
        <f t="shared" si="1880"/>
        <v>0</v>
      </c>
      <c r="CK202" s="24">
        <f t="shared" ref="CK202" si="1881">CJ140-CK140</f>
        <v>0</v>
      </c>
      <c r="CL202" s="23">
        <f t="shared" si="1880"/>
        <v>-0.6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-0.6</v>
      </c>
    </row>
    <row r="203" spans="1:110" s="23" customFormat="1" x14ac:dyDescent="0.2">
      <c r="A203" s="23" t="s">
        <v>94</v>
      </c>
      <c r="C203" s="23">
        <f t="shared" ref="C203:AE203" si="1898">B138-C32-C138</f>
        <v>0</v>
      </c>
      <c r="D203" s="23">
        <f t="shared" si="1898"/>
        <v>0</v>
      </c>
      <c r="E203" s="23">
        <f t="shared" si="1898"/>
        <v>0</v>
      </c>
      <c r="F203" s="23">
        <f t="shared" si="1898"/>
        <v>0</v>
      </c>
      <c r="G203" s="23">
        <f t="shared" si="1898"/>
        <v>0</v>
      </c>
      <c r="H203" s="23">
        <f t="shared" si="1898"/>
        <v>0</v>
      </c>
      <c r="I203" s="23">
        <f t="shared" si="1898"/>
        <v>0</v>
      </c>
      <c r="J203" s="23">
        <f t="shared" si="1898"/>
        <v>0</v>
      </c>
      <c r="K203" s="23">
        <f t="shared" si="1898"/>
        <v>0</v>
      </c>
      <c r="L203" s="23">
        <f t="shared" si="1898"/>
        <v>0</v>
      </c>
      <c r="M203" s="23">
        <f t="shared" si="1898"/>
        <v>0</v>
      </c>
      <c r="N203" s="23">
        <f t="shared" si="1898"/>
        <v>0</v>
      </c>
      <c r="O203" s="23">
        <f t="shared" si="1898"/>
        <v>0</v>
      </c>
      <c r="P203" s="23">
        <f t="shared" si="1898"/>
        <v>0</v>
      </c>
      <c r="Q203" s="23">
        <f t="shared" si="1898"/>
        <v>0</v>
      </c>
      <c r="R203" s="23">
        <f t="shared" si="1898"/>
        <v>0</v>
      </c>
      <c r="S203" s="23">
        <f t="shared" si="1898"/>
        <v>0</v>
      </c>
      <c r="T203" s="23">
        <f t="shared" si="1898"/>
        <v>0</v>
      </c>
      <c r="U203" s="23">
        <f t="shared" si="1898"/>
        <v>0</v>
      </c>
      <c r="V203" s="23">
        <f t="shared" si="1898"/>
        <v>0</v>
      </c>
      <c r="W203" s="23">
        <f t="shared" si="1898"/>
        <v>0</v>
      </c>
      <c r="X203" s="23">
        <f t="shared" si="1898"/>
        <v>0</v>
      </c>
      <c r="Y203" s="23">
        <f t="shared" si="1898"/>
        <v>-1117.2299999999998</v>
      </c>
      <c r="Z203" s="23">
        <f t="shared" si="1898"/>
        <v>-160.92000000000019</v>
      </c>
      <c r="AA203" s="23">
        <f t="shared" si="1898"/>
        <v>-69.75</v>
      </c>
      <c r="AB203" s="24">
        <f t="shared" si="1898"/>
        <v>-60.149240612243148</v>
      </c>
      <c r="AC203" s="24">
        <f t="shared" si="1898"/>
        <v>-60.149240612243148</v>
      </c>
      <c r="AD203" s="24">
        <f t="shared" si="1898"/>
        <v>-60.149240612243148</v>
      </c>
      <c r="AE203" s="24">
        <f t="shared" si="1898"/>
        <v>-60.149240612243148</v>
      </c>
      <c r="AI203" s="23">
        <f t="shared" ref="AI203:BN203" si="1899">AH138-AI32-AI138</f>
        <v>0</v>
      </c>
      <c r="AJ203" s="23">
        <f t="shared" si="1899"/>
        <v>0</v>
      </c>
      <c r="AK203" s="23">
        <f t="shared" si="1899"/>
        <v>0</v>
      </c>
      <c r="AL203" s="23">
        <f t="shared" si="1899"/>
        <v>0</v>
      </c>
      <c r="AM203" s="23">
        <f t="shared" si="1899"/>
        <v>0</v>
      </c>
      <c r="AN203" s="23">
        <f t="shared" si="1899"/>
        <v>0</v>
      </c>
      <c r="AO203" s="23">
        <f t="shared" si="1899"/>
        <v>0</v>
      </c>
      <c r="AP203" s="23">
        <f t="shared" si="1899"/>
        <v>0</v>
      </c>
      <c r="AQ203" s="23">
        <f t="shared" si="1899"/>
        <v>0</v>
      </c>
      <c r="AR203" s="23">
        <f t="shared" si="1899"/>
        <v>0</v>
      </c>
      <c r="AS203" s="23">
        <f t="shared" si="1899"/>
        <v>0</v>
      </c>
      <c r="AT203" s="23">
        <f t="shared" si="1899"/>
        <v>0</v>
      </c>
      <c r="AU203" s="23">
        <f t="shared" si="1899"/>
        <v>0</v>
      </c>
      <c r="AV203" s="23">
        <f t="shared" si="1899"/>
        <v>0</v>
      </c>
      <c r="AW203" s="23">
        <f t="shared" si="1899"/>
        <v>0</v>
      </c>
      <c r="AX203" s="23">
        <f t="shared" si="1899"/>
        <v>0</v>
      </c>
      <c r="AY203" s="23">
        <f t="shared" si="1899"/>
        <v>0</v>
      </c>
      <c r="AZ203" s="23">
        <f t="shared" si="1899"/>
        <v>0</v>
      </c>
      <c r="BA203" s="23">
        <f t="shared" si="1899"/>
        <v>0</v>
      </c>
      <c r="BB203" s="23">
        <f t="shared" si="1899"/>
        <v>0</v>
      </c>
      <c r="BC203" s="23">
        <f t="shared" si="1899"/>
        <v>0</v>
      </c>
      <c r="BD203" s="23">
        <f t="shared" si="1899"/>
        <v>0</v>
      </c>
      <c r="BE203" s="23">
        <f t="shared" si="1899"/>
        <v>0</v>
      </c>
      <c r="BF203" s="23">
        <f t="shared" si="1899"/>
        <v>0</v>
      </c>
      <c r="BG203" s="23">
        <f t="shared" si="1899"/>
        <v>0</v>
      </c>
      <c r="BH203" s="23">
        <f t="shared" si="1899"/>
        <v>0</v>
      </c>
      <c r="BI203" s="23">
        <f t="shared" si="1899"/>
        <v>0</v>
      </c>
      <c r="BJ203" s="23">
        <f t="shared" si="1899"/>
        <v>0</v>
      </c>
      <c r="BK203" s="23">
        <f t="shared" si="1899"/>
        <v>0</v>
      </c>
      <c r="BL203" s="23">
        <f t="shared" si="1899"/>
        <v>0</v>
      </c>
      <c r="BM203" s="23">
        <f t="shared" si="1899"/>
        <v>0</v>
      </c>
      <c r="BN203" s="23">
        <f t="shared" si="1899"/>
        <v>0</v>
      </c>
      <c r="BO203" s="23">
        <f t="shared" ref="BO203:CT203" si="1900">BN138-BO32-BO138</f>
        <v>0</v>
      </c>
      <c r="BP203" s="23">
        <f t="shared" si="1900"/>
        <v>0</v>
      </c>
      <c r="BQ203" s="23">
        <f t="shared" si="1900"/>
        <v>0</v>
      </c>
      <c r="BR203" s="23">
        <f t="shared" si="1900"/>
        <v>0</v>
      </c>
      <c r="BS203" s="23">
        <f t="shared" si="1900"/>
        <v>0</v>
      </c>
      <c r="BT203" s="23">
        <f t="shared" si="1900"/>
        <v>0</v>
      </c>
      <c r="BU203" s="23">
        <f t="shared" si="1900"/>
        <v>0</v>
      </c>
      <c r="BV203" s="23">
        <f t="shared" si="1900"/>
        <v>0</v>
      </c>
      <c r="BW203" s="23">
        <f t="shared" si="1900"/>
        <v>0</v>
      </c>
      <c r="BX203" s="23">
        <f t="shared" si="1900"/>
        <v>0</v>
      </c>
      <c r="BY203" s="23">
        <f t="shared" si="1900"/>
        <v>0</v>
      </c>
      <c r="BZ203" s="23">
        <f t="shared" si="1900"/>
        <v>0</v>
      </c>
      <c r="CA203" s="23">
        <f t="shared" si="1900"/>
        <v>-10.53</v>
      </c>
      <c r="CB203" s="23">
        <f t="shared" si="1900"/>
        <v>-1086.45</v>
      </c>
      <c r="CC203" s="23">
        <f t="shared" si="1900"/>
        <v>-12.319999999999936</v>
      </c>
      <c r="CD203" s="23">
        <f t="shared" si="1900"/>
        <v>-7.9299999999998363</v>
      </c>
      <c r="CE203" s="23">
        <f t="shared" si="1900"/>
        <v>-12.529999999999973</v>
      </c>
      <c r="CF203" s="23">
        <f t="shared" si="1900"/>
        <v>-6.2200000000000273</v>
      </c>
      <c r="CG203" s="23">
        <f t="shared" si="1900"/>
        <v>-12.819999999999936</v>
      </c>
      <c r="CH203" s="23">
        <f t="shared" si="1900"/>
        <v>-129.35000000000014</v>
      </c>
      <c r="CI203" s="23">
        <f t="shared" si="1900"/>
        <v>0</v>
      </c>
      <c r="CJ203" s="23">
        <f t="shared" si="1900"/>
        <v>-43.919999999999845</v>
      </c>
      <c r="CK203" s="24">
        <f t="shared" si="1900"/>
        <v>-15.1099999999999</v>
      </c>
      <c r="CL203" s="23">
        <f t="shared" si="1900"/>
        <v>-10.720000000000027</v>
      </c>
      <c r="CM203" s="24">
        <f t="shared" si="1900"/>
        <v>-15.037310153060844</v>
      </c>
      <c r="CN203" s="24">
        <f t="shared" si="1900"/>
        <v>-15.037310153060844</v>
      </c>
      <c r="CO203" s="24">
        <f t="shared" si="1900"/>
        <v>-15.037310153060844</v>
      </c>
      <c r="CP203" s="24">
        <f t="shared" si="1900"/>
        <v>-15.037310153060844</v>
      </c>
      <c r="CQ203" s="24">
        <f t="shared" si="1900"/>
        <v>-15.037310153060844</v>
      </c>
      <c r="CR203" s="24">
        <f t="shared" si="1900"/>
        <v>-15.037310153060844</v>
      </c>
      <c r="CS203" s="24">
        <f t="shared" si="1900"/>
        <v>-15.037310153060844</v>
      </c>
      <c r="CT203" s="24">
        <f t="shared" si="1900"/>
        <v>-15.037310153060844</v>
      </c>
      <c r="CU203" s="24">
        <f t="shared" ref="CU203:DB203" si="1901">CT138-CU32-CU138</f>
        <v>-15.037310153060844</v>
      </c>
      <c r="CV203" s="24">
        <f t="shared" si="1901"/>
        <v>-15.037310153060844</v>
      </c>
      <c r="CW203" s="24">
        <f t="shared" si="1901"/>
        <v>-15.037310153060844</v>
      </c>
      <c r="CX203" s="24">
        <f t="shared" si="1901"/>
        <v>-15.037310153060844</v>
      </c>
      <c r="CY203" s="24">
        <f t="shared" si="1901"/>
        <v>-15.037310153060844</v>
      </c>
      <c r="CZ203" s="24">
        <f t="shared" si="1901"/>
        <v>-15.037310153060844</v>
      </c>
      <c r="DA203" s="24">
        <f t="shared" si="1901"/>
        <v>-15.037310153060844</v>
      </c>
      <c r="DB203" s="24">
        <f t="shared" si="1901"/>
        <v>-15.037310153060844</v>
      </c>
      <c r="DE203" s="123"/>
      <c r="DF203" s="23">
        <v>-69.75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0</v>
      </c>
      <c r="D205" s="22">
        <f t="shared" si="1902"/>
        <v>0</v>
      </c>
      <c r="E205" s="22">
        <f t="shared" si="1902"/>
        <v>0</v>
      </c>
      <c r="F205" s="22">
        <f t="shared" si="1902"/>
        <v>0</v>
      </c>
      <c r="G205" s="22">
        <f t="shared" si="1902"/>
        <v>0</v>
      </c>
      <c r="H205" s="22">
        <f t="shared" si="1902"/>
        <v>0</v>
      </c>
      <c r="I205" s="22">
        <f t="shared" si="1902"/>
        <v>0</v>
      </c>
      <c r="J205" s="22">
        <f t="shared" si="1902"/>
        <v>0</v>
      </c>
      <c r="K205" s="22">
        <f t="shared" si="1902"/>
        <v>0</v>
      </c>
      <c r="L205" s="22">
        <f t="shared" si="1902"/>
        <v>0</v>
      </c>
      <c r="M205" s="22">
        <f t="shared" si="1902"/>
        <v>0</v>
      </c>
      <c r="N205" s="22">
        <f t="shared" si="1902"/>
        <v>0</v>
      </c>
      <c r="O205" s="22">
        <f t="shared" si="1902"/>
        <v>0</v>
      </c>
      <c r="P205" s="22">
        <f t="shared" si="1902"/>
        <v>0</v>
      </c>
      <c r="Q205" s="22">
        <f t="shared" si="1902"/>
        <v>0</v>
      </c>
      <c r="R205" s="22">
        <f t="shared" si="1902"/>
        <v>0</v>
      </c>
      <c r="S205" s="22">
        <f t="shared" si="1902"/>
        <v>0</v>
      </c>
      <c r="T205" s="22">
        <f t="shared" si="1902"/>
        <v>0</v>
      </c>
      <c r="U205" s="22">
        <f t="shared" si="1902"/>
        <v>0</v>
      </c>
      <c r="V205" s="22">
        <f t="shared" si="1902"/>
        <v>0.01</v>
      </c>
      <c r="W205" s="22">
        <f t="shared" si="1902"/>
        <v>0</v>
      </c>
      <c r="X205" s="22">
        <f t="shared" ref="X205:Y205" si="1903">X206+X207</f>
        <v>6.9950999999999998E-3</v>
      </c>
      <c r="Y205" s="22">
        <f t="shared" si="1903"/>
        <v>1432.36</v>
      </c>
      <c r="Z205" s="22">
        <f t="shared" ref="Z205:AA205" si="1904">Z206+Z207</f>
        <v>-12.800000000000146</v>
      </c>
      <c r="AA205" s="22">
        <f t="shared" ref="AA205" si="1905">AA206+AA207</f>
        <v>65.150000000000034</v>
      </c>
      <c r="AB205" s="21">
        <f t="shared" ref="AB205:AD205" si="1906">AB206+AB207</f>
        <v>0.60999999999998522</v>
      </c>
      <c r="AC205" s="21">
        <f t="shared" si="1906"/>
        <v>2.2737367544323206E-13</v>
      </c>
      <c r="AD205" s="21">
        <f t="shared" si="1906"/>
        <v>0</v>
      </c>
      <c r="AE205" s="21">
        <f t="shared" ref="AE205" si="1907">AE206+AE207</f>
        <v>2.2737367544323206E-13</v>
      </c>
      <c r="AI205" s="22">
        <f t="shared" ref="AI205" si="1908">AI206+AI207</f>
        <v>0</v>
      </c>
      <c r="AJ205" s="22">
        <f t="shared" ref="AJ205:AL205" si="1909">AJ206+AJ207</f>
        <v>0</v>
      </c>
      <c r="AK205" s="22">
        <f t="shared" si="1909"/>
        <v>0</v>
      </c>
      <c r="AL205" s="22">
        <f t="shared" si="1909"/>
        <v>0</v>
      </c>
      <c r="AM205" s="22">
        <f t="shared" ref="AM205" si="1910">AM206+AM207</f>
        <v>0</v>
      </c>
      <c r="AN205" s="22">
        <f t="shared" ref="AN205:CD205" si="1911">AN206+AN207</f>
        <v>0</v>
      </c>
      <c r="AO205" s="22">
        <f t="shared" si="1911"/>
        <v>0</v>
      </c>
      <c r="AP205" s="22">
        <f t="shared" si="1911"/>
        <v>0</v>
      </c>
      <c r="AQ205" s="22">
        <f t="shared" si="1911"/>
        <v>0</v>
      </c>
      <c r="AR205" s="22">
        <f t="shared" si="1911"/>
        <v>0</v>
      </c>
      <c r="AS205" s="22">
        <f t="shared" si="1911"/>
        <v>0</v>
      </c>
      <c r="AT205" s="22">
        <f t="shared" si="1911"/>
        <v>0</v>
      </c>
      <c r="AU205" s="22">
        <f t="shared" si="1911"/>
        <v>0</v>
      </c>
      <c r="AV205" s="22">
        <f t="shared" si="1911"/>
        <v>0</v>
      </c>
      <c r="AW205" s="22">
        <f t="shared" si="1911"/>
        <v>0</v>
      </c>
      <c r="AX205" s="22">
        <f t="shared" si="1911"/>
        <v>0</v>
      </c>
      <c r="AY205" s="22">
        <f t="shared" si="1911"/>
        <v>0</v>
      </c>
      <c r="AZ205" s="22">
        <f t="shared" si="1911"/>
        <v>0</v>
      </c>
      <c r="BA205" s="22">
        <f t="shared" si="1911"/>
        <v>0</v>
      </c>
      <c r="BB205" s="22">
        <f t="shared" si="1911"/>
        <v>0</v>
      </c>
      <c r="BC205" s="22">
        <f t="shared" si="1911"/>
        <v>0</v>
      </c>
      <c r="BD205" s="22">
        <f t="shared" si="1911"/>
        <v>0</v>
      </c>
      <c r="BE205" s="22">
        <f t="shared" si="1911"/>
        <v>0</v>
      </c>
      <c r="BF205" s="22">
        <f t="shared" si="1911"/>
        <v>0</v>
      </c>
      <c r="BG205" s="22">
        <f t="shared" si="1911"/>
        <v>0</v>
      </c>
      <c r="BH205" s="22">
        <f t="shared" si="1911"/>
        <v>0</v>
      </c>
      <c r="BI205" s="22">
        <f t="shared" si="1911"/>
        <v>0</v>
      </c>
      <c r="BJ205" s="22">
        <f t="shared" si="1911"/>
        <v>0</v>
      </c>
      <c r="BK205" s="22">
        <f t="shared" si="1911"/>
        <v>0</v>
      </c>
      <c r="BL205" s="22">
        <f t="shared" si="1911"/>
        <v>0</v>
      </c>
      <c r="BM205" s="22">
        <f t="shared" si="1911"/>
        <v>0</v>
      </c>
      <c r="BN205" s="22">
        <f t="shared" si="1911"/>
        <v>0</v>
      </c>
      <c r="BO205" s="22">
        <f t="shared" si="1911"/>
        <v>0</v>
      </c>
      <c r="BP205" s="22">
        <f t="shared" si="1911"/>
        <v>0</v>
      </c>
      <c r="BQ205" s="22">
        <f t="shared" si="1911"/>
        <v>0</v>
      </c>
      <c r="BR205" s="22">
        <f t="shared" si="1911"/>
        <v>0</v>
      </c>
      <c r="BS205" s="22">
        <f t="shared" si="1911"/>
        <v>0</v>
      </c>
      <c r="BT205" s="22">
        <f t="shared" si="1911"/>
        <v>0</v>
      </c>
      <c r="BU205" s="22">
        <f t="shared" si="1911"/>
        <v>0</v>
      </c>
      <c r="BV205" s="22">
        <f t="shared" si="1911"/>
        <v>0</v>
      </c>
      <c r="BW205" s="22">
        <f t="shared" si="1911"/>
        <v>0</v>
      </c>
      <c r="BX205" s="22">
        <f t="shared" si="1911"/>
        <v>0</v>
      </c>
      <c r="BY205" s="22">
        <f t="shared" si="1911"/>
        <v>0</v>
      </c>
      <c r="BZ205" s="22">
        <f t="shared" si="1911"/>
        <v>0.01</v>
      </c>
      <c r="CA205" s="22">
        <f t="shared" si="1911"/>
        <v>0</v>
      </c>
      <c r="CB205" s="22">
        <f t="shared" si="1911"/>
        <v>1426.3799999999997</v>
      </c>
      <c r="CC205" s="22">
        <f t="shared" si="1911"/>
        <v>0</v>
      </c>
      <c r="CD205" s="22">
        <f t="shared" si="1911"/>
        <v>6.1500000000000625</v>
      </c>
      <c r="CE205" s="22">
        <f t="shared" ref="CE205:CF205" si="1912">CE206+CE207</f>
        <v>0</v>
      </c>
      <c r="CF205" s="22">
        <f t="shared" si="1912"/>
        <v>-61.799999999999955</v>
      </c>
      <c r="CG205" s="22">
        <f t="shared" ref="CG205:CH205" si="1913">CG206+CG207</f>
        <v>0</v>
      </c>
      <c r="CH205" s="22">
        <f t="shared" si="1913"/>
        <v>48.830000000000048</v>
      </c>
      <c r="CI205" s="22">
        <f t="shared" ref="CI205:CJ205" si="1914">CI206+CI207</f>
        <v>0</v>
      </c>
      <c r="CJ205" s="22">
        <f t="shared" si="1914"/>
        <v>-11.049999999999933</v>
      </c>
      <c r="CK205" s="21">
        <f t="shared" ref="CK205:DB205" si="1915">CK206+CK207</f>
        <v>0</v>
      </c>
      <c r="CL205" s="22">
        <f t="shared" si="1915"/>
        <v>76.809999999999718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2.2737367544323206E-13</v>
      </c>
      <c r="DB205" s="21">
        <f t="shared" si="1915"/>
        <v>0</v>
      </c>
      <c r="DE205" s="126"/>
      <c r="DF205" s="22">
        <v>65.760000000000019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0</v>
      </c>
      <c r="G206" s="23">
        <f t="shared" si="1916"/>
        <v>0</v>
      </c>
      <c r="H206" s="23">
        <f t="shared" si="1916"/>
        <v>0</v>
      </c>
      <c r="I206" s="23">
        <f t="shared" si="1916"/>
        <v>0</v>
      </c>
      <c r="J206" s="23">
        <f>J128-I128</f>
        <v>0</v>
      </c>
      <c r="K206" s="23">
        <f>K128-J128</f>
        <v>0</v>
      </c>
      <c r="L206" s="23">
        <f t="shared" si="1916"/>
        <v>0</v>
      </c>
      <c r="M206" s="23">
        <f t="shared" si="1916"/>
        <v>0</v>
      </c>
      <c r="N206" s="23">
        <f t="shared" si="1916"/>
        <v>0</v>
      </c>
      <c r="O206" s="23">
        <f t="shared" si="1916"/>
        <v>0</v>
      </c>
      <c r="P206" s="23">
        <f t="shared" si="1916"/>
        <v>0</v>
      </c>
      <c r="Q206" s="23">
        <f t="shared" si="1916"/>
        <v>0</v>
      </c>
      <c r="R206" s="23">
        <f t="shared" si="1916"/>
        <v>0</v>
      </c>
      <c r="S206" s="23">
        <f t="shared" si="1916"/>
        <v>0</v>
      </c>
      <c r="T206" s="23">
        <f t="shared" si="1916"/>
        <v>0</v>
      </c>
      <c r="U206" s="23">
        <f t="shared" si="1916"/>
        <v>0</v>
      </c>
      <c r="V206" s="23">
        <f t="shared" si="1916"/>
        <v>0</v>
      </c>
      <c r="W206" s="23">
        <f t="shared" si="1916"/>
        <v>0</v>
      </c>
      <c r="X206" s="23">
        <f t="shared" si="1916"/>
        <v>0</v>
      </c>
      <c r="Y206" s="23">
        <f t="shared" si="1916"/>
        <v>71.650000000000006</v>
      </c>
      <c r="Z206" s="23">
        <f t="shared" si="1916"/>
        <v>-8.4500000000000099</v>
      </c>
      <c r="AA206" s="23">
        <f t="shared" si="1916"/>
        <v>70.410000000000025</v>
      </c>
      <c r="AB206" s="24">
        <f t="shared" ref="AB206" si="1917">AB128-AA128</f>
        <v>0.60999999999998522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0</v>
      </c>
      <c r="AK206" s="23">
        <f t="shared" ref="AK206" si="1923">AK128-AJ128</f>
        <v>0</v>
      </c>
      <c r="AL206" s="23">
        <f t="shared" ref="AL206" si="1924">AL128-AK128</f>
        <v>0</v>
      </c>
      <c r="AM206" s="23">
        <f t="shared" ref="AM206" si="1925">AM128-AL128</f>
        <v>0</v>
      </c>
      <c r="AN206" s="23">
        <f t="shared" ref="AN206" si="1926">AN128-AM128</f>
        <v>0</v>
      </c>
      <c r="AO206" s="23">
        <f t="shared" ref="AO206" si="1927">AO128-AN128</f>
        <v>0</v>
      </c>
      <c r="AP206" s="23">
        <f t="shared" ref="AP206" si="1928">AP128-AO128</f>
        <v>0</v>
      </c>
      <c r="AQ206" s="23">
        <f t="shared" ref="AQ206" si="1929">AQ128-AP128</f>
        <v>0</v>
      </c>
      <c r="AR206" s="23">
        <f t="shared" ref="AR206" si="1930">AR128-AQ128</f>
        <v>0</v>
      </c>
      <c r="AS206" s="23">
        <f t="shared" ref="AS206" si="1931">AS128-AR128</f>
        <v>0</v>
      </c>
      <c r="AT206" s="23">
        <f t="shared" ref="AT206" si="1932">AT128-AS128</f>
        <v>0</v>
      </c>
      <c r="AU206" s="23">
        <f t="shared" ref="AU206" si="1933">AU128-AT128</f>
        <v>0</v>
      </c>
      <c r="AV206" s="23">
        <f t="shared" ref="AV206" si="1934">AV128-AU128</f>
        <v>0</v>
      </c>
      <c r="AW206" s="23">
        <f t="shared" ref="AW206" si="1935">AW128-AV128</f>
        <v>0</v>
      </c>
      <c r="AX206" s="23">
        <f t="shared" ref="AX206" si="1936">AX128-AW128</f>
        <v>0</v>
      </c>
      <c r="AY206" s="23">
        <f t="shared" ref="AY206" si="1937">AY128-AX128</f>
        <v>0</v>
      </c>
      <c r="AZ206" s="23">
        <f t="shared" ref="AZ206" si="1938">AZ128-AY128</f>
        <v>0</v>
      </c>
      <c r="BA206" s="23">
        <f t="shared" ref="BA206" si="1939">BA128-AZ128</f>
        <v>0</v>
      </c>
      <c r="BB206" s="23">
        <f t="shared" ref="BB206" si="1940">BB128-BA128</f>
        <v>0</v>
      </c>
      <c r="BC206" s="23">
        <f t="shared" ref="BC206" si="1941">BC128-BB128</f>
        <v>0</v>
      </c>
      <c r="BD206" s="23">
        <f t="shared" ref="BD206" si="1942">BD128-BC128</f>
        <v>0</v>
      </c>
      <c r="BE206" s="23">
        <f t="shared" ref="BE206" si="1943">BE128-BD128</f>
        <v>0</v>
      </c>
      <c r="BF206" s="23">
        <f t="shared" ref="BF206" si="1944">BF128-BE128</f>
        <v>0</v>
      </c>
      <c r="BG206" s="23">
        <f t="shared" ref="BG206" si="1945">BG128-BF128</f>
        <v>0</v>
      </c>
      <c r="BH206" s="23">
        <f t="shared" ref="BH206" si="1946">BH128-BG128</f>
        <v>0</v>
      </c>
      <c r="BI206" s="23">
        <f t="shared" ref="BI206" si="1947">BI128-BH128</f>
        <v>0</v>
      </c>
      <c r="BJ206" s="23">
        <f t="shared" ref="BJ206" si="1948">BJ128-BI128</f>
        <v>0</v>
      </c>
      <c r="BK206" s="23">
        <f t="shared" ref="BK206" si="1949">BK128-BJ128</f>
        <v>0</v>
      </c>
      <c r="BL206" s="23">
        <f t="shared" ref="BL206" si="1950">BL128-BK128</f>
        <v>0</v>
      </c>
      <c r="BM206" s="23">
        <f t="shared" ref="BM206" si="1951">BM128-BL128</f>
        <v>0</v>
      </c>
      <c r="BN206" s="23">
        <f t="shared" ref="BN206" si="1952">BN128-BM128</f>
        <v>0</v>
      </c>
      <c r="BO206" s="23">
        <f t="shared" ref="BO206" si="1953">BO128-BN128</f>
        <v>0</v>
      </c>
      <c r="BP206" s="23">
        <f t="shared" ref="BP206" si="1954">BP128-BO128</f>
        <v>0</v>
      </c>
      <c r="BQ206" s="23">
        <f t="shared" ref="BQ206" si="1955">BQ128-BP128</f>
        <v>0</v>
      </c>
      <c r="BR206" s="23">
        <f t="shared" ref="BR206" si="1956">BR128-BQ128</f>
        <v>0</v>
      </c>
      <c r="BS206" s="23">
        <f t="shared" ref="BS206" si="1957">BS128-BR128</f>
        <v>0</v>
      </c>
      <c r="BT206" s="23">
        <f t="shared" ref="BT206" si="1958">BT128-BS128</f>
        <v>0</v>
      </c>
      <c r="BU206" s="23">
        <f t="shared" ref="BU206" si="1959">BU128-BT128</f>
        <v>0</v>
      </c>
      <c r="BV206" s="23">
        <f t="shared" ref="BV206" si="1960">BV128-BU128</f>
        <v>0</v>
      </c>
      <c r="BW206" s="23">
        <f t="shared" ref="BW206" si="1961">BW128-BV128</f>
        <v>0</v>
      </c>
      <c r="BX206" s="23">
        <f t="shared" ref="BX206" si="1962">BX128-BW128</f>
        <v>0</v>
      </c>
      <c r="BY206" s="23">
        <f t="shared" ref="BY206" si="1963">BY128-BX128</f>
        <v>0</v>
      </c>
      <c r="BZ206" s="23">
        <f t="shared" ref="BZ206" si="1964">BZ128-BY128</f>
        <v>0</v>
      </c>
      <c r="CA206" s="23">
        <f t="shared" ref="CA206" si="1965">CA128-BZ128</f>
        <v>0</v>
      </c>
      <c r="CB206" s="23">
        <f t="shared" ref="CB206" si="1966">CB128-CA128</f>
        <v>67.099999999999994</v>
      </c>
      <c r="CC206" s="23">
        <f t="shared" ref="CC206" si="1967">CC128-CB128</f>
        <v>0</v>
      </c>
      <c r="CD206" s="23">
        <f t="shared" ref="CD206" si="1968">CD128-CC128</f>
        <v>4.7199999999999989</v>
      </c>
      <c r="CE206" s="23">
        <f t="shared" ref="CE206" si="1969">CE128-CD128</f>
        <v>0</v>
      </c>
      <c r="CF206" s="23">
        <f t="shared" ref="CF206" si="1970">CF128-CE128</f>
        <v>-57.759999999999991</v>
      </c>
      <c r="CG206" s="23">
        <f t="shared" ref="CG206" si="1971">CG128-CF128</f>
        <v>0</v>
      </c>
      <c r="CH206" s="23">
        <f t="shared" ref="CH206:CL206" si="1972">CH128-CG128</f>
        <v>49.139999999999993</v>
      </c>
      <c r="CI206" s="23">
        <f t="shared" si="1972"/>
        <v>0</v>
      </c>
      <c r="CJ206" s="23">
        <f t="shared" si="1972"/>
        <v>-6.4799999999999969</v>
      </c>
      <c r="CK206" s="24">
        <f t="shared" ref="CK206" si="1973">CK128-CJ128</f>
        <v>0</v>
      </c>
      <c r="CL206" s="23">
        <f t="shared" si="1972"/>
        <v>77.5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71.02000000000001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0</v>
      </c>
      <c r="D207" s="23">
        <f t="shared" si="1990"/>
        <v>0</v>
      </c>
      <c r="E207" s="23">
        <f t="shared" si="1990"/>
        <v>0</v>
      </c>
      <c r="F207" s="23">
        <f t="shared" si="1990"/>
        <v>0</v>
      </c>
      <c r="G207" s="23">
        <f t="shared" si="1990"/>
        <v>0</v>
      </c>
      <c r="H207" s="23">
        <f t="shared" si="1990"/>
        <v>0</v>
      </c>
      <c r="I207" s="23">
        <f t="shared" si="1990"/>
        <v>0</v>
      </c>
      <c r="J207" s="23">
        <f t="shared" si="1990"/>
        <v>0</v>
      </c>
      <c r="K207" s="23">
        <f t="shared" si="1990"/>
        <v>0</v>
      </c>
      <c r="L207" s="23">
        <f t="shared" si="1990"/>
        <v>0</v>
      </c>
      <c r="M207" s="23">
        <f t="shared" si="1990"/>
        <v>0</v>
      </c>
      <c r="N207" s="23">
        <f t="shared" si="1990"/>
        <v>0</v>
      </c>
      <c r="O207" s="23">
        <f t="shared" si="1990"/>
        <v>0</v>
      </c>
      <c r="P207" s="23">
        <f t="shared" si="1990"/>
        <v>0</v>
      </c>
      <c r="Q207" s="23">
        <f t="shared" si="1990"/>
        <v>0</v>
      </c>
      <c r="R207" s="23">
        <f t="shared" si="1990"/>
        <v>0</v>
      </c>
      <c r="S207" s="23">
        <f t="shared" si="1990"/>
        <v>0</v>
      </c>
      <c r="T207" s="23">
        <f t="shared" si="1990"/>
        <v>0</v>
      </c>
      <c r="U207" s="23">
        <f t="shared" si="1990"/>
        <v>0</v>
      </c>
      <c r="V207" s="23">
        <f t="shared" si="1990"/>
        <v>0.01</v>
      </c>
      <c r="W207" s="23">
        <f t="shared" si="1990"/>
        <v>0</v>
      </c>
      <c r="X207" s="23">
        <f t="shared" si="1990"/>
        <v>6.9950999999999998E-3</v>
      </c>
      <c r="Y207" s="23">
        <f t="shared" si="1990"/>
        <v>1360.7099999999998</v>
      </c>
      <c r="Z207" s="23">
        <f t="shared" si="1990"/>
        <v>-4.3500000000001364</v>
      </c>
      <c r="AA207" s="23">
        <f t="shared" si="1990"/>
        <v>-5.2599999999999909</v>
      </c>
      <c r="AB207" s="24">
        <f t="shared" si="1990"/>
        <v>0</v>
      </c>
      <c r="AC207" s="24">
        <f t="shared" si="1990"/>
        <v>2.2737367544323206E-13</v>
      </c>
      <c r="AD207" s="24">
        <f t="shared" si="1990"/>
        <v>0</v>
      </c>
      <c r="AE207" s="24">
        <f t="shared" si="1990"/>
        <v>2.2737367544323206E-13</v>
      </c>
      <c r="AI207" s="23">
        <f t="shared" ref="AI207:BN207" si="1991">AI120-AI48-AH120+AI122-AH122</f>
        <v>0</v>
      </c>
      <c r="AJ207" s="23">
        <f t="shared" si="1991"/>
        <v>0</v>
      </c>
      <c r="AK207" s="23">
        <f t="shared" si="1991"/>
        <v>0</v>
      </c>
      <c r="AL207" s="23">
        <f t="shared" si="1991"/>
        <v>0</v>
      </c>
      <c r="AM207" s="23">
        <f t="shared" si="1991"/>
        <v>0</v>
      </c>
      <c r="AN207" s="23">
        <f t="shared" si="1991"/>
        <v>0</v>
      </c>
      <c r="AO207" s="23">
        <f t="shared" si="1991"/>
        <v>0</v>
      </c>
      <c r="AP207" s="23">
        <f t="shared" si="1991"/>
        <v>0</v>
      </c>
      <c r="AQ207" s="23">
        <f t="shared" si="1991"/>
        <v>0</v>
      </c>
      <c r="AR207" s="23">
        <f t="shared" si="1991"/>
        <v>0</v>
      </c>
      <c r="AS207" s="23">
        <f t="shared" si="1991"/>
        <v>0</v>
      </c>
      <c r="AT207" s="23">
        <f t="shared" si="1991"/>
        <v>0</v>
      </c>
      <c r="AU207" s="23">
        <f t="shared" si="1991"/>
        <v>0</v>
      </c>
      <c r="AV207" s="23">
        <f t="shared" si="1991"/>
        <v>0</v>
      </c>
      <c r="AW207" s="23">
        <f t="shared" si="1991"/>
        <v>0</v>
      </c>
      <c r="AX207" s="23">
        <f t="shared" si="1991"/>
        <v>0</v>
      </c>
      <c r="AY207" s="23">
        <f t="shared" si="1991"/>
        <v>0</v>
      </c>
      <c r="AZ207" s="23">
        <f t="shared" si="1991"/>
        <v>0</v>
      </c>
      <c r="BA207" s="23">
        <f t="shared" si="1991"/>
        <v>0</v>
      </c>
      <c r="BB207" s="23">
        <f t="shared" si="1991"/>
        <v>0</v>
      </c>
      <c r="BC207" s="23">
        <f t="shared" si="1991"/>
        <v>0</v>
      </c>
      <c r="BD207" s="23">
        <f t="shared" si="1991"/>
        <v>0</v>
      </c>
      <c r="BE207" s="23">
        <f t="shared" si="1991"/>
        <v>0</v>
      </c>
      <c r="BF207" s="23">
        <f t="shared" si="1991"/>
        <v>0</v>
      </c>
      <c r="BG207" s="23">
        <f t="shared" si="1991"/>
        <v>0</v>
      </c>
      <c r="BH207" s="23">
        <f t="shared" si="1991"/>
        <v>0</v>
      </c>
      <c r="BI207" s="23">
        <f t="shared" si="1991"/>
        <v>0</v>
      </c>
      <c r="BJ207" s="23">
        <f t="shared" si="1991"/>
        <v>0</v>
      </c>
      <c r="BK207" s="23">
        <f t="shared" si="1991"/>
        <v>0</v>
      </c>
      <c r="BL207" s="23">
        <f t="shared" si="1991"/>
        <v>0</v>
      </c>
      <c r="BM207" s="23">
        <f t="shared" si="1991"/>
        <v>0</v>
      </c>
      <c r="BN207" s="23">
        <f t="shared" si="1991"/>
        <v>0</v>
      </c>
      <c r="BO207" s="23">
        <f t="shared" ref="BO207:CT207" si="1992">BO120-BO48-BN120+BO122-BN122</f>
        <v>0</v>
      </c>
      <c r="BP207" s="23">
        <f t="shared" si="1992"/>
        <v>0</v>
      </c>
      <c r="BQ207" s="23">
        <f t="shared" si="1992"/>
        <v>0</v>
      </c>
      <c r="BR207" s="23">
        <f t="shared" si="1992"/>
        <v>0</v>
      </c>
      <c r="BS207" s="23">
        <f t="shared" si="1992"/>
        <v>0</v>
      </c>
      <c r="BT207" s="23">
        <f t="shared" si="1992"/>
        <v>0</v>
      </c>
      <c r="BU207" s="23">
        <f t="shared" si="1992"/>
        <v>0</v>
      </c>
      <c r="BV207" s="23">
        <f t="shared" si="1992"/>
        <v>0</v>
      </c>
      <c r="BW207" s="23">
        <f t="shared" si="1992"/>
        <v>0</v>
      </c>
      <c r="BX207" s="23">
        <f t="shared" si="1992"/>
        <v>0</v>
      </c>
      <c r="BY207" s="23">
        <f t="shared" si="1992"/>
        <v>0</v>
      </c>
      <c r="BZ207" s="23">
        <f t="shared" si="1992"/>
        <v>0.01</v>
      </c>
      <c r="CA207" s="23">
        <f t="shared" si="1992"/>
        <v>0</v>
      </c>
      <c r="CB207" s="23">
        <f t="shared" si="1992"/>
        <v>1359.2799999999997</v>
      </c>
      <c r="CC207" s="23">
        <f t="shared" si="1992"/>
        <v>0</v>
      </c>
      <c r="CD207" s="23">
        <f t="shared" si="1992"/>
        <v>1.4300000000000637</v>
      </c>
      <c r="CE207" s="23">
        <f t="shared" si="1992"/>
        <v>0</v>
      </c>
      <c r="CF207" s="23">
        <f t="shared" si="1992"/>
        <v>-4.0399999999999636</v>
      </c>
      <c r="CG207" s="23">
        <f t="shared" si="1992"/>
        <v>0</v>
      </c>
      <c r="CH207" s="23">
        <f t="shared" si="1992"/>
        <v>-0.30999999999994543</v>
      </c>
      <c r="CI207" s="23">
        <f t="shared" si="1992"/>
        <v>0</v>
      </c>
      <c r="CJ207" s="23">
        <f t="shared" si="1992"/>
        <v>-4.5699999999999363</v>
      </c>
      <c r="CK207" s="24">
        <f t="shared" si="1992"/>
        <v>0</v>
      </c>
      <c r="CL207" s="23">
        <f t="shared" si="1992"/>
        <v>-0.69000000000028194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2.2737367544323206E-13</v>
      </c>
      <c r="DB207" s="24">
        <f t="shared" si="1993"/>
        <v>0</v>
      </c>
      <c r="DE207" s="123"/>
      <c r="DF207" s="23">
        <v>-5.2599999999999909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0</v>
      </c>
      <c r="E209" s="23">
        <f>D161</f>
        <v>0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0</v>
      </c>
      <c r="K209" s="23">
        <f>J161</f>
        <v>0</v>
      </c>
      <c r="L209" s="23">
        <f t="shared" ref="L209" si="2000">K161</f>
        <v>0</v>
      </c>
      <c r="M209" s="23">
        <f t="shared" ref="M209" si="2001">L161</f>
        <v>0</v>
      </c>
      <c r="N209" s="23">
        <f t="shared" ref="N209" si="2002">M161</f>
        <v>0</v>
      </c>
      <c r="O209" s="23">
        <f t="shared" ref="O209" si="2003">N161</f>
        <v>0</v>
      </c>
      <c r="P209" s="23">
        <f t="shared" ref="P209" si="2004">O161</f>
        <v>0</v>
      </c>
      <c r="Q209" s="23">
        <f t="shared" ref="Q209" si="2005">P161</f>
        <v>0</v>
      </c>
      <c r="R209" s="23">
        <f t="shared" ref="R209" si="2006">Q161</f>
        <v>0</v>
      </c>
      <c r="S209" s="23">
        <f t="shared" ref="S209" si="2007">R161</f>
        <v>0</v>
      </c>
      <c r="T209" s="23">
        <f t="shared" ref="T209" si="2008">S161</f>
        <v>0</v>
      </c>
      <c r="U209" s="23">
        <f t="shared" ref="U209" si="2009">T161</f>
        <v>0</v>
      </c>
      <c r="V209" s="23">
        <f t="shared" ref="V209" si="2010">U161</f>
        <v>0</v>
      </c>
      <c r="W209" s="23">
        <f t="shared" ref="W209:AA209" si="2011">V161</f>
        <v>5.1849000000000001E-3</v>
      </c>
      <c r="X209" s="23">
        <f t="shared" si="2011"/>
        <v>5.1849000000000001E-3</v>
      </c>
      <c r="Y209" s="23">
        <f t="shared" si="2011"/>
        <v>0</v>
      </c>
      <c r="Z209" s="23">
        <f t="shared" si="2011"/>
        <v>11.96</v>
      </c>
      <c r="AA209" s="23">
        <f t="shared" si="2011"/>
        <v>5.0599999999999996</v>
      </c>
      <c r="AB209" s="24">
        <f t="shared" ref="AB209" si="2012">AA161</f>
        <v>17.439999999999998</v>
      </c>
      <c r="AC209" s="24">
        <f t="shared" ref="AC209" si="2013">AB161</f>
        <v>30.736406407997407</v>
      </c>
      <c r="AD209" s="24">
        <f t="shared" ref="AD209" si="2014">AC161</f>
        <v>40.462819773415774</v>
      </c>
      <c r="AE209" s="24">
        <f t="shared" ref="AE209" si="2015">AD161</f>
        <v>46.229235882844947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0</v>
      </c>
      <c r="AL209" s="23" t="e">
        <f t="shared" ref="AL209" si="2019">AK161</f>
        <v>#DIV/0!</v>
      </c>
      <c r="AM209" s="23">
        <f t="shared" ref="AM209" si="2020">AL161</f>
        <v>0</v>
      </c>
      <c r="AN209" s="23" t="e">
        <f t="shared" ref="AN209" si="2021">AM161</f>
        <v>#DIV/0!</v>
      </c>
      <c r="AO209" s="23">
        <f t="shared" ref="AO209" si="2022">AN161</f>
        <v>0</v>
      </c>
      <c r="AP209" s="23" t="e">
        <f t="shared" ref="AP209" si="2023">AO161</f>
        <v>#DIV/0!</v>
      </c>
      <c r="AQ209" s="23">
        <f t="shared" ref="AQ209" si="2024">AP161</f>
        <v>0</v>
      </c>
      <c r="AR209" s="23" t="e">
        <f t="shared" ref="AR209" si="2025">AQ161</f>
        <v>#DIV/0!</v>
      </c>
      <c r="AS209" s="23">
        <f t="shared" ref="AS209" si="2026">AR161</f>
        <v>0</v>
      </c>
      <c r="AT209" s="23" t="e">
        <f t="shared" ref="AT209" si="2027">AS161</f>
        <v>#DIV/0!</v>
      </c>
      <c r="AU209" s="23">
        <f t="shared" ref="AU209" si="2028">AT161</f>
        <v>0</v>
      </c>
      <c r="AV209" s="23" t="e">
        <f t="shared" ref="AV209" si="2029">AU161</f>
        <v>#DIV/0!</v>
      </c>
      <c r="AW209" s="23">
        <f t="shared" ref="AW209" si="2030">AV161</f>
        <v>0</v>
      </c>
      <c r="AX209" s="23" t="e">
        <f t="shared" ref="AX209" si="2031">AW161</f>
        <v>#DIV/0!</v>
      </c>
      <c r="AY209" s="23">
        <f t="shared" ref="AY209" si="2032">AX161</f>
        <v>0</v>
      </c>
      <c r="AZ209" s="23" t="e">
        <f t="shared" ref="AZ209" si="2033">AY161</f>
        <v>#DIV/0!</v>
      </c>
      <c r="BA209" s="23">
        <f t="shared" ref="BA209" si="2034">AZ161</f>
        <v>0</v>
      </c>
      <c r="BB209" s="23" t="e">
        <f t="shared" ref="BB209" si="2035">BA161</f>
        <v>#DIV/0!</v>
      </c>
      <c r="BC209" s="23">
        <f t="shared" ref="BC209" si="2036">BB161</f>
        <v>0</v>
      </c>
      <c r="BD209" s="23" t="e">
        <f t="shared" ref="BD209" si="2037">BC161</f>
        <v>#DIV/0!</v>
      </c>
      <c r="BE209" s="23">
        <f t="shared" ref="BE209" si="2038">BD161</f>
        <v>0</v>
      </c>
      <c r="BF209" s="23" t="e">
        <f t="shared" ref="BF209" si="2039">BE161</f>
        <v>#DIV/0!</v>
      </c>
      <c r="BG209" s="23">
        <f t="shared" ref="BG209" si="2040">BF161</f>
        <v>0</v>
      </c>
      <c r="BH209" s="23" t="e">
        <f t="shared" ref="BH209" si="2041">BG161</f>
        <v>#DIV/0!</v>
      </c>
      <c r="BI209" s="23">
        <f t="shared" ref="BI209" si="2042">BH161</f>
        <v>0</v>
      </c>
      <c r="BJ209" s="23" t="e">
        <f t="shared" ref="BJ209" si="2043">BI161</f>
        <v>#DIV/0!</v>
      </c>
      <c r="BK209" s="23">
        <f t="shared" ref="BK209" si="2044">BJ161</f>
        <v>0</v>
      </c>
      <c r="BL209" s="23" t="e">
        <f t="shared" ref="BL209" si="2045">BK161</f>
        <v>#DIV/0!</v>
      </c>
      <c r="BM209" s="23">
        <f t="shared" ref="BM209" si="2046">BL161</f>
        <v>0</v>
      </c>
      <c r="BN209" s="23" t="e">
        <f t="shared" ref="BN209" si="2047">BM161</f>
        <v>#DIV/0!</v>
      </c>
      <c r="BO209" s="23">
        <f t="shared" ref="BO209" si="2048">BN161</f>
        <v>0</v>
      </c>
      <c r="BP209" s="23" t="e">
        <f t="shared" ref="BP209" si="2049">BO161</f>
        <v>#DIV/0!</v>
      </c>
      <c r="BQ209" s="23">
        <f t="shared" ref="BQ209" si="2050">BP161</f>
        <v>0</v>
      </c>
      <c r="BR209" s="23" t="e">
        <f t="shared" ref="BR209" si="2051">BQ161</f>
        <v>#DIV/0!</v>
      </c>
      <c r="BS209" s="23">
        <f t="shared" ref="BS209" si="2052">BR161</f>
        <v>0</v>
      </c>
      <c r="BT209" s="23" t="e">
        <f t="shared" ref="BT209" si="2053">BS161</f>
        <v>#DIV/0!</v>
      </c>
      <c r="BU209" s="23">
        <f t="shared" ref="BU209" si="2054">BT161</f>
        <v>0</v>
      </c>
      <c r="BV209" s="23" t="e">
        <f t="shared" ref="BV209" si="2055">BU161</f>
        <v>#DIV/0!</v>
      </c>
      <c r="BW209" s="23">
        <f t="shared" ref="BW209" si="2056">BV161</f>
        <v>0</v>
      </c>
      <c r="BX209" s="23" t="e">
        <f t="shared" ref="BX209" si="2057">BW161</f>
        <v>#DIV/0!</v>
      </c>
      <c r="BY209" s="23">
        <f t="shared" ref="BY209" si="2058">BX161</f>
        <v>0</v>
      </c>
      <c r="BZ209" s="23" t="e">
        <f t="shared" ref="BZ209" si="2059">BY161</f>
        <v>#DIV/0!</v>
      </c>
      <c r="CA209" s="23">
        <f t="shared" ref="CA209" si="2060">BZ161</f>
        <v>0</v>
      </c>
      <c r="CB209" s="23" t="e">
        <f t="shared" ref="CB209" si="2061">CA161</f>
        <v>#DIV/0!</v>
      </c>
      <c r="CC209" s="23">
        <f t="shared" ref="CC209" si="2062">CB161</f>
        <v>51.79</v>
      </c>
      <c r="CD209" s="23">
        <f t="shared" ref="CD209" si="2063">CC161</f>
        <v>76.45390608775908</v>
      </c>
      <c r="CE209" s="23">
        <f t="shared" ref="CE209" si="2064">CD161</f>
        <v>11.96</v>
      </c>
      <c r="CF209" s="23">
        <f t="shared" ref="CF209" si="2065">CE161</f>
        <v>21.029692119517712</v>
      </c>
      <c r="CG209" s="23">
        <f t="shared" ref="CG209" si="2066">CF161</f>
        <v>106.30000000000001</v>
      </c>
      <c r="CH209" s="23">
        <f t="shared" ref="CH209:CL209" si="2067">CG161</f>
        <v>135.05233405554466</v>
      </c>
      <c r="CI209" s="23">
        <f t="shared" si="2067"/>
        <v>5.0599999999999996</v>
      </c>
      <c r="CJ209" s="23">
        <f t="shared" si="2067"/>
        <v>56.53358626282575</v>
      </c>
      <c r="CK209" s="24">
        <f t="shared" ref="CK209" si="2068">CJ161</f>
        <v>7.54</v>
      </c>
      <c r="CL209" s="23">
        <f t="shared" si="2067"/>
        <v>5.937816826411269</v>
      </c>
      <c r="CM209" s="24">
        <f t="shared" ref="CM209" si="2069">CL161</f>
        <v>17.439999999999998</v>
      </c>
      <c r="CN209" s="24">
        <f t="shared" ref="CN209" si="2070">CM161</f>
        <v>138.75188675658811</v>
      </c>
      <c r="CO209" s="24">
        <f t="shared" ref="CO209" si="2071">CN161</f>
        <v>6.9793259857844561</v>
      </c>
      <c r="CP209" s="24">
        <f t="shared" ref="CP209" si="2072">CO161</f>
        <v>15.078653516255002</v>
      </c>
      <c r="CQ209" s="24">
        <f t="shared" ref="CQ209" si="2073">CP161</f>
        <v>30.736406407997407</v>
      </c>
      <c r="CR209" s="24">
        <f t="shared" ref="CR209" si="2074">CQ161</f>
        <v>182.81526199769493</v>
      </c>
      <c r="CS209" s="24">
        <f t="shared" ref="CS209" si="2075">CR161</f>
        <v>16.150731235178796</v>
      </c>
      <c r="CT209" s="24">
        <f t="shared" ref="CT209" si="2076">CS161</f>
        <v>22.796609538572653</v>
      </c>
      <c r="CU209" s="24">
        <f t="shared" ref="CU209" si="2077">CT161</f>
        <v>40.462819773415774</v>
      </c>
      <c r="CV209" s="24">
        <f t="shared" ref="CV209" si="2078">CU161</f>
        <v>221.58068924086677</v>
      </c>
      <c r="CW209" s="24">
        <f t="shared" ref="CW209" si="2079">CV161</f>
        <v>19.295976715832211</v>
      </c>
      <c r="CX209" s="24">
        <f t="shared" ref="CX209" si="2080">CW161</f>
        <v>25.978296034568629</v>
      </c>
      <c r="CY209" s="24">
        <f t="shared" ref="CY209" si="2081">CX161</f>
        <v>46.229235882844947</v>
      </c>
      <c r="CZ209" s="24">
        <f t="shared" ref="CZ209" si="2082">CY161</f>
        <v>261.72631878599481</v>
      </c>
      <c r="DA209" s="24">
        <f t="shared" ref="DA209" si="2083">CZ161</f>
        <v>18.720573188688775</v>
      </c>
      <c r="DB209" s="24">
        <f t="shared" ref="DB209" si="2084">DA161</f>
        <v>26.013643595504774</v>
      </c>
      <c r="DE209" s="123"/>
      <c r="DF209" s="23">
        <v>5.0599999999999996</v>
      </c>
    </row>
    <row r="210" spans="1:110" s="23" customFormat="1" x14ac:dyDescent="0.2">
      <c r="A210" s="23" t="s">
        <v>443</v>
      </c>
      <c r="C210" s="23">
        <f t="shared" ref="C210:W210" si="2085">C209+C205+C201+C199</f>
        <v>0</v>
      </c>
      <c r="D210" s="23">
        <f t="shared" si="2085"/>
        <v>0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0</v>
      </c>
      <c r="I210" s="23">
        <f t="shared" si="2085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85"/>
        <v>0</v>
      </c>
      <c r="O210" s="23">
        <f t="shared" si="2085"/>
        <v>0</v>
      </c>
      <c r="P210" s="23">
        <f t="shared" si="2085"/>
        <v>0</v>
      </c>
      <c r="Q210" s="23">
        <f t="shared" si="2085"/>
        <v>0</v>
      </c>
      <c r="R210" s="23">
        <f t="shared" si="2085"/>
        <v>0</v>
      </c>
      <c r="S210" s="23">
        <f t="shared" si="2085"/>
        <v>0</v>
      </c>
      <c r="T210" s="23">
        <f t="shared" si="2085"/>
        <v>0</v>
      </c>
      <c r="U210" s="23">
        <f t="shared" si="2085"/>
        <v>0</v>
      </c>
      <c r="V210" s="23">
        <f t="shared" si="2085"/>
        <v>5.1849000000000001E-3</v>
      </c>
      <c r="W210" s="23">
        <f t="shared" si="2085"/>
        <v>5.1849000000000001E-3</v>
      </c>
      <c r="X210" s="23">
        <f t="shared" ref="X210:Y210" si="2086">X209+X205+X201+X199</f>
        <v>0</v>
      </c>
      <c r="Y210" s="23">
        <f t="shared" si="2086"/>
        <v>11.960000000000321</v>
      </c>
      <c r="Z210" s="23">
        <f t="shared" ref="Z210:AA210" si="2087">Z209+Z205+Z201+Z199</f>
        <v>5.0599999999998886</v>
      </c>
      <c r="AA210" s="23">
        <f t="shared" ref="AA210" si="2088">AA209+AA205+AA201+AA199</f>
        <v>17.439999999999941</v>
      </c>
      <c r="AB210" s="24">
        <f t="shared" ref="AB210:AD210" si="2089">AB209+AB205+AB201+AB199</f>
        <v>30.736406407997521</v>
      </c>
      <c r="AC210" s="24">
        <f t="shared" si="2089"/>
        <v>40.462819773415987</v>
      </c>
      <c r="AD210" s="24">
        <f t="shared" si="2089"/>
        <v>46.229235882845231</v>
      </c>
      <c r="AE210" s="24">
        <f t="shared" ref="AE210" si="2090">AE209+AE205+AE201+AE199</f>
        <v>49.612496076663874</v>
      </c>
      <c r="AI210" s="23">
        <f t="shared" ref="AI210" si="2091">AI209+AI205+AI201+AI199</f>
        <v>0</v>
      </c>
      <c r="AJ210" s="23">
        <f t="shared" ref="AJ210:AL210" si="2092">AJ209+AJ205+AJ201+AJ199</f>
        <v>0</v>
      </c>
      <c r="AK210" s="23" t="e">
        <f t="shared" si="2092"/>
        <v>#DIV/0!</v>
      </c>
      <c r="AL210" s="23" t="e">
        <f t="shared" si="2092"/>
        <v>#DIV/0!</v>
      </c>
      <c r="AM210" s="23" t="e">
        <f t="shared" ref="AM210" si="2093">AM209+AM205+AM201+AM199</f>
        <v>#DIV/0!</v>
      </c>
      <c r="AN210" s="23" t="e">
        <f t="shared" ref="AN210:CD210" si="2094">AN209+AN205+AN201+AN199</f>
        <v>#DIV/0!</v>
      </c>
      <c r="AO210" s="23" t="e">
        <f t="shared" si="2094"/>
        <v>#DIV/0!</v>
      </c>
      <c r="AP210" s="23" t="e">
        <f t="shared" si="2094"/>
        <v>#DIV/0!</v>
      </c>
      <c r="AQ210" s="23" t="e">
        <f t="shared" si="2094"/>
        <v>#DIV/0!</v>
      </c>
      <c r="AR210" s="23" t="e">
        <f t="shared" si="2094"/>
        <v>#DIV/0!</v>
      </c>
      <c r="AS210" s="23" t="e">
        <f t="shared" si="2094"/>
        <v>#DIV/0!</v>
      </c>
      <c r="AT210" s="23" t="e">
        <f t="shared" si="2094"/>
        <v>#DIV/0!</v>
      </c>
      <c r="AU210" s="23" t="e">
        <f t="shared" si="2094"/>
        <v>#DIV/0!</v>
      </c>
      <c r="AV210" s="23" t="e">
        <f t="shared" si="2094"/>
        <v>#DIV/0!</v>
      </c>
      <c r="AW210" s="23" t="e">
        <f t="shared" si="2094"/>
        <v>#DIV/0!</v>
      </c>
      <c r="AX210" s="23" t="e">
        <f t="shared" si="2094"/>
        <v>#DIV/0!</v>
      </c>
      <c r="AY210" s="23" t="e">
        <f t="shared" si="2094"/>
        <v>#DIV/0!</v>
      </c>
      <c r="AZ210" s="23" t="e">
        <f t="shared" si="2094"/>
        <v>#DIV/0!</v>
      </c>
      <c r="BA210" s="23" t="e">
        <f t="shared" si="2094"/>
        <v>#DIV/0!</v>
      </c>
      <c r="BB210" s="23" t="e">
        <f t="shared" si="2094"/>
        <v>#DIV/0!</v>
      </c>
      <c r="BC210" s="23" t="e">
        <f t="shared" si="2094"/>
        <v>#DIV/0!</v>
      </c>
      <c r="BD210" s="23" t="e">
        <f t="shared" si="2094"/>
        <v>#DIV/0!</v>
      </c>
      <c r="BE210" s="23" t="e">
        <f t="shared" si="2094"/>
        <v>#DIV/0!</v>
      </c>
      <c r="BF210" s="23" t="e">
        <f t="shared" si="2094"/>
        <v>#DIV/0!</v>
      </c>
      <c r="BG210" s="23" t="e">
        <f t="shared" si="2094"/>
        <v>#DIV/0!</v>
      </c>
      <c r="BH210" s="23" t="e">
        <f t="shared" si="2094"/>
        <v>#DIV/0!</v>
      </c>
      <c r="BI210" s="23" t="e">
        <f t="shared" si="2094"/>
        <v>#DIV/0!</v>
      </c>
      <c r="BJ210" s="23" t="e">
        <f t="shared" si="2094"/>
        <v>#DIV/0!</v>
      </c>
      <c r="BK210" s="23" t="e">
        <f t="shared" si="2094"/>
        <v>#DIV/0!</v>
      </c>
      <c r="BL210" s="23" t="e">
        <f t="shared" si="2094"/>
        <v>#DIV/0!</v>
      </c>
      <c r="BM210" s="23" t="e">
        <f t="shared" si="2094"/>
        <v>#DIV/0!</v>
      </c>
      <c r="BN210" s="23" t="e">
        <f t="shared" si="2094"/>
        <v>#DIV/0!</v>
      </c>
      <c r="BO210" s="23" t="e">
        <f t="shared" si="2094"/>
        <v>#DIV/0!</v>
      </c>
      <c r="BP210" s="23" t="e">
        <f t="shared" si="2094"/>
        <v>#DIV/0!</v>
      </c>
      <c r="BQ210" s="23" t="e">
        <f t="shared" si="2094"/>
        <v>#DIV/0!</v>
      </c>
      <c r="BR210" s="23" t="e">
        <f t="shared" si="2094"/>
        <v>#DIV/0!</v>
      </c>
      <c r="BS210" s="23" t="e">
        <f t="shared" si="2094"/>
        <v>#DIV/0!</v>
      </c>
      <c r="BT210" s="23" t="e">
        <f t="shared" si="2094"/>
        <v>#DIV/0!</v>
      </c>
      <c r="BU210" s="23" t="e">
        <f t="shared" si="2094"/>
        <v>#DIV/0!</v>
      </c>
      <c r="BV210" s="23" t="e">
        <f t="shared" si="2094"/>
        <v>#DIV/0!</v>
      </c>
      <c r="BW210" s="23" t="e">
        <f t="shared" si="2094"/>
        <v>#DIV/0!</v>
      </c>
      <c r="BX210" s="23" t="e">
        <f t="shared" si="2094"/>
        <v>#DIV/0!</v>
      </c>
      <c r="BY210" s="23" t="e">
        <f t="shared" si="2094"/>
        <v>#DIV/0!</v>
      </c>
      <c r="BZ210" s="23" t="e">
        <f t="shared" si="2094"/>
        <v>#DIV/0!</v>
      </c>
      <c r="CA210" s="23" t="e">
        <f t="shared" si="2094"/>
        <v>#DIV/0!</v>
      </c>
      <c r="CB210" s="23" t="e">
        <f t="shared" si="2094"/>
        <v>#DIV/0!</v>
      </c>
      <c r="CC210" s="23">
        <f t="shared" si="2094"/>
        <v>76.45390608775908</v>
      </c>
      <c r="CD210" s="23">
        <f t="shared" si="2094"/>
        <v>11.960000000000306</v>
      </c>
      <c r="CE210" s="23">
        <f t="shared" ref="CE210:CF210" si="2095">CE209+CE205+CE201+CE199</f>
        <v>21.029692119517712</v>
      </c>
      <c r="CF210" s="23">
        <f t="shared" si="2095"/>
        <v>106.29999999999995</v>
      </c>
      <c r="CG210" s="23">
        <f t="shared" ref="CG210:CH210" si="2096">CG209+CG205+CG201+CG199</f>
        <v>135.05233405554466</v>
      </c>
      <c r="CH210" s="23">
        <f t="shared" si="2096"/>
        <v>5.0600000000000449</v>
      </c>
      <c r="CI210" s="23">
        <f t="shared" ref="CI210:CJ210" si="2097">CI209+CI205+CI201+CI199</f>
        <v>56.53358626282575</v>
      </c>
      <c r="CJ210" s="23">
        <f t="shared" si="2097"/>
        <v>7.5400000000001306</v>
      </c>
      <c r="CK210" s="24">
        <f t="shared" ref="CK210:DB210" si="2098">CK209+CK205+CK201+CK199</f>
        <v>5.937816826411269</v>
      </c>
      <c r="CL210" s="23">
        <f t="shared" si="2098"/>
        <v>17.439999999999714</v>
      </c>
      <c r="CM210" s="24">
        <f t="shared" si="2098"/>
        <v>138.75188675658811</v>
      </c>
      <c r="CN210" s="24">
        <f t="shared" si="2098"/>
        <v>6.9793259857844561</v>
      </c>
      <c r="CO210" s="24">
        <f t="shared" si="2098"/>
        <v>15.078653516255002</v>
      </c>
      <c r="CP210" s="24">
        <f t="shared" si="2098"/>
        <v>30.736406407997407</v>
      </c>
      <c r="CQ210" s="24">
        <f t="shared" si="2098"/>
        <v>182.81526199769493</v>
      </c>
      <c r="CR210" s="24">
        <f t="shared" si="2098"/>
        <v>16.150731235178796</v>
      </c>
      <c r="CS210" s="24">
        <f t="shared" si="2098"/>
        <v>22.796609538572653</v>
      </c>
      <c r="CT210" s="24">
        <f t="shared" si="2098"/>
        <v>40.462819773415774</v>
      </c>
      <c r="CU210" s="24">
        <f t="shared" si="2098"/>
        <v>221.58068924086677</v>
      </c>
      <c r="CV210" s="24">
        <f t="shared" si="2098"/>
        <v>19.295976715832211</v>
      </c>
      <c r="CW210" s="24">
        <f t="shared" si="2098"/>
        <v>25.978296034568629</v>
      </c>
      <c r="CX210" s="24">
        <f t="shared" si="2098"/>
        <v>46.229235882844947</v>
      </c>
      <c r="CY210" s="24">
        <f t="shared" si="2098"/>
        <v>261.72631878599481</v>
      </c>
      <c r="CZ210" s="24">
        <f t="shared" si="2098"/>
        <v>18.720573188688775</v>
      </c>
      <c r="DA210" s="24">
        <f t="shared" si="2098"/>
        <v>26.013643595504774</v>
      </c>
      <c r="DB210" s="24">
        <f t="shared" si="2098"/>
        <v>49.612496076663817</v>
      </c>
      <c r="DE210" s="123"/>
      <c r="DF210" s="23">
        <v>17.439999999999827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0</v>
      </c>
      <c r="M211" s="28">
        <f t="shared" si="2099"/>
        <v>0</v>
      </c>
      <c r="N211" s="28">
        <f t="shared" si="2099"/>
        <v>0</v>
      </c>
      <c r="O211" s="28">
        <f t="shared" si="2099"/>
        <v>0</v>
      </c>
      <c r="P211" s="28">
        <f t="shared" si="2099"/>
        <v>0</v>
      </c>
      <c r="Q211" s="28">
        <f t="shared" si="2099"/>
        <v>0</v>
      </c>
      <c r="R211" s="28">
        <f t="shared" si="2099"/>
        <v>0</v>
      </c>
      <c r="S211" s="28">
        <f t="shared" si="2099"/>
        <v>0</v>
      </c>
      <c r="T211" s="28">
        <f t="shared" si="2099"/>
        <v>0</v>
      </c>
      <c r="U211" s="28">
        <f t="shared" si="2099"/>
        <v>0</v>
      </c>
      <c r="V211" s="28">
        <f t="shared" si="2099"/>
        <v>0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3.1974423109204508E-13</v>
      </c>
      <c r="Z211" s="28">
        <f t="shared" ref="Z211:AA211" si="2101">Z210-Z161</f>
        <v>-1.1102230246251565E-13</v>
      </c>
      <c r="AA211" s="28">
        <f t="shared" ref="AA211" si="2102">AA210-AA161</f>
        <v>-5.6843418860808015E-14</v>
      </c>
      <c r="AB211" s="30">
        <f t="shared" ref="AB211:AD211" si="2103">AB210-AB161</f>
        <v>1.1368683772161603E-13</v>
      </c>
      <c r="AC211" s="30">
        <f t="shared" si="2103"/>
        <v>2.1316282072803006E-13</v>
      </c>
      <c r="AD211" s="30">
        <f t="shared" si="2103"/>
        <v>2.8421709430404007E-13</v>
      </c>
      <c r="AE211" s="30">
        <f t="shared" ref="AE211" si="2104">AE210-AE161</f>
        <v>5.6843418860808015E-14</v>
      </c>
      <c r="AI211" s="28">
        <f t="shared" ref="AI211" si="2105">AI210-AI161</f>
        <v>0</v>
      </c>
      <c r="AJ211" s="28">
        <f t="shared" ref="AJ211:AL211" si="2106">AJ210-AJ161</f>
        <v>0</v>
      </c>
      <c r="AK211" s="28" t="e">
        <f t="shared" si="2106"/>
        <v>#DIV/0!</v>
      </c>
      <c r="AL211" s="28" t="e">
        <f t="shared" si="2106"/>
        <v>#DIV/0!</v>
      </c>
      <c r="AM211" s="28" t="e">
        <f t="shared" ref="AM211" si="2107">AM210-AM161</f>
        <v>#DIV/0!</v>
      </c>
      <c r="AN211" s="28" t="e">
        <f t="shared" ref="AN211:CD211" si="2108">AN210-AN161</f>
        <v>#DIV/0!</v>
      </c>
      <c r="AO211" s="28" t="e">
        <f t="shared" si="2108"/>
        <v>#DIV/0!</v>
      </c>
      <c r="AP211" s="28" t="e">
        <f t="shared" si="2108"/>
        <v>#DIV/0!</v>
      </c>
      <c r="AQ211" s="28" t="e">
        <f t="shared" si="2108"/>
        <v>#DIV/0!</v>
      </c>
      <c r="AR211" s="28" t="e">
        <f t="shared" si="2108"/>
        <v>#DIV/0!</v>
      </c>
      <c r="AS211" s="28" t="e">
        <f t="shared" si="2108"/>
        <v>#DIV/0!</v>
      </c>
      <c r="AT211" s="28" t="e">
        <f t="shared" si="2108"/>
        <v>#DIV/0!</v>
      </c>
      <c r="AU211" s="28" t="e">
        <f t="shared" si="2108"/>
        <v>#DIV/0!</v>
      </c>
      <c r="AV211" s="28" t="e">
        <f t="shared" si="2108"/>
        <v>#DIV/0!</v>
      </c>
      <c r="AW211" s="28" t="e">
        <f t="shared" si="2108"/>
        <v>#DIV/0!</v>
      </c>
      <c r="AX211" s="28" t="e">
        <f t="shared" si="2108"/>
        <v>#DIV/0!</v>
      </c>
      <c r="AY211" s="28" t="e">
        <f t="shared" si="2108"/>
        <v>#DIV/0!</v>
      </c>
      <c r="AZ211" s="28" t="e">
        <f t="shared" si="2108"/>
        <v>#DIV/0!</v>
      </c>
      <c r="BA211" s="28" t="e">
        <f t="shared" si="2108"/>
        <v>#DIV/0!</v>
      </c>
      <c r="BB211" s="28" t="e">
        <f t="shared" si="2108"/>
        <v>#DIV/0!</v>
      </c>
      <c r="BC211" s="28" t="e">
        <f t="shared" si="2108"/>
        <v>#DIV/0!</v>
      </c>
      <c r="BD211" s="28" t="e">
        <f t="shared" si="2108"/>
        <v>#DIV/0!</v>
      </c>
      <c r="BE211" s="28" t="e">
        <f t="shared" si="2108"/>
        <v>#DIV/0!</v>
      </c>
      <c r="BF211" s="28" t="e">
        <f t="shared" si="2108"/>
        <v>#DIV/0!</v>
      </c>
      <c r="BG211" s="28" t="e">
        <f t="shared" si="2108"/>
        <v>#DIV/0!</v>
      </c>
      <c r="BH211" s="28" t="e">
        <f t="shared" si="2108"/>
        <v>#DIV/0!</v>
      </c>
      <c r="BI211" s="28" t="e">
        <f t="shared" si="2108"/>
        <v>#DIV/0!</v>
      </c>
      <c r="BJ211" s="28" t="e">
        <f t="shared" si="2108"/>
        <v>#DIV/0!</v>
      </c>
      <c r="BK211" s="28" t="e">
        <f t="shared" si="2108"/>
        <v>#DIV/0!</v>
      </c>
      <c r="BL211" s="28" t="e">
        <f t="shared" si="2108"/>
        <v>#DIV/0!</v>
      </c>
      <c r="BM211" s="28" t="e">
        <f t="shared" si="2108"/>
        <v>#DIV/0!</v>
      </c>
      <c r="BN211" s="28" t="e">
        <f t="shared" si="2108"/>
        <v>#DIV/0!</v>
      </c>
      <c r="BO211" s="28" t="e">
        <f t="shared" si="2108"/>
        <v>#DIV/0!</v>
      </c>
      <c r="BP211" s="28" t="e">
        <f t="shared" si="2108"/>
        <v>#DIV/0!</v>
      </c>
      <c r="BQ211" s="28" t="e">
        <f t="shared" si="2108"/>
        <v>#DIV/0!</v>
      </c>
      <c r="BR211" s="28" t="e">
        <f t="shared" si="2108"/>
        <v>#DIV/0!</v>
      </c>
      <c r="BS211" s="28" t="e">
        <f t="shared" si="2108"/>
        <v>#DIV/0!</v>
      </c>
      <c r="BT211" s="28" t="e">
        <f t="shared" si="2108"/>
        <v>#DIV/0!</v>
      </c>
      <c r="BU211" s="28" t="e">
        <f t="shared" si="2108"/>
        <v>#DIV/0!</v>
      </c>
      <c r="BV211" s="28" t="e">
        <f t="shared" si="2108"/>
        <v>#DIV/0!</v>
      </c>
      <c r="BW211" s="28" t="e">
        <f t="shared" si="2108"/>
        <v>#DIV/0!</v>
      </c>
      <c r="BX211" s="28" t="e">
        <f t="shared" si="2108"/>
        <v>#DIV/0!</v>
      </c>
      <c r="BY211" s="28" t="e">
        <f t="shared" si="2108"/>
        <v>#DIV/0!</v>
      </c>
      <c r="BZ211" s="28" t="e">
        <f t="shared" si="2108"/>
        <v>#DIV/0!</v>
      </c>
      <c r="CA211" s="28" t="e">
        <f t="shared" si="2108"/>
        <v>#DIV/0!</v>
      </c>
      <c r="CB211" s="28" t="e">
        <f t="shared" si="2108"/>
        <v>#DIV/0!</v>
      </c>
      <c r="CC211" s="28">
        <f t="shared" si="2108"/>
        <v>0</v>
      </c>
      <c r="CD211" s="28">
        <f t="shared" si="2108"/>
        <v>3.0553337637684308E-13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4.5297099404706387E-14</v>
      </c>
      <c r="CI211" s="28">
        <f t="shared" ref="CI211:CJ211" si="2111">CI210-CI161</f>
        <v>0</v>
      </c>
      <c r="CJ211" s="28">
        <f t="shared" si="2111"/>
        <v>1.3056222769591841E-13</v>
      </c>
      <c r="CK211" s="30">
        <f t="shared" ref="CK211:DB211" si="2112">CK210-CK161</f>
        <v>0</v>
      </c>
      <c r="CL211" s="28">
        <f t="shared" si="2112"/>
        <v>-2.8421709430404007E-13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-1.7053025658242404E-13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0</v>
      </c>
      <c r="D213" s="22">
        <f t="shared" si="2113"/>
        <v>0</v>
      </c>
      <c r="E213" s="22">
        <f t="shared" si="2113"/>
        <v>0</v>
      </c>
      <c r="F213" s="22">
        <f t="shared" si="2113"/>
        <v>0</v>
      </c>
      <c r="G213" s="22">
        <f t="shared" si="2113"/>
        <v>0</v>
      </c>
      <c r="H213" s="22">
        <f t="shared" si="2113"/>
        <v>0</v>
      </c>
      <c r="I213" s="22">
        <f t="shared" si="2113"/>
        <v>0</v>
      </c>
      <c r="J213" s="22">
        <f>J199+J201</f>
        <v>0</v>
      </c>
      <c r="K213" s="22">
        <f t="shared" si="2113"/>
        <v>0</v>
      </c>
      <c r="L213" s="22">
        <f t="shared" si="2113"/>
        <v>0</v>
      </c>
      <c r="M213" s="22">
        <f t="shared" si="2113"/>
        <v>0</v>
      </c>
      <c r="N213" s="22">
        <f t="shared" si="2113"/>
        <v>0</v>
      </c>
      <c r="O213" s="22">
        <f t="shared" si="2113"/>
        <v>0</v>
      </c>
      <c r="P213" s="22">
        <f t="shared" si="2113"/>
        <v>0</v>
      </c>
      <c r="Q213" s="22">
        <f t="shared" si="2113"/>
        <v>0</v>
      </c>
      <c r="R213" s="22">
        <f t="shared" si="2113"/>
        <v>0</v>
      </c>
      <c r="S213" s="22">
        <f t="shared" si="2113"/>
        <v>0</v>
      </c>
      <c r="T213" s="22">
        <f t="shared" si="2113"/>
        <v>0</v>
      </c>
      <c r="U213" s="22">
        <f t="shared" si="2113"/>
        <v>0</v>
      </c>
      <c r="V213" s="22">
        <f t="shared" si="2113"/>
        <v>-4.8151000000000001E-3</v>
      </c>
      <c r="W213" s="22">
        <f t="shared" si="2113"/>
        <v>0</v>
      </c>
      <c r="X213" s="22">
        <f t="shared" ref="X213:Y213" si="2114">X199+X201</f>
        <v>-1.218E-2</v>
      </c>
      <c r="Y213" s="22">
        <f t="shared" si="2114"/>
        <v>-1420.3999999999996</v>
      </c>
      <c r="Z213" s="22">
        <f t="shared" ref="Z213:AA213" si="2115">Z199+Z201</f>
        <v>5.9000000000000341</v>
      </c>
      <c r="AA213" s="22">
        <f t="shared" ref="AA213" si="2116">AA199+AA201</f>
        <v>-52.770000000000095</v>
      </c>
      <c r="AB213" s="21">
        <f t="shared" ref="AB213:AD213" si="2117">AB199+AB201</f>
        <v>12.686406407997538</v>
      </c>
      <c r="AC213" s="21">
        <f t="shared" si="2117"/>
        <v>9.7264133654183524</v>
      </c>
      <c r="AD213" s="21">
        <f t="shared" si="2117"/>
        <v>5.766416109429457</v>
      </c>
      <c r="AE213" s="21">
        <f t="shared" ref="AE213" si="2118">AE199+AE201</f>
        <v>3.3832601938186997</v>
      </c>
      <c r="AI213" s="22">
        <f t="shared" ref="AI213" si="2119">AI199+AI201</f>
        <v>0</v>
      </c>
      <c r="AJ213" s="22">
        <f t="shared" ref="AJ213:AL213" si="2120">AJ199+AJ201</f>
        <v>0</v>
      </c>
      <c r="AK213" s="22" t="e">
        <f t="shared" si="2120"/>
        <v>#DIV/0!</v>
      </c>
      <c r="AL213" s="22" t="e">
        <f t="shared" si="2120"/>
        <v>#DIV/0!</v>
      </c>
      <c r="AM213" s="22" t="e">
        <f t="shared" ref="AM213" si="2121">AM199+AM201</f>
        <v>#DIV/0!</v>
      </c>
      <c r="AN213" s="22" t="e">
        <f t="shared" ref="AN213:CD213" si="2122">AN199+AN201</f>
        <v>#DIV/0!</v>
      </c>
      <c r="AO213" s="22" t="e">
        <f t="shared" si="2122"/>
        <v>#DIV/0!</v>
      </c>
      <c r="AP213" s="22" t="e">
        <f t="shared" si="2122"/>
        <v>#DIV/0!</v>
      </c>
      <c r="AQ213" s="22" t="e">
        <f t="shared" si="2122"/>
        <v>#DIV/0!</v>
      </c>
      <c r="AR213" s="22" t="e">
        <f t="shared" si="2122"/>
        <v>#DIV/0!</v>
      </c>
      <c r="AS213" s="22" t="e">
        <f t="shared" si="2122"/>
        <v>#DIV/0!</v>
      </c>
      <c r="AT213" s="22" t="e">
        <f t="shared" si="2122"/>
        <v>#DIV/0!</v>
      </c>
      <c r="AU213" s="22" t="e">
        <f t="shared" si="2122"/>
        <v>#DIV/0!</v>
      </c>
      <c r="AV213" s="22" t="e">
        <f t="shared" si="2122"/>
        <v>#DIV/0!</v>
      </c>
      <c r="AW213" s="22" t="e">
        <f t="shared" si="2122"/>
        <v>#DIV/0!</v>
      </c>
      <c r="AX213" s="22" t="e">
        <f t="shared" si="2122"/>
        <v>#DIV/0!</v>
      </c>
      <c r="AY213" s="22" t="e">
        <f t="shared" si="2122"/>
        <v>#DIV/0!</v>
      </c>
      <c r="AZ213" s="22" t="e">
        <f t="shared" si="2122"/>
        <v>#DIV/0!</v>
      </c>
      <c r="BA213" s="22" t="e">
        <f t="shared" si="2122"/>
        <v>#DIV/0!</v>
      </c>
      <c r="BB213" s="22" t="e">
        <f t="shared" si="2122"/>
        <v>#DIV/0!</v>
      </c>
      <c r="BC213" s="22" t="e">
        <f t="shared" si="2122"/>
        <v>#DIV/0!</v>
      </c>
      <c r="BD213" s="22" t="e">
        <f t="shared" si="2122"/>
        <v>#DIV/0!</v>
      </c>
      <c r="BE213" s="22" t="e">
        <f t="shared" si="2122"/>
        <v>#DIV/0!</v>
      </c>
      <c r="BF213" s="22" t="e">
        <f t="shared" si="2122"/>
        <v>#DIV/0!</v>
      </c>
      <c r="BG213" s="22" t="e">
        <f t="shared" si="2122"/>
        <v>#DIV/0!</v>
      </c>
      <c r="BH213" s="22" t="e">
        <f t="shared" si="2122"/>
        <v>#DIV/0!</v>
      </c>
      <c r="BI213" s="22" t="e">
        <f t="shared" si="2122"/>
        <v>#DIV/0!</v>
      </c>
      <c r="BJ213" s="22" t="e">
        <f t="shared" si="2122"/>
        <v>#DIV/0!</v>
      </c>
      <c r="BK213" s="22" t="e">
        <f t="shared" si="2122"/>
        <v>#DIV/0!</v>
      </c>
      <c r="BL213" s="22" t="e">
        <f t="shared" si="2122"/>
        <v>#DIV/0!</v>
      </c>
      <c r="BM213" s="22" t="e">
        <f t="shared" si="2122"/>
        <v>#DIV/0!</v>
      </c>
      <c r="BN213" s="22" t="e">
        <f t="shared" si="2122"/>
        <v>#DIV/0!</v>
      </c>
      <c r="BO213" s="22" t="e">
        <f t="shared" si="2122"/>
        <v>#DIV/0!</v>
      </c>
      <c r="BP213" s="22" t="e">
        <f t="shared" si="2122"/>
        <v>#DIV/0!</v>
      </c>
      <c r="BQ213" s="22" t="e">
        <f t="shared" si="2122"/>
        <v>#DIV/0!</v>
      </c>
      <c r="BR213" s="22" t="e">
        <f t="shared" si="2122"/>
        <v>#DIV/0!</v>
      </c>
      <c r="BS213" s="22" t="e">
        <f t="shared" si="2122"/>
        <v>#DIV/0!</v>
      </c>
      <c r="BT213" s="22" t="e">
        <f t="shared" si="2122"/>
        <v>#DIV/0!</v>
      </c>
      <c r="BU213" s="22" t="e">
        <f t="shared" si="2122"/>
        <v>#DIV/0!</v>
      </c>
      <c r="BV213" s="22" t="e">
        <f t="shared" si="2122"/>
        <v>#DIV/0!</v>
      </c>
      <c r="BW213" s="22" t="e">
        <f t="shared" si="2122"/>
        <v>#DIV/0!</v>
      </c>
      <c r="BX213" s="22" t="e">
        <f t="shared" si="2122"/>
        <v>#DIV/0!</v>
      </c>
      <c r="BY213" s="22" t="e">
        <f t="shared" si="2122"/>
        <v>#DIV/0!</v>
      </c>
      <c r="BZ213" s="22" t="e">
        <f t="shared" si="2122"/>
        <v>#DIV/0!</v>
      </c>
      <c r="CA213" s="22" t="e">
        <f t="shared" si="2122"/>
        <v>#DIV/0!</v>
      </c>
      <c r="CB213" s="22" t="e">
        <f t="shared" si="2122"/>
        <v>#DIV/0!</v>
      </c>
      <c r="CC213" s="22">
        <f t="shared" si="2122"/>
        <v>24.663906087759081</v>
      </c>
      <c r="CD213" s="22">
        <f t="shared" si="2122"/>
        <v>-70.643906087758836</v>
      </c>
      <c r="CE213" s="22">
        <f t="shared" ref="CE213:CF213" si="2123">CE199+CE201</f>
        <v>9.0696921195177111</v>
      </c>
      <c r="CF213" s="22">
        <f t="shared" si="2123"/>
        <v>147.0703078804822</v>
      </c>
      <c r="CG213" s="22">
        <f t="shared" ref="CG213:CH213" si="2124">CG199+CG201</f>
        <v>28.752334055544651</v>
      </c>
      <c r="CH213" s="22">
        <f t="shared" si="2124"/>
        <v>-178.82233405554467</v>
      </c>
      <c r="CI213" s="22">
        <f t="shared" ref="CI213:CJ213" si="2125">CI199+CI201</f>
        <v>51.473586262825748</v>
      </c>
      <c r="CJ213" s="22">
        <f t="shared" si="2125"/>
        <v>-37.94358626282569</v>
      </c>
      <c r="CK213" s="21">
        <f t="shared" ref="CK213:DB213" si="2126">CK199+CK201</f>
        <v>-1.6021831735887311</v>
      </c>
      <c r="CL213" s="22">
        <f t="shared" si="2126"/>
        <v>-65.307816826411269</v>
      </c>
      <c r="CM213" s="21">
        <f t="shared" si="2126"/>
        <v>121.31188675658811</v>
      </c>
      <c r="CN213" s="21">
        <f t="shared" si="2126"/>
        <v>-131.77256077080364</v>
      </c>
      <c r="CO213" s="21">
        <f t="shared" si="2126"/>
        <v>8.0993275304705463</v>
      </c>
      <c r="CP213" s="21">
        <f t="shared" si="2126"/>
        <v>15.657752891742405</v>
      </c>
      <c r="CQ213" s="21">
        <f t="shared" si="2126"/>
        <v>152.07885558969753</v>
      </c>
      <c r="CR213" s="21">
        <f t="shared" si="2126"/>
        <v>-166.66453076251614</v>
      </c>
      <c r="CS213" s="21">
        <f t="shared" si="2126"/>
        <v>6.6458783033938573</v>
      </c>
      <c r="CT213" s="21">
        <f t="shared" si="2126"/>
        <v>17.66621023484312</v>
      </c>
      <c r="CU213" s="21">
        <f t="shared" si="2126"/>
        <v>181.11786946745099</v>
      </c>
      <c r="CV213" s="21">
        <f t="shared" si="2126"/>
        <v>-202.28471252503456</v>
      </c>
      <c r="CW213" s="21">
        <f t="shared" si="2126"/>
        <v>6.6823193187364183</v>
      </c>
      <c r="CX213" s="21">
        <f t="shared" si="2126"/>
        <v>20.250939848276317</v>
      </c>
      <c r="CY213" s="21">
        <f t="shared" si="2126"/>
        <v>215.49708290314987</v>
      </c>
      <c r="CZ213" s="21">
        <f t="shared" si="2126"/>
        <v>-243.00574559730603</v>
      </c>
      <c r="DA213" s="21">
        <f t="shared" si="2126"/>
        <v>7.2930704068157723</v>
      </c>
      <c r="DB213" s="21">
        <f t="shared" si="2126"/>
        <v>23.598852481159042</v>
      </c>
      <c r="DE213" s="126"/>
      <c r="DF213" s="22">
        <v>-53.380000000000194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0</v>
      </c>
      <c r="AM225" s="66">
        <f t="shared" si="2127"/>
        <v>0</v>
      </c>
      <c r="AN225" s="66">
        <f t="shared" si="2127"/>
        <v>0</v>
      </c>
      <c r="AO225" s="66">
        <f t="shared" si="2127"/>
        <v>0</v>
      </c>
      <c r="AP225" s="66">
        <f t="shared" si="2127"/>
        <v>0</v>
      </c>
      <c r="AQ225" s="66">
        <f t="shared" si="2127"/>
        <v>0</v>
      </c>
      <c r="AR225" s="66">
        <f t="shared" si="2127"/>
        <v>0</v>
      </c>
      <c r="AS225" s="66">
        <f t="shared" si="2127"/>
        <v>0</v>
      </c>
      <c r="AT225" s="66">
        <f t="shared" si="2127"/>
        <v>0</v>
      </c>
      <c r="AU225" s="66">
        <f t="shared" si="2127"/>
        <v>0</v>
      </c>
      <c r="AV225" s="66">
        <f t="shared" si="2127"/>
        <v>0</v>
      </c>
      <c r="AW225" s="66">
        <f t="shared" si="2127"/>
        <v>0</v>
      </c>
      <c r="AX225" s="66">
        <f t="shared" si="2127"/>
        <v>0</v>
      </c>
      <c r="AY225" s="66">
        <f t="shared" si="2127"/>
        <v>0</v>
      </c>
      <c r="AZ225" s="66">
        <f t="shared" si="2127"/>
        <v>0</v>
      </c>
      <c r="BA225" s="66">
        <f t="shared" si="2127"/>
        <v>0</v>
      </c>
      <c r="BB225" s="66">
        <f t="shared" si="2127"/>
        <v>0</v>
      </c>
      <c r="BC225" s="66">
        <f t="shared" si="2127"/>
        <v>0</v>
      </c>
      <c r="BD225" s="66">
        <f t="shared" si="2127"/>
        <v>0</v>
      </c>
      <c r="BE225" s="66">
        <f t="shared" si="2127"/>
        <v>0</v>
      </c>
      <c r="BF225" s="66">
        <f t="shared" si="2127"/>
        <v>0</v>
      </c>
      <c r="BG225" s="66">
        <f t="shared" si="2127"/>
        <v>0</v>
      </c>
      <c r="BH225" s="66">
        <f t="shared" si="2127"/>
        <v>0</v>
      </c>
      <c r="BI225" s="66">
        <f t="shared" si="2127"/>
        <v>0</v>
      </c>
      <c r="BJ225" s="66">
        <f t="shared" si="2127"/>
        <v>0</v>
      </c>
      <c r="BK225" s="66">
        <f t="shared" si="2127"/>
        <v>0</v>
      </c>
      <c r="BL225" s="66">
        <f t="shared" si="2127"/>
        <v>0</v>
      </c>
      <c r="BM225" s="66">
        <f t="shared" si="2127"/>
        <v>0</v>
      </c>
      <c r="BN225" s="66">
        <f t="shared" si="2127"/>
        <v>0</v>
      </c>
      <c r="BO225" s="66">
        <f t="shared" si="2127"/>
        <v>0</v>
      </c>
      <c r="BP225" s="66">
        <f t="shared" si="2127"/>
        <v>0</v>
      </c>
      <c r="BQ225" s="66">
        <f t="shared" si="2127"/>
        <v>0</v>
      </c>
      <c r="BR225" s="66">
        <f t="shared" ref="BR225:CW225" si="2128">SUM(BO10:BR10)</f>
        <v>0</v>
      </c>
      <c r="BS225" s="66">
        <f t="shared" si="2128"/>
        <v>0</v>
      </c>
      <c r="BT225" s="66">
        <f t="shared" si="2128"/>
        <v>0</v>
      </c>
      <c r="BU225" s="66">
        <f t="shared" si="2128"/>
        <v>0</v>
      </c>
      <c r="BV225" s="66">
        <f t="shared" si="2128"/>
        <v>0</v>
      </c>
      <c r="BW225" s="66">
        <f t="shared" si="2128"/>
        <v>0</v>
      </c>
      <c r="BX225" s="66">
        <f t="shared" si="2128"/>
        <v>0</v>
      </c>
      <c r="BY225" s="66">
        <f t="shared" si="2128"/>
        <v>0</v>
      </c>
      <c r="BZ225" s="66">
        <f t="shared" si="2128"/>
        <v>0</v>
      </c>
      <c r="CA225" s="66">
        <f t="shared" si="2128"/>
        <v>263.27999999999997</v>
      </c>
      <c r="CB225" s="66">
        <f t="shared" si="2128"/>
        <v>523.30999999999995</v>
      </c>
      <c r="CC225" s="66">
        <f t="shared" si="2128"/>
        <v>767.71999999999991</v>
      </c>
      <c r="CD225" s="66">
        <f t="shared" si="2128"/>
        <v>1053.8699999999999</v>
      </c>
      <c r="CE225" s="66">
        <f t="shared" si="2128"/>
        <v>1078.52</v>
      </c>
      <c r="CF225" s="66">
        <f t="shared" si="2128"/>
        <v>1123.1100000000001</v>
      </c>
      <c r="CG225" s="66">
        <f t="shared" si="2128"/>
        <v>1163.6999999999998</v>
      </c>
      <c r="CH225" s="66">
        <f t="shared" si="2128"/>
        <v>1161.1599999999999</v>
      </c>
      <c r="CI225" s="66">
        <f t="shared" si="2128"/>
        <v>1140.98</v>
      </c>
      <c r="CJ225" s="66">
        <f t="shared" si="2128"/>
        <v>1174.4000000000001</v>
      </c>
      <c r="CK225" s="50">
        <f t="shared" si="2128"/>
        <v>1238.52</v>
      </c>
      <c r="CL225" s="66">
        <f t="shared" si="2128"/>
        <v>1318.6</v>
      </c>
      <c r="CM225" s="50">
        <f t="shared" si="2128"/>
        <v>1355.2125375630828</v>
      </c>
      <c r="CN225" s="50">
        <f t="shared" si="2128"/>
        <v>1418.915668238609</v>
      </c>
      <c r="CO225" s="50">
        <f t="shared" si="2128"/>
        <v>1491.5790644415576</v>
      </c>
      <c r="CP225" s="50">
        <f t="shared" si="2128"/>
        <v>1565.7429647584968</v>
      </c>
      <c r="CQ225" s="50">
        <f t="shared" si="2128"/>
        <v>1621.8403025169835</v>
      </c>
      <c r="CR225" s="50">
        <f t="shared" si="2128"/>
        <v>1700.6636175495441</v>
      </c>
      <c r="CS225" s="50">
        <f t="shared" si="2128"/>
        <v>1784.2366063165971</v>
      </c>
      <c r="CT225" s="50">
        <f t="shared" si="2128"/>
        <v>1869.9001812766373</v>
      </c>
      <c r="CU225" s="50">
        <f t="shared" si="2128"/>
        <v>1939.6762322848319</v>
      </c>
      <c r="CV225" s="50">
        <f t="shared" si="2128"/>
        <v>2033.8149351919051</v>
      </c>
      <c r="CW225" s="50">
        <f t="shared" si="2128"/>
        <v>2132.7703317410883</v>
      </c>
      <c r="CX225" s="50">
        <f t="shared" ref="CX225:DB225" si="2129">SUM(CU10:CX10)</f>
        <v>2234.9771068522505</v>
      </c>
      <c r="CY225" s="50">
        <f t="shared" si="2129"/>
        <v>2318.9279870005375</v>
      </c>
      <c r="CZ225" s="50">
        <f t="shared" si="2129"/>
        <v>2431.2918435574297</v>
      </c>
      <c r="DA225" s="50">
        <f t="shared" si="2129"/>
        <v>2549.3875356603389</v>
      </c>
      <c r="DB225" s="50">
        <f t="shared" si="2129"/>
        <v>2671.6064794945059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0</v>
      </c>
      <c r="AM226" s="66">
        <f t="shared" si="2130"/>
        <v>0</v>
      </c>
      <c r="AN226" s="66">
        <f t="shared" si="2130"/>
        <v>0</v>
      </c>
      <c r="AO226" s="66">
        <f t="shared" si="2130"/>
        <v>0</v>
      </c>
      <c r="AP226" s="66">
        <f t="shared" si="2130"/>
        <v>0</v>
      </c>
      <c r="AQ226" s="66">
        <f t="shared" si="2130"/>
        <v>0</v>
      </c>
      <c r="AR226" s="66">
        <f t="shared" si="2130"/>
        <v>0</v>
      </c>
      <c r="AS226" s="66">
        <f t="shared" si="2130"/>
        <v>0</v>
      </c>
      <c r="AT226" s="66">
        <f t="shared" si="2130"/>
        <v>0</v>
      </c>
      <c r="AU226" s="66">
        <f t="shared" si="2130"/>
        <v>0</v>
      </c>
      <c r="AV226" s="66">
        <f t="shared" si="2130"/>
        <v>0</v>
      </c>
      <c r="AW226" s="66">
        <f t="shared" si="2130"/>
        <v>0</v>
      </c>
      <c r="AX226" s="66">
        <f t="shared" si="2130"/>
        <v>0</v>
      </c>
      <c r="AY226" s="66">
        <f t="shared" si="2130"/>
        <v>0</v>
      </c>
      <c r="AZ226" s="66">
        <f t="shared" si="2130"/>
        <v>0</v>
      </c>
      <c r="BA226" s="66">
        <f t="shared" si="2130"/>
        <v>0</v>
      </c>
      <c r="BB226" s="66">
        <f t="shared" si="2130"/>
        <v>0</v>
      </c>
      <c r="BC226" s="66">
        <f t="shared" si="2130"/>
        <v>0</v>
      </c>
      <c r="BD226" s="66">
        <f t="shared" si="2130"/>
        <v>0</v>
      </c>
      <c r="BE226" s="66">
        <f t="shared" si="2130"/>
        <v>0</v>
      </c>
      <c r="BF226" s="66">
        <f t="shared" si="2130"/>
        <v>0</v>
      </c>
      <c r="BG226" s="66">
        <f t="shared" si="2130"/>
        <v>0</v>
      </c>
      <c r="BH226" s="66">
        <f t="shared" si="2130"/>
        <v>0</v>
      </c>
      <c r="BI226" s="66">
        <f t="shared" si="2130"/>
        <v>0</v>
      </c>
      <c r="BJ226" s="66">
        <f t="shared" si="2130"/>
        <v>0</v>
      </c>
      <c r="BK226" s="66">
        <f t="shared" si="2130"/>
        <v>0</v>
      </c>
      <c r="BL226" s="66">
        <f t="shared" si="2130"/>
        <v>0</v>
      </c>
      <c r="BM226" s="66">
        <f t="shared" si="2130"/>
        <v>0</v>
      </c>
      <c r="BN226" s="66">
        <f t="shared" si="2130"/>
        <v>0</v>
      </c>
      <c r="BO226" s="66">
        <f t="shared" si="2130"/>
        <v>0</v>
      </c>
      <c r="BP226" s="66">
        <f t="shared" si="2130"/>
        <v>0</v>
      </c>
      <c r="BQ226" s="66">
        <f t="shared" si="2130"/>
        <v>0</v>
      </c>
      <c r="BR226" s="66">
        <f t="shared" ref="BR226:CW226" si="2131">SUM(BO28:BR28)</f>
        <v>0</v>
      </c>
      <c r="BS226" s="66">
        <f t="shared" si="2131"/>
        <v>0</v>
      </c>
      <c r="BT226" s="66">
        <f t="shared" si="2131"/>
        <v>0</v>
      </c>
      <c r="BU226" s="66">
        <f t="shared" si="2131"/>
        <v>0</v>
      </c>
      <c r="BV226" s="66">
        <f t="shared" si="2131"/>
        <v>0</v>
      </c>
      <c r="BW226" s="66">
        <f t="shared" si="2131"/>
        <v>0</v>
      </c>
      <c r="BX226" s="66">
        <f t="shared" si="2131"/>
        <v>0</v>
      </c>
      <c r="BY226" s="66">
        <f t="shared" si="2131"/>
        <v>0</v>
      </c>
      <c r="BZ226" s="66">
        <f t="shared" si="2131"/>
        <v>-0.01</v>
      </c>
      <c r="CA226" s="66">
        <f t="shared" si="2131"/>
        <v>16.289999999999981</v>
      </c>
      <c r="CB226" s="66">
        <f t="shared" si="2131"/>
        <v>36.739999999999981</v>
      </c>
      <c r="CC226" s="66">
        <f t="shared" si="2131"/>
        <v>55.299999999999976</v>
      </c>
      <c r="CD226" s="66">
        <f t="shared" si="2131"/>
        <v>83.629999999999967</v>
      </c>
      <c r="CE226" s="66">
        <f t="shared" si="2131"/>
        <v>95.72</v>
      </c>
      <c r="CF226" s="66">
        <f t="shared" si="2131"/>
        <v>102.38999999999999</v>
      </c>
      <c r="CG226" s="66">
        <f t="shared" si="2131"/>
        <v>107.26999999999997</v>
      </c>
      <c r="CH226" s="66">
        <f t="shared" si="2131"/>
        <v>109.71999999999998</v>
      </c>
      <c r="CI226" s="66">
        <f t="shared" si="2131"/>
        <v>111.32999999999994</v>
      </c>
      <c r="CJ226" s="66">
        <f t="shared" si="2131"/>
        <v>121.01999999999997</v>
      </c>
      <c r="CK226" s="50">
        <f t="shared" si="2131"/>
        <v>129.48999999999998</v>
      </c>
      <c r="CL226" s="66">
        <f t="shared" si="2131"/>
        <v>139.90999999999997</v>
      </c>
      <c r="CM226" s="50">
        <f t="shared" si="2131"/>
        <v>142.29373943236783</v>
      </c>
      <c r="CN226" s="50">
        <f t="shared" si="2131"/>
        <v>147.66154982605588</v>
      </c>
      <c r="CO226" s="50">
        <f t="shared" si="2131"/>
        <v>159.62151662379085</v>
      </c>
      <c r="CP226" s="50">
        <f t="shared" si="2131"/>
        <v>165.35325759853629</v>
      </c>
      <c r="CQ226" s="50">
        <f t="shared" si="2131"/>
        <v>171.04843132990229</v>
      </c>
      <c r="CR226" s="50">
        <f t="shared" si="2131"/>
        <v>179.54641074152039</v>
      </c>
      <c r="CS226" s="50">
        <f t="shared" si="2131"/>
        <v>189.02484475609</v>
      </c>
      <c r="CT226" s="50">
        <f t="shared" si="2131"/>
        <v>197.57224584659153</v>
      </c>
      <c r="CU226" s="50">
        <f t="shared" si="2131"/>
        <v>204.94889198478995</v>
      </c>
      <c r="CV226" s="50">
        <f t="shared" si="2131"/>
        <v>214.99405798144977</v>
      </c>
      <c r="CW226" s="50">
        <f t="shared" si="2131"/>
        <v>225.52580643762519</v>
      </c>
      <c r="CX226" s="50">
        <f t="shared" ref="CX226:DB226" si="2132">SUM(CU28:CX28)</f>
        <v>236.22238235319804</v>
      </c>
      <c r="CY226" s="50">
        <f t="shared" si="2132"/>
        <v>245.11101596667805</v>
      </c>
      <c r="CZ226" s="50">
        <f t="shared" si="2132"/>
        <v>257.01244953588298</v>
      </c>
      <c r="DA226" s="50">
        <f t="shared" si="2132"/>
        <v>269.49768811200693</v>
      </c>
      <c r="DB226" s="50">
        <f t="shared" si="2132"/>
        <v>282.39715920417711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0</v>
      </c>
      <c r="AM227" s="66">
        <f t="shared" si="2133"/>
        <v>0</v>
      </c>
      <c r="AN227" s="66">
        <f t="shared" si="2133"/>
        <v>0</v>
      </c>
      <c r="AO227" s="66">
        <f t="shared" si="2133"/>
        <v>0</v>
      </c>
      <c r="AP227" s="66">
        <f t="shared" si="2133"/>
        <v>0</v>
      </c>
      <c r="AQ227" s="66">
        <f t="shared" si="2133"/>
        <v>0</v>
      </c>
      <c r="AR227" s="66">
        <f t="shared" si="2133"/>
        <v>0</v>
      </c>
      <c r="AS227" s="66">
        <f t="shared" si="2133"/>
        <v>0</v>
      </c>
      <c r="AT227" s="66">
        <f t="shared" si="2133"/>
        <v>0</v>
      </c>
      <c r="AU227" s="66">
        <f t="shared" si="2133"/>
        <v>0</v>
      </c>
      <c r="AV227" s="66">
        <f t="shared" si="2133"/>
        <v>0</v>
      </c>
      <c r="AW227" s="66">
        <f t="shared" si="2133"/>
        <v>0</v>
      </c>
      <c r="AX227" s="66">
        <f t="shared" si="2133"/>
        <v>0</v>
      </c>
      <c r="AY227" s="66">
        <f t="shared" si="2133"/>
        <v>0</v>
      </c>
      <c r="AZ227" s="66">
        <f t="shared" si="2133"/>
        <v>0</v>
      </c>
      <c r="BA227" s="66">
        <f t="shared" si="2133"/>
        <v>0</v>
      </c>
      <c r="BB227" s="66">
        <f t="shared" si="2133"/>
        <v>0</v>
      </c>
      <c r="BC227" s="66">
        <f t="shared" si="2133"/>
        <v>0</v>
      </c>
      <c r="BD227" s="66">
        <f t="shared" si="2133"/>
        <v>0</v>
      </c>
      <c r="BE227" s="66">
        <f t="shared" si="2133"/>
        <v>0</v>
      </c>
      <c r="BF227" s="66">
        <f t="shared" si="2133"/>
        <v>0</v>
      </c>
      <c r="BG227" s="66">
        <f t="shared" si="2133"/>
        <v>0</v>
      </c>
      <c r="BH227" s="66">
        <f t="shared" si="2133"/>
        <v>0</v>
      </c>
      <c r="BI227" s="66">
        <f t="shared" si="2133"/>
        <v>0</v>
      </c>
      <c r="BJ227" s="66">
        <f t="shared" si="2133"/>
        <v>0</v>
      </c>
      <c r="BK227" s="66">
        <f t="shared" si="2133"/>
        <v>0</v>
      </c>
      <c r="BL227" s="66">
        <f t="shared" si="2133"/>
        <v>0</v>
      </c>
      <c r="BM227" s="66">
        <f t="shared" si="2133"/>
        <v>0</v>
      </c>
      <c r="BN227" s="66">
        <f t="shared" si="2133"/>
        <v>0</v>
      </c>
      <c r="BO227" s="66">
        <f t="shared" si="2133"/>
        <v>0</v>
      </c>
      <c r="BP227" s="66">
        <f t="shared" si="2133"/>
        <v>0</v>
      </c>
      <c r="BQ227" s="66">
        <f t="shared" si="2133"/>
        <v>0</v>
      </c>
      <c r="BR227" s="66">
        <f t="shared" ref="BR227:CW227" si="2134">SUM(BO41:BR41)</f>
        <v>0</v>
      </c>
      <c r="BS227" s="66">
        <f t="shared" si="2134"/>
        <v>0</v>
      </c>
      <c r="BT227" s="66">
        <f t="shared" si="2134"/>
        <v>0</v>
      </c>
      <c r="BU227" s="66">
        <f t="shared" si="2134"/>
        <v>0</v>
      </c>
      <c r="BV227" s="66">
        <f t="shared" si="2134"/>
        <v>0</v>
      </c>
      <c r="BW227" s="66">
        <f t="shared" si="2134"/>
        <v>0</v>
      </c>
      <c r="BX227" s="66">
        <f t="shared" si="2134"/>
        <v>0</v>
      </c>
      <c r="BY227" s="66">
        <f t="shared" si="2134"/>
        <v>0</v>
      </c>
      <c r="BZ227" s="66">
        <f t="shared" si="2134"/>
        <v>-0.01</v>
      </c>
      <c r="CA227" s="66">
        <f t="shared" si="2134"/>
        <v>4.1499999999999826</v>
      </c>
      <c r="CB227" s="66">
        <f t="shared" si="2134"/>
        <v>10.299999999999978</v>
      </c>
      <c r="CC227" s="66">
        <f t="shared" si="2134"/>
        <v>14.789999999999973</v>
      </c>
      <c r="CD227" s="66">
        <f t="shared" si="2134"/>
        <v>25.049999999999965</v>
      </c>
      <c r="CE227" s="66">
        <f t="shared" si="2134"/>
        <v>32.69</v>
      </c>
      <c r="CF227" s="66">
        <f t="shared" si="2134"/>
        <v>47.139999999999979</v>
      </c>
      <c r="CG227" s="66">
        <f t="shared" si="2134"/>
        <v>52.019999999999968</v>
      </c>
      <c r="CH227" s="66">
        <f t="shared" si="2134"/>
        <v>55.969999999999985</v>
      </c>
      <c r="CI227" s="66">
        <f t="shared" si="2134"/>
        <v>57.689999999999941</v>
      </c>
      <c r="CJ227" s="66">
        <f t="shared" si="2134"/>
        <v>53.099999999999966</v>
      </c>
      <c r="CK227" s="50">
        <f t="shared" si="2134"/>
        <v>56.909999999999968</v>
      </c>
      <c r="CL227" s="66">
        <f t="shared" si="2134"/>
        <v>70.369999999999948</v>
      </c>
      <c r="CM227" s="50">
        <f t="shared" si="2134"/>
        <v>85.796422264764615</v>
      </c>
      <c r="CN227" s="50">
        <f t="shared" si="2134"/>
        <v>89.623307539020843</v>
      </c>
      <c r="CO227" s="50">
        <f t="shared" si="2134"/>
        <v>115.74283069471352</v>
      </c>
      <c r="CP227" s="50">
        <f t="shared" si="2134"/>
        <v>128.76035547851717</v>
      </c>
      <c r="CQ227" s="50">
        <f t="shared" si="2134"/>
        <v>131.39993820849753</v>
      </c>
      <c r="CR227" s="50">
        <f t="shared" si="2134"/>
        <v>131.88948228680673</v>
      </c>
      <c r="CS227" s="50">
        <f t="shared" si="2134"/>
        <v>137.83068306920038</v>
      </c>
      <c r="CT227" s="50">
        <f t="shared" si="2134"/>
        <v>143.09392254596824</v>
      </c>
      <c r="CU227" s="50">
        <f t="shared" si="2134"/>
        <v>147.39804183763391</v>
      </c>
      <c r="CV227" s="50">
        <f t="shared" si="2134"/>
        <v>149.70747254228047</v>
      </c>
      <c r="CW227" s="50">
        <f t="shared" si="2134"/>
        <v>157.24290520995157</v>
      </c>
      <c r="CX227" s="50">
        <f t="shared" ref="CX227:DB227" si="2135">SUM(CU41:CX41)</f>
        <v>164.88962599543754</v>
      </c>
      <c r="CY227" s="50">
        <f t="shared" si="2135"/>
        <v>170.84668637254467</v>
      </c>
      <c r="CZ227" s="50">
        <f t="shared" si="2135"/>
        <v>174.36111620021705</v>
      </c>
      <c r="DA227" s="50">
        <f t="shared" si="2135"/>
        <v>183.89562082253019</v>
      </c>
      <c r="DB227" s="50">
        <f t="shared" si="2135"/>
        <v>193.66292248253248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0</v>
      </c>
      <c r="D231" s="64">
        <f t="shared" si="2136"/>
        <v>0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0</v>
      </c>
      <c r="I231" s="64">
        <f t="shared" si="2136"/>
        <v>0</v>
      </c>
      <c r="J231" s="64">
        <f t="shared" si="2136"/>
        <v>0</v>
      </c>
      <c r="K231" s="64">
        <f t="shared" si="2136"/>
        <v>0</v>
      </c>
      <c r="L231" s="64">
        <f t="shared" si="2136"/>
        <v>0</v>
      </c>
      <c r="M231" s="64">
        <f t="shared" si="2136"/>
        <v>0</v>
      </c>
      <c r="N231" s="64">
        <f t="shared" si="2136"/>
        <v>0</v>
      </c>
      <c r="O231" s="64">
        <f t="shared" si="2136"/>
        <v>0</v>
      </c>
      <c r="P231" s="64">
        <f t="shared" si="2136"/>
        <v>0</v>
      </c>
      <c r="Q231" s="64">
        <f t="shared" si="2136"/>
        <v>0</v>
      </c>
      <c r="R231" s="64">
        <f t="shared" si="2136"/>
        <v>0</v>
      </c>
      <c r="S231" s="64">
        <f t="shared" si="2136"/>
        <v>0</v>
      </c>
      <c r="T231" s="64">
        <f t="shared" si="2136"/>
        <v>0</v>
      </c>
      <c r="U231" s="64">
        <f t="shared" si="2136"/>
        <v>0</v>
      </c>
      <c r="V231" s="64">
        <f t="shared" si="2136"/>
        <v>0</v>
      </c>
      <c r="W231" s="64">
        <f t="shared" si="2136"/>
        <v>0</v>
      </c>
      <c r="X231" s="64">
        <f t="shared" si="2136"/>
        <v>0</v>
      </c>
      <c r="Y231" s="64">
        <f t="shared" si="2136"/>
        <v>1058.2</v>
      </c>
      <c r="Z231" s="64">
        <f t="shared" si="2136"/>
        <v>1164.01</v>
      </c>
      <c r="AA231" s="64">
        <f t="shared" ref="AA231" si="2137">AA8-AA237</f>
        <v>1322.73</v>
      </c>
      <c r="AB231" s="30"/>
      <c r="AC231" s="30"/>
      <c r="AD231" s="30"/>
      <c r="AE231" s="30"/>
      <c r="AI231" s="64">
        <f t="shared" ref="AI231:BN231" si="2138">AI8-AI237</f>
        <v>0</v>
      </c>
      <c r="AJ231" s="64">
        <f t="shared" si="2138"/>
        <v>0</v>
      </c>
      <c r="AK231" s="64">
        <f t="shared" si="2138"/>
        <v>0</v>
      </c>
      <c r="AL231" s="64">
        <f t="shared" si="2138"/>
        <v>0</v>
      </c>
      <c r="AM231" s="64">
        <f t="shared" si="2138"/>
        <v>0</v>
      </c>
      <c r="AN231" s="64">
        <f t="shared" si="2138"/>
        <v>0</v>
      </c>
      <c r="AO231" s="64">
        <f t="shared" si="2138"/>
        <v>0</v>
      </c>
      <c r="AP231" s="64">
        <f t="shared" si="2138"/>
        <v>0</v>
      </c>
      <c r="AQ231" s="64">
        <f t="shared" si="2138"/>
        <v>0</v>
      </c>
      <c r="AR231" s="64">
        <f t="shared" si="2138"/>
        <v>0</v>
      </c>
      <c r="AS231" s="64">
        <f t="shared" si="2138"/>
        <v>0</v>
      </c>
      <c r="AT231" s="64">
        <f t="shared" si="2138"/>
        <v>0</v>
      </c>
      <c r="AU231" s="64">
        <f t="shared" si="2138"/>
        <v>0</v>
      </c>
      <c r="AV231" s="64">
        <f t="shared" si="2138"/>
        <v>0</v>
      </c>
      <c r="AW231" s="64">
        <f t="shared" si="2138"/>
        <v>0</v>
      </c>
      <c r="AX231" s="64">
        <f t="shared" si="2138"/>
        <v>0</v>
      </c>
      <c r="AY231" s="64">
        <f t="shared" si="2138"/>
        <v>0</v>
      </c>
      <c r="AZ231" s="64">
        <f t="shared" si="2138"/>
        <v>0</v>
      </c>
      <c r="BA231" s="64">
        <f t="shared" si="2138"/>
        <v>0</v>
      </c>
      <c r="BB231" s="64">
        <f t="shared" si="2138"/>
        <v>0</v>
      </c>
      <c r="BC231" s="64">
        <f t="shared" si="2138"/>
        <v>0</v>
      </c>
      <c r="BD231" s="64">
        <f t="shared" si="2138"/>
        <v>0</v>
      </c>
      <c r="BE231" s="64">
        <f t="shared" si="2138"/>
        <v>0</v>
      </c>
      <c r="BF231" s="64">
        <f t="shared" si="2138"/>
        <v>0</v>
      </c>
      <c r="BG231" s="64">
        <f t="shared" si="2138"/>
        <v>0</v>
      </c>
      <c r="BH231" s="64">
        <f t="shared" si="2138"/>
        <v>0</v>
      </c>
      <c r="BI231" s="64">
        <f t="shared" si="2138"/>
        <v>0</v>
      </c>
      <c r="BJ231" s="64">
        <f t="shared" si="2138"/>
        <v>0</v>
      </c>
      <c r="BK231" s="64">
        <f t="shared" si="2138"/>
        <v>0</v>
      </c>
      <c r="BL231" s="64">
        <f t="shared" si="2138"/>
        <v>0</v>
      </c>
      <c r="BM231" s="64">
        <f t="shared" si="2138"/>
        <v>0</v>
      </c>
      <c r="BN231" s="64">
        <f t="shared" si="2138"/>
        <v>0</v>
      </c>
      <c r="BO231" s="64">
        <f t="shared" ref="BO231:CT231" si="2139">BO8-BO237</f>
        <v>0</v>
      </c>
      <c r="BP231" s="64">
        <f t="shared" si="2139"/>
        <v>0</v>
      </c>
      <c r="BQ231" s="64">
        <f t="shared" si="2139"/>
        <v>0</v>
      </c>
      <c r="BR231" s="64">
        <f t="shared" si="2139"/>
        <v>0</v>
      </c>
      <c r="BS231" s="64">
        <f t="shared" si="2139"/>
        <v>0</v>
      </c>
      <c r="BT231" s="64">
        <f t="shared" si="2139"/>
        <v>0</v>
      </c>
      <c r="BU231" s="64">
        <f t="shared" si="2139"/>
        <v>0</v>
      </c>
      <c r="BV231" s="64">
        <f t="shared" si="2139"/>
        <v>0</v>
      </c>
      <c r="BW231" s="64">
        <f t="shared" si="2139"/>
        <v>0</v>
      </c>
      <c r="BX231" s="64">
        <f t="shared" si="2139"/>
        <v>0</v>
      </c>
      <c r="BY231" s="64">
        <f t="shared" si="2139"/>
        <v>0</v>
      </c>
      <c r="BZ231" s="64">
        <f t="shared" si="2139"/>
        <v>0</v>
      </c>
      <c r="CA231" s="64">
        <f t="shared" si="2139"/>
        <v>263.27999999999997</v>
      </c>
      <c r="CB231" s="64">
        <f t="shared" si="2139"/>
        <v>260.02999999999997</v>
      </c>
      <c r="CC231" s="64">
        <f t="shared" si="2139"/>
        <v>244.41</v>
      </c>
      <c r="CD231" s="64">
        <f t="shared" si="2139"/>
        <v>286.14999999999998</v>
      </c>
      <c r="CE231" s="64">
        <f t="shared" si="2139"/>
        <v>287.93</v>
      </c>
      <c r="CF231" s="64">
        <f t="shared" si="2139"/>
        <v>304.62</v>
      </c>
      <c r="CG231" s="64">
        <f t="shared" si="2139"/>
        <v>285</v>
      </c>
      <c r="CH231" s="64">
        <f t="shared" si="2139"/>
        <v>283.61</v>
      </c>
      <c r="CI231" s="64">
        <f t="shared" si="2139"/>
        <v>267.75</v>
      </c>
      <c r="CJ231" s="64">
        <f t="shared" si="2139"/>
        <v>338.04</v>
      </c>
      <c r="CK231" s="30">
        <f t="shared" si="2139"/>
        <v>349.12</v>
      </c>
      <c r="CL231" s="64">
        <f t="shared" ref="CL231" si="2140">CL8-CL237</f>
        <v>363.69</v>
      </c>
      <c r="CM231" s="30">
        <f t="shared" si="2139"/>
        <v>304.3625375630827</v>
      </c>
      <c r="CN231" s="30">
        <f t="shared" si="2139"/>
        <v>401.74313067552634</v>
      </c>
      <c r="CO231" s="30">
        <f t="shared" si="2139"/>
        <v>421.78339620294861</v>
      </c>
      <c r="CP231" s="30">
        <f t="shared" si="2139"/>
        <v>437.85390031693919</v>
      </c>
      <c r="CQ231" s="30">
        <f t="shared" si="2139"/>
        <v>360.45987532156931</v>
      </c>
      <c r="CR231" s="30">
        <f t="shared" si="2139"/>
        <v>480.56644570808692</v>
      </c>
      <c r="CS231" s="30">
        <f t="shared" si="2139"/>
        <v>505.3563849700015</v>
      </c>
      <c r="CT231" s="30">
        <f t="shared" si="2139"/>
        <v>523.51747527697967</v>
      </c>
      <c r="CU231" s="30">
        <f t="shared" ref="CU231:DB231" si="2141">CU8-CU237</f>
        <v>430.23592632976369</v>
      </c>
      <c r="CV231" s="30">
        <f t="shared" si="2141"/>
        <v>574.70514861516017</v>
      </c>
      <c r="CW231" s="30">
        <f t="shared" si="2141"/>
        <v>604.31178151918471</v>
      </c>
      <c r="CX231" s="30">
        <f t="shared" si="2141"/>
        <v>625.72425038814185</v>
      </c>
      <c r="CY231" s="30">
        <f t="shared" si="2141"/>
        <v>514.1868064780507</v>
      </c>
      <c r="CZ231" s="30">
        <f t="shared" si="2141"/>
        <v>687.0690051720527</v>
      </c>
      <c r="DA231" s="30">
        <f t="shared" si="2141"/>
        <v>722.40747362209368</v>
      </c>
      <c r="DB231" s="30">
        <f t="shared" si="2141"/>
        <v>747.9431942223091</v>
      </c>
      <c r="DE231" s="139"/>
      <c r="DF231" s="64">
        <v>1322.73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0</v>
      </c>
      <c r="D232" s="64">
        <f t="shared" si="2142"/>
        <v>0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0</v>
      </c>
      <c r="I232" s="64">
        <f t="shared" si="2142"/>
        <v>0</v>
      </c>
      <c r="J232" s="64">
        <f t="shared" si="2142"/>
        <v>0</v>
      </c>
      <c r="K232" s="64">
        <f t="shared" si="2142"/>
        <v>0</v>
      </c>
      <c r="L232" s="64">
        <f t="shared" si="2142"/>
        <v>0</v>
      </c>
      <c r="M232" s="64">
        <f t="shared" si="2142"/>
        <v>0</v>
      </c>
      <c r="N232" s="64">
        <f t="shared" si="2142"/>
        <v>0</v>
      </c>
      <c r="O232" s="64">
        <f t="shared" si="2142"/>
        <v>0</v>
      </c>
      <c r="P232" s="64">
        <f t="shared" si="2142"/>
        <v>0</v>
      </c>
      <c r="Q232" s="64">
        <f t="shared" si="2142"/>
        <v>0</v>
      </c>
      <c r="R232" s="64">
        <f t="shared" si="2142"/>
        <v>0</v>
      </c>
      <c r="S232" s="64">
        <f t="shared" si="2142"/>
        <v>0</v>
      </c>
      <c r="T232" s="64">
        <f t="shared" si="2142"/>
        <v>0</v>
      </c>
      <c r="U232" s="64">
        <f t="shared" si="2142"/>
        <v>0</v>
      </c>
      <c r="V232" s="64">
        <f t="shared" si="2142"/>
        <v>-5.8151000000000001E-3</v>
      </c>
      <c r="W232" s="64">
        <f t="shared" si="2142"/>
        <v>-1.1800000000000001E-3</v>
      </c>
      <c r="X232" s="64">
        <f t="shared" si="2142"/>
        <v>-0.01</v>
      </c>
      <c r="Y232" s="64">
        <f t="shared" si="2142"/>
        <v>84.200000000000188</v>
      </c>
      <c r="Z232" s="64">
        <f t="shared" si="2142"/>
        <v>110.75000000000011</v>
      </c>
      <c r="AA232" s="64">
        <f t="shared" ref="AA232" si="2143">AA28-AA238</f>
        <v>140.52999999999992</v>
      </c>
      <c r="AB232" s="30"/>
      <c r="AC232" s="30"/>
      <c r="AD232" s="30"/>
      <c r="AE232" s="30"/>
      <c r="AI232" s="64">
        <f t="shared" ref="AI232:BN232" si="2144">AI28-AI238</f>
        <v>0</v>
      </c>
      <c r="AJ232" s="64">
        <f t="shared" si="2144"/>
        <v>0</v>
      </c>
      <c r="AK232" s="64">
        <f t="shared" si="2144"/>
        <v>0</v>
      </c>
      <c r="AL232" s="64">
        <f t="shared" si="2144"/>
        <v>0</v>
      </c>
      <c r="AM232" s="64">
        <f t="shared" si="2144"/>
        <v>0</v>
      </c>
      <c r="AN232" s="64">
        <f t="shared" si="2144"/>
        <v>0</v>
      </c>
      <c r="AO232" s="64">
        <f t="shared" si="2144"/>
        <v>0</v>
      </c>
      <c r="AP232" s="64">
        <f t="shared" si="2144"/>
        <v>0</v>
      </c>
      <c r="AQ232" s="64">
        <f t="shared" si="2144"/>
        <v>0</v>
      </c>
      <c r="AR232" s="64">
        <f t="shared" si="2144"/>
        <v>0</v>
      </c>
      <c r="AS232" s="64">
        <f t="shared" si="2144"/>
        <v>0</v>
      </c>
      <c r="AT232" s="64">
        <f t="shared" si="2144"/>
        <v>0</v>
      </c>
      <c r="AU232" s="64">
        <f t="shared" si="2144"/>
        <v>0</v>
      </c>
      <c r="AV232" s="64">
        <f t="shared" si="2144"/>
        <v>0</v>
      </c>
      <c r="AW232" s="64">
        <f t="shared" si="2144"/>
        <v>0</v>
      </c>
      <c r="AX232" s="64">
        <f t="shared" si="2144"/>
        <v>0</v>
      </c>
      <c r="AY232" s="64">
        <f t="shared" si="2144"/>
        <v>0</v>
      </c>
      <c r="AZ232" s="64">
        <f t="shared" si="2144"/>
        <v>0</v>
      </c>
      <c r="BA232" s="64">
        <f t="shared" si="2144"/>
        <v>0</v>
      </c>
      <c r="BB232" s="64">
        <f t="shared" si="2144"/>
        <v>0</v>
      </c>
      <c r="BC232" s="64">
        <f t="shared" si="2144"/>
        <v>0</v>
      </c>
      <c r="BD232" s="64">
        <f t="shared" si="2144"/>
        <v>0</v>
      </c>
      <c r="BE232" s="64">
        <f t="shared" si="2144"/>
        <v>0</v>
      </c>
      <c r="BF232" s="64">
        <f t="shared" si="2144"/>
        <v>0</v>
      </c>
      <c r="BG232" s="64">
        <f t="shared" si="2144"/>
        <v>0</v>
      </c>
      <c r="BH232" s="64">
        <f t="shared" si="2144"/>
        <v>0</v>
      </c>
      <c r="BI232" s="64">
        <f t="shared" si="2144"/>
        <v>0</v>
      </c>
      <c r="BJ232" s="64">
        <f t="shared" si="2144"/>
        <v>0</v>
      </c>
      <c r="BK232" s="64">
        <f t="shared" si="2144"/>
        <v>0</v>
      </c>
      <c r="BL232" s="64">
        <f t="shared" si="2144"/>
        <v>0</v>
      </c>
      <c r="BM232" s="64">
        <f t="shared" si="2144"/>
        <v>0</v>
      </c>
      <c r="BN232" s="64">
        <f t="shared" si="2144"/>
        <v>0</v>
      </c>
      <c r="BO232" s="64">
        <f t="shared" ref="BO232:CT232" si="2145">BO28-BO238</f>
        <v>0</v>
      </c>
      <c r="BP232" s="64">
        <f t="shared" si="2145"/>
        <v>0</v>
      </c>
      <c r="BQ232" s="64">
        <f t="shared" si="2145"/>
        <v>0</v>
      </c>
      <c r="BR232" s="64">
        <f t="shared" si="2145"/>
        <v>0</v>
      </c>
      <c r="BS232" s="64">
        <f t="shared" si="2145"/>
        <v>0</v>
      </c>
      <c r="BT232" s="64">
        <f t="shared" si="2145"/>
        <v>0</v>
      </c>
      <c r="BU232" s="64">
        <f t="shared" si="2145"/>
        <v>0</v>
      </c>
      <c r="BV232" s="64">
        <f t="shared" si="2145"/>
        <v>0</v>
      </c>
      <c r="BW232" s="64">
        <f t="shared" si="2145"/>
        <v>0</v>
      </c>
      <c r="BX232" s="64">
        <f t="shared" si="2145"/>
        <v>0</v>
      </c>
      <c r="BY232" s="64">
        <f t="shared" si="2145"/>
        <v>0</v>
      </c>
      <c r="BZ232" s="64">
        <f t="shared" si="2145"/>
        <v>-0.01</v>
      </c>
      <c r="CA232" s="64">
        <f t="shared" si="2145"/>
        <v>16.299999999999983</v>
      </c>
      <c r="CB232" s="64">
        <f t="shared" si="2145"/>
        <v>20.449999999999996</v>
      </c>
      <c r="CC232" s="64">
        <f t="shared" si="2145"/>
        <v>18.559999999999995</v>
      </c>
      <c r="CD232" s="64">
        <f t="shared" si="2145"/>
        <v>28.319999999999993</v>
      </c>
      <c r="CE232" s="64">
        <f t="shared" si="2145"/>
        <v>28.390000000000015</v>
      </c>
      <c r="CF232" s="64">
        <f t="shared" si="2145"/>
        <v>27.119999999999976</v>
      </c>
      <c r="CG232" s="64">
        <f t="shared" si="2145"/>
        <v>23.439999999999984</v>
      </c>
      <c r="CH232" s="64">
        <f t="shared" si="2145"/>
        <v>30.77000000000001</v>
      </c>
      <c r="CI232" s="64">
        <f t="shared" si="2145"/>
        <v>29.999999999999972</v>
      </c>
      <c r="CJ232" s="64">
        <f t="shared" si="2145"/>
        <v>36.81</v>
      </c>
      <c r="CK232" s="30">
        <f t="shared" si="2145"/>
        <v>31.909999999999997</v>
      </c>
      <c r="CL232" s="64">
        <f t="shared" ref="CL232" si="2146">CL28-CL238</f>
        <v>41.189999999999984</v>
      </c>
      <c r="CM232" s="30">
        <f t="shared" si="2145"/>
        <v>32.383739432367847</v>
      </c>
      <c r="CN232" s="30">
        <f t="shared" si="2145"/>
        <v>42.177810393688048</v>
      </c>
      <c r="CO232" s="30">
        <f t="shared" si="2145"/>
        <v>43.869966797734975</v>
      </c>
      <c r="CP232" s="30">
        <f t="shared" si="2145"/>
        <v>46.921740974745404</v>
      </c>
      <c r="CQ232" s="30">
        <f t="shared" si="2145"/>
        <v>38.078913163733858</v>
      </c>
      <c r="CR232" s="30">
        <f t="shared" si="2145"/>
        <v>50.675789805306167</v>
      </c>
      <c r="CS232" s="30">
        <f t="shared" si="2145"/>
        <v>53.348400812304561</v>
      </c>
      <c r="CT232" s="30">
        <f t="shared" si="2145"/>
        <v>55.469142065246928</v>
      </c>
      <c r="CU232" s="30">
        <f t="shared" ref="CU232:DB232" si="2147">CU28-CU238</f>
        <v>45.455559301932283</v>
      </c>
      <c r="CV232" s="30">
        <f t="shared" si="2147"/>
        <v>60.720955801966014</v>
      </c>
      <c r="CW232" s="30">
        <f t="shared" si="2147"/>
        <v>63.880149268479954</v>
      </c>
      <c r="CX232" s="30">
        <f t="shared" si="2147"/>
        <v>66.165717980819807</v>
      </c>
      <c r="CY232" s="30">
        <f t="shared" si="2147"/>
        <v>54.344192915412293</v>
      </c>
      <c r="CZ232" s="30">
        <f t="shared" si="2147"/>
        <v>72.622389371170925</v>
      </c>
      <c r="DA232" s="30">
        <f t="shared" si="2147"/>
        <v>76.365387844603873</v>
      </c>
      <c r="DB232" s="30">
        <f t="shared" si="2147"/>
        <v>79.065189072989995</v>
      </c>
      <c r="DE232" s="139"/>
      <c r="DF232" s="64">
        <v>134.33999999999986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8">+C232/C231</f>
        <v>#DIV/0!</v>
      </c>
      <c r="D233" s="86" t="e">
        <f t="shared" ref="D233" si="2149">+D232/D231</f>
        <v>#DIV/0!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 t="e">
        <f t="shared" ref="I233" si="2154">+I232/I231</f>
        <v>#DIV/0!</v>
      </c>
      <c r="J233" s="86" t="e">
        <f t="shared" ref="J233" si="2155">+J232/J231</f>
        <v>#DIV/0!</v>
      </c>
      <c r="K233" s="86" t="e">
        <f t="shared" ref="K233" si="2156">+K232/K231</f>
        <v>#DIV/0!</v>
      </c>
      <c r="L233" s="86" t="e">
        <f t="shared" ref="L233" si="2157">+L232/L231</f>
        <v>#DIV/0!</v>
      </c>
      <c r="M233" s="86" t="e">
        <f t="shared" ref="M233" si="2158">+M232/M231</f>
        <v>#DIV/0!</v>
      </c>
      <c r="N233" s="86" t="e">
        <f t="shared" ref="N233" si="2159">+N232/N231</f>
        <v>#DIV/0!</v>
      </c>
      <c r="O233" s="86" t="e">
        <f t="shared" ref="O233" si="2160">+O232/O231</f>
        <v>#DIV/0!</v>
      </c>
      <c r="P233" s="86" t="e">
        <f t="shared" ref="P233" si="2161">+P232/P231</f>
        <v>#DIV/0!</v>
      </c>
      <c r="Q233" s="86" t="e">
        <f t="shared" ref="Q233" si="2162">+Q232/Q231</f>
        <v>#DIV/0!</v>
      </c>
      <c r="R233" s="86" t="e">
        <f t="shared" ref="R233" si="2163">+R232/R231</f>
        <v>#DIV/0!</v>
      </c>
      <c r="S233" s="86" t="e">
        <f t="shared" ref="S233" si="2164">+S232/S231</f>
        <v>#DIV/0!</v>
      </c>
      <c r="T233" s="86" t="e">
        <f t="shared" ref="T233" si="2165">+T232/T231</f>
        <v>#DIV/0!</v>
      </c>
      <c r="U233" s="86" t="e">
        <f t="shared" ref="U233" si="2166">+U232/U231</f>
        <v>#DIV/0!</v>
      </c>
      <c r="V233" s="86" t="e">
        <f t="shared" ref="V233" si="2167">+V232/V231</f>
        <v>#DIV/0!</v>
      </c>
      <c r="W233" s="86" t="e">
        <f t="shared" ref="W233" si="2168">+W232/W231</f>
        <v>#DIV/0!</v>
      </c>
      <c r="X233" s="86" t="e">
        <f t="shared" ref="X233:Y233" si="2169">+X232/X231</f>
        <v>#DIV/0!</v>
      </c>
      <c r="Y233" s="86">
        <f t="shared" si="2169"/>
        <v>7.9569079569079743E-2</v>
      </c>
      <c r="Z233" s="86">
        <f t="shared" ref="Z233:AA233" si="2170">+Z232/Z231</f>
        <v>9.5145230711076459E-2</v>
      </c>
      <c r="AA233" s="86">
        <f t="shared" ref="AA233" si="2171">+AA232/AA231</f>
        <v>0.10624239262736909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72">+AI232/AI231</f>
        <v>#DIV/0!</v>
      </c>
      <c r="AJ233" s="86" t="e">
        <f t="shared" ref="AJ233" si="2173">+AJ232/AJ231</f>
        <v>#DIV/0!</v>
      </c>
      <c r="AK233" s="86" t="e">
        <f t="shared" ref="AK233" si="2174">+AK232/AK231</f>
        <v>#DIV/0!</v>
      </c>
      <c r="AL233" s="86" t="e">
        <f t="shared" ref="AL233" si="2175">+AL232/AL231</f>
        <v>#DIV/0!</v>
      </c>
      <c r="AM233" s="86" t="e">
        <f t="shared" ref="AM233" si="2176">+AM232/AM231</f>
        <v>#DIV/0!</v>
      </c>
      <c r="AN233" s="86" t="e">
        <f t="shared" ref="AN233" si="2177">+AN232/AN231</f>
        <v>#DIV/0!</v>
      </c>
      <c r="AO233" s="86" t="e">
        <f t="shared" ref="AO233" si="2178">+AO232/AO231</f>
        <v>#DIV/0!</v>
      </c>
      <c r="AP233" s="86" t="e">
        <f t="shared" ref="AP233" si="2179">+AP232/AP231</f>
        <v>#DIV/0!</v>
      </c>
      <c r="AQ233" s="86" t="e">
        <f t="shared" ref="AQ233" si="2180">+AQ232/AQ231</f>
        <v>#DIV/0!</v>
      </c>
      <c r="AR233" s="86" t="e">
        <f t="shared" ref="AR233" si="2181">+AR232/AR231</f>
        <v>#DIV/0!</v>
      </c>
      <c r="AS233" s="86" t="e">
        <f t="shared" ref="AS233" si="2182">+AS232/AS231</f>
        <v>#DIV/0!</v>
      </c>
      <c r="AT233" s="86" t="e">
        <f t="shared" ref="AT233" si="2183">+AT232/AT231</f>
        <v>#DIV/0!</v>
      </c>
      <c r="AU233" s="86" t="e">
        <f t="shared" ref="AU233" si="2184">+AU232/AU231</f>
        <v>#DIV/0!</v>
      </c>
      <c r="AV233" s="86" t="e">
        <f t="shared" ref="AV233" si="2185">+AV232/AV231</f>
        <v>#DIV/0!</v>
      </c>
      <c r="AW233" s="86" t="e">
        <f t="shared" ref="AW233" si="2186">+AW232/AW231</f>
        <v>#DIV/0!</v>
      </c>
      <c r="AX233" s="86" t="e">
        <f t="shared" ref="AX233" si="2187">+AX232/AX231</f>
        <v>#DIV/0!</v>
      </c>
      <c r="AY233" s="86" t="e">
        <f t="shared" ref="AY233" si="2188">+AY232/AY231</f>
        <v>#DIV/0!</v>
      </c>
      <c r="AZ233" s="86" t="e">
        <f t="shared" ref="AZ233" si="2189">+AZ232/AZ231</f>
        <v>#DIV/0!</v>
      </c>
      <c r="BA233" s="86" t="e">
        <f t="shared" ref="BA233" si="2190">+BA232/BA231</f>
        <v>#DIV/0!</v>
      </c>
      <c r="BB233" s="86" t="e">
        <f t="shared" ref="BB233" si="2191">+BB232/BB231</f>
        <v>#DIV/0!</v>
      </c>
      <c r="BC233" s="86" t="e">
        <f t="shared" ref="BC233" si="2192">+BC232/BC231</f>
        <v>#DIV/0!</v>
      </c>
      <c r="BD233" s="86" t="e">
        <f t="shared" ref="BD233" si="2193">+BD232/BD231</f>
        <v>#DIV/0!</v>
      </c>
      <c r="BE233" s="86" t="e">
        <f t="shared" ref="BE233" si="2194">+BE232/BE231</f>
        <v>#DIV/0!</v>
      </c>
      <c r="BF233" s="86" t="e">
        <f t="shared" ref="BF233" si="2195">+BF232/BF231</f>
        <v>#DIV/0!</v>
      </c>
      <c r="BG233" s="86" t="e">
        <f t="shared" ref="BG233" si="2196">+BG232/BG231</f>
        <v>#DIV/0!</v>
      </c>
      <c r="BH233" s="86" t="e">
        <f t="shared" ref="BH233" si="2197">+BH232/BH231</f>
        <v>#DIV/0!</v>
      </c>
      <c r="BI233" s="86" t="e">
        <f t="shared" ref="BI233" si="2198">+BI232/BI231</f>
        <v>#DIV/0!</v>
      </c>
      <c r="BJ233" s="86" t="e">
        <f t="shared" ref="BJ233" si="2199">+BJ232/BJ231</f>
        <v>#DIV/0!</v>
      </c>
      <c r="BK233" s="86" t="e">
        <f t="shared" ref="BK233" si="2200">+BK232/BK231</f>
        <v>#DIV/0!</v>
      </c>
      <c r="BL233" s="86" t="e">
        <f t="shared" ref="BL233" si="2201">+BL232/BL231</f>
        <v>#DIV/0!</v>
      </c>
      <c r="BM233" s="86" t="e">
        <f t="shared" ref="BM233" si="2202">+BM232/BM231</f>
        <v>#DIV/0!</v>
      </c>
      <c r="BN233" s="86" t="e">
        <f t="shared" ref="BN233" si="2203">+BN232/BN231</f>
        <v>#DIV/0!</v>
      </c>
      <c r="BO233" s="86" t="e">
        <f t="shared" ref="BO233" si="2204">+BO232/BO231</f>
        <v>#DIV/0!</v>
      </c>
      <c r="BP233" s="86" t="e">
        <f t="shared" ref="BP233" si="2205">+BP232/BP231</f>
        <v>#DIV/0!</v>
      </c>
      <c r="BQ233" s="86" t="e">
        <f t="shared" ref="BQ233" si="2206">+BQ232/BQ231</f>
        <v>#DIV/0!</v>
      </c>
      <c r="BR233" s="86" t="e">
        <f t="shared" ref="BR233" si="2207">+BR232/BR231</f>
        <v>#DIV/0!</v>
      </c>
      <c r="BS233" s="86" t="e">
        <f t="shared" ref="BS233" si="2208">+BS232/BS231</f>
        <v>#DIV/0!</v>
      </c>
      <c r="BT233" s="86" t="e">
        <f t="shared" ref="BT233" si="2209">+BT232/BT231</f>
        <v>#DIV/0!</v>
      </c>
      <c r="BU233" s="86" t="e">
        <f t="shared" ref="BU233" si="2210">+BU232/BU231</f>
        <v>#DIV/0!</v>
      </c>
      <c r="BV233" s="86" t="e">
        <f t="shared" ref="BV233" si="2211">+BV232/BV231</f>
        <v>#DIV/0!</v>
      </c>
      <c r="BW233" s="86" t="e">
        <f t="shared" ref="BW233" si="2212">+BW232/BW231</f>
        <v>#DIV/0!</v>
      </c>
      <c r="BX233" s="86" t="e">
        <f t="shared" ref="BX233" si="2213">+BX232/BX231</f>
        <v>#DIV/0!</v>
      </c>
      <c r="BY233" s="86" t="e">
        <f t="shared" ref="BY233" si="2214">+BY232/BY231</f>
        <v>#DIV/0!</v>
      </c>
      <c r="BZ233" s="86" t="e">
        <f t="shared" ref="BZ233" si="2215">+BZ232/BZ231</f>
        <v>#DIV/0!</v>
      </c>
      <c r="CA233" s="86">
        <f t="shared" ref="CA233" si="2216">+CA232/CA231</f>
        <v>6.1911273169249409E-2</v>
      </c>
      <c r="CB233" s="86">
        <f t="shared" ref="CB233:CC233" si="2217">+CB232/CB231</f>
        <v>7.8644771757104937E-2</v>
      </c>
      <c r="CC233" s="86">
        <f t="shared" si="2217"/>
        <v>7.5937973078024606E-2</v>
      </c>
      <c r="CD233" s="86">
        <f t="shared" ref="CD233" si="2218">+CD232/CD231</f>
        <v>9.8969072164948435E-2</v>
      </c>
      <c r="CE233" s="86">
        <f t="shared" ref="CE233:CF233" si="2219">+CE232/CE231</f>
        <v>9.860035425276982E-2</v>
      </c>
      <c r="CF233" s="86">
        <f t="shared" si="2219"/>
        <v>8.9028954106755875E-2</v>
      </c>
      <c r="CG233" s="86">
        <f t="shared" ref="CG233:CH233" si="2220">+CG232/CG231</f>
        <v>8.2245614035087664E-2</v>
      </c>
      <c r="CH233" s="86">
        <f t="shared" si="2220"/>
        <v>0.10849405874263957</v>
      </c>
      <c r="CI233" s="86">
        <f t="shared" ref="CI233:CJ233" si="2221">+CI232/CI231</f>
        <v>0.11204481792717076</v>
      </c>
      <c r="CJ233" s="86">
        <f t="shared" si="2221"/>
        <v>0.10889243876464323</v>
      </c>
      <c r="CK233" s="47">
        <f t="shared" ref="CK233:DB233" si="2222">+CK232/CK231</f>
        <v>9.1401237396883578E-2</v>
      </c>
      <c r="CL233" s="86">
        <f t="shared" si="2222"/>
        <v>0.11325579477027134</v>
      </c>
      <c r="CM233" s="47">
        <f t="shared" si="2222"/>
        <v>0.10639857221474222</v>
      </c>
      <c r="CN233" s="47">
        <f t="shared" si="2222"/>
        <v>0.10498701078663512</v>
      </c>
      <c r="CO233" s="47">
        <f t="shared" si="2222"/>
        <v>0.10401065379213305</v>
      </c>
      <c r="CP233" s="47">
        <f t="shared" si="2222"/>
        <v>0.10716300789094546</v>
      </c>
      <c r="CQ233" s="47">
        <f t="shared" si="2222"/>
        <v>0.10563981117111394</v>
      </c>
      <c r="CR233" s="47">
        <f t="shared" si="2222"/>
        <v>0.10545012091020695</v>
      </c>
      <c r="CS233" s="47">
        <f t="shared" si="2222"/>
        <v>0.1055658984410999</v>
      </c>
      <c r="CT233" s="47">
        <f t="shared" si="2222"/>
        <v>0.10595470960334157</v>
      </c>
      <c r="CU233" s="47">
        <f t="shared" si="2222"/>
        <v>0.10565263503144058</v>
      </c>
      <c r="CV233" s="47">
        <f t="shared" si="2222"/>
        <v>0.10565584099652219</v>
      </c>
      <c r="CW233" s="47">
        <f t="shared" si="2222"/>
        <v>0.1057072710181011</v>
      </c>
      <c r="CX233" s="47">
        <f t="shared" si="2222"/>
        <v>0.10574261416235134</v>
      </c>
      <c r="CY233" s="47">
        <f t="shared" si="2222"/>
        <v>0.10568959030210377</v>
      </c>
      <c r="CZ233" s="47">
        <f t="shared" si="2222"/>
        <v>0.10569882911976965</v>
      </c>
      <c r="DA233" s="47">
        <f t="shared" si="2222"/>
        <v>0.10570957615058145</v>
      </c>
      <c r="DB233" s="47">
        <f t="shared" si="2222"/>
        <v>0.10571015243370162</v>
      </c>
      <c r="DE233" s="130"/>
      <c r="DF233" s="89">
        <v>0.10156267719035621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0</v>
      </c>
      <c r="D234" s="64">
        <f t="shared" si="2223"/>
        <v>0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0</v>
      </c>
      <c r="I234" s="64">
        <f t="shared" si="2223"/>
        <v>0</v>
      </c>
      <c r="J234" s="64">
        <f t="shared" si="2223"/>
        <v>0</v>
      </c>
      <c r="K234" s="64">
        <f t="shared" si="2223"/>
        <v>0</v>
      </c>
      <c r="L234" s="64">
        <f t="shared" si="2223"/>
        <v>0</v>
      </c>
      <c r="M234" s="64">
        <f t="shared" si="2223"/>
        <v>0</v>
      </c>
      <c r="N234" s="64">
        <f t="shared" si="2223"/>
        <v>0</v>
      </c>
      <c r="O234" s="64">
        <f t="shared" si="2223"/>
        <v>0</v>
      </c>
      <c r="P234" s="64">
        <f t="shared" si="2223"/>
        <v>0</v>
      </c>
      <c r="Q234" s="64">
        <f t="shared" si="2223"/>
        <v>0</v>
      </c>
      <c r="R234" s="64">
        <f t="shared" si="2223"/>
        <v>0</v>
      </c>
      <c r="S234" s="64">
        <f t="shared" si="2223"/>
        <v>0</v>
      </c>
      <c r="T234" s="64">
        <f t="shared" si="2223"/>
        <v>0</v>
      </c>
      <c r="U234" s="64">
        <f t="shared" si="2223"/>
        <v>0</v>
      </c>
      <c r="V234" s="64">
        <f t="shared" si="2223"/>
        <v>-5.8151000000000001E-3</v>
      </c>
      <c r="W234" s="64">
        <f t="shared" si="2223"/>
        <v>-1.1800000000000001E-3</v>
      </c>
      <c r="X234" s="64">
        <f t="shared" si="2223"/>
        <v>-0.01</v>
      </c>
      <c r="Y234" s="64">
        <f t="shared" si="2223"/>
        <v>25.050000000000189</v>
      </c>
      <c r="Z234" s="64">
        <f t="shared" si="2223"/>
        <v>55.970000000000113</v>
      </c>
      <c r="AA234" s="64">
        <f t="shared" ref="AA234" si="2224">AA41-AA240</f>
        <v>70.369999999999905</v>
      </c>
      <c r="AB234" s="30"/>
      <c r="AC234" s="30"/>
      <c r="AD234" s="30"/>
      <c r="AE234" s="30"/>
      <c r="AI234" s="64">
        <f t="shared" ref="AI234:BN234" si="2225">AI41-AI240</f>
        <v>0</v>
      </c>
      <c r="AJ234" s="64">
        <f t="shared" si="2225"/>
        <v>0</v>
      </c>
      <c r="AK234" s="64">
        <f t="shared" si="2225"/>
        <v>0</v>
      </c>
      <c r="AL234" s="64">
        <f t="shared" si="2225"/>
        <v>0</v>
      </c>
      <c r="AM234" s="64">
        <f t="shared" si="2225"/>
        <v>0</v>
      </c>
      <c r="AN234" s="64">
        <f t="shared" si="2225"/>
        <v>0</v>
      </c>
      <c r="AO234" s="64">
        <f t="shared" si="2225"/>
        <v>0</v>
      </c>
      <c r="AP234" s="64">
        <f t="shared" si="2225"/>
        <v>0</v>
      </c>
      <c r="AQ234" s="64">
        <f t="shared" si="2225"/>
        <v>0</v>
      </c>
      <c r="AR234" s="64">
        <f t="shared" si="2225"/>
        <v>0</v>
      </c>
      <c r="AS234" s="64">
        <f t="shared" si="2225"/>
        <v>0</v>
      </c>
      <c r="AT234" s="64">
        <f t="shared" si="2225"/>
        <v>0</v>
      </c>
      <c r="AU234" s="64">
        <f t="shared" si="2225"/>
        <v>0</v>
      </c>
      <c r="AV234" s="64">
        <f t="shared" si="2225"/>
        <v>0</v>
      </c>
      <c r="AW234" s="64">
        <f t="shared" si="2225"/>
        <v>0</v>
      </c>
      <c r="AX234" s="64">
        <f t="shared" si="2225"/>
        <v>0</v>
      </c>
      <c r="AY234" s="64">
        <f t="shared" si="2225"/>
        <v>0</v>
      </c>
      <c r="AZ234" s="64">
        <f t="shared" si="2225"/>
        <v>0</v>
      </c>
      <c r="BA234" s="64">
        <f t="shared" si="2225"/>
        <v>0</v>
      </c>
      <c r="BB234" s="64">
        <f t="shared" si="2225"/>
        <v>0</v>
      </c>
      <c r="BC234" s="64">
        <f t="shared" si="2225"/>
        <v>0</v>
      </c>
      <c r="BD234" s="64">
        <f t="shared" si="2225"/>
        <v>0</v>
      </c>
      <c r="BE234" s="64">
        <f t="shared" si="2225"/>
        <v>0</v>
      </c>
      <c r="BF234" s="64">
        <f t="shared" si="2225"/>
        <v>0</v>
      </c>
      <c r="BG234" s="64">
        <f t="shared" si="2225"/>
        <v>0</v>
      </c>
      <c r="BH234" s="64">
        <f t="shared" si="2225"/>
        <v>0</v>
      </c>
      <c r="BI234" s="64">
        <f t="shared" si="2225"/>
        <v>0</v>
      </c>
      <c r="BJ234" s="64">
        <f t="shared" si="2225"/>
        <v>0</v>
      </c>
      <c r="BK234" s="64">
        <f t="shared" si="2225"/>
        <v>0</v>
      </c>
      <c r="BL234" s="64">
        <f t="shared" si="2225"/>
        <v>0</v>
      </c>
      <c r="BM234" s="64">
        <f t="shared" si="2225"/>
        <v>0</v>
      </c>
      <c r="BN234" s="64">
        <f t="shared" si="2225"/>
        <v>0</v>
      </c>
      <c r="BO234" s="64">
        <f t="shared" ref="BO234:CT234" si="2226">BO41-BO240</f>
        <v>0</v>
      </c>
      <c r="BP234" s="64">
        <f t="shared" si="2226"/>
        <v>0</v>
      </c>
      <c r="BQ234" s="64">
        <f t="shared" si="2226"/>
        <v>0</v>
      </c>
      <c r="BR234" s="64">
        <f t="shared" si="2226"/>
        <v>0</v>
      </c>
      <c r="BS234" s="64">
        <f t="shared" si="2226"/>
        <v>0</v>
      </c>
      <c r="BT234" s="64">
        <f t="shared" si="2226"/>
        <v>0</v>
      </c>
      <c r="BU234" s="64">
        <f t="shared" si="2226"/>
        <v>0</v>
      </c>
      <c r="BV234" s="64">
        <f t="shared" si="2226"/>
        <v>0</v>
      </c>
      <c r="BW234" s="64">
        <f t="shared" si="2226"/>
        <v>0</v>
      </c>
      <c r="BX234" s="64">
        <f t="shared" si="2226"/>
        <v>0</v>
      </c>
      <c r="BY234" s="64">
        <f t="shared" si="2226"/>
        <v>0</v>
      </c>
      <c r="BZ234" s="64">
        <f t="shared" si="2226"/>
        <v>-0.01</v>
      </c>
      <c r="CA234" s="64">
        <f t="shared" si="2226"/>
        <v>4.1599999999999824</v>
      </c>
      <c r="CB234" s="64">
        <f t="shared" si="2226"/>
        <v>6.149999999999995</v>
      </c>
      <c r="CC234" s="64">
        <f t="shared" si="2226"/>
        <v>4.4899999999999949</v>
      </c>
      <c r="CD234" s="64">
        <f t="shared" si="2226"/>
        <v>10.249999999999993</v>
      </c>
      <c r="CE234" s="64">
        <f t="shared" si="2226"/>
        <v>11.800000000000015</v>
      </c>
      <c r="CF234" s="64">
        <f t="shared" si="2226"/>
        <v>20.599999999999977</v>
      </c>
      <c r="CG234" s="64">
        <f t="shared" si="2226"/>
        <v>9.3699999999999832</v>
      </c>
      <c r="CH234" s="64">
        <f t="shared" si="2226"/>
        <v>14.200000000000006</v>
      </c>
      <c r="CI234" s="64">
        <f t="shared" si="2226"/>
        <v>13.519999999999971</v>
      </c>
      <c r="CJ234" s="64">
        <f t="shared" si="2226"/>
        <v>16.010000000000002</v>
      </c>
      <c r="CK234" s="30">
        <f t="shared" si="2226"/>
        <v>13.179999999999996</v>
      </c>
      <c r="CL234" s="64">
        <f t="shared" ref="CL234" si="2227">CL41-CL240</f>
        <v>27.659999999999986</v>
      </c>
      <c r="CM234" s="30">
        <f t="shared" si="2226"/>
        <v>28.946422264764635</v>
      </c>
      <c r="CN234" s="30">
        <f t="shared" si="2226"/>
        <v>19.836885274256232</v>
      </c>
      <c r="CO234" s="30">
        <f t="shared" si="2226"/>
        <v>39.299523155692675</v>
      </c>
      <c r="CP234" s="30">
        <f t="shared" si="2226"/>
        <v>40.677524783803626</v>
      </c>
      <c r="CQ234" s="30">
        <f t="shared" si="2226"/>
        <v>31.586004994744982</v>
      </c>
      <c r="CR234" s="30">
        <f t="shared" si="2226"/>
        <v>20.32642935256543</v>
      </c>
      <c r="CS234" s="30">
        <f t="shared" si="2226"/>
        <v>45.240723938086326</v>
      </c>
      <c r="CT234" s="30">
        <f t="shared" si="2226"/>
        <v>45.94076426057152</v>
      </c>
      <c r="CU234" s="30">
        <f t="shared" ref="CU234:DB234" si="2228">CU41-CU240</f>
        <v>35.890124286410639</v>
      </c>
      <c r="CV234" s="30">
        <f t="shared" si="2228"/>
        <v>22.635860057211993</v>
      </c>
      <c r="CW234" s="30">
        <f t="shared" si="2228"/>
        <v>52.776156605757436</v>
      </c>
      <c r="CX234" s="30">
        <f t="shared" si="2228"/>
        <v>53.587485046057481</v>
      </c>
      <c r="CY234" s="30">
        <f t="shared" si="2228"/>
        <v>41.847184663517773</v>
      </c>
      <c r="CZ234" s="30">
        <f t="shared" si="2228"/>
        <v>26.150289884884366</v>
      </c>
      <c r="DA234" s="30">
        <f t="shared" si="2228"/>
        <v>62.310661228070572</v>
      </c>
      <c r="DB234" s="30">
        <f t="shared" si="2228"/>
        <v>63.35478670605977</v>
      </c>
      <c r="DE234" s="139"/>
      <c r="DF234" s="64">
        <v>64.179999999999851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 t="e">
        <f t="shared" si="2283"/>
        <v>#DIV/0!</v>
      </c>
      <c r="I244" s="84" t="e">
        <f t="shared" si="2283"/>
        <v>#DIV/0!</v>
      </c>
      <c r="J244" s="84" t="e">
        <f t="shared" si="2283"/>
        <v>#DIV/0!</v>
      </c>
      <c r="K244" s="84" t="e">
        <f t="shared" si="2283"/>
        <v>#DIV/0!</v>
      </c>
      <c r="L244" s="84" t="e">
        <f t="shared" si="2283"/>
        <v>#DIV/0!</v>
      </c>
      <c r="M244" s="84" t="e">
        <f t="shared" si="2283"/>
        <v>#DIV/0!</v>
      </c>
      <c r="N244" s="84" t="e">
        <f t="shared" si="2283"/>
        <v>#DIV/0!</v>
      </c>
      <c r="O244" s="84" t="e">
        <f t="shared" si="2283"/>
        <v>#DIV/0!</v>
      </c>
      <c r="P244" s="84" t="e">
        <f t="shared" si="2283"/>
        <v>#DIV/0!</v>
      </c>
      <c r="Q244" s="84" t="e">
        <f t="shared" si="2283"/>
        <v>#DIV/0!</v>
      </c>
      <c r="R244" s="84" t="e">
        <f t="shared" si="2283"/>
        <v>#DIV/0!</v>
      </c>
      <c r="S244" s="84" t="e">
        <f t="shared" si="2283"/>
        <v>#DIV/0!</v>
      </c>
      <c r="T244" s="84" t="e">
        <f t="shared" si="2283"/>
        <v>#DIV/0!</v>
      </c>
      <c r="U244" s="84" t="e">
        <f t="shared" si="2283"/>
        <v>#DIV/0!</v>
      </c>
      <c r="V244" s="84">
        <f t="shared" si="2283"/>
        <v>0</v>
      </c>
      <c r="W244" s="84">
        <f t="shared" si="2283"/>
        <v>0</v>
      </c>
      <c r="X244" s="84" t="e">
        <f t="shared" si="2283"/>
        <v>#DIV/0!</v>
      </c>
      <c r="Y244" s="84">
        <f t="shared" si="2283"/>
        <v>0.64613771665757225</v>
      </c>
      <c r="Z244" s="84">
        <f>Z10/(Z161+Z148+Z138)</f>
        <v>0.68214048630326107</v>
      </c>
      <c r="AA244" s="84">
        <f>AA10/(AA161+AA148+AA138)</f>
        <v>0.70542793250660696</v>
      </c>
      <c r="AB244" s="50">
        <f t="shared" ref="AB244:AE244" si="2284">AB10/(AB161+AB148+AB138)</f>
        <v>0.77624960344755445</v>
      </c>
      <c r="AC244" s="50">
        <f t="shared" si="2284"/>
        <v>0.85688974066407775</v>
      </c>
      <c r="AD244" s="50">
        <f t="shared" si="2284"/>
        <v>0.94168533738752935</v>
      </c>
      <c r="AE244" s="50">
        <f t="shared" si="2284"/>
        <v>1.0281391266230002</v>
      </c>
      <c r="AL244" s="84" t="e">
        <f>SUM(AI10:AL10)/(AL161+AL148+AL138)</f>
        <v>#DIV/0!</v>
      </c>
      <c r="AM244" s="84" t="e">
        <f t="shared" ref="AM244:CL244" si="2285">SUM(AJ10:AM10)/(AM161+AM148+AM138)</f>
        <v>#DIV/0!</v>
      </c>
      <c r="AN244" s="84" t="e">
        <f t="shared" si="2285"/>
        <v>#DIV/0!</v>
      </c>
      <c r="AO244" s="84" t="e">
        <f t="shared" si="2285"/>
        <v>#DIV/0!</v>
      </c>
      <c r="AP244" s="84" t="e">
        <f t="shared" si="2285"/>
        <v>#DIV/0!</v>
      </c>
      <c r="AQ244" s="84" t="e">
        <f t="shared" si="2285"/>
        <v>#DIV/0!</v>
      </c>
      <c r="AR244" s="84" t="e">
        <f t="shared" si="2285"/>
        <v>#DIV/0!</v>
      </c>
      <c r="AS244" s="84" t="e">
        <f t="shared" si="2285"/>
        <v>#DIV/0!</v>
      </c>
      <c r="AT244" s="84" t="e">
        <f t="shared" si="2285"/>
        <v>#DIV/0!</v>
      </c>
      <c r="AU244" s="84" t="e">
        <f t="shared" si="2285"/>
        <v>#DIV/0!</v>
      </c>
      <c r="AV244" s="84" t="e">
        <f t="shared" si="2285"/>
        <v>#DIV/0!</v>
      </c>
      <c r="AW244" s="84" t="e">
        <f t="shared" si="2285"/>
        <v>#DIV/0!</v>
      </c>
      <c r="AX244" s="84" t="e">
        <f t="shared" si="2285"/>
        <v>#DIV/0!</v>
      </c>
      <c r="AY244" s="84" t="e">
        <f t="shared" si="2285"/>
        <v>#DIV/0!</v>
      </c>
      <c r="AZ244" s="84" t="e">
        <f t="shared" si="2285"/>
        <v>#DIV/0!</v>
      </c>
      <c r="BA244" s="84" t="e">
        <f t="shared" si="2285"/>
        <v>#DIV/0!</v>
      </c>
      <c r="BB244" s="84" t="e">
        <f t="shared" si="2285"/>
        <v>#DIV/0!</v>
      </c>
      <c r="BC244" s="84" t="e">
        <f t="shared" si="2285"/>
        <v>#DIV/0!</v>
      </c>
      <c r="BD244" s="84" t="e">
        <f t="shared" si="2285"/>
        <v>#DIV/0!</v>
      </c>
      <c r="BE244" s="84" t="e">
        <f t="shared" si="2285"/>
        <v>#DIV/0!</v>
      </c>
      <c r="BF244" s="84" t="e">
        <f t="shared" si="2285"/>
        <v>#DIV/0!</v>
      </c>
      <c r="BG244" s="84" t="e">
        <f t="shared" si="2285"/>
        <v>#DIV/0!</v>
      </c>
      <c r="BH244" s="84" t="e">
        <f t="shared" si="2285"/>
        <v>#DIV/0!</v>
      </c>
      <c r="BI244" s="84" t="e">
        <f t="shared" si="2285"/>
        <v>#DIV/0!</v>
      </c>
      <c r="BJ244" s="84" t="e">
        <f t="shared" si="2285"/>
        <v>#DIV/0!</v>
      </c>
      <c r="BK244" s="84" t="e">
        <f t="shared" si="2285"/>
        <v>#DIV/0!</v>
      </c>
      <c r="BL244" s="84" t="e">
        <f t="shared" si="2285"/>
        <v>#DIV/0!</v>
      </c>
      <c r="BM244" s="84" t="e">
        <f t="shared" si="2285"/>
        <v>#DIV/0!</v>
      </c>
      <c r="BN244" s="84" t="e">
        <f t="shared" si="2285"/>
        <v>#DIV/0!</v>
      </c>
      <c r="BO244" s="84" t="e">
        <f t="shared" si="2285"/>
        <v>#DIV/0!</v>
      </c>
      <c r="BP244" s="84" t="e">
        <f t="shared" si="2285"/>
        <v>#DIV/0!</v>
      </c>
      <c r="BQ244" s="84" t="e">
        <f t="shared" si="2285"/>
        <v>#DIV/0!</v>
      </c>
      <c r="BR244" s="84" t="e">
        <f t="shared" si="2285"/>
        <v>#DIV/0!</v>
      </c>
      <c r="BS244" s="84" t="e">
        <f t="shared" si="2285"/>
        <v>#DIV/0!</v>
      </c>
      <c r="BT244" s="84" t="e">
        <f t="shared" si="2285"/>
        <v>#DIV/0!</v>
      </c>
      <c r="BU244" s="84" t="e">
        <f t="shared" si="2285"/>
        <v>#DIV/0!</v>
      </c>
      <c r="BV244" s="84" t="e">
        <f t="shared" si="2285"/>
        <v>#DIV/0!</v>
      </c>
      <c r="BW244" s="84" t="e">
        <f t="shared" si="2285"/>
        <v>#DIV/0!</v>
      </c>
      <c r="BX244" s="84" t="e">
        <f t="shared" si="2285"/>
        <v>#DIV/0!</v>
      </c>
      <c r="BY244" s="84" t="e">
        <f t="shared" si="2285"/>
        <v>#DIV/0!</v>
      </c>
      <c r="BZ244" s="84" t="e">
        <f t="shared" si="2285"/>
        <v>#DIV/0!</v>
      </c>
      <c r="CA244" s="84" t="e">
        <f t="shared" si="2285"/>
        <v>#DIV/0!</v>
      </c>
      <c r="CB244" s="84">
        <f t="shared" si="2285"/>
        <v>0.32424980327279712</v>
      </c>
      <c r="CC244" s="84">
        <f t="shared" si="2285"/>
        <v>0.47509503659145452</v>
      </c>
      <c r="CD244" s="84">
        <f t="shared" si="2285"/>
        <v>0.64613771665757225</v>
      </c>
      <c r="CE244" s="84">
        <f t="shared" si="2285"/>
        <v>0.65643782454426081</v>
      </c>
      <c r="CF244" s="84">
        <f t="shared" si="2285"/>
        <v>0.68626684183190256</v>
      </c>
      <c r="CG244" s="84">
        <f t="shared" si="2285"/>
        <v>0.70892434966798135</v>
      </c>
      <c r="CH244" s="84">
        <f t="shared" si="2285"/>
        <v>0.68214048630326096</v>
      </c>
      <c r="CI244" s="84">
        <f t="shared" si="2285"/>
        <v>0.66653413459704902</v>
      </c>
      <c r="CJ244" s="84">
        <f t="shared" si="2285"/>
        <v>0.6871694050461078</v>
      </c>
      <c r="CK244" s="50">
        <f t="shared" ref="CK244" si="2286">SUM(CH10:CK10)/(CK161+CK148+CK138)</f>
        <v>0.71839929134794278</v>
      </c>
      <c r="CL244" s="84">
        <f t="shared" si="2285"/>
        <v>0.70542793250660696</v>
      </c>
      <c r="CM244" s="50">
        <f t="shared" ref="CM244:DB244" si="2287">SUM(CJ10:CM10)/(CM161+CM148+CM138)</f>
        <v>0.71974645977455964</v>
      </c>
      <c r="CN244" s="50">
        <f t="shared" si="2287"/>
        <v>0.73603090512123281</v>
      </c>
      <c r="CO244" s="50">
        <f t="shared" si="2287"/>
        <v>0.75628331350559419</v>
      </c>
      <c r="CP244" s="50">
        <f t="shared" si="2287"/>
        <v>0.77624960344755445</v>
      </c>
      <c r="CQ244" s="50">
        <f t="shared" si="2287"/>
        <v>0.79943415494833359</v>
      </c>
      <c r="CR244" s="50">
        <f t="shared" si="2287"/>
        <v>0.81764139805005931</v>
      </c>
      <c r="CS244" s="50">
        <f t="shared" si="2287"/>
        <v>0.83704831772659039</v>
      </c>
      <c r="CT244" s="50">
        <f t="shared" si="2287"/>
        <v>0.85688974066407775</v>
      </c>
      <c r="CU244" s="50">
        <f t="shared" si="2287"/>
        <v>0.88404777374899346</v>
      </c>
      <c r="CV244" s="50">
        <f t="shared" si="2287"/>
        <v>0.90235761472255349</v>
      </c>
      <c r="CW244" s="50">
        <f t="shared" si="2287"/>
        <v>0.92156831583324983</v>
      </c>
      <c r="CX244" s="50">
        <f t="shared" si="2287"/>
        <v>0.94168533738752935</v>
      </c>
      <c r="CY244" s="50">
        <f t="shared" si="2287"/>
        <v>0.97167317036048206</v>
      </c>
      <c r="CZ244" s="50">
        <f t="shared" si="2287"/>
        <v>0.98947226130397181</v>
      </c>
      <c r="DA244" s="50">
        <f t="shared" si="2287"/>
        <v>1.0082358349797371</v>
      </c>
      <c r="DB244" s="50">
        <f t="shared" si="2287"/>
        <v>1.0281391266230002</v>
      </c>
      <c r="DE244" s="138"/>
      <c r="DF244" s="84">
        <v>0.70542793250660696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 t="e">
        <f t="shared" si="2288"/>
        <v>#DIV/0!</v>
      </c>
      <c r="I245" s="181" t="e">
        <f t="shared" si="2288"/>
        <v>#DIV/0!</v>
      </c>
      <c r="J245" s="181" t="e">
        <f t="shared" si="2288"/>
        <v>#DIV/0!</v>
      </c>
      <c r="K245" s="181" t="e">
        <f t="shared" si="2288"/>
        <v>#DIV/0!</v>
      </c>
      <c r="L245" s="181" t="e">
        <f t="shared" si="2288"/>
        <v>#DIV/0!</v>
      </c>
      <c r="M245" s="181" t="e">
        <f t="shared" si="2288"/>
        <v>#DIV/0!</v>
      </c>
      <c r="N245" s="181" t="e">
        <f t="shared" si="2288"/>
        <v>#DIV/0!</v>
      </c>
      <c r="O245" s="181" t="e">
        <f t="shared" si="2288"/>
        <v>#DIV/0!</v>
      </c>
      <c r="P245" s="181" t="e">
        <f t="shared" si="2288"/>
        <v>#DIV/0!</v>
      </c>
      <c r="Q245" s="181" t="e">
        <f t="shared" si="2288"/>
        <v>#DIV/0!</v>
      </c>
      <c r="R245" s="181" t="e">
        <f t="shared" si="2288"/>
        <v>#DIV/0!</v>
      </c>
      <c r="S245" s="181" t="e">
        <f t="shared" si="2288"/>
        <v>#DIV/0!</v>
      </c>
      <c r="T245" s="181" t="e">
        <f t="shared" si="2288"/>
        <v>#DIV/0!</v>
      </c>
      <c r="U245" s="181" t="e">
        <f t="shared" si="2288"/>
        <v>#DIV/0!</v>
      </c>
      <c r="V245" s="181" t="e">
        <f t="shared" si="2288"/>
        <v>#DIV/0!</v>
      </c>
      <c r="W245" s="181" t="e">
        <f t="shared" si="2288"/>
        <v>#DIV/0!</v>
      </c>
      <c r="X245" s="181" t="e">
        <f t="shared" si="2288"/>
        <v>#DIV/0!</v>
      </c>
      <c r="Y245" s="181">
        <f t="shared" si="2288"/>
        <v>2.3769535141905725E-2</v>
      </c>
      <c r="Z245" s="181">
        <f t="shared" si="2288"/>
        <v>4.8201798201798297E-2</v>
      </c>
      <c r="AA245" s="181">
        <f t="shared" ref="AA245" si="2289">+AA42</f>
        <v>5.3367207644471344E-2</v>
      </c>
      <c r="AB245" s="182">
        <f t="shared" si="2288"/>
        <v>8.2235947008312091E-2</v>
      </c>
      <c r="AC245" s="182">
        <f t="shared" si="2288"/>
        <v>7.65248990180179E-2</v>
      </c>
      <c r="AD245" s="182">
        <f t="shared" si="2288"/>
        <v>7.377687471155743E-2</v>
      </c>
      <c r="AE245" s="182">
        <f t="shared" si="2288"/>
        <v>7.2489314563713436E-2</v>
      </c>
      <c r="AL245" s="181" t="e">
        <f t="shared" ref="AL245:CW245" si="2290">+AL42</f>
        <v>#DIV/0!</v>
      </c>
      <c r="AM245" s="181" t="e">
        <f t="shared" si="2290"/>
        <v>#DIV/0!</v>
      </c>
      <c r="AN245" s="181" t="e">
        <f t="shared" si="2290"/>
        <v>#DIV/0!</v>
      </c>
      <c r="AO245" s="181" t="e">
        <f t="shared" si="2290"/>
        <v>#DIV/0!</v>
      </c>
      <c r="AP245" s="181" t="e">
        <f t="shared" si="2290"/>
        <v>#DIV/0!</v>
      </c>
      <c r="AQ245" s="181" t="e">
        <f t="shared" si="2290"/>
        <v>#DIV/0!</v>
      </c>
      <c r="AR245" s="181" t="e">
        <f t="shared" si="2290"/>
        <v>#DIV/0!</v>
      </c>
      <c r="AS245" s="181" t="e">
        <f t="shared" si="2290"/>
        <v>#DIV/0!</v>
      </c>
      <c r="AT245" s="181" t="e">
        <f t="shared" si="2290"/>
        <v>#DIV/0!</v>
      </c>
      <c r="AU245" s="181" t="e">
        <f t="shared" si="2290"/>
        <v>#DIV/0!</v>
      </c>
      <c r="AV245" s="181" t="e">
        <f t="shared" si="2290"/>
        <v>#DIV/0!</v>
      </c>
      <c r="AW245" s="181" t="e">
        <f t="shared" si="2290"/>
        <v>#DIV/0!</v>
      </c>
      <c r="AX245" s="181" t="e">
        <f t="shared" si="2290"/>
        <v>#DIV/0!</v>
      </c>
      <c r="AY245" s="181" t="e">
        <f t="shared" si="2290"/>
        <v>#DIV/0!</v>
      </c>
      <c r="AZ245" s="181" t="e">
        <f t="shared" si="2290"/>
        <v>#DIV/0!</v>
      </c>
      <c r="BA245" s="181" t="e">
        <f t="shared" si="2290"/>
        <v>#DIV/0!</v>
      </c>
      <c r="BB245" s="181" t="e">
        <f t="shared" si="2290"/>
        <v>#DIV/0!</v>
      </c>
      <c r="BC245" s="181" t="e">
        <f t="shared" si="2290"/>
        <v>#DIV/0!</v>
      </c>
      <c r="BD245" s="181" t="e">
        <f t="shared" si="2290"/>
        <v>#DIV/0!</v>
      </c>
      <c r="BE245" s="181" t="e">
        <f t="shared" si="2290"/>
        <v>#DIV/0!</v>
      </c>
      <c r="BF245" s="181" t="e">
        <f t="shared" si="2290"/>
        <v>#DIV/0!</v>
      </c>
      <c r="BG245" s="181" t="e">
        <f t="shared" si="2290"/>
        <v>#DIV/0!</v>
      </c>
      <c r="BH245" s="181" t="e">
        <f t="shared" si="2290"/>
        <v>#DIV/0!</v>
      </c>
      <c r="BI245" s="181" t="e">
        <f t="shared" si="2290"/>
        <v>#DIV/0!</v>
      </c>
      <c r="BJ245" s="181" t="e">
        <f t="shared" si="2290"/>
        <v>#DIV/0!</v>
      </c>
      <c r="BK245" s="181" t="e">
        <f t="shared" si="2290"/>
        <v>#DIV/0!</v>
      </c>
      <c r="BL245" s="181" t="e">
        <f t="shared" si="2290"/>
        <v>#DIV/0!</v>
      </c>
      <c r="BM245" s="181" t="e">
        <f t="shared" si="2290"/>
        <v>#DIV/0!</v>
      </c>
      <c r="BN245" s="181" t="e">
        <f t="shared" si="2290"/>
        <v>#DIV/0!</v>
      </c>
      <c r="BO245" s="181" t="e">
        <f t="shared" si="2290"/>
        <v>#DIV/0!</v>
      </c>
      <c r="BP245" s="181" t="e">
        <f t="shared" si="2290"/>
        <v>#DIV/0!</v>
      </c>
      <c r="BQ245" s="181" t="e">
        <f t="shared" si="2290"/>
        <v>#DIV/0!</v>
      </c>
      <c r="BR245" s="181" t="e">
        <f t="shared" si="2290"/>
        <v>#DIV/0!</v>
      </c>
      <c r="BS245" s="181" t="e">
        <f t="shared" si="2290"/>
        <v>#DIV/0!</v>
      </c>
      <c r="BT245" s="181" t="e">
        <f t="shared" si="2290"/>
        <v>#DIV/0!</v>
      </c>
      <c r="BU245" s="181" t="e">
        <f t="shared" si="2290"/>
        <v>#DIV/0!</v>
      </c>
      <c r="BV245" s="181" t="e">
        <f t="shared" si="2290"/>
        <v>#DIV/0!</v>
      </c>
      <c r="BW245" s="181" t="e">
        <f t="shared" si="2290"/>
        <v>#DIV/0!</v>
      </c>
      <c r="BX245" s="181" t="e">
        <f t="shared" si="2290"/>
        <v>#DIV/0!</v>
      </c>
      <c r="BY245" s="181" t="e">
        <f t="shared" si="2290"/>
        <v>#DIV/0!</v>
      </c>
      <c r="BZ245" s="181" t="e">
        <f t="shared" si="2290"/>
        <v>#DIV/0!</v>
      </c>
      <c r="CA245" s="181">
        <f t="shared" si="2290"/>
        <v>1.5800668489820657E-2</v>
      </c>
      <c r="CB245" s="181">
        <f t="shared" si="2290"/>
        <v>2.3651117178787047E-2</v>
      </c>
      <c r="CC245" s="181">
        <f t="shared" si="2290"/>
        <v>1.8370770426741928E-2</v>
      </c>
      <c r="CD245" s="181">
        <f t="shared" si="2290"/>
        <v>3.58203739297571E-2</v>
      </c>
      <c r="CE245" s="181">
        <f t="shared" si="2290"/>
        <v>4.0982183169520417E-2</v>
      </c>
      <c r="CF245" s="181">
        <f t="shared" si="2290"/>
        <v>6.7625238001444349E-2</v>
      </c>
      <c r="CG245" s="181">
        <f t="shared" si="2290"/>
        <v>3.2877192982456081E-2</v>
      </c>
      <c r="CH245" s="181">
        <f t="shared" si="2290"/>
        <v>5.0068756390818397E-2</v>
      </c>
      <c r="CI245" s="181">
        <f t="shared" si="2290"/>
        <v>5.0494864612511563E-2</v>
      </c>
      <c r="CJ245" s="181">
        <f t="shared" si="2290"/>
        <v>4.7361259022600875E-2</v>
      </c>
      <c r="CK245" s="182">
        <f t="shared" si="2290"/>
        <v>3.775206232813931E-2</v>
      </c>
      <c r="CL245" s="181">
        <f t="shared" ref="CL245" si="2291">+CL42</f>
        <v>7.6053782067145054E-2</v>
      </c>
      <c r="CM245" s="182">
        <f t="shared" si="2290"/>
        <v>9.5105075994331767E-2</v>
      </c>
      <c r="CN245" s="182">
        <f t="shared" si="2290"/>
        <v>4.9377036617653532E-2</v>
      </c>
      <c r="CO245" s="182">
        <f t="shared" si="2290"/>
        <v>9.3174656730164424E-2</v>
      </c>
      <c r="CP245" s="182">
        <f t="shared" si="2290"/>
        <v>9.2902049643406912E-2</v>
      </c>
      <c r="CQ245" s="182">
        <f t="shared" si="2290"/>
        <v>8.7626965321915065E-2</v>
      </c>
      <c r="CR245" s="182">
        <f t="shared" si="2290"/>
        <v>4.2296813550133761E-2</v>
      </c>
      <c r="CS245" s="182">
        <f t="shared" si="2290"/>
        <v>8.9522414841502126E-2</v>
      </c>
      <c r="CT245" s="182">
        <f t="shared" si="2290"/>
        <v>8.7754022415900135E-2</v>
      </c>
      <c r="CU245" s="182">
        <f t="shared" si="2290"/>
        <v>8.3419635809079018E-2</v>
      </c>
      <c r="CV245" s="182">
        <f t="shared" si="2290"/>
        <v>3.9386910160377986E-2</v>
      </c>
      <c r="CW245" s="182">
        <f t="shared" si="2290"/>
        <v>8.7332662078973528E-2</v>
      </c>
      <c r="CX245" s="182">
        <f t="shared" ref="CX245:DB245" si="2292">+CX42</f>
        <v>8.5640735536167453E-2</v>
      </c>
      <c r="CY245" s="182">
        <f t="shared" si="2292"/>
        <v>8.1385177792001787E-2</v>
      </c>
      <c r="CZ245" s="182">
        <f t="shared" si="2292"/>
        <v>3.8060645565485711E-2</v>
      </c>
      <c r="DA245" s="182">
        <f t="shared" si="2292"/>
        <v>8.6254175798666455E-2</v>
      </c>
      <c r="DB245" s="182">
        <f t="shared" si="2292"/>
        <v>8.470534553353927E-2</v>
      </c>
      <c r="DE245" s="138"/>
      <c r="DF245" s="84">
        <v>5.3367207644471344E-2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 t="e">
        <f t="shared" si="2293"/>
        <v>#DIV/0!</v>
      </c>
      <c r="I246" s="84" t="e">
        <f t="shared" si="2293"/>
        <v>#DIV/0!</v>
      </c>
      <c r="J246" s="84" t="e">
        <f t="shared" si="2293"/>
        <v>#DIV/0!</v>
      </c>
      <c r="K246" s="84" t="e">
        <f t="shared" si="2293"/>
        <v>#DIV/0!</v>
      </c>
      <c r="L246" s="84" t="e">
        <f t="shared" si="2293"/>
        <v>#DIV/0!</v>
      </c>
      <c r="M246" s="84" t="e">
        <f t="shared" si="2293"/>
        <v>#DIV/0!</v>
      </c>
      <c r="N246" s="84" t="e">
        <f t="shared" si="2293"/>
        <v>#DIV/0!</v>
      </c>
      <c r="O246" s="84" t="e">
        <f t="shared" si="2293"/>
        <v>#DIV/0!</v>
      </c>
      <c r="P246" s="84" t="e">
        <f t="shared" si="2293"/>
        <v>#DIV/0!</v>
      </c>
      <c r="Q246" s="84" t="e">
        <f t="shared" si="2293"/>
        <v>#DIV/0!</v>
      </c>
      <c r="R246" s="84" t="e">
        <f t="shared" si="2293"/>
        <v>#DIV/0!</v>
      </c>
      <c r="S246" s="84" t="e">
        <f t="shared" si="2293"/>
        <v>#DIV/0!</v>
      </c>
      <c r="T246" s="84" t="e">
        <f t="shared" si="2293"/>
        <v>#DIV/0!</v>
      </c>
      <c r="U246" s="84" t="e">
        <f t="shared" si="2293"/>
        <v>#DIV/0!</v>
      </c>
      <c r="V246" s="84">
        <f t="shared" si="2293"/>
        <v>1.2389543358264237</v>
      </c>
      <c r="W246" s="84">
        <f t="shared" si="2293"/>
        <v>1.7254817132017701</v>
      </c>
      <c r="X246" s="84" t="e">
        <f t="shared" si="2293"/>
        <v>#DIV/0!</v>
      </c>
      <c r="Y246" s="84">
        <f t="shared" si="2293"/>
        <v>1.1783137051148826</v>
      </c>
      <c r="Z246" s="84">
        <f t="shared" si="2293"/>
        <v>1.1846832431229042</v>
      </c>
      <c r="AA246" s="84">
        <f t="shared" ref="AA246" si="2294">(AA161+AA148+AA138+AA140)/AA120</f>
        <v>1.2448868212101247</v>
      </c>
      <c r="AB246" s="50">
        <f t="shared" si="2293"/>
        <v>1.2372541122788983</v>
      </c>
      <c r="AC246" s="50">
        <f t="shared" si="2293"/>
        <v>1.2305416971134302</v>
      </c>
      <c r="AD246" s="50">
        <f t="shared" si="2293"/>
        <v>1.224498990788973</v>
      </c>
      <c r="AE246" s="50">
        <f t="shared" si="2293"/>
        <v>1.2188575103970587</v>
      </c>
      <c r="AL246" s="84" t="e">
        <f t="shared" ref="AL246:CW246" si="2295">(AL161+AL148+AL138+AL140)/AL120</f>
        <v>#DIV/0!</v>
      </c>
      <c r="AM246" s="84" t="e">
        <f t="shared" si="2295"/>
        <v>#DIV/0!</v>
      </c>
      <c r="AN246" s="84" t="e">
        <f t="shared" si="2295"/>
        <v>#DIV/0!</v>
      </c>
      <c r="AO246" s="84" t="e">
        <f t="shared" si="2295"/>
        <v>#DIV/0!</v>
      </c>
      <c r="AP246" s="84" t="e">
        <f t="shared" si="2295"/>
        <v>#DIV/0!</v>
      </c>
      <c r="AQ246" s="84" t="e">
        <f t="shared" si="2295"/>
        <v>#DIV/0!</v>
      </c>
      <c r="AR246" s="84" t="e">
        <f t="shared" si="2295"/>
        <v>#DIV/0!</v>
      </c>
      <c r="AS246" s="84" t="e">
        <f t="shared" si="2295"/>
        <v>#DIV/0!</v>
      </c>
      <c r="AT246" s="84" t="e">
        <f t="shared" si="2295"/>
        <v>#DIV/0!</v>
      </c>
      <c r="AU246" s="84" t="e">
        <f t="shared" si="2295"/>
        <v>#DIV/0!</v>
      </c>
      <c r="AV246" s="84" t="e">
        <f t="shared" si="2295"/>
        <v>#DIV/0!</v>
      </c>
      <c r="AW246" s="84" t="e">
        <f t="shared" si="2295"/>
        <v>#DIV/0!</v>
      </c>
      <c r="AX246" s="84" t="e">
        <f t="shared" si="2295"/>
        <v>#DIV/0!</v>
      </c>
      <c r="AY246" s="84" t="e">
        <f t="shared" si="2295"/>
        <v>#DIV/0!</v>
      </c>
      <c r="AZ246" s="84" t="e">
        <f t="shared" si="2295"/>
        <v>#DIV/0!</v>
      </c>
      <c r="BA246" s="84" t="e">
        <f t="shared" si="2295"/>
        <v>#DIV/0!</v>
      </c>
      <c r="BB246" s="84" t="e">
        <f t="shared" si="2295"/>
        <v>#DIV/0!</v>
      </c>
      <c r="BC246" s="84" t="e">
        <f t="shared" si="2295"/>
        <v>#DIV/0!</v>
      </c>
      <c r="BD246" s="84" t="e">
        <f t="shared" si="2295"/>
        <v>#DIV/0!</v>
      </c>
      <c r="BE246" s="84" t="e">
        <f t="shared" si="2295"/>
        <v>#DIV/0!</v>
      </c>
      <c r="BF246" s="84" t="e">
        <f t="shared" si="2295"/>
        <v>#DIV/0!</v>
      </c>
      <c r="BG246" s="84" t="e">
        <f t="shared" si="2295"/>
        <v>#DIV/0!</v>
      </c>
      <c r="BH246" s="84" t="e">
        <f t="shared" si="2295"/>
        <v>#DIV/0!</v>
      </c>
      <c r="BI246" s="84" t="e">
        <f t="shared" si="2295"/>
        <v>#DIV/0!</v>
      </c>
      <c r="BJ246" s="84" t="e">
        <f t="shared" si="2295"/>
        <v>#DIV/0!</v>
      </c>
      <c r="BK246" s="84" t="e">
        <f t="shared" si="2295"/>
        <v>#DIV/0!</v>
      </c>
      <c r="BL246" s="84" t="e">
        <f t="shared" si="2295"/>
        <v>#DIV/0!</v>
      </c>
      <c r="BM246" s="84" t="e">
        <f t="shared" si="2295"/>
        <v>#DIV/0!</v>
      </c>
      <c r="BN246" s="84" t="e">
        <f t="shared" si="2295"/>
        <v>#DIV/0!</v>
      </c>
      <c r="BO246" s="84" t="e">
        <f t="shared" si="2295"/>
        <v>#DIV/0!</v>
      </c>
      <c r="BP246" s="84" t="e">
        <f t="shared" si="2295"/>
        <v>#DIV/0!</v>
      </c>
      <c r="BQ246" s="84" t="e">
        <f t="shared" si="2295"/>
        <v>#DIV/0!</v>
      </c>
      <c r="BR246" s="84" t="e">
        <f t="shared" si="2295"/>
        <v>#DIV/0!</v>
      </c>
      <c r="BS246" s="84" t="e">
        <f t="shared" si="2295"/>
        <v>#DIV/0!</v>
      </c>
      <c r="BT246" s="84" t="e">
        <f t="shared" si="2295"/>
        <v>#DIV/0!</v>
      </c>
      <c r="BU246" s="84" t="e">
        <f t="shared" si="2295"/>
        <v>#DIV/0!</v>
      </c>
      <c r="BV246" s="84" t="e">
        <f t="shared" si="2295"/>
        <v>#DIV/0!</v>
      </c>
      <c r="BW246" s="84" t="e">
        <f t="shared" si="2295"/>
        <v>#DIV/0!</v>
      </c>
      <c r="BX246" s="84" t="e">
        <f t="shared" si="2295"/>
        <v>#DIV/0!</v>
      </c>
      <c r="BY246" s="84" t="e">
        <f t="shared" si="2295"/>
        <v>#DIV/0!</v>
      </c>
      <c r="BZ246" s="84" t="e">
        <f t="shared" si="2295"/>
        <v>#DIV/0!</v>
      </c>
      <c r="CA246" s="84" t="e">
        <f t="shared" si="2295"/>
        <v>#DIV/0!</v>
      </c>
      <c r="CB246" s="84">
        <f t="shared" si="2295"/>
        <v>1.1797253192561277</v>
      </c>
      <c r="CC246" s="84">
        <f t="shared" si="2295"/>
        <v>1.1773399811016574</v>
      </c>
      <c r="CD246" s="84">
        <f t="shared" si="2295"/>
        <v>1.1783137051148826</v>
      </c>
      <c r="CE246" s="84">
        <f t="shared" si="2295"/>
        <v>1.1769217849073987</v>
      </c>
      <c r="CF246" s="84">
        <f t="shared" si="2295"/>
        <v>1.1577235312420444</v>
      </c>
      <c r="CG246" s="84">
        <f t="shared" si="2295"/>
        <v>1.1535809589304391</v>
      </c>
      <c r="CH246" s="84">
        <f t="shared" si="2295"/>
        <v>1.1846832431229042</v>
      </c>
      <c r="CI246" s="84">
        <f t="shared" si="2295"/>
        <v>1.1802469533694264</v>
      </c>
      <c r="CJ246" s="84">
        <f t="shared" si="2295"/>
        <v>1.1691193566475648</v>
      </c>
      <c r="CK246" s="50">
        <f t="shared" si="2295"/>
        <v>1.1688147049413742</v>
      </c>
      <c r="CL246" s="84">
        <f t="shared" ref="CL246" si="2296">(CL161+CL148+CL138+CL140)/CL120</f>
        <v>1.2448868212101247</v>
      </c>
      <c r="CM246" s="50">
        <f t="shared" si="2295"/>
        <v>1.2302911514700123</v>
      </c>
      <c r="CN246" s="50">
        <f t="shared" si="2295"/>
        <v>1.2434969328413923</v>
      </c>
      <c r="CO246" s="50">
        <f t="shared" si="2295"/>
        <v>1.2407222325930154</v>
      </c>
      <c r="CP246" s="50">
        <f t="shared" si="2295"/>
        <v>1.2372541122788983</v>
      </c>
      <c r="CQ246" s="50">
        <f t="shared" si="2295"/>
        <v>1.2207727493207547</v>
      </c>
      <c r="CR246" s="50">
        <f t="shared" si="2295"/>
        <v>1.2364654933623798</v>
      </c>
      <c r="CS246" s="50">
        <f t="shared" si="2295"/>
        <v>1.2339661200259635</v>
      </c>
      <c r="CT246" s="50">
        <f t="shared" si="2295"/>
        <v>1.2305416971134302</v>
      </c>
      <c r="CU246" s="50">
        <f t="shared" si="2295"/>
        <v>1.2127132848503797</v>
      </c>
      <c r="CV246" s="50">
        <f t="shared" si="2295"/>
        <v>1.2303653954211391</v>
      </c>
      <c r="CW246" s="50">
        <f t="shared" si="2295"/>
        <v>1.2279574047652271</v>
      </c>
      <c r="CX246" s="50">
        <f t="shared" ref="CX246:DB246" si="2297">(CX161+CX148+CX138+CX140)/CX120</f>
        <v>1.224498990788973</v>
      </c>
      <c r="CY246" s="50">
        <f t="shared" si="2297"/>
        <v>1.2052716333322426</v>
      </c>
      <c r="CZ246" s="50">
        <f t="shared" si="2297"/>
        <v>1.224756752089712</v>
      </c>
      <c r="DA246" s="50">
        <f t="shared" si="2297"/>
        <v>1.2223828565908768</v>
      </c>
      <c r="DB246" s="50">
        <f t="shared" si="2297"/>
        <v>1.2188575103970587</v>
      </c>
      <c r="DE246" s="138"/>
      <c r="DF246" s="84">
        <v>1.2448868212101247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 t="e">
        <f t="shared" si="2298"/>
        <v>#DIV/0!</v>
      </c>
      <c r="D248" s="88" t="e">
        <f t="shared" si="2298"/>
        <v>#DIV/0!</v>
      </c>
      <c r="F248" s="88" t="e">
        <f t="shared" si="2298"/>
        <v>#DIV/0!</v>
      </c>
      <c r="G248" s="88" t="e">
        <f t="shared" si="2298"/>
        <v>#DIV/0!</v>
      </c>
      <c r="H248" s="88" t="e">
        <f t="shared" si="2298"/>
        <v>#DIV/0!</v>
      </c>
      <c r="I248" s="88" t="e">
        <f t="shared" si="2298"/>
        <v>#DIV/0!</v>
      </c>
      <c r="J248" s="88" t="e">
        <f t="shared" si="2298"/>
        <v>#DIV/0!</v>
      </c>
      <c r="K248" s="88" t="e">
        <f t="shared" si="2298"/>
        <v>#DIV/0!</v>
      </c>
      <c r="L248" s="88" t="e">
        <f t="shared" si="2298"/>
        <v>#DIV/0!</v>
      </c>
      <c r="M248" s="88" t="e">
        <f t="shared" si="2298"/>
        <v>#DIV/0!</v>
      </c>
      <c r="N248" s="88" t="e">
        <f t="shared" si="2298"/>
        <v>#DIV/0!</v>
      </c>
      <c r="O248" s="88" t="e">
        <f t="shared" si="2298"/>
        <v>#DIV/0!</v>
      </c>
      <c r="P248" s="88" t="e">
        <f t="shared" si="2298"/>
        <v>#DIV/0!</v>
      </c>
      <c r="Q248" s="88" t="e">
        <f t="shared" si="2298"/>
        <v>#DIV/0!</v>
      </c>
      <c r="R248" s="88" t="e">
        <f t="shared" si="2298"/>
        <v>#DIV/0!</v>
      </c>
      <c r="S248" s="88" t="e">
        <f t="shared" si="2298"/>
        <v>#DIV/0!</v>
      </c>
      <c r="T248" s="88" t="e">
        <f t="shared" si="2298"/>
        <v>#DIV/0!</v>
      </c>
      <c r="U248" s="88" t="e">
        <f t="shared" si="2298"/>
        <v>#DIV/0!</v>
      </c>
      <c r="V248" s="88">
        <f t="shared" si="2298"/>
        <v>1.2389543358264237</v>
      </c>
      <c r="W248" s="88">
        <f t="shared" si="2298"/>
        <v>1.7254817132017701</v>
      </c>
      <c r="X248" s="88" t="e">
        <f t="shared" si="2298"/>
        <v>#DIV/0!</v>
      </c>
      <c r="Y248" s="88">
        <f t="shared" si="2298"/>
        <v>8.6306431128045265E-3</v>
      </c>
      <c r="Z248" s="88">
        <f t="shared" si="2298"/>
        <v>3.5202938680098514E-3</v>
      </c>
      <c r="AA248" s="88">
        <f t="shared" ref="AA248" si="2299">AA161/AA120</f>
        <v>1.160739838534699E-2</v>
      </c>
      <c r="AB248" s="42">
        <f t="shared" si="2298"/>
        <v>1.8842237370106856E-2</v>
      </c>
      <c r="AC248" s="42">
        <f t="shared" si="2298"/>
        <v>2.2804379214650589E-2</v>
      </c>
      <c r="AD248" s="42">
        <f t="shared" si="2298"/>
        <v>2.3838916897551316E-2</v>
      </c>
      <c r="AE248" s="42">
        <f t="shared" si="2298"/>
        <v>2.3260616950712455E-2</v>
      </c>
      <c r="AL248" s="88" t="e">
        <f t="shared" ref="AL248:CW248" si="2300">AL161/AL120</f>
        <v>#DIV/0!</v>
      </c>
      <c r="AM248" s="88" t="e">
        <f t="shared" si="2300"/>
        <v>#DIV/0!</v>
      </c>
      <c r="AN248" s="88" t="e">
        <f t="shared" si="2300"/>
        <v>#DIV/0!</v>
      </c>
      <c r="AO248" s="88" t="e">
        <f t="shared" si="2300"/>
        <v>#DIV/0!</v>
      </c>
      <c r="AP248" s="88" t="e">
        <f t="shared" si="2300"/>
        <v>#DIV/0!</v>
      </c>
      <c r="AQ248" s="88" t="e">
        <f t="shared" si="2300"/>
        <v>#DIV/0!</v>
      </c>
      <c r="AR248" s="88" t="e">
        <f t="shared" si="2300"/>
        <v>#DIV/0!</v>
      </c>
      <c r="AS248" s="88" t="e">
        <f t="shared" si="2300"/>
        <v>#DIV/0!</v>
      </c>
      <c r="AT248" s="88" t="e">
        <f t="shared" si="2300"/>
        <v>#DIV/0!</v>
      </c>
      <c r="AU248" s="88" t="e">
        <f t="shared" si="2300"/>
        <v>#DIV/0!</v>
      </c>
      <c r="AV248" s="88" t="e">
        <f t="shared" si="2300"/>
        <v>#DIV/0!</v>
      </c>
      <c r="AW248" s="88" t="e">
        <f t="shared" si="2300"/>
        <v>#DIV/0!</v>
      </c>
      <c r="AX248" s="88" t="e">
        <f t="shared" si="2300"/>
        <v>#DIV/0!</v>
      </c>
      <c r="AY248" s="88" t="e">
        <f t="shared" si="2300"/>
        <v>#DIV/0!</v>
      </c>
      <c r="AZ248" s="88" t="e">
        <f t="shared" si="2300"/>
        <v>#DIV/0!</v>
      </c>
      <c r="BA248" s="88" t="e">
        <f t="shared" si="2300"/>
        <v>#DIV/0!</v>
      </c>
      <c r="BB248" s="88" t="e">
        <f t="shared" si="2300"/>
        <v>#DIV/0!</v>
      </c>
      <c r="BC248" s="88" t="e">
        <f t="shared" si="2300"/>
        <v>#DIV/0!</v>
      </c>
      <c r="BD248" s="88" t="e">
        <f t="shared" si="2300"/>
        <v>#DIV/0!</v>
      </c>
      <c r="BE248" s="88" t="e">
        <f t="shared" si="2300"/>
        <v>#DIV/0!</v>
      </c>
      <c r="BF248" s="88" t="e">
        <f t="shared" si="2300"/>
        <v>#DIV/0!</v>
      </c>
      <c r="BG248" s="88" t="e">
        <f t="shared" si="2300"/>
        <v>#DIV/0!</v>
      </c>
      <c r="BH248" s="88" t="e">
        <f t="shared" si="2300"/>
        <v>#DIV/0!</v>
      </c>
      <c r="BI248" s="88" t="e">
        <f t="shared" si="2300"/>
        <v>#DIV/0!</v>
      </c>
      <c r="BJ248" s="88" t="e">
        <f t="shared" si="2300"/>
        <v>#DIV/0!</v>
      </c>
      <c r="BK248" s="88" t="e">
        <f t="shared" si="2300"/>
        <v>#DIV/0!</v>
      </c>
      <c r="BL248" s="88" t="e">
        <f t="shared" si="2300"/>
        <v>#DIV/0!</v>
      </c>
      <c r="BM248" s="88" t="e">
        <f t="shared" si="2300"/>
        <v>#DIV/0!</v>
      </c>
      <c r="BN248" s="88" t="e">
        <f t="shared" si="2300"/>
        <v>#DIV/0!</v>
      </c>
      <c r="BO248" s="88" t="e">
        <f t="shared" si="2300"/>
        <v>#DIV/0!</v>
      </c>
      <c r="BP248" s="88" t="e">
        <f t="shared" si="2300"/>
        <v>#DIV/0!</v>
      </c>
      <c r="BQ248" s="88" t="e">
        <f t="shared" si="2300"/>
        <v>#DIV/0!</v>
      </c>
      <c r="BR248" s="88" t="e">
        <f t="shared" si="2300"/>
        <v>#DIV/0!</v>
      </c>
      <c r="BS248" s="88" t="e">
        <f t="shared" si="2300"/>
        <v>#DIV/0!</v>
      </c>
      <c r="BT248" s="88" t="e">
        <f t="shared" si="2300"/>
        <v>#DIV/0!</v>
      </c>
      <c r="BU248" s="88" t="e">
        <f t="shared" si="2300"/>
        <v>#DIV/0!</v>
      </c>
      <c r="BV248" s="88" t="e">
        <f t="shared" si="2300"/>
        <v>#DIV/0!</v>
      </c>
      <c r="BW248" s="88" t="e">
        <f t="shared" si="2300"/>
        <v>#DIV/0!</v>
      </c>
      <c r="BX248" s="88" t="e">
        <f t="shared" si="2300"/>
        <v>#DIV/0!</v>
      </c>
      <c r="BY248" s="88" t="e">
        <f t="shared" si="2300"/>
        <v>#DIV/0!</v>
      </c>
      <c r="BZ248" s="88" t="e">
        <f t="shared" si="2300"/>
        <v>#DIV/0!</v>
      </c>
      <c r="CA248" s="88" t="e">
        <f t="shared" si="2300"/>
        <v>#DIV/0!</v>
      </c>
      <c r="CB248" s="88">
        <f t="shared" si="2300"/>
        <v>3.7814236377309997E-2</v>
      </c>
      <c r="CC248" s="88">
        <f t="shared" si="2300"/>
        <v>5.5640069055483729E-2</v>
      </c>
      <c r="CD248" s="88">
        <f t="shared" si="2300"/>
        <v>8.6306431128045265E-3</v>
      </c>
      <c r="CE248" s="88">
        <f t="shared" si="2300"/>
        <v>1.5047434184949278E-2</v>
      </c>
      <c r="CF248" s="88">
        <f t="shared" si="2300"/>
        <v>7.517042400927787E-2</v>
      </c>
      <c r="CG248" s="88">
        <f t="shared" si="2300"/>
        <v>9.487410101619588E-2</v>
      </c>
      <c r="CH248" s="88">
        <f t="shared" si="2300"/>
        <v>3.5202938680098514E-3</v>
      </c>
      <c r="CI248" s="88">
        <f t="shared" si="2300"/>
        <v>3.8964495322093708E-2</v>
      </c>
      <c r="CJ248" s="88">
        <f t="shared" si="2300"/>
        <v>5.1561196438584733E-3</v>
      </c>
      <c r="CK248" s="42">
        <f t="shared" si="2300"/>
        <v>4.0242198183767543E-3</v>
      </c>
      <c r="CL248" s="88">
        <f t="shared" ref="CL248" si="2301">CL161/CL120</f>
        <v>1.160739838534699E-2</v>
      </c>
      <c r="CM248" s="42">
        <f t="shared" si="2300"/>
        <v>9.060244665684189E-2</v>
      </c>
      <c r="CN248" s="42">
        <f t="shared" si="2300"/>
        <v>4.4990950027088625E-3</v>
      </c>
      <c r="CO248" s="42">
        <f t="shared" si="2300"/>
        <v>9.4800145112934626E-3</v>
      </c>
      <c r="CP248" s="42">
        <f t="shared" si="2300"/>
        <v>1.8842237370106856E-2</v>
      </c>
      <c r="CQ248" s="42">
        <f t="shared" si="2300"/>
        <v>0.10994182370757376</v>
      </c>
      <c r="CR248" s="42">
        <f t="shared" si="2300"/>
        <v>9.5954659482759032E-3</v>
      </c>
      <c r="CS248" s="42">
        <f t="shared" si="2300"/>
        <v>1.3189402449737493E-2</v>
      </c>
      <c r="CT248" s="42">
        <f t="shared" si="2300"/>
        <v>2.2804379214650589E-2</v>
      </c>
      <c r="CU248" s="42">
        <f t="shared" si="2300"/>
        <v>0.12240441843222233</v>
      </c>
      <c r="CV248" s="42">
        <f t="shared" si="2300"/>
        <v>1.0527737348360594E-2</v>
      </c>
      <c r="CW248" s="42">
        <f t="shared" si="2300"/>
        <v>1.3776864937757285E-2</v>
      </c>
      <c r="CX248" s="42">
        <f t="shared" ref="CX248:DB248" si="2302">CX161/CX120</f>
        <v>2.3838916897551316E-2</v>
      </c>
      <c r="CY248" s="42">
        <f t="shared" si="2302"/>
        <v>0.13211287527858298</v>
      </c>
      <c r="CZ248" s="42">
        <f t="shared" si="2302"/>
        <v>9.3265646345372429E-3</v>
      </c>
      <c r="DA248" s="42">
        <f t="shared" si="2302"/>
        <v>1.256975847567901E-2</v>
      </c>
      <c r="DB248" s="42">
        <f t="shared" si="2302"/>
        <v>2.3260616950712455E-2</v>
      </c>
      <c r="DE248" s="125"/>
      <c r="DF248" s="88">
        <v>1.160739838534699E-2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 t="e">
        <f t="shared" si="2303"/>
        <v>#DIV/0!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 t="e">
        <f t="shared" si="2303"/>
        <v>#DIV/0!</v>
      </c>
      <c r="J249" s="89" t="e">
        <f t="shared" si="2303"/>
        <v>#DIV/0!</v>
      </c>
      <c r="K249" s="89" t="e">
        <f>K128/J128-1</f>
        <v>#DIV/0!</v>
      </c>
      <c r="L249" s="89" t="e">
        <f t="shared" si="2303"/>
        <v>#DIV/0!</v>
      </c>
      <c r="M249" s="89" t="e">
        <f t="shared" si="2303"/>
        <v>#DIV/0!</v>
      </c>
      <c r="N249" s="89" t="e">
        <f t="shared" si="2303"/>
        <v>#DIV/0!</v>
      </c>
      <c r="O249" s="89" t="e">
        <f t="shared" si="2303"/>
        <v>#DIV/0!</v>
      </c>
      <c r="P249" s="89" t="e">
        <f t="shared" si="2303"/>
        <v>#DIV/0!</v>
      </c>
      <c r="Q249" s="89" t="e">
        <f t="shared" si="2303"/>
        <v>#DIV/0!</v>
      </c>
      <c r="R249" s="89" t="e">
        <f t="shared" si="2303"/>
        <v>#DIV/0!</v>
      </c>
      <c r="S249" s="89" t="e">
        <f t="shared" si="2303"/>
        <v>#DIV/0!</v>
      </c>
      <c r="T249" s="89" t="e">
        <f t="shared" si="2303"/>
        <v>#DIV/0!</v>
      </c>
      <c r="U249" s="89" t="e">
        <f t="shared" si="2303"/>
        <v>#DIV/0!</v>
      </c>
      <c r="V249" s="89" t="e">
        <f t="shared" si="2303"/>
        <v>#DIV/0!</v>
      </c>
      <c r="W249" s="89" t="e">
        <f t="shared" si="2303"/>
        <v>#DIV/0!</v>
      </c>
      <c r="X249" s="89" t="e">
        <f t="shared" si="2303"/>
        <v>#DIV/0!</v>
      </c>
      <c r="Y249" s="89" t="e">
        <f t="shared" si="2303"/>
        <v>#DIV/0!</v>
      </c>
      <c r="Z249" s="89">
        <f t="shared" si="2303"/>
        <v>-0.11793440334961636</v>
      </c>
      <c r="AA249" s="89">
        <f t="shared" si="2303"/>
        <v>1.1140822784810132</v>
      </c>
      <c r="AB249" s="47">
        <f t="shared" si="2303"/>
        <v>4.56552653244513E-3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 t="e">
        <f t="shared" ref="AL249:CW249" si="2304">AL128/AK128-1</f>
        <v>#DIV/0!</v>
      </c>
      <c r="AM249" s="89" t="e">
        <f t="shared" si="2304"/>
        <v>#DIV/0!</v>
      </c>
      <c r="AN249" s="89" t="e">
        <f t="shared" si="2304"/>
        <v>#DIV/0!</v>
      </c>
      <c r="AO249" s="89" t="e">
        <f t="shared" si="2304"/>
        <v>#DIV/0!</v>
      </c>
      <c r="AP249" s="89" t="e">
        <f t="shared" si="2304"/>
        <v>#DIV/0!</v>
      </c>
      <c r="AQ249" s="89" t="e">
        <f t="shared" si="2304"/>
        <v>#DIV/0!</v>
      </c>
      <c r="AR249" s="89" t="e">
        <f t="shared" si="2304"/>
        <v>#DIV/0!</v>
      </c>
      <c r="AS249" s="89" t="e">
        <f t="shared" si="2304"/>
        <v>#DIV/0!</v>
      </c>
      <c r="AT249" s="89" t="e">
        <f t="shared" si="2304"/>
        <v>#DIV/0!</v>
      </c>
      <c r="AU249" s="89" t="e">
        <f t="shared" si="2304"/>
        <v>#DIV/0!</v>
      </c>
      <c r="AV249" s="89" t="e">
        <f t="shared" si="2304"/>
        <v>#DIV/0!</v>
      </c>
      <c r="AW249" s="89" t="e">
        <f t="shared" si="2304"/>
        <v>#DIV/0!</v>
      </c>
      <c r="AX249" s="89" t="e">
        <f t="shared" si="2304"/>
        <v>#DIV/0!</v>
      </c>
      <c r="AY249" s="89" t="e">
        <f t="shared" si="2304"/>
        <v>#DIV/0!</v>
      </c>
      <c r="AZ249" s="89" t="e">
        <f t="shared" si="2304"/>
        <v>#DIV/0!</v>
      </c>
      <c r="BA249" s="89" t="e">
        <f t="shared" si="2304"/>
        <v>#DIV/0!</v>
      </c>
      <c r="BB249" s="89" t="e">
        <f t="shared" si="2304"/>
        <v>#DIV/0!</v>
      </c>
      <c r="BC249" s="89" t="e">
        <f t="shared" si="2304"/>
        <v>#DIV/0!</v>
      </c>
      <c r="BD249" s="89" t="e">
        <f t="shared" si="2304"/>
        <v>#DIV/0!</v>
      </c>
      <c r="BE249" s="89" t="e">
        <f t="shared" si="2304"/>
        <v>#DIV/0!</v>
      </c>
      <c r="BF249" s="89" t="e">
        <f t="shared" si="2304"/>
        <v>#DIV/0!</v>
      </c>
      <c r="BG249" s="89" t="e">
        <f t="shared" si="2304"/>
        <v>#DIV/0!</v>
      </c>
      <c r="BH249" s="89" t="e">
        <f t="shared" si="2304"/>
        <v>#DIV/0!</v>
      </c>
      <c r="BI249" s="89" t="e">
        <f t="shared" si="2304"/>
        <v>#DIV/0!</v>
      </c>
      <c r="BJ249" s="89" t="e">
        <f t="shared" si="2304"/>
        <v>#DIV/0!</v>
      </c>
      <c r="BK249" s="89" t="e">
        <f t="shared" si="2304"/>
        <v>#DIV/0!</v>
      </c>
      <c r="BL249" s="89" t="e">
        <f t="shared" si="2304"/>
        <v>#DIV/0!</v>
      </c>
      <c r="BM249" s="89" t="e">
        <f t="shared" si="2304"/>
        <v>#DIV/0!</v>
      </c>
      <c r="BN249" s="89" t="e">
        <f t="shared" si="2304"/>
        <v>#DIV/0!</v>
      </c>
      <c r="BO249" s="89" t="e">
        <f t="shared" si="2304"/>
        <v>#DIV/0!</v>
      </c>
      <c r="BP249" s="89" t="e">
        <f t="shared" si="2304"/>
        <v>#DIV/0!</v>
      </c>
      <c r="BQ249" s="89" t="e">
        <f t="shared" si="2304"/>
        <v>#DIV/0!</v>
      </c>
      <c r="BR249" s="89" t="e">
        <f t="shared" si="2304"/>
        <v>#DIV/0!</v>
      </c>
      <c r="BS249" s="89" t="e">
        <f t="shared" si="2304"/>
        <v>#DIV/0!</v>
      </c>
      <c r="BT249" s="89" t="e">
        <f t="shared" si="2304"/>
        <v>#DIV/0!</v>
      </c>
      <c r="BU249" s="89" t="e">
        <f t="shared" si="2304"/>
        <v>#DIV/0!</v>
      </c>
      <c r="BV249" s="89" t="e">
        <f t="shared" si="2304"/>
        <v>#DIV/0!</v>
      </c>
      <c r="BW249" s="89" t="e">
        <f t="shared" si="2304"/>
        <v>#DIV/0!</v>
      </c>
      <c r="BX249" s="89" t="e">
        <f t="shared" si="2304"/>
        <v>#DIV/0!</v>
      </c>
      <c r="BY249" s="89" t="e">
        <f t="shared" si="2304"/>
        <v>#DIV/0!</v>
      </c>
      <c r="BZ249" s="89" t="e">
        <f t="shared" si="2304"/>
        <v>#DIV/0!</v>
      </c>
      <c r="CA249" s="89" t="e">
        <f t="shared" si="2304"/>
        <v>#DIV/0!</v>
      </c>
      <c r="CB249" s="89" t="e">
        <f t="shared" si="2304"/>
        <v>#DIV/0!</v>
      </c>
      <c r="CC249" s="89">
        <f t="shared" si="2304"/>
        <v>0</v>
      </c>
      <c r="CD249" s="89">
        <f t="shared" si="2304"/>
        <v>7.0342771982116137E-2</v>
      </c>
      <c r="CE249" s="89">
        <f t="shared" si="2304"/>
        <v>0</v>
      </c>
      <c r="CF249" s="89">
        <f t="shared" si="2304"/>
        <v>-0.80423280423280419</v>
      </c>
      <c r="CG249" s="89">
        <f t="shared" si="2304"/>
        <v>0</v>
      </c>
      <c r="CH249" s="89">
        <f t="shared" si="2304"/>
        <v>3.4950213371265999</v>
      </c>
      <c r="CI249" s="89">
        <f t="shared" si="2304"/>
        <v>0</v>
      </c>
      <c r="CJ249" s="89">
        <f t="shared" si="2304"/>
        <v>-0.10253164556962024</v>
      </c>
      <c r="CK249" s="47">
        <f t="shared" si="2304"/>
        <v>0</v>
      </c>
      <c r="CL249" s="89">
        <f t="shared" si="2304"/>
        <v>1.3663610719322992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1.1237341772151899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 t="e">
        <f t="shared" si="2306"/>
        <v>#DIV/0!</v>
      </c>
      <c r="J250" s="89" t="e">
        <f t="shared" si="2306"/>
        <v>#DIV/0!</v>
      </c>
      <c r="K250" s="89" t="e">
        <f t="shared" si="2306"/>
        <v>#DIV/0!</v>
      </c>
      <c r="L250" s="89" t="e">
        <f t="shared" si="2306"/>
        <v>#DIV/0!</v>
      </c>
      <c r="M250" s="89" t="e">
        <f t="shared" si="2306"/>
        <v>#DIV/0!</v>
      </c>
      <c r="N250" s="89" t="e">
        <f t="shared" si="2306"/>
        <v>#DIV/0!</v>
      </c>
      <c r="O250" s="89" t="e">
        <f t="shared" si="2306"/>
        <v>#DIV/0!</v>
      </c>
      <c r="P250" s="89" t="e">
        <f t="shared" si="2306"/>
        <v>#DIV/0!</v>
      </c>
      <c r="Q250" s="89" t="e">
        <f t="shared" si="2306"/>
        <v>#DIV/0!</v>
      </c>
      <c r="R250" s="89" t="e">
        <f t="shared" si="2306"/>
        <v>#DIV/0!</v>
      </c>
      <c r="S250" s="89" t="e">
        <f t="shared" si="2306"/>
        <v>#DIV/0!</v>
      </c>
      <c r="T250" s="89" t="e">
        <f t="shared" si="2306"/>
        <v>#DIV/0!</v>
      </c>
      <c r="U250" s="89" t="e">
        <f t="shared" si="2306"/>
        <v>#DIV/0!</v>
      </c>
      <c r="V250" s="89" t="e">
        <f t="shared" si="2306"/>
        <v>#DIV/0!</v>
      </c>
      <c r="W250" s="89">
        <f t="shared" si="2306"/>
        <v>-0.79708001582088017</v>
      </c>
      <c r="X250" s="89">
        <f t="shared" si="2306"/>
        <v>7.4745762711864412</v>
      </c>
      <c r="Y250" s="89">
        <f t="shared" si="2306"/>
        <v>-8421.0000000000182</v>
      </c>
      <c r="Z250" s="89">
        <f t="shared" si="2306"/>
        <v>0.31532066508313372</v>
      </c>
      <c r="AA250" s="89">
        <f t="shared" si="2306"/>
        <v>0.26889390519187151</v>
      </c>
      <c r="AB250" s="47">
        <f t="shared" si="2306"/>
        <v>0.17664027324084808</v>
      </c>
      <c r="AC250" s="47">
        <f t="shared" si="2306"/>
        <v>0.19484943155023871</v>
      </c>
      <c r="AD250" s="47">
        <f t="shared" si="2306"/>
        <v>0.19562533361400103</v>
      </c>
      <c r="AE250" s="47">
        <f t="shared" si="2306"/>
        <v>0.19547164155655072</v>
      </c>
      <c r="AL250" s="89" t="e">
        <f t="shared" ref="AL250:CW250" si="2307">AL28/AK28-1</f>
        <v>#DIV/0!</v>
      </c>
      <c r="AM250" s="89" t="e">
        <f t="shared" si="2307"/>
        <v>#DIV/0!</v>
      </c>
      <c r="AN250" s="89" t="e">
        <f t="shared" si="2307"/>
        <v>#DIV/0!</v>
      </c>
      <c r="AO250" s="89" t="e">
        <f t="shared" si="2307"/>
        <v>#DIV/0!</v>
      </c>
      <c r="AP250" s="89" t="e">
        <f t="shared" si="2307"/>
        <v>#DIV/0!</v>
      </c>
      <c r="AQ250" s="89" t="e">
        <f t="shared" si="2307"/>
        <v>#DIV/0!</v>
      </c>
      <c r="AR250" s="89" t="e">
        <f t="shared" si="2307"/>
        <v>#DIV/0!</v>
      </c>
      <c r="AS250" s="89" t="e">
        <f t="shared" si="2307"/>
        <v>#DIV/0!</v>
      </c>
      <c r="AT250" s="89" t="e">
        <f t="shared" si="2307"/>
        <v>#DIV/0!</v>
      </c>
      <c r="AU250" s="89" t="e">
        <f t="shared" si="2307"/>
        <v>#DIV/0!</v>
      </c>
      <c r="AV250" s="89" t="e">
        <f t="shared" si="2307"/>
        <v>#DIV/0!</v>
      </c>
      <c r="AW250" s="89" t="e">
        <f t="shared" si="2307"/>
        <v>#DIV/0!</v>
      </c>
      <c r="AX250" s="89" t="e">
        <f t="shared" si="2307"/>
        <v>#DIV/0!</v>
      </c>
      <c r="AY250" s="89" t="e">
        <f t="shared" si="2307"/>
        <v>#DIV/0!</v>
      </c>
      <c r="AZ250" s="89" t="e">
        <f t="shared" si="2307"/>
        <v>#DIV/0!</v>
      </c>
      <c r="BA250" s="89" t="e">
        <f t="shared" si="2307"/>
        <v>#DIV/0!</v>
      </c>
      <c r="BB250" s="89" t="e">
        <f t="shared" si="2307"/>
        <v>#DIV/0!</v>
      </c>
      <c r="BC250" s="89" t="e">
        <f t="shared" si="2307"/>
        <v>#DIV/0!</v>
      </c>
      <c r="BD250" s="89" t="e">
        <f t="shared" si="2307"/>
        <v>#DIV/0!</v>
      </c>
      <c r="BE250" s="89" t="e">
        <f t="shared" si="2307"/>
        <v>#DIV/0!</v>
      </c>
      <c r="BF250" s="89" t="e">
        <f t="shared" si="2307"/>
        <v>#DIV/0!</v>
      </c>
      <c r="BG250" s="89" t="e">
        <f t="shared" si="2307"/>
        <v>#DIV/0!</v>
      </c>
      <c r="BH250" s="89" t="e">
        <f t="shared" si="2307"/>
        <v>#DIV/0!</v>
      </c>
      <c r="BI250" s="89" t="e">
        <f t="shared" si="2307"/>
        <v>#DIV/0!</v>
      </c>
      <c r="BJ250" s="89" t="e">
        <f t="shared" si="2307"/>
        <v>#DIV/0!</v>
      </c>
      <c r="BK250" s="89" t="e">
        <f t="shared" si="2307"/>
        <v>#DIV/0!</v>
      </c>
      <c r="BL250" s="89" t="e">
        <f t="shared" si="2307"/>
        <v>#DIV/0!</v>
      </c>
      <c r="BM250" s="89" t="e">
        <f t="shared" si="2307"/>
        <v>#DIV/0!</v>
      </c>
      <c r="BN250" s="89" t="e">
        <f t="shared" si="2307"/>
        <v>#DIV/0!</v>
      </c>
      <c r="BO250" s="89" t="e">
        <f t="shared" si="2307"/>
        <v>#DIV/0!</v>
      </c>
      <c r="BP250" s="89" t="e">
        <f t="shared" si="2307"/>
        <v>#DIV/0!</v>
      </c>
      <c r="BQ250" s="89" t="e">
        <f t="shared" si="2307"/>
        <v>#DIV/0!</v>
      </c>
      <c r="BR250" s="89" t="e">
        <f t="shared" si="2307"/>
        <v>#DIV/0!</v>
      </c>
      <c r="BS250" s="89" t="e">
        <f t="shared" si="2307"/>
        <v>#DIV/0!</v>
      </c>
      <c r="BT250" s="89" t="e">
        <f t="shared" si="2307"/>
        <v>#DIV/0!</v>
      </c>
      <c r="BU250" s="89" t="e">
        <f t="shared" si="2307"/>
        <v>#DIV/0!</v>
      </c>
      <c r="BV250" s="89" t="e">
        <f t="shared" si="2307"/>
        <v>#DIV/0!</v>
      </c>
      <c r="BW250" s="89" t="e">
        <f t="shared" si="2307"/>
        <v>#DIV/0!</v>
      </c>
      <c r="BX250" s="89" t="e">
        <f t="shared" si="2307"/>
        <v>#DIV/0!</v>
      </c>
      <c r="BY250" s="89" t="e">
        <f t="shared" si="2307"/>
        <v>#DIV/0!</v>
      </c>
      <c r="BZ250" s="89" t="e">
        <f t="shared" si="2307"/>
        <v>#DIV/0!</v>
      </c>
      <c r="CA250" s="89">
        <f t="shared" si="2307"/>
        <v>-1630.9999999999982</v>
      </c>
      <c r="CB250" s="89">
        <f t="shared" si="2307"/>
        <v>0.254601226993866</v>
      </c>
      <c r="CC250" s="89">
        <f t="shared" si="2307"/>
        <v>-9.2420537897310528E-2</v>
      </c>
      <c r="CD250" s="89">
        <f t="shared" si="2307"/>
        <v>0.52586206896551735</v>
      </c>
      <c r="CE250" s="89">
        <f t="shared" si="2307"/>
        <v>2.4717514124301676E-3</v>
      </c>
      <c r="CF250" s="89">
        <f t="shared" si="2307"/>
        <v>-4.4734061289187665E-2</v>
      </c>
      <c r="CG250" s="89">
        <f t="shared" si="2307"/>
        <v>-0.13569321533923284</v>
      </c>
      <c r="CH250" s="89">
        <f t="shared" si="2307"/>
        <v>0.31271331058020624</v>
      </c>
      <c r="CI250" s="89">
        <f t="shared" si="2307"/>
        <v>-2.5024374390641535E-2</v>
      </c>
      <c r="CJ250" s="89">
        <f t="shared" si="2307"/>
        <v>0.2270000000000012</v>
      </c>
      <c r="CK250" s="47">
        <f t="shared" si="2307"/>
        <v>-0.13311600108666133</v>
      </c>
      <c r="CL250" s="89">
        <f t="shared" si="2307"/>
        <v>0.29081792541522988</v>
      </c>
      <c r="CM250" s="47">
        <f t="shared" si="2307"/>
        <v>-0.21379608078737899</v>
      </c>
      <c r="CN250" s="47">
        <f t="shared" si="2307"/>
        <v>0.3024379251128404</v>
      </c>
      <c r="CO250" s="47">
        <f t="shared" si="2307"/>
        <v>4.0119588671207129E-2</v>
      </c>
      <c r="CP250" s="47">
        <f t="shared" si="2307"/>
        <v>6.9564086772183176E-2</v>
      </c>
      <c r="CQ250" s="47">
        <f t="shared" si="2307"/>
        <v>-0.18845907307171328</v>
      </c>
      <c r="CR250" s="47">
        <f t="shared" si="2307"/>
        <v>0.33080977357225372</v>
      </c>
      <c r="CS250" s="47">
        <f t="shared" si="2307"/>
        <v>5.2739405093959801E-2</v>
      </c>
      <c r="CT250" s="47">
        <f t="shared" si="2307"/>
        <v>3.9752667758566229E-2</v>
      </c>
      <c r="CU250" s="47">
        <f t="shared" si="2307"/>
        <v>-0.18052528650138355</v>
      </c>
      <c r="CV250" s="47">
        <f t="shared" si="2307"/>
        <v>0.33583123240515955</v>
      </c>
      <c r="CW250" s="47">
        <f t="shared" si="2307"/>
        <v>5.2028058926102183E-2</v>
      </c>
      <c r="CX250" s="47">
        <f t="shared" ref="CX250:DB250" si="2308">CX28/CW28-1</f>
        <v>3.5779013332199794E-2</v>
      </c>
      <c r="CY250" s="47">
        <f t="shared" si="2308"/>
        <v>-0.17866540900885186</v>
      </c>
      <c r="CZ250" s="47">
        <f t="shared" si="2308"/>
        <v>0.33634129932169521</v>
      </c>
      <c r="DA250" s="47">
        <f t="shared" si="2308"/>
        <v>5.1540558026844652E-2</v>
      </c>
      <c r="DB250" s="47">
        <f t="shared" si="2308"/>
        <v>3.535372902027234E-2</v>
      </c>
      <c r="DE250" s="130"/>
      <c r="DF250" s="89">
        <v>0.26329571106094596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9">IF(D249&gt;D250,"RF",0)</f>
        <v>#DIV/0!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 t="e">
        <f t="shared" si="2309"/>
        <v>#DIV/0!</v>
      </c>
      <c r="J251" s="103" t="e">
        <f t="shared" si="2309"/>
        <v>#DIV/0!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e">
        <f t="shared" si="2309"/>
        <v>#DIV/0!</v>
      </c>
      <c r="O251" s="103" t="e">
        <f t="shared" si="2309"/>
        <v>#DIV/0!</v>
      </c>
      <c r="P251" s="103" t="e">
        <f t="shared" si="2309"/>
        <v>#DIV/0!</v>
      </c>
      <c r="Q251" s="103" t="e">
        <f t="shared" si="2309"/>
        <v>#DIV/0!</v>
      </c>
      <c r="R251" s="103" t="e">
        <f t="shared" si="2309"/>
        <v>#DIV/0!</v>
      </c>
      <c r="S251" s="103" t="e">
        <f t="shared" si="2309"/>
        <v>#DIV/0!</v>
      </c>
      <c r="T251" s="103" t="e">
        <f t="shared" si="2309"/>
        <v>#DIV/0!</v>
      </c>
      <c r="U251" s="103" t="e">
        <f t="shared" si="2309"/>
        <v>#DIV/0!</v>
      </c>
      <c r="V251" s="103" t="e">
        <f>IF(V249&gt;V250,"RF",0)</f>
        <v>#DIV/0!</v>
      </c>
      <c r="W251" s="103" t="e">
        <f t="shared" ref="W251:AE251" si="2310">IF(W249&gt;W250,"RF",0)</f>
        <v>#DIV/0!</v>
      </c>
      <c r="X251" s="103" t="e">
        <f t="shared" si="2310"/>
        <v>#DIV/0!</v>
      </c>
      <c r="Y251" s="103" t="e">
        <f t="shared" si="2310"/>
        <v>#DIV/0!</v>
      </c>
      <c r="Z251" s="103">
        <f t="shared" si="2310"/>
        <v>0</v>
      </c>
      <c r="AA251" s="103" t="str">
        <f t="shared" ref="AA251" si="2311">IF(AA249&gt;AA250,"RF",0)</f>
        <v>RF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 t="e">
        <f t="shared" ref="AL251:CW251" si="2312">IF(AL249&gt;AL250,"RF",0)</f>
        <v>#DIV/0!</v>
      </c>
      <c r="AM251" s="103" t="e">
        <f t="shared" si="2312"/>
        <v>#DIV/0!</v>
      </c>
      <c r="AN251" s="103" t="e">
        <f t="shared" si="2312"/>
        <v>#DIV/0!</v>
      </c>
      <c r="AO251" s="103" t="e">
        <f t="shared" si="2312"/>
        <v>#DIV/0!</v>
      </c>
      <c r="AP251" s="103" t="e">
        <f t="shared" si="2312"/>
        <v>#DIV/0!</v>
      </c>
      <c r="AQ251" s="103" t="e">
        <f t="shared" si="2312"/>
        <v>#DIV/0!</v>
      </c>
      <c r="AR251" s="103" t="e">
        <f t="shared" si="2312"/>
        <v>#DIV/0!</v>
      </c>
      <c r="AS251" s="103" t="e">
        <f t="shared" si="2312"/>
        <v>#DIV/0!</v>
      </c>
      <c r="AT251" s="103" t="e">
        <f t="shared" si="2312"/>
        <v>#DIV/0!</v>
      </c>
      <c r="AU251" s="103" t="e">
        <f t="shared" si="2312"/>
        <v>#DIV/0!</v>
      </c>
      <c r="AV251" s="103" t="e">
        <f t="shared" si="2312"/>
        <v>#DIV/0!</v>
      </c>
      <c r="AW251" s="103" t="e">
        <f t="shared" si="2312"/>
        <v>#DIV/0!</v>
      </c>
      <c r="AX251" s="103" t="e">
        <f t="shared" si="2312"/>
        <v>#DIV/0!</v>
      </c>
      <c r="AY251" s="103" t="e">
        <f t="shared" si="2312"/>
        <v>#DIV/0!</v>
      </c>
      <c r="AZ251" s="103" t="e">
        <f t="shared" si="2312"/>
        <v>#DIV/0!</v>
      </c>
      <c r="BA251" s="103" t="e">
        <f t="shared" si="2312"/>
        <v>#DIV/0!</v>
      </c>
      <c r="BB251" s="103" t="e">
        <f t="shared" si="2312"/>
        <v>#DIV/0!</v>
      </c>
      <c r="BC251" s="103" t="e">
        <f t="shared" si="2312"/>
        <v>#DIV/0!</v>
      </c>
      <c r="BD251" s="103" t="e">
        <f t="shared" si="2312"/>
        <v>#DIV/0!</v>
      </c>
      <c r="BE251" s="103" t="e">
        <f t="shared" si="2312"/>
        <v>#DIV/0!</v>
      </c>
      <c r="BF251" s="103" t="e">
        <f t="shared" si="2312"/>
        <v>#DIV/0!</v>
      </c>
      <c r="BG251" s="103" t="e">
        <f t="shared" si="2312"/>
        <v>#DIV/0!</v>
      </c>
      <c r="BH251" s="103" t="e">
        <f t="shared" si="2312"/>
        <v>#DIV/0!</v>
      </c>
      <c r="BI251" s="103" t="e">
        <f t="shared" si="2312"/>
        <v>#DIV/0!</v>
      </c>
      <c r="BJ251" s="103" t="e">
        <f t="shared" si="2312"/>
        <v>#DIV/0!</v>
      </c>
      <c r="BK251" s="103" t="e">
        <f t="shared" si="2312"/>
        <v>#DIV/0!</v>
      </c>
      <c r="BL251" s="103" t="e">
        <f t="shared" si="2312"/>
        <v>#DIV/0!</v>
      </c>
      <c r="BM251" s="103" t="e">
        <f t="shared" si="2312"/>
        <v>#DIV/0!</v>
      </c>
      <c r="BN251" s="103" t="e">
        <f t="shared" si="2312"/>
        <v>#DIV/0!</v>
      </c>
      <c r="BO251" s="103" t="e">
        <f t="shared" si="2312"/>
        <v>#DIV/0!</v>
      </c>
      <c r="BP251" s="103" t="e">
        <f t="shared" si="2312"/>
        <v>#DIV/0!</v>
      </c>
      <c r="BQ251" s="103" t="e">
        <f t="shared" si="2312"/>
        <v>#DIV/0!</v>
      </c>
      <c r="BR251" s="103" t="e">
        <f t="shared" si="2312"/>
        <v>#DIV/0!</v>
      </c>
      <c r="BS251" s="103" t="e">
        <f t="shared" si="2312"/>
        <v>#DIV/0!</v>
      </c>
      <c r="BT251" s="103" t="e">
        <f t="shared" si="2312"/>
        <v>#DIV/0!</v>
      </c>
      <c r="BU251" s="103" t="e">
        <f t="shared" si="2312"/>
        <v>#DIV/0!</v>
      </c>
      <c r="BV251" s="103" t="e">
        <f t="shared" si="2312"/>
        <v>#DIV/0!</v>
      </c>
      <c r="BW251" s="103" t="e">
        <f t="shared" si="2312"/>
        <v>#DIV/0!</v>
      </c>
      <c r="BX251" s="103" t="e">
        <f t="shared" si="2312"/>
        <v>#DIV/0!</v>
      </c>
      <c r="BY251" s="103" t="e">
        <f t="shared" si="2312"/>
        <v>#DIV/0!</v>
      </c>
      <c r="BZ251" s="103" t="e">
        <f t="shared" si="2312"/>
        <v>#DIV/0!</v>
      </c>
      <c r="CA251" s="103" t="e">
        <f t="shared" si="2312"/>
        <v>#DIV/0!</v>
      </c>
      <c r="CB251" s="103" t="e">
        <f t="shared" si="2312"/>
        <v>#DIV/0!</v>
      </c>
      <c r="CC251" s="103" t="str">
        <f t="shared" si="2312"/>
        <v>RF</v>
      </c>
      <c r="CD251" s="103">
        <f t="shared" si="2312"/>
        <v>0</v>
      </c>
      <c r="CE251" s="103">
        <f t="shared" si="2312"/>
        <v>0</v>
      </c>
      <c r="CF251" s="103">
        <f t="shared" si="2312"/>
        <v>0</v>
      </c>
      <c r="CG251" s="103" t="str">
        <f t="shared" si="2312"/>
        <v>RF</v>
      </c>
      <c r="CH251" s="103" t="str">
        <f t="shared" si="2312"/>
        <v>RF</v>
      </c>
      <c r="CI251" s="103" t="str">
        <f t="shared" si="2312"/>
        <v>RF</v>
      </c>
      <c r="CJ251" s="103">
        <f t="shared" si="2312"/>
        <v>0</v>
      </c>
      <c r="CK251" s="73" t="str">
        <f t="shared" si="2312"/>
        <v>RF</v>
      </c>
      <c r="CL251" s="103" t="str">
        <f t="shared" ref="CL251" si="2313">IF(CL249&gt;CL250,"RF",0)</f>
        <v>RF</v>
      </c>
      <c r="CM251" s="73" t="str">
        <f t="shared" si="2312"/>
        <v>RF</v>
      </c>
      <c r="CN251" s="73">
        <f t="shared" si="2312"/>
        <v>0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>
        <f t="shared" si="2312"/>
        <v>0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>
        <f t="shared" si="2312"/>
        <v>0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>
        <f t="shared" si="2314"/>
        <v>0</v>
      </c>
      <c r="DA251" s="73">
        <f t="shared" si="2314"/>
        <v>0</v>
      </c>
      <c r="DB251" s="73">
        <f t="shared" si="2314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5">F36/F8</f>
        <v>#DIV/0!</v>
      </c>
      <c r="G252" s="86" t="e">
        <f t="shared" si="2315"/>
        <v>#DIV/0!</v>
      </c>
      <c r="H252" s="86" t="e">
        <f t="shared" si="2315"/>
        <v>#DIV/0!</v>
      </c>
      <c r="I252" s="86" t="e">
        <f t="shared" si="2315"/>
        <v>#DIV/0!</v>
      </c>
      <c r="J252" s="86" t="e">
        <f t="shared" si="2315"/>
        <v>#DIV/0!</v>
      </c>
      <c r="K252" s="86" t="e">
        <f t="shared" si="2315"/>
        <v>#DIV/0!</v>
      </c>
      <c r="L252" s="86" t="e">
        <f t="shared" si="2315"/>
        <v>#DIV/0!</v>
      </c>
      <c r="M252" s="86" t="e">
        <f t="shared" si="2315"/>
        <v>#DIV/0!</v>
      </c>
      <c r="N252" s="86" t="e">
        <f t="shared" si="2315"/>
        <v>#DIV/0!</v>
      </c>
      <c r="O252" s="86" t="e">
        <f t="shared" si="2315"/>
        <v>#DIV/0!</v>
      </c>
      <c r="P252" s="86" t="e">
        <f t="shared" si="2315"/>
        <v>#DIV/0!</v>
      </c>
      <c r="Q252" s="86" t="e">
        <f t="shared" si="2315"/>
        <v>#DIV/0!</v>
      </c>
      <c r="R252" s="86" t="e">
        <f t="shared" si="2315"/>
        <v>#DIV/0!</v>
      </c>
      <c r="S252" s="86" t="e">
        <f t="shared" si="2315"/>
        <v>#DIV/0!</v>
      </c>
      <c r="T252" s="86" t="e">
        <f t="shared" si="2315"/>
        <v>#DIV/0!</v>
      </c>
      <c r="U252" s="86" t="e">
        <f t="shared" si="2315"/>
        <v>#DIV/0!</v>
      </c>
      <c r="V252" s="86" t="e">
        <f t="shared" si="2315"/>
        <v>#DIV/0!</v>
      </c>
      <c r="W252" s="86" t="e">
        <f t="shared" si="2315"/>
        <v>#DIV/0!</v>
      </c>
      <c r="X252" s="86" t="e">
        <f t="shared" si="2315"/>
        <v>#DIV/0!</v>
      </c>
      <c r="Y252" s="86">
        <f t="shared" si="2315"/>
        <v>7.484407484407484E-3</v>
      </c>
      <c r="Z252" s="86">
        <f t="shared" si="2315"/>
        <v>3.2388037903454438E-3</v>
      </c>
      <c r="AA252" s="86">
        <f t="shared" ref="AA252" si="2316">AA36/AA8</f>
        <v>4.4377915371995799E-3</v>
      </c>
      <c r="AB252" s="87">
        <f t="shared" si="2315"/>
        <v>-4.1450564831075704E-2</v>
      </c>
      <c r="AC252" s="87">
        <f t="shared" si="2315"/>
        <v>-2.752239877045461E-2</v>
      </c>
      <c r="AD252" s="87">
        <f t="shared" si="2315"/>
        <v>-1.8587949221273888E-2</v>
      </c>
      <c r="AE252" s="87">
        <f t="shared" si="2315"/>
        <v>-1.2476657186209028E-2</v>
      </c>
      <c r="AL252" s="86" t="e">
        <f t="shared" ref="AL252:CW252" si="2317">AL36/AL8</f>
        <v>#DIV/0!</v>
      </c>
      <c r="AM252" s="86" t="e">
        <f t="shared" si="2317"/>
        <v>#DIV/0!</v>
      </c>
      <c r="AN252" s="86" t="e">
        <f t="shared" si="2317"/>
        <v>#DIV/0!</v>
      </c>
      <c r="AO252" s="86" t="e">
        <f t="shared" si="2317"/>
        <v>#DIV/0!</v>
      </c>
      <c r="AP252" s="86" t="e">
        <f t="shared" si="2317"/>
        <v>#DIV/0!</v>
      </c>
      <c r="AQ252" s="86" t="e">
        <f t="shared" si="2317"/>
        <v>#DIV/0!</v>
      </c>
      <c r="AR252" s="86" t="e">
        <f t="shared" si="2317"/>
        <v>#DIV/0!</v>
      </c>
      <c r="AS252" s="86" t="e">
        <f t="shared" si="2317"/>
        <v>#DIV/0!</v>
      </c>
      <c r="AT252" s="86" t="e">
        <f t="shared" si="2317"/>
        <v>#DIV/0!</v>
      </c>
      <c r="AU252" s="86" t="e">
        <f t="shared" si="2317"/>
        <v>#DIV/0!</v>
      </c>
      <c r="AV252" s="86" t="e">
        <f t="shared" si="2317"/>
        <v>#DIV/0!</v>
      </c>
      <c r="AW252" s="86" t="e">
        <f t="shared" si="2317"/>
        <v>#DIV/0!</v>
      </c>
      <c r="AX252" s="86" t="e">
        <f t="shared" si="2317"/>
        <v>#DIV/0!</v>
      </c>
      <c r="AY252" s="86" t="e">
        <f t="shared" si="2317"/>
        <v>#DIV/0!</v>
      </c>
      <c r="AZ252" s="86" t="e">
        <f t="shared" si="2317"/>
        <v>#DIV/0!</v>
      </c>
      <c r="BA252" s="86" t="e">
        <f t="shared" si="2317"/>
        <v>#DIV/0!</v>
      </c>
      <c r="BB252" s="86" t="e">
        <f t="shared" si="2317"/>
        <v>#DIV/0!</v>
      </c>
      <c r="BC252" s="86" t="e">
        <f t="shared" si="2317"/>
        <v>#DIV/0!</v>
      </c>
      <c r="BD252" s="86" t="e">
        <f t="shared" si="2317"/>
        <v>#DIV/0!</v>
      </c>
      <c r="BE252" s="86" t="e">
        <f t="shared" si="2317"/>
        <v>#DIV/0!</v>
      </c>
      <c r="BF252" s="86" t="e">
        <f t="shared" si="2317"/>
        <v>#DIV/0!</v>
      </c>
      <c r="BG252" s="86" t="e">
        <f t="shared" si="2317"/>
        <v>#DIV/0!</v>
      </c>
      <c r="BH252" s="86" t="e">
        <f t="shared" si="2317"/>
        <v>#DIV/0!</v>
      </c>
      <c r="BI252" s="86" t="e">
        <f t="shared" si="2317"/>
        <v>#DIV/0!</v>
      </c>
      <c r="BJ252" s="86" t="e">
        <f t="shared" si="2317"/>
        <v>#DIV/0!</v>
      </c>
      <c r="BK252" s="86" t="e">
        <f t="shared" si="2317"/>
        <v>#DIV/0!</v>
      </c>
      <c r="BL252" s="86" t="e">
        <f t="shared" si="2317"/>
        <v>#DIV/0!</v>
      </c>
      <c r="BM252" s="86" t="e">
        <f t="shared" si="2317"/>
        <v>#DIV/0!</v>
      </c>
      <c r="BN252" s="86" t="e">
        <f t="shared" si="2317"/>
        <v>#DIV/0!</v>
      </c>
      <c r="BO252" s="86" t="e">
        <f t="shared" si="2317"/>
        <v>#DIV/0!</v>
      </c>
      <c r="BP252" s="86" t="e">
        <f t="shared" si="2317"/>
        <v>#DIV/0!</v>
      </c>
      <c r="BQ252" s="86" t="e">
        <f t="shared" si="2317"/>
        <v>#DIV/0!</v>
      </c>
      <c r="BR252" s="86" t="e">
        <f t="shared" si="2317"/>
        <v>#DIV/0!</v>
      </c>
      <c r="BS252" s="86" t="e">
        <f t="shared" si="2317"/>
        <v>#DIV/0!</v>
      </c>
      <c r="BT252" s="86" t="e">
        <f t="shared" si="2317"/>
        <v>#DIV/0!</v>
      </c>
      <c r="BU252" s="86" t="e">
        <f t="shared" si="2317"/>
        <v>#DIV/0!</v>
      </c>
      <c r="BV252" s="86" t="e">
        <f t="shared" si="2317"/>
        <v>#DIV/0!</v>
      </c>
      <c r="BW252" s="86" t="e">
        <f t="shared" si="2317"/>
        <v>#DIV/0!</v>
      </c>
      <c r="BX252" s="86" t="e">
        <f t="shared" si="2317"/>
        <v>#DIV/0!</v>
      </c>
      <c r="BY252" s="86" t="e">
        <f t="shared" si="2317"/>
        <v>#DIV/0!</v>
      </c>
      <c r="BZ252" s="86" t="e">
        <f t="shared" si="2317"/>
        <v>#DIV/0!</v>
      </c>
      <c r="CA252" s="86">
        <f t="shared" si="2317"/>
        <v>6.0771801883925869E-3</v>
      </c>
      <c r="CB252" s="86">
        <f t="shared" si="2317"/>
        <v>6.6915355920470721E-3</v>
      </c>
      <c r="CC252" s="86">
        <f t="shared" si="2317"/>
        <v>6.9964404075119674E-3</v>
      </c>
      <c r="CD252" s="86">
        <f t="shared" si="2317"/>
        <v>8.0377424427747687E-3</v>
      </c>
      <c r="CE252" s="86">
        <f t="shared" si="2317"/>
        <v>3.5425276977043029E-3</v>
      </c>
      <c r="CF252" s="86">
        <f t="shared" si="2317"/>
        <v>1.5100781301293415E-3</v>
      </c>
      <c r="CG252" s="86">
        <f t="shared" si="2317"/>
        <v>2.0701754385964912E-3</v>
      </c>
      <c r="CH252" s="86">
        <f t="shared" si="2317"/>
        <v>2.3623990691442475E-3</v>
      </c>
      <c r="CI252" s="86">
        <f t="shared" si="2317"/>
        <v>4.5938375350140052E-3</v>
      </c>
      <c r="CJ252" s="86">
        <f t="shared" si="2317"/>
        <v>4.3781800970299368E-3</v>
      </c>
      <c r="CK252" s="87">
        <f t="shared" si="2317"/>
        <v>2.6065536205316223E-3</v>
      </c>
      <c r="CL252" s="86">
        <f t="shared" ref="CL252" si="2318">CL36/CL8</f>
        <v>4.4818389287580081E-3</v>
      </c>
      <c r="CM252" s="87">
        <f t="shared" si="2317"/>
        <v>-6.9435476205591665E-2</v>
      </c>
      <c r="CN252" s="87">
        <f t="shared" si="2317"/>
        <v>2.0414311307696965E-3</v>
      </c>
      <c r="CO252" s="87">
        <f t="shared" si="2317"/>
        <v>-5.4593460698138259E-2</v>
      </c>
      <c r="CP252" s="87">
        <f t="shared" si="2317"/>
        <v>-4.9242197429055619E-2</v>
      </c>
      <c r="CQ252" s="87">
        <f t="shared" si="2317"/>
        <v>-5.1953967370967989E-2</v>
      </c>
      <c r="CR252" s="87">
        <f t="shared" si="2317"/>
        <v>1.8299727705313355E-2</v>
      </c>
      <c r="CS252" s="87">
        <f t="shared" si="2317"/>
        <v>-4.2280806231791611E-2</v>
      </c>
      <c r="CT252" s="87">
        <f t="shared" si="2317"/>
        <v>-3.8516722957959625E-2</v>
      </c>
      <c r="CU252" s="87">
        <f t="shared" si="2317"/>
        <v>-3.9436830901329073E-2</v>
      </c>
      <c r="CV252" s="87">
        <f t="shared" si="2317"/>
        <v>2.7509019276158186E-2</v>
      </c>
      <c r="CW252" s="87">
        <f t="shared" si="2317"/>
        <v>-3.4415485770281355E-2</v>
      </c>
      <c r="CX252" s="87">
        <f t="shared" ref="CX252:DB252" si="2319">CX36/CX8</f>
        <v>-3.1305149161247575E-2</v>
      </c>
      <c r="CY252" s="87">
        <f t="shared" si="2319"/>
        <v>-3.096850953735672E-2</v>
      </c>
      <c r="CZ252" s="87">
        <f t="shared" si="2319"/>
        <v>3.3584237615136778E-2</v>
      </c>
      <c r="DA252" s="87">
        <f t="shared" si="2319"/>
        <v>-2.8933551314905902E-2</v>
      </c>
      <c r="DB252" s="87">
        <f t="shared" si="2319"/>
        <v>-2.6181124892041462E-2</v>
      </c>
      <c r="DE252" s="141"/>
      <c r="DF252" s="86">
        <v>3.9814955255574099E-3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20">F32/F8</f>
        <v>#DIV/0!</v>
      </c>
      <c r="G253" s="86" t="e">
        <f t="shared" si="2320"/>
        <v>#DIV/0!</v>
      </c>
      <c r="H253" s="86" t="e">
        <f t="shared" si="2320"/>
        <v>#DIV/0!</v>
      </c>
      <c r="I253" s="86" t="e">
        <f t="shared" si="2320"/>
        <v>#DIV/0!</v>
      </c>
      <c r="J253" s="86" t="e">
        <f t="shared" si="2320"/>
        <v>#DIV/0!</v>
      </c>
      <c r="K253" s="86" t="e">
        <f t="shared" si="2320"/>
        <v>#DIV/0!</v>
      </c>
      <c r="L253" s="86" t="e">
        <f t="shared" si="2320"/>
        <v>#DIV/0!</v>
      </c>
      <c r="M253" s="86" t="e">
        <f t="shared" si="2320"/>
        <v>#DIV/0!</v>
      </c>
      <c r="N253" s="86" t="e">
        <f t="shared" si="2320"/>
        <v>#DIV/0!</v>
      </c>
      <c r="O253" s="86" t="e">
        <f t="shared" si="2320"/>
        <v>#DIV/0!</v>
      </c>
      <c r="P253" s="86" t="e">
        <f t="shared" si="2320"/>
        <v>#DIV/0!</v>
      </c>
      <c r="Q253" s="86" t="e">
        <f t="shared" si="2320"/>
        <v>#DIV/0!</v>
      </c>
      <c r="R253" s="86" t="e">
        <f t="shared" si="2320"/>
        <v>#DIV/0!</v>
      </c>
      <c r="S253" s="86" t="e">
        <f t="shared" si="2320"/>
        <v>#DIV/0!</v>
      </c>
      <c r="T253" s="86" t="e">
        <f t="shared" si="2320"/>
        <v>#DIV/0!</v>
      </c>
      <c r="U253" s="86" t="e">
        <f t="shared" si="2320"/>
        <v>#DIV/0!</v>
      </c>
      <c r="V253" s="86" t="e">
        <f t="shared" si="2320"/>
        <v>#DIV/0!</v>
      </c>
      <c r="W253" s="86" t="e">
        <f t="shared" si="2320"/>
        <v>#DIV/0!</v>
      </c>
      <c r="X253" s="86" t="e">
        <f t="shared" si="2320"/>
        <v>#DIV/0!</v>
      </c>
      <c r="Y253" s="86">
        <f t="shared" si="2320"/>
        <v>4.4755244755244755E-2</v>
      </c>
      <c r="Z253" s="86">
        <f t="shared" si="2320"/>
        <v>4.3513371878248469E-2</v>
      </c>
      <c r="AA253" s="86">
        <f t="shared" ref="AA253" si="2321">AA32/AA8</f>
        <v>4.377310562246263E-2</v>
      </c>
      <c r="AB253" s="87">
        <f t="shared" si="2320"/>
        <v>3.8415782134151692E-2</v>
      </c>
      <c r="AC253" s="87">
        <f t="shared" si="2320"/>
        <v>3.2167086358148515E-2</v>
      </c>
      <c r="AD253" s="87">
        <f t="shared" si="2320"/>
        <v>2.6912687574217511E-2</v>
      </c>
      <c r="AE253" s="87">
        <f t="shared" si="2320"/>
        <v>2.251425914479141E-2</v>
      </c>
      <c r="AL253" s="86" t="e">
        <f t="shared" ref="AL253:CW253" si="2322">AL32/AL8</f>
        <v>#DIV/0!</v>
      </c>
      <c r="AM253" s="86" t="e">
        <f t="shared" si="2322"/>
        <v>#DIV/0!</v>
      </c>
      <c r="AN253" s="86" t="e">
        <f t="shared" si="2322"/>
        <v>#DIV/0!</v>
      </c>
      <c r="AO253" s="86" t="e">
        <f t="shared" si="2322"/>
        <v>#DIV/0!</v>
      </c>
      <c r="AP253" s="86" t="e">
        <f t="shared" si="2322"/>
        <v>#DIV/0!</v>
      </c>
      <c r="AQ253" s="86" t="e">
        <f t="shared" si="2322"/>
        <v>#DIV/0!</v>
      </c>
      <c r="AR253" s="86" t="e">
        <f t="shared" si="2322"/>
        <v>#DIV/0!</v>
      </c>
      <c r="AS253" s="86" t="e">
        <f t="shared" si="2322"/>
        <v>#DIV/0!</v>
      </c>
      <c r="AT253" s="86" t="e">
        <f t="shared" si="2322"/>
        <v>#DIV/0!</v>
      </c>
      <c r="AU253" s="86" t="e">
        <f t="shared" si="2322"/>
        <v>#DIV/0!</v>
      </c>
      <c r="AV253" s="86" t="e">
        <f t="shared" si="2322"/>
        <v>#DIV/0!</v>
      </c>
      <c r="AW253" s="86" t="e">
        <f t="shared" si="2322"/>
        <v>#DIV/0!</v>
      </c>
      <c r="AX253" s="86" t="e">
        <f t="shared" si="2322"/>
        <v>#DIV/0!</v>
      </c>
      <c r="AY253" s="86" t="e">
        <f t="shared" si="2322"/>
        <v>#DIV/0!</v>
      </c>
      <c r="AZ253" s="86" t="e">
        <f t="shared" si="2322"/>
        <v>#DIV/0!</v>
      </c>
      <c r="BA253" s="86" t="e">
        <f t="shared" si="2322"/>
        <v>#DIV/0!</v>
      </c>
      <c r="BB253" s="86" t="e">
        <f t="shared" si="2322"/>
        <v>#DIV/0!</v>
      </c>
      <c r="BC253" s="86" t="e">
        <f t="shared" si="2322"/>
        <v>#DIV/0!</v>
      </c>
      <c r="BD253" s="86" t="e">
        <f t="shared" si="2322"/>
        <v>#DIV/0!</v>
      </c>
      <c r="BE253" s="86" t="e">
        <f t="shared" si="2322"/>
        <v>#DIV/0!</v>
      </c>
      <c r="BF253" s="86" t="e">
        <f t="shared" si="2322"/>
        <v>#DIV/0!</v>
      </c>
      <c r="BG253" s="86" t="e">
        <f t="shared" si="2322"/>
        <v>#DIV/0!</v>
      </c>
      <c r="BH253" s="86" t="e">
        <f t="shared" si="2322"/>
        <v>#DIV/0!</v>
      </c>
      <c r="BI253" s="86" t="e">
        <f t="shared" si="2322"/>
        <v>#DIV/0!</v>
      </c>
      <c r="BJ253" s="86" t="e">
        <f t="shared" si="2322"/>
        <v>#DIV/0!</v>
      </c>
      <c r="BK253" s="86" t="e">
        <f t="shared" si="2322"/>
        <v>#DIV/0!</v>
      </c>
      <c r="BL253" s="86" t="e">
        <f t="shared" si="2322"/>
        <v>#DIV/0!</v>
      </c>
      <c r="BM253" s="86" t="e">
        <f t="shared" si="2322"/>
        <v>#DIV/0!</v>
      </c>
      <c r="BN253" s="86" t="e">
        <f t="shared" si="2322"/>
        <v>#DIV/0!</v>
      </c>
      <c r="BO253" s="86" t="e">
        <f t="shared" si="2322"/>
        <v>#DIV/0!</v>
      </c>
      <c r="BP253" s="86" t="e">
        <f t="shared" si="2322"/>
        <v>#DIV/0!</v>
      </c>
      <c r="BQ253" s="86" t="e">
        <f t="shared" si="2322"/>
        <v>#DIV/0!</v>
      </c>
      <c r="BR253" s="86" t="e">
        <f t="shared" si="2322"/>
        <v>#DIV/0!</v>
      </c>
      <c r="BS253" s="86" t="e">
        <f t="shared" si="2322"/>
        <v>#DIV/0!</v>
      </c>
      <c r="BT253" s="86" t="e">
        <f t="shared" si="2322"/>
        <v>#DIV/0!</v>
      </c>
      <c r="BU253" s="86" t="e">
        <f t="shared" si="2322"/>
        <v>#DIV/0!</v>
      </c>
      <c r="BV253" s="86" t="e">
        <f t="shared" si="2322"/>
        <v>#DIV/0!</v>
      </c>
      <c r="BW253" s="86" t="e">
        <f t="shared" si="2322"/>
        <v>#DIV/0!</v>
      </c>
      <c r="BX253" s="86" t="e">
        <f t="shared" si="2322"/>
        <v>#DIV/0!</v>
      </c>
      <c r="BY253" s="86" t="e">
        <f t="shared" si="2322"/>
        <v>#DIV/0!</v>
      </c>
      <c r="BZ253" s="86" t="e">
        <f t="shared" si="2322"/>
        <v>#DIV/0!</v>
      </c>
      <c r="CA253" s="86">
        <f t="shared" si="2322"/>
        <v>3.9995442114858705E-2</v>
      </c>
      <c r="CB253" s="86">
        <f t="shared" si="2322"/>
        <v>4.4187209168172911E-2</v>
      </c>
      <c r="CC253" s="86">
        <f t="shared" si="2322"/>
        <v>5.0407102819033593E-2</v>
      </c>
      <c r="CD253" s="86">
        <f t="shared" si="2322"/>
        <v>4.5500611567359781E-2</v>
      </c>
      <c r="CE253" s="86">
        <f t="shared" si="2322"/>
        <v>4.351752161983815E-2</v>
      </c>
      <c r="CF253" s="86">
        <f t="shared" si="2322"/>
        <v>4.1921082003808022E-2</v>
      </c>
      <c r="CG253" s="86">
        <f t="shared" si="2322"/>
        <v>4.4982456140350881E-2</v>
      </c>
      <c r="CH253" s="86">
        <f t="shared" si="2322"/>
        <v>4.4180388561757336E-2</v>
      </c>
      <c r="CI253" s="86">
        <f t="shared" si="2322"/>
        <v>4.8478057889822596E-2</v>
      </c>
      <c r="CJ253" s="86">
        <f t="shared" si="2322"/>
        <v>4.3959294758016798E-2</v>
      </c>
      <c r="CK253" s="87">
        <f t="shared" si="2322"/>
        <v>4.328024747937672E-2</v>
      </c>
      <c r="CL253" s="86">
        <f t="shared" ref="CL253" si="2323">CL32/CL8</f>
        <v>4.1106436800571911E-2</v>
      </c>
      <c r="CM253" s="87">
        <f t="shared" si="2322"/>
        <v>4.9405916619893249E-2</v>
      </c>
      <c r="CN253" s="87">
        <f t="shared" si="2322"/>
        <v>3.7430161227089885E-2</v>
      </c>
      <c r="CO253" s="87">
        <f t="shared" si="2322"/>
        <v>3.5651735673884424E-2</v>
      </c>
      <c r="CP253" s="87">
        <f t="shared" si="2322"/>
        <v>3.4343213894351701E-2</v>
      </c>
      <c r="CQ253" s="87">
        <f t="shared" si="2322"/>
        <v>4.1717015353361808E-2</v>
      </c>
      <c r="CR253" s="87">
        <f t="shared" si="2322"/>
        <v>3.1290803357908563E-2</v>
      </c>
      <c r="CS253" s="87">
        <f t="shared" si="2322"/>
        <v>2.9755852701759018E-2</v>
      </c>
      <c r="CT253" s="87">
        <f t="shared" si="2322"/>
        <v>2.8723606876933643E-2</v>
      </c>
      <c r="CU253" s="87">
        <f t="shared" si="2322"/>
        <v>3.4951312135507527E-2</v>
      </c>
      <c r="CV253" s="87">
        <f t="shared" si="2322"/>
        <v>2.6165260898210998E-2</v>
      </c>
      <c r="CW253" s="87">
        <f t="shared" si="2322"/>
        <v>2.4883364205242474E-2</v>
      </c>
      <c r="CX253" s="87">
        <f t="shared" ref="CX253:DB253" si="2324">CX32/CX8</f>
        <v>2.4031848124366324E-2</v>
      </c>
      <c r="CY253" s="87">
        <f t="shared" si="2324"/>
        <v>2.9244838575418979E-2</v>
      </c>
      <c r="CZ253" s="87">
        <f t="shared" si="2324"/>
        <v>2.1886171607021068E-2</v>
      </c>
      <c r="DA253" s="87">
        <f t="shared" si="2324"/>
        <v>2.0815551751790319E-2</v>
      </c>
      <c r="DB253" s="87">
        <f t="shared" si="2324"/>
        <v>2.0104882655822779E-2</v>
      </c>
      <c r="DE253" s="141"/>
      <c r="DF253" s="86">
        <v>4.3910207796147439E-2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310497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GHCL Textiles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263.27999999999997</v>
      </c>
      <c r="AV6">
        <f>_xll.EQNXTDZ($A$1,$B6,AV$1,$B$1)</f>
        <v>260.02999999999997</v>
      </c>
      <c r="AW6">
        <f>_xll.EQNXTDZ($A$1,$B6,AW$1,$B$1)</f>
        <v>244.41</v>
      </c>
      <c r="AX6">
        <f>_xll.EQNXTDZ($A$1,$B6,AX$1,$B$1)</f>
        <v>286.14999999999998</v>
      </c>
      <c r="AY6">
        <f>_xll.EQNXTDZ($A$1,$B6,AY$1,$B$1)</f>
        <v>287.93</v>
      </c>
      <c r="AZ6">
        <f>_xll.EQNXTDZ($A$1,$B6,AZ$1,$B$1)</f>
        <v>304.62</v>
      </c>
      <c r="BA6">
        <f>_xll.EQNXTDZ($A$1,$B6,BA$1,$B$1)</f>
        <v>285</v>
      </c>
      <c r="BB6">
        <f>_xll.EQNXTDZ($A$1,$B6,BB$1,$B$1)</f>
        <v>283.61</v>
      </c>
      <c r="BC6">
        <f>_xll.EQNXTDZ($A$1,$B6,BC$1,$B$1)</f>
        <v>267.75</v>
      </c>
      <c r="BD6">
        <f>_xll.EQNXTDZ($A$1,$B6,BD$1,$B$1)</f>
        <v>338.04</v>
      </c>
      <c r="BE6">
        <f>_xll.EQNXTDZ($A$1,$B6,BE$1,$B$1)</f>
        <v>349.12</v>
      </c>
      <c r="BF6">
        <f>_xll.EQNXTDZ($A$1,$B6,BF$1,$B$1)</f>
        <v>363.69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263.27999999999997</v>
      </c>
      <c r="AV9">
        <f>_xll.EQNXTDZ($A$1,$B9,AV$1,$B$1)</f>
        <v>260.02999999999997</v>
      </c>
      <c r="AW9">
        <f>_xll.EQNXTDZ($A$1,$B9,AW$1,$B$1)</f>
        <v>244.41</v>
      </c>
      <c r="AX9">
        <f>_xll.EQNXTDZ($A$1,$B9,AX$1,$B$1)</f>
        <v>286.14999999999998</v>
      </c>
      <c r="AY9">
        <f>_xll.EQNXTDZ($A$1,$B9,AY$1,$B$1)</f>
        <v>287.93</v>
      </c>
      <c r="AZ9">
        <f>_xll.EQNXTDZ($A$1,$B9,AZ$1,$B$1)</f>
        <v>304.62</v>
      </c>
      <c r="BA9">
        <f>_xll.EQNXTDZ($A$1,$B9,BA$1,$B$1)</f>
        <v>285</v>
      </c>
      <c r="BB9">
        <f>_xll.EQNXTDZ($A$1,$B9,BB$1,$B$1)</f>
        <v>283.61</v>
      </c>
      <c r="BC9">
        <f>_xll.EQNXTDZ($A$1,$B9,BC$1,$B$1)</f>
        <v>267.75</v>
      </c>
      <c r="BD9">
        <f>_xll.EQNXTDZ($A$1,$B9,BD$1,$B$1)</f>
        <v>338.04</v>
      </c>
      <c r="BE9">
        <f>_xll.EQNXTDZ($A$1,$B9,BE$1,$B$1)</f>
        <v>349.12</v>
      </c>
      <c r="BF9">
        <f>_xll.EQNXTDZ($A$1,$B9,BF$1,$B$1)</f>
        <v>363.69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16.559999999999999</v>
      </c>
      <c r="AV10">
        <f>_xll.EQNXTDZ($A$1,$B10,AV$1,$B$1)</f>
        <v>1.1499999999999999</v>
      </c>
      <c r="AW10">
        <f>_xll.EQNXTDZ($A$1,$B10,AW$1,$B$1)</f>
        <v>-17.28</v>
      </c>
      <c r="AX10">
        <f>_xll.EQNXTDZ($A$1,$B10,AX$1,$B$1)</f>
        <v>-7.37</v>
      </c>
      <c r="AY10">
        <f>_xll.EQNXTDZ($A$1,$B10,AY$1,$B$1)</f>
        <v>-6.81</v>
      </c>
      <c r="AZ10">
        <f>_xll.EQNXTDZ($A$1,$B10,AZ$1,$B$1)</f>
        <v>0.41</v>
      </c>
      <c r="BA10">
        <f>_xll.EQNXTDZ($A$1,$B10,BA$1,$B$1)</f>
        <v>6.37</v>
      </c>
      <c r="BB10">
        <f>_xll.EQNXTDZ($A$1,$B10,BB$1,$B$1)</f>
        <v>7.55</v>
      </c>
      <c r="BC10">
        <f>_xll.EQNXTDZ($A$1,$B10,BC$1,$B$1)</f>
        <v>-17.010000000000002</v>
      </c>
      <c r="BD10">
        <f>_xll.EQNXTDZ($A$1,$B10,BD$1,$B$1)</f>
        <v>-5.53</v>
      </c>
      <c r="BE10">
        <f>_xll.EQNXTDZ($A$1,$B10,BE$1,$B$1)</f>
        <v>6.94</v>
      </c>
      <c r="BF10">
        <f>_xll.EQNXTDZ($A$1,$B10,BF$1,$B$1)</f>
        <v>9.41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170.35</v>
      </c>
      <c r="AV11">
        <f>_xll.EQNXTDZ($A$1,$B11,AV$1,$B$1)</f>
        <v>179.53</v>
      </c>
      <c r="AW11">
        <f>_xll.EQNXTDZ($A$1,$B11,AW$1,$B$1)</f>
        <v>181.06</v>
      </c>
      <c r="AX11">
        <f>_xll.EQNXTDZ($A$1,$B11,AX$1,$B$1)</f>
        <v>200.73</v>
      </c>
      <c r="AY11">
        <f>_xll.EQNXTDZ($A$1,$B11,AY$1,$B$1)</f>
        <v>199.53</v>
      </c>
      <c r="AZ11">
        <f>_xll.EQNXTDZ($A$1,$B11,AZ$1,$B$1)</f>
        <v>209.06</v>
      </c>
      <c r="BA11">
        <f>_xll.EQNXTDZ($A$1,$B11,BA$1,$B$1)</f>
        <v>186.36</v>
      </c>
      <c r="BB11">
        <f>_xll.EQNXTDZ($A$1,$B11,BB$1,$B$1)</f>
        <v>178.53</v>
      </c>
      <c r="BC11">
        <f>_xll.EQNXTDZ($A$1,$B11,BC$1,$B$1)</f>
        <v>188.46</v>
      </c>
      <c r="BD11">
        <f>_xll.EQNXTDZ($A$1,$B11,BD$1,$B$1)</f>
        <v>233.82</v>
      </c>
      <c r="BE11">
        <f>_xll.EQNXTDZ($A$1,$B11,BE$1,$B$1)</f>
        <v>230.93</v>
      </c>
      <c r="BF11">
        <f>_xll.EQNXTDZ($A$1,$B11,BF$1,$B$1)</f>
        <v>229.35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0.83</v>
      </c>
      <c r="AV12">
        <f>_xll.EQNXTDZ($A$1,$B12,AV$1,$B$1)</f>
        <v>1.47</v>
      </c>
      <c r="AW12">
        <f>_xll.EQNXTDZ($A$1,$B12,AW$1,$B$1)</f>
        <v>2.11</v>
      </c>
      <c r="AX12">
        <f>_xll.EQNXTDZ($A$1,$B12,AX$1,$B$1)</f>
        <v>0.28000000000000003</v>
      </c>
      <c r="AY12">
        <f>_xll.EQNXTDZ($A$1,$B12,AY$1,$B$1)</f>
        <v>0.72</v>
      </c>
      <c r="AZ12">
        <f>_xll.EQNXTDZ($A$1,$B12,AZ$1,$B$1)</f>
        <v>1.89</v>
      </c>
      <c r="BA12">
        <f>_xll.EQNXTDZ($A$1,$B12,BA$1,$B$1)</f>
        <v>1.1100000000000001</v>
      </c>
      <c r="BB12">
        <f>_xll.EQNXTDZ($A$1,$B12,BB$1,$B$1)</f>
        <v>0.05</v>
      </c>
      <c r="BC12">
        <f>_xll.EQNXTDZ($A$1,$B12,BC$1,$B$1)</f>
        <v>0.68</v>
      </c>
      <c r="BD12">
        <f>_xll.EQNXTDZ($A$1,$B12,BD$1,$B$1)</f>
        <v>2.97</v>
      </c>
      <c r="BE12">
        <f>_xll.EQNXTDZ($A$1,$B12,BE$1,$B$1)</f>
        <v>5.0599999999999996</v>
      </c>
      <c r="BF12">
        <f>_xll.EQNXTDZ($A$1,$B12,BF$1,$B$1)</f>
        <v>6.57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0.01</v>
      </c>
      <c r="AU14">
        <f>_xll.EQNXTDZ($A$1,$B14,AU$1,$B$1)</f>
        <v>22.42</v>
      </c>
      <c r="AV14">
        <f>_xll.EQNXTDZ($A$1,$B14,AV$1,$B$1)</f>
        <v>26.74</v>
      </c>
      <c r="AW14">
        <f>_xll.EQNXTDZ($A$1,$B14,AW$1,$B$1)</f>
        <v>27.7</v>
      </c>
      <c r="AX14">
        <f>_xll.EQNXTDZ($A$1,$B14,AX$1,$B$1)</f>
        <v>30.61</v>
      </c>
      <c r="AY14">
        <f>_xll.EQNXTDZ($A$1,$B14,AY$1,$B$1)</f>
        <v>31.22</v>
      </c>
      <c r="AZ14">
        <f>_xll.EQNXTDZ($A$1,$B14,AZ$1,$B$1)</f>
        <v>31.09</v>
      </c>
      <c r="BA14">
        <f>_xll.EQNXTDZ($A$1,$B14,BA$1,$B$1)</f>
        <v>27.66</v>
      </c>
      <c r="BB14">
        <f>_xll.EQNXTDZ($A$1,$B14,BB$1,$B$1)</f>
        <v>28.81</v>
      </c>
      <c r="BC14">
        <f>_xll.EQNXTDZ($A$1,$B14,BC$1,$B$1)</f>
        <v>28.22</v>
      </c>
      <c r="BD14">
        <f>_xll.EQNXTDZ($A$1,$B14,BD$1,$B$1)</f>
        <v>31.79</v>
      </c>
      <c r="BE14">
        <f>_xll.EQNXTDZ($A$1,$B14,BE$1,$B$1)</f>
        <v>32.64</v>
      </c>
      <c r="BF14">
        <f>_xll.EQNXTDZ($A$1,$B14,BF$1,$B$1)</f>
        <v>34.369999999999997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21.74</v>
      </c>
      <c r="AV15">
        <f>_xll.EQNXTDZ($A$1,$B15,AV$1,$B$1)</f>
        <v>15.65</v>
      </c>
      <c r="AW15">
        <f>_xll.EQNXTDZ($A$1,$B15,AW$1,$B$1)</f>
        <v>17.39</v>
      </c>
      <c r="AX15">
        <f>_xll.EQNXTDZ($A$1,$B15,AX$1,$B$1)</f>
        <v>16.670000000000002</v>
      </c>
      <c r="AY15">
        <f>_xll.EQNXTDZ($A$1,$B15,AY$1,$B$1)</f>
        <v>17.579999999999998</v>
      </c>
      <c r="AZ15">
        <f>_xll.EQNXTDZ($A$1,$B15,AZ$1,$B$1)</f>
        <v>15.36</v>
      </c>
      <c r="BA15">
        <f>_xll.EQNXTDZ($A$1,$B15,BA$1,$B$1)</f>
        <v>20.79</v>
      </c>
      <c r="BB15">
        <f>_xll.EQNXTDZ($A$1,$B15,BB$1,$B$1)</f>
        <v>19.739999999999998</v>
      </c>
      <c r="BC15">
        <f>_xll.EQNXTDZ($A$1,$B15,BC$1,$B$1)</f>
        <v>17.260000000000002</v>
      </c>
      <c r="BD15">
        <f>_xll.EQNXTDZ($A$1,$B15,BD$1,$B$1)</f>
        <v>16.989999999999998</v>
      </c>
      <c r="BE15">
        <f>_xll.EQNXTDZ($A$1,$B15,BE$1,$B$1)</f>
        <v>21.8</v>
      </c>
      <c r="BF15">
        <f>_xll.EQNXTDZ($A$1,$B15,BF$1,$B$1)</f>
        <v>21.94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15.08</v>
      </c>
      <c r="AV16">
        <f>_xll.EQNXTDZ($A$1,$B16,AV$1,$B$1)</f>
        <v>15.04</v>
      </c>
      <c r="AW16">
        <f>_xll.EQNXTDZ($A$1,$B16,AW$1,$B$1)</f>
        <v>14.87</v>
      </c>
      <c r="AX16">
        <f>_xll.EQNXTDZ($A$1,$B16,AX$1,$B$1)</f>
        <v>16.91</v>
      </c>
      <c r="AY16">
        <f>_xll.EQNXTDZ($A$1,$B16,AY$1,$B$1)</f>
        <v>17.3</v>
      </c>
      <c r="AZ16">
        <f>_xll.EQNXTDZ($A$1,$B16,AZ$1,$B$1)</f>
        <v>19.690000000000001</v>
      </c>
      <c r="BA16">
        <f>_xll.EQNXTDZ($A$1,$B16,BA$1,$B$1)</f>
        <v>19.27</v>
      </c>
      <c r="BB16">
        <f>_xll.EQNXTDZ($A$1,$B16,BB$1,$B$1)</f>
        <v>18.16</v>
      </c>
      <c r="BC16">
        <f>_xll.EQNXTDZ($A$1,$B16,BC$1,$B$1)</f>
        <v>20.14</v>
      </c>
      <c r="BD16">
        <f>_xll.EQNXTDZ($A$1,$B16,BD$1,$B$1)</f>
        <v>21.19</v>
      </c>
      <c r="BE16">
        <f>_xll.EQNXTDZ($A$1,$B16,BE$1,$B$1)</f>
        <v>19.84</v>
      </c>
      <c r="BF16">
        <f>_xll.EQNXTDZ($A$1,$B16,BF$1,$B$1)</f>
        <v>20.86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-0.01</v>
      </c>
      <c r="AU22">
        <f>_xll.EQNXTDZ($A$1,$B22,AU$1,$B$1)</f>
        <v>16.3</v>
      </c>
      <c r="AV22">
        <f>_xll.EQNXTDZ($A$1,$B22,AV$1,$B$1)</f>
        <v>20.45</v>
      </c>
      <c r="AW22">
        <f>_xll.EQNXTDZ($A$1,$B22,AW$1,$B$1)</f>
        <v>18.559999999999999</v>
      </c>
      <c r="AX22">
        <f>_xll.EQNXTDZ($A$1,$B22,AX$1,$B$1)</f>
        <v>28.32</v>
      </c>
      <c r="AY22">
        <f>_xll.EQNXTDZ($A$1,$B22,AY$1,$B$1)</f>
        <v>28.39</v>
      </c>
      <c r="AZ22">
        <f>_xll.EQNXTDZ($A$1,$B22,AZ$1,$B$1)</f>
        <v>27.12</v>
      </c>
      <c r="BA22">
        <f>_xll.EQNXTDZ($A$1,$B22,BA$1,$B$1)</f>
        <v>23.44</v>
      </c>
      <c r="BB22">
        <f>_xll.EQNXTDZ($A$1,$B22,BB$1,$B$1)</f>
        <v>30.77</v>
      </c>
      <c r="BC22">
        <f>_xll.EQNXTDZ($A$1,$B22,BC$1,$B$1)</f>
        <v>30</v>
      </c>
      <c r="BD22">
        <f>_xll.EQNXTDZ($A$1,$B22,BD$1,$B$1)</f>
        <v>36.81</v>
      </c>
      <c r="BE22">
        <f>_xll.EQNXTDZ($A$1,$B22,BE$1,$B$1)</f>
        <v>31.909999999999901</v>
      </c>
      <c r="BF22">
        <f>_xll.EQNXTDZ($A$1,$B22,BF$1,$B$1)</f>
        <v>41.190000000000097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1.47</v>
      </c>
      <c r="AV23">
        <f>_xll.EQNXTDZ($A$1,$B23,AV$1,$B$1)</f>
        <v>1.1499999999999999</v>
      </c>
      <c r="AW23">
        <f>_xll.EQNXTDZ($A$1,$B23,AW$1,$B$1)</f>
        <v>1.65</v>
      </c>
      <c r="AX23">
        <f>_xll.EQNXTDZ($A$1,$B23,AX$1,$B$1)</f>
        <v>1.36</v>
      </c>
      <c r="AY23">
        <f>_xll.EQNXTDZ($A$1,$B23,AY$1,$B$1)</f>
        <v>0.85</v>
      </c>
      <c r="AZ23">
        <f>_xll.EQNXTDZ($A$1,$B23,AZ$1,$B$1)</f>
        <v>2.0299999999999998</v>
      </c>
      <c r="BA23">
        <f>_xll.EQNXTDZ($A$1,$B23,BA$1,$B$1)</f>
        <v>2.61</v>
      </c>
      <c r="BB23">
        <f>_xll.EQNXTDZ($A$1,$B23,BB$1,$B$1)</f>
        <v>1.47</v>
      </c>
      <c r="BC23">
        <f>_xll.EQNXTDZ($A$1,$B23,BC$1,$B$1)</f>
        <v>2.3199999999999998</v>
      </c>
      <c r="BD23">
        <f>_xll.EQNXTDZ($A$1,$B23,BD$1,$B$1)</f>
        <v>1.25</v>
      </c>
      <c r="BE23">
        <f>_xll.EQNXTDZ($A$1,$B23,BE$1,$B$1)</f>
        <v>1.81</v>
      </c>
      <c r="BF23">
        <f>_xll.EQNXTDZ($A$1,$B23,BF$1,$B$1)</f>
        <v>10.82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-0.01</v>
      </c>
      <c r="AU24">
        <f>_xll.EQNXTDZ($A$1,$B24,AU$1,$B$1)</f>
        <v>17.77</v>
      </c>
      <c r="AV24">
        <f>_xll.EQNXTDZ($A$1,$B24,AV$1,$B$1)</f>
        <v>21.6</v>
      </c>
      <c r="AW24">
        <f>_xll.EQNXTDZ($A$1,$B24,AW$1,$B$1)</f>
        <v>20.21</v>
      </c>
      <c r="AX24">
        <f>_xll.EQNXTDZ($A$1,$B24,AX$1,$B$1)</f>
        <v>29.68</v>
      </c>
      <c r="AY24">
        <f>_xll.EQNXTDZ($A$1,$B24,AY$1,$B$1)</f>
        <v>29.24</v>
      </c>
      <c r="AZ24">
        <f>_xll.EQNXTDZ($A$1,$B24,AZ$1,$B$1)</f>
        <v>29.15</v>
      </c>
      <c r="BA24">
        <f>_xll.EQNXTDZ($A$1,$B24,BA$1,$B$1)</f>
        <v>26.05</v>
      </c>
      <c r="BB24">
        <f>_xll.EQNXTDZ($A$1,$B24,BB$1,$B$1)</f>
        <v>32.24</v>
      </c>
      <c r="BC24">
        <f>_xll.EQNXTDZ($A$1,$B24,BC$1,$B$1)</f>
        <v>32.319999999999901</v>
      </c>
      <c r="BD24">
        <f>_xll.EQNXTDZ($A$1,$B24,BD$1,$B$1)</f>
        <v>38.06</v>
      </c>
      <c r="BE24">
        <f>_xll.EQNXTDZ($A$1,$B24,BE$1,$B$1)</f>
        <v>33.72</v>
      </c>
      <c r="BF24">
        <f>_xll.EQNXTDZ($A$1,$B24,BF$1,$B$1)</f>
        <v>52.01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1.6</v>
      </c>
      <c r="AV25">
        <f>_xll.EQNXTDZ($A$1,$B25,AV$1,$B$1)</f>
        <v>1.74</v>
      </c>
      <c r="AW25">
        <f>_xll.EQNXTDZ($A$1,$B25,AW$1,$B$1)</f>
        <v>1.71</v>
      </c>
      <c r="AX25">
        <f>_xll.EQNXTDZ($A$1,$B25,AX$1,$B$1)</f>
        <v>2.2999999999999998</v>
      </c>
      <c r="AY25">
        <f>_xll.EQNXTDZ($A$1,$B25,AY$1,$B$1)</f>
        <v>1.02</v>
      </c>
      <c r="AZ25">
        <f>_xll.EQNXTDZ($A$1,$B25,AZ$1,$B$1)</f>
        <v>0.46</v>
      </c>
      <c r="BA25">
        <f>_xll.EQNXTDZ($A$1,$B25,BA$1,$B$1)</f>
        <v>0.59</v>
      </c>
      <c r="BB25">
        <f>_xll.EQNXTDZ($A$1,$B25,BB$1,$B$1)</f>
        <v>0.67</v>
      </c>
      <c r="BC25">
        <f>_xll.EQNXTDZ($A$1,$B25,BC$1,$B$1)</f>
        <v>1.23</v>
      </c>
      <c r="BD25">
        <f>_xll.EQNXTDZ($A$1,$B25,BD$1,$B$1)</f>
        <v>1.48</v>
      </c>
      <c r="BE25">
        <f>_xll.EQNXTDZ($A$1,$B25,BE$1,$B$1)</f>
        <v>0.91</v>
      </c>
      <c r="BF25">
        <f>_xll.EQNXTDZ($A$1,$B25,BF$1,$B$1)</f>
        <v>1.63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-0.01</v>
      </c>
      <c r="AU27">
        <f>_xll.EQNXTDZ($A$1,$B27,AU$1,$B$1)</f>
        <v>16.170000000000002</v>
      </c>
      <c r="AV27">
        <f>_xll.EQNXTDZ($A$1,$B27,AV$1,$B$1)</f>
        <v>19.86</v>
      </c>
      <c r="AW27">
        <f>_xll.EQNXTDZ($A$1,$B27,AW$1,$B$1)</f>
        <v>18.5</v>
      </c>
      <c r="AX27">
        <f>_xll.EQNXTDZ($A$1,$B27,AX$1,$B$1)</f>
        <v>27.38</v>
      </c>
      <c r="AY27">
        <f>_xll.EQNXTDZ($A$1,$B27,AY$1,$B$1)</f>
        <v>28.22</v>
      </c>
      <c r="AZ27">
        <f>_xll.EQNXTDZ($A$1,$B27,AZ$1,$B$1)</f>
        <v>28.69</v>
      </c>
      <c r="BA27">
        <f>_xll.EQNXTDZ($A$1,$B27,BA$1,$B$1)</f>
        <v>25.46</v>
      </c>
      <c r="BB27">
        <f>_xll.EQNXTDZ($A$1,$B27,BB$1,$B$1)</f>
        <v>31.57</v>
      </c>
      <c r="BC27">
        <f>_xll.EQNXTDZ($A$1,$B27,BC$1,$B$1)</f>
        <v>31.0899999999999</v>
      </c>
      <c r="BD27">
        <f>_xll.EQNXTDZ($A$1,$B27,BD$1,$B$1)</f>
        <v>36.58</v>
      </c>
      <c r="BE27">
        <f>_xll.EQNXTDZ($A$1,$B27,BE$1,$B$1)</f>
        <v>32.81</v>
      </c>
      <c r="BF27">
        <f>_xll.EQNXTDZ($A$1,$B27,BF$1,$B$1)</f>
        <v>50.38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10.53</v>
      </c>
      <c r="AV28">
        <f>_xll.EQNXTDZ($A$1,$B28,AV$1,$B$1)</f>
        <v>11.49</v>
      </c>
      <c r="AW28">
        <f>_xll.EQNXTDZ($A$1,$B28,AW$1,$B$1)</f>
        <v>12.32</v>
      </c>
      <c r="AX28">
        <f>_xll.EQNXTDZ($A$1,$B28,AX$1,$B$1)</f>
        <v>13.02</v>
      </c>
      <c r="AY28">
        <f>_xll.EQNXTDZ($A$1,$B28,AY$1,$B$1)</f>
        <v>12.53</v>
      </c>
      <c r="AZ28">
        <f>_xll.EQNXTDZ($A$1,$B28,AZ$1,$B$1)</f>
        <v>12.77</v>
      </c>
      <c r="BA28">
        <f>_xll.EQNXTDZ($A$1,$B28,BA$1,$B$1)</f>
        <v>12.82</v>
      </c>
      <c r="BB28">
        <f>_xll.EQNXTDZ($A$1,$B28,BB$1,$B$1)</f>
        <v>12.53</v>
      </c>
      <c r="BC28">
        <f>_xll.EQNXTDZ($A$1,$B28,BC$1,$B$1)</f>
        <v>12.98</v>
      </c>
      <c r="BD28">
        <f>_xll.EQNXTDZ($A$1,$B28,BD$1,$B$1)</f>
        <v>14.86</v>
      </c>
      <c r="BE28">
        <f>_xll.EQNXTDZ($A$1,$B28,BE$1,$B$1)</f>
        <v>15.11</v>
      </c>
      <c r="BF28">
        <f>_xll.EQNXTDZ($A$1,$B28,BF$1,$B$1)</f>
        <v>14.95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1.48</v>
      </c>
      <c r="AV29">
        <f>_xll.EQNXTDZ($A$1,$B29,AV$1,$B$1)</f>
        <v>2.2200000000000002</v>
      </c>
      <c r="AW29">
        <f>_xll.EQNXTDZ($A$1,$B29,AW$1,$B$1)</f>
        <v>1.69</v>
      </c>
      <c r="AX29">
        <f>_xll.EQNXTDZ($A$1,$B29,AX$1,$B$1)</f>
        <v>4.1100000000000003</v>
      </c>
      <c r="AY29">
        <f>_xll.EQNXTDZ($A$1,$B29,AY$1,$B$1)</f>
        <v>3.89</v>
      </c>
      <c r="AZ29">
        <f>_xll.EQNXTDZ($A$1,$B29,AZ$1,$B$1)</f>
        <v>-4.68</v>
      </c>
      <c r="BA29">
        <f>_xll.EQNXTDZ($A$1,$B29,BA$1,$B$1)</f>
        <v>3.27</v>
      </c>
      <c r="BB29">
        <f>_xll.EQNXTDZ($A$1,$B29,BB$1,$B$1)</f>
        <v>4.84</v>
      </c>
      <c r="BC29">
        <f>_xll.EQNXTDZ($A$1,$B29,BC$1,$B$1)</f>
        <v>4.59</v>
      </c>
      <c r="BD29">
        <f>_xll.EQNXTDZ($A$1,$B29,BD$1,$B$1)</f>
        <v>5.71</v>
      </c>
      <c r="BE29">
        <f>_xll.EQNXTDZ($A$1,$B29,BE$1,$B$1)</f>
        <v>4.5199999999999996</v>
      </c>
      <c r="BF29">
        <f>_xll.EQNXTDZ($A$1,$B29,BF$1,$B$1)</f>
        <v>7.77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-0.01</v>
      </c>
      <c r="AU30">
        <f>_xll.EQNXTDZ($A$1,$B30,AU$1,$B$1)</f>
        <v>4.1599999999999797</v>
      </c>
      <c r="AV30">
        <f>_xll.EQNXTDZ($A$1,$B30,AV$1,$B$1)</f>
        <v>6.1500000000000403</v>
      </c>
      <c r="AW30">
        <f>_xll.EQNXTDZ($A$1,$B30,AW$1,$B$1)</f>
        <v>4.4900000000000402</v>
      </c>
      <c r="AX30">
        <f>_xll.EQNXTDZ($A$1,$B30,AX$1,$B$1)</f>
        <v>10.25</v>
      </c>
      <c r="AY30">
        <f>_xll.EQNXTDZ($A$1,$B30,AY$1,$B$1)</f>
        <v>11.8</v>
      </c>
      <c r="AZ30">
        <f>_xll.EQNXTDZ($A$1,$B30,AZ$1,$B$1)</f>
        <v>20.6</v>
      </c>
      <c r="BA30">
        <f>_xll.EQNXTDZ($A$1,$B30,BA$1,$B$1)</f>
        <v>9.3699999999999992</v>
      </c>
      <c r="BB30">
        <f>_xll.EQNXTDZ($A$1,$B30,BB$1,$B$1)</f>
        <v>14.2</v>
      </c>
      <c r="BC30">
        <f>_xll.EQNXTDZ($A$1,$B30,BC$1,$B$1)</f>
        <v>13.5199999999999</v>
      </c>
      <c r="BD30">
        <f>_xll.EQNXTDZ($A$1,$B30,BD$1,$B$1)</f>
        <v>16.010000000000002</v>
      </c>
      <c r="BE30">
        <f>_xll.EQNXTDZ($A$1,$B30,BE$1,$B$1)</f>
        <v>13.18</v>
      </c>
      <c r="BF30">
        <f>_xll.EQNXTDZ($A$1,$B30,BF$1,$B$1)</f>
        <v>27.66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-0.01</v>
      </c>
      <c r="AU38">
        <f>_xll.EQNXTDZ($A$1,$B38,AU$1,$B$1)</f>
        <v>4.1599999999999797</v>
      </c>
      <c r="AV38">
        <f>_xll.EQNXTDZ($A$1,$B38,AV$1,$B$1)</f>
        <v>6.1500000000000403</v>
      </c>
      <c r="AW38">
        <f>_xll.EQNXTDZ($A$1,$B38,AW$1,$B$1)</f>
        <v>4.4900000000000402</v>
      </c>
      <c r="AX38">
        <f>_xll.EQNXTDZ($A$1,$B38,AX$1,$B$1)</f>
        <v>10.25</v>
      </c>
      <c r="AY38">
        <f>_xll.EQNXTDZ($A$1,$B38,AY$1,$B$1)</f>
        <v>11.8</v>
      </c>
      <c r="AZ38">
        <f>_xll.EQNXTDZ($A$1,$B38,AZ$1,$B$1)</f>
        <v>20.6</v>
      </c>
      <c r="BA38">
        <f>_xll.EQNXTDZ($A$1,$B38,BA$1,$B$1)</f>
        <v>9.3699999999999992</v>
      </c>
      <c r="BB38">
        <f>_xll.EQNXTDZ($A$1,$B38,BB$1,$B$1)</f>
        <v>14.2</v>
      </c>
      <c r="BC38">
        <f>_xll.EQNXTDZ($A$1,$B38,BC$1,$B$1)</f>
        <v>13.5199999999999</v>
      </c>
      <c r="BD38">
        <f>_xll.EQNXTDZ($A$1,$B38,BD$1,$B$1)</f>
        <v>16.010000000000002</v>
      </c>
      <c r="BE38">
        <f>_xll.EQNXTDZ($A$1,$B38,BE$1,$B$1)</f>
        <v>13.18</v>
      </c>
      <c r="BF38">
        <f>_xll.EQNXTDZ($A$1,$B38,BF$1,$B$1)</f>
        <v>27.66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1.44</v>
      </c>
      <c r="AY40">
        <f>_xll.EQNXTDZ($A$1,$B40,AY$1,$B$1)</f>
        <v>0.36</v>
      </c>
      <c r="AZ40">
        <f>_xll.EQNXTDZ($A$1,$B40,AZ$1,$B$1)</f>
        <v>0.36</v>
      </c>
      <c r="BA40">
        <f>_xll.EQNXTDZ($A$1,$B40,BA$1,$B$1)</f>
        <v>0.36</v>
      </c>
      <c r="BB40">
        <f>_xll.EQNXTDZ($A$1,$B40,BB$1,$B$1)</f>
        <v>-0.65</v>
      </c>
      <c r="BC40">
        <f>_xll.EQNXTDZ($A$1,$B40,BC$1,$B$1)</f>
        <v>0.1</v>
      </c>
      <c r="BD40">
        <f>_xll.EQNXTDZ($A$1,$B40,BD$1,$B$1)</f>
        <v>0.12</v>
      </c>
      <c r="BE40">
        <f>_xll.EQNXTDZ($A$1,$B40,BE$1,$B$1)</f>
        <v>0.1</v>
      </c>
      <c r="BF40">
        <f>_xll.EQNXTDZ($A$1,$B40,BF$1,$B$1)</f>
        <v>-0.8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-0.01</v>
      </c>
      <c r="AU41">
        <f>_xll.EQNXTDZ($A$1,$B41,AU$1,$B$1)</f>
        <v>4.16</v>
      </c>
      <c r="AV41">
        <f>_xll.EQNXTDZ($A$1,$B41,AV$1,$B$1)</f>
        <v>6.15</v>
      </c>
      <c r="AW41">
        <f>_xll.EQNXTDZ($A$1,$B41,AW$1,$B$1)</f>
        <v>4.49</v>
      </c>
      <c r="AX41">
        <f>_xll.EQNXTDZ($A$1,$B41,AX$1,$B$1)</f>
        <v>11.69</v>
      </c>
      <c r="AY41">
        <f>_xll.EQNXTDZ($A$1,$B41,AY$1,$B$1)</f>
        <v>12.16</v>
      </c>
      <c r="AZ41">
        <f>_xll.EQNXTDZ($A$1,$B41,AZ$1,$B$1)</f>
        <v>20.96</v>
      </c>
      <c r="BA41">
        <f>_xll.EQNXTDZ($A$1,$B41,BA$1,$B$1)</f>
        <v>9.73</v>
      </c>
      <c r="BB41">
        <f>_xll.EQNXTDZ($A$1,$B41,BB$1,$B$1)</f>
        <v>13.55</v>
      </c>
      <c r="BC41">
        <f>_xll.EQNXTDZ($A$1,$B41,BC$1,$B$1)</f>
        <v>13.62</v>
      </c>
      <c r="BD41">
        <f>_xll.EQNXTDZ($A$1,$B41,BD$1,$B$1)</f>
        <v>16.13</v>
      </c>
      <c r="BE41">
        <f>_xll.EQNXTDZ($A$1,$B41,BE$1,$B$1)</f>
        <v>13.28</v>
      </c>
      <c r="BF41">
        <f>_xll.EQNXTDZ($A$1,$B41,BF$1,$B$1)</f>
        <v>26.86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-0.01</v>
      </c>
      <c r="AU42">
        <f>_xll.EQNXTDZ($A$1,$B42,AU$1,$B$1)</f>
        <v>4.1599999999999797</v>
      </c>
      <c r="AV42">
        <f>_xll.EQNXTDZ($A$1,$B42,AV$1,$B$1)</f>
        <v>6.1500000000000403</v>
      </c>
      <c r="AW42">
        <f>_xll.EQNXTDZ($A$1,$B42,AW$1,$B$1)</f>
        <v>4.4900000000000402</v>
      </c>
      <c r="AX42">
        <f>_xll.EQNXTDZ($A$1,$B42,AX$1,$B$1)</f>
        <v>10.25</v>
      </c>
      <c r="AY42">
        <f>_xll.EQNXTDZ($A$1,$B42,AY$1,$B$1)</f>
        <v>11.8</v>
      </c>
      <c r="AZ42">
        <f>_xll.EQNXTDZ($A$1,$B42,AZ$1,$B$1)</f>
        <v>20.6</v>
      </c>
      <c r="BA42">
        <f>_xll.EQNXTDZ($A$1,$B42,BA$1,$B$1)</f>
        <v>9.3699999999999992</v>
      </c>
      <c r="BB42">
        <f>_xll.EQNXTDZ($A$1,$B42,BB$1,$B$1)</f>
        <v>14.2</v>
      </c>
      <c r="BC42">
        <f>_xll.EQNXTDZ($A$1,$B42,BC$1,$B$1)</f>
        <v>13.5199999999999</v>
      </c>
      <c r="BD42">
        <f>_xll.EQNXTDZ($A$1,$B42,BD$1,$B$1)</f>
        <v>16.010000000000002</v>
      </c>
      <c r="BE42">
        <f>_xll.EQNXTDZ($A$1,$B42,BE$1,$B$1)</f>
        <v>13.18</v>
      </c>
      <c r="BF42">
        <f>_xll.EQNXTDZ($A$1,$B42,BF$1,$B$1)</f>
        <v>27.66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0.01</v>
      </c>
      <c r="AR45">
        <f>_xll.EQNXTDZ($A$1,$B45,AR$1,$B$1)</f>
        <v>0.01</v>
      </c>
      <c r="AS45">
        <f>_xll.EQNXTDZ($A$1,$B45,AS$1,$B$1)</f>
        <v>0.01</v>
      </c>
      <c r="AT45">
        <f>_xll.EQNXTDZ($A$1,$B45,AT$1,$B$1)</f>
        <v>0.01</v>
      </c>
      <c r="AU45">
        <f>_xll.EQNXTDZ($A$1,$B45,AU$1,$B$1)</f>
        <v>19.12</v>
      </c>
      <c r="AV45">
        <f>_xll.EQNXTDZ($A$1,$B45,AV$1,$B$1)</f>
        <v>19.12</v>
      </c>
      <c r="AW45">
        <f>_xll.EQNXTDZ($A$1,$B45,AW$1,$B$1)</f>
        <v>19.12</v>
      </c>
      <c r="AX45">
        <f>_xll.EQNXTDZ($A$1,$B45,AX$1,$B$1)</f>
        <v>19.12</v>
      </c>
      <c r="AY45">
        <f>_xll.EQNXTDZ($A$1,$B45,AY$1,$B$1)</f>
        <v>19.12</v>
      </c>
      <c r="AZ45">
        <f>_xll.EQNXTDZ($A$1,$B45,AZ$1,$B$1)</f>
        <v>19.12</v>
      </c>
      <c r="BA45">
        <f>_xll.EQNXTDZ($A$1,$B45,BA$1,$B$1)</f>
        <v>19.12</v>
      </c>
      <c r="BB45">
        <f>_xll.EQNXTDZ($A$1,$B45,BB$1,$B$1)</f>
        <v>19.12</v>
      </c>
      <c r="BC45">
        <f>_xll.EQNXTDZ($A$1,$B45,BC$1,$B$1)</f>
        <v>19.12</v>
      </c>
      <c r="BD45">
        <f>_xll.EQNXTDZ($A$1,$B45,BD$1,$B$1)</f>
        <v>19.12</v>
      </c>
      <c r="BE45">
        <f>_xll.EQNXTDZ($A$1,$B45,BE$1,$B$1)</f>
        <v>19.12</v>
      </c>
      <c r="BF45">
        <f>_xll.EQNXTDZ($A$1,$B45,BF$1,$B$1)</f>
        <v>19.12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72.8</v>
      </c>
      <c r="AV48" s="55">
        <f>_xll.EQNXTDZ($A$1,$B48,AV$5)</f>
        <v>79.91</v>
      </c>
      <c r="AW48" s="55">
        <f>_xll.EQNXTDZ($A$1,$B48,AW$5)</f>
        <v>69.510000000000005</v>
      </c>
      <c r="AX48" s="55">
        <f>_xll.EQNXTDZ($A$1,$B48,AX$5)</f>
        <v>75.5</v>
      </c>
      <c r="AY48" s="55">
        <f>_xll.EQNXTDZ($A$1,$B48,AY$5)</f>
        <v>91.07</v>
      </c>
      <c r="AZ48" s="55">
        <f>_xll.EQNXTDZ($A$1,$B48,AZ$5)</f>
        <v>102.35</v>
      </c>
      <c r="BA48" s="55">
        <f>_xll.EQNXTDZ($A$1,$B48,BA$5)</f>
        <v>100.13</v>
      </c>
      <c r="BB48" s="55">
        <f>_xll.EQNXTDZ($A$1,$B48,BB$5)</f>
        <v>72.31</v>
      </c>
      <c r="BC48" s="55">
        <f>_xll.EQNXTDZ($A$1,$B48,BC$5)</f>
        <v>96.07</v>
      </c>
      <c r="BD48" s="55">
        <f>_xll.EQNXTDZ($A$1,$B48,BD$5)</f>
        <v>76.64</v>
      </c>
      <c r="BE48" s="55">
        <f>_xll.EQNXTDZ($A$1,$B48,BE$5)</f>
        <v>73.22</v>
      </c>
      <c r="BF48" s="55">
        <f>_xll.EQNXTDZ($A$1,$B48,BF$5)</f>
        <v>65.569999999999993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19.14</v>
      </c>
      <c r="AV49" s="55">
        <f>_xll.EQNXTDZ($A$1,$B49,AV$5)</f>
        <v>19.149999999999999</v>
      </c>
      <c r="AW49" s="55">
        <f>_xll.EQNXTDZ($A$1,$B49,AW$5)</f>
        <v>19.149999999999999</v>
      </c>
      <c r="AX49" s="55">
        <f>_xll.EQNXTDZ($A$1,$B49,AX$5)</f>
        <v>19.149999999999999</v>
      </c>
      <c r="AY49" s="55">
        <f>_xll.EQNXTDZ($A$1,$B49,AY$5)</f>
        <v>19.16</v>
      </c>
      <c r="AZ49" s="55">
        <f>_xll.EQNXTDZ($A$1,$B49,AZ$5)</f>
        <v>19.16</v>
      </c>
      <c r="BA49" s="55">
        <f>_xll.EQNXTDZ($A$1,$B49,BA$5)</f>
        <v>19.16</v>
      </c>
      <c r="BB49" s="55">
        <f>_xll.EQNXTDZ($A$1,$B49,BB$5)</f>
        <v>19.16</v>
      </c>
      <c r="BC49" s="55">
        <f>_xll.EQNXTDZ($A$1,$B49,BC$5)</f>
        <v>19.16</v>
      </c>
      <c r="BD49" s="55">
        <f>_xll.EQNXTDZ($A$1,$B49,BD$5)</f>
        <v>19.16</v>
      </c>
      <c r="BE49" s="55">
        <f>_xll.EQNXTDZ($A$1,$B49,BE$5)</f>
        <v>19.16</v>
      </c>
      <c r="BF49" s="55">
        <f>_xll.EQNXTDZ($A$1,$B49,BF$5)</f>
        <v>19.2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1.0900000000000001</v>
      </c>
      <c r="AV50" s="55">
        <f>_xll.EQNXTDZ($A$1,$B50,AV$5)</f>
        <v>1.0900000000000001</v>
      </c>
      <c r="AW50" s="55">
        <f>_xll.EQNXTDZ($A$1,$B50,AW$5)</f>
        <v>1.0900000000000001</v>
      </c>
      <c r="AX50" s="55">
        <f>_xll.EQNXTDZ($A$1,$B50,AX$5)</f>
        <v>1.0900000000000001</v>
      </c>
      <c r="AY50" s="55">
        <f>_xll.EQNXTDZ($A$1,$B50,AY$5)</f>
        <v>1.0900000000000001</v>
      </c>
      <c r="AZ50" s="55">
        <f>_xll.EQNXTDZ($A$1,$B50,AZ$5)</f>
        <v>1.0900000000000001</v>
      </c>
      <c r="BA50" s="55">
        <f>_xll.EQNXTDZ($A$1,$B50,BA$5)</f>
        <v>1.0900000000000001</v>
      </c>
      <c r="BB50" s="55">
        <f>_xll.EQNXTDZ($A$1,$B50,BB$5)</f>
        <v>1.0900000000000001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0.01</v>
      </c>
      <c r="AU56" s="55">
        <f>_xll.EQNXTDZ($A$1,$B56,AU$5,$B$1)</f>
        <v>0</v>
      </c>
      <c r="AV56" s="55">
        <f>_xll.EQNXTDZ($A$1,$B56,AV$5,$B$1)</f>
        <v>19.12</v>
      </c>
      <c r="AW56" s="55">
        <f>_xll.EQNXTDZ($A$1,$B56,AW$5,$B$1)</f>
        <v>0</v>
      </c>
      <c r="AX56" s="55">
        <f>_xll.EQNXTDZ($A$1,$B56,AX$5,$B$1)</f>
        <v>19.12</v>
      </c>
      <c r="AY56" s="55">
        <f>_xll.EQNXTDZ($A$1,$B56,AY$5,$B$1)</f>
        <v>0</v>
      </c>
      <c r="AZ56" s="55">
        <f>_xll.EQNXTDZ($A$1,$B56,AZ$5,$B$1)</f>
        <v>19.12</v>
      </c>
      <c r="BA56" s="55">
        <f>_xll.EQNXTDZ($A$1,$B56,BA$5,$B$1)</f>
        <v>0</v>
      </c>
      <c r="BB56" s="55">
        <f>_xll.EQNXTDZ($A$1,$B56,BB$5,$B$1)</f>
        <v>19.12</v>
      </c>
      <c r="BC56" s="55">
        <f>_xll.EQNXTDZ($A$1,$B56,BC$5,$B$1)</f>
        <v>0</v>
      </c>
      <c r="BD56" s="55">
        <f>_xll.EQNXTDZ($A$1,$B56,BD$5,$B$1)</f>
        <v>19.12</v>
      </c>
      <c r="BE56" s="55">
        <f>_xll.EQNXTDZ($A$1,$B56,BE$5,$B$1)</f>
        <v>0</v>
      </c>
      <c r="BF56" s="55">
        <f>_xll.EQNXTDZ($A$1,$B56,BF$5,$B$1)</f>
        <v>19.12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-0.01</v>
      </c>
      <c r="AU58" s="55">
        <f>_xll.EQNXTDZ($A$1,$B58,AU$5,$B$1)</f>
        <v>0</v>
      </c>
      <c r="AV58" s="55">
        <f>_xll.EQNXTDZ($A$1,$B58,AV$5,$B$1)</f>
        <v>1350.47</v>
      </c>
      <c r="AW58" s="55">
        <f>_xll.EQNXTDZ($A$1,$B58,AW$5,$B$1)</f>
        <v>0</v>
      </c>
      <c r="AX58" s="55">
        <f>_xll.EQNXTDZ($A$1,$B58,AX$5,$B$1)</f>
        <v>1366.64</v>
      </c>
      <c r="AY58" s="55">
        <f>_xll.EQNXTDZ($A$1,$B58,AY$5,$B$1)</f>
        <v>0</v>
      </c>
      <c r="AZ58" s="55">
        <f>_xll.EQNXTDZ($A$1,$B58,AZ$5,$B$1)</f>
        <v>1395</v>
      </c>
      <c r="BA58" s="55">
        <f>_xll.EQNXTDZ($A$1,$B58,BA$5,$B$1)</f>
        <v>0</v>
      </c>
      <c r="BB58" s="55">
        <f>_xll.EQNXTDZ($A$1,$B58,BB$5,$B$1)</f>
        <v>1418.26</v>
      </c>
      <c r="BC58" s="55">
        <f>_xll.EQNXTDZ($A$1,$B58,BC$5,$B$1)</f>
        <v>0</v>
      </c>
      <c r="BD58" s="55">
        <f>_xll.EQNXTDZ($A$1,$B58,BD$5,$B$1)</f>
        <v>1443.22</v>
      </c>
      <c r="BE58" s="55">
        <f>_xll.EQNXTDZ($A$1,$B58,BE$5,$B$1)</f>
        <v>0</v>
      </c>
      <c r="BF58" s="55">
        <f>_xll.EQNXTDZ($A$1,$B58,BF$5,$B$1)</f>
        <v>1483.37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1369.59</v>
      </c>
      <c r="AW59" s="55">
        <f>_xll.EQNXTDZ($A$1,$B59,AW$5,$B$1)</f>
        <v>0</v>
      </c>
      <c r="AX59" s="55">
        <f>_xll.EQNXTDZ($A$1,$B59,AX$5,$B$1)</f>
        <v>1385.76</v>
      </c>
      <c r="AY59" s="55">
        <f>_xll.EQNXTDZ($A$1,$B59,AY$5,$B$1)</f>
        <v>0</v>
      </c>
      <c r="AZ59" s="55">
        <f>_xll.EQNXTDZ($A$1,$B59,AZ$5,$B$1)</f>
        <v>1414.12</v>
      </c>
      <c r="BA59" s="55">
        <f>_xll.EQNXTDZ($A$1,$B59,BA$5,$B$1)</f>
        <v>0</v>
      </c>
      <c r="BB59" s="55">
        <f>_xll.EQNXTDZ($A$1,$B59,BB$5,$B$1)</f>
        <v>1437.38</v>
      </c>
      <c r="BC59" s="55">
        <f>_xll.EQNXTDZ($A$1,$B59,BC$5,$B$1)</f>
        <v>0</v>
      </c>
      <c r="BD59" s="55">
        <f>_xll.EQNXTDZ($A$1,$B59,BD$5,$B$1)</f>
        <v>1462.34</v>
      </c>
      <c r="BE59" s="55">
        <f>_xll.EQNXTDZ($A$1,$B59,BE$5,$B$1)</f>
        <v>0</v>
      </c>
      <c r="BF59" s="55">
        <f>_xll.EQNXTDZ($A$1,$B59,BF$5,$B$1)</f>
        <v>1502.49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40.4</v>
      </c>
      <c r="AW61" s="55">
        <f>_xll.EQNXTDZ($A$1,$B61,AW$5,$B$1)</f>
        <v>0</v>
      </c>
      <c r="AX61" s="55">
        <f>_xll.EQNXTDZ($A$1,$B61,AX$5,$B$1)</f>
        <v>29.18</v>
      </c>
      <c r="AY61" s="55">
        <f>_xll.EQNXTDZ($A$1,$B61,AY$5,$B$1)</f>
        <v>0</v>
      </c>
      <c r="AZ61" s="55">
        <f>_xll.EQNXTDZ($A$1,$B61,AZ$5,$B$1)</f>
        <v>4.5999999999999996</v>
      </c>
      <c r="BA61" s="55">
        <f>_xll.EQNXTDZ($A$1,$B61,BA$5,$B$1)</f>
        <v>0</v>
      </c>
      <c r="BB61" s="55">
        <f>_xll.EQNXTDZ($A$1,$B61,BB$5,$B$1)</f>
        <v>2.73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40.4</v>
      </c>
      <c r="AW63" s="55">
        <f>_xll.EQNXTDZ($A$1,$B63,AW$5,$B$1)</f>
        <v>0</v>
      </c>
      <c r="AX63" s="55">
        <f>_xll.EQNXTDZ($A$1,$B63,AX$5,$B$1)</f>
        <v>29.18</v>
      </c>
      <c r="AY63" s="55">
        <f>_xll.EQNXTDZ($A$1,$B63,AY$5,$B$1)</f>
        <v>0</v>
      </c>
      <c r="AZ63" s="55">
        <f>_xll.EQNXTDZ($A$1,$B63,AZ$5,$B$1)</f>
        <v>4.5999999999999996</v>
      </c>
      <c r="BA63" s="55">
        <f>_xll.EQNXTDZ($A$1,$B63,BA$5,$B$1)</f>
        <v>0</v>
      </c>
      <c r="BB63" s="55">
        <f>_xll.EQNXTDZ($A$1,$B63,BB$5,$B$1)</f>
        <v>2.73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1409.99</v>
      </c>
      <c r="AW67" s="55">
        <f>_xll.EQNXTDZ($A$1,$B67,AW$5,$B$1)</f>
        <v>0</v>
      </c>
      <c r="AX67" s="55">
        <f>_xll.EQNXTDZ($A$1,$B67,AX$5,$B$1)</f>
        <v>1414.94</v>
      </c>
      <c r="AY67" s="55">
        <f>_xll.EQNXTDZ($A$1,$B67,AY$5,$B$1)</f>
        <v>0</v>
      </c>
      <c r="AZ67" s="55">
        <f>_xll.EQNXTDZ($A$1,$B67,AZ$5,$B$1)</f>
        <v>1418.72</v>
      </c>
      <c r="BA67" s="55">
        <f>_xll.EQNXTDZ($A$1,$B67,BA$5,$B$1)</f>
        <v>0</v>
      </c>
      <c r="BB67" s="55">
        <f>_xll.EQNXTDZ($A$1,$B67,BB$5,$B$1)</f>
        <v>1440.11</v>
      </c>
      <c r="BC67" s="55">
        <f>_xll.EQNXTDZ($A$1,$B67,BC$5,$B$1)</f>
        <v>0</v>
      </c>
      <c r="BD67" s="55">
        <f>_xll.EQNXTDZ($A$1,$B67,BD$5,$B$1)</f>
        <v>1462.34</v>
      </c>
      <c r="BE67" s="55">
        <f>_xll.EQNXTDZ($A$1,$B67,BE$5,$B$1)</f>
        <v>0</v>
      </c>
      <c r="BF67" s="55">
        <f>_xll.EQNXTDZ($A$1,$B67,BF$5,$B$1)</f>
        <v>1502.49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1018.52</v>
      </c>
      <c r="AW68" s="55">
        <f>_xll.EQNXTDZ($A$1,$B68,AW$5,$B$1)</f>
        <v>0</v>
      </c>
      <c r="AX68" s="55">
        <f>_xll.EQNXTDZ($A$1,$B68,AX$5,$B$1)</f>
        <v>1065.03</v>
      </c>
      <c r="AY68" s="55">
        <f>_xll.EQNXTDZ($A$1,$B68,AY$5,$B$1)</f>
        <v>0</v>
      </c>
      <c r="AZ68" s="55">
        <f>_xll.EQNXTDZ($A$1,$B68,AZ$5,$B$1)</f>
        <v>1040.05</v>
      </c>
      <c r="BA68" s="55">
        <f>_xll.EQNXTDZ($A$1,$B68,BA$5,$B$1)</f>
        <v>0</v>
      </c>
      <c r="BB68" s="55">
        <f>_xll.EQNXTDZ($A$1,$B68,BB$5,$B$1)</f>
        <v>1025.1300000000001</v>
      </c>
      <c r="BC68" s="55">
        <f>_xll.EQNXTDZ($A$1,$B68,BC$5,$B$1)</f>
        <v>0</v>
      </c>
      <c r="BD68" s="55">
        <f>_xll.EQNXTDZ($A$1,$B68,BD$5,$B$1)</f>
        <v>1183.19</v>
      </c>
      <c r="BE68" s="55">
        <f>_xll.EQNXTDZ($A$1,$B68,BE$5,$B$1)</f>
        <v>0</v>
      </c>
      <c r="BF68" s="55">
        <f>_xll.EQNXTDZ($A$1,$B68,BF$5,$B$1)</f>
        <v>1190.0999999999999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1018.52</v>
      </c>
      <c r="AW71" s="55">
        <f>_xll.EQNXTDZ($A$1,$B71,AW$5,$B$1)</f>
        <v>0</v>
      </c>
      <c r="AX71" s="55">
        <f>_xll.EQNXTDZ($A$1,$B71,AX$5,$B$1)</f>
        <v>1065.03</v>
      </c>
      <c r="AY71" s="55">
        <f>_xll.EQNXTDZ($A$1,$B71,AY$5,$B$1)</f>
        <v>0</v>
      </c>
      <c r="AZ71" s="55">
        <f>_xll.EQNXTDZ($A$1,$B71,AZ$5,$B$1)</f>
        <v>1040.05</v>
      </c>
      <c r="BA71" s="55">
        <f>_xll.EQNXTDZ($A$1,$B71,BA$5,$B$1)</f>
        <v>0</v>
      </c>
      <c r="BB71" s="55">
        <f>_xll.EQNXTDZ($A$1,$B71,BB$5,$B$1)</f>
        <v>1025.1300000000001</v>
      </c>
      <c r="BC71" s="55">
        <f>_xll.EQNXTDZ($A$1,$B71,BC$5,$B$1)</f>
        <v>0</v>
      </c>
      <c r="BD71" s="55">
        <f>_xll.EQNXTDZ($A$1,$B71,BD$5,$B$1)</f>
        <v>1183.19</v>
      </c>
      <c r="BE71" s="55">
        <f>_xll.EQNXTDZ($A$1,$B71,BE$5,$B$1)</f>
        <v>0</v>
      </c>
      <c r="BF71" s="55">
        <f>_xll.EQNXTDZ($A$1,$B71,BF$5,$B$1)</f>
        <v>1190.0999999999999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56.44</v>
      </c>
      <c r="AW74" s="55">
        <f>_xll.EQNXTDZ($A$1,$B74,AW$5,$B$1)</f>
        <v>0</v>
      </c>
      <c r="AX74" s="55">
        <f>_xll.EQNXTDZ($A$1,$B74,AX$5,$B$1)</f>
        <v>4.84</v>
      </c>
      <c r="AY74" s="55">
        <f>_xll.EQNXTDZ($A$1,$B74,AY$5,$B$1)</f>
        <v>0</v>
      </c>
      <c r="AZ74" s="55">
        <f>_xll.EQNXTDZ($A$1,$B74,AZ$5,$B$1)</f>
        <v>23.27</v>
      </c>
      <c r="BA74" s="55">
        <f>_xll.EQNXTDZ($A$1,$B74,BA$5,$B$1)</f>
        <v>0</v>
      </c>
      <c r="BB74" s="55">
        <f>_xll.EQNXTDZ($A$1,$B74,BB$5,$B$1)</f>
        <v>155.01</v>
      </c>
      <c r="BC74" s="55">
        <f>_xll.EQNXTDZ($A$1,$B74,BC$5,$B$1)</f>
        <v>0</v>
      </c>
      <c r="BD74" s="55">
        <f>_xll.EQNXTDZ($A$1,$B74,BD$5,$B$1)</f>
        <v>13.03</v>
      </c>
      <c r="BE74" s="55">
        <f>_xll.EQNXTDZ($A$1,$B74,BE$5,$B$1)</f>
        <v>0</v>
      </c>
      <c r="BF74" s="55">
        <f>_xll.EQNXTDZ($A$1,$B74,BF$5,$B$1)</f>
        <v>1.89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1.83</v>
      </c>
      <c r="AW77" s="55">
        <f>_xll.EQNXTDZ($A$1,$B77,AW$5,$B$1)</f>
        <v>0</v>
      </c>
      <c r="AX77" s="55">
        <f>_xll.EQNXTDZ($A$1,$B77,AX$5,$B$1)</f>
        <v>1.83</v>
      </c>
      <c r="AY77" s="55">
        <f>_xll.EQNXTDZ($A$1,$B77,AY$5,$B$1)</f>
        <v>0</v>
      </c>
      <c r="AZ77" s="55">
        <f>_xll.EQNXTDZ($A$1,$B77,AZ$5,$B$1)</f>
        <v>0.61</v>
      </c>
      <c r="BA77" s="55">
        <f>_xll.EQNXTDZ($A$1,$B77,BA$5,$B$1)</f>
        <v>0</v>
      </c>
      <c r="BB77" s="55">
        <f>_xll.EQNXTDZ($A$1,$B77,BB$5,$B$1)</f>
        <v>0.61</v>
      </c>
      <c r="BC77" s="55">
        <f>_xll.EQNXTDZ($A$1,$B77,BC$5,$B$1)</f>
        <v>0</v>
      </c>
      <c r="BD77" s="55">
        <f>_xll.EQNXTDZ($A$1,$B77,BD$5,$B$1)</f>
        <v>0.61</v>
      </c>
      <c r="BE77" s="55">
        <f>_xll.EQNXTDZ($A$1,$B77,BE$5,$B$1)</f>
        <v>0</v>
      </c>
      <c r="BF77" s="55">
        <f>_xll.EQNXTDZ($A$1,$B77,BF$5,$B$1)</f>
        <v>1.21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0.1</v>
      </c>
      <c r="AW78" s="55">
        <f>_xll.EQNXTDZ($A$1,$B78,AW$5,$B$1)</f>
        <v>0</v>
      </c>
      <c r="AX78" s="55">
        <f>_xll.EQNXTDZ($A$1,$B78,AX$5,$B$1)</f>
        <v>0.04</v>
      </c>
      <c r="AY78" s="55">
        <f>_xll.EQNXTDZ($A$1,$B78,AY$5,$B$1)</f>
        <v>0</v>
      </c>
      <c r="AZ78" s="55">
        <f>_xll.EQNXTDZ($A$1,$B78,AZ$5,$B$1)</f>
        <v>7.0000000000000007E-2</v>
      </c>
      <c r="BA78" s="55">
        <f>_xll.EQNXTDZ($A$1,$B78,BA$5,$B$1)</f>
        <v>0</v>
      </c>
      <c r="BB78" s="55">
        <f>_xll.EQNXTDZ($A$1,$B78,BB$5,$B$1)</f>
        <v>0.03</v>
      </c>
      <c r="BC78" s="55">
        <f>_xll.EQNXTDZ($A$1,$B78,BC$5,$B$1)</f>
        <v>0</v>
      </c>
      <c r="BD78" s="55">
        <f>_xll.EQNXTDZ($A$1,$B78,BD$5,$B$1)</f>
        <v>0.1</v>
      </c>
      <c r="BE78" s="55">
        <f>_xll.EQNXTDZ($A$1,$B78,BE$5,$B$1)</f>
        <v>0</v>
      </c>
      <c r="BF78" s="55">
        <f>_xll.EQNXTDZ($A$1,$B78,BF$5,$B$1)</f>
        <v>0.12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31.96</v>
      </c>
      <c r="AW79" s="55">
        <f>_xll.EQNXTDZ($A$1,$B79,AW$5,$B$1)</f>
        <v>0</v>
      </c>
      <c r="AX79" s="55">
        <f>_xll.EQNXTDZ($A$1,$B79,AX$5,$B$1)</f>
        <v>29.2</v>
      </c>
      <c r="AY79" s="55">
        <f>_xll.EQNXTDZ($A$1,$B79,AY$5,$B$1)</f>
        <v>0</v>
      </c>
      <c r="AZ79" s="55">
        <f>_xll.EQNXTDZ($A$1,$B79,AZ$5,$B$1)</f>
        <v>36.5</v>
      </c>
      <c r="BA79" s="55">
        <f>_xll.EQNXTDZ($A$1,$B79,BA$5,$B$1)</f>
        <v>0</v>
      </c>
      <c r="BB79" s="55">
        <f>_xll.EQNXTDZ($A$1,$B79,BB$5,$B$1)</f>
        <v>56.87</v>
      </c>
      <c r="BC79" s="55">
        <f>_xll.EQNXTDZ($A$1,$B79,BC$5,$B$1)</f>
        <v>0</v>
      </c>
      <c r="BD79" s="55">
        <f>_xll.EQNXTDZ($A$1,$B79,BD$5,$B$1)</f>
        <v>48.57</v>
      </c>
      <c r="BE79" s="55">
        <f>_xll.EQNXTDZ($A$1,$B79,BE$5,$B$1)</f>
        <v>0</v>
      </c>
      <c r="BF79" s="55">
        <f>_xll.EQNXTDZ($A$1,$B79,BF$5,$B$1)</f>
        <v>42.63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47.66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92.54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1.25</v>
      </c>
      <c r="BE80" s="55">
        <f>_xll.EQNXTDZ($A$1,$B80,BE$5,$B$1)</f>
        <v>0</v>
      </c>
      <c r="BF80" s="55">
        <f>_xll.EQNXTDZ($A$1,$B80,BF$5,$B$1)</f>
        <v>12.94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287.88</v>
      </c>
      <c r="AW81" s="55">
        <f>_xll.EQNXTDZ($A$1,$B81,AW$5,$B$1)</f>
        <v>0</v>
      </c>
      <c r="AX81" s="55">
        <f>_xll.EQNXTDZ($A$1,$B81,AX$5,$B$1)</f>
        <v>347.33</v>
      </c>
      <c r="AY81" s="55">
        <f>_xll.EQNXTDZ($A$1,$B81,AY$5,$B$1)</f>
        <v>0</v>
      </c>
      <c r="AZ81" s="55">
        <f>_xll.EQNXTDZ($A$1,$B81,AZ$5,$B$1)</f>
        <v>246.91</v>
      </c>
      <c r="BA81" s="55">
        <f>_xll.EQNXTDZ($A$1,$B81,BA$5,$B$1)</f>
        <v>0</v>
      </c>
      <c r="BB81" s="55">
        <f>_xll.EQNXTDZ($A$1,$B81,BB$5,$B$1)</f>
        <v>295.19</v>
      </c>
      <c r="BC81" s="55">
        <f>_xll.EQNXTDZ($A$1,$B81,BC$5,$B$1)</f>
        <v>0</v>
      </c>
      <c r="BD81" s="55">
        <f>_xll.EQNXTDZ($A$1,$B81,BD$5,$B$1)</f>
        <v>290.39</v>
      </c>
      <c r="BE81" s="55">
        <f>_xll.EQNXTDZ($A$1,$B81,BE$5,$B$1)</f>
        <v>0</v>
      </c>
      <c r="BF81" s="55">
        <f>_xll.EQNXTDZ($A$1,$B81,BF$5,$B$1)</f>
        <v>421.12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89.09</v>
      </c>
      <c r="AW82" s="55">
        <f>_xll.EQNXTDZ($A$1,$B82,AW$5,$B$1)</f>
        <v>0</v>
      </c>
      <c r="AX82" s="55">
        <f>_xll.EQNXTDZ($A$1,$B82,AX$5,$B$1)</f>
        <v>117.12</v>
      </c>
      <c r="AY82" s="55">
        <f>_xll.EQNXTDZ($A$1,$B82,AY$5,$B$1)</f>
        <v>0</v>
      </c>
      <c r="AZ82" s="55">
        <f>_xll.EQNXTDZ($A$1,$B82,AZ$5,$B$1)</f>
        <v>122.63</v>
      </c>
      <c r="BA82" s="55">
        <f>_xll.EQNXTDZ($A$1,$B82,BA$5,$B$1)</f>
        <v>0</v>
      </c>
      <c r="BB82" s="55">
        <f>_xll.EQNXTDZ($A$1,$B82,BB$5,$B$1)</f>
        <v>117.29</v>
      </c>
      <c r="BC82" s="55">
        <f>_xll.EQNXTDZ($A$1,$B82,BC$5,$B$1)</f>
        <v>0</v>
      </c>
      <c r="BD82" s="55">
        <f>_xll.EQNXTDZ($A$1,$B82,BD$5,$B$1)</f>
        <v>133.05000000000001</v>
      </c>
      <c r="BE82" s="55">
        <f>_xll.EQNXTDZ($A$1,$B82,BE$5,$B$1)</f>
        <v>0</v>
      </c>
      <c r="BF82" s="55">
        <f>_xll.EQNXTDZ($A$1,$B82,BF$5,$B$1)</f>
        <v>170.59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4.13</v>
      </c>
      <c r="AW83" s="55">
        <f>_xll.EQNXTDZ($A$1,$B83,AW$5,$B$1)</f>
        <v>0</v>
      </c>
      <c r="AX83" s="55">
        <f>_xll.EQNXTDZ($A$1,$B83,AX$5,$B$1)</f>
        <v>11.96</v>
      </c>
      <c r="AY83" s="55">
        <f>_xll.EQNXTDZ($A$1,$B83,AY$5,$B$1)</f>
        <v>0</v>
      </c>
      <c r="AZ83" s="55">
        <f>_xll.EQNXTDZ($A$1,$B83,AZ$5,$B$1)</f>
        <v>13.76</v>
      </c>
      <c r="BA83" s="55">
        <f>_xll.EQNXTDZ($A$1,$B83,BA$5,$B$1)</f>
        <v>0</v>
      </c>
      <c r="BB83" s="55">
        <f>_xll.EQNXTDZ($A$1,$B83,BB$5,$B$1)</f>
        <v>5.0599999999999996</v>
      </c>
      <c r="BC83" s="55">
        <f>_xll.EQNXTDZ($A$1,$B83,BC$5,$B$1)</f>
        <v>0</v>
      </c>
      <c r="BD83" s="55">
        <f>_xll.EQNXTDZ($A$1,$B83,BD$5,$B$1)</f>
        <v>6.29</v>
      </c>
      <c r="BE83" s="55">
        <f>_xll.EQNXTDZ($A$1,$B83,BE$5,$B$1)</f>
        <v>0</v>
      </c>
      <c r="BF83" s="55">
        <f>_xll.EQNXTDZ($A$1,$B83,BF$5,$B$1)</f>
        <v>4.5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77.98</v>
      </c>
      <c r="AW84" s="55">
        <f>_xll.EQNXTDZ($A$1,$B84,AW$5,$B$1)</f>
        <v>0</v>
      </c>
      <c r="AX84" s="55">
        <f>_xll.EQNXTDZ($A$1,$B84,AX$5,$B$1)</f>
        <v>55.34</v>
      </c>
      <c r="AY84" s="55">
        <f>_xll.EQNXTDZ($A$1,$B84,AY$5,$B$1)</f>
        <v>0</v>
      </c>
      <c r="AZ84" s="55">
        <f>_xll.EQNXTDZ($A$1,$B84,AZ$5,$B$1)</f>
        <v>60.64</v>
      </c>
      <c r="BA84" s="55">
        <f>_xll.EQNXTDZ($A$1,$B84,BA$5,$B$1)</f>
        <v>0</v>
      </c>
      <c r="BB84" s="55">
        <f>_xll.EQNXTDZ($A$1,$B84,BB$5,$B$1)</f>
        <v>47.5</v>
      </c>
      <c r="BC84" s="55">
        <f>_xll.EQNXTDZ($A$1,$B84,BC$5,$B$1)</f>
        <v>0</v>
      </c>
      <c r="BD84" s="55">
        <f>_xll.EQNXTDZ($A$1,$B84,BD$5,$B$1)</f>
        <v>32.97</v>
      </c>
      <c r="BE84" s="55">
        <f>_xll.EQNXTDZ($A$1,$B84,BE$5,$B$1)</f>
        <v>0</v>
      </c>
      <c r="BF84" s="55">
        <f>_xll.EQNXTDZ($A$1,$B84,BF$5,$B$1)</f>
        <v>25.08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0.15</v>
      </c>
      <c r="AW85" s="55">
        <f>_xll.EQNXTDZ($A$1,$B85,AW$5,$B$1)</f>
        <v>0</v>
      </c>
      <c r="AX85" s="55">
        <f>_xll.EQNXTDZ($A$1,$B85,AX$5,$B$1)</f>
        <v>0.17</v>
      </c>
      <c r="AY85" s="55">
        <f>_xll.EQNXTDZ($A$1,$B85,AY$5,$B$1)</f>
        <v>0</v>
      </c>
      <c r="AZ85" s="55">
        <f>_xll.EQNXTDZ($A$1,$B85,AZ$5,$B$1)</f>
        <v>0.18</v>
      </c>
      <c r="BA85" s="55">
        <f>_xll.EQNXTDZ($A$1,$B85,BA$5,$B$1)</f>
        <v>0</v>
      </c>
      <c r="BB85" s="55">
        <f>_xll.EQNXTDZ($A$1,$B85,BB$5,$B$1)</f>
        <v>0.15</v>
      </c>
      <c r="BC85" s="55">
        <f>_xll.EQNXTDZ($A$1,$B85,BC$5,$B$1)</f>
        <v>0</v>
      </c>
      <c r="BD85" s="55">
        <f>_xll.EQNXTDZ($A$1,$B85,BD$5,$B$1)</f>
        <v>0.2</v>
      </c>
      <c r="BE85" s="55">
        <f>_xll.EQNXTDZ($A$1,$B85,BE$5,$B$1)</f>
        <v>0</v>
      </c>
      <c r="BF85" s="55">
        <f>_xll.EQNXTDZ($A$1,$B85,BF$5,$B$1)</f>
        <v>0.25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506.89</v>
      </c>
      <c r="AW86" s="55">
        <f>_xll.EQNXTDZ($A$1,$B86,AW$5,$B$1)</f>
        <v>0</v>
      </c>
      <c r="AX86" s="55">
        <f>_xll.EQNXTDZ($A$1,$B86,AX$5,$B$1)</f>
        <v>531.91999999999996</v>
      </c>
      <c r="AY86" s="55">
        <f>_xll.EQNXTDZ($A$1,$B86,AY$5,$B$1)</f>
        <v>0</v>
      </c>
      <c r="AZ86" s="55">
        <f>_xll.EQNXTDZ($A$1,$B86,AZ$5,$B$1)</f>
        <v>536.66</v>
      </c>
      <c r="BA86" s="55">
        <f>_xll.EQNXTDZ($A$1,$B86,BA$5,$B$1)</f>
        <v>0</v>
      </c>
      <c r="BB86" s="55">
        <f>_xll.EQNXTDZ($A$1,$B86,BB$5,$B$1)</f>
        <v>465.19</v>
      </c>
      <c r="BC86" s="55">
        <f>_xll.EQNXTDZ($A$1,$B86,BC$5,$B$1)</f>
        <v>0</v>
      </c>
      <c r="BD86" s="55">
        <f>_xll.EQNXTDZ($A$1,$B86,BD$5,$B$1)</f>
        <v>464.15</v>
      </c>
      <c r="BE86" s="55">
        <f>_xll.EQNXTDZ($A$1,$B86,BE$5,$B$1)</f>
        <v>0</v>
      </c>
      <c r="BF86" s="55">
        <f>_xll.EQNXTDZ($A$1,$B86,BF$5,$B$1)</f>
        <v>634.48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26.7</v>
      </c>
      <c r="AW88" s="55">
        <f>_xll.EQNXTDZ($A$1,$B88,AW$5,$B$1)</f>
        <v>0</v>
      </c>
      <c r="AX88" s="55">
        <f>_xll.EQNXTDZ($A$1,$B88,AX$5,$B$1)</f>
        <v>42.64</v>
      </c>
      <c r="AY88" s="55">
        <f>_xll.EQNXTDZ($A$1,$B88,AY$5,$B$1)</f>
        <v>0</v>
      </c>
      <c r="AZ88" s="55">
        <f>_xll.EQNXTDZ($A$1,$B88,AZ$5,$B$1)</f>
        <v>9.4600000000000009</v>
      </c>
      <c r="BA88" s="55">
        <f>_xll.EQNXTDZ($A$1,$B88,BA$5,$B$1)</f>
        <v>0</v>
      </c>
      <c r="BB88" s="55">
        <f>_xll.EQNXTDZ($A$1,$B88,BB$5,$B$1)</f>
        <v>60.6</v>
      </c>
      <c r="BC88" s="55">
        <f>_xll.EQNXTDZ($A$1,$B88,BC$5,$B$1)</f>
        <v>0</v>
      </c>
      <c r="BD88" s="55">
        <f>_xll.EQNXTDZ($A$1,$B88,BD$5,$B$1)</f>
        <v>56.72</v>
      </c>
      <c r="BE88" s="55">
        <f>_xll.EQNXTDZ($A$1,$B88,BE$5,$B$1)</f>
        <v>0</v>
      </c>
      <c r="BF88" s="55">
        <f>_xll.EQNXTDZ($A$1,$B88,BF$5,$B$1)</f>
        <v>134.22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41.13</v>
      </c>
      <c r="AW89" s="55">
        <f>_xll.EQNXTDZ($A$1,$B89,AW$5,$B$1)</f>
        <v>0</v>
      </c>
      <c r="AX89" s="55">
        <f>_xll.EQNXTDZ($A$1,$B89,AX$5,$B$1)</f>
        <v>25.53</v>
      </c>
      <c r="AY89" s="55">
        <f>_xll.EQNXTDZ($A$1,$B89,AY$5,$B$1)</f>
        <v>0</v>
      </c>
      <c r="AZ89" s="55">
        <f>_xll.EQNXTDZ($A$1,$B89,AZ$5,$B$1)</f>
        <v>68.61</v>
      </c>
      <c r="BA89" s="55">
        <f>_xll.EQNXTDZ($A$1,$B89,BA$5,$B$1)</f>
        <v>0</v>
      </c>
      <c r="BB89" s="55">
        <f>_xll.EQNXTDZ($A$1,$B89,BB$5,$B$1)</f>
        <v>41.77</v>
      </c>
      <c r="BC89" s="55">
        <f>_xll.EQNXTDZ($A$1,$B89,BC$5,$B$1)</f>
        <v>0</v>
      </c>
      <c r="BD89" s="55">
        <f>_xll.EQNXTDZ($A$1,$B89,BD$5,$B$1)</f>
        <v>32.29</v>
      </c>
      <c r="BE89" s="55">
        <f>_xll.EQNXTDZ($A$1,$B89,BE$5,$B$1)</f>
        <v>0</v>
      </c>
      <c r="BF89" s="55">
        <f>_xll.EQNXTDZ($A$1,$B89,BF$5,$B$1)</f>
        <v>62.98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13.91</v>
      </c>
      <c r="AW91" s="55">
        <f>_xll.EQNXTDZ($A$1,$B91,AW$5,$B$1)</f>
        <v>0</v>
      </c>
      <c r="AX91" s="55">
        <f>_xll.EQNXTDZ($A$1,$B91,AX$5,$B$1)</f>
        <v>19.23</v>
      </c>
      <c r="AY91" s="55">
        <f>_xll.EQNXTDZ($A$1,$B91,AY$5,$B$1)</f>
        <v>0</v>
      </c>
      <c r="AZ91" s="55">
        <f>_xll.EQNXTDZ($A$1,$B91,AZ$5,$B$1)</f>
        <v>12.74</v>
      </c>
      <c r="BA91" s="55">
        <f>_xll.EQNXTDZ($A$1,$B91,BA$5,$B$1)</f>
        <v>0</v>
      </c>
      <c r="BB91" s="55">
        <f>_xll.EQNXTDZ($A$1,$B91,BB$5,$B$1)</f>
        <v>26.65</v>
      </c>
      <c r="BC91" s="55">
        <f>_xll.EQNXTDZ($A$1,$B91,BC$5,$B$1)</f>
        <v>0</v>
      </c>
      <c r="BD91" s="55">
        <f>_xll.EQNXTDZ($A$1,$B91,BD$5,$B$1)</f>
        <v>19.93</v>
      </c>
      <c r="BE91" s="55">
        <f>_xll.EQNXTDZ($A$1,$B91,BE$5,$B$1)</f>
        <v>0</v>
      </c>
      <c r="BF91" s="55">
        <f>_xll.EQNXTDZ($A$1,$B91,BF$5,$B$1)</f>
        <v>26.75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1.88</v>
      </c>
      <c r="AW92" s="55">
        <f>_xll.EQNXTDZ($A$1,$B92,AW$5,$B$1)</f>
        <v>0</v>
      </c>
      <c r="AX92" s="55">
        <f>_xll.EQNXTDZ($A$1,$B92,AX$5,$B$1)</f>
        <v>2.0099999999999998</v>
      </c>
      <c r="AY92" s="55">
        <f>_xll.EQNXTDZ($A$1,$B92,AY$5,$B$1)</f>
        <v>0</v>
      </c>
      <c r="AZ92" s="55">
        <f>_xll.EQNXTDZ($A$1,$B92,AZ$5,$B$1)</f>
        <v>2.2400000000000002</v>
      </c>
      <c r="BA92" s="55">
        <f>_xll.EQNXTDZ($A$1,$B92,BA$5,$B$1)</f>
        <v>0</v>
      </c>
      <c r="BB92" s="55">
        <f>_xll.EQNXTDZ($A$1,$B92,BB$5,$B$1)</f>
        <v>1.9</v>
      </c>
      <c r="BC92" s="55">
        <f>_xll.EQNXTDZ($A$1,$B92,BC$5,$B$1)</f>
        <v>0</v>
      </c>
      <c r="BD92" s="55">
        <f>_xll.EQNXTDZ($A$1,$B92,BD$5,$B$1)</f>
        <v>2.0699999999999998</v>
      </c>
      <c r="BE92" s="55">
        <f>_xll.EQNXTDZ($A$1,$B92,BE$5,$B$1)</f>
        <v>0</v>
      </c>
      <c r="BF92" s="55">
        <f>_xll.EQNXTDZ($A$1,$B92,BF$5,$B$1)</f>
        <v>3.84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83.62</v>
      </c>
      <c r="AW93" s="55">
        <f>_xll.EQNXTDZ($A$1,$B93,AW$5,$B$1)</f>
        <v>0</v>
      </c>
      <c r="AX93" s="55">
        <f>_xll.EQNXTDZ($A$1,$B93,AX$5,$B$1)</f>
        <v>89.41</v>
      </c>
      <c r="AY93" s="55">
        <f>_xll.EQNXTDZ($A$1,$B93,AY$5,$B$1)</f>
        <v>0</v>
      </c>
      <c r="AZ93" s="55">
        <f>_xll.EQNXTDZ($A$1,$B93,AZ$5,$B$1)</f>
        <v>93.05</v>
      </c>
      <c r="BA93" s="55">
        <f>_xll.EQNXTDZ($A$1,$B93,BA$5,$B$1)</f>
        <v>0</v>
      </c>
      <c r="BB93" s="55">
        <f>_xll.EQNXTDZ($A$1,$B93,BB$5,$B$1)</f>
        <v>130.91999999999999</v>
      </c>
      <c r="BC93" s="55">
        <f>_xll.EQNXTDZ($A$1,$B93,BC$5,$B$1)</f>
        <v>0</v>
      </c>
      <c r="BD93" s="55">
        <f>_xll.EQNXTDZ($A$1,$B93,BD$5,$B$1)</f>
        <v>111.01</v>
      </c>
      <c r="BE93" s="55">
        <f>_xll.EQNXTDZ($A$1,$B93,BE$5,$B$1)</f>
        <v>0</v>
      </c>
      <c r="BF93" s="55">
        <f>_xll.EQNXTDZ($A$1,$B93,BF$5,$B$1)</f>
        <v>227.79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423.27</v>
      </c>
      <c r="AW94" s="55">
        <f>_xll.EQNXTDZ($A$1,$B94,AW$5,$B$1)</f>
        <v>0</v>
      </c>
      <c r="AX94" s="55">
        <f>_xll.EQNXTDZ($A$1,$B94,AX$5,$B$1)</f>
        <v>442.51</v>
      </c>
      <c r="AY94" s="55">
        <f>_xll.EQNXTDZ($A$1,$B94,AY$5,$B$1)</f>
        <v>0</v>
      </c>
      <c r="AZ94" s="55">
        <f>_xll.EQNXTDZ($A$1,$B94,AZ$5,$B$1)</f>
        <v>443.61</v>
      </c>
      <c r="BA94" s="55">
        <f>_xll.EQNXTDZ($A$1,$B94,BA$5,$B$1)</f>
        <v>0</v>
      </c>
      <c r="BB94" s="55">
        <f>_xll.EQNXTDZ($A$1,$B94,BB$5,$B$1)</f>
        <v>334.27</v>
      </c>
      <c r="BC94" s="55">
        <f>_xll.EQNXTDZ($A$1,$B94,BC$5,$B$1)</f>
        <v>0</v>
      </c>
      <c r="BD94" s="55">
        <f>_xll.EQNXTDZ($A$1,$B94,BD$5,$B$1)</f>
        <v>353.14</v>
      </c>
      <c r="BE94" s="55">
        <f>_xll.EQNXTDZ($A$1,$B94,BE$5,$B$1)</f>
        <v>0</v>
      </c>
      <c r="BF94" s="55">
        <f>_xll.EQNXTDZ($A$1,$B94,BF$5,$B$1)</f>
        <v>406.69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-122.13</v>
      </c>
      <c r="AW96" s="55">
        <f>_xll.EQNXTDZ($A$1,$B96,AW$5,$B$1)</f>
        <v>0</v>
      </c>
      <c r="AX96" s="55">
        <f>_xll.EQNXTDZ($A$1,$B96,AX$5,$B$1)</f>
        <v>-128.51</v>
      </c>
      <c r="AY96" s="55">
        <f>_xll.EQNXTDZ($A$1,$B96,AY$5,$B$1)</f>
        <v>0</v>
      </c>
      <c r="AZ96" s="55">
        <f>_xll.EQNXTDZ($A$1,$B96,AZ$5,$B$1)</f>
        <v>-125.39</v>
      </c>
      <c r="BA96" s="55">
        <f>_xll.EQNXTDZ($A$1,$B96,BA$5,$B$1)</f>
        <v>0</v>
      </c>
      <c r="BB96" s="55">
        <f>_xll.EQNXTDZ($A$1,$B96,BB$5,$B$1)</f>
        <v>-131.81</v>
      </c>
      <c r="BC96" s="55">
        <f>_xll.EQNXTDZ($A$1,$B96,BC$5,$B$1)</f>
        <v>0</v>
      </c>
      <c r="BD96" s="55">
        <f>_xll.EQNXTDZ($A$1,$B96,BD$5,$B$1)</f>
        <v>-136.30000000000001</v>
      </c>
      <c r="BE96" s="55">
        <f>_xll.EQNXTDZ($A$1,$B96,BE$5,$B$1)</f>
        <v>0</v>
      </c>
      <c r="BF96" s="55">
        <f>_xll.EQNXTDZ($A$1,$B96,BF$5,$B$1)</f>
        <v>-140.15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1409.99</v>
      </c>
      <c r="AW97" s="55">
        <f>_xll.EQNXTDZ($A$1,$B97,AW$5,$B$1)</f>
        <v>0</v>
      </c>
      <c r="AX97" s="55">
        <f>_xll.EQNXTDZ($A$1,$B97,AX$5,$B$1)</f>
        <v>1414.94</v>
      </c>
      <c r="AY97" s="55">
        <f>_xll.EQNXTDZ($A$1,$B97,AY$5,$B$1)</f>
        <v>0</v>
      </c>
      <c r="AZ97" s="55">
        <f>_xll.EQNXTDZ($A$1,$B97,AZ$5,$B$1)</f>
        <v>1418.72</v>
      </c>
      <c r="BA97" s="55">
        <f>_xll.EQNXTDZ($A$1,$B97,BA$5,$B$1)</f>
        <v>0</v>
      </c>
      <c r="BB97" s="55">
        <f>_xll.EQNXTDZ($A$1,$B97,BB$5,$B$1)</f>
        <v>1440.11</v>
      </c>
      <c r="BC97" s="55">
        <f>_xll.EQNXTDZ($A$1,$B97,BC$5,$B$1)</f>
        <v>0</v>
      </c>
      <c r="BD97" s="55">
        <f>_xll.EQNXTDZ($A$1,$B97,BD$5,$B$1)</f>
        <v>1462.34</v>
      </c>
      <c r="BE97" s="55">
        <f>_xll.EQNXTDZ($A$1,$B97,BE$5,$B$1)</f>
        <v>0</v>
      </c>
      <c r="BF97" s="55">
        <f>_xll.EQNXTDZ($A$1,$B97,BF$5,$B$1)</f>
        <v>1502.49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310497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GHCL Textiles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1058.2</v>
      </c>
      <c r="AA6" s="100">
        <f>_xll.EQNXTDZ($A$1,$B6,AA$1,$B$1)</f>
        <v>1164.01</v>
      </c>
      <c r="AB6" s="100">
        <f>_xll.EQNXTDZ($A$1,$B6,AB$1,$B$1)</f>
        <v>1322.73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4.33</v>
      </c>
      <c r="AA8" s="100">
        <f>_xll.EQNXTDZ($A$1,$B8,AA$1,$B$1)</f>
        <v>2.85</v>
      </c>
      <c r="AB8" s="100">
        <f>_xll.EQNXTDZ($A$1,$B8,AB$1,$B$1)</f>
        <v>4.13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1053.8699999999999</v>
      </c>
      <c r="AA10" s="100">
        <f>_xll.EQNXTDZ($A$1,$B10,AA$1,$B$1)</f>
        <v>1161.1600000000001</v>
      </c>
      <c r="AB10" s="100">
        <f>_xll.EQNXTDZ($A$1,$B10,AB$1,$B$1)</f>
        <v>1318.6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-6.94</v>
      </c>
      <c r="AA11" s="100">
        <f>_xll.EQNXTDZ($A$1,$B11,AA$1,$B$1)</f>
        <v>7.52</v>
      </c>
      <c r="AB11" s="100">
        <f>_xll.EQNXTDZ($A$1,$B11,AB$1,$B$1)</f>
        <v>-6.19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736.36</v>
      </c>
      <c r="AA12" s="100">
        <f>_xll.EQNXTDZ($A$1,$B12,AA$1,$B$1)</f>
        <v>777.25</v>
      </c>
      <c r="AB12" s="100">
        <f>_xll.EQNXTDZ($A$1,$B12,AB$1,$B$1)</f>
        <v>897.84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71.45</v>
      </c>
      <c r="AA13" s="100">
        <f>_xll.EQNXTDZ($A$1,$B13,AA$1,$B$1)</f>
        <v>73.47</v>
      </c>
      <c r="AB13" s="100">
        <f>_xll.EQNXTDZ($A$1,$B13,AB$1,$B$1)</f>
        <v>77.989999999999995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61.9</v>
      </c>
      <c r="AA14" s="100">
        <f>_xll.EQNXTDZ($A$1,$B14,AA$1,$B$1)</f>
        <v>74.42</v>
      </c>
      <c r="AB14" s="100">
        <f>_xll.EQNXTDZ($A$1,$B14,AB$1,$B$1)</f>
        <v>82.03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53.17</v>
      </c>
      <c r="AA15" s="100">
        <f>_xll.EQNXTDZ($A$1,$B15,AA$1,$B$1)</f>
        <v>56.56</v>
      </c>
      <c r="AB15" s="100">
        <f>_xll.EQNXTDZ($A$1,$B15,AB$1,$B$1)</f>
        <v>62.73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5.8151000000000001E-3</v>
      </c>
      <c r="X17" s="100">
        <f>_xll.EQNXTDZ($A$1,$B17,X$1,$B$1)</f>
        <v>1.1800000000000001E-3</v>
      </c>
      <c r="Y17" s="100">
        <f>_xll.EQNXTDZ($A$1,$B17,Y$1,$B$1)</f>
        <v>0</v>
      </c>
      <c r="Z17" s="100">
        <f>_xll.EQNXTDZ($A$1,$B17,Z$1,$B$1)</f>
        <v>28.24</v>
      </c>
      <c r="AA17" s="100">
        <f>_xll.EQNXTDZ($A$1,$B17,AA$1,$B$1)</f>
        <v>28.76</v>
      </c>
      <c r="AB17" s="100">
        <f>_xll.EQNXTDZ($A$1,$B17,AB$1,$B$1)</f>
        <v>32.31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23.16</v>
      </c>
      <c r="AA18" s="100">
        <f>_xll.EQNXTDZ($A$1,$B18,AA$1,$B$1)</f>
        <v>28.96</v>
      </c>
      <c r="AB18" s="100">
        <f>_xll.EQNXTDZ($A$1,$B18,AB$1,$B$1)</f>
        <v>27.16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0</v>
      </c>
      <c r="Y19" s="100">
        <f>_xll.EQNXTDZ($A$1,$B19,Y$1,$B$1)</f>
        <v>0.01</v>
      </c>
      <c r="Z19" s="100">
        <f>_xll.EQNXTDZ($A$1,$B19,Z$1,$B$1)</f>
        <v>2.33</v>
      </c>
      <c r="AA19" s="100">
        <f>_xll.EQNXTDZ($A$1,$B19,AA$1,$B$1)</f>
        <v>3.47</v>
      </c>
      <c r="AB19" s="100">
        <f>_xll.EQNXTDZ($A$1,$B19,AB$1,$B$1)</f>
        <v>4.2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5.8151000000000001E-3</v>
      </c>
      <c r="X21" s="100">
        <f>_xll.EQNXTDZ($A$1,$B21,X$1,$B$1)</f>
        <v>1.1800000000000001E-3</v>
      </c>
      <c r="Y21" s="100">
        <f>_xll.EQNXTDZ($A$1,$B21,Y$1,$B$1)</f>
        <v>0.01</v>
      </c>
      <c r="Z21" s="100">
        <f>_xll.EQNXTDZ($A$1,$B21,Z$1,$B$1)</f>
        <v>969.67</v>
      </c>
      <c r="AA21" s="100">
        <f>_xll.EQNXTDZ($A$1,$B21,AA$1,$B$1)</f>
        <v>1050.4100000000001</v>
      </c>
      <c r="AB21" s="100">
        <f>_xll.EQNXTDZ($A$1,$B21,AB$1,$B$1)</f>
        <v>1178.07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-5.8151000000000001E-3</v>
      </c>
      <c r="X22" s="100">
        <f>_xll.EQNXTDZ($A$1,$B22,X$1,$B$1)</f>
        <v>-1.1800000000000001E-3</v>
      </c>
      <c r="Y22" s="100">
        <f>_xll.EQNXTDZ($A$1,$B22,Y$1,$B$1)</f>
        <v>-0.01</v>
      </c>
      <c r="Z22" s="100">
        <f>_xll.EQNXTDZ($A$1,$B22,Z$1,$B$1)</f>
        <v>84.199999999999903</v>
      </c>
      <c r="AA22" s="100">
        <f>_xll.EQNXTDZ($A$1,$B22,AA$1,$B$1)</f>
        <v>110.75</v>
      </c>
      <c r="AB22" s="100">
        <f>_xll.EQNXTDZ($A$1,$B22,AB$1,$B$1)</f>
        <v>140.53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0</v>
      </c>
      <c r="Y23" s="100">
        <f>_xll.EQNXTDZ($A$1,$B23,Y$1,$B$1)</f>
        <v>0</v>
      </c>
      <c r="Z23" s="100">
        <f>_xll.EQNXTDZ($A$1,$B23,Z$1,$B$1)</f>
        <v>5.63</v>
      </c>
      <c r="AA23" s="100">
        <f>_xll.EQNXTDZ($A$1,$B23,AA$1,$B$1)</f>
        <v>6.96</v>
      </c>
      <c r="AB23" s="100">
        <f>_xll.EQNXTDZ($A$1,$B23,AB$1,$B$1)</f>
        <v>16.2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-5.8151000000000001E-3</v>
      </c>
      <c r="X24" s="100">
        <f>_xll.EQNXTDZ($A$1,$B24,X$1,$B$1)</f>
        <v>-1.1800000000000001E-3</v>
      </c>
      <c r="Y24" s="100">
        <f>_xll.EQNXTDZ($A$1,$B24,Y$1,$B$1)</f>
        <v>-0.01</v>
      </c>
      <c r="Z24" s="100">
        <f>_xll.EQNXTDZ($A$1,$B24,Z$1,$B$1)</f>
        <v>89.83</v>
      </c>
      <c r="AA24" s="100">
        <f>_xll.EQNXTDZ($A$1,$B24,AA$1,$B$1)</f>
        <v>117.71</v>
      </c>
      <c r="AB24" s="100">
        <f>_xll.EQNXTDZ($A$1,$B24,AB$1,$B$1)</f>
        <v>156.72999999999999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7.92</v>
      </c>
      <c r="AA25" s="100">
        <f>_xll.EQNXTDZ($A$1,$B25,AA$1,$B$1)</f>
        <v>3.77</v>
      </c>
      <c r="AB25" s="100">
        <f>_xll.EQNXTDZ($A$1,$B25,AB$1,$B$1)</f>
        <v>5.87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-5.8151000000000001E-3</v>
      </c>
      <c r="X26" s="100">
        <f>_xll.EQNXTDZ($A$1,$B26,X$1,$B$1)</f>
        <v>-1.1800000000000001E-3</v>
      </c>
      <c r="Y26" s="100">
        <f>_xll.EQNXTDZ($A$1,$B26,Y$1,$B$1)</f>
        <v>-0.01</v>
      </c>
      <c r="Z26" s="100">
        <f>_xll.EQNXTDZ($A$1,$B26,Z$1,$B$1)</f>
        <v>81.91</v>
      </c>
      <c r="AA26" s="100">
        <f>_xll.EQNXTDZ($A$1,$B26,AA$1,$B$1)</f>
        <v>113.94</v>
      </c>
      <c r="AB26" s="100">
        <f>_xll.EQNXTDZ($A$1,$B26,AB$1,$B$1)</f>
        <v>150.86000000000001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47.36</v>
      </c>
      <c r="AA27" s="100">
        <f>_xll.EQNXTDZ($A$1,$B27,AA$1,$B$1)</f>
        <v>50.65</v>
      </c>
      <c r="AB27" s="100">
        <f>_xll.EQNXTDZ($A$1,$B27,AB$1,$B$1)</f>
        <v>57.9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0</v>
      </c>
      <c r="Z30" s="100">
        <f>_xll.EQNXTDZ($A$1,$B30,Z$1,$B$1)</f>
        <v>9.5</v>
      </c>
      <c r="AA30" s="100">
        <f>_xll.EQNXTDZ($A$1,$B30,AA$1,$B$1)</f>
        <v>7.32</v>
      </c>
      <c r="AB30" s="100">
        <f>_xll.EQNXTDZ($A$1,$B30,AB$1,$B$1)</f>
        <v>22.59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-5.8151000000000001E-3</v>
      </c>
      <c r="X35" s="100">
        <f>_xll.EQNXTDZ($A$1,$B35,X$1,$B$1)</f>
        <v>-1.1800000000000001E-3</v>
      </c>
      <c r="Y35" s="100">
        <f>_xll.EQNXTDZ($A$1,$B35,Y$1,$B$1)</f>
        <v>-0.01</v>
      </c>
      <c r="Z35" s="100">
        <f>_xll.EQNXTDZ($A$1,$B35,Z$1,$B$1)</f>
        <v>25.05</v>
      </c>
      <c r="AA35" s="100">
        <f>_xll.EQNXTDZ($A$1,$B35,AA$1,$B$1)</f>
        <v>55.97</v>
      </c>
      <c r="AB35" s="100">
        <f>_xll.EQNXTDZ($A$1,$B35,AB$1,$B$1)</f>
        <v>70.37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0.01</v>
      </c>
      <c r="X41" s="55">
        <f>_xll.EQNXTDZ($A$1,$B41,X$1,$B$1)</f>
        <v>0.01</v>
      </c>
      <c r="Y41" s="55">
        <f>_xll.EQNXTDZ($A$1,$B41,Y$1,$B$1)</f>
        <v>0.01</v>
      </c>
      <c r="Z41" s="55">
        <f>_xll.EQNXTDZ($A$1,$B41,Z$1,$B$1)</f>
        <v>19.12</v>
      </c>
      <c r="AA41" s="55">
        <f>_xll.EQNXTDZ($A$1,$B41,AA$1,$B$1)</f>
        <v>19.12</v>
      </c>
      <c r="AB41" s="55">
        <f>_xll.EQNXTDZ($A$1,$B41,AB$1,$B$1)</f>
        <v>19.12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-5.8151000000000001E-3</v>
      </c>
      <c r="X43" s="55">
        <f>_xll.EQNXTDZ($A$1,$B43,X$1,$B$1)</f>
        <v>-6.9950999999999998E-3</v>
      </c>
      <c r="Y43" s="55">
        <f>_xll.EQNXTDZ($A$1,$B43,Y$1,$B$1)</f>
        <v>-0.01</v>
      </c>
      <c r="Z43" s="55">
        <f>_xll.EQNXTDZ($A$1,$B43,Z$1,$B$1)</f>
        <v>1366.64</v>
      </c>
      <c r="AA43" s="55">
        <f>_xll.EQNXTDZ($A$1,$B43,AA$1,$B$1)</f>
        <v>1418.26</v>
      </c>
      <c r="AB43" s="55">
        <f>_xll.EQNXTDZ($A$1,$B43,AB$1,$B$1)</f>
        <v>1483.37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4.1849000000000001E-3</v>
      </c>
      <c r="X44" s="55">
        <f>_xll.EQNXTDZ($A$1,$B44,X$1,$B$1)</f>
        <v>3.0049E-3</v>
      </c>
      <c r="Y44" s="55">
        <f>_xll.EQNXTDZ($A$1,$B44,Y$1,$B$1)</f>
        <v>0</v>
      </c>
      <c r="Z44" s="55">
        <f>_xll.EQNXTDZ($A$1,$B44,Z$1,$B$1)</f>
        <v>1385.76</v>
      </c>
      <c r="AA44" s="55">
        <f>_xll.EQNXTDZ($A$1,$B44,AA$1,$B$1)</f>
        <v>1437.38</v>
      </c>
      <c r="AB44" s="55">
        <f>_xll.EQNXTDZ($A$1,$B44,AB$1,$B$1)</f>
        <v>1502.49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29.18</v>
      </c>
      <c r="AA47" s="55">
        <f>_xll.EQNXTDZ($A$1,$B47,AA$1,$B$1)</f>
        <v>2.73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128.51</v>
      </c>
      <c r="AA49" s="55">
        <f>_xll.EQNXTDZ($A$1,$B49,AA$1,$B$1)</f>
        <v>131.81</v>
      </c>
      <c r="AB49" s="55">
        <f>_xll.EQNXTDZ($A$1,$B49,AB$1,$B$1)</f>
        <v>140.15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0</v>
      </c>
      <c r="Z53" s="55">
        <f>_xll.EQNXTDZ($A$1,$B53,Z$1,$B$1)</f>
        <v>157.69</v>
      </c>
      <c r="AA53" s="55">
        <f>_xll.EQNXTDZ($A$1,$B53,AA$1,$B$1)</f>
        <v>134.54</v>
      </c>
      <c r="AB53" s="55">
        <f>_xll.EQNXTDZ($A$1,$B53,AB$1,$B$1)</f>
        <v>140.15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1E-3</v>
      </c>
      <c r="Y54" s="55">
        <f>_xll.EQNXTDZ($A$1,$B54,Y$1,$B$1)</f>
        <v>0</v>
      </c>
      <c r="Z54" s="55">
        <f>_xll.EQNXTDZ($A$1,$B54,Z$1,$B$1)</f>
        <v>25.53</v>
      </c>
      <c r="AA54" s="55">
        <f>_xll.EQNXTDZ($A$1,$B54,AA$1,$B$1)</f>
        <v>41.77</v>
      </c>
      <c r="AB54" s="55">
        <f>_xll.EQNXTDZ($A$1,$B54,AB$1,$B$1)</f>
        <v>62.98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1E-3</v>
      </c>
      <c r="X55" s="55">
        <f>_xll.EQNXTDZ($A$1,$B55,X$1,$B$1)</f>
        <v>1.1800000000000001E-3</v>
      </c>
      <c r="Y55" s="55">
        <f>_xll.EQNXTDZ($A$1,$B55,Y$1,$B$1)</f>
        <v>0</v>
      </c>
      <c r="Z55" s="55">
        <f>_xll.EQNXTDZ($A$1,$B55,Z$1,$B$1)</f>
        <v>42.8</v>
      </c>
      <c r="AA55" s="55">
        <f>_xll.EQNXTDZ($A$1,$B55,AA$1,$B$1)</f>
        <v>31.2</v>
      </c>
      <c r="AB55" s="55">
        <f>_xll.EQNXTDZ($A$1,$B55,AB$1,$B$1)</f>
        <v>27.36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19.07</v>
      </c>
      <c r="AA56" s="55">
        <f>_xll.EQNXTDZ($A$1,$B56,AA$1,$B$1)</f>
        <v>56.05</v>
      </c>
      <c r="AB56" s="55">
        <f>_xll.EQNXTDZ($A$1,$B56,AB$1,$B$1)</f>
        <v>133.61000000000001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</v>
      </c>
      <c r="Y57" s="55">
        <f>_xll.EQNXTDZ($A$1,$B57,Y$1,$B$1)</f>
        <v>0</v>
      </c>
      <c r="Z57" s="55">
        <f>_xll.EQNXTDZ($A$1,$B57,Z$1,$B$1)</f>
        <v>2.0099999999999998</v>
      </c>
      <c r="AA57" s="55">
        <f>_xll.EQNXTDZ($A$1,$B57,AA$1,$B$1)</f>
        <v>1.9</v>
      </c>
      <c r="AB57" s="55">
        <f>_xll.EQNXTDZ($A$1,$B57,AB$1,$B$1)</f>
        <v>3.84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1E-3</v>
      </c>
      <c r="X59" s="55">
        <f>_xll.EQNXTDZ($A$1,$B59,X$1,$B$1)</f>
        <v>2.1800000000000001E-3</v>
      </c>
      <c r="Y59" s="55">
        <f>_xll.EQNXTDZ($A$1,$B59,Y$1,$B$1)</f>
        <v>0</v>
      </c>
      <c r="Z59" s="55">
        <f>_xll.EQNXTDZ($A$1,$B59,Z$1,$B$1)</f>
        <v>89.41</v>
      </c>
      <c r="AA59" s="55">
        <f>_xll.EQNXTDZ($A$1,$B59,AA$1,$B$1)</f>
        <v>130.91999999999999</v>
      </c>
      <c r="AB59" s="55">
        <f>_xll.EQNXTDZ($A$1,$B59,AB$1,$B$1)</f>
        <v>227.79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5.1849000000000001E-3</v>
      </c>
      <c r="X60" s="55">
        <f>_xll.EQNXTDZ($A$1,$B60,X$1,$B$1)</f>
        <v>5.1849000000000001E-3</v>
      </c>
      <c r="Y60" s="55">
        <f>_xll.EQNXTDZ($A$1,$B60,Y$1,$B$1)</f>
        <v>0</v>
      </c>
      <c r="Z60" s="55">
        <f>_xll.EQNXTDZ($A$1,$B60,Z$1,$B$1)</f>
        <v>1632.86</v>
      </c>
      <c r="AA60" s="55">
        <f>_xll.EQNXTDZ($A$1,$B60,AA$1,$B$1)</f>
        <v>1702.84</v>
      </c>
      <c r="AB60" s="55">
        <f>_xll.EQNXTDZ($A$1,$B60,AB$1,$B$1)</f>
        <v>1870.43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0</v>
      </c>
      <c r="Y62" s="55">
        <f>_xll.EQNXTDZ($A$1,$B62,Y$1,$B$1)</f>
        <v>0</v>
      </c>
      <c r="Z62" s="55">
        <f>_xll.EQNXTDZ($A$1,$B62,Z$1,$B$1)</f>
        <v>1327.69</v>
      </c>
      <c r="AA62" s="55">
        <f>_xll.EQNXTDZ($A$1,$B62,AA$1,$B$1)</f>
        <v>1324.94</v>
      </c>
      <c r="AB62" s="55">
        <f>_xll.EQNXTDZ($A$1,$B62,AB$1,$B$1)</f>
        <v>1551.99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</v>
      </c>
      <c r="Y63" s="55">
        <f>_xll.EQNXTDZ($A$1,$B63,Y$1,$B$1)</f>
        <v>0</v>
      </c>
      <c r="Z63" s="55">
        <f>_xll.EQNXTDZ($A$1,$B63,Z$1,$B$1)</f>
        <v>262.66000000000003</v>
      </c>
      <c r="AA63" s="55">
        <f>_xll.EQNXTDZ($A$1,$B63,AA$1,$B$1)</f>
        <v>299.81</v>
      </c>
      <c r="AB63" s="55">
        <f>_xll.EQNXTDZ($A$1,$B63,AB$1,$B$1)</f>
        <v>361.89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0</v>
      </c>
      <c r="Y65" s="55">
        <f>_xll.EQNXTDZ($A$1,$B65,Y$1,$B$1)</f>
        <v>0</v>
      </c>
      <c r="Z65" s="55">
        <f>_xll.EQNXTDZ($A$1,$B65,Z$1,$B$1)</f>
        <v>1065.03</v>
      </c>
      <c r="AA65" s="55">
        <f>_xll.EQNXTDZ($A$1,$B65,AA$1,$B$1)</f>
        <v>1025.1300000000001</v>
      </c>
      <c r="AB65" s="55">
        <f>_xll.EQNXTDZ($A$1,$B65,AB$1,$B$1)</f>
        <v>1190.0999999999999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4.84</v>
      </c>
      <c r="AA67" s="55">
        <f>_xll.EQNXTDZ($A$1,$B67,AA$1,$B$1)</f>
        <v>155.01</v>
      </c>
      <c r="AB67" s="55">
        <f>_xll.EQNXTDZ($A$1,$B67,AB$1,$B$1)</f>
        <v>1.89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1.83</v>
      </c>
      <c r="AA71" s="55">
        <f>_xll.EQNXTDZ($A$1,$B71,AA$1,$B$1)</f>
        <v>0.61</v>
      </c>
      <c r="AB71" s="55">
        <f>_xll.EQNXTDZ($A$1,$B71,AB$1,$B$1)</f>
        <v>1.21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28.79</v>
      </c>
      <c r="AA72" s="55">
        <f>_xll.EQNXTDZ($A$1,$B72,AA$1,$B$1)</f>
        <v>49.6</v>
      </c>
      <c r="AB72" s="55">
        <f>_xll.EQNXTDZ($A$1,$B72,AB$1,$B$1)</f>
        <v>42.09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0.09</v>
      </c>
      <c r="AA73" s="55">
        <f>_xll.EQNXTDZ($A$1,$B73,AA$1,$B$1)</f>
        <v>1.42</v>
      </c>
      <c r="AB73" s="55">
        <f>_xll.EQNXTDZ($A$1,$B73,AB$1,$B$1)</f>
        <v>0.43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0</v>
      </c>
      <c r="Z74" s="55">
        <f>_xll.EQNXTDZ($A$1,$B74,Z$1,$B$1)</f>
        <v>1100.58</v>
      </c>
      <c r="AA74" s="55">
        <f>_xll.EQNXTDZ($A$1,$B74,AA$1,$B$1)</f>
        <v>1231.77</v>
      </c>
      <c r="AB74" s="55">
        <f>_xll.EQNXTDZ($A$1,$B74,AB$1,$B$1)</f>
        <v>1235.72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12.94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347.33</v>
      </c>
      <c r="AA76" s="55">
        <f>_xll.EQNXTDZ($A$1,$B76,AA$1,$B$1)</f>
        <v>295.19</v>
      </c>
      <c r="AB76" s="55">
        <f>_xll.EQNXTDZ($A$1,$B76,AB$1,$B$1)</f>
        <v>421.12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117.12</v>
      </c>
      <c r="AA77" s="55">
        <f>_xll.EQNXTDZ($A$1,$B77,AA$1,$B$1)</f>
        <v>117.29</v>
      </c>
      <c r="AB77" s="55">
        <f>_xll.EQNXTDZ($A$1,$B77,AB$1,$B$1)</f>
        <v>170.59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5.1849000000000001E-3</v>
      </c>
      <c r="X78" s="55">
        <f>_xll.EQNXTDZ($A$1,$B78,X$1,$B$1)</f>
        <v>5.1849000000000001E-3</v>
      </c>
      <c r="Y78" s="55">
        <f>_xll.EQNXTDZ($A$1,$B78,Y$1,$B$1)</f>
        <v>0</v>
      </c>
      <c r="Z78" s="55">
        <f>_xll.EQNXTDZ($A$1,$B78,Z$1,$B$1)</f>
        <v>11.96</v>
      </c>
      <c r="AA78" s="55">
        <f>_xll.EQNXTDZ($A$1,$B78,AA$1,$B$1)</f>
        <v>5.0599999999999996</v>
      </c>
      <c r="AB78" s="55">
        <f>_xll.EQNXTDZ($A$1,$B78,AB$1,$B$1)</f>
        <v>4.5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0</v>
      </c>
      <c r="Z79" s="55">
        <f>_xll.EQNXTDZ($A$1,$B79,Z$1,$B$1)</f>
        <v>10.85</v>
      </c>
      <c r="AA79" s="55">
        <f>_xll.EQNXTDZ($A$1,$B79,AA$1,$B$1)</f>
        <v>21.26</v>
      </c>
      <c r="AB79" s="55">
        <f>_xll.EQNXTDZ($A$1,$B79,AB$1,$B$1)</f>
        <v>6.4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44.66</v>
      </c>
      <c r="AA80" s="55">
        <f>_xll.EQNXTDZ($A$1,$B80,AA$1,$B$1)</f>
        <v>26.39</v>
      </c>
      <c r="AB80" s="55">
        <f>_xll.EQNXTDZ($A$1,$B80,AB$1,$B$1)</f>
        <v>18.93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0.36</v>
      </c>
      <c r="AA81" s="55">
        <f>_xll.EQNXTDZ($A$1,$B81,AA$1,$B$1)</f>
        <v>5.88</v>
      </c>
      <c r="AB81" s="55">
        <f>_xll.EQNXTDZ($A$1,$B81,AB$1,$B$1)</f>
        <v>0.23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5.1849000000000001E-3</v>
      </c>
      <c r="X82" s="55">
        <f>_xll.EQNXTDZ($A$1,$B82,X$1,$B$1)</f>
        <v>5.1849000000000001E-3</v>
      </c>
      <c r="Y82" s="55">
        <f>_xll.EQNXTDZ($A$1,$B82,Y$1,$B$1)</f>
        <v>0</v>
      </c>
      <c r="Z82" s="55">
        <f>_xll.EQNXTDZ($A$1,$B82,Z$1,$B$1)</f>
        <v>531.91999999999996</v>
      </c>
      <c r="AA82" s="55">
        <f>_xll.EQNXTDZ($A$1,$B82,AA$1,$B$1)</f>
        <v>465.19</v>
      </c>
      <c r="AB82" s="55">
        <f>_xll.EQNXTDZ($A$1,$B82,AB$1,$B$1)</f>
        <v>634.48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5.1849000000000001E-3</v>
      </c>
      <c r="X84" s="55">
        <f>_xll.EQNXTDZ($A$1,$B84,X$1,$B$1)</f>
        <v>5.1849000000000001E-3</v>
      </c>
      <c r="Y84" s="55">
        <f>_xll.EQNXTDZ($A$1,$B84,Y$1,$B$1)</f>
        <v>0</v>
      </c>
      <c r="Z84" s="55">
        <f>_xll.EQNXTDZ($A$1,$B84,Z$1,$B$1)</f>
        <v>1632.86</v>
      </c>
      <c r="AA84" s="55">
        <f>_xll.EQNXTDZ($A$1,$B84,AA$1,$B$1)</f>
        <v>1702.84</v>
      </c>
      <c r="AB84" s="55">
        <f>_xll.EQNXTDZ($A$1,$B84,AB$1,$B$1)</f>
        <v>1870.43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7.65</v>
      </c>
      <c r="AA85" s="55">
        <f>_xll.EQNXTDZ($A$1,$B85,AA$1,$B$1)</f>
        <v>6.15</v>
      </c>
      <c r="AB85" s="55">
        <f>_xll.EQNXTDZ($A$1,$B85,AB$1,$B$1)</f>
        <v>6.15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23.4</v>
      </c>
      <c r="AA88" s="55">
        <f>_xll.EQNXTDZ($A$1,$B88,AA$1,$B$1)</f>
        <v>4.42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7.65</v>
      </c>
      <c r="AA93" s="55">
        <f>_xll.EQNXTDZ($A$1,$B93,AA$1,$B$1)</f>
        <v>6.15</v>
      </c>
      <c r="AB93" s="55">
        <f>_xll.EQNXTDZ($A$1,$B93,AB$1,$B$1)</f>
        <v>6.15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0.01</v>
      </c>
      <c r="X104" s="55">
        <f>_xll.EQNXTDZ($A$1,$B104,X$1,$B$1)</f>
        <v>0.01</v>
      </c>
      <c r="Y104" s="55">
        <f>_xll.EQNXTDZ($A$1,$B104,Y$1,$B$1)</f>
        <v>0.01</v>
      </c>
      <c r="Z104" s="55">
        <f>_xll.EQNXTDZ($A$1,$B104,Z$1,$B$1)</f>
        <v>19.12</v>
      </c>
      <c r="AA104" s="55">
        <f>_xll.EQNXTDZ($A$1,$B104,AA$1,$B$1)</f>
        <v>19.12</v>
      </c>
      <c r="AB104" s="55">
        <f>_xll.EQNXTDZ($A$1,$B104,AB$1,$B$1)</f>
        <v>19.12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75.5</v>
      </c>
      <c r="AA106" s="55">
        <f>_xll.EQNXTDZ($A$1,$B106,AA$1,$B$1)</f>
        <v>72.31</v>
      </c>
      <c r="AB106" s="55">
        <f>_xll.EQNXTDZ($A$1,$B106,AB$1,$B$1)</f>
        <v>65.569999999999993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97.95</v>
      </c>
      <c r="AA107" s="55">
        <f>_xll.EQNXTDZ($A$1,$B107,AA$1,$B$1)</f>
        <v>123.05</v>
      </c>
      <c r="AB107" s="55">
        <f>_xll.EQNXTDZ($A$1,$B107,AB$1,$B$1)</f>
        <v>98.7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60</v>
      </c>
      <c r="AA108" s="55">
        <f>_xll.EQNXTDZ($A$1,$B108,AA$1,$B$1)</f>
        <v>68.5</v>
      </c>
      <c r="AB108" s="55">
        <f>_xll.EQNXTDZ($A$1,$B108,AB$1,$B$1)</f>
        <v>65.349999999999994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721.78</v>
      </c>
      <c r="AA109" s="55">
        <f>_xll.EQNXTDZ($A$1,$B109,AA$1,$B$1)</f>
        <v>691.28359999999998</v>
      </c>
      <c r="AB109" s="55">
        <f>_xll.EQNXTDZ($A$1,$B109,AB$1,$B$1)</f>
        <v>626.8492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0.5</v>
      </c>
      <c r="AA110" s="55">
        <f>_xll.EQNXTDZ($A$1,$B110,AA$1,$B$1)</f>
        <v>0.5</v>
      </c>
      <c r="AB110" s="55">
        <f>_xll.EQNXTDZ($A$1,$B110,AB$1,$B$1)</f>
        <v>0.6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19.149999999999999</v>
      </c>
      <c r="AA112" s="56">
        <f>_xll.EQNXTDZ($A$1,$B112,AA$5)</f>
        <v>19.16</v>
      </c>
      <c r="AB112" s="56">
        <f>_xll.EQNXTDZ($A$1,$B112,AB$5)</f>
        <v>19.2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1.0900000000000001</v>
      </c>
      <c r="AA113" s="56">
        <f>_xll.EQNXTDZ($A$1,$B113,AA$5)</f>
        <v>1.0900000000000001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310497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72</v>
      </c>
      <c r="EF6" cm="1">
        <f t="array" ref="EF6">_xll.EQNXTDZ($A$1,$B6,EF$1)</f>
        <v>74</v>
      </c>
      <c r="EG6" cm="1">
        <f t="array" ref="EG6">_xll.EQNXTDZ($A$1,$B6,EG$1)</f>
        <v>75.45</v>
      </c>
      <c r="EH6" cm="1">
        <f t="array" ref="EH6">_xll.EQNXTDZ($A$1,$B6,EH$1)</f>
        <v>76.650000000000006</v>
      </c>
      <c r="EI6" cm="1">
        <f t="array" ref="EI6">_xll.EQNXTDZ($A$1,$B6,EI$1)</f>
        <v>80</v>
      </c>
      <c r="EJ6" cm="1">
        <f t="array" ref="EJ6">_xll.EQNXTDZ($A$1,$B6,EJ$1)</f>
        <v>75.599999999999994</v>
      </c>
      <c r="EK6" cm="1">
        <f t="array" ref="EK6">_xll.EQNXTDZ($A$1,$B6,EK$1)</f>
        <v>70.8</v>
      </c>
      <c r="EL6" cm="1">
        <f t="array" ref="EL6">_xll.EQNXTDZ($A$1,$B6,EL$1)</f>
        <v>69.75</v>
      </c>
      <c r="EM6" cm="1">
        <f t="array" ref="EM6">_xll.EQNXTDZ($A$1,$B6,EM$1)</f>
        <v>80</v>
      </c>
      <c r="EN6" cm="1">
        <f t="array" ref="EN6">_xll.EQNXTDZ($A$1,$B6,EN$1)</f>
        <v>88.8</v>
      </c>
      <c r="EO6" cm="1">
        <f t="array" ref="EO6">_xll.EQNXTDZ($A$1,$B6,EO$1)</f>
        <v>76.95</v>
      </c>
      <c r="EP6" cm="1">
        <f t="array" ref="EP6">_xll.EQNXTDZ($A$1,$B6,EP$1)</f>
        <v>83.3</v>
      </c>
      <c r="EQ6" cm="1">
        <f t="array" ref="EQ6">_xll.EQNXTDZ($A$1,$B6,EQ$1)</f>
        <v>80</v>
      </c>
      <c r="ER6" cm="1">
        <f t="array" ref="ER6">_xll.EQNXTDZ($A$1,$B6,ER$1)</f>
        <v>90.5</v>
      </c>
      <c r="ES6" cm="1">
        <f t="array" ref="ES6">_xll.EQNXTDZ($A$1,$B6,ES$1)</f>
        <v>105.5</v>
      </c>
      <c r="ET6" cm="1">
        <f t="array" ref="ET6">_xll.EQNXTDZ($A$1,$B6,ET$1)</f>
        <v>108.85</v>
      </c>
      <c r="EU6" cm="1">
        <f t="array" ref="EU6">_xll.EQNXTDZ($A$1,$B6,EU$1)</f>
        <v>102.99</v>
      </c>
      <c r="EV6" cm="1">
        <f t="array" ref="EV6">_xll.EQNXTDZ($A$1,$B6,EV$1)</f>
        <v>105.7</v>
      </c>
      <c r="EW6" cm="1">
        <f t="array" ref="EW6">_xll.EQNXTDZ($A$1,$B6,EW$1)</f>
        <v>96.85</v>
      </c>
      <c r="EX6" cm="1">
        <f t="array" ref="EX6">_xll.EQNXTDZ($A$1,$B6,EX$1)</f>
        <v>101.7</v>
      </c>
      <c r="EY6" cm="1">
        <f t="array" ref="EY6">_xll.EQNXTDZ($A$1,$B6,EY$1)</f>
        <v>93.95</v>
      </c>
      <c r="EZ6" cm="1">
        <f t="array" ref="EZ6">_xll.EQNXTDZ($A$1,$B6,EZ$1)</f>
        <v>74.599999999999994</v>
      </c>
      <c r="FA6" cm="1">
        <f t="array" ref="FA6">_xll.EQNXTDZ($A$1,$B6,FA$1)</f>
        <v>71.52</v>
      </c>
      <c r="FB6" cm="1">
        <f t="array" ref="FB6">_xll.EQNXTDZ($A$1,$B6,FB$1)</f>
        <v>78.11</v>
      </c>
      <c r="FC6" cm="1">
        <f t="array" ref="FC6">_xll.EQNXTDZ($A$1,$B6,FC$1)</f>
        <v>94.8</v>
      </c>
      <c r="FD6" cm="1">
        <f t="array" ref="FD6">_xll.EQNXTDZ($A$1,$B6,FD$1)</f>
        <v>96.07</v>
      </c>
      <c r="FE6" cm="1">
        <f t="array" ref="FE6">_xll.EQNXTDZ($A$1,$B6,FE$1)</f>
        <v>87.9</v>
      </c>
      <c r="FF6" cm="1">
        <f t="array" ref="FF6">_xll.EQNXTDZ($A$1,$B6,FF$1)</f>
        <v>78.75</v>
      </c>
      <c r="FG6" cm="1">
        <f t="array" ref="FG6">_xll.EQNXTDZ($A$1,$B6,FG$1)</f>
        <v>76.3</v>
      </c>
      <c r="FH6" cm="1">
        <f t="array" ref="FH6">_xll.EQNXTDZ($A$1,$B6,FH$1)</f>
        <v>78.489999999999995</v>
      </c>
      <c r="FI6" cm="1">
        <f t="array" ref="FI6">_xll.EQNXTDZ($A$1,$B6,FI$1)</f>
        <v>76.2</v>
      </c>
      <c r="FJ6" cm="1">
        <f t="array" ref="FJ6">_xll.EQNXTDZ($A$1,$B6,FJ$1)</f>
        <v>74.5</v>
      </c>
      <c r="FK6" cm="1">
        <f t="array" ref="FK6">_xll.EQNXTDZ($A$1,$B6,FK$1)</f>
        <v>77.989999999999995</v>
      </c>
      <c r="FL6" cm="1">
        <f t="array" ref="FL6">_xll.EQNXTDZ($A$1,$B6,FL$1)</f>
        <v>75</v>
      </c>
      <c r="FM6" cm="1">
        <f t="array" ref="FM6">_xll.EQNXTDZ($A$1,$B6,FM$1)</f>
        <v>67.88</v>
      </c>
      <c r="FN6" cm="1">
        <f t="array" ref="FN6">_xll.EQNXTDZ($A$1,$B6,FN$1)</f>
        <v>90.41</v>
      </c>
      <c r="FO6" cm="1">
        <f t="array" ref="FO6">_xll.EQNXTDZ($A$1,$B6,FO$1)</f>
        <v>100.11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76.150000000000006</v>
      </c>
      <c r="EF7" s="116" cm="1">
        <f t="array" ref="EF7">_xll.EQNXTDZ($A$1,$B7,EF$1)</f>
        <v>86</v>
      </c>
      <c r="EG7" s="116" cm="1">
        <f t="array" ref="EG7">_xll.EQNXTDZ($A$1,$B7,EG$1)</f>
        <v>81.55</v>
      </c>
      <c r="EH7" s="116" cm="1">
        <f t="array" ref="EH7">_xll.EQNXTDZ($A$1,$B7,EH$1)</f>
        <v>84</v>
      </c>
      <c r="EI7" s="116" cm="1">
        <f t="array" ref="EI7">_xll.EQNXTDZ($A$1,$B7,EI$1)</f>
        <v>92.5</v>
      </c>
      <c r="EJ7" s="116" cm="1">
        <f t="array" ref="EJ7">_xll.EQNXTDZ($A$1,$B7,EJ$1)</f>
        <v>77.400000000000006</v>
      </c>
      <c r="EK7" s="116" cm="1">
        <f t="array" ref="EK7">_xll.EQNXTDZ($A$1,$B7,EK$1)</f>
        <v>76.5</v>
      </c>
      <c r="EL7" s="116" cm="1">
        <f t="array" ref="EL7">_xll.EQNXTDZ($A$1,$B7,EL$1)</f>
        <v>84.95</v>
      </c>
      <c r="EM7" s="116" cm="1">
        <f t="array" ref="EM7">_xll.EQNXTDZ($A$1,$B7,EM$1)</f>
        <v>98.25</v>
      </c>
      <c r="EN7" s="116" cm="1">
        <f t="array" ref="EN7">_xll.EQNXTDZ($A$1,$B7,EN$1)</f>
        <v>90.4</v>
      </c>
      <c r="EO7" s="116" cm="1">
        <f t="array" ref="EO7">_xll.EQNXTDZ($A$1,$B7,EO$1)</f>
        <v>85.8</v>
      </c>
      <c r="EP7" s="116" cm="1">
        <f t="array" ref="EP7">_xll.EQNXTDZ($A$1,$B7,EP$1)</f>
        <v>91.85</v>
      </c>
      <c r="EQ7" s="116" cm="1">
        <f t="array" ref="EQ7">_xll.EQNXTDZ($A$1,$B7,EQ$1)</f>
        <v>94.5</v>
      </c>
      <c r="ER7" s="116" cm="1">
        <f t="array" ref="ER7">_xll.EQNXTDZ($A$1,$B7,ER$1)</f>
        <v>110.25</v>
      </c>
      <c r="ES7" s="116" cm="1">
        <f t="array" ref="ES7">_xll.EQNXTDZ($A$1,$B7,ES$1)</f>
        <v>123</v>
      </c>
      <c r="ET7" s="116" cm="1">
        <f t="array" ref="ET7">_xll.EQNXTDZ($A$1,$B7,ET$1)</f>
        <v>118.75</v>
      </c>
      <c r="EU7" s="116" cm="1">
        <f t="array" ref="EU7">_xll.EQNXTDZ($A$1,$B7,EU$1)</f>
        <v>108.13</v>
      </c>
      <c r="EV7" s="116" cm="1">
        <f t="array" ref="EV7">_xll.EQNXTDZ($A$1,$B7,EV$1)</f>
        <v>107.75</v>
      </c>
      <c r="EW7" s="116" cm="1">
        <f t="array" ref="EW7">_xll.EQNXTDZ($A$1,$B7,EW$1)</f>
        <v>116.25</v>
      </c>
      <c r="EX7" s="116" cm="1">
        <f t="array" ref="EX7">_xll.EQNXTDZ($A$1,$B7,EX$1)</f>
        <v>103.39</v>
      </c>
      <c r="EY7" s="116" cm="1">
        <f t="array" ref="EY7">_xll.EQNXTDZ($A$1,$B7,EY$1)</f>
        <v>100</v>
      </c>
      <c r="EZ7" s="116" cm="1">
        <f t="array" ref="EZ7">_xll.EQNXTDZ($A$1,$B7,EZ$1)</f>
        <v>85.21</v>
      </c>
      <c r="FA7" s="116" cm="1">
        <f t="array" ref="FA7">_xll.EQNXTDZ($A$1,$B7,FA$1)</f>
        <v>87.8</v>
      </c>
      <c r="FB7" s="116" cm="1">
        <f t="array" ref="FB7">_xll.EQNXTDZ($A$1,$B7,FB$1)</f>
        <v>95</v>
      </c>
      <c r="FC7" s="116" cm="1">
        <f t="array" ref="FC7">_xll.EQNXTDZ($A$1,$B7,FC$1)</f>
        <v>99</v>
      </c>
      <c r="FD7" s="116" cm="1">
        <f t="array" ref="FD7">_xll.EQNXTDZ($A$1,$B7,FD$1)</f>
        <v>97.7</v>
      </c>
      <c r="FE7" s="116" cm="1">
        <f t="array" ref="FE7">_xll.EQNXTDZ($A$1,$B7,FE$1)</f>
        <v>88.55</v>
      </c>
      <c r="FF7" s="116" cm="1">
        <f t="array" ref="FF7">_xll.EQNXTDZ($A$1,$B7,FF$1)</f>
        <v>85.49</v>
      </c>
      <c r="FG7" s="116" cm="1">
        <f t="array" ref="FG7">_xll.EQNXTDZ($A$1,$B7,FG$1)</f>
        <v>81.99</v>
      </c>
      <c r="FH7" s="116" cm="1">
        <f t="array" ref="FH7">_xll.EQNXTDZ($A$1,$B7,FH$1)</f>
        <v>82.8</v>
      </c>
      <c r="FI7" s="116" cm="1">
        <f t="array" ref="FI7">_xll.EQNXTDZ($A$1,$B7,FI$1)</f>
        <v>76.86</v>
      </c>
      <c r="FJ7" s="116" cm="1">
        <f t="array" ref="FJ7">_xll.EQNXTDZ($A$1,$B7,FJ$1)</f>
        <v>81.45</v>
      </c>
      <c r="FK7" s="116" cm="1">
        <f t="array" ref="FK7">_xll.EQNXTDZ($A$1,$B7,FK$1)</f>
        <v>86.95</v>
      </c>
      <c r="FL7" s="116" cm="1">
        <f t="array" ref="FL7">_xll.EQNXTDZ($A$1,$B7,FL$1)</f>
        <v>76.489999999999995</v>
      </c>
      <c r="FM7" s="116" cm="1">
        <f t="array" ref="FM7">_xll.EQNXTDZ($A$1,$B7,FM$1)</f>
        <v>95.95</v>
      </c>
      <c r="FN7" s="116" cm="1">
        <f t="array" ref="FN7">_xll.EQNXTDZ($A$1,$B7,FN$1)</f>
        <v>103.37</v>
      </c>
      <c r="FO7" s="116" cm="1">
        <f t="array" ref="FO7">_xll.EQNXTDZ($A$1,$B7,FO$1)</f>
        <v>101.8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76.150000000000006</v>
      </c>
      <c r="JH7" s="116">
        <f>+MAX(EF7:EH7)</f>
        <v>86</v>
      </c>
      <c r="JI7" s="116">
        <f>+MAX(EI7:EK7)</f>
        <v>92.5</v>
      </c>
      <c r="JJ7" s="116">
        <f>+MAX(EL7:EN7)</f>
        <v>98.25</v>
      </c>
      <c r="JK7" s="116">
        <f>MAX(EO7:EQ7)</f>
        <v>94.5</v>
      </c>
      <c r="JL7" s="116">
        <f>MAX(ER7:ET7)</f>
        <v>123</v>
      </c>
      <c r="JM7" s="116">
        <f>MAX(EU7:EW7)</f>
        <v>116.25</v>
      </c>
      <c r="JN7" s="116">
        <f>MAX(EX7:EZ7)</f>
        <v>103.39</v>
      </c>
      <c r="JO7" s="116">
        <f>MAX(FA7:FC7)</f>
        <v>99</v>
      </c>
      <c r="JP7" s="116">
        <f>MAX(FD7:FF7)</f>
        <v>97.7</v>
      </c>
      <c r="JQ7" s="116">
        <f>MAX(FG7:FI7)</f>
        <v>82.8</v>
      </c>
      <c r="JR7" s="116">
        <f>MAX(FJ7:FL7)</f>
        <v>86.95</v>
      </c>
      <c r="JS7" s="116">
        <f>MAX(FM7:FO7)</f>
        <v>103.37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58.7</v>
      </c>
      <c r="EF8" s="116" cm="1">
        <f t="array" ref="EF8">_xll.EQNXTDZ($A$1,$B8,EF$1)</f>
        <v>68</v>
      </c>
      <c r="EG8" s="116" cm="1">
        <f t="array" ref="EG8">_xll.EQNXTDZ($A$1,$B8,EG$1)</f>
        <v>70.05</v>
      </c>
      <c r="EH8" s="116" cm="1">
        <f t="array" ref="EH8">_xll.EQNXTDZ($A$1,$B8,EH$1)</f>
        <v>73.3</v>
      </c>
      <c r="EI8" s="116" cm="1">
        <f t="array" ref="EI8">_xll.EQNXTDZ($A$1,$B8,EI$1)</f>
        <v>70.5</v>
      </c>
      <c r="EJ8" s="116" cm="1">
        <f t="array" ref="EJ8">_xll.EQNXTDZ($A$1,$B8,EJ$1)</f>
        <v>68.8</v>
      </c>
      <c r="EK8" s="116" cm="1">
        <f t="array" ref="EK8">_xll.EQNXTDZ($A$1,$B8,EK$1)</f>
        <v>68.25</v>
      </c>
      <c r="EL8" s="116" cm="1">
        <f t="array" ref="EL8">_xll.EQNXTDZ($A$1,$B8,EL$1)</f>
        <v>69.75</v>
      </c>
      <c r="EM8" s="116" cm="1">
        <f t="array" ref="EM8">_xll.EQNXTDZ($A$1,$B8,EM$1)</f>
        <v>78.25</v>
      </c>
      <c r="EN8" s="116" cm="1">
        <f t="array" ref="EN8">_xll.EQNXTDZ($A$1,$B8,EN$1)</f>
        <v>71.25</v>
      </c>
      <c r="EO8" s="116" cm="1">
        <f t="array" ref="EO8">_xll.EQNXTDZ($A$1,$B8,EO$1)</f>
        <v>76.5</v>
      </c>
      <c r="EP8" s="116" cm="1">
        <f t="array" ref="EP8">_xll.EQNXTDZ($A$1,$B8,EP$1)</f>
        <v>77.5</v>
      </c>
      <c r="EQ8" s="116" cm="1">
        <f t="array" ref="EQ8">_xll.EQNXTDZ($A$1,$B8,EQ$1)</f>
        <v>68.150000000000006</v>
      </c>
      <c r="ER8" s="116" cm="1">
        <f t="array" ref="ER8">_xll.EQNXTDZ($A$1,$B8,ER$1)</f>
        <v>82.99</v>
      </c>
      <c r="ES8" s="116" cm="1">
        <f t="array" ref="ES8">_xll.EQNXTDZ($A$1,$B8,ES$1)</f>
        <v>100.5</v>
      </c>
      <c r="ET8" s="116" cm="1">
        <f t="array" ref="ET8">_xll.EQNXTDZ($A$1,$B8,ET$1)</f>
        <v>98.6</v>
      </c>
      <c r="EU8" s="116" cm="1">
        <f t="array" ref="EU8">_xll.EQNXTDZ($A$1,$B8,EU$1)</f>
        <v>83.15</v>
      </c>
      <c r="EV8" s="116" cm="1">
        <f t="array" ref="EV8">_xll.EQNXTDZ($A$1,$B8,EV$1)</f>
        <v>86.6</v>
      </c>
      <c r="EW8" s="116" cm="1">
        <f t="array" ref="EW8">_xll.EQNXTDZ($A$1,$B8,EW$1)</f>
        <v>96</v>
      </c>
      <c r="EX8" s="116" cm="1">
        <f t="array" ref="EX8">_xll.EQNXTDZ($A$1,$B8,EX$1)</f>
        <v>86.51</v>
      </c>
      <c r="EY8" s="116" cm="1">
        <f t="array" ref="EY8">_xll.EQNXTDZ($A$1,$B8,EY$1)</f>
        <v>72.989999999999995</v>
      </c>
      <c r="EZ8" s="116" cm="1">
        <f t="array" ref="EZ8">_xll.EQNXTDZ($A$1,$B8,EZ$1)</f>
        <v>71.53</v>
      </c>
      <c r="FA8" s="116" cm="1">
        <f t="array" ref="FA8">_xll.EQNXTDZ($A$1,$B8,FA$1)</f>
        <v>65</v>
      </c>
      <c r="FB8" s="116" cm="1">
        <f t="array" ref="FB8">_xll.EQNXTDZ($A$1,$B8,FB$1)</f>
        <v>78.11</v>
      </c>
      <c r="FC8" s="116" cm="1">
        <f t="array" ref="FC8">_xll.EQNXTDZ($A$1,$B8,FC$1)</f>
        <v>88.72</v>
      </c>
      <c r="FD8" s="116" cm="1">
        <f t="array" ref="FD8">_xll.EQNXTDZ($A$1,$B8,FD$1)</f>
        <v>87</v>
      </c>
      <c r="FE8" s="116" cm="1">
        <f t="array" ref="FE8">_xll.EQNXTDZ($A$1,$B8,FE$1)</f>
        <v>76.16</v>
      </c>
      <c r="FF8" s="116" cm="1">
        <f t="array" ref="FF8">_xll.EQNXTDZ($A$1,$B8,FF$1)</f>
        <v>76.19</v>
      </c>
      <c r="FG8" s="116" cm="1">
        <f t="array" ref="FG8">_xll.EQNXTDZ($A$1,$B8,FG$1)</f>
        <v>76.180000000000007</v>
      </c>
      <c r="FH8" s="116" cm="1">
        <f t="array" ref="FH8">_xll.EQNXTDZ($A$1,$B8,FH$1)</f>
        <v>74.72</v>
      </c>
      <c r="FI8" s="116" cm="1">
        <f t="array" ref="FI8">_xll.EQNXTDZ($A$1,$B8,FI$1)</f>
        <v>70.2</v>
      </c>
      <c r="FJ8" s="116" cm="1">
        <f t="array" ref="FJ8">_xll.EQNXTDZ($A$1,$B8,FJ$1)</f>
        <v>69.209999999999994</v>
      </c>
      <c r="FK8" s="116" cm="1">
        <f t="array" ref="FK8">_xll.EQNXTDZ($A$1,$B8,FK$1)</f>
        <v>72.2</v>
      </c>
      <c r="FL8" s="116" cm="1">
        <f t="array" ref="FL8">_xll.EQNXTDZ($A$1,$B8,FL$1)</f>
        <v>65.260000000000005</v>
      </c>
      <c r="FM8" s="116" cm="1">
        <f t="array" ref="FM8">_xll.EQNXTDZ($A$1,$B8,FM$1)</f>
        <v>66.3</v>
      </c>
      <c r="FN8" s="116" cm="1">
        <f t="array" ref="FN8">_xll.EQNXTDZ($A$1,$B8,FN$1)</f>
        <v>84.51</v>
      </c>
      <c r="FO8" s="116" cm="1">
        <f t="array" ref="FO8">_xll.EQNXTDZ($A$1,$B8,FO$1)</f>
        <v>89.72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68</v>
      </c>
      <c r="JI8" s="116">
        <f>+MIN(EI8:EK8)</f>
        <v>68.25</v>
      </c>
      <c r="JJ8" s="116">
        <f>+MIN(EL8:EN8)</f>
        <v>69.75</v>
      </c>
      <c r="JK8" s="116">
        <f>MIN(EO8:EQ8)</f>
        <v>68.150000000000006</v>
      </c>
      <c r="JL8" s="116">
        <f>MIN(ER8:ET8)</f>
        <v>82.99</v>
      </c>
      <c r="JM8" s="116">
        <f>MIN(EU8:EW8)</f>
        <v>83.15</v>
      </c>
      <c r="JN8" s="116">
        <f>MIN(EX8:EZ8)</f>
        <v>71.53</v>
      </c>
      <c r="JO8" s="116">
        <f>MIN(FA8:FC8)</f>
        <v>65</v>
      </c>
      <c r="JP8" s="116">
        <f>MIN(FD8:FF8)</f>
        <v>76.16</v>
      </c>
      <c r="JQ8" s="116">
        <f>MIN(FG8:FI8)</f>
        <v>70.2</v>
      </c>
      <c r="JR8" s="116">
        <f>MIN(FJ8:FL8)</f>
        <v>65.260000000000005</v>
      </c>
      <c r="JS8" s="116">
        <f>MIN(FM8:FO8)</f>
        <v>66.3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73.2</v>
      </c>
      <c r="EF9" s="116" cm="1">
        <f t="array" ref="EF9">_xll.EQNXTDZ($A$1,$B9,EF$1)</f>
        <v>75.05</v>
      </c>
      <c r="EG9" s="116" cm="1">
        <f t="array" ref="EG9">_xll.EQNXTDZ($A$1,$B9,EG$1)</f>
        <v>76.349999999999994</v>
      </c>
      <c r="EH9" s="116" cm="1">
        <f t="array" ref="EH9">_xll.EQNXTDZ($A$1,$B9,EH$1)</f>
        <v>80</v>
      </c>
      <c r="EI9" s="116" cm="1">
        <f t="array" ref="EI9">_xll.EQNXTDZ($A$1,$B9,EI$1)</f>
        <v>75</v>
      </c>
      <c r="EJ9" s="116" cm="1">
        <f t="array" ref="EJ9">_xll.EQNXTDZ($A$1,$B9,EJ$1)</f>
        <v>70</v>
      </c>
      <c r="EK9" s="116" cm="1">
        <f t="array" ref="EK9">_xll.EQNXTDZ($A$1,$B9,EK$1)</f>
        <v>69.650000000000006</v>
      </c>
      <c r="EL9" s="116" cm="1">
        <f t="array" ref="EL9">_xll.EQNXTDZ($A$1,$B9,EL$1)</f>
        <v>80.05</v>
      </c>
      <c r="EM9" s="116" cm="1">
        <f t="array" ref="EM9">_xll.EQNXTDZ($A$1,$B9,EM$1)</f>
        <v>87.8</v>
      </c>
      <c r="EN9" s="116" cm="1">
        <f t="array" ref="EN9">_xll.EQNXTDZ($A$1,$B9,EN$1)</f>
        <v>75.8</v>
      </c>
      <c r="EO9" s="116" cm="1">
        <f t="array" ref="EO9">_xll.EQNXTDZ($A$1,$B9,EO$1)</f>
        <v>82.85</v>
      </c>
      <c r="EP9" s="116" cm="1">
        <f t="array" ref="EP9">_xll.EQNXTDZ($A$1,$B9,EP$1)</f>
        <v>79.45</v>
      </c>
      <c r="EQ9" s="116" cm="1">
        <f t="array" ref="EQ9">_xll.EQNXTDZ($A$1,$B9,EQ$1)</f>
        <v>91.13</v>
      </c>
      <c r="ER9" s="116" cm="1">
        <f t="array" ref="ER9">_xll.EQNXTDZ($A$1,$B9,ER$1)</f>
        <v>104.88</v>
      </c>
      <c r="ES9" s="116" cm="1">
        <f t="array" ref="ES9">_xll.EQNXTDZ($A$1,$B9,ES$1)</f>
        <v>108.07</v>
      </c>
      <c r="ET9" s="116" cm="1">
        <f t="array" ref="ET9">_xll.EQNXTDZ($A$1,$B9,ET$1)</f>
        <v>102.54</v>
      </c>
      <c r="EU9" s="116" cm="1">
        <f t="array" ref="EU9">_xll.EQNXTDZ($A$1,$B9,EU$1)</f>
        <v>105.65</v>
      </c>
      <c r="EV9" s="116" cm="1">
        <f t="array" ref="EV9">_xll.EQNXTDZ($A$1,$B9,EV$1)</f>
        <v>96.34</v>
      </c>
      <c r="EW9" s="116" cm="1">
        <f t="array" ref="EW9">_xll.EQNXTDZ($A$1,$B9,EW$1)</f>
        <v>100.19</v>
      </c>
      <c r="EX9" s="116" cm="1">
        <f t="array" ref="EX9">_xll.EQNXTDZ($A$1,$B9,EX$1)</f>
        <v>93.7</v>
      </c>
      <c r="EY9" s="116" cm="1">
        <f t="array" ref="EY9">_xll.EQNXTDZ($A$1,$B9,EY$1)</f>
        <v>74.59</v>
      </c>
      <c r="EZ9" s="116" cm="1">
        <f t="array" ref="EZ9">_xll.EQNXTDZ($A$1,$B9,EZ$1)</f>
        <v>72.430000000000007</v>
      </c>
      <c r="FA9" s="116" cm="1">
        <f t="array" ref="FA9">_xll.EQNXTDZ($A$1,$B9,FA$1)</f>
        <v>79.319999999999993</v>
      </c>
      <c r="FB9" s="116" cm="1">
        <f t="array" ref="FB9">_xll.EQNXTDZ($A$1,$B9,FB$1)</f>
        <v>91.88</v>
      </c>
      <c r="FC9" s="116" cm="1">
        <f t="array" ref="FC9">_xll.EQNXTDZ($A$1,$B9,FC$1)</f>
        <v>95.93</v>
      </c>
      <c r="FD9" s="116" cm="1">
        <f t="array" ref="FD9">_xll.EQNXTDZ($A$1,$B9,FD$1)</f>
        <v>87.98</v>
      </c>
      <c r="FE9" s="116" cm="1">
        <f t="array" ref="FE9">_xll.EQNXTDZ($A$1,$B9,FE$1)</f>
        <v>79.56</v>
      </c>
      <c r="FF9" s="116" cm="1">
        <f t="array" ref="FF9">_xll.EQNXTDZ($A$1,$B9,FF$1)</f>
        <v>76.63</v>
      </c>
      <c r="FG9" s="116" cm="1">
        <f t="array" ref="FG9">_xll.EQNXTDZ($A$1,$B9,FG$1)</f>
        <v>77.099999999999994</v>
      </c>
      <c r="FH9" s="116" cm="1">
        <f t="array" ref="FH9">_xll.EQNXTDZ($A$1,$B9,FH$1)</f>
        <v>76.13</v>
      </c>
      <c r="FI9" s="116" cm="1">
        <f t="array" ref="FI9">_xll.EQNXTDZ($A$1,$B9,FI$1)</f>
        <v>73.8</v>
      </c>
      <c r="FJ9" s="116" cm="1">
        <f t="array" ref="FJ9">_xll.EQNXTDZ($A$1,$B9,FJ$1)</f>
        <v>76.28</v>
      </c>
      <c r="FK9" s="116" cm="1">
        <f t="array" ref="FK9">_xll.EQNXTDZ($A$1,$B9,FK$1)</f>
        <v>76.400000000000006</v>
      </c>
      <c r="FL9" s="116" cm="1">
        <f t="array" ref="FL9">_xll.EQNXTDZ($A$1,$B9,FL$1)</f>
        <v>65.540000000000006</v>
      </c>
      <c r="FM9" s="116" cm="1">
        <f t="array" ref="FM9">_xll.EQNXTDZ($A$1,$B9,FM$1)</f>
        <v>89.07</v>
      </c>
      <c r="FN9" s="116" cm="1">
        <f t="array" ref="FN9">_xll.EQNXTDZ($A$1,$B9,FN$1)</f>
        <v>95.81</v>
      </c>
      <c r="FO9" s="116" cm="1">
        <f t="array" ref="FO9">_xll.EQNXTDZ($A$1,$B9,FO$1)</f>
        <v>94.62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73.2</v>
      </c>
      <c r="JH9" s="116">
        <f>+EH9</f>
        <v>80</v>
      </c>
      <c r="JI9" s="116">
        <f>+EK9</f>
        <v>69.650000000000006</v>
      </c>
      <c r="JJ9" s="116">
        <f>+EN9</f>
        <v>75.8</v>
      </c>
      <c r="JK9" s="116">
        <f>EQ9</f>
        <v>91.13</v>
      </c>
      <c r="JL9" s="116">
        <f>ET9</f>
        <v>102.54</v>
      </c>
      <c r="JM9" s="116">
        <f>EW9</f>
        <v>100.19</v>
      </c>
      <c r="JN9" s="116">
        <f>EZ9</f>
        <v>72.430000000000007</v>
      </c>
      <c r="JO9" s="116">
        <f>FC9</f>
        <v>95.93</v>
      </c>
      <c r="JP9" s="116">
        <f>FF9</f>
        <v>76.63</v>
      </c>
      <c r="JQ9" s="116">
        <f>FI9</f>
        <v>73.8</v>
      </c>
      <c r="JR9" s="116">
        <f>FL9</f>
        <v>65.540000000000006</v>
      </c>
      <c r="JS9" s="116">
        <f>FO9</f>
        <v>94.62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75</v>
      </c>
      <c r="EF13" cm="1">
        <f t="array" ref="EF13">_xll.EQNXTDZ($A$1,$B13,EF$1)</f>
        <v>74.849999999999994</v>
      </c>
      <c r="EG13" cm="1">
        <f t="array" ref="EG13">_xll.EQNXTDZ($A$1,$B13,EG$1)</f>
        <v>75.03</v>
      </c>
      <c r="EH13" cm="1">
        <f t="array" ref="EH13">_xll.EQNXTDZ($A$1,$B13,EH$1)</f>
        <v>77.8</v>
      </c>
      <c r="EI13" cm="1">
        <f t="array" ref="EI13">_xll.EQNXTDZ($A$1,$B13,EI$1)</f>
        <v>81.95</v>
      </c>
      <c r="EJ13" cm="1">
        <f t="array" ref="EJ13">_xll.EQNXTDZ($A$1,$B13,EJ$1)</f>
        <v>76.989999999999995</v>
      </c>
      <c r="EK13" cm="1">
        <f t="array" ref="EK13">_xll.EQNXTDZ($A$1,$B13,EK$1)</f>
        <v>72.599999999999994</v>
      </c>
      <c r="EL13" cm="1">
        <f t="array" ref="EL13">_xll.EQNXTDZ($A$1,$B13,EL$1)</f>
        <v>70.28</v>
      </c>
      <c r="EM13" cm="1">
        <f t="array" ref="EM13">_xll.EQNXTDZ($A$1,$B13,EM$1)</f>
        <v>82</v>
      </c>
      <c r="EN13" cm="1">
        <f t="array" ref="EN13">_xll.EQNXTDZ($A$1,$B13,EN$1)</f>
        <v>89.21</v>
      </c>
      <c r="EO13" cm="1">
        <f t="array" ref="EO13">_xll.EQNXTDZ($A$1,$B13,EO$1)</f>
        <v>76.98</v>
      </c>
      <c r="EP13" cm="1">
        <f t="array" ref="EP13">_xll.EQNXTDZ($A$1,$B13,EP$1)</f>
        <v>83.3</v>
      </c>
      <c r="EQ13" cm="1">
        <f t="array" ref="EQ13">_xll.EQNXTDZ($A$1,$B13,EQ$1)</f>
        <v>80</v>
      </c>
      <c r="ER13" cm="1">
        <f t="array" ref="ER13">_xll.EQNXTDZ($A$1,$B13,ER$1)</f>
        <v>91.09</v>
      </c>
      <c r="ES13" cm="1">
        <f t="array" ref="ES13">_xll.EQNXTDZ($A$1,$B13,ES$1)</f>
        <v>107.9</v>
      </c>
      <c r="ET13" cm="1">
        <f t="array" ref="ET13">_xll.EQNXTDZ($A$1,$B13,ET$1)</f>
        <v>107.4</v>
      </c>
      <c r="EU13" cm="1">
        <f t="array" ref="EU13">_xll.EQNXTDZ($A$1,$B13,EU$1)</f>
        <v>102.8</v>
      </c>
      <c r="EV13" cm="1">
        <f t="array" ref="EV13">_xll.EQNXTDZ($A$1,$B13,EV$1)</f>
        <v>105.7</v>
      </c>
      <c r="EW13" cm="1">
        <f t="array" ref="EW13">_xll.EQNXTDZ($A$1,$B13,EW$1)</f>
        <v>98.23</v>
      </c>
      <c r="EX13" cm="1">
        <f t="array" ref="EX13">_xll.EQNXTDZ($A$1,$B13,EX$1)</f>
        <v>100</v>
      </c>
      <c r="EY13" cm="1">
        <f t="array" ref="EY13">_xll.EQNXTDZ($A$1,$B13,EY$1)</f>
        <v>94</v>
      </c>
      <c r="EZ13" cm="1">
        <f t="array" ref="EZ13">_xll.EQNXTDZ($A$1,$B13,EZ$1)</f>
        <v>82.9</v>
      </c>
      <c r="FA13" cm="1">
        <f t="array" ref="FA13">_xll.EQNXTDZ($A$1,$B13,FA$1)</f>
        <v>76.989999999999995</v>
      </c>
      <c r="FB13" cm="1">
        <f t="array" ref="FB13">_xll.EQNXTDZ($A$1,$B13,FB$1)</f>
        <v>79.36</v>
      </c>
      <c r="FC13" cm="1">
        <f t="array" ref="FC13">_xll.EQNXTDZ($A$1,$B13,FC$1)</f>
        <v>94.1</v>
      </c>
      <c r="FD13" cm="1">
        <f t="array" ref="FD13">_xll.EQNXTDZ($A$1,$B13,FD$1)</f>
        <v>96.4</v>
      </c>
      <c r="FE13" cm="1">
        <f t="array" ref="FE13">_xll.EQNXTDZ($A$1,$B13,FE$1)</f>
        <v>88.24</v>
      </c>
      <c r="FF13" cm="1">
        <f t="array" ref="FF13">_xll.EQNXTDZ($A$1,$B13,FF$1)</f>
        <v>78.489999999999995</v>
      </c>
      <c r="FG13" cm="1">
        <f t="array" ref="FG13">_xll.EQNXTDZ($A$1,$B13,FG$1)</f>
        <v>76.5</v>
      </c>
      <c r="FH13" cm="1">
        <f t="array" ref="FH13">_xll.EQNXTDZ($A$1,$B13,FH$1)</f>
        <v>89.99</v>
      </c>
      <c r="FI13" cm="1">
        <f t="array" ref="FI13">_xll.EQNXTDZ($A$1,$B13,FI$1)</f>
        <v>76.16</v>
      </c>
      <c r="FJ13" cm="1">
        <f t="array" ref="FJ13">_xll.EQNXTDZ($A$1,$B13,FJ$1)</f>
        <v>73.819999999999993</v>
      </c>
      <c r="FK13" cm="1">
        <f t="array" ref="FK13">_xll.EQNXTDZ($A$1,$B13,FK$1)</f>
        <v>78.8</v>
      </c>
      <c r="FL13" cm="1">
        <f t="array" ref="FL13">_xll.EQNXTDZ($A$1,$B13,FL$1)</f>
        <v>72.5</v>
      </c>
      <c r="FM13" cm="1">
        <f t="array" ref="FM13">_xll.EQNXTDZ($A$1,$B13,FM$1)</f>
        <v>66</v>
      </c>
      <c r="FN13" cm="1">
        <f t="array" ref="FN13">_xll.EQNXTDZ($A$1,$B13,FN$1)</f>
        <v>90.7</v>
      </c>
      <c r="FO13" cm="1">
        <f t="array" ref="FO13">_xll.EQNXTDZ($A$1,$B13,FO$1)</f>
        <v>99.9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77.7</v>
      </c>
      <c r="EF14" s="116" cm="1">
        <f t="array" ref="EF14">_xll.EQNXTDZ($A$1,$B14,EF$1)</f>
        <v>86</v>
      </c>
      <c r="EG14" s="116" cm="1">
        <f t="array" ref="EG14">_xll.EQNXTDZ($A$1,$B14,EG$1)</f>
        <v>81.3</v>
      </c>
      <c r="EH14" s="116" cm="1">
        <f t="array" ref="EH14">_xll.EQNXTDZ($A$1,$B14,EH$1)</f>
        <v>84</v>
      </c>
      <c r="EI14" s="116" cm="1">
        <f t="array" ref="EI14">_xll.EQNXTDZ($A$1,$B14,EI$1)</f>
        <v>93</v>
      </c>
      <c r="EJ14" s="116" cm="1">
        <f t="array" ref="EJ14">_xll.EQNXTDZ($A$1,$B14,EJ$1)</f>
        <v>77.25</v>
      </c>
      <c r="EK14" s="116" cm="1">
        <f t="array" ref="EK14">_xll.EQNXTDZ($A$1,$B14,EK$1)</f>
        <v>76.2</v>
      </c>
      <c r="EL14" s="116" cm="1">
        <f t="array" ref="EL14">_xll.EQNXTDZ($A$1,$B14,EL$1)</f>
        <v>84.55</v>
      </c>
      <c r="EM14" s="116" cm="1">
        <f t="array" ref="EM14">_xll.EQNXTDZ($A$1,$B14,EM$1)</f>
        <v>97.95</v>
      </c>
      <c r="EN14" s="116" cm="1">
        <f t="array" ref="EN14">_xll.EQNXTDZ($A$1,$B14,EN$1)</f>
        <v>92.6</v>
      </c>
      <c r="EO14" s="116" cm="1">
        <f t="array" ref="EO14">_xll.EQNXTDZ($A$1,$B14,EO$1)</f>
        <v>85.7</v>
      </c>
      <c r="EP14" s="116" cm="1">
        <f t="array" ref="EP14">_xll.EQNXTDZ($A$1,$B14,EP$1)</f>
        <v>91.94</v>
      </c>
      <c r="EQ14" s="116" cm="1">
        <f t="array" ref="EQ14">_xll.EQNXTDZ($A$1,$B14,EQ$1)</f>
        <v>94.46</v>
      </c>
      <c r="ER14" s="116" cm="1">
        <f t="array" ref="ER14">_xll.EQNXTDZ($A$1,$B14,ER$1)</f>
        <v>110.42</v>
      </c>
      <c r="ES14" s="116" cm="1">
        <f t="array" ref="ES14">_xll.EQNXTDZ($A$1,$B14,ES$1)</f>
        <v>123.05</v>
      </c>
      <c r="ET14" s="116" cm="1">
        <f t="array" ref="ET14">_xll.EQNXTDZ($A$1,$B14,ET$1)</f>
        <v>118.4</v>
      </c>
      <c r="EU14" s="116" cm="1">
        <f t="array" ref="EU14">_xll.EQNXTDZ($A$1,$B14,EU$1)</f>
        <v>108.05</v>
      </c>
      <c r="EV14" s="116" cm="1">
        <f t="array" ref="EV14">_xll.EQNXTDZ($A$1,$B14,EV$1)</f>
        <v>107.4</v>
      </c>
      <c r="EW14" s="116" cm="1">
        <f t="array" ref="EW14">_xll.EQNXTDZ($A$1,$B14,EW$1)</f>
        <v>116.1</v>
      </c>
      <c r="EX14" s="116" cm="1">
        <f t="array" ref="EX14">_xll.EQNXTDZ($A$1,$B14,EX$1)</f>
        <v>106.2</v>
      </c>
      <c r="EY14" s="116" cm="1">
        <f t="array" ref="EY14">_xll.EQNXTDZ($A$1,$B14,EY$1)</f>
        <v>99.49</v>
      </c>
      <c r="EZ14" s="116" cm="1">
        <f t="array" ref="EZ14">_xll.EQNXTDZ($A$1,$B14,EZ$1)</f>
        <v>85.41</v>
      </c>
      <c r="FA14" s="116" cm="1">
        <f t="array" ref="FA14">_xll.EQNXTDZ($A$1,$B14,FA$1)</f>
        <v>88.15</v>
      </c>
      <c r="FB14" s="116" cm="1">
        <f t="array" ref="FB14">_xll.EQNXTDZ($A$1,$B14,FB$1)</f>
        <v>94.9</v>
      </c>
      <c r="FC14" s="116" cm="1">
        <f t="array" ref="FC14">_xll.EQNXTDZ($A$1,$B14,FC$1)</f>
        <v>98.7</v>
      </c>
      <c r="FD14" s="116" cm="1">
        <f t="array" ref="FD14">_xll.EQNXTDZ($A$1,$B14,FD$1)</f>
        <v>97.9</v>
      </c>
      <c r="FE14" s="116" cm="1">
        <f t="array" ref="FE14">_xll.EQNXTDZ($A$1,$B14,FE$1)</f>
        <v>90.9</v>
      </c>
      <c r="FF14" s="116" cm="1">
        <f t="array" ref="FF14">_xll.EQNXTDZ($A$1,$B14,FF$1)</f>
        <v>85.73</v>
      </c>
      <c r="FG14" s="116" cm="1">
        <f t="array" ref="FG14">_xll.EQNXTDZ($A$1,$B14,FG$1)</f>
        <v>83</v>
      </c>
      <c r="FH14" s="116" cm="1">
        <f t="array" ref="FH14">_xll.EQNXTDZ($A$1,$B14,FH$1)</f>
        <v>89.99</v>
      </c>
      <c r="FI14" s="116" cm="1">
        <f t="array" ref="FI14">_xll.EQNXTDZ($A$1,$B14,FI$1)</f>
        <v>76.98</v>
      </c>
      <c r="FJ14" s="116" cm="1">
        <f t="array" ref="FJ14">_xll.EQNXTDZ($A$1,$B14,FJ$1)</f>
        <v>81.98</v>
      </c>
      <c r="FK14" s="116" cm="1">
        <f t="array" ref="FK14">_xll.EQNXTDZ($A$1,$B14,FK$1)</f>
        <v>86.4</v>
      </c>
      <c r="FL14" s="116" cm="1">
        <f t="array" ref="FL14">_xll.EQNXTDZ($A$1,$B14,FL$1)</f>
        <v>76.34</v>
      </c>
      <c r="FM14" s="116" cm="1">
        <f t="array" ref="FM14">_xll.EQNXTDZ($A$1,$B14,FM$1)</f>
        <v>95.52</v>
      </c>
      <c r="FN14" s="116" cm="1">
        <f t="array" ref="FN14">_xll.EQNXTDZ($A$1,$B14,FN$1)</f>
        <v>103.58</v>
      </c>
      <c r="FO14" s="116" cm="1">
        <f t="array" ref="FO14">_xll.EQNXTDZ($A$1,$B14,FO$1)</f>
        <v>101.89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77.7</v>
      </c>
      <c r="JH14" s="116">
        <f>+MAX(EF14:EH14)</f>
        <v>86</v>
      </c>
      <c r="JI14" s="116">
        <f>+MAX(EI14:EK14)</f>
        <v>93</v>
      </c>
      <c r="JJ14" s="116">
        <f>+MAX(EL14:EN14)</f>
        <v>97.95</v>
      </c>
      <c r="JK14" s="116">
        <f>MAX(EO14:EQ14)</f>
        <v>94.46</v>
      </c>
      <c r="JL14" s="116">
        <f>MAX(ER14:ET14)</f>
        <v>123.05</v>
      </c>
      <c r="JM14" s="116">
        <f>MAX(EU14:EW14)</f>
        <v>116.1</v>
      </c>
      <c r="JN14" s="116">
        <f>MAX(EX14:EZ14)</f>
        <v>106.2</v>
      </c>
      <c r="JO14" s="116">
        <f>MAX(FA14:FC14)</f>
        <v>98.7</v>
      </c>
      <c r="JP14" s="116">
        <f>MAX(FD14:FF14)</f>
        <v>97.9</v>
      </c>
      <c r="JQ14" s="116">
        <f>MAX(FG14:FI14)</f>
        <v>89.99</v>
      </c>
      <c r="JR14" s="116">
        <f>MAX(FJ14:FL14)</f>
        <v>86.4</v>
      </c>
      <c r="JS14" s="116">
        <f>MAX(FM14:FO14)</f>
        <v>103.58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60</v>
      </c>
      <c r="EF15" s="116" cm="1">
        <f t="array" ref="EF15">_xll.EQNXTDZ($A$1,$B15,EF$1)</f>
        <v>67.709999999999994</v>
      </c>
      <c r="EG15" s="116" cm="1">
        <f t="array" ref="EG15">_xll.EQNXTDZ($A$1,$B15,EG$1)</f>
        <v>68.5</v>
      </c>
      <c r="EH15" s="116" cm="1">
        <f t="array" ref="EH15">_xll.EQNXTDZ($A$1,$B15,EH$1)</f>
        <v>73</v>
      </c>
      <c r="EI15" s="116" cm="1">
        <f t="array" ref="EI15">_xll.EQNXTDZ($A$1,$B15,EI$1)</f>
        <v>70.430000000000007</v>
      </c>
      <c r="EJ15" s="116" cm="1">
        <f t="array" ref="EJ15">_xll.EQNXTDZ($A$1,$B15,EJ$1)</f>
        <v>69</v>
      </c>
      <c r="EK15" s="116" cm="1">
        <f t="array" ref="EK15">_xll.EQNXTDZ($A$1,$B15,EK$1)</f>
        <v>68</v>
      </c>
      <c r="EL15" s="116" cm="1">
        <f t="array" ref="EL15">_xll.EQNXTDZ($A$1,$B15,EL$1)</f>
        <v>69.91</v>
      </c>
      <c r="EM15" s="116" cm="1">
        <f t="array" ref="EM15">_xll.EQNXTDZ($A$1,$B15,EM$1)</f>
        <v>78.260000000000005</v>
      </c>
      <c r="EN15" s="116" cm="1">
        <f t="array" ref="EN15">_xll.EQNXTDZ($A$1,$B15,EN$1)</f>
        <v>71.099999999999994</v>
      </c>
      <c r="EO15" s="116" cm="1">
        <f t="array" ref="EO15">_xll.EQNXTDZ($A$1,$B15,EO$1)</f>
        <v>76.98</v>
      </c>
      <c r="EP15" s="116" cm="1">
        <f t="array" ref="EP15">_xll.EQNXTDZ($A$1,$B15,EP$1)</f>
        <v>77.75</v>
      </c>
      <c r="EQ15" s="116" cm="1">
        <f t="array" ref="EQ15">_xll.EQNXTDZ($A$1,$B15,EQ$1)</f>
        <v>68.5</v>
      </c>
      <c r="ER15" s="116" cm="1">
        <f t="array" ref="ER15">_xll.EQNXTDZ($A$1,$B15,ER$1)</f>
        <v>83.1</v>
      </c>
      <c r="ES15" s="116" cm="1">
        <f t="array" ref="ES15">_xll.EQNXTDZ($A$1,$B15,ES$1)</f>
        <v>100</v>
      </c>
      <c r="ET15" s="116" cm="1">
        <f t="array" ref="ET15">_xll.EQNXTDZ($A$1,$B15,ET$1)</f>
        <v>98.55</v>
      </c>
      <c r="EU15" s="116" cm="1">
        <f t="array" ref="EU15">_xll.EQNXTDZ($A$1,$B15,EU$1)</f>
        <v>83.15</v>
      </c>
      <c r="EV15" s="116" cm="1">
        <f t="array" ref="EV15">_xll.EQNXTDZ($A$1,$B15,EV$1)</f>
        <v>87.9</v>
      </c>
      <c r="EW15" s="116" cm="1">
        <f t="array" ref="EW15">_xll.EQNXTDZ($A$1,$B15,EW$1)</f>
        <v>95.91</v>
      </c>
      <c r="EX15" s="116" cm="1">
        <f t="array" ref="EX15">_xll.EQNXTDZ($A$1,$B15,EX$1)</f>
        <v>86.5</v>
      </c>
      <c r="EY15" s="116" cm="1">
        <f t="array" ref="EY15">_xll.EQNXTDZ($A$1,$B15,EY$1)</f>
        <v>72.010000000000005</v>
      </c>
      <c r="EZ15" s="116" cm="1">
        <f t="array" ref="EZ15">_xll.EQNXTDZ($A$1,$B15,EZ$1)</f>
        <v>71.5</v>
      </c>
      <c r="FA15" s="116" cm="1">
        <f t="array" ref="FA15">_xll.EQNXTDZ($A$1,$B15,FA$1)</f>
        <v>65.900000000000006</v>
      </c>
      <c r="FB15" s="116" cm="1">
        <f t="array" ref="FB15">_xll.EQNXTDZ($A$1,$B15,FB$1)</f>
        <v>79.099999999999994</v>
      </c>
      <c r="FC15" s="116" cm="1">
        <f t="array" ref="FC15">_xll.EQNXTDZ($A$1,$B15,FC$1)</f>
        <v>88.8</v>
      </c>
      <c r="FD15" s="116" cm="1">
        <f t="array" ref="FD15">_xll.EQNXTDZ($A$1,$B15,FD$1)</f>
        <v>87.1</v>
      </c>
      <c r="FE15" s="116" cm="1">
        <f t="array" ref="FE15">_xll.EQNXTDZ($A$1,$B15,FE$1)</f>
        <v>76.099999999999994</v>
      </c>
      <c r="FF15" s="116" cm="1">
        <f t="array" ref="FF15">_xll.EQNXTDZ($A$1,$B15,FF$1)</f>
        <v>75.91</v>
      </c>
      <c r="FG15" s="116" cm="1">
        <f t="array" ref="FG15">_xll.EQNXTDZ($A$1,$B15,FG$1)</f>
        <v>76</v>
      </c>
      <c r="FH15" s="116" cm="1">
        <f t="array" ref="FH15">_xll.EQNXTDZ($A$1,$B15,FH$1)</f>
        <v>74.459999999999994</v>
      </c>
      <c r="FI15" s="116" cm="1">
        <f t="array" ref="FI15">_xll.EQNXTDZ($A$1,$B15,FI$1)</f>
        <v>70.17</v>
      </c>
      <c r="FJ15" s="116" cm="1">
        <f t="array" ref="FJ15">_xll.EQNXTDZ($A$1,$B15,FJ$1)</f>
        <v>69.25</v>
      </c>
      <c r="FK15" s="116" cm="1">
        <f t="array" ref="FK15">_xll.EQNXTDZ($A$1,$B15,FK$1)</f>
        <v>72.25</v>
      </c>
      <c r="FL15" s="116" cm="1">
        <f t="array" ref="FL15">_xll.EQNXTDZ($A$1,$B15,FL$1)</f>
        <v>65.349999999999994</v>
      </c>
      <c r="FM15" s="116" cm="1">
        <f t="array" ref="FM15">_xll.EQNXTDZ($A$1,$B15,FM$1)</f>
        <v>66</v>
      </c>
      <c r="FN15" s="116" cm="1">
        <f t="array" ref="FN15">_xll.EQNXTDZ($A$1,$B15,FN$1)</f>
        <v>84.57</v>
      </c>
      <c r="FO15" s="116" cm="1">
        <f t="array" ref="FO15">_xll.EQNXTDZ($A$1,$B15,FO$1)</f>
        <v>89.92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67.709999999999994</v>
      </c>
      <c r="JI15" s="116">
        <f>+MIN(EI15:EK15)</f>
        <v>68</v>
      </c>
      <c r="JJ15" s="116">
        <f>+MIN(EL15:EN15)</f>
        <v>69.91</v>
      </c>
      <c r="JK15" s="116">
        <f>MIN(EO15:EQ15)</f>
        <v>68.5</v>
      </c>
      <c r="JL15" s="116">
        <f>MIN(ER15:ET15)</f>
        <v>83.1</v>
      </c>
      <c r="JM15" s="116">
        <f>MIN(EU15:EW15)</f>
        <v>83.15</v>
      </c>
      <c r="JN15" s="116">
        <f>MIN(EX15:EZ15)</f>
        <v>71.5</v>
      </c>
      <c r="JO15" s="116">
        <f>MIN(FA15:FC15)</f>
        <v>65.900000000000006</v>
      </c>
      <c r="JP15" s="116">
        <f>MIN(FD15:FF15)</f>
        <v>75.91</v>
      </c>
      <c r="JQ15" s="116">
        <f>MIN(FG15:FI15)</f>
        <v>70.17</v>
      </c>
      <c r="JR15" s="116">
        <f>MIN(FJ15:FL15)</f>
        <v>65.349999999999994</v>
      </c>
      <c r="JS15" s="116">
        <f>MIN(FM15:FO15)</f>
        <v>66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72.8</v>
      </c>
      <c r="EF16" s="116" cm="1">
        <f t="array" ref="EF16">_xll.EQNXTDZ($A$1,$B16,EF$1)</f>
        <v>75.03</v>
      </c>
      <c r="EG16" s="116" cm="1">
        <f t="array" ref="EG16">_xll.EQNXTDZ($A$1,$B16,EG$1)</f>
        <v>76.63</v>
      </c>
      <c r="EH16" s="116" cm="1">
        <f t="array" ref="EH16">_xll.EQNXTDZ($A$1,$B16,EH$1)</f>
        <v>79.91</v>
      </c>
      <c r="EI16" s="116" cm="1">
        <f t="array" ref="EI16">_xll.EQNXTDZ($A$1,$B16,EI$1)</f>
        <v>75.010000000000005</v>
      </c>
      <c r="EJ16" s="116" cm="1">
        <f t="array" ref="EJ16">_xll.EQNXTDZ($A$1,$B16,EJ$1)</f>
        <v>69.930000000000007</v>
      </c>
      <c r="EK16" s="116" cm="1">
        <f t="array" ref="EK16">_xll.EQNXTDZ($A$1,$B16,EK$1)</f>
        <v>69.510000000000005</v>
      </c>
      <c r="EL16" s="116" cm="1">
        <f t="array" ref="EL16">_xll.EQNXTDZ($A$1,$B16,EL$1)</f>
        <v>80.16</v>
      </c>
      <c r="EM16" s="116" cm="1">
        <f t="array" ref="EM16">_xll.EQNXTDZ($A$1,$B16,EM$1)</f>
        <v>87.46</v>
      </c>
      <c r="EN16" s="116" cm="1">
        <f t="array" ref="EN16">_xll.EQNXTDZ($A$1,$B16,EN$1)</f>
        <v>75.5</v>
      </c>
      <c r="EO16" s="116" cm="1">
        <f t="array" ref="EO16">_xll.EQNXTDZ($A$1,$B16,EO$1)</f>
        <v>83.05</v>
      </c>
      <c r="EP16" s="116" cm="1">
        <f t="array" ref="EP16">_xll.EQNXTDZ($A$1,$B16,EP$1)</f>
        <v>79.069999999999993</v>
      </c>
      <c r="EQ16" s="116" cm="1">
        <f t="array" ref="EQ16">_xll.EQNXTDZ($A$1,$B16,EQ$1)</f>
        <v>91.07</v>
      </c>
      <c r="ER16" s="116" cm="1">
        <f t="array" ref="ER16">_xll.EQNXTDZ($A$1,$B16,ER$1)</f>
        <v>104.96</v>
      </c>
      <c r="ES16" s="116" cm="1">
        <f t="array" ref="ES16">_xll.EQNXTDZ($A$1,$B16,ES$1)</f>
        <v>108.15</v>
      </c>
      <c r="ET16" s="116" cm="1">
        <f t="array" ref="ET16">_xll.EQNXTDZ($A$1,$B16,ET$1)</f>
        <v>102.35</v>
      </c>
      <c r="EU16" s="116" cm="1">
        <f t="array" ref="EU16">_xll.EQNXTDZ($A$1,$B16,EU$1)</f>
        <v>105.55</v>
      </c>
      <c r="EV16" s="116" cm="1">
        <f t="array" ref="EV16">_xll.EQNXTDZ($A$1,$B16,EV$1)</f>
        <v>96.3</v>
      </c>
      <c r="EW16" s="116" cm="1">
        <f t="array" ref="EW16">_xll.EQNXTDZ($A$1,$B16,EW$1)</f>
        <v>100.13</v>
      </c>
      <c r="EX16" s="116" cm="1">
        <f t="array" ref="EX16">_xll.EQNXTDZ($A$1,$B16,EX$1)</f>
        <v>93.9</v>
      </c>
      <c r="EY16" s="116" cm="1">
        <f t="array" ref="EY16">_xll.EQNXTDZ($A$1,$B16,EY$1)</f>
        <v>74.489999999999995</v>
      </c>
      <c r="EZ16" s="116" cm="1">
        <f t="array" ref="EZ16">_xll.EQNXTDZ($A$1,$B16,EZ$1)</f>
        <v>72.31</v>
      </c>
      <c r="FA16" s="116" cm="1">
        <f t="array" ref="FA16">_xll.EQNXTDZ($A$1,$B16,FA$1)</f>
        <v>79.36</v>
      </c>
      <c r="FB16" s="116" cm="1">
        <f t="array" ref="FB16">_xll.EQNXTDZ($A$1,$B16,FB$1)</f>
        <v>92.03</v>
      </c>
      <c r="FC16" s="116" cm="1">
        <f t="array" ref="FC16">_xll.EQNXTDZ($A$1,$B16,FC$1)</f>
        <v>96.07</v>
      </c>
      <c r="FD16" s="116" cm="1">
        <f t="array" ref="FD16">_xll.EQNXTDZ($A$1,$B16,FD$1)</f>
        <v>88.15</v>
      </c>
      <c r="FE16" s="116" cm="1">
        <f t="array" ref="FE16">_xll.EQNXTDZ($A$1,$B16,FE$1)</f>
        <v>79.25</v>
      </c>
      <c r="FF16" s="116" cm="1">
        <f t="array" ref="FF16">_xll.EQNXTDZ($A$1,$B16,FF$1)</f>
        <v>76.64</v>
      </c>
      <c r="FG16" s="116" cm="1">
        <f t="array" ref="FG16">_xll.EQNXTDZ($A$1,$B16,FG$1)</f>
        <v>76.959999999999994</v>
      </c>
      <c r="FH16" s="116" cm="1">
        <f t="array" ref="FH16">_xll.EQNXTDZ($A$1,$B16,FH$1)</f>
        <v>76.16</v>
      </c>
      <c r="FI16" s="116" cm="1">
        <f t="array" ref="FI16">_xll.EQNXTDZ($A$1,$B16,FI$1)</f>
        <v>73.22</v>
      </c>
      <c r="FJ16" s="116" cm="1">
        <f t="array" ref="FJ16">_xll.EQNXTDZ($A$1,$B16,FJ$1)</f>
        <v>76.12</v>
      </c>
      <c r="FK16" s="116" cm="1">
        <f t="array" ref="FK16">_xll.EQNXTDZ($A$1,$B16,FK$1)</f>
        <v>76.41</v>
      </c>
      <c r="FL16" s="116" cm="1">
        <f t="array" ref="FL16">_xll.EQNXTDZ($A$1,$B16,FL$1)</f>
        <v>65.569999999999993</v>
      </c>
      <c r="FM16" s="116" cm="1">
        <f t="array" ref="FM16">_xll.EQNXTDZ($A$1,$B16,FM$1)</f>
        <v>89</v>
      </c>
      <c r="FN16" s="116" cm="1">
        <f t="array" ref="FN16">_xll.EQNXTDZ($A$1,$B16,FN$1)</f>
        <v>96.21</v>
      </c>
      <c r="FO16" s="116" cm="1">
        <f t="array" ref="FO16">_xll.EQNXTDZ($A$1,$B16,FO$1)</f>
        <v>94.5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72.8</v>
      </c>
      <c r="JH16" s="116">
        <f>+EH16</f>
        <v>79.91</v>
      </c>
      <c r="JI16" s="116">
        <f>+EK16</f>
        <v>69.510000000000005</v>
      </c>
      <c r="JJ16" s="116">
        <f>+EN16</f>
        <v>75.5</v>
      </c>
      <c r="JK16" s="116">
        <f>EQ16</f>
        <v>91.07</v>
      </c>
      <c r="JL16" s="116">
        <f>ET16</f>
        <v>102.35</v>
      </c>
      <c r="JM16" s="116">
        <f>EW16</f>
        <v>100.13</v>
      </c>
      <c r="JN16" s="116">
        <f>EZ16</f>
        <v>72.31</v>
      </c>
      <c r="JO16" s="116">
        <f>FC16</f>
        <v>96.07</v>
      </c>
      <c r="JP16" s="116">
        <f>FF16</f>
        <v>76.64</v>
      </c>
      <c r="JQ16" s="116">
        <f>FI16</f>
        <v>73.22</v>
      </c>
      <c r="JR16" s="116">
        <f>FL16</f>
        <v>65.569999999999993</v>
      </c>
      <c r="JS16" s="116">
        <f>FO16</f>
        <v>94.5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77.7</v>
      </c>
      <c r="JH19" s="116">
        <f t="shared" si="1"/>
        <v>86</v>
      </c>
      <c r="JI19" s="116">
        <f t="shared" si="1"/>
        <v>93</v>
      </c>
      <c r="JJ19" s="116">
        <f t="shared" ref="JJ19:JJ21" si="2">+IF(JJ14=0,JJ7,JJ14)</f>
        <v>97.95</v>
      </c>
      <c r="JK19" s="116">
        <f t="shared" ref="JK19" si="3">+IF(JK14=0,JK7,JK14)</f>
        <v>94.46</v>
      </c>
      <c r="JL19" s="116">
        <f t="shared" ref="JL19:JM19" si="4">+IF(JL14=0,JL7,JL14)</f>
        <v>123.05</v>
      </c>
      <c r="JM19" s="116">
        <f t="shared" si="4"/>
        <v>116.1</v>
      </c>
      <c r="JN19" s="116">
        <f t="shared" ref="JN19:JO19" si="5">+IF(JN14=0,JN7,JN14)</f>
        <v>106.2</v>
      </c>
      <c r="JO19" s="116">
        <f t="shared" si="5"/>
        <v>98.7</v>
      </c>
      <c r="JP19" s="116">
        <f t="shared" ref="JP19" si="6">+IF(JP14=0,JP7,JP14)</f>
        <v>97.9</v>
      </c>
      <c r="JQ19" s="116">
        <f t="shared" ref="JQ19:KH19" si="7">+IF(JQ14=0,JQ7,JQ14)</f>
        <v>89.99</v>
      </c>
      <c r="JR19" s="116">
        <f t="shared" si="7"/>
        <v>86.4</v>
      </c>
      <c r="JS19" s="116">
        <f t="shared" si="7"/>
        <v>103.58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67.709999999999994</v>
      </c>
      <c r="JI20" s="116">
        <f t="shared" si="1"/>
        <v>68</v>
      </c>
      <c r="JJ20" s="116">
        <f t="shared" si="2"/>
        <v>69.91</v>
      </c>
      <c r="JK20" s="116">
        <f t="shared" ref="JK20" si="9">+IF(JK15=0,JK8,JK15)</f>
        <v>68.5</v>
      </c>
      <c r="JL20" s="116">
        <f t="shared" ref="JL20:JM20" si="10">+IF(JL15=0,JL8,JL15)</f>
        <v>83.1</v>
      </c>
      <c r="JM20" s="116">
        <f t="shared" si="10"/>
        <v>83.15</v>
      </c>
      <c r="JN20" s="116">
        <f t="shared" ref="JN20:JO20" si="11">+IF(JN15=0,JN8,JN15)</f>
        <v>71.5</v>
      </c>
      <c r="JO20" s="116">
        <f t="shared" si="11"/>
        <v>65.900000000000006</v>
      </c>
      <c r="JP20" s="116">
        <f t="shared" ref="JP20" si="12">+IF(JP15=0,JP8,JP15)</f>
        <v>75.91</v>
      </c>
      <c r="JQ20" s="116">
        <f t="shared" ref="JQ20:KH20" si="13">+IF(JQ15=0,JQ8,JQ15)</f>
        <v>70.17</v>
      </c>
      <c r="JR20" s="116">
        <f t="shared" si="13"/>
        <v>65.349999999999994</v>
      </c>
      <c r="JS20" s="116">
        <f t="shared" si="13"/>
        <v>66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72.8</v>
      </c>
      <c r="JH21" s="116">
        <f t="shared" si="1"/>
        <v>79.91</v>
      </c>
      <c r="JI21" s="116">
        <f t="shared" si="1"/>
        <v>69.510000000000005</v>
      </c>
      <c r="JJ21" s="116">
        <f t="shared" si="2"/>
        <v>75.5</v>
      </c>
      <c r="JK21" s="116">
        <f t="shared" ref="JK21" si="14">+IF(JK16=0,JK9,JK16)</f>
        <v>91.07</v>
      </c>
      <c r="JL21" s="116">
        <f t="shared" ref="JL21:JM21" si="15">+IF(JL16=0,JL9,JL16)</f>
        <v>102.35</v>
      </c>
      <c r="JM21" s="116">
        <f t="shared" si="15"/>
        <v>100.13</v>
      </c>
      <c r="JN21" s="116">
        <f t="shared" ref="JN21:JO21" si="16">+IF(JN16=0,JN9,JN16)</f>
        <v>72.31</v>
      </c>
      <c r="JO21" s="116">
        <f t="shared" si="16"/>
        <v>96.07</v>
      </c>
      <c r="JP21" s="116">
        <f t="shared" ref="JP21" si="17">+IF(JP16=0,JP9,JP16)</f>
        <v>76.64</v>
      </c>
      <c r="JQ21" s="116">
        <f t="shared" ref="JQ21:KH21" si="18">+IF(JQ16=0,JQ9,JQ16)</f>
        <v>73.22</v>
      </c>
      <c r="JR21" s="116">
        <f t="shared" si="18"/>
        <v>65.569999999999993</v>
      </c>
      <c r="JS21" s="116">
        <f t="shared" si="18"/>
        <v>94.5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310497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95585786</v>
      </c>
      <c r="AV6" cm="1">
        <f t="array" ref="AV6">_xll.EQNXTDZ($A$1,$B6,AV$1)</f>
        <v>95585786</v>
      </c>
      <c r="AW6" cm="1">
        <f t="array" ref="AW6">_xll.EQNXTDZ($A$1,$B6,AW$1)</f>
        <v>95585786</v>
      </c>
      <c r="AX6" cm="1">
        <f t="array" ref="AX6">_xll.EQNXTDZ($A$1,$B6,AX$1)</f>
        <v>95585786</v>
      </c>
      <c r="AY6" cm="1">
        <f t="array" ref="AY6">_xll.EQNXTDZ($A$1,$B6,AY$1)</f>
        <v>95585786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9.5585786000000006</v>
      </c>
      <c r="AV7" s="100">
        <f t="shared" si="2"/>
        <v>9.5585786000000006</v>
      </c>
      <c r="AW7" s="100">
        <f t="shared" si="2"/>
        <v>9.5585786000000006</v>
      </c>
      <c r="AX7" s="100">
        <f t="shared" si="2"/>
        <v>9.5585786000000006</v>
      </c>
      <c r="AY7" s="100">
        <f t="shared" ref="AY7" si="3">+AY6/10^7</f>
        <v>9.5585786000000006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310497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45089</v>
      </c>
      <c r="B4" s="116">
        <v>77.7</v>
      </c>
      <c r="C4" s="116">
        <v>71.25</v>
      </c>
      <c r="D4" s="116">
        <v>71.25</v>
      </c>
      <c r="E4" s="116">
        <v>75</v>
      </c>
      <c r="F4" s="116">
        <v>71.25</v>
      </c>
      <c r="G4">
        <v>73886</v>
      </c>
      <c r="H4" s="116"/>
      <c r="I4" s="116"/>
      <c r="L4" s="170">
        <v>45089</v>
      </c>
      <c r="M4" s="116">
        <v>68.400000000000006</v>
      </c>
      <c r="N4" s="116">
        <v>73.5</v>
      </c>
      <c r="O4" s="116">
        <v>68.400000000000006</v>
      </c>
      <c r="P4" s="116">
        <v>72</v>
      </c>
      <c r="Q4" s="116">
        <v>68.400000000000006</v>
      </c>
      <c r="R4">
        <v>724711</v>
      </c>
    </row>
    <row r="5" spans="1:18" x14ac:dyDescent="0.25">
      <c r="A5" s="170">
        <v>45090</v>
      </c>
      <c r="B5" s="116">
        <v>67.7</v>
      </c>
      <c r="C5" s="116">
        <v>67.7</v>
      </c>
      <c r="D5" s="116">
        <v>67.7</v>
      </c>
      <c r="E5" s="116">
        <v>67.7</v>
      </c>
      <c r="F5" s="116">
        <v>67.7</v>
      </c>
      <c r="G5">
        <v>8947</v>
      </c>
      <c r="H5" s="116"/>
      <c r="I5" s="116"/>
      <c r="L5" s="170">
        <v>45090</v>
      </c>
      <c r="M5" s="116">
        <v>65</v>
      </c>
      <c r="N5" s="116">
        <v>65</v>
      </c>
      <c r="O5" s="116">
        <v>65</v>
      </c>
      <c r="P5" s="116">
        <v>65</v>
      </c>
      <c r="Q5" s="116">
        <v>65</v>
      </c>
      <c r="R5">
        <v>46402</v>
      </c>
    </row>
    <row r="6" spans="1:18" x14ac:dyDescent="0.25">
      <c r="A6" s="170">
        <v>45091</v>
      </c>
      <c r="B6" s="116">
        <v>66.8</v>
      </c>
      <c r="C6" s="116">
        <v>64.349999999999994</v>
      </c>
      <c r="D6" s="116">
        <v>64.349999999999994</v>
      </c>
      <c r="E6" s="116">
        <v>64.349999999999994</v>
      </c>
      <c r="F6" s="116">
        <v>64.349999999999994</v>
      </c>
      <c r="G6">
        <v>123439</v>
      </c>
      <c r="H6" s="116"/>
      <c r="I6" s="116"/>
      <c r="L6" s="170">
        <v>45091</v>
      </c>
      <c r="M6" s="116">
        <v>61.75</v>
      </c>
      <c r="N6" s="116">
        <v>66.599999999999994</v>
      </c>
      <c r="O6" s="116">
        <v>61.75</v>
      </c>
      <c r="P6" s="116">
        <v>61.75</v>
      </c>
      <c r="Q6" s="116">
        <v>61.75</v>
      </c>
      <c r="R6">
        <v>1478442</v>
      </c>
    </row>
    <row r="7" spans="1:18" x14ac:dyDescent="0.25">
      <c r="A7" s="170">
        <v>45092</v>
      </c>
      <c r="B7" s="116">
        <v>61.15</v>
      </c>
      <c r="C7" s="116">
        <v>61.15</v>
      </c>
      <c r="D7" s="116">
        <v>61.15</v>
      </c>
      <c r="E7" s="116">
        <v>61.15</v>
      </c>
      <c r="F7" s="116">
        <v>61.15</v>
      </c>
      <c r="G7">
        <v>53196</v>
      </c>
      <c r="H7" s="116"/>
      <c r="I7" s="116"/>
      <c r="L7" s="170">
        <v>45092</v>
      </c>
      <c r="M7" s="116">
        <v>59.15</v>
      </c>
      <c r="N7" s="116">
        <v>61.9</v>
      </c>
      <c r="O7" s="116">
        <v>58.7</v>
      </c>
      <c r="P7" s="116">
        <v>58.7</v>
      </c>
      <c r="Q7" s="116">
        <v>59.15</v>
      </c>
      <c r="R7">
        <v>1087001</v>
      </c>
    </row>
    <row r="8" spans="1:18" x14ac:dyDescent="0.25">
      <c r="A8" s="170">
        <v>45093</v>
      </c>
      <c r="B8" s="116">
        <v>64.2</v>
      </c>
      <c r="C8" s="116">
        <v>64.2</v>
      </c>
      <c r="D8" s="116">
        <v>60</v>
      </c>
      <c r="E8" s="116">
        <v>60</v>
      </c>
      <c r="F8" s="116">
        <v>64.2</v>
      </c>
      <c r="G8">
        <v>272308</v>
      </c>
      <c r="H8" s="116"/>
      <c r="I8" s="116"/>
      <c r="L8" s="170">
        <v>45093</v>
      </c>
      <c r="M8" s="116">
        <v>62.1</v>
      </c>
      <c r="N8" s="116">
        <v>62.1</v>
      </c>
      <c r="O8" s="116">
        <v>59.15</v>
      </c>
      <c r="P8" s="116">
        <v>59.75</v>
      </c>
      <c r="Q8" s="116">
        <v>62.1</v>
      </c>
      <c r="R8">
        <v>543582</v>
      </c>
    </row>
    <row r="9" spans="1:18" x14ac:dyDescent="0.25">
      <c r="A9" s="170">
        <v>45096</v>
      </c>
      <c r="B9" s="116">
        <v>67.400000000000006</v>
      </c>
      <c r="C9" s="116">
        <v>67.400000000000006</v>
      </c>
      <c r="D9" s="116">
        <v>66.5</v>
      </c>
      <c r="E9" s="116">
        <v>67</v>
      </c>
      <c r="F9" s="116">
        <v>67.400000000000006</v>
      </c>
      <c r="G9">
        <v>349194</v>
      </c>
      <c r="H9" s="116"/>
      <c r="I9" s="116"/>
      <c r="L9" s="170">
        <v>45096</v>
      </c>
      <c r="M9" s="116">
        <v>65.2</v>
      </c>
      <c r="N9" s="116">
        <v>65.2</v>
      </c>
      <c r="O9" s="116">
        <v>65.150000000000006</v>
      </c>
      <c r="P9" s="116">
        <v>65.2</v>
      </c>
      <c r="Q9" s="116">
        <v>65.2</v>
      </c>
      <c r="R9">
        <v>588864</v>
      </c>
    </row>
    <row r="10" spans="1:18" x14ac:dyDescent="0.25">
      <c r="A10" s="170">
        <v>45097</v>
      </c>
      <c r="B10" s="116">
        <v>70.75</v>
      </c>
      <c r="C10" s="116">
        <v>68.45</v>
      </c>
      <c r="D10" s="116">
        <v>66</v>
      </c>
      <c r="E10" s="116">
        <v>70.75</v>
      </c>
      <c r="F10" s="116">
        <v>68.45</v>
      </c>
      <c r="G10">
        <v>300915</v>
      </c>
      <c r="H10" s="116"/>
      <c r="I10" s="116"/>
      <c r="L10" s="170">
        <v>45097</v>
      </c>
      <c r="M10" s="116">
        <v>68.45</v>
      </c>
      <c r="N10" s="116">
        <v>68.45</v>
      </c>
      <c r="O10" s="116">
        <v>66</v>
      </c>
      <c r="P10" s="116">
        <v>68.45</v>
      </c>
      <c r="Q10" s="116">
        <v>68.45</v>
      </c>
      <c r="R10">
        <v>614301</v>
      </c>
    </row>
    <row r="11" spans="1:18" x14ac:dyDescent="0.25">
      <c r="A11" s="170">
        <v>45098</v>
      </c>
      <c r="B11" s="116">
        <v>70.7</v>
      </c>
      <c r="C11" s="116">
        <v>66.55</v>
      </c>
      <c r="D11" s="116">
        <v>65.3</v>
      </c>
      <c r="E11" s="116">
        <v>68.45</v>
      </c>
      <c r="F11" s="116">
        <v>66.55</v>
      </c>
      <c r="G11">
        <v>130781</v>
      </c>
      <c r="H11" s="116"/>
      <c r="I11" s="116"/>
      <c r="L11" s="170">
        <v>45098</v>
      </c>
      <c r="M11" s="116">
        <v>65.55</v>
      </c>
      <c r="N11" s="116">
        <v>71.849999999999994</v>
      </c>
      <c r="O11" s="116">
        <v>65.05</v>
      </c>
      <c r="P11" s="116">
        <v>68</v>
      </c>
      <c r="Q11" s="116">
        <v>65.55</v>
      </c>
      <c r="R11">
        <v>916791</v>
      </c>
    </row>
    <row r="12" spans="1:18" x14ac:dyDescent="0.25">
      <c r="A12" s="170">
        <v>45099</v>
      </c>
      <c r="B12" s="116">
        <v>69</v>
      </c>
      <c r="C12" s="116">
        <v>68.099999999999994</v>
      </c>
      <c r="D12" s="116">
        <v>65</v>
      </c>
      <c r="E12" s="116">
        <v>66.55</v>
      </c>
      <c r="F12" s="116">
        <v>68.099999999999994</v>
      </c>
      <c r="G12">
        <v>39277</v>
      </c>
      <c r="H12" s="116"/>
      <c r="I12" s="116"/>
      <c r="L12" s="170">
        <v>45099</v>
      </c>
      <c r="M12" s="116">
        <v>67.599999999999994</v>
      </c>
      <c r="N12" s="116">
        <v>68.400000000000006</v>
      </c>
      <c r="O12" s="116">
        <v>65</v>
      </c>
      <c r="P12" s="116">
        <v>66</v>
      </c>
      <c r="Q12" s="116">
        <v>67.599999999999994</v>
      </c>
      <c r="R12">
        <v>477669</v>
      </c>
    </row>
    <row r="13" spans="1:18" x14ac:dyDescent="0.25">
      <c r="A13" s="170">
        <v>45100</v>
      </c>
      <c r="B13" s="116">
        <v>69.25</v>
      </c>
      <c r="C13" s="116">
        <v>67.349999999999994</v>
      </c>
      <c r="D13" s="116">
        <v>67</v>
      </c>
      <c r="E13" s="116">
        <v>68</v>
      </c>
      <c r="F13" s="116">
        <v>67.349999999999994</v>
      </c>
      <c r="G13">
        <v>86971</v>
      </c>
      <c r="H13" s="116"/>
      <c r="I13" s="116"/>
      <c r="L13" s="170">
        <v>45100</v>
      </c>
      <c r="M13" s="116">
        <v>67.849999999999994</v>
      </c>
      <c r="N13" s="116">
        <v>69</v>
      </c>
      <c r="O13" s="116">
        <v>66.650000000000006</v>
      </c>
      <c r="P13" s="116">
        <v>67.599999999999994</v>
      </c>
      <c r="Q13" s="116">
        <v>67.849999999999994</v>
      </c>
      <c r="R13">
        <v>316747</v>
      </c>
    </row>
    <row r="14" spans="1:18" x14ac:dyDescent="0.25">
      <c r="A14" s="170">
        <v>45103</v>
      </c>
      <c r="B14" s="116">
        <v>70.599999999999994</v>
      </c>
      <c r="C14" s="116">
        <v>64</v>
      </c>
      <c r="D14" s="116">
        <v>62.4</v>
      </c>
      <c r="E14" s="116">
        <v>67.150000000000006</v>
      </c>
      <c r="F14" s="116">
        <v>64</v>
      </c>
      <c r="G14">
        <v>93582</v>
      </c>
      <c r="H14" s="116"/>
      <c r="I14" s="116"/>
      <c r="L14" s="170">
        <v>45103</v>
      </c>
      <c r="M14" s="116">
        <v>63.8</v>
      </c>
      <c r="N14" s="116">
        <v>71.25</v>
      </c>
      <c r="O14" s="116">
        <v>62.5</v>
      </c>
      <c r="P14" s="116">
        <v>69.900000000000006</v>
      </c>
      <c r="Q14" s="116">
        <v>63.8</v>
      </c>
      <c r="R14">
        <v>927120</v>
      </c>
    </row>
    <row r="15" spans="1:18" x14ac:dyDescent="0.25">
      <c r="A15" s="170">
        <v>45104</v>
      </c>
      <c r="B15" s="116">
        <v>66.7</v>
      </c>
      <c r="C15" s="116">
        <v>65</v>
      </c>
      <c r="D15" s="116">
        <v>63.85</v>
      </c>
      <c r="E15" s="116">
        <v>63.85</v>
      </c>
      <c r="F15" s="116">
        <v>65</v>
      </c>
      <c r="G15">
        <v>90551</v>
      </c>
      <c r="H15" s="116"/>
      <c r="I15" s="116"/>
      <c r="L15" s="170">
        <v>45104</v>
      </c>
      <c r="M15" s="116">
        <v>65</v>
      </c>
      <c r="N15" s="116">
        <v>66.8</v>
      </c>
      <c r="O15" s="116">
        <v>64.05</v>
      </c>
      <c r="P15" s="116">
        <v>64.900000000000006</v>
      </c>
      <c r="Q15" s="116">
        <v>65</v>
      </c>
      <c r="R15">
        <v>533241</v>
      </c>
    </row>
    <row r="16" spans="1:18" x14ac:dyDescent="0.25">
      <c r="A16" s="170">
        <v>45105</v>
      </c>
      <c r="B16" s="116">
        <v>67.599999999999994</v>
      </c>
      <c r="C16" s="116">
        <v>66.05</v>
      </c>
      <c r="D16" s="116">
        <v>64.599999999999994</v>
      </c>
      <c r="E16" s="116">
        <v>66.900000000000006</v>
      </c>
      <c r="F16" s="116">
        <v>66.05</v>
      </c>
      <c r="G16">
        <v>179014</v>
      </c>
      <c r="H16" s="116"/>
      <c r="I16" s="116"/>
      <c r="L16" s="170">
        <v>45105</v>
      </c>
      <c r="M16" s="116">
        <v>66.25</v>
      </c>
      <c r="N16" s="116">
        <v>67.599999999999994</v>
      </c>
      <c r="O16" s="116">
        <v>64.650000000000006</v>
      </c>
      <c r="P16" s="116">
        <v>66.2</v>
      </c>
      <c r="Q16" s="116">
        <v>66.25</v>
      </c>
      <c r="R16">
        <v>1165510</v>
      </c>
    </row>
    <row r="17" spans="1:18" x14ac:dyDescent="0.25">
      <c r="A17" s="170">
        <v>45107</v>
      </c>
      <c r="B17" s="116">
        <v>76.099999999999994</v>
      </c>
      <c r="C17" s="116">
        <v>72.8</v>
      </c>
      <c r="D17" s="116">
        <v>67</v>
      </c>
      <c r="E17" s="116">
        <v>67</v>
      </c>
      <c r="F17" s="116">
        <v>72.8</v>
      </c>
      <c r="G17">
        <v>524116</v>
      </c>
      <c r="H17" s="116"/>
      <c r="I17" s="116"/>
      <c r="L17" s="170">
        <v>45107</v>
      </c>
      <c r="M17" s="116">
        <v>73.2</v>
      </c>
      <c r="N17" s="116">
        <v>76.150000000000006</v>
      </c>
      <c r="O17" s="116">
        <v>67.05</v>
      </c>
      <c r="P17" s="116">
        <v>68</v>
      </c>
      <c r="Q17" s="116">
        <v>73.2</v>
      </c>
      <c r="R17">
        <v>3006753</v>
      </c>
    </row>
    <row r="18" spans="1:18" x14ac:dyDescent="0.25">
      <c r="A18" s="170">
        <v>45110</v>
      </c>
      <c r="B18" s="116">
        <v>80.290000000000006</v>
      </c>
      <c r="C18" s="116">
        <v>77.989999999999995</v>
      </c>
      <c r="D18" s="116">
        <v>74.040000000000006</v>
      </c>
      <c r="E18" s="116">
        <v>74.849999999999994</v>
      </c>
      <c r="F18" s="116">
        <v>77.989999999999995</v>
      </c>
      <c r="G18">
        <v>181524</v>
      </c>
      <c r="H18" s="116"/>
      <c r="I18" s="116"/>
      <c r="L18" s="170">
        <v>45110</v>
      </c>
      <c r="M18" s="116">
        <v>77.900000000000006</v>
      </c>
      <c r="N18" s="116">
        <v>80.3</v>
      </c>
      <c r="O18" s="116">
        <v>74</v>
      </c>
      <c r="P18" s="116">
        <v>74</v>
      </c>
      <c r="Q18" s="116">
        <v>77.900000000000006</v>
      </c>
      <c r="R18">
        <v>2130328</v>
      </c>
    </row>
    <row r="19" spans="1:18" x14ac:dyDescent="0.25">
      <c r="A19" s="170">
        <v>45111</v>
      </c>
      <c r="B19" s="116">
        <v>80.3</v>
      </c>
      <c r="C19" s="116">
        <v>76.680000000000007</v>
      </c>
      <c r="D19" s="116">
        <v>76.41</v>
      </c>
      <c r="E19" s="116">
        <v>78.599999999999994</v>
      </c>
      <c r="F19" s="116">
        <v>76.680000000000007</v>
      </c>
      <c r="G19">
        <v>251119</v>
      </c>
      <c r="H19" s="116"/>
      <c r="I19" s="116"/>
      <c r="L19" s="170">
        <v>45111</v>
      </c>
      <c r="M19" s="116">
        <v>76.7</v>
      </c>
      <c r="N19" s="116">
        <v>80.400000000000006</v>
      </c>
      <c r="O19" s="116">
        <v>76.400000000000006</v>
      </c>
      <c r="P19" s="116">
        <v>79</v>
      </c>
      <c r="Q19" s="116">
        <v>76.7</v>
      </c>
      <c r="R19">
        <v>1512629</v>
      </c>
    </row>
    <row r="20" spans="1:18" x14ac:dyDescent="0.25">
      <c r="A20" s="170">
        <v>45112</v>
      </c>
      <c r="B20" s="116">
        <v>81</v>
      </c>
      <c r="C20" s="116">
        <v>79.11</v>
      </c>
      <c r="D20" s="116">
        <v>76.52</v>
      </c>
      <c r="E20" s="116">
        <v>76.52</v>
      </c>
      <c r="F20" s="116">
        <v>79.11</v>
      </c>
      <c r="G20">
        <v>68703</v>
      </c>
      <c r="H20" s="116"/>
      <c r="I20" s="116"/>
      <c r="L20" s="170">
        <v>45112</v>
      </c>
      <c r="M20" s="116">
        <v>78.849999999999994</v>
      </c>
      <c r="N20" s="116">
        <v>81</v>
      </c>
      <c r="O20" s="116">
        <v>76.7</v>
      </c>
      <c r="P20" s="116">
        <v>76.7</v>
      </c>
      <c r="Q20" s="116">
        <v>78.849999999999994</v>
      </c>
      <c r="R20">
        <v>1070499</v>
      </c>
    </row>
    <row r="21" spans="1:18" x14ac:dyDescent="0.25">
      <c r="A21" s="170">
        <v>45113</v>
      </c>
      <c r="B21" s="116">
        <v>84.8</v>
      </c>
      <c r="C21" s="116">
        <v>83.57</v>
      </c>
      <c r="D21" s="116">
        <v>77</v>
      </c>
      <c r="E21" s="116">
        <v>78.25</v>
      </c>
      <c r="F21" s="116">
        <v>83.57</v>
      </c>
      <c r="G21">
        <v>267969</v>
      </c>
      <c r="H21" s="116"/>
      <c r="I21" s="116"/>
      <c r="L21" s="170">
        <v>45113</v>
      </c>
      <c r="M21" s="116">
        <v>83.6</v>
      </c>
      <c r="N21" s="116">
        <v>84.8</v>
      </c>
      <c r="O21" s="116">
        <v>77</v>
      </c>
      <c r="P21" s="116">
        <v>79</v>
      </c>
      <c r="Q21" s="116">
        <v>83.6</v>
      </c>
      <c r="R21">
        <v>2206764</v>
      </c>
    </row>
    <row r="22" spans="1:18" x14ac:dyDescent="0.25">
      <c r="A22" s="170">
        <v>45114</v>
      </c>
      <c r="B22" s="116">
        <v>85.99</v>
      </c>
      <c r="C22" s="116">
        <v>84.15</v>
      </c>
      <c r="D22" s="116">
        <v>80.75</v>
      </c>
      <c r="E22" s="116">
        <v>82</v>
      </c>
      <c r="F22" s="116">
        <v>84.15</v>
      </c>
      <c r="G22">
        <v>148950</v>
      </c>
      <c r="H22" s="116"/>
      <c r="I22" s="116"/>
      <c r="L22" s="170">
        <v>45114</v>
      </c>
      <c r="M22" s="116">
        <v>84.1</v>
      </c>
      <c r="N22" s="116">
        <v>86</v>
      </c>
      <c r="O22" s="116">
        <v>80.7</v>
      </c>
      <c r="P22" s="116">
        <v>84</v>
      </c>
      <c r="Q22" s="116">
        <v>84.1</v>
      </c>
      <c r="R22">
        <v>1601300</v>
      </c>
    </row>
    <row r="23" spans="1:18" x14ac:dyDescent="0.25">
      <c r="A23" s="170">
        <v>45117</v>
      </c>
      <c r="B23" s="116">
        <v>86</v>
      </c>
      <c r="C23" s="116">
        <v>82.8</v>
      </c>
      <c r="D23" s="116">
        <v>82.1</v>
      </c>
      <c r="E23" s="116">
        <v>84.15</v>
      </c>
      <c r="F23" s="116">
        <v>82.8</v>
      </c>
      <c r="G23">
        <v>97492</v>
      </c>
      <c r="H23" s="116"/>
      <c r="I23" s="116"/>
      <c r="L23" s="170">
        <v>45117</v>
      </c>
      <c r="M23" s="116">
        <v>82.65</v>
      </c>
      <c r="N23" s="116">
        <v>85.4</v>
      </c>
      <c r="O23" s="116">
        <v>82.1</v>
      </c>
      <c r="P23" s="116">
        <v>84.8</v>
      </c>
      <c r="Q23" s="116">
        <v>82.65</v>
      </c>
      <c r="R23">
        <v>412292</v>
      </c>
    </row>
    <row r="24" spans="1:18" x14ac:dyDescent="0.25">
      <c r="A24" s="170">
        <v>45118</v>
      </c>
      <c r="B24" s="116">
        <v>83.32</v>
      </c>
      <c r="C24" s="116">
        <v>82.85</v>
      </c>
      <c r="D24" s="116">
        <v>81.33</v>
      </c>
      <c r="E24" s="116">
        <v>82.8</v>
      </c>
      <c r="F24" s="116">
        <v>82.85</v>
      </c>
      <c r="G24">
        <v>66288</v>
      </c>
      <c r="H24" s="116"/>
      <c r="I24" s="116"/>
      <c r="L24" s="170">
        <v>45118</v>
      </c>
      <c r="M24" s="116">
        <v>82.85</v>
      </c>
      <c r="N24" s="116">
        <v>83.25</v>
      </c>
      <c r="O24" s="116">
        <v>81.400000000000006</v>
      </c>
      <c r="P24" s="116">
        <v>83.2</v>
      </c>
      <c r="Q24" s="116">
        <v>82.85</v>
      </c>
      <c r="R24">
        <v>454427</v>
      </c>
    </row>
    <row r="25" spans="1:18" x14ac:dyDescent="0.25">
      <c r="A25" s="170">
        <v>45119</v>
      </c>
      <c r="B25" s="116">
        <v>85.32</v>
      </c>
      <c r="C25" s="116">
        <v>81.94</v>
      </c>
      <c r="D25" s="116">
        <v>81.55</v>
      </c>
      <c r="E25" s="116">
        <v>83.59</v>
      </c>
      <c r="F25" s="116">
        <v>81.94</v>
      </c>
      <c r="G25">
        <v>104769</v>
      </c>
      <c r="H25" s="116"/>
      <c r="I25" s="116"/>
      <c r="L25" s="170">
        <v>45119</v>
      </c>
      <c r="M25" s="116">
        <v>81.849999999999994</v>
      </c>
      <c r="N25" s="116">
        <v>85.4</v>
      </c>
      <c r="O25" s="116">
        <v>81.45</v>
      </c>
      <c r="P25" s="116">
        <v>83.2</v>
      </c>
      <c r="Q25" s="116">
        <v>81.849999999999994</v>
      </c>
      <c r="R25">
        <v>893011</v>
      </c>
    </row>
    <row r="26" spans="1:18" x14ac:dyDescent="0.25">
      <c r="A26" s="170">
        <v>45120</v>
      </c>
      <c r="B26" s="116">
        <v>82.8</v>
      </c>
      <c r="C26" s="116">
        <v>78.75</v>
      </c>
      <c r="D26" s="116">
        <v>77.52</v>
      </c>
      <c r="E26" s="116">
        <v>81.5</v>
      </c>
      <c r="F26" s="116">
        <v>78.75</v>
      </c>
      <c r="G26">
        <v>83530</v>
      </c>
      <c r="H26" s="116"/>
      <c r="I26" s="116"/>
      <c r="L26" s="170">
        <v>45120</v>
      </c>
      <c r="M26" s="116">
        <v>78.55</v>
      </c>
      <c r="N26" s="116">
        <v>82.8</v>
      </c>
      <c r="O26" s="116">
        <v>77.099999999999994</v>
      </c>
      <c r="P26" s="116">
        <v>81.849999999999994</v>
      </c>
      <c r="Q26" s="116">
        <v>78.55</v>
      </c>
      <c r="R26">
        <v>759520</v>
      </c>
    </row>
    <row r="27" spans="1:18" x14ac:dyDescent="0.25">
      <c r="A27" s="170">
        <v>45121</v>
      </c>
      <c r="B27" s="116">
        <v>81.400000000000006</v>
      </c>
      <c r="C27" s="116">
        <v>78.489999999999995</v>
      </c>
      <c r="D27" s="116">
        <v>77.16</v>
      </c>
      <c r="E27" s="116">
        <v>81.400000000000006</v>
      </c>
      <c r="F27" s="116">
        <v>78.489999999999995</v>
      </c>
      <c r="G27">
        <v>46427</v>
      </c>
      <c r="H27" s="116"/>
      <c r="I27" s="116"/>
      <c r="L27" s="170">
        <v>45121</v>
      </c>
      <c r="M27" s="116">
        <v>78.7</v>
      </c>
      <c r="N27" s="116">
        <v>79.8</v>
      </c>
      <c r="O27" s="116">
        <v>77.3</v>
      </c>
      <c r="P27" s="116">
        <v>79</v>
      </c>
      <c r="Q27" s="116">
        <v>78.7</v>
      </c>
      <c r="R27">
        <v>417198</v>
      </c>
    </row>
    <row r="28" spans="1:18" x14ac:dyDescent="0.25">
      <c r="A28" s="170">
        <v>45124</v>
      </c>
      <c r="B28" s="116">
        <v>80.5</v>
      </c>
      <c r="C28" s="116">
        <v>77.28</v>
      </c>
      <c r="D28" s="116">
        <v>76.75</v>
      </c>
      <c r="E28" s="116">
        <v>78.5</v>
      </c>
      <c r="F28" s="116">
        <v>77.28</v>
      </c>
      <c r="G28">
        <v>14134</v>
      </c>
      <c r="H28" s="116"/>
      <c r="I28" s="116"/>
      <c r="L28" s="170">
        <v>45124</v>
      </c>
      <c r="M28" s="116">
        <v>77.25</v>
      </c>
      <c r="N28" s="116">
        <v>80.400000000000006</v>
      </c>
      <c r="O28" s="116">
        <v>76.5</v>
      </c>
      <c r="P28" s="116">
        <v>79.400000000000006</v>
      </c>
      <c r="Q28" s="116">
        <v>77.25</v>
      </c>
      <c r="R28">
        <v>489639</v>
      </c>
    </row>
    <row r="29" spans="1:18" x14ac:dyDescent="0.25">
      <c r="A29" s="170">
        <v>45125</v>
      </c>
      <c r="B29" s="116">
        <v>78</v>
      </c>
      <c r="C29" s="116">
        <v>75.23</v>
      </c>
      <c r="D29" s="116">
        <v>75</v>
      </c>
      <c r="E29" s="116">
        <v>76.88</v>
      </c>
      <c r="F29" s="116">
        <v>75.23</v>
      </c>
      <c r="G29">
        <v>49601</v>
      </c>
      <c r="H29" s="116"/>
      <c r="I29" s="116"/>
      <c r="L29" s="170">
        <v>45125</v>
      </c>
      <c r="M29" s="116">
        <v>75.3</v>
      </c>
      <c r="N29" s="116">
        <v>77.900000000000006</v>
      </c>
      <c r="O29" s="116">
        <v>74.599999999999994</v>
      </c>
      <c r="P29" s="116">
        <v>77.25</v>
      </c>
      <c r="Q29" s="116">
        <v>75.3</v>
      </c>
      <c r="R29">
        <v>547261</v>
      </c>
    </row>
    <row r="30" spans="1:18" x14ac:dyDescent="0.25">
      <c r="A30" s="170">
        <v>45126</v>
      </c>
      <c r="B30" s="116">
        <v>76.849999999999994</v>
      </c>
      <c r="C30" s="116">
        <v>73.88</v>
      </c>
      <c r="D30" s="116">
        <v>73.099999999999994</v>
      </c>
      <c r="E30" s="116">
        <v>75.5</v>
      </c>
      <c r="F30" s="116">
        <v>73.88</v>
      </c>
      <c r="G30">
        <v>20286</v>
      </c>
      <c r="H30" s="116"/>
      <c r="I30" s="116"/>
      <c r="L30" s="170">
        <v>45126</v>
      </c>
      <c r="M30" s="116">
        <v>73.8</v>
      </c>
      <c r="N30" s="116">
        <v>77</v>
      </c>
      <c r="O30" s="116">
        <v>73.099999999999994</v>
      </c>
      <c r="P30" s="116">
        <v>75.3</v>
      </c>
      <c r="Q30" s="116">
        <v>73.8</v>
      </c>
      <c r="R30">
        <v>613093</v>
      </c>
    </row>
    <row r="31" spans="1:18" x14ac:dyDescent="0.25">
      <c r="A31" s="170">
        <v>45127</v>
      </c>
      <c r="B31" s="116">
        <v>75.27</v>
      </c>
      <c r="C31" s="116">
        <v>72.66</v>
      </c>
      <c r="D31" s="116">
        <v>72.31</v>
      </c>
      <c r="E31" s="116">
        <v>73</v>
      </c>
      <c r="F31" s="116">
        <v>72.66</v>
      </c>
      <c r="G31">
        <v>35708</v>
      </c>
      <c r="H31" s="116"/>
      <c r="I31" s="116"/>
      <c r="L31" s="170">
        <v>45127</v>
      </c>
      <c r="M31" s="116">
        <v>72.650000000000006</v>
      </c>
      <c r="N31" s="116">
        <v>75.599999999999994</v>
      </c>
      <c r="O31" s="116">
        <v>72.349999999999994</v>
      </c>
      <c r="P31" s="116">
        <v>73.400000000000006</v>
      </c>
      <c r="Q31" s="116">
        <v>72.650000000000006</v>
      </c>
      <c r="R31">
        <v>512542</v>
      </c>
    </row>
    <row r="32" spans="1:18" x14ac:dyDescent="0.25">
      <c r="A32" s="170">
        <v>45128</v>
      </c>
      <c r="B32" s="116">
        <v>74.69</v>
      </c>
      <c r="C32" s="116">
        <v>69.95</v>
      </c>
      <c r="D32" s="116">
        <v>69.8</v>
      </c>
      <c r="E32" s="116">
        <v>72</v>
      </c>
      <c r="F32" s="116">
        <v>69.95</v>
      </c>
      <c r="G32">
        <v>97496</v>
      </c>
      <c r="H32" s="116"/>
      <c r="I32" s="116"/>
      <c r="L32" s="170">
        <v>45128</v>
      </c>
      <c r="M32" s="116">
        <v>70</v>
      </c>
      <c r="N32" s="116">
        <v>74.5</v>
      </c>
      <c r="O32" s="116">
        <v>69.8</v>
      </c>
      <c r="P32" s="116">
        <v>72.5</v>
      </c>
      <c r="Q32" s="116">
        <v>70</v>
      </c>
      <c r="R32">
        <v>689039</v>
      </c>
    </row>
    <row r="33" spans="1:18" x14ac:dyDescent="0.25">
      <c r="A33" s="170">
        <v>45131</v>
      </c>
      <c r="B33" s="116">
        <v>70.400000000000006</v>
      </c>
      <c r="C33" s="116">
        <v>69.7</v>
      </c>
      <c r="D33" s="116">
        <v>67.709999999999994</v>
      </c>
      <c r="E33" s="116">
        <v>70.010000000000005</v>
      </c>
      <c r="F33" s="116">
        <v>69.7</v>
      </c>
      <c r="G33">
        <v>47237</v>
      </c>
      <c r="H33" s="116"/>
      <c r="I33" s="116"/>
      <c r="L33" s="170">
        <v>45131</v>
      </c>
      <c r="M33" s="116">
        <v>69.7</v>
      </c>
      <c r="N33" s="116">
        <v>70.8</v>
      </c>
      <c r="O33" s="116">
        <v>68</v>
      </c>
      <c r="P33" s="116">
        <v>69.599999999999994</v>
      </c>
      <c r="Q33" s="116">
        <v>69.7</v>
      </c>
      <c r="R33">
        <v>644864</v>
      </c>
    </row>
    <row r="34" spans="1:18" x14ac:dyDescent="0.25">
      <c r="A34" s="170">
        <v>45132</v>
      </c>
      <c r="B34" s="116">
        <v>71.7</v>
      </c>
      <c r="C34" s="116">
        <v>70.790000000000006</v>
      </c>
      <c r="D34" s="116">
        <v>69.5</v>
      </c>
      <c r="E34" s="116">
        <v>70</v>
      </c>
      <c r="F34" s="116">
        <v>70.790000000000006</v>
      </c>
      <c r="G34">
        <v>36688</v>
      </c>
      <c r="H34" s="116"/>
      <c r="I34" s="116"/>
      <c r="L34" s="170">
        <v>45132</v>
      </c>
      <c r="M34" s="116">
        <v>70.95</v>
      </c>
      <c r="N34" s="116">
        <v>71.849999999999994</v>
      </c>
      <c r="O34" s="116">
        <v>69.3</v>
      </c>
      <c r="P34" s="116">
        <v>69.8</v>
      </c>
      <c r="Q34" s="116">
        <v>70.95</v>
      </c>
      <c r="R34">
        <v>454120</v>
      </c>
    </row>
    <row r="35" spans="1:18" x14ac:dyDescent="0.25">
      <c r="A35" s="170">
        <v>45133</v>
      </c>
      <c r="B35" s="116">
        <v>71.5</v>
      </c>
      <c r="C35" s="116">
        <v>70.12</v>
      </c>
      <c r="D35" s="116">
        <v>69.349999999999994</v>
      </c>
      <c r="E35" s="116">
        <v>71</v>
      </c>
      <c r="F35" s="116">
        <v>70.12</v>
      </c>
      <c r="G35">
        <v>46449</v>
      </c>
      <c r="H35" s="116"/>
      <c r="I35" s="116"/>
      <c r="L35" s="170">
        <v>45133</v>
      </c>
      <c r="M35" s="116">
        <v>70.400000000000006</v>
      </c>
      <c r="N35" s="116">
        <v>71.7</v>
      </c>
      <c r="O35" s="116">
        <v>69.25</v>
      </c>
      <c r="P35" s="116">
        <v>71</v>
      </c>
      <c r="Q35" s="116">
        <v>70.400000000000006</v>
      </c>
      <c r="R35">
        <v>454812</v>
      </c>
    </row>
    <row r="36" spans="1:18" x14ac:dyDescent="0.25">
      <c r="A36" s="170">
        <v>45134</v>
      </c>
      <c r="B36" s="116">
        <v>72.099999999999994</v>
      </c>
      <c r="C36" s="116">
        <v>70.209999999999994</v>
      </c>
      <c r="D36" s="116">
        <v>69.849999999999994</v>
      </c>
      <c r="E36" s="116">
        <v>70.05</v>
      </c>
      <c r="F36" s="116">
        <v>70.209999999999994</v>
      </c>
      <c r="G36">
        <v>26006</v>
      </c>
      <c r="H36" s="116"/>
      <c r="I36" s="116"/>
      <c r="L36" s="170">
        <v>45134</v>
      </c>
      <c r="M36" s="116">
        <v>70.150000000000006</v>
      </c>
      <c r="N36" s="116">
        <v>72.3</v>
      </c>
      <c r="O36" s="116">
        <v>69.599999999999994</v>
      </c>
      <c r="P36" s="116">
        <v>69.599999999999994</v>
      </c>
      <c r="Q36" s="116">
        <v>70.150000000000006</v>
      </c>
      <c r="R36">
        <v>272123</v>
      </c>
    </row>
    <row r="37" spans="1:18" x14ac:dyDescent="0.25">
      <c r="A37" s="170">
        <v>45135</v>
      </c>
      <c r="B37" s="116">
        <v>70.92</v>
      </c>
      <c r="C37" s="116">
        <v>69.61</v>
      </c>
      <c r="D37" s="116">
        <v>68.5</v>
      </c>
      <c r="E37" s="116">
        <v>70</v>
      </c>
      <c r="F37" s="116">
        <v>69.61</v>
      </c>
      <c r="G37">
        <v>23914</v>
      </c>
      <c r="H37" s="116"/>
      <c r="I37" s="116"/>
      <c r="L37" s="170">
        <v>45135</v>
      </c>
      <c r="M37" s="116">
        <v>69.75</v>
      </c>
      <c r="N37" s="116">
        <v>71</v>
      </c>
      <c r="O37" s="116">
        <v>68.45</v>
      </c>
      <c r="P37" s="116">
        <v>70.2</v>
      </c>
      <c r="Q37" s="116">
        <v>69.75</v>
      </c>
      <c r="R37">
        <v>212809</v>
      </c>
    </row>
    <row r="38" spans="1:18" x14ac:dyDescent="0.25">
      <c r="A38" s="170">
        <v>45138</v>
      </c>
      <c r="B38" s="116">
        <v>77.55</v>
      </c>
      <c r="C38" s="116">
        <v>75.03</v>
      </c>
      <c r="D38" s="116">
        <v>69.849999999999994</v>
      </c>
      <c r="E38" s="116">
        <v>70</v>
      </c>
      <c r="F38" s="116">
        <v>75.03</v>
      </c>
      <c r="G38">
        <v>62834</v>
      </c>
      <c r="H38" s="116"/>
      <c r="I38" s="116"/>
      <c r="L38" s="170">
        <v>45138</v>
      </c>
      <c r="M38" s="116">
        <v>75.05</v>
      </c>
      <c r="N38" s="116">
        <v>77.599999999999994</v>
      </c>
      <c r="O38" s="116">
        <v>69.2</v>
      </c>
      <c r="P38" s="116">
        <v>69.2</v>
      </c>
      <c r="Q38" s="116">
        <v>75.05</v>
      </c>
      <c r="R38">
        <v>1210156</v>
      </c>
    </row>
    <row r="39" spans="1:18" x14ac:dyDescent="0.25">
      <c r="A39" s="170">
        <v>45139</v>
      </c>
      <c r="B39" s="116">
        <v>77.44</v>
      </c>
      <c r="C39" s="116">
        <v>75.89</v>
      </c>
      <c r="D39" s="116">
        <v>74.900000000000006</v>
      </c>
      <c r="E39" s="116">
        <v>75.03</v>
      </c>
      <c r="F39" s="116">
        <v>75.89</v>
      </c>
      <c r="G39">
        <v>25895</v>
      </c>
      <c r="H39" s="116"/>
      <c r="I39" s="116"/>
      <c r="L39" s="170">
        <v>45139</v>
      </c>
      <c r="M39" s="116">
        <v>75.8</v>
      </c>
      <c r="N39" s="116">
        <v>77.599999999999994</v>
      </c>
      <c r="O39" s="116">
        <v>74.599999999999994</v>
      </c>
      <c r="P39" s="116">
        <v>75.45</v>
      </c>
      <c r="Q39" s="116">
        <v>75.8</v>
      </c>
      <c r="R39">
        <v>346655</v>
      </c>
    </row>
    <row r="40" spans="1:18" x14ac:dyDescent="0.25">
      <c r="A40" s="170">
        <v>45140</v>
      </c>
      <c r="B40" s="116">
        <v>76.3</v>
      </c>
      <c r="C40" s="116">
        <v>73.28</v>
      </c>
      <c r="D40" s="116">
        <v>71.5</v>
      </c>
      <c r="E40" s="116">
        <v>75.89</v>
      </c>
      <c r="F40" s="116">
        <v>73.28</v>
      </c>
      <c r="G40">
        <v>57906</v>
      </c>
      <c r="H40" s="116"/>
      <c r="I40" s="116"/>
      <c r="L40" s="170">
        <v>45140</v>
      </c>
      <c r="M40" s="116">
        <v>73.55</v>
      </c>
      <c r="N40" s="116">
        <v>76.349999999999994</v>
      </c>
      <c r="O40" s="116">
        <v>71.55</v>
      </c>
      <c r="P40" s="116">
        <v>76</v>
      </c>
      <c r="Q40" s="116">
        <v>73.55</v>
      </c>
      <c r="R40">
        <v>343339</v>
      </c>
    </row>
    <row r="41" spans="1:18" x14ac:dyDescent="0.25">
      <c r="A41" s="170">
        <v>45141</v>
      </c>
      <c r="B41" s="116">
        <v>75.88</v>
      </c>
      <c r="C41" s="116">
        <v>75.44</v>
      </c>
      <c r="D41" s="116">
        <v>73.44</v>
      </c>
      <c r="E41" s="116">
        <v>74.180000000000007</v>
      </c>
      <c r="F41" s="116">
        <v>75.44</v>
      </c>
      <c r="G41">
        <v>23298</v>
      </c>
      <c r="H41" s="116"/>
      <c r="I41" s="116"/>
      <c r="L41" s="170">
        <v>45141</v>
      </c>
      <c r="M41" s="116">
        <v>75.349999999999994</v>
      </c>
      <c r="N41" s="116">
        <v>75.95</v>
      </c>
      <c r="O41" s="116">
        <v>72.25</v>
      </c>
      <c r="P41" s="116">
        <v>72.25</v>
      </c>
      <c r="Q41" s="116">
        <v>75.349999999999994</v>
      </c>
      <c r="R41">
        <v>293504</v>
      </c>
    </row>
    <row r="42" spans="1:18" x14ac:dyDescent="0.25">
      <c r="A42" s="170">
        <v>45142</v>
      </c>
      <c r="B42" s="116">
        <v>77.349999999999994</v>
      </c>
      <c r="C42" s="116">
        <v>76.58</v>
      </c>
      <c r="D42" s="116">
        <v>74</v>
      </c>
      <c r="E42" s="116">
        <v>74</v>
      </c>
      <c r="F42" s="116">
        <v>76.58</v>
      </c>
      <c r="G42">
        <v>30530</v>
      </c>
      <c r="H42" s="116"/>
      <c r="I42" s="116"/>
      <c r="L42" s="170">
        <v>45142</v>
      </c>
      <c r="M42" s="116">
        <v>76.599999999999994</v>
      </c>
      <c r="N42" s="116">
        <v>77.2</v>
      </c>
      <c r="O42" s="116">
        <v>75</v>
      </c>
      <c r="P42" s="116">
        <v>75.5</v>
      </c>
      <c r="Q42" s="116">
        <v>76.599999999999994</v>
      </c>
      <c r="R42">
        <v>553584</v>
      </c>
    </row>
    <row r="43" spans="1:18" x14ac:dyDescent="0.25">
      <c r="A43" s="170">
        <v>45145</v>
      </c>
      <c r="B43" s="116">
        <v>78.5</v>
      </c>
      <c r="C43" s="116">
        <v>76.16</v>
      </c>
      <c r="D43" s="116">
        <v>73.5</v>
      </c>
      <c r="E43" s="116">
        <v>76.5</v>
      </c>
      <c r="F43" s="116">
        <v>76.16</v>
      </c>
      <c r="G43">
        <v>35267</v>
      </c>
      <c r="H43" s="116"/>
      <c r="I43" s="116"/>
      <c r="L43" s="170">
        <v>45145</v>
      </c>
      <c r="M43" s="116">
        <v>76.349999999999994</v>
      </c>
      <c r="N43" s="116">
        <v>78.599999999999994</v>
      </c>
      <c r="O43" s="116">
        <v>72</v>
      </c>
      <c r="P43" s="116">
        <v>77.150000000000006</v>
      </c>
      <c r="Q43" s="116">
        <v>76.349999999999994</v>
      </c>
      <c r="R43">
        <v>603719</v>
      </c>
    </row>
    <row r="44" spans="1:18" x14ac:dyDescent="0.25">
      <c r="A44" s="170">
        <v>45146</v>
      </c>
      <c r="B44" s="116">
        <v>75.62</v>
      </c>
      <c r="C44" s="116">
        <v>72.19</v>
      </c>
      <c r="D44" s="116">
        <v>71.349999999999994</v>
      </c>
      <c r="E44" s="116">
        <v>75</v>
      </c>
      <c r="F44" s="116">
        <v>72.19</v>
      </c>
      <c r="G44">
        <v>42014</v>
      </c>
      <c r="H44" s="116"/>
      <c r="I44" s="116"/>
      <c r="L44" s="170">
        <v>45146</v>
      </c>
      <c r="M44" s="116">
        <v>72.150000000000006</v>
      </c>
      <c r="N44" s="116">
        <v>75.7</v>
      </c>
      <c r="O44" s="116">
        <v>71.099999999999994</v>
      </c>
      <c r="P44" s="116">
        <v>75</v>
      </c>
      <c r="Q44" s="116">
        <v>72.150000000000006</v>
      </c>
      <c r="R44">
        <v>766435</v>
      </c>
    </row>
    <row r="45" spans="1:18" x14ac:dyDescent="0.25">
      <c r="A45" s="170">
        <v>45147</v>
      </c>
      <c r="B45" s="116">
        <v>73.66</v>
      </c>
      <c r="C45" s="116">
        <v>73.36</v>
      </c>
      <c r="D45" s="116">
        <v>71.45</v>
      </c>
      <c r="E45" s="116">
        <v>72.45</v>
      </c>
      <c r="F45" s="116">
        <v>73.36</v>
      </c>
      <c r="G45">
        <v>56780</v>
      </c>
      <c r="H45" s="116"/>
      <c r="I45" s="116"/>
      <c r="L45" s="170">
        <v>45147</v>
      </c>
      <c r="M45" s="116">
        <v>73.2</v>
      </c>
      <c r="N45" s="116">
        <v>73.75</v>
      </c>
      <c r="O45" s="116">
        <v>71.7</v>
      </c>
      <c r="P45" s="116">
        <v>72.45</v>
      </c>
      <c r="Q45" s="116">
        <v>73.2</v>
      </c>
      <c r="R45">
        <v>429262</v>
      </c>
    </row>
    <row r="46" spans="1:18" x14ac:dyDescent="0.25">
      <c r="A46" s="170">
        <v>45148</v>
      </c>
      <c r="B46" s="116">
        <v>74.260000000000005</v>
      </c>
      <c r="C46" s="116">
        <v>72.48</v>
      </c>
      <c r="D46" s="116">
        <v>72</v>
      </c>
      <c r="E46" s="116">
        <v>73.03</v>
      </c>
      <c r="F46" s="116">
        <v>72.48</v>
      </c>
      <c r="G46">
        <v>65995</v>
      </c>
      <c r="H46" s="116"/>
      <c r="I46" s="116"/>
      <c r="L46" s="170">
        <v>45148</v>
      </c>
      <c r="M46" s="116">
        <v>72.3</v>
      </c>
      <c r="N46" s="116">
        <v>74.349999999999994</v>
      </c>
      <c r="O46" s="116">
        <v>71.55</v>
      </c>
      <c r="P46" s="116">
        <v>73.45</v>
      </c>
      <c r="Q46" s="116">
        <v>72.3</v>
      </c>
      <c r="R46">
        <v>332777</v>
      </c>
    </row>
    <row r="47" spans="1:18" x14ac:dyDescent="0.25">
      <c r="A47" s="170">
        <v>45149</v>
      </c>
      <c r="B47" s="116">
        <v>73.349999999999994</v>
      </c>
      <c r="C47" s="116">
        <v>71.91</v>
      </c>
      <c r="D47" s="116">
        <v>71.349999999999994</v>
      </c>
      <c r="E47" s="116">
        <v>72.8</v>
      </c>
      <c r="F47" s="116">
        <v>71.91</v>
      </c>
      <c r="G47">
        <v>28591</v>
      </c>
      <c r="H47" s="116"/>
      <c r="I47" s="116"/>
      <c r="L47" s="170">
        <v>45149</v>
      </c>
      <c r="M47" s="116">
        <v>71.849999999999994</v>
      </c>
      <c r="N47" s="116">
        <v>73.5</v>
      </c>
      <c r="O47" s="116">
        <v>71.099999999999994</v>
      </c>
      <c r="P47" s="116">
        <v>72.45</v>
      </c>
      <c r="Q47" s="116">
        <v>71.849999999999994</v>
      </c>
      <c r="R47">
        <v>282026</v>
      </c>
    </row>
    <row r="48" spans="1:18" x14ac:dyDescent="0.25">
      <c r="A48" s="170">
        <v>45152</v>
      </c>
      <c r="B48" s="116">
        <v>74.319999999999993</v>
      </c>
      <c r="C48" s="116">
        <v>73.650000000000006</v>
      </c>
      <c r="D48" s="116">
        <v>68.5</v>
      </c>
      <c r="E48" s="116">
        <v>68.5</v>
      </c>
      <c r="F48" s="116">
        <v>73.650000000000006</v>
      </c>
      <c r="G48">
        <v>47998</v>
      </c>
      <c r="H48" s="116"/>
      <c r="I48" s="116"/>
      <c r="L48" s="170">
        <v>45152</v>
      </c>
      <c r="M48" s="116">
        <v>73.650000000000006</v>
      </c>
      <c r="N48" s="116">
        <v>74.349999999999994</v>
      </c>
      <c r="O48" s="116">
        <v>70.05</v>
      </c>
      <c r="P48" s="116">
        <v>71.5</v>
      </c>
      <c r="Q48" s="116">
        <v>73.650000000000006</v>
      </c>
      <c r="R48">
        <v>293491</v>
      </c>
    </row>
    <row r="49" spans="1:18" x14ac:dyDescent="0.25">
      <c r="A49" s="170">
        <v>45154</v>
      </c>
      <c r="B49" s="116">
        <v>75</v>
      </c>
      <c r="C49" s="116">
        <v>74.739999999999995</v>
      </c>
      <c r="D49" s="116">
        <v>72.14</v>
      </c>
      <c r="E49" s="116">
        <v>73.13</v>
      </c>
      <c r="F49" s="116">
        <v>74.739999999999995</v>
      </c>
      <c r="G49">
        <v>21990</v>
      </c>
      <c r="H49" s="116"/>
      <c r="I49" s="116"/>
      <c r="L49" s="170">
        <v>45154</v>
      </c>
      <c r="M49" s="116">
        <v>74.75</v>
      </c>
      <c r="N49" s="116">
        <v>75</v>
      </c>
      <c r="O49" s="116">
        <v>72.25</v>
      </c>
      <c r="P49" s="116">
        <v>73.3</v>
      </c>
      <c r="Q49" s="116">
        <v>74.75</v>
      </c>
      <c r="R49">
        <v>210913</v>
      </c>
    </row>
    <row r="50" spans="1:18" x14ac:dyDescent="0.25">
      <c r="A50" s="170">
        <v>45155</v>
      </c>
      <c r="B50" s="116">
        <v>76.5</v>
      </c>
      <c r="C50" s="116">
        <v>75.95</v>
      </c>
      <c r="D50" s="116">
        <v>74.05</v>
      </c>
      <c r="E50" s="116">
        <v>74.05</v>
      </c>
      <c r="F50" s="116">
        <v>75.95</v>
      </c>
      <c r="G50">
        <v>8883</v>
      </c>
      <c r="H50" s="116"/>
      <c r="I50" s="116"/>
      <c r="L50" s="170">
        <v>45155</v>
      </c>
      <c r="M50" s="116">
        <v>75.75</v>
      </c>
      <c r="N50" s="116">
        <v>76.650000000000006</v>
      </c>
      <c r="O50" s="116">
        <v>73.099999999999994</v>
      </c>
      <c r="P50" s="116">
        <v>74.7</v>
      </c>
      <c r="Q50" s="116">
        <v>75.75</v>
      </c>
      <c r="R50">
        <v>229865</v>
      </c>
    </row>
    <row r="51" spans="1:18" x14ac:dyDescent="0.25">
      <c r="A51" s="170">
        <v>45156</v>
      </c>
      <c r="B51" s="116">
        <v>76.38</v>
      </c>
      <c r="C51" s="116">
        <v>74.319999999999993</v>
      </c>
      <c r="D51" s="116">
        <v>73.2</v>
      </c>
      <c r="E51" s="116">
        <v>75.95</v>
      </c>
      <c r="F51" s="116">
        <v>74.319999999999993</v>
      </c>
      <c r="G51">
        <v>28568</v>
      </c>
      <c r="H51" s="116"/>
      <c r="I51" s="116"/>
      <c r="L51" s="170">
        <v>45156</v>
      </c>
      <c r="M51" s="116">
        <v>74.75</v>
      </c>
      <c r="N51" s="116">
        <v>76.2</v>
      </c>
      <c r="O51" s="116">
        <v>73.5</v>
      </c>
      <c r="P51" s="116">
        <v>75.55</v>
      </c>
      <c r="Q51" s="116">
        <v>74.75</v>
      </c>
      <c r="R51">
        <v>217228</v>
      </c>
    </row>
    <row r="52" spans="1:18" x14ac:dyDescent="0.25">
      <c r="A52" s="170">
        <v>45159</v>
      </c>
      <c r="B52" s="116">
        <v>79.45</v>
      </c>
      <c r="C52" s="116">
        <v>76.95</v>
      </c>
      <c r="D52" s="116">
        <v>72.83</v>
      </c>
      <c r="E52" s="116">
        <v>74.3</v>
      </c>
      <c r="F52" s="116">
        <v>76.95</v>
      </c>
      <c r="G52">
        <v>33561</v>
      </c>
      <c r="H52" s="116"/>
      <c r="I52" s="116"/>
      <c r="L52" s="170">
        <v>45159</v>
      </c>
      <c r="M52" s="116">
        <v>76.95</v>
      </c>
      <c r="N52" s="116">
        <v>79.5</v>
      </c>
      <c r="O52" s="116">
        <v>74</v>
      </c>
      <c r="P52" s="116">
        <v>74</v>
      </c>
      <c r="Q52" s="116">
        <v>76.95</v>
      </c>
      <c r="R52">
        <v>486488</v>
      </c>
    </row>
    <row r="53" spans="1:18" x14ac:dyDescent="0.25">
      <c r="A53" s="170">
        <v>45160</v>
      </c>
      <c r="B53" s="116">
        <v>78.66</v>
      </c>
      <c r="C53" s="116">
        <v>77.2</v>
      </c>
      <c r="D53" s="116">
        <v>76.36</v>
      </c>
      <c r="E53" s="116">
        <v>77.099999999999994</v>
      </c>
      <c r="F53" s="116">
        <v>77.2</v>
      </c>
      <c r="G53">
        <v>32273</v>
      </c>
      <c r="H53" s="116"/>
      <c r="I53" s="116"/>
      <c r="L53" s="170">
        <v>45160</v>
      </c>
      <c r="M53" s="116">
        <v>77.2</v>
      </c>
      <c r="N53" s="116">
        <v>78.75</v>
      </c>
      <c r="O53" s="116">
        <v>76.45</v>
      </c>
      <c r="P53" s="116">
        <v>77.7</v>
      </c>
      <c r="Q53" s="116">
        <v>77.2</v>
      </c>
      <c r="R53">
        <v>202141</v>
      </c>
    </row>
    <row r="54" spans="1:18" x14ac:dyDescent="0.25">
      <c r="A54" s="170">
        <v>45161</v>
      </c>
      <c r="B54" s="116">
        <v>79</v>
      </c>
      <c r="C54" s="116">
        <v>76.84</v>
      </c>
      <c r="D54" s="116">
        <v>75.38</v>
      </c>
      <c r="E54" s="116">
        <v>77.849999999999994</v>
      </c>
      <c r="F54" s="116">
        <v>76.84</v>
      </c>
      <c r="G54">
        <v>26288</v>
      </c>
      <c r="H54" s="116"/>
      <c r="I54" s="116"/>
      <c r="L54" s="170">
        <v>45161</v>
      </c>
      <c r="M54" s="116">
        <v>76.3</v>
      </c>
      <c r="N54" s="116">
        <v>79</v>
      </c>
      <c r="O54" s="116">
        <v>75.25</v>
      </c>
      <c r="P54" s="116">
        <v>77</v>
      </c>
      <c r="Q54" s="116">
        <v>76.3</v>
      </c>
      <c r="R54">
        <v>263086</v>
      </c>
    </row>
    <row r="55" spans="1:18" x14ac:dyDescent="0.25">
      <c r="A55" s="170">
        <v>45162</v>
      </c>
      <c r="B55" s="116">
        <v>79.45</v>
      </c>
      <c r="C55" s="116">
        <v>77.48</v>
      </c>
      <c r="D55" s="116">
        <v>75.3</v>
      </c>
      <c r="E55" s="116">
        <v>75.3</v>
      </c>
      <c r="F55" s="116">
        <v>77.48</v>
      </c>
      <c r="G55">
        <v>35719</v>
      </c>
      <c r="H55" s="116"/>
      <c r="I55" s="116"/>
      <c r="L55" s="170">
        <v>45162</v>
      </c>
      <c r="M55" s="116">
        <v>77.650000000000006</v>
      </c>
      <c r="N55" s="116">
        <v>79.5</v>
      </c>
      <c r="O55" s="116">
        <v>76.5</v>
      </c>
      <c r="P55" s="116">
        <v>76.5</v>
      </c>
      <c r="Q55" s="116">
        <v>77.650000000000006</v>
      </c>
      <c r="R55">
        <v>299842</v>
      </c>
    </row>
    <row r="56" spans="1:18" x14ac:dyDescent="0.25">
      <c r="A56" s="170">
        <v>45163</v>
      </c>
      <c r="B56" s="116">
        <v>80</v>
      </c>
      <c r="C56" s="116">
        <v>78.91</v>
      </c>
      <c r="D56" s="116">
        <v>77.8</v>
      </c>
      <c r="E56" s="116">
        <v>77.849999999999994</v>
      </c>
      <c r="F56" s="116">
        <v>78.91</v>
      </c>
      <c r="G56">
        <v>36869</v>
      </c>
      <c r="H56" s="116"/>
      <c r="I56" s="116"/>
      <c r="L56" s="170">
        <v>45163</v>
      </c>
      <c r="M56" s="116">
        <v>78.75</v>
      </c>
      <c r="N56" s="116">
        <v>80</v>
      </c>
      <c r="O56" s="116">
        <v>77.099999999999994</v>
      </c>
      <c r="P56" s="116">
        <v>78.099999999999994</v>
      </c>
      <c r="Q56" s="116">
        <v>78.75</v>
      </c>
      <c r="R56">
        <v>431980</v>
      </c>
    </row>
    <row r="57" spans="1:18" x14ac:dyDescent="0.25">
      <c r="A57" s="170">
        <v>45166</v>
      </c>
      <c r="B57" s="116">
        <v>80.87</v>
      </c>
      <c r="C57" s="116">
        <v>80.02</v>
      </c>
      <c r="D57" s="116">
        <v>77.400000000000006</v>
      </c>
      <c r="E57" s="116">
        <v>78.53</v>
      </c>
      <c r="F57" s="116">
        <v>80.02</v>
      </c>
      <c r="G57">
        <v>32158</v>
      </c>
      <c r="H57" s="116"/>
      <c r="I57" s="116"/>
      <c r="L57" s="170">
        <v>45166</v>
      </c>
      <c r="M57" s="116">
        <v>80</v>
      </c>
      <c r="N57" s="116">
        <v>80.7</v>
      </c>
      <c r="O57" s="116">
        <v>77.599999999999994</v>
      </c>
      <c r="P57" s="116">
        <v>78.75</v>
      </c>
      <c r="Q57" s="116">
        <v>80</v>
      </c>
      <c r="R57">
        <v>486720</v>
      </c>
    </row>
    <row r="58" spans="1:18" x14ac:dyDescent="0.25">
      <c r="A58" s="170">
        <v>45167</v>
      </c>
      <c r="B58" s="116">
        <v>81.3</v>
      </c>
      <c r="C58" s="116">
        <v>79.150000000000006</v>
      </c>
      <c r="D58" s="116">
        <v>78.5</v>
      </c>
      <c r="E58" s="116">
        <v>81</v>
      </c>
      <c r="F58" s="116">
        <v>79.150000000000006</v>
      </c>
      <c r="G58">
        <v>48606</v>
      </c>
      <c r="H58" s="116"/>
      <c r="I58" s="116"/>
      <c r="L58" s="170">
        <v>45167</v>
      </c>
      <c r="M58" s="116">
        <v>78.900000000000006</v>
      </c>
      <c r="N58" s="116">
        <v>81.55</v>
      </c>
      <c r="O58" s="116">
        <v>78.150000000000006</v>
      </c>
      <c r="P58" s="116">
        <v>80.5</v>
      </c>
      <c r="Q58" s="116">
        <v>78.900000000000006</v>
      </c>
      <c r="R58">
        <v>510913</v>
      </c>
    </row>
    <row r="59" spans="1:18" x14ac:dyDescent="0.25">
      <c r="A59" s="170">
        <v>45168</v>
      </c>
      <c r="B59" s="116">
        <v>81</v>
      </c>
      <c r="C59" s="116">
        <v>78.72</v>
      </c>
      <c r="D59" s="116">
        <v>78.150000000000006</v>
      </c>
      <c r="E59" s="116">
        <v>81</v>
      </c>
      <c r="F59" s="116">
        <v>78.72</v>
      </c>
      <c r="G59">
        <v>47031</v>
      </c>
      <c r="H59" s="116"/>
      <c r="I59" s="116"/>
      <c r="L59" s="170">
        <v>45168</v>
      </c>
      <c r="M59" s="116">
        <v>78.900000000000006</v>
      </c>
      <c r="N59" s="116">
        <v>80.650000000000006</v>
      </c>
      <c r="O59" s="116">
        <v>78.25</v>
      </c>
      <c r="P59" s="116">
        <v>78.900000000000006</v>
      </c>
      <c r="Q59" s="116">
        <v>78.900000000000006</v>
      </c>
      <c r="R59">
        <v>477160</v>
      </c>
    </row>
    <row r="60" spans="1:18" x14ac:dyDescent="0.25">
      <c r="A60" s="170">
        <v>45169</v>
      </c>
      <c r="B60" s="116">
        <v>81.2</v>
      </c>
      <c r="C60" s="116">
        <v>76.63</v>
      </c>
      <c r="D60" s="116">
        <v>76</v>
      </c>
      <c r="E60" s="116">
        <v>80.5</v>
      </c>
      <c r="F60" s="116">
        <v>76.63</v>
      </c>
      <c r="G60">
        <v>19660</v>
      </c>
      <c r="H60" s="116"/>
      <c r="I60" s="116"/>
      <c r="L60" s="170">
        <v>45169</v>
      </c>
      <c r="M60" s="116">
        <v>76.349999999999994</v>
      </c>
      <c r="N60" s="116">
        <v>81.349999999999994</v>
      </c>
      <c r="O60" s="116">
        <v>75.8</v>
      </c>
      <c r="P60" s="116">
        <v>79</v>
      </c>
      <c r="Q60" s="116">
        <v>76.349999999999994</v>
      </c>
      <c r="R60">
        <v>625363</v>
      </c>
    </row>
    <row r="61" spans="1:18" x14ac:dyDescent="0.25">
      <c r="A61" s="170">
        <v>45170</v>
      </c>
      <c r="B61" s="116">
        <v>80.38</v>
      </c>
      <c r="C61" s="116">
        <v>79.11</v>
      </c>
      <c r="D61" s="116">
        <v>76.900000000000006</v>
      </c>
      <c r="E61" s="116">
        <v>77.8</v>
      </c>
      <c r="F61" s="116">
        <v>79.11</v>
      </c>
      <c r="G61">
        <v>36735</v>
      </c>
      <c r="H61" s="116"/>
      <c r="I61" s="116"/>
      <c r="L61" s="170">
        <v>45170</v>
      </c>
      <c r="M61" s="116">
        <v>79.099999999999994</v>
      </c>
      <c r="N61" s="116">
        <v>80.400000000000006</v>
      </c>
      <c r="O61" s="116">
        <v>76.650000000000006</v>
      </c>
      <c r="P61" s="116">
        <v>76.650000000000006</v>
      </c>
      <c r="Q61" s="116">
        <v>79.099999999999994</v>
      </c>
      <c r="R61">
        <v>337109</v>
      </c>
    </row>
    <row r="62" spans="1:18" x14ac:dyDescent="0.25">
      <c r="A62" s="170">
        <v>45173</v>
      </c>
      <c r="B62" s="116">
        <v>80.87</v>
      </c>
      <c r="C62" s="116">
        <v>79.12</v>
      </c>
      <c r="D62" s="116">
        <v>77.400000000000006</v>
      </c>
      <c r="E62" s="116">
        <v>80.87</v>
      </c>
      <c r="F62" s="116">
        <v>79.12</v>
      </c>
      <c r="G62">
        <v>41739</v>
      </c>
      <c r="H62" s="116"/>
      <c r="I62" s="116"/>
      <c r="L62" s="170">
        <v>45173</v>
      </c>
      <c r="M62" s="116">
        <v>79.3</v>
      </c>
      <c r="N62" s="116">
        <v>80.2</v>
      </c>
      <c r="O62" s="116">
        <v>77.400000000000006</v>
      </c>
      <c r="P62" s="116">
        <v>79.849999999999994</v>
      </c>
      <c r="Q62" s="116">
        <v>79.3</v>
      </c>
      <c r="R62">
        <v>350816</v>
      </c>
    </row>
    <row r="63" spans="1:18" x14ac:dyDescent="0.25">
      <c r="A63" s="170">
        <v>45174</v>
      </c>
      <c r="B63" s="116">
        <v>84</v>
      </c>
      <c r="C63" s="116">
        <v>80.33</v>
      </c>
      <c r="D63" s="116">
        <v>79.45</v>
      </c>
      <c r="E63" s="116">
        <v>79.45</v>
      </c>
      <c r="F63" s="116">
        <v>80.33</v>
      </c>
      <c r="G63">
        <v>74021</v>
      </c>
      <c r="H63" s="116"/>
      <c r="I63" s="116"/>
      <c r="L63" s="170">
        <v>45174</v>
      </c>
      <c r="M63" s="116">
        <v>80.2</v>
      </c>
      <c r="N63" s="116">
        <v>84</v>
      </c>
      <c r="O63" s="116">
        <v>78.099999999999994</v>
      </c>
      <c r="P63" s="116">
        <v>78.099999999999994</v>
      </c>
      <c r="Q63" s="116">
        <v>80.2</v>
      </c>
      <c r="R63">
        <v>1147858</v>
      </c>
    </row>
    <row r="64" spans="1:18" x14ac:dyDescent="0.25">
      <c r="A64" s="170">
        <v>45175</v>
      </c>
      <c r="B64" s="116">
        <v>83.69</v>
      </c>
      <c r="C64" s="116">
        <v>80.069999999999993</v>
      </c>
      <c r="D64" s="116">
        <v>79.73</v>
      </c>
      <c r="E64" s="116">
        <v>83.69</v>
      </c>
      <c r="F64" s="116">
        <v>80.069999999999993</v>
      </c>
      <c r="G64">
        <v>43340</v>
      </c>
      <c r="H64" s="116"/>
      <c r="I64" s="116"/>
      <c r="L64" s="170">
        <v>45175</v>
      </c>
      <c r="M64" s="116">
        <v>80.05</v>
      </c>
      <c r="N64" s="116">
        <v>81.45</v>
      </c>
      <c r="O64" s="116">
        <v>79.599999999999994</v>
      </c>
      <c r="P64" s="116">
        <v>80.2</v>
      </c>
      <c r="Q64" s="116">
        <v>80.05</v>
      </c>
      <c r="R64">
        <v>275474</v>
      </c>
    </row>
    <row r="65" spans="1:18" x14ac:dyDescent="0.25">
      <c r="A65" s="170">
        <v>45176</v>
      </c>
      <c r="B65" s="116">
        <v>80.489999999999995</v>
      </c>
      <c r="C65" s="116">
        <v>78.739999999999995</v>
      </c>
      <c r="D65" s="116">
        <v>78.31</v>
      </c>
      <c r="E65" s="116">
        <v>80.25</v>
      </c>
      <c r="F65" s="116">
        <v>78.739999999999995</v>
      </c>
      <c r="G65">
        <v>27796</v>
      </c>
      <c r="H65" s="116"/>
      <c r="I65" s="116"/>
      <c r="L65" s="170">
        <v>45176</v>
      </c>
      <c r="M65" s="116">
        <v>78.7</v>
      </c>
      <c r="N65" s="116">
        <v>80.55</v>
      </c>
      <c r="O65" s="116">
        <v>78.05</v>
      </c>
      <c r="P65" s="116">
        <v>80.150000000000006</v>
      </c>
      <c r="Q65" s="116">
        <v>78.7</v>
      </c>
      <c r="R65">
        <v>277104</v>
      </c>
    </row>
    <row r="66" spans="1:18" x14ac:dyDescent="0.25">
      <c r="A66" s="170">
        <v>45177</v>
      </c>
      <c r="B66" s="116">
        <v>80.599999999999994</v>
      </c>
      <c r="C66" s="116">
        <v>78.5</v>
      </c>
      <c r="D66" s="116">
        <v>77</v>
      </c>
      <c r="E66" s="116">
        <v>78.5</v>
      </c>
      <c r="F66" s="116">
        <v>78.5</v>
      </c>
      <c r="G66">
        <v>46538</v>
      </c>
      <c r="H66" s="116"/>
      <c r="I66" s="116"/>
      <c r="L66" s="170">
        <v>45177</v>
      </c>
      <c r="M66" s="116">
        <v>78.25</v>
      </c>
      <c r="N66" s="116">
        <v>80.75</v>
      </c>
      <c r="O66" s="116">
        <v>76.900000000000006</v>
      </c>
      <c r="P66" s="116">
        <v>79.5</v>
      </c>
      <c r="Q66" s="116">
        <v>78.25</v>
      </c>
      <c r="R66">
        <v>299844</v>
      </c>
    </row>
    <row r="67" spans="1:18" x14ac:dyDescent="0.25">
      <c r="A67" s="170">
        <v>45180</v>
      </c>
      <c r="B67" s="116">
        <v>80.7</v>
      </c>
      <c r="C67" s="116">
        <v>79.59</v>
      </c>
      <c r="D67" s="116">
        <v>77.75</v>
      </c>
      <c r="E67" s="116">
        <v>77.75</v>
      </c>
      <c r="F67" s="116">
        <v>79.59</v>
      </c>
      <c r="G67">
        <v>66540</v>
      </c>
      <c r="H67" s="116"/>
      <c r="I67" s="116"/>
      <c r="L67" s="170">
        <v>45180</v>
      </c>
      <c r="M67" s="116">
        <v>79.900000000000006</v>
      </c>
      <c r="N67" s="116">
        <v>81.900000000000006</v>
      </c>
      <c r="O67" s="116">
        <v>77.55</v>
      </c>
      <c r="P67" s="116">
        <v>78.5</v>
      </c>
      <c r="Q67" s="116">
        <v>79.900000000000006</v>
      </c>
      <c r="R67">
        <v>421838</v>
      </c>
    </row>
    <row r="68" spans="1:18" x14ac:dyDescent="0.25">
      <c r="A68" s="170">
        <v>45181</v>
      </c>
      <c r="B68" s="116">
        <v>83.5</v>
      </c>
      <c r="C68" s="116">
        <v>75.3</v>
      </c>
      <c r="D68" s="116">
        <v>74.53</v>
      </c>
      <c r="E68" s="116">
        <v>83.5</v>
      </c>
      <c r="F68" s="116">
        <v>75.3</v>
      </c>
      <c r="G68">
        <v>33802</v>
      </c>
      <c r="H68" s="116"/>
      <c r="I68" s="116"/>
      <c r="L68" s="170">
        <v>45181</v>
      </c>
      <c r="M68" s="116">
        <v>75.25</v>
      </c>
      <c r="N68" s="116">
        <v>81.45</v>
      </c>
      <c r="O68" s="116">
        <v>74.5</v>
      </c>
      <c r="P68" s="116">
        <v>81.45</v>
      </c>
      <c r="Q68" s="116">
        <v>75.25</v>
      </c>
      <c r="R68">
        <v>589116</v>
      </c>
    </row>
    <row r="69" spans="1:18" x14ac:dyDescent="0.25">
      <c r="A69" s="170">
        <v>45182</v>
      </c>
      <c r="B69" s="116">
        <v>79.900000000000006</v>
      </c>
      <c r="C69" s="116">
        <v>76.16</v>
      </c>
      <c r="D69" s="116">
        <v>73</v>
      </c>
      <c r="E69" s="116">
        <v>79.900000000000006</v>
      </c>
      <c r="F69" s="116">
        <v>76.16</v>
      </c>
      <c r="G69">
        <v>40587</v>
      </c>
      <c r="H69" s="116"/>
      <c r="I69" s="116"/>
      <c r="L69" s="170">
        <v>45182</v>
      </c>
      <c r="M69" s="116">
        <v>76.2</v>
      </c>
      <c r="N69" s="116">
        <v>77.400000000000006</v>
      </c>
      <c r="O69" s="116">
        <v>73.3</v>
      </c>
      <c r="P69" s="116">
        <v>75.55</v>
      </c>
      <c r="Q69" s="116">
        <v>76.2</v>
      </c>
      <c r="R69">
        <v>273635</v>
      </c>
    </row>
    <row r="70" spans="1:18" x14ac:dyDescent="0.25">
      <c r="A70" s="170">
        <v>45183</v>
      </c>
      <c r="B70" s="116">
        <v>77.400000000000006</v>
      </c>
      <c r="C70" s="116">
        <v>76.89</v>
      </c>
      <c r="D70" s="116">
        <v>73.599999999999994</v>
      </c>
      <c r="E70" s="116">
        <v>73.599999999999994</v>
      </c>
      <c r="F70" s="116">
        <v>76.89</v>
      </c>
      <c r="G70">
        <v>6112</v>
      </c>
      <c r="H70" s="116"/>
      <c r="I70" s="116"/>
      <c r="L70" s="170">
        <v>45183</v>
      </c>
      <c r="M70" s="116">
        <v>77</v>
      </c>
      <c r="N70" s="116">
        <v>77.55</v>
      </c>
      <c r="O70" s="116">
        <v>74.95</v>
      </c>
      <c r="P70" s="116">
        <v>76.349999999999994</v>
      </c>
      <c r="Q70" s="116">
        <v>77</v>
      </c>
      <c r="R70">
        <v>232493</v>
      </c>
    </row>
    <row r="71" spans="1:18" x14ac:dyDescent="0.25">
      <c r="A71" s="170">
        <v>45184</v>
      </c>
      <c r="B71" s="116">
        <v>78.5</v>
      </c>
      <c r="C71" s="116">
        <v>77.53</v>
      </c>
      <c r="D71" s="116">
        <v>76.099999999999994</v>
      </c>
      <c r="E71" s="116">
        <v>77.400000000000006</v>
      </c>
      <c r="F71" s="116">
        <v>77.53</v>
      </c>
      <c r="G71">
        <v>9906</v>
      </c>
      <c r="H71" s="116"/>
      <c r="I71" s="116"/>
      <c r="L71" s="170">
        <v>45184</v>
      </c>
      <c r="M71" s="116">
        <v>77.45</v>
      </c>
      <c r="N71" s="116">
        <v>78.599999999999994</v>
      </c>
      <c r="O71" s="116">
        <v>75.8</v>
      </c>
      <c r="P71" s="116">
        <v>78.150000000000006</v>
      </c>
      <c r="Q71" s="116">
        <v>77.45</v>
      </c>
      <c r="R71">
        <v>437183</v>
      </c>
    </row>
    <row r="72" spans="1:18" x14ac:dyDescent="0.25">
      <c r="A72" s="170">
        <v>45187</v>
      </c>
      <c r="B72" s="116">
        <v>78.400000000000006</v>
      </c>
      <c r="C72" s="116">
        <v>77.900000000000006</v>
      </c>
      <c r="D72" s="116">
        <v>76.83</v>
      </c>
      <c r="E72" s="116">
        <v>77.53</v>
      </c>
      <c r="F72" s="116">
        <v>77.900000000000006</v>
      </c>
      <c r="G72">
        <v>14429</v>
      </c>
      <c r="H72" s="116"/>
      <c r="I72" s="116"/>
      <c r="L72" s="170">
        <v>45187</v>
      </c>
      <c r="M72" s="116">
        <v>78</v>
      </c>
      <c r="N72" s="116">
        <v>78.45</v>
      </c>
      <c r="O72" s="116">
        <v>76.8</v>
      </c>
      <c r="P72" s="116">
        <v>77.099999999999994</v>
      </c>
      <c r="Q72" s="116">
        <v>78</v>
      </c>
      <c r="R72">
        <v>211605</v>
      </c>
    </row>
    <row r="73" spans="1:18" x14ac:dyDescent="0.25">
      <c r="A73" s="170">
        <v>45189</v>
      </c>
      <c r="B73" s="116">
        <v>78.599999999999994</v>
      </c>
      <c r="C73" s="116">
        <v>76.81</v>
      </c>
      <c r="D73" s="116">
        <v>76.34</v>
      </c>
      <c r="E73" s="116">
        <v>76.34</v>
      </c>
      <c r="F73" s="116">
        <v>76.81</v>
      </c>
      <c r="G73">
        <v>8391</v>
      </c>
      <c r="H73" s="116"/>
      <c r="I73" s="116"/>
      <c r="L73" s="170">
        <v>45189</v>
      </c>
      <c r="M73" s="116">
        <v>76.849999999999994</v>
      </c>
      <c r="N73" s="116">
        <v>78.8</v>
      </c>
      <c r="O73" s="116">
        <v>76.3</v>
      </c>
      <c r="P73" s="116">
        <v>77.95</v>
      </c>
      <c r="Q73" s="116">
        <v>76.849999999999994</v>
      </c>
      <c r="R73">
        <v>269836</v>
      </c>
    </row>
    <row r="74" spans="1:18" x14ac:dyDescent="0.25">
      <c r="A74" s="170">
        <v>45190</v>
      </c>
      <c r="B74" s="116">
        <v>78.2</v>
      </c>
      <c r="C74" s="116">
        <v>75.05</v>
      </c>
      <c r="D74" s="116">
        <v>74.83</v>
      </c>
      <c r="E74" s="116">
        <v>76.900000000000006</v>
      </c>
      <c r="F74" s="116">
        <v>75.05</v>
      </c>
      <c r="G74">
        <v>24682</v>
      </c>
      <c r="H74" s="116"/>
      <c r="I74" s="116"/>
      <c r="L74" s="170">
        <v>45190</v>
      </c>
      <c r="M74" s="116">
        <v>75.05</v>
      </c>
      <c r="N74" s="116">
        <v>78.349999999999994</v>
      </c>
      <c r="O74" s="116">
        <v>74.7</v>
      </c>
      <c r="P74" s="116">
        <v>77.599999999999994</v>
      </c>
      <c r="Q74" s="116">
        <v>75.05</v>
      </c>
      <c r="R74">
        <v>380634</v>
      </c>
    </row>
    <row r="75" spans="1:18" x14ac:dyDescent="0.25">
      <c r="A75" s="170">
        <v>45191</v>
      </c>
      <c r="B75" s="116">
        <v>77.42</v>
      </c>
      <c r="C75" s="116">
        <v>77.08</v>
      </c>
      <c r="D75" s="116">
        <v>73.989999999999995</v>
      </c>
      <c r="E75" s="116">
        <v>75.94</v>
      </c>
      <c r="F75" s="116">
        <v>77.08</v>
      </c>
      <c r="G75">
        <v>46336</v>
      </c>
      <c r="H75" s="116"/>
      <c r="I75" s="116"/>
      <c r="L75" s="170">
        <v>45191</v>
      </c>
      <c r="M75" s="116">
        <v>77.05</v>
      </c>
      <c r="N75" s="116">
        <v>77.5</v>
      </c>
      <c r="O75" s="116">
        <v>73.75</v>
      </c>
      <c r="P75" s="116">
        <v>76.400000000000006</v>
      </c>
      <c r="Q75" s="116">
        <v>77.05</v>
      </c>
      <c r="R75">
        <v>178459</v>
      </c>
    </row>
    <row r="76" spans="1:18" x14ac:dyDescent="0.25">
      <c r="A76" s="170">
        <v>45194</v>
      </c>
      <c r="B76" s="116">
        <v>78.5</v>
      </c>
      <c r="C76" s="116">
        <v>76.84</v>
      </c>
      <c r="D76" s="116">
        <v>75.56</v>
      </c>
      <c r="E76" s="116">
        <v>78.5</v>
      </c>
      <c r="F76" s="116">
        <v>76.84</v>
      </c>
      <c r="G76">
        <v>30606</v>
      </c>
      <c r="H76" s="116"/>
      <c r="I76" s="116"/>
      <c r="L76" s="170">
        <v>45194</v>
      </c>
      <c r="M76" s="116">
        <v>77.099999999999994</v>
      </c>
      <c r="N76" s="116">
        <v>78.099999999999994</v>
      </c>
      <c r="O76" s="116">
        <v>75.5</v>
      </c>
      <c r="P76" s="116">
        <v>77.55</v>
      </c>
      <c r="Q76" s="116">
        <v>77.099999999999994</v>
      </c>
      <c r="R76">
        <v>374416</v>
      </c>
    </row>
    <row r="77" spans="1:18" x14ac:dyDescent="0.25">
      <c r="A77" s="170">
        <v>45195</v>
      </c>
      <c r="B77" s="116">
        <v>81</v>
      </c>
      <c r="C77" s="116">
        <v>79.89</v>
      </c>
      <c r="D77" s="116">
        <v>76.55</v>
      </c>
      <c r="E77" s="116">
        <v>77.25</v>
      </c>
      <c r="F77" s="116">
        <v>79.89</v>
      </c>
      <c r="G77">
        <v>168883</v>
      </c>
      <c r="H77" s="116"/>
      <c r="I77" s="116"/>
      <c r="L77" s="170">
        <v>45195</v>
      </c>
      <c r="M77" s="116">
        <v>79.849999999999994</v>
      </c>
      <c r="N77" s="116">
        <v>81</v>
      </c>
      <c r="O77" s="116">
        <v>76</v>
      </c>
      <c r="P77" s="116">
        <v>77.650000000000006</v>
      </c>
      <c r="Q77" s="116">
        <v>79.849999999999994</v>
      </c>
      <c r="R77">
        <v>702178</v>
      </c>
    </row>
    <row r="78" spans="1:18" x14ac:dyDescent="0.25">
      <c r="A78" s="170">
        <v>45196</v>
      </c>
      <c r="B78" s="116">
        <v>82.83</v>
      </c>
      <c r="C78" s="116">
        <v>78.73</v>
      </c>
      <c r="D78" s="116">
        <v>78.55</v>
      </c>
      <c r="E78" s="116">
        <v>80.2</v>
      </c>
      <c r="F78" s="116">
        <v>78.73</v>
      </c>
      <c r="G78">
        <v>58894</v>
      </c>
      <c r="H78" s="116"/>
      <c r="I78" s="116"/>
      <c r="L78" s="170">
        <v>45196</v>
      </c>
      <c r="M78" s="116">
        <v>78.650000000000006</v>
      </c>
      <c r="N78" s="116">
        <v>82.85</v>
      </c>
      <c r="O78" s="116">
        <v>78.099999999999994</v>
      </c>
      <c r="P78" s="116">
        <v>80.7</v>
      </c>
      <c r="Q78" s="116">
        <v>78.650000000000006</v>
      </c>
      <c r="R78">
        <v>407834</v>
      </c>
    </row>
    <row r="79" spans="1:18" x14ac:dyDescent="0.25">
      <c r="A79" s="170">
        <v>45197</v>
      </c>
      <c r="B79" s="116">
        <v>82</v>
      </c>
      <c r="C79" s="116">
        <v>80.16</v>
      </c>
      <c r="D79" s="116">
        <v>78.5</v>
      </c>
      <c r="E79" s="116">
        <v>78.73</v>
      </c>
      <c r="F79" s="116">
        <v>80.16</v>
      </c>
      <c r="G79">
        <v>22955</v>
      </c>
      <c r="H79" s="116"/>
      <c r="I79" s="116"/>
      <c r="L79" s="170">
        <v>45197</v>
      </c>
      <c r="M79" s="116">
        <v>80.05</v>
      </c>
      <c r="N79" s="116">
        <v>82.2</v>
      </c>
      <c r="O79" s="116">
        <v>78.55</v>
      </c>
      <c r="P79" s="116">
        <v>79.45</v>
      </c>
      <c r="Q79" s="116">
        <v>80.05</v>
      </c>
      <c r="R79">
        <v>386083</v>
      </c>
    </row>
    <row r="80" spans="1:18" x14ac:dyDescent="0.25">
      <c r="A80" s="170">
        <v>45198</v>
      </c>
      <c r="B80" s="116">
        <v>82.15</v>
      </c>
      <c r="C80" s="116">
        <v>79.91</v>
      </c>
      <c r="D80" s="116">
        <v>78.430000000000007</v>
      </c>
      <c r="E80" s="116">
        <v>82.15</v>
      </c>
      <c r="F80" s="116">
        <v>79.91</v>
      </c>
      <c r="G80">
        <v>25778</v>
      </c>
      <c r="H80" s="116"/>
      <c r="I80" s="116"/>
      <c r="L80" s="170">
        <v>45198</v>
      </c>
      <c r="M80" s="116">
        <v>80</v>
      </c>
      <c r="N80" s="116">
        <v>81</v>
      </c>
      <c r="O80" s="116">
        <v>78.3</v>
      </c>
      <c r="P80" s="116">
        <v>80.8</v>
      </c>
      <c r="Q80" s="116">
        <v>80</v>
      </c>
      <c r="R80">
        <v>270933</v>
      </c>
    </row>
    <row r="81" spans="1:18" x14ac:dyDescent="0.25">
      <c r="A81" s="170">
        <v>45202</v>
      </c>
      <c r="B81" s="116">
        <v>81.95</v>
      </c>
      <c r="C81" s="116">
        <v>80.05</v>
      </c>
      <c r="D81" s="116">
        <v>78.8</v>
      </c>
      <c r="E81" s="116">
        <v>81.95</v>
      </c>
      <c r="F81" s="116">
        <v>80.05</v>
      </c>
      <c r="G81">
        <v>6042</v>
      </c>
      <c r="H81" s="116"/>
      <c r="I81" s="116"/>
      <c r="L81" s="170">
        <v>45202</v>
      </c>
      <c r="M81" s="116">
        <v>80.05</v>
      </c>
      <c r="N81" s="116">
        <v>81.05</v>
      </c>
      <c r="O81" s="116">
        <v>78.5</v>
      </c>
      <c r="P81" s="116">
        <v>80</v>
      </c>
      <c r="Q81" s="116">
        <v>80.05</v>
      </c>
      <c r="R81">
        <v>221149</v>
      </c>
    </row>
    <row r="82" spans="1:18" x14ac:dyDescent="0.25">
      <c r="A82" s="170">
        <v>45203</v>
      </c>
      <c r="B82" s="116">
        <v>79.849999999999994</v>
      </c>
      <c r="C82" s="116">
        <v>79.25</v>
      </c>
      <c r="D82" s="116">
        <v>77</v>
      </c>
      <c r="E82" s="116">
        <v>79.849999999999994</v>
      </c>
      <c r="F82" s="116">
        <v>79.25</v>
      </c>
      <c r="G82">
        <v>9360</v>
      </c>
      <c r="H82" s="116"/>
      <c r="I82" s="116"/>
      <c r="L82" s="170">
        <v>45203</v>
      </c>
      <c r="M82" s="116">
        <v>79.05</v>
      </c>
      <c r="N82" s="116">
        <v>80</v>
      </c>
      <c r="O82" s="116">
        <v>76.849999999999994</v>
      </c>
      <c r="P82" s="116">
        <v>80</v>
      </c>
      <c r="Q82" s="116">
        <v>79.05</v>
      </c>
      <c r="R82">
        <v>231998</v>
      </c>
    </row>
    <row r="83" spans="1:18" x14ac:dyDescent="0.25">
      <c r="A83" s="170">
        <v>45204</v>
      </c>
      <c r="B83" s="116">
        <v>80.3</v>
      </c>
      <c r="C83" s="116">
        <v>77.73</v>
      </c>
      <c r="D83" s="116">
        <v>76.819999999999993</v>
      </c>
      <c r="E83" s="116">
        <v>79.599999999999994</v>
      </c>
      <c r="F83" s="116">
        <v>77.73</v>
      </c>
      <c r="G83">
        <v>23335</v>
      </c>
      <c r="H83" s="116"/>
      <c r="I83" s="116"/>
      <c r="L83" s="170">
        <v>45204</v>
      </c>
      <c r="M83" s="116">
        <v>77.7</v>
      </c>
      <c r="N83" s="116">
        <v>80.3</v>
      </c>
      <c r="O83" s="116">
        <v>76.75</v>
      </c>
      <c r="P83" s="116">
        <v>79.099999999999994</v>
      </c>
      <c r="Q83" s="116">
        <v>77.7</v>
      </c>
      <c r="R83">
        <v>385485</v>
      </c>
    </row>
    <row r="84" spans="1:18" x14ac:dyDescent="0.25">
      <c r="A84" s="170">
        <v>45205</v>
      </c>
      <c r="B84" s="116">
        <v>79.83</v>
      </c>
      <c r="C84" s="116">
        <v>79.010000000000005</v>
      </c>
      <c r="D84" s="116">
        <v>77.56</v>
      </c>
      <c r="E84" s="116">
        <v>78.569999999999993</v>
      </c>
      <c r="F84" s="116">
        <v>79.010000000000005</v>
      </c>
      <c r="G84">
        <v>29601</v>
      </c>
      <c r="H84" s="116"/>
      <c r="I84" s="116"/>
      <c r="L84" s="170">
        <v>45205</v>
      </c>
      <c r="M84" s="116">
        <v>79.099999999999994</v>
      </c>
      <c r="N84" s="116">
        <v>79.900000000000006</v>
      </c>
      <c r="O84" s="116">
        <v>77.7</v>
      </c>
      <c r="P84" s="116">
        <v>78</v>
      </c>
      <c r="Q84" s="116">
        <v>79.099999999999994</v>
      </c>
      <c r="R84">
        <v>200204</v>
      </c>
    </row>
    <row r="85" spans="1:18" x14ac:dyDescent="0.25">
      <c r="A85" s="170">
        <v>45208</v>
      </c>
      <c r="B85" s="116">
        <v>79.05</v>
      </c>
      <c r="C85" s="116">
        <v>77.760000000000005</v>
      </c>
      <c r="D85" s="116">
        <v>77.430000000000007</v>
      </c>
      <c r="E85" s="116">
        <v>77.430000000000007</v>
      </c>
      <c r="F85" s="116">
        <v>77.760000000000005</v>
      </c>
      <c r="G85">
        <v>11511</v>
      </c>
      <c r="H85" s="116"/>
      <c r="I85" s="116"/>
      <c r="L85" s="170">
        <v>45208</v>
      </c>
      <c r="M85" s="116">
        <v>78.05</v>
      </c>
      <c r="N85" s="116">
        <v>79.400000000000006</v>
      </c>
      <c r="O85" s="116">
        <v>77.25</v>
      </c>
      <c r="P85" s="116">
        <v>78.55</v>
      </c>
      <c r="Q85" s="116">
        <v>78.05</v>
      </c>
      <c r="R85">
        <v>282396</v>
      </c>
    </row>
    <row r="86" spans="1:18" x14ac:dyDescent="0.25">
      <c r="A86" s="170">
        <v>45209</v>
      </c>
      <c r="B86" s="116">
        <v>80</v>
      </c>
      <c r="C86" s="116">
        <v>77.73</v>
      </c>
      <c r="D86" s="116">
        <v>77.45</v>
      </c>
      <c r="E86" s="116">
        <v>80</v>
      </c>
      <c r="F86" s="116">
        <v>77.73</v>
      </c>
      <c r="G86">
        <v>21305</v>
      </c>
      <c r="H86" s="116"/>
      <c r="I86" s="116"/>
      <c r="L86" s="170">
        <v>45209</v>
      </c>
      <c r="M86" s="116">
        <v>77.8</v>
      </c>
      <c r="N86" s="116">
        <v>79.849999999999994</v>
      </c>
      <c r="O86" s="116">
        <v>77.400000000000006</v>
      </c>
      <c r="P86" s="116">
        <v>77.55</v>
      </c>
      <c r="Q86" s="116">
        <v>77.8</v>
      </c>
      <c r="R86">
        <v>418470</v>
      </c>
    </row>
    <row r="87" spans="1:18" x14ac:dyDescent="0.25">
      <c r="A87" s="170">
        <v>45210</v>
      </c>
      <c r="B87" s="116">
        <v>79.400000000000006</v>
      </c>
      <c r="C87" s="116">
        <v>79.040000000000006</v>
      </c>
      <c r="D87" s="116">
        <v>78.55</v>
      </c>
      <c r="E87" s="116">
        <v>78.66</v>
      </c>
      <c r="F87" s="116">
        <v>79.040000000000006</v>
      </c>
      <c r="G87">
        <v>6866</v>
      </c>
      <c r="H87" s="116"/>
      <c r="I87" s="116"/>
      <c r="L87" s="170">
        <v>45210</v>
      </c>
      <c r="M87" s="116">
        <v>79.349999999999994</v>
      </c>
      <c r="N87" s="116">
        <v>79.650000000000006</v>
      </c>
      <c r="O87" s="116">
        <v>78.349999999999994</v>
      </c>
      <c r="P87" s="116">
        <v>79.2</v>
      </c>
      <c r="Q87" s="116">
        <v>79.349999999999994</v>
      </c>
      <c r="R87">
        <v>237827</v>
      </c>
    </row>
    <row r="88" spans="1:18" x14ac:dyDescent="0.25">
      <c r="A88" s="170">
        <v>45211</v>
      </c>
      <c r="B88" s="116">
        <v>93</v>
      </c>
      <c r="C88" s="116">
        <v>86.8</v>
      </c>
      <c r="D88" s="116">
        <v>79.55</v>
      </c>
      <c r="E88" s="116">
        <v>79.55</v>
      </c>
      <c r="F88" s="116">
        <v>86.8</v>
      </c>
      <c r="G88">
        <v>178219</v>
      </c>
      <c r="H88" s="116"/>
      <c r="I88" s="116"/>
      <c r="L88" s="170">
        <v>45211</v>
      </c>
      <c r="M88" s="116">
        <v>86.6</v>
      </c>
      <c r="N88" s="116">
        <v>92.5</v>
      </c>
      <c r="O88" s="116">
        <v>79.150000000000006</v>
      </c>
      <c r="P88" s="116">
        <v>79.45</v>
      </c>
      <c r="Q88" s="116">
        <v>86.6</v>
      </c>
      <c r="R88">
        <v>3824545</v>
      </c>
    </row>
    <row r="89" spans="1:18" x14ac:dyDescent="0.25">
      <c r="A89" s="170">
        <v>45212</v>
      </c>
      <c r="B89" s="116">
        <v>87.05</v>
      </c>
      <c r="C89" s="116">
        <v>84</v>
      </c>
      <c r="D89" s="116">
        <v>83.35</v>
      </c>
      <c r="E89" s="116">
        <v>84</v>
      </c>
      <c r="F89" s="116">
        <v>84</v>
      </c>
      <c r="G89">
        <v>86676</v>
      </c>
      <c r="H89" s="116"/>
      <c r="I89" s="116"/>
      <c r="L89" s="170">
        <v>45212</v>
      </c>
      <c r="M89" s="116">
        <v>84.05</v>
      </c>
      <c r="N89" s="116">
        <v>87.4</v>
      </c>
      <c r="O89" s="116">
        <v>83.2</v>
      </c>
      <c r="P89" s="116">
        <v>85</v>
      </c>
      <c r="Q89" s="116">
        <v>84.05</v>
      </c>
      <c r="R89">
        <v>624162</v>
      </c>
    </row>
    <row r="90" spans="1:18" x14ac:dyDescent="0.25">
      <c r="A90" s="170">
        <v>45215</v>
      </c>
      <c r="B90" s="116">
        <v>87.25</v>
      </c>
      <c r="C90" s="116">
        <v>86.5</v>
      </c>
      <c r="D90" s="116">
        <v>83</v>
      </c>
      <c r="E90" s="116">
        <v>84</v>
      </c>
      <c r="F90" s="116">
        <v>86.5</v>
      </c>
      <c r="G90">
        <v>26516</v>
      </c>
      <c r="H90" s="116"/>
      <c r="I90" s="116"/>
      <c r="L90" s="170">
        <v>45215</v>
      </c>
      <c r="M90" s="116">
        <v>86.65</v>
      </c>
      <c r="N90" s="116">
        <v>87.4</v>
      </c>
      <c r="O90" s="116">
        <v>82.6</v>
      </c>
      <c r="P90" s="116">
        <v>83.1</v>
      </c>
      <c r="Q90" s="116">
        <v>86.65</v>
      </c>
      <c r="R90">
        <v>719130</v>
      </c>
    </row>
    <row r="91" spans="1:18" x14ac:dyDescent="0.25">
      <c r="A91" s="170">
        <v>45216</v>
      </c>
      <c r="B91" s="116">
        <v>87.91</v>
      </c>
      <c r="C91" s="116">
        <v>84.13</v>
      </c>
      <c r="D91" s="116">
        <v>83.45</v>
      </c>
      <c r="E91" s="116">
        <v>85.27</v>
      </c>
      <c r="F91" s="116">
        <v>84.13</v>
      </c>
      <c r="G91">
        <v>13203</v>
      </c>
      <c r="H91" s="116"/>
      <c r="I91" s="116"/>
      <c r="L91" s="170">
        <v>45216</v>
      </c>
      <c r="M91" s="116">
        <v>84.15</v>
      </c>
      <c r="N91" s="116">
        <v>88.2</v>
      </c>
      <c r="O91" s="116">
        <v>83.4</v>
      </c>
      <c r="P91" s="116">
        <v>87</v>
      </c>
      <c r="Q91" s="116">
        <v>84.15</v>
      </c>
      <c r="R91">
        <v>552176</v>
      </c>
    </row>
    <row r="92" spans="1:18" x14ac:dyDescent="0.25">
      <c r="A92" s="170">
        <v>45217</v>
      </c>
      <c r="B92" s="116">
        <v>85.11</v>
      </c>
      <c r="C92" s="116">
        <v>82.37</v>
      </c>
      <c r="D92" s="116">
        <v>81.97</v>
      </c>
      <c r="E92" s="116">
        <v>84.01</v>
      </c>
      <c r="F92" s="116">
        <v>82.37</v>
      </c>
      <c r="G92">
        <v>17789</v>
      </c>
      <c r="H92" s="116"/>
      <c r="I92" s="116"/>
      <c r="L92" s="170">
        <v>45217</v>
      </c>
      <c r="M92" s="116">
        <v>82.35</v>
      </c>
      <c r="N92" s="116">
        <v>85.15</v>
      </c>
      <c r="O92" s="116">
        <v>81.900000000000006</v>
      </c>
      <c r="P92" s="116">
        <v>84.1</v>
      </c>
      <c r="Q92" s="116">
        <v>82.35</v>
      </c>
      <c r="R92">
        <v>393299</v>
      </c>
    </row>
    <row r="93" spans="1:18" x14ac:dyDescent="0.25">
      <c r="A93" s="170">
        <v>45218</v>
      </c>
      <c r="B93" s="116">
        <v>84</v>
      </c>
      <c r="C93" s="116">
        <v>81.33</v>
      </c>
      <c r="D93" s="116">
        <v>81.17</v>
      </c>
      <c r="E93" s="116">
        <v>82</v>
      </c>
      <c r="F93" s="116">
        <v>81.33</v>
      </c>
      <c r="G93">
        <v>27418</v>
      </c>
      <c r="H93" s="116"/>
      <c r="I93" s="116"/>
      <c r="L93" s="170">
        <v>45218</v>
      </c>
      <c r="M93" s="116">
        <v>81.349999999999994</v>
      </c>
      <c r="N93" s="116">
        <v>83.9</v>
      </c>
      <c r="O93" s="116">
        <v>81</v>
      </c>
      <c r="P93" s="116">
        <v>82.2</v>
      </c>
      <c r="Q93" s="116">
        <v>81.349999999999994</v>
      </c>
      <c r="R93">
        <v>278925</v>
      </c>
    </row>
    <row r="94" spans="1:18" x14ac:dyDescent="0.25">
      <c r="A94" s="170">
        <v>45219</v>
      </c>
      <c r="B94" s="116">
        <v>83</v>
      </c>
      <c r="C94" s="116">
        <v>78.86</v>
      </c>
      <c r="D94" s="116">
        <v>78.5</v>
      </c>
      <c r="E94" s="116">
        <v>82.41</v>
      </c>
      <c r="F94" s="116">
        <v>78.86</v>
      </c>
      <c r="G94">
        <v>16625</v>
      </c>
      <c r="H94" s="116"/>
      <c r="I94" s="116"/>
      <c r="L94" s="170">
        <v>45219</v>
      </c>
      <c r="M94" s="116">
        <v>78.7</v>
      </c>
      <c r="N94" s="116">
        <v>83.25</v>
      </c>
      <c r="O94" s="116">
        <v>78.3</v>
      </c>
      <c r="P94" s="116">
        <v>81.349999999999994</v>
      </c>
      <c r="Q94" s="116">
        <v>78.7</v>
      </c>
      <c r="R94">
        <v>477330</v>
      </c>
    </row>
    <row r="95" spans="1:18" x14ac:dyDescent="0.25">
      <c r="A95" s="170">
        <v>45222</v>
      </c>
      <c r="B95" s="116">
        <v>82.9</v>
      </c>
      <c r="C95" s="116">
        <v>74.3</v>
      </c>
      <c r="D95" s="116">
        <v>73.5</v>
      </c>
      <c r="E95" s="116">
        <v>82.9</v>
      </c>
      <c r="F95" s="116">
        <v>74.3</v>
      </c>
      <c r="G95">
        <v>79872</v>
      </c>
      <c r="H95" s="116"/>
      <c r="I95" s="116"/>
      <c r="L95" s="170">
        <v>45222</v>
      </c>
      <c r="M95" s="116">
        <v>74.25</v>
      </c>
      <c r="N95" s="116">
        <v>80.05</v>
      </c>
      <c r="O95" s="116">
        <v>73.5</v>
      </c>
      <c r="P95" s="116">
        <v>78.8</v>
      </c>
      <c r="Q95" s="116">
        <v>74.25</v>
      </c>
      <c r="R95">
        <v>583874</v>
      </c>
    </row>
    <row r="96" spans="1:18" x14ac:dyDescent="0.25">
      <c r="A96" s="170">
        <v>45224</v>
      </c>
      <c r="B96" s="116">
        <v>76.75</v>
      </c>
      <c r="C96" s="116">
        <v>74.680000000000007</v>
      </c>
      <c r="D96" s="116">
        <v>72.53</v>
      </c>
      <c r="E96" s="116">
        <v>75.790000000000006</v>
      </c>
      <c r="F96" s="116">
        <v>74.680000000000007</v>
      </c>
      <c r="G96">
        <v>54232</v>
      </c>
      <c r="H96" s="116"/>
      <c r="I96" s="116"/>
      <c r="L96" s="170">
        <v>45224</v>
      </c>
      <c r="M96" s="116">
        <v>74.45</v>
      </c>
      <c r="N96" s="116">
        <v>76.75</v>
      </c>
      <c r="O96" s="116">
        <v>72.650000000000006</v>
      </c>
      <c r="P96" s="116">
        <v>75.400000000000006</v>
      </c>
      <c r="Q96" s="116">
        <v>74.45</v>
      </c>
      <c r="R96">
        <v>420695</v>
      </c>
    </row>
    <row r="97" spans="1:18" x14ac:dyDescent="0.25">
      <c r="A97" s="170">
        <v>45225</v>
      </c>
      <c r="B97" s="116">
        <v>75</v>
      </c>
      <c r="C97" s="116">
        <v>72.959999999999994</v>
      </c>
      <c r="D97" s="116">
        <v>70.430000000000007</v>
      </c>
      <c r="E97" s="116">
        <v>75</v>
      </c>
      <c r="F97" s="116">
        <v>72.959999999999994</v>
      </c>
      <c r="G97">
        <v>46486</v>
      </c>
      <c r="H97" s="116"/>
      <c r="I97" s="116"/>
      <c r="L97" s="170">
        <v>45225</v>
      </c>
      <c r="M97" s="116">
        <v>72.55</v>
      </c>
      <c r="N97" s="116">
        <v>73.95</v>
      </c>
      <c r="O97" s="116">
        <v>70.5</v>
      </c>
      <c r="P97" s="116">
        <v>73.849999999999994</v>
      </c>
      <c r="Q97" s="116">
        <v>72.55</v>
      </c>
      <c r="R97">
        <v>630349</v>
      </c>
    </row>
    <row r="98" spans="1:18" x14ac:dyDescent="0.25">
      <c r="A98" s="170">
        <v>45226</v>
      </c>
      <c r="B98" s="116">
        <v>74.400000000000006</v>
      </c>
      <c r="C98" s="116">
        <v>73.02</v>
      </c>
      <c r="D98" s="116">
        <v>72.75</v>
      </c>
      <c r="E98" s="116">
        <v>73.55</v>
      </c>
      <c r="F98" s="116">
        <v>73.02</v>
      </c>
      <c r="G98">
        <v>35818</v>
      </c>
      <c r="H98" s="116"/>
      <c r="I98" s="116"/>
      <c r="L98" s="170">
        <v>45226</v>
      </c>
      <c r="M98" s="116">
        <v>73.3</v>
      </c>
      <c r="N98" s="116">
        <v>74.900000000000006</v>
      </c>
      <c r="O98" s="116">
        <v>72.650000000000006</v>
      </c>
      <c r="P98" s="116">
        <v>73.650000000000006</v>
      </c>
      <c r="Q98" s="116">
        <v>73.3</v>
      </c>
      <c r="R98">
        <v>299073</v>
      </c>
    </row>
    <row r="99" spans="1:18" x14ac:dyDescent="0.25">
      <c r="A99" s="170">
        <v>45229</v>
      </c>
      <c r="B99" s="116">
        <v>73.97</v>
      </c>
      <c r="C99" s="116">
        <v>72.75</v>
      </c>
      <c r="D99" s="116">
        <v>71.73</v>
      </c>
      <c r="E99" s="116">
        <v>71.73</v>
      </c>
      <c r="F99" s="116">
        <v>72.75</v>
      </c>
      <c r="G99">
        <v>10209</v>
      </c>
      <c r="H99" s="116"/>
      <c r="I99" s="116"/>
      <c r="L99" s="170">
        <v>45229</v>
      </c>
      <c r="M99" s="116">
        <v>72.900000000000006</v>
      </c>
      <c r="N99" s="116">
        <v>74.05</v>
      </c>
      <c r="O99" s="116">
        <v>72.5</v>
      </c>
      <c r="P99" s="116">
        <v>73.05</v>
      </c>
      <c r="Q99" s="116">
        <v>72.900000000000006</v>
      </c>
      <c r="R99">
        <v>193342</v>
      </c>
    </row>
    <row r="100" spans="1:18" x14ac:dyDescent="0.25">
      <c r="A100" s="170">
        <v>45230</v>
      </c>
      <c r="B100" s="116">
        <v>77.400000000000006</v>
      </c>
      <c r="C100" s="116">
        <v>75.010000000000005</v>
      </c>
      <c r="D100" s="116">
        <v>73.349999999999994</v>
      </c>
      <c r="E100" s="116">
        <v>73.8</v>
      </c>
      <c r="F100" s="116">
        <v>75.010000000000005</v>
      </c>
      <c r="G100">
        <v>10341</v>
      </c>
      <c r="H100" s="116"/>
      <c r="I100" s="116"/>
      <c r="L100" s="170">
        <v>45230</v>
      </c>
      <c r="M100" s="116">
        <v>75</v>
      </c>
      <c r="N100" s="116">
        <v>77.400000000000006</v>
      </c>
      <c r="O100" s="116">
        <v>72.900000000000006</v>
      </c>
      <c r="P100" s="116">
        <v>73.599999999999994</v>
      </c>
      <c r="Q100" s="116">
        <v>75</v>
      </c>
      <c r="R100">
        <v>479311</v>
      </c>
    </row>
    <row r="101" spans="1:18" x14ac:dyDescent="0.25">
      <c r="A101" s="170">
        <v>45231</v>
      </c>
      <c r="B101" s="116">
        <v>76.989999999999995</v>
      </c>
      <c r="C101" s="116">
        <v>73.58</v>
      </c>
      <c r="D101" s="116">
        <v>73.260000000000005</v>
      </c>
      <c r="E101" s="116">
        <v>76.989999999999995</v>
      </c>
      <c r="F101" s="116">
        <v>73.58</v>
      </c>
      <c r="G101">
        <v>25897</v>
      </c>
      <c r="H101" s="116"/>
      <c r="I101" s="116"/>
      <c r="L101" s="170">
        <v>45231</v>
      </c>
      <c r="M101" s="116">
        <v>73.45</v>
      </c>
      <c r="N101" s="116">
        <v>75.599999999999994</v>
      </c>
      <c r="O101" s="116">
        <v>73.099999999999994</v>
      </c>
      <c r="P101" s="116">
        <v>75.599999999999994</v>
      </c>
      <c r="Q101" s="116">
        <v>73.45</v>
      </c>
      <c r="R101">
        <v>181282</v>
      </c>
    </row>
    <row r="102" spans="1:18" x14ac:dyDescent="0.25">
      <c r="A102" s="170">
        <v>45232</v>
      </c>
      <c r="B102" s="116">
        <v>76</v>
      </c>
      <c r="C102" s="116">
        <v>75.010000000000005</v>
      </c>
      <c r="D102" s="116">
        <v>72.75</v>
      </c>
      <c r="E102" s="116">
        <v>72.75</v>
      </c>
      <c r="F102" s="116">
        <v>75.010000000000005</v>
      </c>
      <c r="G102">
        <v>53145</v>
      </c>
      <c r="H102" s="116"/>
      <c r="I102" s="116"/>
      <c r="L102" s="170">
        <v>45232</v>
      </c>
      <c r="M102" s="116">
        <v>74.95</v>
      </c>
      <c r="N102" s="116">
        <v>76</v>
      </c>
      <c r="O102" s="116">
        <v>73.849999999999994</v>
      </c>
      <c r="P102" s="116">
        <v>74.2</v>
      </c>
      <c r="Q102" s="116">
        <v>74.95</v>
      </c>
      <c r="R102">
        <v>170951</v>
      </c>
    </row>
    <row r="103" spans="1:18" x14ac:dyDescent="0.25">
      <c r="A103" s="170">
        <v>45233</v>
      </c>
      <c r="B103" s="116">
        <v>77.25</v>
      </c>
      <c r="C103" s="116">
        <v>74.760000000000005</v>
      </c>
      <c r="D103" s="116">
        <v>73.599999999999994</v>
      </c>
      <c r="E103" s="116">
        <v>76</v>
      </c>
      <c r="F103" s="116">
        <v>74.760000000000005</v>
      </c>
      <c r="G103">
        <v>77645</v>
      </c>
      <c r="H103" s="116"/>
      <c r="I103" s="116"/>
      <c r="L103" s="170">
        <v>45233</v>
      </c>
      <c r="M103" s="116">
        <v>74.849999999999994</v>
      </c>
      <c r="N103" s="116">
        <v>77.400000000000006</v>
      </c>
      <c r="O103" s="116">
        <v>73.45</v>
      </c>
      <c r="P103" s="116">
        <v>75.650000000000006</v>
      </c>
      <c r="Q103" s="116">
        <v>74.849999999999994</v>
      </c>
      <c r="R103">
        <v>523027</v>
      </c>
    </row>
    <row r="104" spans="1:18" x14ac:dyDescent="0.25">
      <c r="A104" s="170">
        <v>45236</v>
      </c>
      <c r="B104" s="116">
        <v>75</v>
      </c>
      <c r="C104" s="116">
        <v>72.31</v>
      </c>
      <c r="D104" s="116">
        <v>71.86</v>
      </c>
      <c r="E104" s="116">
        <v>75</v>
      </c>
      <c r="F104" s="116">
        <v>72.31</v>
      </c>
      <c r="G104">
        <v>33334</v>
      </c>
      <c r="H104" s="116"/>
      <c r="I104" s="116"/>
      <c r="L104" s="170">
        <v>45236</v>
      </c>
      <c r="M104" s="116">
        <v>72.099999999999994</v>
      </c>
      <c r="N104" s="116">
        <v>74.95</v>
      </c>
      <c r="O104" s="116">
        <v>71.75</v>
      </c>
      <c r="P104" s="116">
        <v>74.8</v>
      </c>
      <c r="Q104" s="116">
        <v>72.099999999999994</v>
      </c>
      <c r="R104">
        <v>336145</v>
      </c>
    </row>
    <row r="105" spans="1:18" x14ac:dyDescent="0.25">
      <c r="A105" s="170">
        <v>45237</v>
      </c>
      <c r="B105" s="116">
        <v>72.69</v>
      </c>
      <c r="C105" s="116">
        <v>71.11</v>
      </c>
      <c r="D105" s="116">
        <v>70.45</v>
      </c>
      <c r="E105" s="116">
        <v>70.650000000000006</v>
      </c>
      <c r="F105" s="116">
        <v>71.11</v>
      </c>
      <c r="G105">
        <v>75434</v>
      </c>
      <c r="H105" s="116"/>
      <c r="I105" s="116"/>
      <c r="L105" s="170">
        <v>45237</v>
      </c>
      <c r="M105" s="116">
        <v>71.05</v>
      </c>
      <c r="N105" s="116">
        <v>72.75</v>
      </c>
      <c r="O105" s="116">
        <v>70.55</v>
      </c>
      <c r="P105" s="116">
        <v>72.2</v>
      </c>
      <c r="Q105" s="116">
        <v>71.05</v>
      </c>
      <c r="R105">
        <v>359601</v>
      </c>
    </row>
    <row r="106" spans="1:18" x14ac:dyDescent="0.25">
      <c r="A106" s="170">
        <v>45238</v>
      </c>
      <c r="B106" s="116">
        <v>71.790000000000006</v>
      </c>
      <c r="C106" s="116">
        <v>70.83</v>
      </c>
      <c r="D106" s="116">
        <v>70.5</v>
      </c>
      <c r="E106" s="116">
        <v>71</v>
      </c>
      <c r="F106" s="116">
        <v>70.83</v>
      </c>
      <c r="G106">
        <v>47932</v>
      </c>
      <c r="H106" s="116"/>
      <c r="I106" s="116"/>
      <c r="L106" s="170">
        <v>45238</v>
      </c>
      <c r="M106" s="116">
        <v>70.849999999999994</v>
      </c>
      <c r="N106" s="116">
        <v>72</v>
      </c>
      <c r="O106" s="116">
        <v>70.05</v>
      </c>
      <c r="P106" s="116">
        <v>71.2</v>
      </c>
      <c r="Q106" s="116">
        <v>70.849999999999994</v>
      </c>
      <c r="R106">
        <v>172409</v>
      </c>
    </row>
    <row r="107" spans="1:18" x14ac:dyDescent="0.25">
      <c r="A107" s="170">
        <v>45239</v>
      </c>
      <c r="B107" s="116">
        <v>71.05</v>
      </c>
      <c r="C107" s="116">
        <v>69.59</v>
      </c>
      <c r="D107" s="116">
        <v>69.56</v>
      </c>
      <c r="E107" s="116">
        <v>70.5</v>
      </c>
      <c r="F107" s="116">
        <v>69.59</v>
      </c>
      <c r="G107">
        <v>33656</v>
      </c>
      <c r="H107" s="116"/>
      <c r="I107" s="116"/>
      <c r="L107" s="170">
        <v>45239</v>
      </c>
      <c r="M107" s="116">
        <v>69.7</v>
      </c>
      <c r="N107" s="116">
        <v>71.650000000000006</v>
      </c>
      <c r="O107" s="116">
        <v>69.55</v>
      </c>
      <c r="P107" s="116">
        <v>71.650000000000006</v>
      </c>
      <c r="Q107" s="116">
        <v>69.7</v>
      </c>
      <c r="R107">
        <v>215406</v>
      </c>
    </row>
    <row r="108" spans="1:18" x14ac:dyDescent="0.25">
      <c r="A108" s="170">
        <v>45240</v>
      </c>
      <c r="B108" s="116">
        <v>71.099999999999994</v>
      </c>
      <c r="C108" s="116">
        <v>69.91</v>
      </c>
      <c r="D108" s="116">
        <v>69.099999999999994</v>
      </c>
      <c r="E108" s="116">
        <v>69.3</v>
      </c>
      <c r="F108" s="116">
        <v>69.91</v>
      </c>
      <c r="G108">
        <v>26448</v>
      </c>
      <c r="H108" s="116"/>
      <c r="I108" s="116"/>
      <c r="L108" s="170">
        <v>45240</v>
      </c>
      <c r="M108" s="116">
        <v>69.95</v>
      </c>
      <c r="N108" s="116">
        <v>71.3</v>
      </c>
      <c r="O108" s="116">
        <v>69.099999999999994</v>
      </c>
      <c r="P108" s="116">
        <v>69.099999999999994</v>
      </c>
      <c r="Q108" s="116">
        <v>69.95</v>
      </c>
      <c r="R108">
        <v>235024</v>
      </c>
    </row>
    <row r="109" spans="1:18" x14ac:dyDescent="0.25">
      <c r="A109" s="170">
        <v>45242</v>
      </c>
      <c r="B109" s="116">
        <v>71.75</v>
      </c>
      <c r="C109" s="116">
        <v>71.56</v>
      </c>
      <c r="D109" s="116">
        <v>70.55</v>
      </c>
      <c r="E109" s="116">
        <v>70.55</v>
      </c>
      <c r="F109" s="116">
        <v>71.56</v>
      </c>
      <c r="G109">
        <v>7756</v>
      </c>
      <c r="H109" s="116"/>
      <c r="I109" s="116"/>
      <c r="L109" s="170">
        <v>45242</v>
      </c>
      <c r="M109" s="116">
        <v>71.5</v>
      </c>
      <c r="N109" s="116">
        <v>72</v>
      </c>
      <c r="O109" s="116">
        <v>69.8</v>
      </c>
      <c r="P109" s="116">
        <v>69.8</v>
      </c>
      <c r="Q109" s="116">
        <v>71.5</v>
      </c>
      <c r="R109">
        <v>111598</v>
      </c>
    </row>
    <row r="110" spans="1:18" x14ac:dyDescent="0.25">
      <c r="A110" s="170">
        <v>45243</v>
      </c>
      <c r="B110" s="116">
        <v>71</v>
      </c>
      <c r="C110" s="116">
        <v>70.41</v>
      </c>
      <c r="D110" s="116">
        <v>70.09</v>
      </c>
      <c r="E110" s="116">
        <v>70.400000000000006</v>
      </c>
      <c r="F110" s="116">
        <v>70.41</v>
      </c>
      <c r="G110">
        <v>17810</v>
      </c>
      <c r="H110" s="116"/>
      <c r="I110" s="116"/>
      <c r="L110" s="170">
        <v>45243</v>
      </c>
      <c r="M110" s="116">
        <v>70.45</v>
      </c>
      <c r="N110" s="116">
        <v>71.5</v>
      </c>
      <c r="O110" s="116">
        <v>70</v>
      </c>
      <c r="P110" s="116">
        <v>71.5</v>
      </c>
      <c r="Q110" s="116">
        <v>70.45</v>
      </c>
      <c r="R110">
        <v>137474</v>
      </c>
    </row>
    <row r="111" spans="1:18" x14ac:dyDescent="0.25">
      <c r="A111" s="170">
        <v>45245</v>
      </c>
      <c r="B111" s="116">
        <v>72.099999999999994</v>
      </c>
      <c r="C111" s="116">
        <v>70.52</v>
      </c>
      <c r="D111" s="116">
        <v>69.11</v>
      </c>
      <c r="E111" s="116">
        <v>69.11</v>
      </c>
      <c r="F111" s="116">
        <v>70.52</v>
      </c>
      <c r="G111">
        <v>7637</v>
      </c>
      <c r="H111" s="116"/>
      <c r="I111" s="116"/>
      <c r="L111" s="170">
        <v>45245</v>
      </c>
      <c r="M111" s="116">
        <v>70.55</v>
      </c>
      <c r="N111" s="116">
        <v>72</v>
      </c>
      <c r="O111" s="116">
        <v>70.25</v>
      </c>
      <c r="P111" s="116">
        <v>70.95</v>
      </c>
      <c r="Q111" s="116">
        <v>70.55</v>
      </c>
      <c r="R111">
        <v>238509</v>
      </c>
    </row>
    <row r="112" spans="1:18" x14ac:dyDescent="0.25">
      <c r="A112" s="170">
        <v>45246</v>
      </c>
      <c r="B112" s="116">
        <v>70.900000000000006</v>
      </c>
      <c r="C112" s="116">
        <v>70.14</v>
      </c>
      <c r="D112" s="116">
        <v>70</v>
      </c>
      <c r="E112" s="116">
        <v>70.55</v>
      </c>
      <c r="F112" s="116">
        <v>70.14</v>
      </c>
      <c r="G112">
        <v>9084</v>
      </c>
      <c r="H112" s="116"/>
      <c r="I112" s="116"/>
      <c r="L112" s="170">
        <v>45246</v>
      </c>
      <c r="M112" s="116">
        <v>70.25</v>
      </c>
      <c r="N112" s="116">
        <v>71</v>
      </c>
      <c r="O112" s="116">
        <v>69.650000000000006</v>
      </c>
      <c r="P112" s="116">
        <v>70.599999999999994</v>
      </c>
      <c r="Q112" s="116">
        <v>70.25</v>
      </c>
      <c r="R112">
        <v>173788</v>
      </c>
    </row>
    <row r="113" spans="1:18" x14ac:dyDescent="0.25">
      <c r="A113" s="170">
        <v>45247</v>
      </c>
      <c r="B113" s="116">
        <v>71.400000000000006</v>
      </c>
      <c r="C113" s="116">
        <v>71.010000000000005</v>
      </c>
      <c r="D113" s="116">
        <v>69</v>
      </c>
      <c r="E113" s="116">
        <v>70.05</v>
      </c>
      <c r="F113" s="116">
        <v>71.010000000000005</v>
      </c>
      <c r="G113">
        <v>9572</v>
      </c>
      <c r="H113" s="116"/>
      <c r="I113" s="116"/>
      <c r="L113" s="170">
        <v>45247</v>
      </c>
      <c r="M113" s="116">
        <v>70.849999999999994</v>
      </c>
      <c r="N113" s="116">
        <v>71.75</v>
      </c>
      <c r="O113" s="116">
        <v>68.8</v>
      </c>
      <c r="P113" s="116">
        <v>68.8</v>
      </c>
      <c r="Q113" s="116">
        <v>70.849999999999994</v>
      </c>
      <c r="R113">
        <v>466469</v>
      </c>
    </row>
    <row r="114" spans="1:18" x14ac:dyDescent="0.25">
      <c r="A114" s="170">
        <v>45250</v>
      </c>
      <c r="B114" s="116">
        <v>71.05</v>
      </c>
      <c r="C114" s="116">
        <v>69.95</v>
      </c>
      <c r="D114" s="116">
        <v>69.260000000000005</v>
      </c>
      <c r="E114" s="116">
        <v>70.400000000000006</v>
      </c>
      <c r="F114" s="116">
        <v>69.95</v>
      </c>
      <c r="G114">
        <v>28012</v>
      </c>
      <c r="H114" s="116"/>
      <c r="I114" s="116"/>
      <c r="L114" s="170">
        <v>45250</v>
      </c>
      <c r="M114" s="116">
        <v>69.900000000000006</v>
      </c>
      <c r="N114" s="116">
        <v>71.400000000000006</v>
      </c>
      <c r="O114" s="116">
        <v>69.2</v>
      </c>
      <c r="P114" s="116">
        <v>71.05</v>
      </c>
      <c r="Q114" s="116">
        <v>69.900000000000006</v>
      </c>
      <c r="R114">
        <v>222256</v>
      </c>
    </row>
    <row r="115" spans="1:18" x14ac:dyDescent="0.25">
      <c r="A115" s="170">
        <v>45251</v>
      </c>
      <c r="B115" s="116">
        <v>71.900000000000006</v>
      </c>
      <c r="C115" s="116">
        <v>70.63</v>
      </c>
      <c r="D115" s="116">
        <v>69.400000000000006</v>
      </c>
      <c r="E115" s="116">
        <v>69.400000000000006</v>
      </c>
      <c r="F115" s="116">
        <v>70.63</v>
      </c>
      <c r="G115">
        <v>31009</v>
      </c>
      <c r="H115" s="116"/>
      <c r="I115" s="116"/>
      <c r="L115" s="170">
        <v>45251</v>
      </c>
      <c r="M115" s="116">
        <v>70.75</v>
      </c>
      <c r="N115" s="116">
        <v>73.45</v>
      </c>
      <c r="O115" s="116">
        <v>70.05</v>
      </c>
      <c r="P115" s="116">
        <v>73.45</v>
      </c>
      <c r="Q115" s="116">
        <v>70.75</v>
      </c>
      <c r="R115">
        <v>271014</v>
      </c>
    </row>
    <row r="116" spans="1:18" x14ac:dyDescent="0.25">
      <c r="A116" s="170">
        <v>45252</v>
      </c>
      <c r="B116" s="116">
        <v>74.75</v>
      </c>
      <c r="C116" s="116">
        <v>71.989999999999995</v>
      </c>
      <c r="D116" s="116">
        <v>69.25</v>
      </c>
      <c r="E116" s="116">
        <v>71.75</v>
      </c>
      <c r="F116" s="116">
        <v>71.989999999999995</v>
      </c>
      <c r="G116">
        <v>61577</v>
      </c>
      <c r="H116" s="116"/>
      <c r="I116" s="116"/>
      <c r="L116" s="170">
        <v>45252</v>
      </c>
      <c r="M116" s="116">
        <v>72.099999999999994</v>
      </c>
      <c r="N116" s="116">
        <v>74.900000000000006</v>
      </c>
      <c r="O116" s="116">
        <v>69.2</v>
      </c>
      <c r="P116" s="116">
        <v>71.599999999999994</v>
      </c>
      <c r="Q116" s="116">
        <v>72.099999999999994</v>
      </c>
      <c r="R116">
        <v>1421598</v>
      </c>
    </row>
    <row r="117" spans="1:18" x14ac:dyDescent="0.25">
      <c r="A117" s="170">
        <v>45253</v>
      </c>
      <c r="B117" s="116">
        <v>75.680000000000007</v>
      </c>
      <c r="C117" s="116">
        <v>73.91</v>
      </c>
      <c r="D117" s="116">
        <v>70.55</v>
      </c>
      <c r="E117" s="116">
        <v>70.55</v>
      </c>
      <c r="F117" s="116">
        <v>73.91</v>
      </c>
      <c r="G117">
        <v>30522</v>
      </c>
      <c r="H117" s="116"/>
      <c r="I117" s="116"/>
      <c r="L117" s="170">
        <v>45253</v>
      </c>
      <c r="M117" s="116">
        <v>74</v>
      </c>
      <c r="N117" s="116">
        <v>75.900000000000006</v>
      </c>
      <c r="O117" s="116">
        <v>71.75</v>
      </c>
      <c r="P117" s="116">
        <v>72.2</v>
      </c>
      <c r="Q117" s="116">
        <v>74</v>
      </c>
      <c r="R117">
        <v>627663</v>
      </c>
    </row>
    <row r="118" spans="1:18" x14ac:dyDescent="0.25">
      <c r="A118" s="170">
        <v>45254</v>
      </c>
      <c r="B118" s="116">
        <v>75.150000000000006</v>
      </c>
      <c r="C118" s="116">
        <v>74.290000000000006</v>
      </c>
      <c r="D118" s="116">
        <v>73.05</v>
      </c>
      <c r="E118" s="116">
        <v>74.040000000000006</v>
      </c>
      <c r="F118" s="116">
        <v>74.290000000000006</v>
      </c>
      <c r="G118">
        <v>19283</v>
      </c>
      <c r="H118" s="116"/>
      <c r="I118" s="116"/>
      <c r="L118" s="170">
        <v>45254</v>
      </c>
      <c r="M118" s="116">
        <v>74.099999999999994</v>
      </c>
      <c r="N118" s="116">
        <v>74.95</v>
      </c>
      <c r="O118" s="116">
        <v>72.900000000000006</v>
      </c>
      <c r="P118" s="116">
        <v>74</v>
      </c>
      <c r="Q118" s="116">
        <v>74.099999999999994</v>
      </c>
      <c r="R118">
        <v>286994</v>
      </c>
    </row>
    <row r="119" spans="1:18" x14ac:dyDescent="0.25">
      <c r="A119" s="170">
        <v>45258</v>
      </c>
      <c r="B119" s="116">
        <v>75.25</v>
      </c>
      <c r="C119" s="116">
        <v>73.59</v>
      </c>
      <c r="D119" s="116">
        <v>72.989999999999995</v>
      </c>
      <c r="E119" s="116">
        <v>75.25</v>
      </c>
      <c r="F119" s="116">
        <v>73.59</v>
      </c>
      <c r="G119">
        <v>22860</v>
      </c>
      <c r="H119" s="116"/>
      <c r="I119" s="116"/>
      <c r="L119" s="170">
        <v>45258</v>
      </c>
      <c r="M119" s="116">
        <v>73.75</v>
      </c>
      <c r="N119" s="116">
        <v>74.900000000000006</v>
      </c>
      <c r="O119" s="116">
        <v>72.5</v>
      </c>
      <c r="P119" s="116">
        <v>72.5</v>
      </c>
      <c r="Q119" s="116">
        <v>73.75</v>
      </c>
      <c r="R119">
        <v>192395</v>
      </c>
    </row>
    <row r="120" spans="1:18" x14ac:dyDescent="0.25">
      <c r="A120" s="170">
        <v>45259</v>
      </c>
      <c r="B120" s="116">
        <v>74.150000000000006</v>
      </c>
      <c r="C120" s="116">
        <v>71.790000000000006</v>
      </c>
      <c r="D120" s="116">
        <v>71.55</v>
      </c>
      <c r="E120" s="116">
        <v>74.069999999999993</v>
      </c>
      <c r="F120" s="116">
        <v>71.790000000000006</v>
      </c>
      <c r="G120">
        <v>10635</v>
      </c>
      <c r="H120" s="116"/>
      <c r="I120" s="116"/>
      <c r="L120" s="170">
        <v>45259</v>
      </c>
      <c r="M120" s="116">
        <v>71.7</v>
      </c>
      <c r="N120" s="116">
        <v>75.849999999999994</v>
      </c>
      <c r="O120" s="116">
        <v>71</v>
      </c>
      <c r="P120" s="116">
        <v>74.400000000000006</v>
      </c>
      <c r="Q120" s="116">
        <v>71.7</v>
      </c>
      <c r="R120">
        <v>298490</v>
      </c>
    </row>
    <row r="121" spans="1:18" x14ac:dyDescent="0.25">
      <c r="A121" s="170">
        <v>45260</v>
      </c>
      <c r="B121" s="116">
        <v>73.25</v>
      </c>
      <c r="C121" s="116">
        <v>69.930000000000007</v>
      </c>
      <c r="D121" s="116">
        <v>69</v>
      </c>
      <c r="E121" s="116">
        <v>71.7</v>
      </c>
      <c r="F121" s="116">
        <v>69.930000000000007</v>
      </c>
      <c r="G121">
        <v>44901</v>
      </c>
      <c r="H121" s="116"/>
      <c r="I121" s="116"/>
      <c r="L121" s="170">
        <v>45260</v>
      </c>
      <c r="M121" s="116">
        <v>70</v>
      </c>
      <c r="N121" s="116">
        <v>72.650000000000006</v>
      </c>
      <c r="O121" s="116">
        <v>68.95</v>
      </c>
      <c r="P121" s="116">
        <v>72.45</v>
      </c>
      <c r="Q121" s="116">
        <v>70</v>
      </c>
      <c r="R121">
        <v>551517</v>
      </c>
    </row>
    <row r="122" spans="1:18" x14ac:dyDescent="0.25">
      <c r="A122" s="170">
        <v>45261</v>
      </c>
      <c r="B122" s="116">
        <v>72.599999999999994</v>
      </c>
      <c r="C122" s="116">
        <v>70.010000000000005</v>
      </c>
      <c r="D122" s="116">
        <v>69.61</v>
      </c>
      <c r="E122" s="116">
        <v>72.599999999999994</v>
      </c>
      <c r="F122" s="116">
        <v>70.010000000000005</v>
      </c>
      <c r="G122">
        <v>16359</v>
      </c>
      <c r="H122" s="116"/>
      <c r="I122" s="116"/>
      <c r="L122" s="170">
        <v>45261</v>
      </c>
      <c r="M122" s="116">
        <v>69.849999999999994</v>
      </c>
      <c r="N122" s="116">
        <v>71.75</v>
      </c>
      <c r="O122" s="116">
        <v>69</v>
      </c>
      <c r="P122" s="116">
        <v>70.8</v>
      </c>
      <c r="Q122" s="116">
        <v>69.849999999999994</v>
      </c>
      <c r="R122">
        <v>290109</v>
      </c>
    </row>
    <row r="123" spans="1:18" x14ac:dyDescent="0.25">
      <c r="A123" s="170">
        <v>45264</v>
      </c>
      <c r="B123" s="116">
        <v>72</v>
      </c>
      <c r="C123" s="116">
        <v>70.040000000000006</v>
      </c>
      <c r="D123" s="116">
        <v>69.5</v>
      </c>
      <c r="E123" s="116">
        <v>70</v>
      </c>
      <c r="F123" s="116">
        <v>70.040000000000006</v>
      </c>
      <c r="G123">
        <v>30347</v>
      </c>
      <c r="H123" s="116"/>
      <c r="I123" s="116"/>
      <c r="L123" s="170">
        <v>45264</v>
      </c>
      <c r="M123" s="116">
        <v>70.05</v>
      </c>
      <c r="N123" s="116">
        <v>71.5</v>
      </c>
      <c r="O123" s="116">
        <v>69.5</v>
      </c>
      <c r="P123" s="116">
        <v>70.650000000000006</v>
      </c>
      <c r="Q123" s="116">
        <v>70.05</v>
      </c>
      <c r="R123">
        <v>139558</v>
      </c>
    </row>
    <row r="124" spans="1:18" x14ac:dyDescent="0.25">
      <c r="A124" s="170">
        <v>45265</v>
      </c>
      <c r="B124" s="116">
        <v>70.900000000000006</v>
      </c>
      <c r="C124" s="116">
        <v>69.55</v>
      </c>
      <c r="D124" s="116">
        <v>69.06</v>
      </c>
      <c r="E124" s="116">
        <v>70.55</v>
      </c>
      <c r="F124" s="116">
        <v>69.55</v>
      </c>
      <c r="G124">
        <v>14954</v>
      </c>
      <c r="H124" s="116"/>
      <c r="I124" s="116"/>
      <c r="L124" s="170">
        <v>45265</v>
      </c>
      <c r="M124" s="116">
        <v>69.599999999999994</v>
      </c>
      <c r="N124" s="116">
        <v>70.900000000000006</v>
      </c>
      <c r="O124" s="116">
        <v>68.8</v>
      </c>
      <c r="P124" s="116">
        <v>70.7</v>
      </c>
      <c r="Q124" s="116">
        <v>69.599999999999994</v>
      </c>
      <c r="R124">
        <v>237608</v>
      </c>
    </row>
    <row r="125" spans="1:18" x14ac:dyDescent="0.25">
      <c r="A125" s="170">
        <v>45266</v>
      </c>
      <c r="B125" s="116">
        <v>73.09</v>
      </c>
      <c r="C125" s="116">
        <v>72.67</v>
      </c>
      <c r="D125" s="116">
        <v>69.7</v>
      </c>
      <c r="E125" s="116">
        <v>69.7</v>
      </c>
      <c r="F125" s="116">
        <v>72.67</v>
      </c>
      <c r="G125">
        <v>25719</v>
      </c>
      <c r="H125" s="116"/>
      <c r="I125" s="116"/>
      <c r="L125" s="170">
        <v>45266</v>
      </c>
      <c r="M125" s="116">
        <v>72.599999999999994</v>
      </c>
      <c r="N125" s="116">
        <v>73.2</v>
      </c>
      <c r="O125" s="116">
        <v>70</v>
      </c>
      <c r="P125" s="116">
        <v>70.3</v>
      </c>
      <c r="Q125" s="116">
        <v>72.599999999999994</v>
      </c>
      <c r="R125">
        <v>443754</v>
      </c>
    </row>
    <row r="126" spans="1:18" x14ac:dyDescent="0.25">
      <c r="A126" s="170">
        <v>45267</v>
      </c>
      <c r="B126" s="116">
        <v>76.2</v>
      </c>
      <c r="C126" s="116">
        <v>74.459999999999994</v>
      </c>
      <c r="D126" s="116">
        <v>71.099999999999994</v>
      </c>
      <c r="E126" s="116">
        <v>71.099999999999994</v>
      </c>
      <c r="F126" s="116">
        <v>74.459999999999994</v>
      </c>
      <c r="G126">
        <v>98515</v>
      </c>
      <c r="H126" s="116"/>
      <c r="I126" s="116"/>
      <c r="L126" s="170">
        <v>45267</v>
      </c>
      <c r="M126" s="116">
        <v>74.55</v>
      </c>
      <c r="N126" s="116">
        <v>76.5</v>
      </c>
      <c r="O126" s="116">
        <v>71.099999999999994</v>
      </c>
      <c r="P126" s="116">
        <v>73</v>
      </c>
      <c r="Q126" s="116">
        <v>74.55</v>
      </c>
      <c r="R126">
        <v>786531</v>
      </c>
    </row>
    <row r="127" spans="1:18" x14ac:dyDescent="0.25">
      <c r="A127" s="170">
        <v>45268</v>
      </c>
      <c r="B127" s="116">
        <v>75.45</v>
      </c>
      <c r="C127" s="116">
        <v>73.05</v>
      </c>
      <c r="D127" s="116">
        <v>72.8</v>
      </c>
      <c r="E127" s="116">
        <v>74</v>
      </c>
      <c r="F127" s="116">
        <v>73.05</v>
      </c>
      <c r="G127">
        <v>23355</v>
      </c>
      <c r="H127" s="116"/>
      <c r="I127" s="116"/>
      <c r="L127" s="170">
        <v>45268</v>
      </c>
      <c r="M127" s="116">
        <v>73.099999999999994</v>
      </c>
      <c r="N127" s="116">
        <v>75.5</v>
      </c>
      <c r="O127" s="116">
        <v>72.5</v>
      </c>
      <c r="P127" s="116">
        <v>74.55</v>
      </c>
      <c r="Q127" s="116">
        <v>73.099999999999994</v>
      </c>
      <c r="R127">
        <v>261276</v>
      </c>
    </row>
    <row r="128" spans="1:18" x14ac:dyDescent="0.25">
      <c r="A128" s="170">
        <v>45271</v>
      </c>
      <c r="B128" s="116">
        <v>73.45</v>
      </c>
      <c r="C128" s="116">
        <v>71.849999999999994</v>
      </c>
      <c r="D128" s="116">
        <v>71.7</v>
      </c>
      <c r="E128" s="116">
        <v>73.05</v>
      </c>
      <c r="F128" s="116">
        <v>71.849999999999994</v>
      </c>
      <c r="G128">
        <v>12911</v>
      </c>
      <c r="H128" s="116"/>
      <c r="I128" s="116"/>
      <c r="L128" s="170">
        <v>45271</v>
      </c>
      <c r="M128" s="116">
        <v>71.900000000000006</v>
      </c>
      <c r="N128" s="116">
        <v>73.75</v>
      </c>
      <c r="O128" s="116">
        <v>71.7</v>
      </c>
      <c r="P128" s="116">
        <v>73.099999999999994</v>
      </c>
      <c r="Q128" s="116">
        <v>71.900000000000006</v>
      </c>
      <c r="R128">
        <v>362196</v>
      </c>
    </row>
    <row r="129" spans="1:18" x14ac:dyDescent="0.25">
      <c r="A129" s="170">
        <v>45272</v>
      </c>
      <c r="B129" s="116">
        <v>72.44</v>
      </c>
      <c r="C129" s="116">
        <v>70.83</v>
      </c>
      <c r="D129" s="116">
        <v>70.5</v>
      </c>
      <c r="E129" s="116">
        <v>72.05</v>
      </c>
      <c r="F129" s="116">
        <v>70.83</v>
      </c>
      <c r="G129">
        <v>17167</v>
      </c>
      <c r="H129" s="116"/>
      <c r="I129" s="116"/>
      <c r="L129" s="170">
        <v>45272</v>
      </c>
      <c r="M129" s="116">
        <v>70.95</v>
      </c>
      <c r="N129" s="116">
        <v>72.45</v>
      </c>
      <c r="O129" s="116">
        <v>70.5</v>
      </c>
      <c r="P129" s="116">
        <v>72</v>
      </c>
      <c r="Q129" s="116">
        <v>70.95</v>
      </c>
      <c r="R129">
        <v>290897</v>
      </c>
    </row>
    <row r="130" spans="1:18" x14ac:dyDescent="0.25">
      <c r="A130" s="170">
        <v>45273</v>
      </c>
      <c r="B130" s="116">
        <v>71.8</v>
      </c>
      <c r="C130" s="116">
        <v>71.05</v>
      </c>
      <c r="D130" s="116">
        <v>70.72</v>
      </c>
      <c r="E130" s="116">
        <v>71.5</v>
      </c>
      <c r="F130" s="116">
        <v>71.05</v>
      </c>
      <c r="G130">
        <v>13000</v>
      </c>
      <c r="H130" s="116"/>
      <c r="I130" s="116"/>
      <c r="L130" s="170">
        <v>45273</v>
      </c>
      <c r="M130" s="116">
        <v>71.05</v>
      </c>
      <c r="N130" s="116">
        <v>71.900000000000006</v>
      </c>
      <c r="O130" s="116">
        <v>70.5</v>
      </c>
      <c r="P130" s="116">
        <v>71.099999999999994</v>
      </c>
      <c r="Q130" s="116">
        <v>71.05</v>
      </c>
      <c r="R130">
        <v>216517</v>
      </c>
    </row>
    <row r="131" spans="1:18" x14ac:dyDescent="0.25">
      <c r="A131" s="170">
        <v>45274</v>
      </c>
      <c r="B131" s="116">
        <v>72.290000000000006</v>
      </c>
      <c r="C131" s="116">
        <v>71.73</v>
      </c>
      <c r="D131" s="116">
        <v>70.989999999999995</v>
      </c>
      <c r="E131" s="116">
        <v>71.459999999999994</v>
      </c>
      <c r="F131" s="116">
        <v>71.73</v>
      </c>
      <c r="G131">
        <v>30054</v>
      </c>
      <c r="H131" s="116"/>
      <c r="I131" s="116"/>
      <c r="L131" s="170">
        <v>45274</v>
      </c>
      <c r="M131" s="116">
        <v>71.75</v>
      </c>
      <c r="N131" s="116">
        <v>72.55</v>
      </c>
      <c r="O131" s="116">
        <v>70.900000000000006</v>
      </c>
      <c r="P131" s="116">
        <v>71.45</v>
      </c>
      <c r="Q131" s="116">
        <v>71.75</v>
      </c>
      <c r="R131">
        <v>219106</v>
      </c>
    </row>
    <row r="132" spans="1:18" x14ac:dyDescent="0.25">
      <c r="A132" s="170">
        <v>45275</v>
      </c>
      <c r="B132" s="116">
        <v>72.39</v>
      </c>
      <c r="C132" s="116">
        <v>71.400000000000006</v>
      </c>
      <c r="D132" s="116">
        <v>70.599999999999994</v>
      </c>
      <c r="E132" s="116">
        <v>72</v>
      </c>
      <c r="F132" s="116">
        <v>71.400000000000006</v>
      </c>
      <c r="G132">
        <v>19973</v>
      </c>
      <c r="H132" s="116"/>
      <c r="I132" s="116"/>
      <c r="L132" s="170">
        <v>45275</v>
      </c>
      <c r="M132" s="116">
        <v>71.599999999999994</v>
      </c>
      <c r="N132" s="116">
        <v>72.7</v>
      </c>
      <c r="O132" s="116">
        <v>70.400000000000006</v>
      </c>
      <c r="P132" s="116">
        <v>72.3</v>
      </c>
      <c r="Q132" s="116">
        <v>71.599999999999994</v>
      </c>
      <c r="R132">
        <v>285883</v>
      </c>
    </row>
    <row r="133" spans="1:18" x14ac:dyDescent="0.25">
      <c r="A133" s="170">
        <v>45278</v>
      </c>
      <c r="B133" s="116">
        <v>72</v>
      </c>
      <c r="C133" s="116">
        <v>71.11</v>
      </c>
      <c r="D133" s="116">
        <v>70.77</v>
      </c>
      <c r="E133" s="116">
        <v>72</v>
      </c>
      <c r="F133" s="116">
        <v>71.11</v>
      </c>
      <c r="G133">
        <v>16867</v>
      </c>
      <c r="H133" s="116"/>
      <c r="I133" s="116"/>
      <c r="L133" s="170">
        <v>45278</v>
      </c>
      <c r="M133" s="116">
        <v>71.150000000000006</v>
      </c>
      <c r="N133" s="116">
        <v>72.650000000000006</v>
      </c>
      <c r="O133" s="116">
        <v>70.75</v>
      </c>
      <c r="P133" s="116">
        <v>72.650000000000006</v>
      </c>
      <c r="Q133" s="116">
        <v>71.150000000000006</v>
      </c>
      <c r="R133">
        <v>253242</v>
      </c>
    </row>
    <row r="134" spans="1:18" x14ac:dyDescent="0.25">
      <c r="A134" s="170">
        <v>45279</v>
      </c>
      <c r="B134" s="116">
        <v>72.77</v>
      </c>
      <c r="C134" s="116">
        <v>71.84</v>
      </c>
      <c r="D134" s="116">
        <v>70.650000000000006</v>
      </c>
      <c r="E134" s="116">
        <v>71.150000000000006</v>
      </c>
      <c r="F134" s="116">
        <v>71.84</v>
      </c>
      <c r="G134">
        <v>38330</v>
      </c>
      <c r="H134" s="116"/>
      <c r="I134" s="116"/>
      <c r="L134" s="170">
        <v>45279</v>
      </c>
      <c r="M134" s="116">
        <v>71.95</v>
      </c>
      <c r="N134" s="116">
        <v>72.900000000000006</v>
      </c>
      <c r="O134" s="116">
        <v>70.599999999999994</v>
      </c>
      <c r="P134" s="116">
        <v>72.2</v>
      </c>
      <c r="Q134" s="116">
        <v>71.95</v>
      </c>
      <c r="R134">
        <v>440632</v>
      </c>
    </row>
    <row r="135" spans="1:18" x14ac:dyDescent="0.25">
      <c r="A135" s="170">
        <v>45280</v>
      </c>
      <c r="B135" s="116">
        <v>72.42</v>
      </c>
      <c r="C135" s="116">
        <v>68.94</v>
      </c>
      <c r="D135" s="116">
        <v>68.41</v>
      </c>
      <c r="E135" s="116">
        <v>72.42</v>
      </c>
      <c r="F135" s="116">
        <v>68.94</v>
      </c>
      <c r="G135">
        <v>40972</v>
      </c>
      <c r="H135" s="116"/>
      <c r="I135" s="116"/>
      <c r="L135" s="170">
        <v>45280</v>
      </c>
      <c r="M135" s="116">
        <v>68.8</v>
      </c>
      <c r="N135" s="116">
        <v>72.5</v>
      </c>
      <c r="O135" s="116">
        <v>68.5</v>
      </c>
      <c r="P135" s="116">
        <v>71.95</v>
      </c>
      <c r="Q135" s="116">
        <v>68.8</v>
      </c>
      <c r="R135">
        <v>591114</v>
      </c>
    </row>
    <row r="136" spans="1:18" x14ac:dyDescent="0.25">
      <c r="A136" s="170">
        <v>45281</v>
      </c>
      <c r="B136" s="116">
        <v>70.05</v>
      </c>
      <c r="C136" s="116">
        <v>69.709999999999994</v>
      </c>
      <c r="D136" s="116">
        <v>68</v>
      </c>
      <c r="E136" s="116">
        <v>68</v>
      </c>
      <c r="F136" s="116">
        <v>69.709999999999994</v>
      </c>
      <c r="G136">
        <v>34753</v>
      </c>
      <c r="H136" s="116"/>
      <c r="I136" s="116"/>
      <c r="L136" s="170">
        <v>45281</v>
      </c>
      <c r="M136" s="116">
        <v>69.599999999999994</v>
      </c>
      <c r="N136" s="116">
        <v>70</v>
      </c>
      <c r="O136" s="116">
        <v>68.25</v>
      </c>
      <c r="P136" s="116">
        <v>68.25</v>
      </c>
      <c r="Q136" s="116">
        <v>69.599999999999994</v>
      </c>
      <c r="R136">
        <v>254135</v>
      </c>
    </row>
    <row r="137" spans="1:18" x14ac:dyDescent="0.25">
      <c r="A137" s="170">
        <v>45282</v>
      </c>
      <c r="B137" s="116">
        <v>70.55</v>
      </c>
      <c r="C137" s="116">
        <v>68.849999999999994</v>
      </c>
      <c r="D137" s="116">
        <v>68.36</v>
      </c>
      <c r="E137" s="116">
        <v>68.36</v>
      </c>
      <c r="F137" s="116">
        <v>68.849999999999994</v>
      </c>
      <c r="G137">
        <v>37991</v>
      </c>
      <c r="H137" s="116"/>
      <c r="I137" s="116"/>
      <c r="L137" s="170">
        <v>45282</v>
      </c>
      <c r="M137" s="116">
        <v>68.900000000000006</v>
      </c>
      <c r="N137" s="116">
        <v>70.8</v>
      </c>
      <c r="O137" s="116">
        <v>68.400000000000006</v>
      </c>
      <c r="P137" s="116">
        <v>70.45</v>
      </c>
      <c r="Q137" s="116">
        <v>68.900000000000006</v>
      </c>
      <c r="R137">
        <v>401712</v>
      </c>
    </row>
    <row r="138" spans="1:18" x14ac:dyDescent="0.25">
      <c r="A138" s="170">
        <v>45286</v>
      </c>
      <c r="B138" s="116">
        <v>70.2</v>
      </c>
      <c r="C138" s="116">
        <v>69.37</v>
      </c>
      <c r="D138" s="116">
        <v>69</v>
      </c>
      <c r="E138" s="116">
        <v>70.2</v>
      </c>
      <c r="F138" s="116">
        <v>69.37</v>
      </c>
      <c r="G138">
        <v>11862</v>
      </c>
      <c r="H138" s="116"/>
      <c r="I138" s="116"/>
      <c r="L138" s="170">
        <v>45286</v>
      </c>
      <c r="M138" s="116">
        <v>69.349999999999994</v>
      </c>
      <c r="N138" s="116">
        <v>70</v>
      </c>
      <c r="O138" s="116">
        <v>69</v>
      </c>
      <c r="P138" s="116">
        <v>69.45</v>
      </c>
      <c r="Q138" s="116">
        <v>69.349999999999994</v>
      </c>
      <c r="R138">
        <v>178067</v>
      </c>
    </row>
    <row r="139" spans="1:18" x14ac:dyDescent="0.25">
      <c r="A139" s="170">
        <v>45287</v>
      </c>
      <c r="B139" s="116">
        <v>70</v>
      </c>
      <c r="C139" s="116">
        <v>69.45</v>
      </c>
      <c r="D139" s="116">
        <v>68.760000000000005</v>
      </c>
      <c r="E139" s="116">
        <v>69.489999999999995</v>
      </c>
      <c r="F139" s="116">
        <v>69.45</v>
      </c>
      <c r="G139">
        <v>34642</v>
      </c>
      <c r="H139" s="116"/>
      <c r="I139" s="116"/>
      <c r="L139" s="170">
        <v>45287</v>
      </c>
      <c r="M139" s="116">
        <v>69.7</v>
      </c>
      <c r="N139" s="116">
        <v>70.45</v>
      </c>
      <c r="O139" s="116">
        <v>68.75</v>
      </c>
      <c r="P139" s="116">
        <v>69.3</v>
      </c>
      <c r="Q139" s="116">
        <v>69.7</v>
      </c>
      <c r="R139">
        <v>354000</v>
      </c>
    </row>
    <row r="140" spans="1:18" x14ac:dyDescent="0.25">
      <c r="A140" s="170">
        <v>45288</v>
      </c>
      <c r="B140" s="116">
        <v>71.2</v>
      </c>
      <c r="C140" s="116">
        <v>70.349999999999994</v>
      </c>
      <c r="D140" s="116">
        <v>69.3</v>
      </c>
      <c r="E140" s="116">
        <v>69.55</v>
      </c>
      <c r="F140" s="116">
        <v>70.349999999999994</v>
      </c>
      <c r="G140">
        <v>13401</v>
      </c>
      <c r="H140" s="116"/>
      <c r="I140" s="116"/>
      <c r="L140" s="170">
        <v>45288</v>
      </c>
      <c r="M140" s="116">
        <v>70.599999999999994</v>
      </c>
      <c r="N140" s="116">
        <v>71.25</v>
      </c>
      <c r="O140" s="116">
        <v>69.3</v>
      </c>
      <c r="P140" s="116">
        <v>69.95</v>
      </c>
      <c r="Q140" s="116">
        <v>70.599999999999994</v>
      </c>
      <c r="R140">
        <v>191060</v>
      </c>
    </row>
    <row r="141" spans="1:18" x14ac:dyDescent="0.25">
      <c r="A141" s="170">
        <v>45289</v>
      </c>
      <c r="B141" s="116">
        <v>70.36</v>
      </c>
      <c r="C141" s="116">
        <v>69.510000000000005</v>
      </c>
      <c r="D141" s="116">
        <v>69.349999999999994</v>
      </c>
      <c r="E141" s="116">
        <v>70.36</v>
      </c>
      <c r="F141" s="116">
        <v>69.510000000000005</v>
      </c>
      <c r="G141">
        <v>12658</v>
      </c>
      <c r="H141" s="116"/>
      <c r="I141" s="116"/>
      <c r="L141" s="170">
        <v>45289</v>
      </c>
      <c r="M141" s="116">
        <v>69.650000000000006</v>
      </c>
      <c r="N141" s="116">
        <v>70.95</v>
      </c>
      <c r="O141" s="116">
        <v>69.5</v>
      </c>
      <c r="P141" s="116">
        <v>70.95</v>
      </c>
      <c r="Q141" s="116">
        <v>69.650000000000006</v>
      </c>
      <c r="R141">
        <v>194650</v>
      </c>
    </row>
    <row r="142" spans="1:18" x14ac:dyDescent="0.25">
      <c r="A142" s="170">
        <v>45292</v>
      </c>
      <c r="B142" s="116">
        <v>70.75</v>
      </c>
      <c r="C142" s="116">
        <v>70.319999999999993</v>
      </c>
      <c r="D142" s="116">
        <v>69.91</v>
      </c>
      <c r="E142" s="116">
        <v>70.28</v>
      </c>
      <c r="F142" s="116">
        <v>70.319999999999993</v>
      </c>
      <c r="G142">
        <v>5862</v>
      </c>
      <c r="H142" s="116"/>
      <c r="I142" s="116"/>
      <c r="L142" s="170">
        <v>45292</v>
      </c>
      <c r="M142" s="116">
        <v>70.349999999999994</v>
      </c>
      <c r="N142" s="116">
        <v>70.900000000000006</v>
      </c>
      <c r="O142" s="116">
        <v>69.75</v>
      </c>
      <c r="P142" s="116">
        <v>69.75</v>
      </c>
      <c r="Q142" s="116">
        <v>70.349999999999994</v>
      </c>
      <c r="R142">
        <v>194785</v>
      </c>
    </row>
    <row r="143" spans="1:18" x14ac:dyDescent="0.25">
      <c r="A143" s="170">
        <v>45293</v>
      </c>
      <c r="B143" s="116">
        <v>73.03</v>
      </c>
      <c r="C143" s="116">
        <v>72.14</v>
      </c>
      <c r="D143" s="116">
        <v>70.11</v>
      </c>
      <c r="E143" s="116">
        <v>70.900000000000006</v>
      </c>
      <c r="F143" s="116">
        <v>72.14</v>
      </c>
      <c r="G143">
        <v>43977</v>
      </c>
      <c r="H143" s="116"/>
      <c r="I143" s="116"/>
      <c r="L143" s="170">
        <v>45293</v>
      </c>
      <c r="M143" s="116">
        <v>72.25</v>
      </c>
      <c r="N143" s="116">
        <v>73.5</v>
      </c>
      <c r="O143" s="116">
        <v>69.900000000000006</v>
      </c>
      <c r="P143" s="116">
        <v>71.05</v>
      </c>
      <c r="Q143" s="116">
        <v>72.25</v>
      </c>
      <c r="R143">
        <v>561163</v>
      </c>
    </row>
    <row r="144" spans="1:18" x14ac:dyDescent="0.25">
      <c r="A144" s="170">
        <v>45294</v>
      </c>
      <c r="B144" s="116">
        <v>74.2</v>
      </c>
      <c r="C144" s="116">
        <v>73.06</v>
      </c>
      <c r="D144" s="116">
        <v>72.5</v>
      </c>
      <c r="E144" s="116">
        <v>73.05</v>
      </c>
      <c r="F144" s="116">
        <v>73.06</v>
      </c>
      <c r="G144">
        <v>34703</v>
      </c>
      <c r="H144" s="116"/>
      <c r="I144" s="116"/>
      <c r="L144" s="170">
        <v>45294</v>
      </c>
      <c r="M144" s="116">
        <v>73</v>
      </c>
      <c r="N144" s="116">
        <v>74.400000000000006</v>
      </c>
      <c r="O144" s="116">
        <v>72.25</v>
      </c>
      <c r="P144" s="116">
        <v>72.25</v>
      </c>
      <c r="Q144" s="116">
        <v>73</v>
      </c>
      <c r="R144">
        <v>440188</v>
      </c>
    </row>
    <row r="145" spans="1:18" x14ac:dyDescent="0.25">
      <c r="A145" s="170">
        <v>45295</v>
      </c>
      <c r="B145" s="116">
        <v>74.5</v>
      </c>
      <c r="C145" s="116">
        <v>72.28</v>
      </c>
      <c r="D145" s="116">
        <v>71.97</v>
      </c>
      <c r="E145" s="116">
        <v>72.72</v>
      </c>
      <c r="F145" s="116">
        <v>72.28</v>
      </c>
      <c r="G145">
        <v>45692</v>
      </c>
      <c r="H145" s="116"/>
      <c r="I145" s="116"/>
      <c r="L145" s="170">
        <v>45295</v>
      </c>
      <c r="M145" s="116">
        <v>72.349999999999994</v>
      </c>
      <c r="N145" s="116">
        <v>74.2</v>
      </c>
      <c r="O145" s="116">
        <v>71.900000000000006</v>
      </c>
      <c r="P145" s="116">
        <v>74</v>
      </c>
      <c r="Q145" s="116">
        <v>72.349999999999994</v>
      </c>
      <c r="R145">
        <v>354584</v>
      </c>
    </row>
    <row r="146" spans="1:18" x14ac:dyDescent="0.25">
      <c r="A146" s="170">
        <v>45296</v>
      </c>
      <c r="B146" s="116">
        <v>73.89</v>
      </c>
      <c r="C146" s="116">
        <v>72.47</v>
      </c>
      <c r="D146" s="116">
        <v>71.5</v>
      </c>
      <c r="E146" s="116">
        <v>73.89</v>
      </c>
      <c r="F146" s="116">
        <v>72.47</v>
      </c>
      <c r="G146">
        <v>30631</v>
      </c>
      <c r="H146" s="116"/>
      <c r="I146" s="116"/>
      <c r="L146" s="170">
        <v>45296</v>
      </c>
      <c r="M146" s="116">
        <v>72.25</v>
      </c>
      <c r="N146" s="116">
        <v>73.75</v>
      </c>
      <c r="O146" s="116">
        <v>71.25</v>
      </c>
      <c r="P146" s="116">
        <v>72.349999999999994</v>
      </c>
      <c r="Q146" s="116">
        <v>72.25</v>
      </c>
      <c r="R146">
        <v>362855</v>
      </c>
    </row>
    <row r="147" spans="1:18" x14ac:dyDescent="0.25">
      <c r="A147" s="170">
        <v>45299</v>
      </c>
      <c r="B147" s="116">
        <v>73.900000000000006</v>
      </c>
      <c r="C147" s="116">
        <v>72.13</v>
      </c>
      <c r="D147" s="116">
        <v>71.17</v>
      </c>
      <c r="E147" s="116">
        <v>73.900000000000006</v>
      </c>
      <c r="F147" s="116">
        <v>72.13</v>
      </c>
      <c r="G147">
        <v>39911</v>
      </c>
      <c r="H147" s="116"/>
      <c r="I147" s="116"/>
      <c r="L147" s="170">
        <v>45299</v>
      </c>
      <c r="M147" s="116">
        <v>72.25</v>
      </c>
      <c r="N147" s="116">
        <v>73.55</v>
      </c>
      <c r="O147" s="116">
        <v>71</v>
      </c>
      <c r="P147" s="116">
        <v>72</v>
      </c>
      <c r="Q147" s="116">
        <v>72.25</v>
      </c>
      <c r="R147">
        <v>593808</v>
      </c>
    </row>
    <row r="148" spans="1:18" x14ac:dyDescent="0.25">
      <c r="A148" s="170">
        <v>45300</v>
      </c>
      <c r="B148" s="116">
        <v>74.900000000000006</v>
      </c>
      <c r="C148" s="116">
        <v>73.400000000000006</v>
      </c>
      <c r="D148" s="116">
        <v>72.86</v>
      </c>
      <c r="E148" s="116">
        <v>74.400000000000006</v>
      </c>
      <c r="F148" s="116">
        <v>73.400000000000006</v>
      </c>
      <c r="G148">
        <v>41873</v>
      </c>
      <c r="H148" s="116"/>
      <c r="I148" s="116"/>
      <c r="L148" s="170">
        <v>45300</v>
      </c>
      <c r="M148" s="116">
        <v>73.45</v>
      </c>
      <c r="N148" s="116">
        <v>75</v>
      </c>
      <c r="O148" s="116">
        <v>72.400000000000006</v>
      </c>
      <c r="P148" s="116">
        <v>72.400000000000006</v>
      </c>
      <c r="Q148" s="116">
        <v>73.45</v>
      </c>
      <c r="R148">
        <v>575755</v>
      </c>
    </row>
    <row r="149" spans="1:18" x14ac:dyDescent="0.25">
      <c r="A149" s="170">
        <v>45301</v>
      </c>
      <c r="B149" s="116">
        <v>83.96</v>
      </c>
      <c r="C149" s="116">
        <v>80.53</v>
      </c>
      <c r="D149" s="116">
        <v>73.39</v>
      </c>
      <c r="E149" s="116">
        <v>74</v>
      </c>
      <c r="F149" s="116">
        <v>80.53</v>
      </c>
      <c r="G149">
        <v>219845</v>
      </c>
      <c r="H149" s="116"/>
      <c r="I149" s="116"/>
      <c r="L149" s="170">
        <v>45301</v>
      </c>
      <c r="M149" s="116">
        <v>80.3</v>
      </c>
      <c r="N149" s="116">
        <v>83.9</v>
      </c>
      <c r="O149" s="116">
        <v>73.2</v>
      </c>
      <c r="P149" s="116">
        <v>73.45</v>
      </c>
      <c r="Q149" s="116">
        <v>80.3</v>
      </c>
      <c r="R149">
        <v>4564249</v>
      </c>
    </row>
    <row r="150" spans="1:18" x14ac:dyDescent="0.25">
      <c r="A150" s="170">
        <v>45302</v>
      </c>
      <c r="B150" s="116">
        <v>82.25</v>
      </c>
      <c r="C150" s="116">
        <v>81.680000000000007</v>
      </c>
      <c r="D150" s="116">
        <v>78.930000000000007</v>
      </c>
      <c r="E150" s="116">
        <v>81.3</v>
      </c>
      <c r="F150" s="116">
        <v>81.680000000000007</v>
      </c>
      <c r="G150">
        <v>177065</v>
      </c>
      <c r="H150" s="116"/>
      <c r="I150" s="116"/>
      <c r="L150" s="170">
        <v>45302</v>
      </c>
      <c r="M150" s="116">
        <v>81.45</v>
      </c>
      <c r="N150" s="116">
        <v>82.3</v>
      </c>
      <c r="O150" s="116">
        <v>78.900000000000006</v>
      </c>
      <c r="P150" s="116">
        <v>79.75</v>
      </c>
      <c r="Q150" s="116">
        <v>81.45</v>
      </c>
      <c r="R150">
        <v>1130012</v>
      </c>
    </row>
    <row r="151" spans="1:18" x14ac:dyDescent="0.25">
      <c r="A151" s="170">
        <v>45303</v>
      </c>
      <c r="B151" s="116">
        <v>84.55</v>
      </c>
      <c r="C151" s="116">
        <v>82.27</v>
      </c>
      <c r="D151" s="116">
        <v>81.45</v>
      </c>
      <c r="E151" s="116">
        <v>84</v>
      </c>
      <c r="F151" s="116">
        <v>82.27</v>
      </c>
      <c r="G151">
        <v>106900</v>
      </c>
      <c r="H151" s="116"/>
      <c r="I151" s="116"/>
      <c r="L151" s="170">
        <v>45303</v>
      </c>
      <c r="M151" s="116">
        <v>82.05</v>
      </c>
      <c r="N151" s="116">
        <v>84.95</v>
      </c>
      <c r="O151" s="116">
        <v>81.400000000000006</v>
      </c>
      <c r="P151" s="116">
        <v>84.95</v>
      </c>
      <c r="Q151" s="116">
        <v>82.05</v>
      </c>
      <c r="R151">
        <v>770588</v>
      </c>
    </row>
    <row r="152" spans="1:18" x14ac:dyDescent="0.25">
      <c r="A152" s="170">
        <v>45306</v>
      </c>
      <c r="B152" s="116">
        <v>83.92</v>
      </c>
      <c r="C152" s="116">
        <v>79.81</v>
      </c>
      <c r="D152" s="116">
        <v>79.099999999999994</v>
      </c>
      <c r="E152" s="116">
        <v>83.92</v>
      </c>
      <c r="F152" s="116">
        <v>79.81</v>
      </c>
      <c r="G152">
        <v>108935</v>
      </c>
      <c r="H152" s="116"/>
      <c r="I152" s="116"/>
      <c r="L152" s="170">
        <v>45306</v>
      </c>
      <c r="M152" s="116">
        <v>79.8</v>
      </c>
      <c r="N152" s="116">
        <v>84.4</v>
      </c>
      <c r="O152" s="116">
        <v>79.099999999999994</v>
      </c>
      <c r="P152" s="116">
        <v>82.9</v>
      </c>
      <c r="Q152" s="116">
        <v>79.8</v>
      </c>
      <c r="R152">
        <v>706745</v>
      </c>
    </row>
    <row r="153" spans="1:18" x14ac:dyDescent="0.25">
      <c r="A153" s="170">
        <v>45307</v>
      </c>
      <c r="B153" s="116">
        <v>82.79</v>
      </c>
      <c r="C153" s="116">
        <v>78.52</v>
      </c>
      <c r="D153" s="116">
        <v>76.819999999999993</v>
      </c>
      <c r="E153" s="116">
        <v>81.45</v>
      </c>
      <c r="F153" s="116">
        <v>78.52</v>
      </c>
      <c r="G153">
        <v>122335</v>
      </c>
      <c r="H153" s="116"/>
      <c r="I153" s="116"/>
      <c r="L153" s="170">
        <v>45307</v>
      </c>
      <c r="M153" s="116">
        <v>79.349999999999994</v>
      </c>
      <c r="N153" s="116">
        <v>82.8</v>
      </c>
      <c r="O153" s="116">
        <v>76.099999999999994</v>
      </c>
      <c r="P153" s="116">
        <v>79</v>
      </c>
      <c r="Q153" s="116">
        <v>79.349999999999994</v>
      </c>
      <c r="R153">
        <v>1040772</v>
      </c>
    </row>
    <row r="154" spans="1:18" x14ac:dyDescent="0.25">
      <c r="A154" s="170">
        <v>45308</v>
      </c>
      <c r="B154" s="116">
        <v>79.31</v>
      </c>
      <c r="C154" s="116">
        <v>77.680000000000007</v>
      </c>
      <c r="D154" s="116">
        <v>76.66</v>
      </c>
      <c r="E154" s="116">
        <v>79</v>
      </c>
      <c r="F154" s="116">
        <v>77.680000000000007</v>
      </c>
      <c r="G154">
        <v>30523</v>
      </c>
      <c r="H154" s="116"/>
      <c r="I154" s="116"/>
      <c r="L154" s="170">
        <v>45308</v>
      </c>
      <c r="M154" s="116">
        <v>77.75</v>
      </c>
      <c r="N154" s="116">
        <v>79.95</v>
      </c>
      <c r="O154" s="116">
        <v>76.5</v>
      </c>
      <c r="P154" s="116">
        <v>79.95</v>
      </c>
      <c r="Q154" s="116">
        <v>77.75</v>
      </c>
      <c r="R154">
        <v>620900</v>
      </c>
    </row>
    <row r="155" spans="1:18" x14ac:dyDescent="0.25">
      <c r="A155" s="170">
        <v>45309</v>
      </c>
      <c r="B155" s="116">
        <v>79.260000000000005</v>
      </c>
      <c r="C155" s="116">
        <v>77.73</v>
      </c>
      <c r="D155" s="116">
        <v>76.55</v>
      </c>
      <c r="E155" s="116">
        <v>77.25</v>
      </c>
      <c r="F155" s="116">
        <v>77.73</v>
      </c>
      <c r="G155">
        <v>22893</v>
      </c>
      <c r="H155" s="116"/>
      <c r="I155" s="116"/>
      <c r="L155" s="170">
        <v>45309</v>
      </c>
      <c r="M155" s="116">
        <v>77.650000000000006</v>
      </c>
      <c r="N155" s="116">
        <v>79.400000000000006</v>
      </c>
      <c r="O155" s="116">
        <v>76.400000000000006</v>
      </c>
      <c r="P155" s="116">
        <v>77.5</v>
      </c>
      <c r="Q155" s="116">
        <v>77.650000000000006</v>
      </c>
      <c r="R155">
        <v>577175</v>
      </c>
    </row>
    <row r="156" spans="1:18" x14ac:dyDescent="0.25">
      <c r="A156" s="170">
        <v>45310</v>
      </c>
      <c r="B156" s="116">
        <v>81.2</v>
      </c>
      <c r="C156" s="116">
        <v>77.959999999999994</v>
      </c>
      <c r="D156" s="116">
        <v>77.42</v>
      </c>
      <c r="E156" s="116">
        <v>79.06</v>
      </c>
      <c r="F156" s="116">
        <v>77.959999999999994</v>
      </c>
      <c r="G156">
        <v>132748</v>
      </c>
      <c r="H156" s="116"/>
      <c r="I156" s="116"/>
      <c r="L156" s="170">
        <v>45310</v>
      </c>
      <c r="M156" s="116">
        <v>77.849999999999994</v>
      </c>
      <c r="N156" s="116">
        <v>81.05</v>
      </c>
      <c r="O156" s="116">
        <v>77</v>
      </c>
      <c r="P156" s="116">
        <v>78.5</v>
      </c>
      <c r="Q156" s="116">
        <v>77.849999999999994</v>
      </c>
      <c r="R156">
        <v>451110</v>
      </c>
    </row>
    <row r="157" spans="1:18" x14ac:dyDescent="0.25">
      <c r="A157" s="170">
        <v>45311</v>
      </c>
      <c r="B157" s="116">
        <v>80.81</v>
      </c>
      <c r="C157" s="116">
        <v>78.8</v>
      </c>
      <c r="D157" s="116">
        <v>78</v>
      </c>
      <c r="E157" s="116">
        <v>78</v>
      </c>
      <c r="F157" s="116">
        <v>78.8</v>
      </c>
      <c r="G157">
        <v>51475</v>
      </c>
      <c r="H157" s="116"/>
      <c r="I157" s="116"/>
      <c r="L157" s="170">
        <v>45311</v>
      </c>
      <c r="M157" s="116">
        <v>78.900000000000006</v>
      </c>
      <c r="N157" s="116">
        <v>80.8</v>
      </c>
      <c r="O157" s="116">
        <v>77.900000000000006</v>
      </c>
      <c r="P157" s="116">
        <v>78.45</v>
      </c>
      <c r="Q157" s="116">
        <v>78.900000000000006</v>
      </c>
      <c r="R157">
        <v>365930</v>
      </c>
    </row>
    <row r="158" spans="1:18" x14ac:dyDescent="0.25">
      <c r="A158" s="170">
        <v>45314</v>
      </c>
      <c r="B158" s="116">
        <v>79.09</v>
      </c>
      <c r="C158" s="116">
        <v>77.599999999999994</v>
      </c>
      <c r="D158" s="116">
        <v>77.400000000000006</v>
      </c>
      <c r="E158" s="116">
        <v>79.03</v>
      </c>
      <c r="F158" s="116">
        <v>77.599999999999994</v>
      </c>
      <c r="G158">
        <v>19462</v>
      </c>
      <c r="H158" s="116"/>
      <c r="I158" s="116"/>
      <c r="L158" s="170">
        <v>45314</v>
      </c>
      <c r="M158" s="116">
        <v>77.7</v>
      </c>
      <c r="N158" s="116">
        <v>79.75</v>
      </c>
      <c r="O158" s="116">
        <v>77.400000000000006</v>
      </c>
      <c r="P158" s="116">
        <v>79</v>
      </c>
      <c r="Q158" s="116">
        <v>77.7</v>
      </c>
      <c r="R158">
        <v>351018</v>
      </c>
    </row>
    <row r="159" spans="1:18" x14ac:dyDescent="0.25">
      <c r="A159" s="170">
        <v>45315</v>
      </c>
      <c r="B159" s="116">
        <v>80.5</v>
      </c>
      <c r="C159" s="116">
        <v>79.47</v>
      </c>
      <c r="D159" s="116">
        <v>77.61</v>
      </c>
      <c r="E159" s="116">
        <v>79.2</v>
      </c>
      <c r="F159" s="116">
        <v>79.47</v>
      </c>
      <c r="G159">
        <v>24980</v>
      </c>
      <c r="H159" s="116"/>
      <c r="I159" s="116"/>
      <c r="L159" s="170">
        <v>45315</v>
      </c>
      <c r="M159" s="116">
        <v>79.5</v>
      </c>
      <c r="N159" s="116">
        <v>80.599999999999994</v>
      </c>
      <c r="O159" s="116">
        <v>77.55</v>
      </c>
      <c r="P159" s="116">
        <v>79.25</v>
      </c>
      <c r="Q159" s="116">
        <v>79.5</v>
      </c>
      <c r="R159">
        <v>815315</v>
      </c>
    </row>
    <row r="160" spans="1:18" x14ac:dyDescent="0.25">
      <c r="A160" s="170">
        <v>45316</v>
      </c>
      <c r="B160" s="116">
        <v>82.66</v>
      </c>
      <c r="C160" s="116">
        <v>79.989999999999995</v>
      </c>
      <c r="D160" s="116">
        <v>78.41</v>
      </c>
      <c r="E160" s="116">
        <v>80.099999999999994</v>
      </c>
      <c r="F160" s="116">
        <v>79.989999999999995</v>
      </c>
      <c r="G160">
        <v>18058</v>
      </c>
      <c r="H160" s="116"/>
      <c r="I160" s="116"/>
      <c r="L160" s="170">
        <v>45316</v>
      </c>
      <c r="M160" s="116">
        <v>79.650000000000006</v>
      </c>
      <c r="N160" s="116">
        <v>83</v>
      </c>
      <c r="O160" s="116">
        <v>78.349999999999994</v>
      </c>
      <c r="P160" s="116">
        <v>80</v>
      </c>
      <c r="Q160" s="116">
        <v>79.650000000000006</v>
      </c>
      <c r="R160">
        <v>563269</v>
      </c>
    </row>
    <row r="161" spans="1:18" x14ac:dyDescent="0.25">
      <c r="A161" s="170">
        <v>45320</v>
      </c>
      <c r="B161" s="116">
        <v>81.75</v>
      </c>
      <c r="C161" s="116">
        <v>78.03</v>
      </c>
      <c r="D161" s="116">
        <v>77.8</v>
      </c>
      <c r="E161" s="116">
        <v>79.56</v>
      </c>
      <c r="F161" s="116">
        <v>78.03</v>
      </c>
      <c r="G161">
        <v>45749</v>
      </c>
      <c r="H161" s="116"/>
      <c r="I161" s="116"/>
      <c r="L161" s="170">
        <v>45320</v>
      </c>
      <c r="M161" s="116">
        <v>78</v>
      </c>
      <c r="N161" s="116">
        <v>81.849999999999994</v>
      </c>
      <c r="O161" s="116">
        <v>77.599999999999994</v>
      </c>
      <c r="P161" s="116">
        <v>79.900000000000006</v>
      </c>
      <c r="Q161" s="116">
        <v>78</v>
      </c>
      <c r="R161">
        <v>516337</v>
      </c>
    </row>
    <row r="162" spans="1:18" x14ac:dyDescent="0.25">
      <c r="A162" s="170">
        <v>45321</v>
      </c>
      <c r="B162" s="116">
        <v>80.13</v>
      </c>
      <c r="C162" s="116">
        <v>78.510000000000005</v>
      </c>
      <c r="D162" s="116">
        <v>77.55</v>
      </c>
      <c r="E162" s="116">
        <v>79.5</v>
      </c>
      <c r="F162" s="116">
        <v>78.510000000000005</v>
      </c>
      <c r="G162">
        <v>53699</v>
      </c>
      <c r="H162" s="116"/>
      <c r="I162" s="116"/>
      <c r="L162" s="170">
        <v>45321</v>
      </c>
      <c r="M162" s="116">
        <v>78</v>
      </c>
      <c r="N162" s="116">
        <v>80.25</v>
      </c>
      <c r="O162" s="116">
        <v>77.599999999999994</v>
      </c>
      <c r="P162" s="116">
        <v>78.7</v>
      </c>
      <c r="Q162" s="116">
        <v>78</v>
      </c>
      <c r="R162">
        <v>609254</v>
      </c>
    </row>
    <row r="163" spans="1:18" x14ac:dyDescent="0.25">
      <c r="A163" s="170">
        <v>45322</v>
      </c>
      <c r="B163" s="116">
        <v>84.1</v>
      </c>
      <c r="C163" s="116">
        <v>80.16</v>
      </c>
      <c r="D163" s="116">
        <v>77.05</v>
      </c>
      <c r="E163" s="116">
        <v>77.05</v>
      </c>
      <c r="F163" s="116">
        <v>80.16</v>
      </c>
      <c r="G163">
        <v>125301</v>
      </c>
      <c r="H163" s="116"/>
      <c r="I163" s="116"/>
      <c r="L163" s="170">
        <v>45322</v>
      </c>
      <c r="M163" s="116">
        <v>80.05</v>
      </c>
      <c r="N163" s="116">
        <v>84.3</v>
      </c>
      <c r="O163" s="116">
        <v>78.099999999999994</v>
      </c>
      <c r="P163" s="116">
        <v>78.2</v>
      </c>
      <c r="Q163" s="116">
        <v>80.05</v>
      </c>
      <c r="R163">
        <v>1536852</v>
      </c>
    </row>
    <row r="164" spans="1:18" x14ac:dyDescent="0.25">
      <c r="A164" s="170">
        <v>45323</v>
      </c>
      <c r="B164" s="116">
        <v>86.25</v>
      </c>
      <c r="C164" s="116">
        <v>84.9</v>
      </c>
      <c r="D164" s="116">
        <v>78.5</v>
      </c>
      <c r="E164" s="116">
        <v>82</v>
      </c>
      <c r="F164" s="116">
        <v>84.9</v>
      </c>
      <c r="G164">
        <v>241194</v>
      </c>
      <c r="H164" s="116"/>
      <c r="I164" s="116"/>
      <c r="L164" s="170">
        <v>45323</v>
      </c>
      <c r="M164" s="116">
        <v>85.15</v>
      </c>
      <c r="N164" s="116">
        <v>86.4</v>
      </c>
      <c r="O164" s="116">
        <v>78.45</v>
      </c>
      <c r="P164" s="116">
        <v>80</v>
      </c>
      <c r="Q164" s="116">
        <v>85.15</v>
      </c>
      <c r="R164">
        <v>2764955</v>
      </c>
    </row>
    <row r="165" spans="1:18" x14ac:dyDescent="0.25">
      <c r="A165" s="170">
        <v>45324</v>
      </c>
      <c r="B165" s="116">
        <v>91.2</v>
      </c>
      <c r="C165" s="116">
        <v>87.28</v>
      </c>
      <c r="D165" s="116">
        <v>85.47</v>
      </c>
      <c r="E165" s="116">
        <v>87.09</v>
      </c>
      <c r="F165" s="116">
        <v>87.28</v>
      </c>
      <c r="G165">
        <v>315436</v>
      </c>
      <c r="H165" s="116"/>
      <c r="I165" s="116"/>
      <c r="L165" s="170">
        <v>45324</v>
      </c>
      <c r="M165" s="116">
        <v>87.4</v>
      </c>
      <c r="N165" s="116">
        <v>91.25</v>
      </c>
      <c r="O165" s="116">
        <v>85.4</v>
      </c>
      <c r="P165" s="116">
        <v>86.3</v>
      </c>
      <c r="Q165" s="116">
        <v>87.4</v>
      </c>
      <c r="R165">
        <v>3773650</v>
      </c>
    </row>
    <row r="166" spans="1:18" x14ac:dyDescent="0.25">
      <c r="A166" s="170">
        <v>45327</v>
      </c>
      <c r="B166" s="116">
        <v>96</v>
      </c>
      <c r="C166" s="116">
        <v>92.43</v>
      </c>
      <c r="D166" s="116">
        <v>83.1</v>
      </c>
      <c r="E166" s="116">
        <v>88.99</v>
      </c>
      <c r="F166" s="116">
        <v>92.43</v>
      </c>
      <c r="G166">
        <v>488982</v>
      </c>
      <c r="H166" s="116"/>
      <c r="I166" s="116"/>
      <c r="L166" s="170">
        <v>45327</v>
      </c>
      <c r="M166" s="116">
        <v>92.05</v>
      </c>
      <c r="N166" s="116">
        <v>95.5</v>
      </c>
      <c r="O166" s="116">
        <v>82.95</v>
      </c>
      <c r="P166" s="116">
        <v>87</v>
      </c>
      <c r="Q166" s="116">
        <v>92.05</v>
      </c>
      <c r="R166">
        <v>5115054</v>
      </c>
    </row>
    <row r="167" spans="1:18" x14ac:dyDescent="0.25">
      <c r="A167" s="170">
        <v>45328</v>
      </c>
      <c r="B167" s="116">
        <v>95</v>
      </c>
      <c r="C167" s="116">
        <v>94.07</v>
      </c>
      <c r="D167" s="116">
        <v>90.85</v>
      </c>
      <c r="E167" s="116">
        <v>94.21</v>
      </c>
      <c r="F167" s="116">
        <v>94.07</v>
      </c>
      <c r="G167">
        <v>197103</v>
      </c>
      <c r="H167" s="116"/>
      <c r="I167" s="116"/>
      <c r="L167" s="170">
        <v>45328</v>
      </c>
      <c r="M167" s="116">
        <v>94.05</v>
      </c>
      <c r="N167" s="116">
        <v>94.9</v>
      </c>
      <c r="O167" s="116">
        <v>90.75</v>
      </c>
      <c r="P167" s="116">
        <v>94.9</v>
      </c>
      <c r="Q167" s="116">
        <v>94.05</v>
      </c>
      <c r="R167">
        <v>1646675</v>
      </c>
    </row>
    <row r="168" spans="1:18" x14ac:dyDescent="0.25">
      <c r="A168" s="170">
        <v>45329</v>
      </c>
      <c r="B168" s="116">
        <v>97.8</v>
      </c>
      <c r="C168" s="116">
        <v>95.64</v>
      </c>
      <c r="D168" s="116">
        <v>92.41</v>
      </c>
      <c r="E168" s="116">
        <v>96</v>
      </c>
      <c r="F168" s="116">
        <v>95.64</v>
      </c>
      <c r="G168">
        <v>213228</v>
      </c>
      <c r="H168" s="116"/>
      <c r="I168" s="116"/>
      <c r="L168" s="170">
        <v>45329</v>
      </c>
      <c r="M168" s="116">
        <v>95.35</v>
      </c>
      <c r="N168" s="116">
        <v>97.9</v>
      </c>
      <c r="O168" s="116">
        <v>92.5</v>
      </c>
      <c r="P168" s="116">
        <v>94.7</v>
      </c>
      <c r="Q168" s="116">
        <v>95.35</v>
      </c>
      <c r="R168">
        <v>1957986</v>
      </c>
    </row>
    <row r="169" spans="1:18" x14ac:dyDescent="0.25">
      <c r="A169" s="170">
        <v>45330</v>
      </c>
      <c r="B169" s="116">
        <v>97.95</v>
      </c>
      <c r="C169" s="116">
        <v>93</v>
      </c>
      <c r="D169" s="116">
        <v>92.48</v>
      </c>
      <c r="E169" s="116">
        <v>97</v>
      </c>
      <c r="F169" s="116">
        <v>93</v>
      </c>
      <c r="G169">
        <v>142050</v>
      </c>
      <c r="H169" s="116"/>
      <c r="I169" s="116"/>
      <c r="L169" s="170">
        <v>45330</v>
      </c>
      <c r="M169" s="116">
        <v>93.05</v>
      </c>
      <c r="N169" s="116">
        <v>98.25</v>
      </c>
      <c r="O169" s="116">
        <v>92.35</v>
      </c>
      <c r="P169" s="116">
        <v>95.8</v>
      </c>
      <c r="Q169" s="116">
        <v>93.05</v>
      </c>
      <c r="R169">
        <v>1433200</v>
      </c>
    </row>
    <row r="170" spans="1:18" x14ac:dyDescent="0.25">
      <c r="A170" s="170">
        <v>45331</v>
      </c>
      <c r="B170" s="116">
        <v>93.46</v>
      </c>
      <c r="C170" s="116">
        <v>89.95</v>
      </c>
      <c r="D170" s="116">
        <v>87.2</v>
      </c>
      <c r="E170" s="116">
        <v>92.5</v>
      </c>
      <c r="F170" s="116">
        <v>89.95</v>
      </c>
      <c r="G170">
        <v>112823</v>
      </c>
      <c r="H170" s="116"/>
      <c r="I170" s="116"/>
      <c r="L170" s="170">
        <v>45331</v>
      </c>
      <c r="M170" s="116">
        <v>89.95</v>
      </c>
      <c r="N170" s="116">
        <v>93.75</v>
      </c>
      <c r="O170" s="116">
        <v>87.15</v>
      </c>
      <c r="P170" s="116">
        <v>93.25</v>
      </c>
      <c r="Q170" s="116">
        <v>89.95</v>
      </c>
      <c r="R170">
        <v>1176957</v>
      </c>
    </row>
    <row r="171" spans="1:18" x14ac:dyDescent="0.25">
      <c r="A171" s="170">
        <v>45334</v>
      </c>
      <c r="B171" s="116">
        <v>89.81</v>
      </c>
      <c r="C171" s="116">
        <v>80.540000000000006</v>
      </c>
      <c r="D171" s="116">
        <v>79</v>
      </c>
      <c r="E171" s="116">
        <v>88.6</v>
      </c>
      <c r="F171" s="116">
        <v>80.540000000000006</v>
      </c>
      <c r="G171">
        <v>143614</v>
      </c>
      <c r="H171" s="116"/>
      <c r="I171" s="116"/>
      <c r="L171" s="170">
        <v>45334</v>
      </c>
      <c r="M171" s="116">
        <v>80.7</v>
      </c>
      <c r="N171" s="116">
        <v>89.7</v>
      </c>
      <c r="O171" s="116">
        <v>78.8</v>
      </c>
      <c r="P171" s="116">
        <v>88</v>
      </c>
      <c r="Q171" s="116">
        <v>80.7</v>
      </c>
      <c r="R171">
        <v>776308</v>
      </c>
    </row>
    <row r="172" spans="1:18" x14ac:dyDescent="0.25">
      <c r="A172" s="170">
        <v>45335</v>
      </c>
      <c r="B172" s="116">
        <v>83.25</v>
      </c>
      <c r="C172" s="116">
        <v>82.64</v>
      </c>
      <c r="D172" s="116">
        <v>78.260000000000005</v>
      </c>
      <c r="E172" s="116">
        <v>78.56</v>
      </c>
      <c r="F172" s="116">
        <v>82.64</v>
      </c>
      <c r="G172">
        <v>60746</v>
      </c>
      <c r="H172" s="116"/>
      <c r="I172" s="116"/>
      <c r="L172" s="170">
        <v>45335</v>
      </c>
      <c r="M172" s="116">
        <v>82.65</v>
      </c>
      <c r="N172" s="116">
        <v>83.3</v>
      </c>
      <c r="O172" s="116">
        <v>78.25</v>
      </c>
      <c r="P172" s="116">
        <v>81</v>
      </c>
      <c r="Q172" s="116">
        <v>82.65</v>
      </c>
      <c r="R172">
        <v>740449</v>
      </c>
    </row>
    <row r="173" spans="1:18" x14ac:dyDescent="0.25">
      <c r="A173" s="170">
        <v>45336</v>
      </c>
      <c r="B173" s="116">
        <v>86.9</v>
      </c>
      <c r="C173" s="116">
        <v>85.65</v>
      </c>
      <c r="D173" s="116">
        <v>81.2</v>
      </c>
      <c r="E173" s="116">
        <v>84.28</v>
      </c>
      <c r="F173" s="116">
        <v>85.65</v>
      </c>
      <c r="G173">
        <v>55812</v>
      </c>
      <c r="H173" s="116"/>
      <c r="I173" s="116"/>
      <c r="L173" s="170">
        <v>45336</v>
      </c>
      <c r="M173" s="116">
        <v>85.5</v>
      </c>
      <c r="N173" s="116">
        <v>86.95</v>
      </c>
      <c r="O173" s="116">
        <v>80.650000000000006</v>
      </c>
      <c r="P173" s="116">
        <v>80.650000000000006</v>
      </c>
      <c r="Q173" s="116">
        <v>85.5</v>
      </c>
      <c r="R173">
        <v>416091</v>
      </c>
    </row>
    <row r="174" spans="1:18" x14ac:dyDescent="0.25">
      <c r="A174" s="170">
        <v>45337</v>
      </c>
      <c r="B174" s="116">
        <v>88.5</v>
      </c>
      <c r="C174" s="116">
        <v>86.32</v>
      </c>
      <c r="D174" s="116">
        <v>85.5</v>
      </c>
      <c r="E174" s="116">
        <v>88.5</v>
      </c>
      <c r="F174" s="116">
        <v>86.32</v>
      </c>
      <c r="G174">
        <v>45713</v>
      </c>
      <c r="H174" s="116"/>
      <c r="I174" s="116"/>
      <c r="L174" s="170">
        <v>45337</v>
      </c>
      <c r="M174" s="116">
        <v>86.15</v>
      </c>
      <c r="N174" s="116">
        <v>87.7</v>
      </c>
      <c r="O174" s="116">
        <v>85.3</v>
      </c>
      <c r="P174" s="116">
        <v>85.5</v>
      </c>
      <c r="Q174" s="116">
        <v>86.15</v>
      </c>
      <c r="R174">
        <v>285133</v>
      </c>
    </row>
    <row r="175" spans="1:18" x14ac:dyDescent="0.25">
      <c r="A175" s="170">
        <v>45338</v>
      </c>
      <c r="B175" s="116">
        <v>87.83</v>
      </c>
      <c r="C175" s="116">
        <v>86.51</v>
      </c>
      <c r="D175" s="116">
        <v>85.4</v>
      </c>
      <c r="E175" s="116">
        <v>86.55</v>
      </c>
      <c r="F175" s="116">
        <v>86.51</v>
      </c>
      <c r="G175">
        <v>31461</v>
      </c>
      <c r="H175" s="116"/>
      <c r="I175" s="116"/>
      <c r="L175" s="170">
        <v>45338</v>
      </c>
      <c r="M175" s="116">
        <v>86.5</v>
      </c>
      <c r="N175" s="116">
        <v>87.9</v>
      </c>
      <c r="O175" s="116">
        <v>85.45</v>
      </c>
      <c r="P175" s="116">
        <v>86.7</v>
      </c>
      <c r="Q175" s="116">
        <v>86.5</v>
      </c>
      <c r="R175">
        <v>318631</v>
      </c>
    </row>
    <row r="176" spans="1:18" x14ac:dyDescent="0.25">
      <c r="A176" s="170">
        <v>45341</v>
      </c>
      <c r="B176" s="116">
        <v>96.75</v>
      </c>
      <c r="C176" s="116">
        <v>92.75</v>
      </c>
      <c r="D176" s="116">
        <v>88</v>
      </c>
      <c r="E176" s="116">
        <v>88.24</v>
      </c>
      <c r="F176" s="116">
        <v>92.75</v>
      </c>
      <c r="G176">
        <v>236800</v>
      </c>
      <c r="H176" s="116"/>
      <c r="I176" s="116"/>
      <c r="L176" s="170">
        <v>45341</v>
      </c>
      <c r="M176" s="116">
        <v>92.55</v>
      </c>
      <c r="N176" s="116">
        <v>96.7</v>
      </c>
      <c r="O176" s="116">
        <v>87.85</v>
      </c>
      <c r="P176" s="116">
        <v>87.85</v>
      </c>
      <c r="Q176" s="116">
        <v>92.55</v>
      </c>
      <c r="R176">
        <v>1855937</v>
      </c>
    </row>
    <row r="177" spans="1:18" x14ac:dyDescent="0.25">
      <c r="A177" s="170">
        <v>45342</v>
      </c>
      <c r="B177" s="116">
        <v>95.89</v>
      </c>
      <c r="C177" s="116">
        <v>91.02</v>
      </c>
      <c r="D177" s="116">
        <v>90.45</v>
      </c>
      <c r="E177" s="116">
        <v>95.89</v>
      </c>
      <c r="F177" s="116">
        <v>91.02</v>
      </c>
      <c r="G177">
        <v>68395</v>
      </c>
      <c r="H177" s="116"/>
      <c r="I177" s="116"/>
      <c r="L177" s="170">
        <v>45342</v>
      </c>
      <c r="M177" s="116">
        <v>90.9</v>
      </c>
      <c r="N177" s="116">
        <v>94.55</v>
      </c>
      <c r="O177" s="116">
        <v>90.1</v>
      </c>
      <c r="P177" s="116">
        <v>93.95</v>
      </c>
      <c r="Q177" s="116">
        <v>90.9</v>
      </c>
      <c r="R177">
        <v>370021</v>
      </c>
    </row>
    <row r="178" spans="1:18" x14ac:dyDescent="0.25">
      <c r="A178" s="170">
        <v>45343</v>
      </c>
      <c r="B178" s="116">
        <v>95.5</v>
      </c>
      <c r="C178" s="116">
        <v>91.6</v>
      </c>
      <c r="D178" s="116">
        <v>90.36</v>
      </c>
      <c r="E178" s="116">
        <v>91.49</v>
      </c>
      <c r="F178" s="116">
        <v>91.6</v>
      </c>
      <c r="G178">
        <v>201574</v>
      </c>
      <c r="H178" s="116"/>
      <c r="I178" s="116"/>
      <c r="L178" s="170">
        <v>45343</v>
      </c>
      <c r="M178" s="116">
        <v>91.6</v>
      </c>
      <c r="N178" s="116">
        <v>95.4</v>
      </c>
      <c r="O178" s="116">
        <v>90.4</v>
      </c>
      <c r="P178" s="116">
        <v>91.2</v>
      </c>
      <c r="Q178" s="116">
        <v>91.6</v>
      </c>
      <c r="R178">
        <v>1230471</v>
      </c>
    </row>
    <row r="179" spans="1:18" x14ac:dyDescent="0.25">
      <c r="A179" s="170">
        <v>45344</v>
      </c>
      <c r="B179" s="116">
        <v>92.4</v>
      </c>
      <c r="C179" s="116">
        <v>91.38</v>
      </c>
      <c r="D179" s="116">
        <v>89.1</v>
      </c>
      <c r="E179" s="116">
        <v>90.21</v>
      </c>
      <c r="F179" s="116">
        <v>91.38</v>
      </c>
      <c r="G179">
        <v>54199</v>
      </c>
      <c r="H179" s="116"/>
      <c r="I179" s="116"/>
      <c r="L179" s="170">
        <v>45344</v>
      </c>
      <c r="M179" s="116">
        <v>91.5</v>
      </c>
      <c r="N179" s="116">
        <v>92.7</v>
      </c>
      <c r="O179" s="116">
        <v>89.2</v>
      </c>
      <c r="P179" s="116">
        <v>91.8</v>
      </c>
      <c r="Q179" s="116">
        <v>91.5</v>
      </c>
      <c r="R179">
        <v>440031</v>
      </c>
    </row>
    <row r="180" spans="1:18" x14ac:dyDescent="0.25">
      <c r="A180" s="170">
        <v>45345</v>
      </c>
      <c r="B180" s="116">
        <v>94.52</v>
      </c>
      <c r="C180" s="116">
        <v>93.49</v>
      </c>
      <c r="D180" s="116">
        <v>83.9</v>
      </c>
      <c r="E180" s="116">
        <v>83.9</v>
      </c>
      <c r="F180" s="116">
        <v>93.49</v>
      </c>
      <c r="G180">
        <v>55621</v>
      </c>
      <c r="H180" s="116"/>
      <c r="I180" s="116"/>
      <c r="L180" s="170">
        <v>45345</v>
      </c>
      <c r="M180" s="116">
        <v>93.55</v>
      </c>
      <c r="N180" s="116">
        <v>94.65</v>
      </c>
      <c r="O180" s="116">
        <v>91.1</v>
      </c>
      <c r="P180" s="116">
        <v>92.25</v>
      </c>
      <c r="Q180" s="116">
        <v>93.55</v>
      </c>
      <c r="R180">
        <v>845181</v>
      </c>
    </row>
    <row r="181" spans="1:18" x14ac:dyDescent="0.25">
      <c r="A181" s="170">
        <v>45348</v>
      </c>
      <c r="B181" s="116">
        <v>95.5</v>
      </c>
      <c r="C181" s="116">
        <v>93</v>
      </c>
      <c r="D181" s="116">
        <v>92.8</v>
      </c>
      <c r="E181" s="116">
        <v>94.71</v>
      </c>
      <c r="F181" s="116">
        <v>93</v>
      </c>
      <c r="G181">
        <v>500113</v>
      </c>
      <c r="H181" s="116"/>
      <c r="I181" s="116"/>
      <c r="L181" s="170">
        <v>45348</v>
      </c>
      <c r="M181" s="116">
        <v>93</v>
      </c>
      <c r="N181" s="116">
        <v>95.55</v>
      </c>
      <c r="O181" s="116">
        <v>92.7</v>
      </c>
      <c r="P181" s="116">
        <v>93.9</v>
      </c>
      <c r="Q181" s="116">
        <v>93</v>
      </c>
      <c r="R181">
        <v>937988</v>
      </c>
    </row>
    <row r="182" spans="1:18" x14ac:dyDescent="0.25">
      <c r="A182" s="170">
        <v>45349</v>
      </c>
      <c r="B182" s="116">
        <v>93.5</v>
      </c>
      <c r="C182" s="116">
        <v>91.21</v>
      </c>
      <c r="D182" s="116">
        <v>89.59</v>
      </c>
      <c r="E182" s="116">
        <v>92.56</v>
      </c>
      <c r="F182" s="116">
        <v>91.21</v>
      </c>
      <c r="G182">
        <v>53027</v>
      </c>
      <c r="H182" s="116"/>
      <c r="I182" s="116"/>
      <c r="L182" s="170">
        <v>45349</v>
      </c>
      <c r="M182" s="116">
        <v>91.55</v>
      </c>
      <c r="N182" s="116">
        <v>93.5</v>
      </c>
      <c r="O182" s="116">
        <v>89.45</v>
      </c>
      <c r="P182" s="116">
        <v>92.9</v>
      </c>
      <c r="Q182" s="116">
        <v>91.55</v>
      </c>
      <c r="R182">
        <v>373142</v>
      </c>
    </row>
    <row r="183" spans="1:18" x14ac:dyDescent="0.25">
      <c r="A183" s="170">
        <v>45350</v>
      </c>
      <c r="B183" s="116">
        <v>92.06</v>
      </c>
      <c r="C183" s="116">
        <v>87.85</v>
      </c>
      <c r="D183" s="116">
        <v>86.05</v>
      </c>
      <c r="E183" s="116">
        <v>89.75</v>
      </c>
      <c r="F183" s="116">
        <v>87.85</v>
      </c>
      <c r="G183">
        <v>39178</v>
      </c>
      <c r="H183" s="116"/>
      <c r="I183" s="116"/>
      <c r="L183" s="170">
        <v>45350</v>
      </c>
      <c r="M183" s="116">
        <v>87.8</v>
      </c>
      <c r="N183" s="116">
        <v>92.15</v>
      </c>
      <c r="O183" s="116">
        <v>86</v>
      </c>
      <c r="P183" s="116">
        <v>91.55</v>
      </c>
      <c r="Q183" s="116">
        <v>87.8</v>
      </c>
      <c r="R183">
        <v>678376</v>
      </c>
    </row>
    <row r="184" spans="1:18" x14ac:dyDescent="0.25">
      <c r="A184" s="170">
        <v>45351</v>
      </c>
      <c r="B184" s="116">
        <v>88.46</v>
      </c>
      <c r="C184" s="116">
        <v>87.46</v>
      </c>
      <c r="D184" s="116">
        <v>85.35</v>
      </c>
      <c r="E184" s="116">
        <v>88</v>
      </c>
      <c r="F184" s="116">
        <v>87.46</v>
      </c>
      <c r="G184">
        <v>87320</v>
      </c>
      <c r="H184" s="116"/>
      <c r="I184" s="116"/>
      <c r="L184" s="170">
        <v>45351</v>
      </c>
      <c r="M184" s="116">
        <v>87.8</v>
      </c>
      <c r="N184" s="116">
        <v>88.7</v>
      </c>
      <c r="O184" s="116">
        <v>85.25</v>
      </c>
      <c r="P184" s="116">
        <v>88.65</v>
      </c>
      <c r="Q184" s="116">
        <v>87.8</v>
      </c>
      <c r="R184">
        <v>335046</v>
      </c>
    </row>
    <row r="185" spans="1:18" x14ac:dyDescent="0.25">
      <c r="A185" s="170">
        <v>45352</v>
      </c>
      <c r="B185" s="116">
        <v>90.1</v>
      </c>
      <c r="C185" s="116">
        <v>88.83</v>
      </c>
      <c r="D185" s="116">
        <v>87.91</v>
      </c>
      <c r="E185" s="116">
        <v>89.21</v>
      </c>
      <c r="F185" s="116">
        <v>88.83</v>
      </c>
      <c r="G185">
        <v>25239</v>
      </c>
      <c r="H185" s="116"/>
      <c r="I185" s="116"/>
      <c r="L185" s="170">
        <v>45352</v>
      </c>
      <c r="M185" s="116">
        <v>88.65</v>
      </c>
      <c r="N185" s="116">
        <v>90.4</v>
      </c>
      <c r="O185" s="116">
        <v>87.9</v>
      </c>
      <c r="P185" s="116">
        <v>88.8</v>
      </c>
      <c r="Q185" s="116">
        <v>88.65</v>
      </c>
      <c r="R185">
        <v>225080</v>
      </c>
    </row>
    <row r="186" spans="1:18" x14ac:dyDescent="0.25">
      <c r="A186" s="170">
        <v>45353</v>
      </c>
      <c r="B186" s="116">
        <v>92.6</v>
      </c>
      <c r="C186" s="116">
        <v>87.87</v>
      </c>
      <c r="D186" s="116">
        <v>86.5</v>
      </c>
      <c r="E186" s="116">
        <v>92.6</v>
      </c>
      <c r="F186" s="116">
        <v>87.87</v>
      </c>
      <c r="G186">
        <v>4432</v>
      </c>
      <c r="H186" s="116"/>
      <c r="I186" s="116"/>
      <c r="L186" s="170">
        <v>45353</v>
      </c>
      <c r="M186" s="116">
        <v>87.8</v>
      </c>
      <c r="N186" s="116">
        <v>89.35</v>
      </c>
      <c r="O186" s="116">
        <v>87.05</v>
      </c>
      <c r="P186" s="116">
        <v>89.35</v>
      </c>
      <c r="Q186" s="116">
        <v>87.8</v>
      </c>
      <c r="R186">
        <v>34261</v>
      </c>
    </row>
    <row r="187" spans="1:18" x14ac:dyDescent="0.25">
      <c r="A187" s="170">
        <v>45355</v>
      </c>
      <c r="B187" s="116">
        <v>89.09</v>
      </c>
      <c r="C187" s="116">
        <v>85.84</v>
      </c>
      <c r="D187" s="116">
        <v>85.6</v>
      </c>
      <c r="E187" s="116">
        <v>87.87</v>
      </c>
      <c r="F187" s="116">
        <v>85.84</v>
      </c>
      <c r="G187">
        <v>32602</v>
      </c>
      <c r="H187" s="116"/>
      <c r="I187" s="116"/>
      <c r="L187" s="170">
        <v>45355</v>
      </c>
      <c r="M187" s="116">
        <v>85.8</v>
      </c>
      <c r="N187" s="116">
        <v>89.1</v>
      </c>
      <c r="O187" s="116">
        <v>85.55</v>
      </c>
      <c r="P187" s="116">
        <v>88.65</v>
      </c>
      <c r="Q187" s="116">
        <v>85.8</v>
      </c>
      <c r="R187">
        <v>217304</v>
      </c>
    </row>
    <row r="188" spans="1:18" x14ac:dyDescent="0.25">
      <c r="A188" s="170">
        <v>45356</v>
      </c>
      <c r="B188" s="116">
        <v>86.75</v>
      </c>
      <c r="C188" s="116">
        <v>85.86</v>
      </c>
      <c r="D188" s="116">
        <v>84.95</v>
      </c>
      <c r="E188" s="116">
        <v>85.76</v>
      </c>
      <c r="F188" s="116">
        <v>85.86</v>
      </c>
      <c r="G188">
        <v>31860</v>
      </c>
      <c r="H188" s="116"/>
      <c r="I188" s="116"/>
      <c r="L188" s="170">
        <v>45356</v>
      </c>
      <c r="M188" s="116">
        <v>86</v>
      </c>
      <c r="N188" s="116">
        <v>87</v>
      </c>
      <c r="O188" s="116">
        <v>84.95</v>
      </c>
      <c r="P188" s="116">
        <v>86.65</v>
      </c>
      <c r="Q188" s="116">
        <v>86</v>
      </c>
      <c r="R188">
        <v>279732</v>
      </c>
    </row>
    <row r="189" spans="1:18" x14ac:dyDescent="0.25">
      <c r="A189" s="170">
        <v>45357</v>
      </c>
      <c r="B189" s="116">
        <v>85.8</v>
      </c>
      <c r="C189" s="116">
        <v>82</v>
      </c>
      <c r="D189" s="116">
        <v>80.3</v>
      </c>
      <c r="E189" s="116">
        <v>85.57</v>
      </c>
      <c r="F189" s="116">
        <v>82</v>
      </c>
      <c r="G189">
        <v>57033</v>
      </c>
      <c r="H189" s="116"/>
      <c r="I189" s="116"/>
      <c r="L189" s="170">
        <v>45357</v>
      </c>
      <c r="M189" s="116">
        <v>82.1</v>
      </c>
      <c r="N189" s="116">
        <v>85.95</v>
      </c>
      <c r="O189" s="116">
        <v>80.099999999999994</v>
      </c>
      <c r="P189" s="116">
        <v>85.95</v>
      </c>
      <c r="Q189" s="116">
        <v>82.1</v>
      </c>
      <c r="R189">
        <v>505540</v>
      </c>
    </row>
    <row r="190" spans="1:18" x14ac:dyDescent="0.25">
      <c r="A190" s="170">
        <v>45358</v>
      </c>
      <c r="B190" s="116">
        <v>84.23</v>
      </c>
      <c r="C190" s="116">
        <v>82.4</v>
      </c>
      <c r="D190" s="116">
        <v>81.05</v>
      </c>
      <c r="E190" s="116">
        <v>81.05</v>
      </c>
      <c r="F190" s="116">
        <v>82.4</v>
      </c>
      <c r="G190">
        <v>35559</v>
      </c>
      <c r="H190" s="116"/>
      <c r="I190" s="116"/>
      <c r="L190" s="170">
        <v>45358</v>
      </c>
      <c r="M190" s="116">
        <v>82.4</v>
      </c>
      <c r="N190" s="116">
        <v>84.4</v>
      </c>
      <c r="O190" s="116">
        <v>81.8</v>
      </c>
      <c r="P190" s="116">
        <v>82.3</v>
      </c>
      <c r="Q190" s="116">
        <v>82.4</v>
      </c>
      <c r="R190">
        <v>414199</v>
      </c>
    </row>
    <row r="191" spans="1:18" x14ac:dyDescent="0.25">
      <c r="A191" s="170">
        <v>45362</v>
      </c>
      <c r="B191" s="116">
        <v>83.54</v>
      </c>
      <c r="C191" s="116">
        <v>78.31</v>
      </c>
      <c r="D191" s="116">
        <v>77.099999999999994</v>
      </c>
      <c r="E191" s="116">
        <v>82.01</v>
      </c>
      <c r="F191" s="116">
        <v>78.31</v>
      </c>
      <c r="G191">
        <v>59399</v>
      </c>
      <c r="H191" s="116"/>
      <c r="I191" s="116"/>
      <c r="L191" s="170">
        <v>45362</v>
      </c>
      <c r="M191" s="116">
        <v>78.25</v>
      </c>
      <c r="N191" s="116">
        <v>83.65</v>
      </c>
      <c r="O191" s="116">
        <v>77.55</v>
      </c>
      <c r="P191" s="116">
        <v>83.65</v>
      </c>
      <c r="Q191" s="116">
        <v>78.25</v>
      </c>
      <c r="R191">
        <v>491911</v>
      </c>
    </row>
    <row r="192" spans="1:18" x14ac:dyDescent="0.25">
      <c r="A192" s="170">
        <v>45363</v>
      </c>
      <c r="B192" s="116">
        <v>81.99</v>
      </c>
      <c r="C192" s="116">
        <v>77.63</v>
      </c>
      <c r="D192" s="116">
        <v>75.349999999999994</v>
      </c>
      <c r="E192" s="116">
        <v>81.99</v>
      </c>
      <c r="F192" s="116">
        <v>77.63</v>
      </c>
      <c r="G192">
        <v>96722</v>
      </c>
      <c r="H192" s="116"/>
      <c r="I192" s="116"/>
      <c r="L192" s="170">
        <v>45363</v>
      </c>
      <c r="M192" s="116">
        <v>77.5</v>
      </c>
      <c r="N192" s="116">
        <v>79.099999999999994</v>
      </c>
      <c r="O192" s="116">
        <v>75.349999999999994</v>
      </c>
      <c r="P192" s="116">
        <v>78.25</v>
      </c>
      <c r="Q192" s="116">
        <v>77.5</v>
      </c>
      <c r="R192">
        <v>680766</v>
      </c>
    </row>
    <row r="193" spans="1:18" x14ac:dyDescent="0.25">
      <c r="A193" s="170">
        <v>45364</v>
      </c>
      <c r="B193" s="116">
        <v>83.98</v>
      </c>
      <c r="C193" s="116">
        <v>72.37</v>
      </c>
      <c r="D193" s="116">
        <v>71.099999999999994</v>
      </c>
      <c r="E193" s="116">
        <v>83.98</v>
      </c>
      <c r="F193" s="116">
        <v>72.37</v>
      </c>
      <c r="G193">
        <v>89061</v>
      </c>
      <c r="H193" s="116"/>
      <c r="I193" s="116"/>
      <c r="L193" s="170">
        <v>45364</v>
      </c>
      <c r="M193" s="116">
        <v>72.75</v>
      </c>
      <c r="N193" s="116">
        <v>78.8</v>
      </c>
      <c r="O193" s="116">
        <v>71.25</v>
      </c>
      <c r="P193" s="116">
        <v>78.650000000000006</v>
      </c>
      <c r="Q193" s="116">
        <v>72.75</v>
      </c>
      <c r="R193">
        <v>1061921</v>
      </c>
    </row>
    <row r="194" spans="1:18" x14ac:dyDescent="0.25">
      <c r="A194" s="170">
        <v>45365</v>
      </c>
      <c r="B194" s="116">
        <v>78.180000000000007</v>
      </c>
      <c r="C194" s="116">
        <v>76.48</v>
      </c>
      <c r="D194" s="116">
        <v>72.37</v>
      </c>
      <c r="E194" s="116">
        <v>72.37</v>
      </c>
      <c r="F194" s="116">
        <v>76.48</v>
      </c>
      <c r="G194">
        <v>34290</v>
      </c>
      <c r="H194" s="116"/>
      <c r="I194" s="116"/>
      <c r="L194" s="170">
        <v>45365</v>
      </c>
      <c r="M194" s="116">
        <v>76.650000000000006</v>
      </c>
      <c r="N194" s="116">
        <v>78</v>
      </c>
      <c r="O194" s="116">
        <v>72.75</v>
      </c>
      <c r="P194" s="116">
        <v>72.75</v>
      </c>
      <c r="Q194" s="116">
        <v>76.650000000000006</v>
      </c>
      <c r="R194">
        <v>892538</v>
      </c>
    </row>
    <row r="195" spans="1:18" x14ac:dyDescent="0.25">
      <c r="A195" s="170">
        <v>45366</v>
      </c>
      <c r="B195" s="116">
        <v>77.569999999999993</v>
      </c>
      <c r="C195" s="116">
        <v>75.989999999999995</v>
      </c>
      <c r="D195" s="116">
        <v>73.83</v>
      </c>
      <c r="E195" s="116">
        <v>76.819999999999993</v>
      </c>
      <c r="F195" s="116">
        <v>75.989999999999995</v>
      </c>
      <c r="G195">
        <v>24527</v>
      </c>
      <c r="H195" s="116"/>
      <c r="I195" s="116"/>
      <c r="L195" s="170">
        <v>45366</v>
      </c>
      <c r="M195" s="116">
        <v>75.8</v>
      </c>
      <c r="N195" s="116">
        <v>77.599999999999994</v>
      </c>
      <c r="O195" s="116">
        <v>73.7</v>
      </c>
      <c r="P195" s="116">
        <v>77.599999999999994</v>
      </c>
      <c r="Q195" s="116">
        <v>75.8</v>
      </c>
      <c r="R195">
        <v>623558</v>
      </c>
    </row>
    <row r="196" spans="1:18" x14ac:dyDescent="0.25">
      <c r="A196" s="170">
        <v>45369</v>
      </c>
      <c r="B196" s="116">
        <v>78.900000000000006</v>
      </c>
      <c r="C196" s="116">
        <v>78.17</v>
      </c>
      <c r="D196" s="116">
        <v>75.06</v>
      </c>
      <c r="E196" s="116">
        <v>75.06</v>
      </c>
      <c r="F196" s="116">
        <v>78.17</v>
      </c>
      <c r="G196">
        <v>61147</v>
      </c>
      <c r="H196" s="116"/>
      <c r="I196" s="116"/>
      <c r="L196" s="170">
        <v>45369</v>
      </c>
      <c r="M196" s="116">
        <v>78.2</v>
      </c>
      <c r="N196" s="116">
        <v>79</v>
      </c>
      <c r="O196" s="116">
        <v>75.2</v>
      </c>
      <c r="P196" s="116">
        <v>76</v>
      </c>
      <c r="Q196" s="116">
        <v>78.2</v>
      </c>
      <c r="R196">
        <v>646614</v>
      </c>
    </row>
    <row r="197" spans="1:18" x14ac:dyDescent="0.25">
      <c r="A197" s="170">
        <v>45370</v>
      </c>
      <c r="B197" s="116">
        <v>78.92</v>
      </c>
      <c r="C197" s="116">
        <v>75.84</v>
      </c>
      <c r="D197" s="116">
        <v>75.03</v>
      </c>
      <c r="E197" s="116">
        <v>78.34</v>
      </c>
      <c r="F197" s="116">
        <v>75.84</v>
      </c>
      <c r="G197">
        <v>41453</v>
      </c>
      <c r="H197" s="116"/>
      <c r="I197" s="116"/>
      <c r="L197" s="170">
        <v>45370</v>
      </c>
      <c r="M197" s="116">
        <v>75.900000000000006</v>
      </c>
      <c r="N197" s="116">
        <v>78.900000000000006</v>
      </c>
      <c r="O197" s="116">
        <v>75.25</v>
      </c>
      <c r="P197" s="116">
        <v>78.7</v>
      </c>
      <c r="Q197" s="116">
        <v>75.900000000000006</v>
      </c>
      <c r="R197">
        <v>247501</v>
      </c>
    </row>
    <row r="198" spans="1:18" x14ac:dyDescent="0.25">
      <c r="A198" s="170">
        <v>45371</v>
      </c>
      <c r="B198" s="116">
        <v>78.400000000000006</v>
      </c>
      <c r="C198" s="116">
        <v>77.959999999999994</v>
      </c>
      <c r="D198" s="116">
        <v>75.7</v>
      </c>
      <c r="E198" s="116">
        <v>75.900000000000006</v>
      </c>
      <c r="F198" s="116">
        <v>77.959999999999994</v>
      </c>
      <c r="G198">
        <v>22434</v>
      </c>
      <c r="H198" s="116"/>
      <c r="I198" s="116"/>
      <c r="L198" s="170">
        <v>45371</v>
      </c>
      <c r="M198" s="116">
        <v>78.05</v>
      </c>
      <c r="N198" s="116">
        <v>78.45</v>
      </c>
      <c r="O198" s="116">
        <v>75.55</v>
      </c>
      <c r="P198" s="116">
        <v>76</v>
      </c>
      <c r="Q198" s="116">
        <v>78.05</v>
      </c>
      <c r="R198">
        <v>240920</v>
      </c>
    </row>
    <row r="199" spans="1:18" x14ac:dyDescent="0.25">
      <c r="A199" s="170">
        <v>45372</v>
      </c>
      <c r="B199" s="116">
        <v>80.89</v>
      </c>
      <c r="C199" s="116">
        <v>77.819999999999993</v>
      </c>
      <c r="D199" s="116">
        <v>77.45</v>
      </c>
      <c r="E199" s="116">
        <v>78.489999999999995</v>
      </c>
      <c r="F199" s="116">
        <v>77.819999999999993</v>
      </c>
      <c r="G199">
        <v>42970</v>
      </c>
      <c r="H199" s="116"/>
      <c r="I199" s="116"/>
      <c r="L199" s="170">
        <v>45372</v>
      </c>
      <c r="M199" s="116">
        <v>77.95</v>
      </c>
      <c r="N199" s="116">
        <v>81</v>
      </c>
      <c r="O199" s="116">
        <v>77.400000000000006</v>
      </c>
      <c r="P199" s="116">
        <v>78.5</v>
      </c>
      <c r="Q199" s="116">
        <v>77.95</v>
      </c>
      <c r="R199">
        <v>564655</v>
      </c>
    </row>
    <row r="200" spans="1:18" x14ac:dyDescent="0.25">
      <c r="A200" s="170">
        <v>45373</v>
      </c>
      <c r="B200" s="116">
        <v>78.900000000000006</v>
      </c>
      <c r="C200" s="116">
        <v>76.099999999999994</v>
      </c>
      <c r="D200" s="116">
        <v>76</v>
      </c>
      <c r="E200" s="116">
        <v>78</v>
      </c>
      <c r="F200" s="116">
        <v>76.099999999999994</v>
      </c>
      <c r="G200">
        <v>58313</v>
      </c>
      <c r="H200" s="116"/>
      <c r="I200" s="116"/>
      <c r="L200" s="170">
        <v>45373</v>
      </c>
      <c r="M200" s="116">
        <v>76.55</v>
      </c>
      <c r="N200" s="116">
        <v>79</v>
      </c>
      <c r="O200" s="116">
        <v>75.900000000000006</v>
      </c>
      <c r="P200" s="116">
        <v>77.900000000000006</v>
      </c>
      <c r="Q200" s="116">
        <v>76.55</v>
      </c>
      <c r="R200">
        <v>740578</v>
      </c>
    </row>
    <row r="201" spans="1:18" x14ac:dyDescent="0.25">
      <c r="A201" s="170">
        <v>45377</v>
      </c>
      <c r="B201" s="116">
        <v>77.099999999999994</v>
      </c>
      <c r="C201" s="116">
        <v>74.680000000000007</v>
      </c>
      <c r="D201" s="116">
        <v>74.5</v>
      </c>
      <c r="E201" s="116">
        <v>76.64</v>
      </c>
      <c r="F201" s="116">
        <v>74.680000000000007</v>
      </c>
      <c r="G201">
        <v>22575</v>
      </c>
      <c r="H201" s="116"/>
      <c r="I201" s="116"/>
      <c r="L201" s="170">
        <v>45377</v>
      </c>
      <c r="M201" s="116">
        <v>74.8</v>
      </c>
      <c r="N201" s="116">
        <v>77.5</v>
      </c>
      <c r="O201" s="116">
        <v>74.5</v>
      </c>
      <c r="P201" s="116">
        <v>75.55</v>
      </c>
      <c r="Q201" s="116">
        <v>74.8</v>
      </c>
      <c r="R201">
        <v>739535</v>
      </c>
    </row>
    <row r="202" spans="1:18" x14ac:dyDescent="0.25">
      <c r="A202" s="170">
        <v>45378</v>
      </c>
      <c r="B202" s="116">
        <v>78</v>
      </c>
      <c r="C202" s="116">
        <v>76.61</v>
      </c>
      <c r="D202" s="116">
        <v>72.55</v>
      </c>
      <c r="E202" s="116">
        <v>73.37</v>
      </c>
      <c r="F202" s="116">
        <v>76.61</v>
      </c>
      <c r="G202">
        <v>72286</v>
      </c>
      <c r="H202" s="116"/>
      <c r="I202" s="116"/>
      <c r="L202" s="170">
        <v>45378</v>
      </c>
      <c r="M202" s="116">
        <v>77.05</v>
      </c>
      <c r="N202" s="116">
        <v>78.650000000000006</v>
      </c>
      <c r="O202" s="116">
        <v>73.599999999999994</v>
      </c>
      <c r="P202" s="116">
        <v>74.8</v>
      </c>
      <c r="Q202" s="116">
        <v>77.05</v>
      </c>
      <c r="R202">
        <v>1083144</v>
      </c>
    </row>
    <row r="203" spans="1:18" x14ac:dyDescent="0.25">
      <c r="A203" s="170">
        <v>45379</v>
      </c>
      <c r="B203" s="116">
        <v>78.400000000000006</v>
      </c>
      <c r="C203" s="116">
        <v>75.5</v>
      </c>
      <c r="D203" s="116">
        <v>75.3</v>
      </c>
      <c r="E203" s="116">
        <v>78.239999999999995</v>
      </c>
      <c r="F203" s="116">
        <v>75.5</v>
      </c>
      <c r="G203">
        <v>38087</v>
      </c>
      <c r="H203" s="116"/>
      <c r="I203" s="116"/>
      <c r="L203" s="170">
        <v>45379</v>
      </c>
      <c r="M203" s="116">
        <v>75.8</v>
      </c>
      <c r="N203" s="116">
        <v>78.599999999999994</v>
      </c>
      <c r="O203" s="116">
        <v>75.5</v>
      </c>
      <c r="P203" s="116">
        <v>78.099999999999994</v>
      </c>
      <c r="Q203" s="116">
        <v>75.8</v>
      </c>
      <c r="R203">
        <v>577324</v>
      </c>
    </row>
    <row r="204" spans="1:18" x14ac:dyDescent="0.25">
      <c r="A204" s="170">
        <v>45383</v>
      </c>
      <c r="B204" s="116">
        <v>80.3</v>
      </c>
      <c r="C204" s="116">
        <v>79.44</v>
      </c>
      <c r="D204" s="116">
        <v>76.98</v>
      </c>
      <c r="E204" s="116">
        <v>76.98</v>
      </c>
      <c r="F204" s="116">
        <v>79.44</v>
      </c>
      <c r="G204">
        <v>19544</v>
      </c>
      <c r="H204" s="116"/>
      <c r="I204" s="116"/>
      <c r="L204" s="170">
        <v>45383</v>
      </c>
      <c r="M204" s="116">
        <v>79.25</v>
      </c>
      <c r="N204" s="116">
        <v>80.5</v>
      </c>
      <c r="O204" s="116">
        <v>76.5</v>
      </c>
      <c r="P204" s="116">
        <v>76.95</v>
      </c>
      <c r="Q204" s="116">
        <v>79.25</v>
      </c>
      <c r="R204">
        <v>253979</v>
      </c>
    </row>
    <row r="205" spans="1:18" x14ac:dyDescent="0.25">
      <c r="A205" s="170">
        <v>45384</v>
      </c>
      <c r="B205" s="116">
        <v>80.31</v>
      </c>
      <c r="C205" s="116">
        <v>79.790000000000006</v>
      </c>
      <c r="D205" s="116">
        <v>78.39</v>
      </c>
      <c r="E205" s="116">
        <v>79.099999999999994</v>
      </c>
      <c r="F205" s="116">
        <v>79.790000000000006</v>
      </c>
      <c r="G205">
        <v>26868</v>
      </c>
      <c r="H205" s="116"/>
      <c r="I205" s="116"/>
      <c r="L205" s="170">
        <v>45384</v>
      </c>
      <c r="M205" s="116">
        <v>79.900000000000006</v>
      </c>
      <c r="N205" s="116">
        <v>80.599999999999994</v>
      </c>
      <c r="O205" s="116">
        <v>78</v>
      </c>
      <c r="P205" s="116">
        <v>78.5</v>
      </c>
      <c r="Q205" s="116">
        <v>79.900000000000006</v>
      </c>
      <c r="R205">
        <v>306698</v>
      </c>
    </row>
    <row r="206" spans="1:18" x14ac:dyDescent="0.25">
      <c r="A206" s="170">
        <v>45385</v>
      </c>
      <c r="B206" s="116">
        <v>81</v>
      </c>
      <c r="C206" s="116">
        <v>80.42</v>
      </c>
      <c r="D206" s="116">
        <v>79.260000000000005</v>
      </c>
      <c r="E206" s="116">
        <v>81</v>
      </c>
      <c r="F206" s="116">
        <v>80.42</v>
      </c>
      <c r="G206">
        <v>17218</v>
      </c>
      <c r="H206" s="116"/>
      <c r="I206" s="116"/>
      <c r="L206" s="170">
        <v>45385</v>
      </c>
      <c r="M206" s="116">
        <v>80.349999999999994</v>
      </c>
      <c r="N206" s="116">
        <v>81.099999999999994</v>
      </c>
      <c r="O206" s="116">
        <v>79.05</v>
      </c>
      <c r="P206" s="116">
        <v>79.55</v>
      </c>
      <c r="Q206" s="116">
        <v>80.349999999999994</v>
      </c>
      <c r="R206">
        <v>308387</v>
      </c>
    </row>
    <row r="207" spans="1:18" x14ac:dyDescent="0.25">
      <c r="A207" s="170">
        <v>45386</v>
      </c>
      <c r="B207" s="116">
        <v>83.15</v>
      </c>
      <c r="C207" s="116">
        <v>81.89</v>
      </c>
      <c r="D207" s="116">
        <v>80</v>
      </c>
      <c r="E207" s="116">
        <v>81</v>
      </c>
      <c r="F207" s="116">
        <v>81.89</v>
      </c>
      <c r="G207">
        <v>35433</v>
      </c>
      <c r="H207" s="116"/>
      <c r="I207" s="116"/>
      <c r="L207" s="170">
        <v>45386</v>
      </c>
      <c r="M207" s="116">
        <v>82</v>
      </c>
      <c r="N207" s="116">
        <v>83.4</v>
      </c>
      <c r="O207" s="116">
        <v>80.05</v>
      </c>
      <c r="P207" s="116">
        <v>80.099999999999994</v>
      </c>
      <c r="Q207" s="116">
        <v>82</v>
      </c>
      <c r="R207">
        <v>481176</v>
      </c>
    </row>
    <row r="208" spans="1:18" x14ac:dyDescent="0.25">
      <c r="A208" s="170">
        <v>45387</v>
      </c>
      <c r="B208" s="116">
        <v>83.9</v>
      </c>
      <c r="C208" s="116">
        <v>82.3</v>
      </c>
      <c r="D208" s="116">
        <v>80.260000000000005</v>
      </c>
      <c r="E208" s="116">
        <v>83.9</v>
      </c>
      <c r="F208" s="116">
        <v>82.3</v>
      </c>
      <c r="G208">
        <v>13514</v>
      </c>
      <c r="H208" s="116"/>
      <c r="I208" s="116"/>
      <c r="L208" s="170">
        <v>45387</v>
      </c>
      <c r="M208" s="116">
        <v>82.3</v>
      </c>
      <c r="N208" s="116">
        <v>83.5</v>
      </c>
      <c r="O208" s="116">
        <v>80.3</v>
      </c>
      <c r="P208" s="116">
        <v>81</v>
      </c>
      <c r="Q208" s="116">
        <v>82.3</v>
      </c>
      <c r="R208">
        <v>510830</v>
      </c>
    </row>
    <row r="209" spans="1:18" x14ac:dyDescent="0.25">
      <c r="A209" s="170">
        <v>45390</v>
      </c>
      <c r="B209" s="116">
        <v>83.21</v>
      </c>
      <c r="C209" s="116">
        <v>82.55</v>
      </c>
      <c r="D209" s="116">
        <v>81</v>
      </c>
      <c r="E209" s="116">
        <v>82.3</v>
      </c>
      <c r="F209" s="116">
        <v>82.55</v>
      </c>
      <c r="G209">
        <v>26520</v>
      </c>
      <c r="H209" s="116"/>
      <c r="I209" s="116"/>
      <c r="L209" s="170">
        <v>45390</v>
      </c>
      <c r="M209" s="116">
        <v>82.7</v>
      </c>
      <c r="N209" s="116">
        <v>83.4</v>
      </c>
      <c r="O209" s="116">
        <v>80.849999999999994</v>
      </c>
      <c r="P209" s="116">
        <v>83</v>
      </c>
      <c r="Q209" s="116">
        <v>82.7</v>
      </c>
      <c r="R209">
        <v>333418</v>
      </c>
    </row>
    <row r="210" spans="1:18" x14ac:dyDescent="0.25">
      <c r="A210" s="170">
        <v>45391</v>
      </c>
      <c r="B210" s="116">
        <v>83.32</v>
      </c>
      <c r="C210" s="116">
        <v>81.31</v>
      </c>
      <c r="D210" s="116">
        <v>80.25</v>
      </c>
      <c r="E210" s="116">
        <v>83.32</v>
      </c>
      <c r="F210" s="116">
        <v>81.31</v>
      </c>
      <c r="G210">
        <v>9320</v>
      </c>
      <c r="H210" s="116"/>
      <c r="I210" s="116"/>
      <c r="L210" s="170">
        <v>45391</v>
      </c>
      <c r="M210" s="116">
        <v>81.349999999999994</v>
      </c>
      <c r="N210" s="116">
        <v>83.5</v>
      </c>
      <c r="O210" s="116">
        <v>80.150000000000006</v>
      </c>
      <c r="P210" s="116">
        <v>83.5</v>
      </c>
      <c r="Q210" s="116">
        <v>81.349999999999994</v>
      </c>
      <c r="R210">
        <v>217622</v>
      </c>
    </row>
    <row r="211" spans="1:18" x14ac:dyDescent="0.25">
      <c r="A211" s="170">
        <v>45392</v>
      </c>
      <c r="B211" s="116">
        <v>81.63</v>
      </c>
      <c r="C211" s="116">
        <v>79.81</v>
      </c>
      <c r="D211" s="116">
        <v>79.150000000000006</v>
      </c>
      <c r="E211" s="116">
        <v>81.63</v>
      </c>
      <c r="F211" s="116">
        <v>79.81</v>
      </c>
      <c r="G211">
        <v>11027</v>
      </c>
      <c r="H211" s="116"/>
      <c r="I211" s="116"/>
      <c r="L211" s="170">
        <v>45392</v>
      </c>
      <c r="M211" s="116">
        <v>80</v>
      </c>
      <c r="N211" s="116">
        <v>82</v>
      </c>
      <c r="O211" s="116">
        <v>79.05</v>
      </c>
      <c r="P211" s="116">
        <v>82</v>
      </c>
      <c r="Q211" s="116">
        <v>80</v>
      </c>
      <c r="R211">
        <v>277518</v>
      </c>
    </row>
    <row r="212" spans="1:18" x14ac:dyDescent="0.25">
      <c r="A212" s="170">
        <v>45394</v>
      </c>
      <c r="B212" s="116">
        <v>85.67</v>
      </c>
      <c r="C212" s="116">
        <v>83.75</v>
      </c>
      <c r="D212" s="116">
        <v>78.91</v>
      </c>
      <c r="E212" s="116">
        <v>79.760000000000005</v>
      </c>
      <c r="F212" s="116">
        <v>83.75</v>
      </c>
      <c r="G212">
        <v>45956</v>
      </c>
      <c r="H212" s="116"/>
      <c r="I212" s="116"/>
      <c r="L212" s="170">
        <v>45394</v>
      </c>
      <c r="M212" s="116">
        <v>83.85</v>
      </c>
      <c r="N212" s="116">
        <v>85.5</v>
      </c>
      <c r="O212" s="116">
        <v>78.75</v>
      </c>
      <c r="P212" s="116">
        <v>79.900000000000006</v>
      </c>
      <c r="Q212" s="116">
        <v>83.85</v>
      </c>
      <c r="R212">
        <v>704696</v>
      </c>
    </row>
    <row r="213" spans="1:18" x14ac:dyDescent="0.25">
      <c r="A213" s="170">
        <v>45397</v>
      </c>
      <c r="B213" s="116">
        <v>82.65</v>
      </c>
      <c r="C213" s="116">
        <v>80.510000000000005</v>
      </c>
      <c r="D213" s="116">
        <v>79.55</v>
      </c>
      <c r="E213" s="116">
        <v>82.65</v>
      </c>
      <c r="F213" s="116">
        <v>80.510000000000005</v>
      </c>
      <c r="G213">
        <v>16501</v>
      </c>
      <c r="H213" s="116"/>
      <c r="I213" s="116"/>
      <c r="L213" s="170">
        <v>45397</v>
      </c>
      <c r="M213" s="116">
        <v>80.55</v>
      </c>
      <c r="N213" s="116">
        <v>82.35</v>
      </c>
      <c r="O213" s="116">
        <v>79.349999999999994</v>
      </c>
      <c r="P213" s="116">
        <v>80</v>
      </c>
      <c r="Q213" s="116">
        <v>80.55</v>
      </c>
      <c r="R213">
        <v>252555</v>
      </c>
    </row>
    <row r="214" spans="1:18" x14ac:dyDescent="0.25">
      <c r="A214" s="170">
        <v>45398</v>
      </c>
      <c r="B214" s="116">
        <v>84.15</v>
      </c>
      <c r="C214" s="116">
        <v>81.27</v>
      </c>
      <c r="D214" s="116">
        <v>80.75</v>
      </c>
      <c r="E214" s="116">
        <v>81.64</v>
      </c>
      <c r="F214" s="116">
        <v>81.27</v>
      </c>
      <c r="G214">
        <v>21244</v>
      </c>
      <c r="H214" s="116"/>
      <c r="I214" s="116"/>
      <c r="L214" s="170">
        <v>45398</v>
      </c>
      <c r="M214" s="116">
        <v>81.400000000000006</v>
      </c>
      <c r="N214" s="116">
        <v>84.6</v>
      </c>
      <c r="O214" s="116">
        <v>80.150000000000006</v>
      </c>
      <c r="P214" s="116">
        <v>80.599999999999994</v>
      </c>
      <c r="Q214" s="116">
        <v>81.400000000000006</v>
      </c>
      <c r="R214">
        <v>348513</v>
      </c>
    </row>
    <row r="215" spans="1:18" x14ac:dyDescent="0.25">
      <c r="A215" s="170">
        <v>45400</v>
      </c>
      <c r="B215" s="116">
        <v>84.15</v>
      </c>
      <c r="C215" s="116">
        <v>81.7</v>
      </c>
      <c r="D215" s="116">
        <v>81.59</v>
      </c>
      <c r="E215" s="116">
        <v>82.89</v>
      </c>
      <c r="F215" s="116">
        <v>81.7</v>
      </c>
      <c r="G215">
        <v>17750</v>
      </c>
      <c r="H215" s="116"/>
      <c r="I215" s="116"/>
      <c r="L215" s="170">
        <v>45400</v>
      </c>
      <c r="M215" s="116">
        <v>81.75</v>
      </c>
      <c r="N215" s="116">
        <v>84.45</v>
      </c>
      <c r="O215" s="116">
        <v>81.5</v>
      </c>
      <c r="P215" s="116">
        <v>81.95</v>
      </c>
      <c r="Q215" s="116">
        <v>81.75</v>
      </c>
      <c r="R215">
        <v>340688</v>
      </c>
    </row>
    <row r="216" spans="1:18" x14ac:dyDescent="0.25">
      <c r="A216" s="170">
        <v>45401</v>
      </c>
      <c r="B216" s="116">
        <v>82.29</v>
      </c>
      <c r="C216" s="116">
        <v>81.239999999999995</v>
      </c>
      <c r="D216" s="116">
        <v>80.709999999999994</v>
      </c>
      <c r="E216" s="116">
        <v>81.099999999999994</v>
      </c>
      <c r="F216" s="116">
        <v>81.239999999999995</v>
      </c>
      <c r="G216">
        <v>11169</v>
      </c>
      <c r="H216" s="116"/>
      <c r="I216" s="116"/>
      <c r="L216" s="170">
        <v>45401</v>
      </c>
      <c r="M216" s="116">
        <v>81.2</v>
      </c>
      <c r="N216" s="116">
        <v>82.4</v>
      </c>
      <c r="O216" s="116">
        <v>80.650000000000006</v>
      </c>
      <c r="P216" s="116">
        <v>81.099999999999994</v>
      </c>
      <c r="Q216" s="116">
        <v>81.2</v>
      </c>
      <c r="R216">
        <v>183309</v>
      </c>
    </row>
    <row r="217" spans="1:18" x14ac:dyDescent="0.25">
      <c r="A217" s="170">
        <v>45404</v>
      </c>
      <c r="B217" s="116">
        <v>84.1</v>
      </c>
      <c r="C217" s="116">
        <v>82.83</v>
      </c>
      <c r="D217" s="116">
        <v>81.55</v>
      </c>
      <c r="E217" s="116">
        <v>84.1</v>
      </c>
      <c r="F217" s="116">
        <v>82.83</v>
      </c>
      <c r="G217">
        <v>17695</v>
      </c>
      <c r="H217" s="116"/>
      <c r="I217" s="116"/>
      <c r="L217" s="170">
        <v>45404</v>
      </c>
      <c r="M217" s="116">
        <v>82.95</v>
      </c>
      <c r="N217" s="116">
        <v>84.3</v>
      </c>
      <c r="O217" s="116">
        <v>81.8</v>
      </c>
      <c r="P217" s="116">
        <v>82.45</v>
      </c>
      <c r="Q217" s="116">
        <v>82.95</v>
      </c>
      <c r="R217">
        <v>204712</v>
      </c>
    </row>
    <row r="218" spans="1:18" x14ac:dyDescent="0.25">
      <c r="A218" s="170">
        <v>45405</v>
      </c>
      <c r="B218" s="116">
        <v>85.2</v>
      </c>
      <c r="C218" s="116">
        <v>84.92</v>
      </c>
      <c r="D218" s="116">
        <v>83</v>
      </c>
      <c r="E218" s="116">
        <v>83</v>
      </c>
      <c r="F218" s="116">
        <v>84.92</v>
      </c>
      <c r="G218">
        <v>30775</v>
      </c>
      <c r="H218" s="116"/>
      <c r="I218" s="116"/>
      <c r="L218" s="170">
        <v>45405</v>
      </c>
      <c r="M218" s="116">
        <v>84.95</v>
      </c>
      <c r="N218" s="116">
        <v>85.5</v>
      </c>
      <c r="O218" s="116">
        <v>82.9</v>
      </c>
      <c r="P218" s="116">
        <v>82.95</v>
      </c>
      <c r="Q218" s="116">
        <v>84.95</v>
      </c>
      <c r="R218">
        <v>417087</v>
      </c>
    </row>
    <row r="219" spans="1:18" x14ac:dyDescent="0.25">
      <c r="A219" s="170">
        <v>45406</v>
      </c>
      <c r="B219" s="116">
        <v>85.06</v>
      </c>
      <c r="C219" s="116">
        <v>83.3</v>
      </c>
      <c r="D219" s="116">
        <v>83.15</v>
      </c>
      <c r="E219" s="116">
        <v>85.06</v>
      </c>
      <c r="F219" s="116">
        <v>83.3</v>
      </c>
      <c r="G219">
        <v>6328</v>
      </c>
      <c r="H219" s="116"/>
      <c r="I219" s="116"/>
      <c r="L219" s="170">
        <v>45406</v>
      </c>
      <c r="M219" s="116">
        <v>83.4</v>
      </c>
      <c r="N219" s="116">
        <v>85.8</v>
      </c>
      <c r="O219" s="116">
        <v>83.05</v>
      </c>
      <c r="P219" s="116">
        <v>85</v>
      </c>
      <c r="Q219" s="116">
        <v>83.4</v>
      </c>
      <c r="R219">
        <v>146457</v>
      </c>
    </row>
    <row r="220" spans="1:18" x14ac:dyDescent="0.25">
      <c r="A220" s="170">
        <v>45407</v>
      </c>
      <c r="B220" s="116">
        <v>85.7</v>
      </c>
      <c r="C220" s="116">
        <v>84.72</v>
      </c>
      <c r="D220" s="116">
        <v>83.63</v>
      </c>
      <c r="E220" s="116">
        <v>83.63</v>
      </c>
      <c r="F220" s="116">
        <v>84.72</v>
      </c>
      <c r="G220">
        <v>5284</v>
      </c>
      <c r="H220" s="116"/>
      <c r="I220" s="116"/>
      <c r="L220" s="170">
        <v>45407</v>
      </c>
      <c r="M220" s="116">
        <v>84.8</v>
      </c>
      <c r="N220" s="116">
        <v>85.7</v>
      </c>
      <c r="O220" s="116">
        <v>83.45</v>
      </c>
      <c r="P220" s="116">
        <v>84</v>
      </c>
      <c r="Q220" s="116">
        <v>84.8</v>
      </c>
      <c r="R220">
        <v>206059</v>
      </c>
    </row>
    <row r="221" spans="1:18" x14ac:dyDescent="0.25">
      <c r="A221" s="170">
        <v>45408</v>
      </c>
      <c r="B221" s="116">
        <v>85.34</v>
      </c>
      <c r="C221" s="116">
        <v>84.07</v>
      </c>
      <c r="D221" s="116">
        <v>83.16</v>
      </c>
      <c r="E221" s="116">
        <v>83.16</v>
      </c>
      <c r="F221" s="116">
        <v>84.07</v>
      </c>
      <c r="G221">
        <v>7724</v>
      </c>
      <c r="H221" s="116"/>
      <c r="I221" s="116"/>
      <c r="L221" s="170">
        <v>45408</v>
      </c>
      <c r="M221" s="116">
        <v>84.1</v>
      </c>
      <c r="N221" s="116">
        <v>85.45</v>
      </c>
      <c r="O221" s="116">
        <v>83.5</v>
      </c>
      <c r="P221" s="116">
        <v>84.8</v>
      </c>
      <c r="Q221" s="116">
        <v>84.1</v>
      </c>
      <c r="R221">
        <v>147563</v>
      </c>
    </row>
    <row r="222" spans="1:18" x14ac:dyDescent="0.25">
      <c r="A222" s="170">
        <v>45411</v>
      </c>
      <c r="B222" s="116">
        <v>85.51</v>
      </c>
      <c r="C222" s="116">
        <v>83.63</v>
      </c>
      <c r="D222" s="116">
        <v>83.17</v>
      </c>
      <c r="E222" s="116">
        <v>84.1</v>
      </c>
      <c r="F222" s="116">
        <v>83.63</v>
      </c>
      <c r="G222">
        <v>9976</v>
      </c>
      <c r="H222" s="116"/>
      <c r="I222" s="116"/>
      <c r="L222" s="170">
        <v>45411</v>
      </c>
      <c r="M222" s="116">
        <v>83.5</v>
      </c>
      <c r="N222" s="116">
        <v>85.5</v>
      </c>
      <c r="O222" s="116">
        <v>83.1</v>
      </c>
      <c r="P222" s="116">
        <v>84.2</v>
      </c>
      <c r="Q222" s="116">
        <v>83.5</v>
      </c>
      <c r="R222">
        <v>197411</v>
      </c>
    </row>
    <row r="223" spans="1:18" x14ac:dyDescent="0.25">
      <c r="A223" s="170">
        <v>45412</v>
      </c>
      <c r="B223" s="116">
        <v>84.31</v>
      </c>
      <c r="C223" s="116">
        <v>83.05</v>
      </c>
      <c r="D223" s="116">
        <v>82.1</v>
      </c>
      <c r="E223" s="116">
        <v>83.66</v>
      </c>
      <c r="F223" s="116">
        <v>83.05</v>
      </c>
      <c r="G223">
        <v>13093</v>
      </c>
      <c r="H223" s="116"/>
      <c r="I223" s="116"/>
      <c r="L223" s="170">
        <v>45412</v>
      </c>
      <c r="M223" s="116">
        <v>82.85</v>
      </c>
      <c r="N223" s="116">
        <v>84.5</v>
      </c>
      <c r="O223" s="116">
        <v>82.1</v>
      </c>
      <c r="P223" s="116">
        <v>84.35</v>
      </c>
      <c r="Q223" s="116">
        <v>82.85</v>
      </c>
      <c r="R223">
        <v>204505</v>
      </c>
    </row>
    <row r="224" spans="1:18" x14ac:dyDescent="0.25">
      <c r="A224" s="170">
        <v>45414</v>
      </c>
      <c r="B224" s="116">
        <v>86.9</v>
      </c>
      <c r="C224" s="116">
        <v>85.48</v>
      </c>
      <c r="D224" s="116">
        <v>82.99</v>
      </c>
      <c r="E224" s="116">
        <v>83.3</v>
      </c>
      <c r="F224" s="116">
        <v>85.48</v>
      </c>
      <c r="G224">
        <v>37806</v>
      </c>
      <c r="H224" s="116"/>
      <c r="I224" s="116"/>
      <c r="L224" s="170">
        <v>45414</v>
      </c>
      <c r="M224" s="116">
        <v>85.5</v>
      </c>
      <c r="N224" s="116">
        <v>87</v>
      </c>
      <c r="O224" s="116">
        <v>82.85</v>
      </c>
      <c r="P224" s="116">
        <v>83.3</v>
      </c>
      <c r="Q224" s="116">
        <v>85.5</v>
      </c>
      <c r="R224">
        <v>298768</v>
      </c>
    </row>
    <row r="225" spans="1:18" x14ac:dyDescent="0.25">
      <c r="A225" s="170">
        <v>45415</v>
      </c>
      <c r="B225" s="116">
        <v>86</v>
      </c>
      <c r="C225" s="116">
        <v>82.68</v>
      </c>
      <c r="D225" s="116">
        <v>81.37</v>
      </c>
      <c r="E225" s="116">
        <v>84.01</v>
      </c>
      <c r="F225" s="116">
        <v>82.68</v>
      </c>
      <c r="G225">
        <v>22835</v>
      </c>
      <c r="H225" s="116"/>
      <c r="I225" s="116"/>
      <c r="L225" s="170">
        <v>45415</v>
      </c>
      <c r="M225" s="116">
        <v>82.5</v>
      </c>
      <c r="N225" s="116">
        <v>86.1</v>
      </c>
      <c r="O225" s="116">
        <v>80.900000000000006</v>
      </c>
      <c r="P225" s="116">
        <v>85.5</v>
      </c>
      <c r="Q225" s="116">
        <v>82.5</v>
      </c>
      <c r="R225">
        <v>329003</v>
      </c>
    </row>
    <row r="226" spans="1:18" x14ac:dyDescent="0.25">
      <c r="A226" s="170">
        <v>45418</v>
      </c>
      <c r="B226" s="116">
        <v>84</v>
      </c>
      <c r="C226" s="116">
        <v>83.64</v>
      </c>
      <c r="D226" s="116">
        <v>80.900000000000006</v>
      </c>
      <c r="E226" s="116">
        <v>82.05</v>
      </c>
      <c r="F226" s="116">
        <v>83.64</v>
      </c>
      <c r="G226">
        <v>25895</v>
      </c>
      <c r="H226" s="116"/>
      <c r="I226" s="116"/>
      <c r="L226" s="170">
        <v>45418</v>
      </c>
      <c r="M226" s="116">
        <v>82.4</v>
      </c>
      <c r="N226" s="116">
        <v>85.15</v>
      </c>
      <c r="O226" s="116">
        <v>80.400000000000006</v>
      </c>
      <c r="P226" s="116">
        <v>84.8</v>
      </c>
      <c r="Q226" s="116">
        <v>82.4</v>
      </c>
      <c r="R226">
        <v>374784</v>
      </c>
    </row>
    <row r="227" spans="1:18" x14ac:dyDescent="0.25">
      <c r="A227" s="170">
        <v>45419</v>
      </c>
      <c r="B227" s="116">
        <v>91.94</v>
      </c>
      <c r="C227" s="116">
        <v>84.38</v>
      </c>
      <c r="D227" s="116">
        <v>83.76</v>
      </c>
      <c r="E227" s="116">
        <v>89.9</v>
      </c>
      <c r="F227" s="116">
        <v>84.38</v>
      </c>
      <c r="G227">
        <v>210640</v>
      </c>
      <c r="H227" s="116"/>
      <c r="I227" s="116"/>
      <c r="L227" s="170">
        <v>45419</v>
      </c>
      <c r="M227" s="116">
        <v>84.6</v>
      </c>
      <c r="N227" s="116">
        <v>91.85</v>
      </c>
      <c r="O227" s="116">
        <v>83.7</v>
      </c>
      <c r="P227" s="116">
        <v>89.85</v>
      </c>
      <c r="Q227" s="116">
        <v>84.6</v>
      </c>
      <c r="R227">
        <v>4257031</v>
      </c>
    </row>
    <row r="228" spans="1:18" x14ac:dyDescent="0.25">
      <c r="A228" s="170">
        <v>45420</v>
      </c>
      <c r="B228" s="116">
        <v>86.49</v>
      </c>
      <c r="C228" s="116">
        <v>84.47</v>
      </c>
      <c r="D228" s="116">
        <v>83.55</v>
      </c>
      <c r="E228" s="116">
        <v>86.49</v>
      </c>
      <c r="F228" s="116">
        <v>84.47</v>
      </c>
      <c r="G228">
        <v>45925</v>
      </c>
      <c r="H228" s="116"/>
      <c r="I228" s="116"/>
      <c r="L228" s="170">
        <v>45420</v>
      </c>
      <c r="M228" s="116">
        <v>84.6</v>
      </c>
      <c r="N228" s="116">
        <v>86.3</v>
      </c>
      <c r="O228" s="116">
        <v>83.5</v>
      </c>
      <c r="P228" s="116">
        <v>85</v>
      </c>
      <c r="Q228" s="116">
        <v>84.6</v>
      </c>
      <c r="R228">
        <v>812479</v>
      </c>
    </row>
    <row r="229" spans="1:18" x14ac:dyDescent="0.25">
      <c r="A229" s="170">
        <v>45421</v>
      </c>
      <c r="B229" s="116">
        <v>86.9</v>
      </c>
      <c r="C229" s="116">
        <v>82.85</v>
      </c>
      <c r="D229" s="116">
        <v>82.1</v>
      </c>
      <c r="E229" s="116">
        <v>86.9</v>
      </c>
      <c r="F229" s="116">
        <v>82.85</v>
      </c>
      <c r="G229">
        <v>26731</v>
      </c>
      <c r="H229" s="116"/>
      <c r="I229" s="116"/>
      <c r="L229" s="170">
        <v>45421</v>
      </c>
      <c r="M229" s="116">
        <v>82.75</v>
      </c>
      <c r="N229" s="116">
        <v>86.8</v>
      </c>
      <c r="O229" s="116">
        <v>81.900000000000006</v>
      </c>
      <c r="P229" s="116">
        <v>84.9</v>
      </c>
      <c r="Q229" s="116">
        <v>82.75</v>
      </c>
      <c r="R229">
        <v>351172</v>
      </c>
    </row>
    <row r="230" spans="1:18" x14ac:dyDescent="0.25">
      <c r="A230" s="170">
        <v>45422</v>
      </c>
      <c r="B230" s="116">
        <v>86</v>
      </c>
      <c r="C230" s="116">
        <v>85.16</v>
      </c>
      <c r="D230" s="116">
        <v>80.900000000000006</v>
      </c>
      <c r="E230" s="116">
        <v>82.1</v>
      </c>
      <c r="F230" s="116">
        <v>85.16</v>
      </c>
      <c r="G230">
        <v>45386</v>
      </c>
      <c r="H230" s="116"/>
      <c r="I230" s="116"/>
      <c r="L230" s="170">
        <v>45422</v>
      </c>
      <c r="M230" s="116">
        <v>85.3</v>
      </c>
      <c r="N230" s="116">
        <v>86.2</v>
      </c>
      <c r="O230" s="116">
        <v>80.75</v>
      </c>
      <c r="P230" s="116">
        <v>83</v>
      </c>
      <c r="Q230" s="116">
        <v>85.3</v>
      </c>
      <c r="R230">
        <v>623732</v>
      </c>
    </row>
    <row r="231" spans="1:18" x14ac:dyDescent="0.25">
      <c r="A231" s="170">
        <v>45425</v>
      </c>
      <c r="B231" s="116">
        <v>87.02</v>
      </c>
      <c r="C231" s="116">
        <v>84.13</v>
      </c>
      <c r="D231" s="116">
        <v>83.15</v>
      </c>
      <c r="E231" s="116">
        <v>85.35</v>
      </c>
      <c r="F231" s="116">
        <v>84.13</v>
      </c>
      <c r="G231">
        <v>25209</v>
      </c>
      <c r="H231" s="116"/>
      <c r="I231" s="116"/>
      <c r="L231" s="170">
        <v>45425</v>
      </c>
      <c r="M231" s="116">
        <v>84.25</v>
      </c>
      <c r="N231" s="116">
        <v>87</v>
      </c>
      <c r="O231" s="116">
        <v>83.1</v>
      </c>
      <c r="P231" s="116">
        <v>85.95</v>
      </c>
      <c r="Q231" s="116">
        <v>84.25</v>
      </c>
      <c r="R231">
        <v>300727</v>
      </c>
    </row>
    <row r="232" spans="1:18" x14ac:dyDescent="0.25">
      <c r="A232" s="170">
        <v>45426</v>
      </c>
      <c r="B232" s="116">
        <v>86</v>
      </c>
      <c r="C232" s="116">
        <v>84.93</v>
      </c>
      <c r="D232" s="116">
        <v>83.75</v>
      </c>
      <c r="E232" s="116">
        <v>83.75</v>
      </c>
      <c r="F232" s="116">
        <v>84.93</v>
      </c>
      <c r="G232">
        <v>11862</v>
      </c>
      <c r="H232" s="116"/>
      <c r="I232" s="116"/>
      <c r="L232" s="170">
        <v>45426</v>
      </c>
      <c r="M232" s="116">
        <v>84.9</v>
      </c>
      <c r="N232" s="116">
        <v>86.15</v>
      </c>
      <c r="O232" s="116">
        <v>84.45</v>
      </c>
      <c r="P232" s="116">
        <v>85.25</v>
      </c>
      <c r="Q232" s="116">
        <v>84.9</v>
      </c>
      <c r="R232">
        <v>167006</v>
      </c>
    </row>
    <row r="233" spans="1:18" x14ac:dyDescent="0.25">
      <c r="A233" s="170">
        <v>45427</v>
      </c>
      <c r="B233" s="116">
        <v>87.84</v>
      </c>
      <c r="C233" s="116">
        <v>84.93</v>
      </c>
      <c r="D233" s="116">
        <v>84</v>
      </c>
      <c r="E233" s="116">
        <v>84.93</v>
      </c>
      <c r="F233" s="116">
        <v>84.93</v>
      </c>
      <c r="G233">
        <v>36298</v>
      </c>
      <c r="H233" s="116"/>
      <c r="I233" s="116"/>
      <c r="L233" s="170">
        <v>45427</v>
      </c>
      <c r="M233" s="116">
        <v>84.85</v>
      </c>
      <c r="N233" s="116">
        <v>87.9</v>
      </c>
      <c r="O233" s="116">
        <v>83.6</v>
      </c>
      <c r="P233" s="116">
        <v>85.1</v>
      </c>
      <c r="Q233" s="116">
        <v>84.85</v>
      </c>
      <c r="R233">
        <v>550996</v>
      </c>
    </row>
    <row r="234" spans="1:18" x14ac:dyDescent="0.25">
      <c r="A234" s="170">
        <v>45428</v>
      </c>
      <c r="B234" s="116">
        <v>86.11</v>
      </c>
      <c r="C234" s="116">
        <v>84.73</v>
      </c>
      <c r="D234" s="116">
        <v>84.25</v>
      </c>
      <c r="E234" s="116">
        <v>85</v>
      </c>
      <c r="F234" s="116">
        <v>84.73</v>
      </c>
      <c r="G234">
        <v>20215</v>
      </c>
      <c r="H234" s="116"/>
      <c r="I234" s="116"/>
      <c r="L234" s="170">
        <v>45428</v>
      </c>
      <c r="M234" s="116">
        <v>84.7</v>
      </c>
      <c r="N234" s="116">
        <v>86.25</v>
      </c>
      <c r="O234" s="116">
        <v>84.3</v>
      </c>
      <c r="P234" s="116">
        <v>85.7</v>
      </c>
      <c r="Q234" s="116">
        <v>84.7</v>
      </c>
      <c r="R234">
        <v>142174</v>
      </c>
    </row>
    <row r="235" spans="1:18" x14ac:dyDescent="0.25">
      <c r="A235" s="170">
        <v>45429</v>
      </c>
      <c r="B235" s="116">
        <v>85.9</v>
      </c>
      <c r="C235" s="116">
        <v>84.99</v>
      </c>
      <c r="D235" s="116">
        <v>84.5</v>
      </c>
      <c r="E235" s="116">
        <v>85.55</v>
      </c>
      <c r="F235" s="116">
        <v>84.99</v>
      </c>
      <c r="G235">
        <v>14166</v>
      </c>
      <c r="H235" s="116"/>
      <c r="I235" s="116"/>
      <c r="L235" s="170">
        <v>45429</v>
      </c>
      <c r="M235" s="116">
        <v>84.9</v>
      </c>
      <c r="N235" s="116">
        <v>85.95</v>
      </c>
      <c r="O235" s="116">
        <v>84.3</v>
      </c>
      <c r="P235" s="116">
        <v>85.55</v>
      </c>
      <c r="Q235" s="116">
        <v>84.9</v>
      </c>
      <c r="R235">
        <v>114124</v>
      </c>
    </row>
    <row r="236" spans="1:18" x14ac:dyDescent="0.25">
      <c r="A236" s="170">
        <v>45430</v>
      </c>
      <c r="B236" s="116">
        <v>85.95</v>
      </c>
      <c r="C236" s="116">
        <v>84.27</v>
      </c>
      <c r="D236" s="116">
        <v>84.05</v>
      </c>
      <c r="E236" s="116">
        <v>84.05</v>
      </c>
      <c r="F236" s="116">
        <v>84.27</v>
      </c>
      <c r="G236">
        <v>5696</v>
      </c>
      <c r="H236" s="116"/>
      <c r="I236" s="116"/>
      <c r="L236" s="170">
        <v>45430</v>
      </c>
      <c r="M236" s="116">
        <v>84.75</v>
      </c>
      <c r="N236" s="116">
        <v>85.95</v>
      </c>
      <c r="O236" s="116">
        <v>84.4</v>
      </c>
      <c r="P236" s="116">
        <v>84.45</v>
      </c>
      <c r="Q236" s="116">
        <v>84.75</v>
      </c>
      <c r="R236">
        <v>18362</v>
      </c>
    </row>
    <row r="237" spans="1:18" x14ac:dyDescent="0.25">
      <c r="A237" s="170">
        <v>45433</v>
      </c>
      <c r="B237" s="116">
        <v>85.03</v>
      </c>
      <c r="C237" s="116">
        <v>82.61</v>
      </c>
      <c r="D237" s="116">
        <v>82.05</v>
      </c>
      <c r="E237" s="116">
        <v>85.03</v>
      </c>
      <c r="F237" s="116">
        <v>82.61</v>
      </c>
      <c r="G237">
        <v>8994</v>
      </c>
      <c r="H237" s="116"/>
      <c r="I237" s="116"/>
      <c r="L237" s="170">
        <v>45433</v>
      </c>
      <c r="M237" s="116">
        <v>82.7</v>
      </c>
      <c r="N237" s="116">
        <v>85.5</v>
      </c>
      <c r="O237" s="116">
        <v>82.25</v>
      </c>
      <c r="P237" s="116">
        <v>85.25</v>
      </c>
      <c r="Q237" s="116">
        <v>82.7</v>
      </c>
      <c r="R237">
        <v>214761</v>
      </c>
    </row>
    <row r="238" spans="1:18" x14ac:dyDescent="0.25">
      <c r="A238" s="170">
        <v>45434</v>
      </c>
      <c r="B238" s="116">
        <v>83.5</v>
      </c>
      <c r="C238" s="116">
        <v>81.569999999999993</v>
      </c>
      <c r="D238" s="116">
        <v>81.5</v>
      </c>
      <c r="E238" s="116">
        <v>83.45</v>
      </c>
      <c r="F238" s="116">
        <v>81.569999999999993</v>
      </c>
      <c r="G238">
        <v>12507</v>
      </c>
      <c r="H238" s="116"/>
      <c r="I238" s="116"/>
      <c r="L238" s="170">
        <v>45434</v>
      </c>
      <c r="M238" s="116">
        <v>81.7</v>
      </c>
      <c r="N238" s="116">
        <v>83.55</v>
      </c>
      <c r="O238" s="116">
        <v>81.099999999999994</v>
      </c>
      <c r="P238" s="116">
        <v>83.55</v>
      </c>
      <c r="Q238" s="116">
        <v>81.7</v>
      </c>
      <c r="R238">
        <v>199135</v>
      </c>
    </row>
    <row r="239" spans="1:18" x14ac:dyDescent="0.25">
      <c r="A239" s="170">
        <v>45435</v>
      </c>
      <c r="B239" s="116">
        <v>82.5</v>
      </c>
      <c r="C239" s="116">
        <v>81.27</v>
      </c>
      <c r="D239" s="116">
        <v>81</v>
      </c>
      <c r="E239" s="116">
        <v>82.19</v>
      </c>
      <c r="F239" s="116">
        <v>81.27</v>
      </c>
      <c r="G239">
        <v>11880</v>
      </c>
      <c r="H239" s="116"/>
      <c r="I239" s="116"/>
      <c r="L239" s="170">
        <v>45435</v>
      </c>
      <c r="M239" s="116">
        <v>81.25</v>
      </c>
      <c r="N239" s="116">
        <v>82.7</v>
      </c>
      <c r="O239" s="116">
        <v>80.8</v>
      </c>
      <c r="P239" s="116">
        <v>82.5</v>
      </c>
      <c r="Q239" s="116">
        <v>81.25</v>
      </c>
      <c r="R239">
        <v>202897</v>
      </c>
    </row>
    <row r="240" spans="1:18" x14ac:dyDescent="0.25">
      <c r="A240" s="170">
        <v>45436</v>
      </c>
      <c r="B240" s="116">
        <v>83.3</v>
      </c>
      <c r="C240" s="116">
        <v>81.819999999999993</v>
      </c>
      <c r="D240" s="116">
        <v>81.099999999999994</v>
      </c>
      <c r="E240" s="116">
        <v>81.099999999999994</v>
      </c>
      <c r="F240" s="116">
        <v>81.819999999999993</v>
      </c>
      <c r="G240">
        <v>17915</v>
      </c>
      <c r="H240" s="116"/>
      <c r="I240" s="116"/>
      <c r="L240" s="170">
        <v>45436</v>
      </c>
      <c r="M240" s="116">
        <v>81.849999999999994</v>
      </c>
      <c r="N240" s="116">
        <v>83.4</v>
      </c>
      <c r="O240" s="116">
        <v>80.650000000000006</v>
      </c>
      <c r="P240" s="116">
        <v>80.650000000000006</v>
      </c>
      <c r="Q240" s="116">
        <v>81.849999999999994</v>
      </c>
      <c r="R240">
        <v>149507</v>
      </c>
    </row>
    <row r="241" spans="1:18" x14ac:dyDescent="0.25">
      <c r="A241" s="170">
        <v>45439</v>
      </c>
      <c r="B241" s="116">
        <v>83.5</v>
      </c>
      <c r="C241" s="116">
        <v>81.12</v>
      </c>
      <c r="D241" s="116">
        <v>80.849999999999994</v>
      </c>
      <c r="E241" s="116">
        <v>83.5</v>
      </c>
      <c r="F241" s="116">
        <v>81.12</v>
      </c>
      <c r="G241">
        <v>24148</v>
      </c>
      <c r="H241" s="116"/>
      <c r="I241" s="116"/>
      <c r="L241" s="170">
        <v>45439</v>
      </c>
      <c r="M241" s="116">
        <v>81.05</v>
      </c>
      <c r="N241" s="116">
        <v>82.9</v>
      </c>
      <c r="O241" s="116">
        <v>80.75</v>
      </c>
      <c r="P241" s="116">
        <v>82.7</v>
      </c>
      <c r="Q241" s="116">
        <v>81.05</v>
      </c>
      <c r="R241">
        <v>186327</v>
      </c>
    </row>
    <row r="242" spans="1:18" x14ac:dyDescent="0.25">
      <c r="A242" s="170">
        <v>45440</v>
      </c>
      <c r="B242" s="116">
        <v>81.150000000000006</v>
      </c>
      <c r="C242" s="116">
        <v>80.03</v>
      </c>
      <c r="D242" s="116">
        <v>79.25</v>
      </c>
      <c r="E242" s="116">
        <v>81.150000000000006</v>
      </c>
      <c r="F242" s="116">
        <v>80.03</v>
      </c>
      <c r="G242">
        <v>27128</v>
      </c>
      <c r="H242" s="116"/>
      <c r="I242" s="116"/>
      <c r="L242" s="170">
        <v>45440</v>
      </c>
      <c r="M242" s="116">
        <v>79.849999999999994</v>
      </c>
      <c r="N242" s="116">
        <v>81.5</v>
      </c>
      <c r="O242" s="116">
        <v>79.3</v>
      </c>
      <c r="P242" s="116">
        <v>81.099999999999994</v>
      </c>
      <c r="Q242" s="116">
        <v>79.849999999999994</v>
      </c>
      <c r="R242">
        <v>136548</v>
      </c>
    </row>
    <row r="243" spans="1:18" x14ac:dyDescent="0.25">
      <c r="A243" s="170">
        <v>45441</v>
      </c>
      <c r="B243" s="116">
        <v>81.599999999999994</v>
      </c>
      <c r="C243" s="116">
        <v>79.66</v>
      </c>
      <c r="D243" s="116">
        <v>79.47</v>
      </c>
      <c r="E243" s="116">
        <v>80.11</v>
      </c>
      <c r="F243" s="116">
        <v>79.66</v>
      </c>
      <c r="G243">
        <v>12473</v>
      </c>
      <c r="H243" s="116"/>
      <c r="I243" s="116"/>
      <c r="L243" s="170">
        <v>45441</v>
      </c>
      <c r="M243" s="116">
        <v>79.8</v>
      </c>
      <c r="N243" s="116">
        <v>81.55</v>
      </c>
      <c r="O243" s="116">
        <v>79.3</v>
      </c>
      <c r="P243" s="116">
        <v>80.599999999999994</v>
      </c>
      <c r="Q243" s="116">
        <v>79.8</v>
      </c>
      <c r="R243">
        <v>151686</v>
      </c>
    </row>
    <row r="244" spans="1:18" x14ac:dyDescent="0.25">
      <c r="A244" s="170">
        <v>45442</v>
      </c>
      <c r="B244" s="116">
        <v>80.489999999999995</v>
      </c>
      <c r="C244" s="116">
        <v>78.03</v>
      </c>
      <c r="D244" s="116">
        <v>77.75</v>
      </c>
      <c r="E244" s="116">
        <v>79.05</v>
      </c>
      <c r="F244" s="116">
        <v>78.03</v>
      </c>
      <c r="G244">
        <v>10301</v>
      </c>
      <c r="H244" s="116"/>
      <c r="I244" s="116"/>
      <c r="L244" s="170">
        <v>45442</v>
      </c>
      <c r="M244" s="116">
        <v>78.400000000000006</v>
      </c>
      <c r="N244" s="116">
        <v>80.400000000000006</v>
      </c>
      <c r="O244" s="116">
        <v>78.05</v>
      </c>
      <c r="P244" s="116">
        <v>80.400000000000006</v>
      </c>
      <c r="Q244" s="116">
        <v>78.400000000000006</v>
      </c>
      <c r="R244">
        <v>186453</v>
      </c>
    </row>
    <row r="245" spans="1:18" x14ac:dyDescent="0.25">
      <c r="A245" s="170">
        <v>45443</v>
      </c>
      <c r="B245" s="116">
        <v>79.59</v>
      </c>
      <c r="C245" s="116">
        <v>79.069999999999993</v>
      </c>
      <c r="D245" s="116">
        <v>77.959999999999994</v>
      </c>
      <c r="E245" s="116">
        <v>79.59</v>
      </c>
      <c r="F245" s="116">
        <v>79.069999999999993</v>
      </c>
      <c r="G245">
        <v>5756</v>
      </c>
      <c r="H245" s="116"/>
      <c r="I245" s="116"/>
      <c r="L245" s="170">
        <v>45443</v>
      </c>
      <c r="M245" s="116">
        <v>79.45</v>
      </c>
      <c r="N245" s="116">
        <v>80.900000000000006</v>
      </c>
      <c r="O245" s="116">
        <v>77.5</v>
      </c>
      <c r="P245" s="116">
        <v>79.7</v>
      </c>
      <c r="Q245" s="116">
        <v>79.45</v>
      </c>
      <c r="R245">
        <v>101095</v>
      </c>
    </row>
    <row r="246" spans="1:18" x14ac:dyDescent="0.25">
      <c r="A246" s="170">
        <v>45446</v>
      </c>
      <c r="B246" s="116">
        <v>81.5</v>
      </c>
      <c r="C246" s="116">
        <v>79.77</v>
      </c>
      <c r="D246" s="116">
        <v>79.010000000000005</v>
      </c>
      <c r="E246" s="116">
        <v>80</v>
      </c>
      <c r="F246" s="116">
        <v>79.77</v>
      </c>
      <c r="G246">
        <v>13335</v>
      </c>
      <c r="H246" s="116"/>
      <c r="I246" s="116"/>
      <c r="L246" s="170">
        <v>45446</v>
      </c>
      <c r="M246" s="116">
        <v>79.7</v>
      </c>
      <c r="N246" s="116">
        <v>81.900000000000006</v>
      </c>
      <c r="O246" s="116">
        <v>79</v>
      </c>
      <c r="P246" s="116">
        <v>80</v>
      </c>
      <c r="Q246" s="116">
        <v>79.7</v>
      </c>
      <c r="R246">
        <v>380115</v>
      </c>
    </row>
    <row r="247" spans="1:18" x14ac:dyDescent="0.25">
      <c r="A247" s="170">
        <v>45447</v>
      </c>
      <c r="B247" s="116">
        <v>81.25</v>
      </c>
      <c r="C247" s="116">
        <v>73.5</v>
      </c>
      <c r="D247" s="116">
        <v>68.5</v>
      </c>
      <c r="E247" s="116">
        <v>81.25</v>
      </c>
      <c r="F247" s="116">
        <v>73.5</v>
      </c>
      <c r="G247">
        <v>123152</v>
      </c>
      <c r="H247" s="116"/>
      <c r="I247" s="116"/>
      <c r="L247" s="170">
        <v>45447</v>
      </c>
      <c r="M247" s="116">
        <v>73.45</v>
      </c>
      <c r="N247" s="116">
        <v>79.7</v>
      </c>
      <c r="O247" s="116">
        <v>68.150000000000006</v>
      </c>
      <c r="P247" s="116">
        <v>79.05</v>
      </c>
      <c r="Q247" s="116">
        <v>73.45</v>
      </c>
      <c r="R247">
        <v>764691</v>
      </c>
    </row>
    <row r="248" spans="1:18" x14ac:dyDescent="0.25">
      <c r="A248" s="170">
        <v>45448</v>
      </c>
      <c r="B248" s="116">
        <v>78.3</v>
      </c>
      <c r="C248" s="116">
        <v>77.010000000000005</v>
      </c>
      <c r="D248" s="116">
        <v>73.16</v>
      </c>
      <c r="E248" s="116">
        <v>77.03</v>
      </c>
      <c r="F248" s="116">
        <v>77.010000000000005</v>
      </c>
      <c r="G248">
        <v>42205</v>
      </c>
      <c r="H248" s="116"/>
      <c r="I248" s="116"/>
      <c r="L248" s="170">
        <v>45448</v>
      </c>
      <c r="M248" s="116">
        <v>76.900000000000006</v>
      </c>
      <c r="N248" s="116">
        <v>77.900000000000006</v>
      </c>
      <c r="O248" s="116">
        <v>73</v>
      </c>
      <c r="P248" s="116">
        <v>74.55</v>
      </c>
      <c r="Q248" s="116">
        <v>76.900000000000006</v>
      </c>
      <c r="R248">
        <v>253731</v>
      </c>
    </row>
    <row r="249" spans="1:18" x14ac:dyDescent="0.25">
      <c r="A249" s="170">
        <v>45449</v>
      </c>
      <c r="B249" s="116">
        <v>79.36</v>
      </c>
      <c r="C249" s="116">
        <v>77.13</v>
      </c>
      <c r="D249" s="116">
        <v>77</v>
      </c>
      <c r="E249" s="116">
        <v>78</v>
      </c>
      <c r="F249" s="116">
        <v>77.13</v>
      </c>
      <c r="G249">
        <v>24237</v>
      </c>
      <c r="H249" s="116"/>
      <c r="I249" s="116"/>
      <c r="L249" s="170">
        <v>45449</v>
      </c>
      <c r="M249" s="116">
        <v>77.25</v>
      </c>
      <c r="N249" s="116">
        <v>79.400000000000006</v>
      </c>
      <c r="O249" s="116">
        <v>76.900000000000006</v>
      </c>
      <c r="P249" s="116">
        <v>77.900000000000006</v>
      </c>
      <c r="Q249" s="116">
        <v>77.25</v>
      </c>
      <c r="R249">
        <v>163662</v>
      </c>
    </row>
    <row r="250" spans="1:18" x14ac:dyDescent="0.25">
      <c r="A250" s="170">
        <v>45450</v>
      </c>
      <c r="B250" s="116">
        <v>80</v>
      </c>
      <c r="C250" s="116">
        <v>79.47</v>
      </c>
      <c r="D250" s="116">
        <v>76.81</v>
      </c>
      <c r="E250" s="116">
        <v>77.400000000000006</v>
      </c>
      <c r="F250" s="116">
        <v>79.47</v>
      </c>
      <c r="G250">
        <v>17636</v>
      </c>
      <c r="H250" s="116"/>
      <c r="I250" s="116"/>
      <c r="L250" s="170">
        <v>45450</v>
      </c>
      <c r="M250" s="116">
        <v>79.5</v>
      </c>
      <c r="N250" s="116">
        <v>80</v>
      </c>
      <c r="O250" s="116">
        <v>76.2</v>
      </c>
      <c r="P250" s="116">
        <v>78</v>
      </c>
      <c r="Q250" s="116">
        <v>79.5</v>
      </c>
      <c r="R250">
        <v>256315</v>
      </c>
    </row>
    <row r="251" spans="1:18" x14ac:dyDescent="0.25">
      <c r="A251" s="170">
        <v>45453</v>
      </c>
      <c r="B251" s="116">
        <v>83.55</v>
      </c>
      <c r="C251" s="116">
        <v>81.28</v>
      </c>
      <c r="D251" s="116">
        <v>79.17</v>
      </c>
      <c r="E251" s="116">
        <v>79.17</v>
      </c>
      <c r="F251" s="116">
        <v>81.28</v>
      </c>
      <c r="G251">
        <v>23094</v>
      </c>
      <c r="H251" s="116"/>
      <c r="I251" s="116"/>
      <c r="L251" s="170">
        <v>45453</v>
      </c>
      <c r="M251" s="116">
        <v>81.290000000000006</v>
      </c>
      <c r="N251" s="116">
        <v>83.7</v>
      </c>
      <c r="O251" s="116">
        <v>79.349999999999994</v>
      </c>
      <c r="P251" s="116">
        <v>80.5</v>
      </c>
      <c r="Q251" s="116">
        <v>81.290000000000006</v>
      </c>
      <c r="R251">
        <v>429662</v>
      </c>
    </row>
    <row r="252" spans="1:18" x14ac:dyDescent="0.25">
      <c r="A252" s="170">
        <v>45454</v>
      </c>
      <c r="B252" s="116">
        <v>83.95</v>
      </c>
      <c r="C252" s="116">
        <v>83.53</v>
      </c>
      <c r="D252" s="116">
        <v>81.290000000000006</v>
      </c>
      <c r="E252" s="116">
        <v>82.15</v>
      </c>
      <c r="F252" s="116">
        <v>83.53</v>
      </c>
      <c r="G252">
        <v>9460</v>
      </c>
      <c r="H252" s="116"/>
      <c r="I252" s="116"/>
      <c r="L252" s="170">
        <v>45454</v>
      </c>
      <c r="M252" s="116">
        <v>83.52</v>
      </c>
      <c r="N252" s="116">
        <v>83.9</v>
      </c>
      <c r="O252" s="116">
        <v>81.150000000000006</v>
      </c>
      <c r="P252" s="116">
        <v>81.849999999999994</v>
      </c>
      <c r="Q252" s="116">
        <v>83.52</v>
      </c>
      <c r="R252">
        <v>329525</v>
      </c>
    </row>
    <row r="253" spans="1:18" x14ac:dyDescent="0.25">
      <c r="A253" s="170">
        <v>45455</v>
      </c>
      <c r="B253" s="116">
        <v>85.25</v>
      </c>
      <c r="C253" s="116">
        <v>84.07</v>
      </c>
      <c r="D253" s="116">
        <v>83.85</v>
      </c>
      <c r="E253" s="116">
        <v>84</v>
      </c>
      <c r="F253" s="116">
        <v>84.07</v>
      </c>
      <c r="G253">
        <v>59346</v>
      </c>
      <c r="H253" s="116"/>
      <c r="I253" s="116"/>
      <c r="L253" s="170">
        <v>45455</v>
      </c>
      <c r="M253" s="116">
        <v>84.06</v>
      </c>
      <c r="N253" s="116">
        <v>85.29</v>
      </c>
      <c r="O253" s="116">
        <v>83.6</v>
      </c>
      <c r="P253" s="116">
        <v>83.6</v>
      </c>
      <c r="Q253" s="116">
        <v>84.06</v>
      </c>
      <c r="R253">
        <v>312018</v>
      </c>
    </row>
    <row r="254" spans="1:18" x14ac:dyDescent="0.25">
      <c r="A254" s="170">
        <v>45456</v>
      </c>
      <c r="B254" s="116">
        <v>87.25</v>
      </c>
      <c r="C254" s="116">
        <v>85.56</v>
      </c>
      <c r="D254" s="116">
        <v>84.99</v>
      </c>
      <c r="E254" s="116">
        <v>85</v>
      </c>
      <c r="F254" s="116">
        <v>85.56</v>
      </c>
      <c r="G254">
        <v>77259</v>
      </c>
      <c r="H254" s="116"/>
      <c r="I254" s="116"/>
      <c r="L254" s="170">
        <v>45456</v>
      </c>
      <c r="M254" s="116">
        <v>85.51</v>
      </c>
      <c r="N254" s="116">
        <v>87.3</v>
      </c>
      <c r="O254" s="116">
        <v>84.46</v>
      </c>
      <c r="P254" s="116">
        <v>84.5</v>
      </c>
      <c r="Q254" s="116">
        <v>85.51</v>
      </c>
      <c r="R254">
        <v>383134</v>
      </c>
    </row>
    <row r="255" spans="1:18" x14ac:dyDescent="0.25">
      <c r="A255" s="170">
        <v>45457</v>
      </c>
      <c r="B255" s="116">
        <v>89.75</v>
      </c>
      <c r="C255" s="116">
        <v>87.9</v>
      </c>
      <c r="D255" s="116">
        <v>84.6</v>
      </c>
      <c r="E255" s="116">
        <v>86.4</v>
      </c>
      <c r="F255" s="116">
        <v>87.9</v>
      </c>
      <c r="G255">
        <v>131785</v>
      </c>
      <c r="H255" s="116"/>
      <c r="I255" s="116"/>
      <c r="L255" s="170">
        <v>45457</v>
      </c>
      <c r="M255" s="116">
        <v>87.93</v>
      </c>
      <c r="N255" s="116">
        <v>89.8</v>
      </c>
      <c r="O255" s="116">
        <v>84.41</v>
      </c>
      <c r="P255" s="116">
        <v>85.9</v>
      </c>
      <c r="Q255" s="116">
        <v>87.93</v>
      </c>
      <c r="R255">
        <v>805185</v>
      </c>
    </row>
    <row r="256" spans="1:18" x14ac:dyDescent="0.25">
      <c r="A256" s="170">
        <v>45461</v>
      </c>
      <c r="B256" s="116">
        <v>89.6</v>
      </c>
      <c r="C256" s="116">
        <v>85.52</v>
      </c>
      <c r="D256" s="116">
        <v>85.1</v>
      </c>
      <c r="E256" s="116">
        <v>89.6</v>
      </c>
      <c r="F256" s="116">
        <v>85.52</v>
      </c>
      <c r="G256">
        <v>24546</v>
      </c>
      <c r="H256" s="116"/>
      <c r="I256" s="116"/>
      <c r="L256" s="170">
        <v>45461</v>
      </c>
      <c r="M256" s="116">
        <v>85.59</v>
      </c>
      <c r="N256" s="116">
        <v>89.25</v>
      </c>
      <c r="O256" s="116">
        <v>85</v>
      </c>
      <c r="P256" s="116">
        <v>88.75</v>
      </c>
      <c r="Q256" s="116">
        <v>85.59</v>
      </c>
      <c r="R256">
        <v>434539</v>
      </c>
    </row>
    <row r="257" spans="1:18" x14ac:dyDescent="0.25">
      <c r="A257" s="170">
        <v>45462</v>
      </c>
      <c r="B257" s="116">
        <v>87.3</v>
      </c>
      <c r="C257" s="116">
        <v>85.93</v>
      </c>
      <c r="D257" s="116">
        <v>84.9</v>
      </c>
      <c r="E257" s="116">
        <v>85.6</v>
      </c>
      <c r="F257" s="116">
        <v>85.93</v>
      </c>
      <c r="G257">
        <v>19153</v>
      </c>
      <c r="H257" s="116"/>
      <c r="I257" s="116"/>
      <c r="L257" s="170">
        <v>45462</v>
      </c>
      <c r="M257" s="116">
        <v>86.01</v>
      </c>
      <c r="N257" s="116">
        <v>87.48</v>
      </c>
      <c r="O257" s="116">
        <v>84.82</v>
      </c>
      <c r="P257" s="116">
        <v>85.68</v>
      </c>
      <c r="Q257" s="116">
        <v>86.01</v>
      </c>
      <c r="R257">
        <v>395883</v>
      </c>
    </row>
    <row r="258" spans="1:18" x14ac:dyDescent="0.25">
      <c r="A258" s="170">
        <v>45463</v>
      </c>
      <c r="B258" s="116">
        <v>89</v>
      </c>
      <c r="C258" s="116">
        <v>86.77</v>
      </c>
      <c r="D258" s="116">
        <v>86.01</v>
      </c>
      <c r="E258" s="116">
        <v>86.01</v>
      </c>
      <c r="F258" s="116">
        <v>86.77</v>
      </c>
      <c r="G258">
        <v>27798</v>
      </c>
      <c r="H258" s="116"/>
      <c r="I258" s="116"/>
      <c r="L258" s="170">
        <v>45463</v>
      </c>
      <c r="M258" s="116">
        <v>86.81</v>
      </c>
      <c r="N258" s="116">
        <v>89</v>
      </c>
      <c r="O258" s="116">
        <v>85.56</v>
      </c>
      <c r="P258" s="116">
        <v>86.75</v>
      </c>
      <c r="Q258" s="116">
        <v>86.81</v>
      </c>
      <c r="R258">
        <v>527011</v>
      </c>
    </row>
    <row r="259" spans="1:18" x14ac:dyDescent="0.25">
      <c r="A259" s="170">
        <v>45464</v>
      </c>
      <c r="B259" s="116">
        <v>88.69</v>
      </c>
      <c r="C259" s="116">
        <v>86.35</v>
      </c>
      <c r="D259" s="116">
        <v>85.91</v>
      </c>
      <c r="E259" s="116">
        <v>88.69</v>
      </c>
      <c r="F259" s="116">
        <v>86.35</v>
      </c>
      <c r="G259">
        <v>18445</v>
      </c>
      <c r="H259" s="116"/>
      <c r="I259" s="116"/>
      <c r="L259" s="170">
        <v>45464</v>
      </c>
      <c r="M259" s="116">
        <v>86.68</v>
      </c>
      <c r="N259" s="116">
        <v>88</v>
      </c>
      <c r="O259" s="116">
        <v>85.96</v>
      </c>
      <c r="P259" s="116">
        <v>86.8</v>
      </c>
      <c r="Q259" s="116">
        <v>86.68</v>
      </c>
      <c r="R259">
        <v>325260</v>
      </c>
    </row>
    <row r="260" spans="1:18" x14ac:dyDescent="0.25">
      <c r="A260" s="170">
        <v>45467</v>
      </c>
      <c r="B260" s="116">
        <v>88.08</v>
      </c>
      <c r="C260" s="116">
        <v>86.84</v>
      </c>
      <c r="D260" s="116">
        <v>86.13</v>
      </c>
      <c r="E260" s="116">
        <v>88.08</v>
      </c>
      <c r="F260" s="116">
        <v>86.84</v>
      </c>
      <c r="G260">
        <v>9168</v>
      </c>
      <c r="H260" s="116"/>
      <c r="I260" s="116"/>
      <c r="L260" s="170">
        <v>45467</v>
      </c>
      <c r="M260" s="116">
        <v>86.78</v>
      </c>
      <c r="N260" s="116">
        <v>87.88</v>
      </c>
      <c r="O260" s="116">
        <v>86.05</v>
      </c>
      <c r="P260" s="116">
        <v>86.94</v>
      </c>
      <c r="Q260" s="116">
        <v>86.78</v>
      </c>
      <c r="R260">
        <v>220217</v>
      </c>
    </row>
    <row r="261" spans="1:18" x14ac:dyDescent="0.25">
      <c r="A261" s="170">
        <v>45468</v>
      </c>
      <c r="B261" s="116">
        <v>88.99</v>
      </c>
      <c r="C261" s="116">
        <v>86.51</v>
      </c>
      <c r="D261" s="116">
        <v>86.25</v>
      </c>
      <c r="E261" s="116">
        <v>88.89</v>
      </c>
      <c r="F261" s="116">
        <v>86.51</v>
      </c>
      <c r="G261">
        <v>33889</v>
      </c>
      <c r="H261" s="116"/>
      <c r="I261" s="116"/>
      <c r="L261" s="170">
        <v>45468</v>
      </c>
      <c r="M261" s="116">
        <v>86.59</v>
      </c>
      <c r="N261" s="116">
        <v>88.95</v>
      </c>
      <c r="O261" s="116">
        <v>86.2</v>
      </c>
      <c r="P261" s="116">
        <v>86.9</v>
      </c>
      <c r="Q261" s="116">
        <v>86.59</v>
      </c>
      <c r="R261">
        <v>803462</v>
      </c>
    </row>
    <row r="262" spans="1:18" x14ac:dyDescent="0.25">
      <c r="A262" s="170">
        <v>45469</v>
      </c>
      <c r="B262" s="116">
        <v>94.46</v>
      </c>
      <c r="C262" s="116">
        <v>90.65</v>
      </c>
      <c r="D262" s="116">
        <v>86.51</v>
      </c>
      <c r="E262" s="116">
        <v>86.51</v>
      </c>
      <c r="F262" s="116">
        <v>90.65</v>
      </c>
      <c r="G262">
        <v>115871</v>
      </c>
      <c r="H262" s="116"/>
      <c r="I262" s="116"/>
      <c r="L262" s="170">
        <v>45469</v>
      </c>
      <c r="M262" s="116">
        <v>90.51</v>
      </c>
      <c r="N262" s="116">
        <v>94.5</v>
      </c>
      <c r="O262" s="116">
        <v>87</v>
      </c>
      <c r="P262" s="116">
        <v>87</v>
      </c>
      <c r="Q262" s="116">
        <v>90.51</v>
      </c>
      <c r="R262">
        <v>2127556</v>
      </c>
    </row>
    <row r="263" spans="1:18" x14ac:dyDescent="0.25">
      <c r="A263" s="170">
        <v>45470</v>
      </c>
      <c r="B263" s="116">
        <v>93.25</v>
      </c>
      <c r="C263" s="116">
        <v>89.74</v>
      </c>
      <c r="D263" s="116">
        <v>88.76</v>
      </c>
      <c r="E263" s="116">
        <v>90.84</v>
      </c>
      <c r="F263" s="116">
        <v>89.74</v>
      </c>
      <c r="G263">
        <v>92077</v>
      </c>
      <c r="H263" s="116"/>
      <c r="I263" s="116"/>
      <c r="L263" s="170">
        <v>45470</v>
      </c>
      <c r="M263" s="116">
        <v>89.86</v>
      </c>
      <c r="N263" s="116">
        <v>93.4</v>
      </c>
      <c r="O263" s="116">
        <v>88.66</v>
      </c>
      <c r="P263" s="116">
        <v>90.89</v>
      </c>
      <c r="Q263" s="116">
        <v>89.86</v>
      </c>
      <c r="R263">
        <v>674623</v>
      </c>
    </row>
    <row r="264" spans="1:18" x14ac:dyDescent="0.25">
      <c r="A264" s="170">
        <v>45471</v>
      </c>
      <c r="B264" s="116">
        <v>93.4</v>
      </c>
      <c r="C264" s="116">
        <v>91.07</v>
      </c>
      <c r="D264" s="116">
        <v>89.87</v>
      </c>
      <c r="E264" s="116">
        <v>90.49</v>
      </c>
      <c r="F264" s="116">
        <v>91.07</v>
      </c>
      <c r="G264">
        <v>39115</v>
      </c>
      <c r="H264" s="116"/>
      <c r="I264" s="116"/>
      <c r="L264" s="170">
        <v>45471</v>
      </c>
      <c r="M264" s="116">
        <v>91.13</v>
      </c>
      <c r="N264" s="116">
        <v>93.4</v>
      </c>
      <c r="O264" s="116">
        <v>89.64</v>
      </c>
      <c r="P264" s="116">
        <v>90</v>
      </c>
      <c r="Q264" s="116">
        <v>91.13</v>
      </c>
      <c r="R264">
        <v>644957</v>
      </c>
    </row>
    <row r="265" spans="1:18" x14ac:dyDescent="0.25">
      <c r="A265" s="170">
        <v>45474</v>
      </c>
      <c r="B265" s="116">
        <v>93.31</v>
      </c>
      <c r="C265" s="116">
        <v>91.26</v>
      </c>
      <c r="D265" s="116">
        <v>90.5</v>
      </c>
      <c r="E265" s="116">
        <v>91.09</v>
      </c>
      <c r="F265" s="116">
        <v>91.26</v>
      </c>
      <c r="G265">
        <v>24120</v>
      </c>
      <c r="H265" s="116"/>
      <c r="I265" s="116"/>
      <c r="L265" s="170">
        <v>45474</v>
      </c>
      <c r="M265" s="116">
        <v>91.35</v>
      </c>
      <c r="N265" s="116">
        <v>93.4</v>
      </c>
      <c r="O265" s="116">
        <v>90</v>
      </c>
      <c r="P265" s="116">
        <v>90.5</v>
      </c>
      <c r="Q265" s="116">
        <v>91.35</v>
      </c>
      <c r="R265">
        <v>477903</v>
      </c>
    </row>
    <row r="266" spans="1:18" x14ac:dyDescent="0.25">
      <c r="A266" s="170">
        <v>45475</v>
      </c>
      <c r="B266" s="116">
        <v>94.72</v>
      </c>
      <c r="C266" s="116">
        <v>92.55</v>
      </c>
      <c r="D266" s="116">
        <v>91.22</v>
      </c>
      <c r="E266" s="116">
        <v>92</v>
      </c>
      <c r="F266" s="116">
        <v>92.55</v>
      </c>
      <c r="G266">
        <v>21305</v>
      </c>
      <c r="H266" s="116"/>
      <c r="I266" s="116"/>
      <c r="L266" s="170">
        <v>45475</v>
      </c>
      <c r="M266" s="116">
        <v>92.55</v>
      </c>
      <c r="N266" s="116">
        <v>94.9</v>
      </c>
      <c r="O266" s="116">
        <v>90.9</v>
      </c>
      <c r="P266" s="116">
        <v>91.5</v>
      </c>
      <c r="Q266" s="116">
        <v>92.55</v>
      </c>
      <c r="R266">
        <v>458974</v>
      </c>
    </row>
    <row r="267" spans="1:18" x14ac:dyDescent="0.25">
      <c r="A267" s="170">
        <v>45476</v>
      </c>
      <c r="B267" s="116">
        <v>93.89</v>
      </c>
      <c r="C267" s="116">
        <v>92.97</v>
      </c>
      <c r="D267" s="116">
        <v>92.03</v>
      </c>
      <c r="E267" s="116">
        <v>92.25</v>
      </c>
      <c r="F267" s="116">
        <v>92.97</v>
      </c>
      <c r="G267">
        <v>30322</v>
      </c>
      <c r="H267" s="116"/>
      <c r="I267" s="116"/>
      <c r="L267" s="170">
        <v>45476</v>
      </c>
      <c r="M267" s="116">
        <v>92.96</v>
      </c>
      <c r="N267" s="116">
        <v>93.98</v>
      </c>
      <c r="O267" s="116">
        <v>92.1</v>
      </c>
      <c r="P267" s="116">
        <v>92.95</v>
      </c>
      <c r="Q267" s="116">
        <v>92.96</v>
      </c>
      <c r="R267">
        <v>264320</v>
      </c>
    </row>
    <row r="268" spans="1:18" x14ac:dyDescent="0.25">
      <c r="A268" s="170">
        <v>45477</v>
      </c>
      <c r="B268" s="116">
        <v>99</v>
      </c>
      <c r="C268" s="116">
        <v>92.09</v>
      </c>
      <c r="D268" s="116">
        <v>91.1</v>
      </c>
      <c r="E268" s="116">
        <v>99</v>
      </c>
      <c r="F268" s="116">
        <v>92.09</v>
      </c>
      <c r="G268">
        <v>128821</v>
      </c>
      <c r="H268" s="116"/>
      <c r="I268" s="116"/>
      <c r="L268" s="170">
        <v>45477</v>
      </c>
      <c r="M268" s="116">
        <v>91.94</v>
      </c>
      <c r="N268" s="116">
        <v>97.5</v>
      </c>
      <c r="O268" s="116">
        <v>91.2</v>
      </c>
      <c r="P268" s="116">
        <v>95.2</v>
      </c>
      <c r="Q268" s="116">
        <v>91.94</v>
      </c>
      <c r="R268">
        <v>1098845</v>
      </c>
    </row>
    <row r="269" spans="1:18" x14ac:dyDescent="0.25">
      <c r="A269" s="170">
        <v>45478</v>
      </c>
      <c r="B269" s="116">
        <v>95.59</v>
      </c>
      <c r="C269" s="116">
        <v>95.14</v>
      </c>
      <c r="D269" s="116">
        <v>91.65</v>
      </c>
      <c r="E269" s="116">
        <v>92.94</v>
      </c>
      <c r="F269" s="116">
        <v>95.14</v>
      </c>
      <c r="G269">
        <v>80805</v>
      </c>
      <c r="H269" s="116"/>
      <c r="I269" s="116"/>
      <c r="L269" s="170">
        <v>45478</v>
      </c>
      <c r="M269" s="116">
        <v>95.2</v>
      </c>
      <c r="N269" s="116">
        <v>95.71</v>
      </c>
      <c r="O269" s="116">
        <v>91.28</v>
      </c>
      <c r="P269" s="116">
        <v>92</v>
      </c>
      <c r="Q269" s="116">
        <v>95.2</v>
      </c>
      <c r="R269">
        <v>513100</v>
      </c>
    </row>
    <row r="270" spans="1:18" x14ac:dyDescent="0.25">
      <c r="A270" s="170">
        <v>45481</v>
      </c>
      <c r="B270" s="116">
        <v>97.04</v>
      </c>
      <c r="C270" s="116">
        <v>94.03</v>
      </c>
      <c r="D270" s="116">
        <v>91.22</v>
      </c>
      <c r="E270" s="116">
        <v>97</v>
      </c>
      <c r="F270" s="116">
        <v>94.03</v>
      </c>
      <c r="G270">
        <v>32827</v>
      </c>
      <c r="H270" s="116"/>
      <c r="I270" s="116"/>
      <c r="L270" s="170">
        <v>45481</v>
      </c>
      <c r="M270" s="116">
        <v>94.03</v>
      </c>
      <c r="N270" s="116">
        <v>95.75</v>
      </c>
      <c r="O270" s="116">
        <v>90.9</v>
      </c>
      <c r="P270" s="116">
        <v>95.5</v>
      </c>
      <c r="Q270" s="116">
        <v>94.03</v>
      </c>
      <c r="R270">
        <v>608606</v>
      </c>
    </row>
    <row r="271" spans="1:18" x14ac:dyDescent="0.25">
      <c r="A271" s="170">
        <v>45482</v>
      </c>
      <c r="B271" s="116">
        <v>95.1</v>
      </c>
      <c r="C271" s="116">
        <v>92.34</v>
      </c>
      <c r="D271" s="116">
        <v>92</v>
      </c>
      <c r="E271" s="116">
        <v>95.1</v>
      </c>
      <c r="F271" s="116">
        <v>92.34</v>
      </c>
      <c r="G271">
        <v>35470</v>
      </c>
      <c r="H271" s="116"/>
      <c r="I271" s="116"/>
      <c r="L271" s="170">
        <v>45482</v>
      </c>
      <c r="M271" s="116">
        <v>92.4</v>
      </c>
      <c r="N271" s="116">
        <v>95.4</v>
      </c>
      <c r="O271" s="116">
        <v>91.45</v>
      </c>
      <c r="P271" s="116">
        <v>94.5</v>
      </c>
      <c r="Q271" s="116">
        <v>92.4</v>
      </c>
      <c r="R271">
        <v>327419</v>
      </c>
    </row>
    <row r="272" spans="1:18" x14ac:dyDescent="0.25">
      <c r="A272" s="170">
        <v>45483</v>
      </c>
      <c r="B272" s="116">
        <v>93.84</v>
      </c>
      <c r="C272" s="116">
        <v>89.94</v>
      </c>
      <c r="D272" s="116">
        <v>88.45</v>
      </c>
      <c r="E272" s="116">
        <v>93.84</v>
      </c>
      <c r="F272" s="116">
        <v>89.94</v>
      </c>
      <c r="G272">
        <v>19075</v>
      </c>
      <c r="H272" s="116"/>
      <c r="I272" s="116"/>
      <c r="L272" s="170">
        <v>45483</v>
      </c>
      <c r="M272" s="116">
        <v>89.81</v>
      </c>
      <c r="N272" s="116">
        <v>93.34</v>
      </c>
      <c r="O272" s="116">
        <v>88.41</v>
      </c>
      <c r="P272" s="116">
        <v>92.4</v>
      </c>
      <c r="Q272" s="116">
        <v>89.81</v>
      </c>
      <c r="R272">
        <v>318764</v>
      </c>
    </row>
    <row r="273" spans="1:18" x14ac:dyDescent="0.25">
      <c r="A273" s="170">
        <v>45484</v>
      </c>
      <c r="B273" s="116">
        <v>93.26</v>
      </c>
      <c r="C273" s="116">
        <v>92.25</v>
      </c>
      <c r="D273" s="116">
        <v>89</v>
      </c>
      <c r="E273" s="116">
        <v>89</v>
      </c>
      <c r="F273" s="116">
        <v>92.25</v>
      </c>
      <c r="G273">
        <v>54253</v>
      </c>
      <c r="H273" s="116"/>
      <c r="I273" s="116"/>
      <c r="L273" s="170">
        <v>45484</v>
      </c>
      <c r="M273" s="116">
        <v>92.38</v>
      </c>
      <c r="N273" s="116">
        <v>93.79</v>
      </c>
      <c r="O273" s="116">
        <v>90.15</v>
      </c>
      <c r="P273" s="116">
        <v>90.15</v>
      </c>
      <c r="Q273" s="116">
        <v>92.38</v>
      </c>
      <c r="R273">
        <v>323460</v>
      </c>
    </row>
    <row r="274" spans="1:18" x14ac:dyDescent="0.25">
      <c r="A274" s="170">
        <v>45485</v>
      </c>
      <c r="B274" s="116">
        <v>92.15</v>
      </c>
      <c r="C274" s="116">
        <v>90.68</v>
      </c>
      <c r="D274" s="116">
        <v>89</v>
      </c>
      <c r="E274" s="116">
        <v>91.3</v>
      </c>
      <c r="F274" s="116">
        <v>90.68</v>
      </c>
      <c r="G274">
        <v>17172</v>
      </c>
      <c r="H274" s="116"/>
      <c r="I274" s="116"/>
      <c r="L274" s="170">
        <v>45485</v>
      </c>
      <c r="M274" s="116">
        <v>90.73</v>
      </c>
      <c r="N274" s="116">
        <v>92.27</v>
      </c>
      <c r="O274" s="116">
        <v>89.95</v>
      </c>
      <c r="P274" s="116">
        <v>92.2</v>
      </c>
      <c r="Q274" s="116">
        <v>90.73</v>
      </c>
      <c r="R274">
        <v>229117</v>
      </c>
    </row>
    <row r="275" spans="1:18" x14ac:dyDescent="0.25">
      <c r="A275" s="170">
        <v>45488</v>
      </c>
      <c r="B275" s="116">
        <v>91.05</v>
      </c>
      <c r="C275" s="116">
        <v>89.83</v>
      </c>
      <c r="D275" s="116">
        <v>89.5</v>
      </c>
      <c r="E275" s="116">
        <v>90.68</v>
      </c>
      <c r="F275" s="116">
        <v>89.83</v>
      </c>
      <c r="G275">
        <v>17387</v>
      </c>
      <c r="H275" s="116"/>
      <c r="I275" s="116"/>
      <c r="L275" s="170">
        <v>45488</v>
      </c>
      <c r="M275" s="116">
        <v>89.67</v>
      </c>
      <c r="N275" s="116">
        <v>91</v>
      </c>
      <c r="O275" s="116">
        <v>89.56</v>
      </c>
      <c r="P275" s="116">
        <v>90.99</v>
      </c>
      <c r="Q275" s="116">
        <v>89.67</v>
      </c>
      <c r="R275">
        <v>196322</v>
      </c>
    </row>
    <row r="276" spans="1:18" x14ac:dyDescent="0.25">
      <c r="A276" s="170">
        <v>45489</v>
      </c>
      <c r="B276" s="116">
        <v>93.77</v>
      </c>
      <c r="C276" s="116">
        <v>91.66</v>
      </c>
      <c r="D276" s="116">
        <v>89.06</v>
      </c>
      <c r="E276" s="116">
        <v>90</v>
      </c>
      <c r="F276" s="116">
        <v>91.66</v>
      </c>
      <c r="G276">
        <v>30396</v>
      </c>
      <c r="H276" s="116"/>
      <c r="I276" s="116"/>
      <c r="L276" s="170">
        <v>45489</v>
      </c>
      <c r="M276" s="116">
        <v>91.58</v>
      </c>
      <c r="N276" s="116">
        <v>93.77</v>
      </c>
      <c r="O276" s="116">
        <v>89.25</v>
      </c>
      <c r="P276" s="116">
        <v>89.25</v>
      </c>
      <c r="Q276" s="116">
        <v>91.58</v>
      </c>
      <c r="R276">
        <v>298097</v>
      </c>
    </row>
    <row r="277" spans="1:18" x14ac:dyDescent="0.25">
      <c r="A277" s="170">
        <v>45491</v>
      </c>
      <c r="B277" s="116">
        <v>93.91</v>
      </c>
      <c r="C277" s="116">
        <v>90.4</v>
      </c>
      <c r="D277" s="116">
        <v>90.16</v>
      </c>
      <c r="E277" s="116">
        <v>93.49</v>
      </c>
      <c r="F277" s="116">
        <v>90.4</v>
      </c>
      <c r="G277">
        <v>38590</v>
      </c>
      <c r="H277" s="116"/>
      <c r="I277" s="116"/>
      <c r="L277" s="170">
        <v>45491</v>
      </c>
      <c r="M277" s="116">
        <v>90.49</v>
      </c>
      <c r="N277" s="116">
        <v>93.8</v>
      </c>
      <c r="O277" s="116">
        <v>90.1</v>
      </c>
      <c r="P277" s="116">
        <v>92.39</v>
      </c>
      <c r="Q277" s="116">
        <v>90.49</v>
      </c>
      <c r="R277">
        <v>350822</v>
      </c>
    </row>
    <row r="278" spans="1:18" x14ac:dyDescent="0.25">
      <c r="A278" s="170">
        <v>45492</v>
      </c>
      <c r="B278" s="116">
        <v>91.83</v>
      </c>
      <c r="C278" s="116">
        <v>87.56</v>
      </c>
      <c r="D278" s="116">
        <v>87.1</v>
      </c>
      <c r="E278" s="116">
        <v>90.4</v>
      </c>
      <c r="F278" s="116">
        <v>87.56</v>
      </c>
      <c r="G278">
        <v>26433</v>
      </c>
      <c r="H278" s="116"/>
      <c r="I278" s="116"/>
      <c r="L278" s="170">
        <v>45492</v>
      </c>
      <c r="M278" s="116">
        <v>87.91</v>
      </c>
      <c r="N278" s="116">
        <v>91.78</v>
      </c>
      <c r="O278" s="116">
        <v>87.15</v>
      </c>
      <c r="P278" s="116">
        <v>90.5</v>
      </c>
      <c r="Q278" s="116">
        <v>87.91</v>
      </c>
      <c r="R278">
        <v>569583</v>
      </c>
    </row>
    <row r="279" spans="1:18" x14ac:dyDescent="0.25">
      <c r="A279" s="170">
        <v>45495</v>
      </c>
      <c r="B279" s="116">
        <v>91.87</v>
      </c>
      <c r="C279" s="116">
        <v>89.51</v>
      </c>
      <c r="D279" s="116">
        <v>86.89</v>
      </c>
      <c r="E279" s="116">
        <v>89.31</v>
      </c>
      <c r="F279" s="116">
        <v>89.51</v>
      </c>
      <c r="G279">
        <v>27317</v>
      </c>
      <c r="H279" s="116"/>
      <c r="I279" s="116"/>
      <c r="L279" s="170">
        <v>45495</v>
      </c>
      <c r="M279" s="116">
        <v>89.84</v>
      </c>
      <c r="N279" s="116">
        <v>91.84</v>
      </c>
      <c r="O279" s="116">
        <v>86.9</v>
      </c>
      <c r="P279" s="116">
        <v>87.3</v>
      </c>
      <c r="Q279" s="116">
        <v>89.84</v>
      </c>
      <c r="R279">
        <v>805706</v>
      </c>
    </row>
    <row r="280" spans="1:18" x14ac:dyDescent="0.25">
      <c r="A280" s="170">
        <v>45496</v>
      </c>
      <c r="B280" s="116">
        <v>92.41</v>
      </c>
      <c r="C280" s="116">
        <v>87.92</v>
      </c>
      <c r="D280" s="116">
        <v>83.1</v>
      </c>
      <c r="E280" s="116">
        <v>90.1</v>
      </c>
      <c r="F280" s="116">
        <v>87.92</v>
      </c>
      <c r="G280">
        <v>32541</v>
      </c>
      <c r="H280" s="116"/>
      <c r="I280" s="116"/>
      <c r="L280" s="170">
        <v>45496</v>
      </c>
      <c r="M280" s="116">
        <v>87.99</v>
      </c>
      <c r="N280" s="116">
        <v>92.55</v>
      </c>
      <c r="O280" s="116">
        <v>82.99</v>
      </c>
      <c r="P280" s="116">
        <v>90.55</v>
      </c>
      <c r="Q280" s="116">
        <v>87.99</v>
      </c>
      <c r="R280">
        <v>1048080</v>
      </c>
    </row>
    <row r="281" spans="1:18" x14ac:dyDescent="0.25">
      <c r="A281" s="170">
        <v>45497</v>
      </c>
      <c r="B281" s="116">
        <v>95.05</v>
      </c>
      <c r="C281" s="116">
        <v>93.37</v>
      </c>
      <c r="D281" s="116">
        <v>88.67</v>
      </c>
      <c r="E281" s="116">
        <v>88.67</v>
      </c>
      <c r="F281" s="116">
        <v>93.37</v>
      </c>
      <c r="G281">
        <v>83029</v>
      </c>
      <c r="H281" s="116"/>
      <c r="I281" s="116"/>
      <c r="L281" s="170">
        <v>45497</v>
      </c>
      <c r="M281" s="116">
        <v>93.24</v>
      </c>
      <c r="N281" s="116">
        <v>95</v>
      </c>
      <c r="O281" s="116">
        <v>88.45</v>
      </c>
      <c r="P281" s="116">
        <v>88.45</v>
      </c>
      <c r="Q281" s="116">
        <v>93.24</v>
      </c>
      <c r="R281">
        <v>1405764</v>
      </c>
    </row>
    <row r="282" spans="1:18" x14ac:dyDescent="0.25">
      <c r="A282" s="170">
        <v>45498</v>
      </c>
      <c r="B282" s="116">
        <v>95.65</v>
      </c>
      <c r="C282" s="116">
        <v>93.59</v>
      </c>
      <c r="D282" s="116">
        <v>91.86</v>
      </c>
      <c r="E282" s="116">
        <v>93</v>
      </c>
      <c r="F282" s="116">
        <v>93.59</v>
      </c>
      <c r="G282">
        <v>84456</v>
      </c>
      <c r="H282" s="116"/>
      <c r="I282" s="116"/>
      <c r="L282" s="170">
        <v>45498</v>
      </c>
      <c r="M282" s="116">
        <v>93.55</v>
      </c>
      <c r="N282" s="116">
        <v>95.5</v>
      </c>
      <c r="O282" s="116">
        <v>91.15</v>
      </c>
      <c r="P282" s="116">
        <v>92.5</v>
      </c>
      <c r="Q282" s="116">
        <v>93.55</v>
      </c>
      <c r="R282">
        <v>1247489</v>
      </c>
    </row>
    <row r="283" spans="1:18" x14ac:dyDescent="0.25">
      <c r="A283" s="170">
        <v>45499</v>
      </c>
      <c r="B283" s="116">
        <v>110.42</v>
      </c>
      <c r="C283" s="116">
        <v>107.39</v>
      </c>
      <c r="D283" s="116">
        <v>94</v>
      </c>
      <c r="E283" s="116">
        <v>95.45</v>
      </c>
      <c r="F283" s="116">
        <v>107.39</v>
      </c>
      <c r="G283">
        <v>580904</v>
      </c>
      <c r="H283" s="116"/>
      <c r="I283" s="116"/>
      <c r="L283" s="170">
        <v>45499</v>
      </c>
      <c r="M283" s="116">
        <v>106.97</v>
      </c>
      <c r="N283" s="116">
        <v>110.25</v>
      </c>
      <c r="O283" s="116">
        <v>93.88</v>
      </c>
      <c r="P283" s="116">
        <v>94</v>
      </c>
      <c r="Q283" s="116">
        <v>106.97</v>
      </c>
      <c r="R283">
        <v>7667691</v>
      </c>
    </row>
    <row r="284" spans="1:18" x14ac:dyDescent="0.25">
      <c r="A284" s="170">
        <v>45502</v>
      </c>
      <c r="B284" s="116">
        <v>109.5</v>
      </c>
      <c r="C284" s="116">
        <v>104.22</v>
      </c>
      <c r="D284" s="116">
        <v>103.46</v>
      </c>
      <c r="E284" s="116">
        <v>107.8</v>
      </c>
      <c r="F284" s="116">
        <v>104.22</v>
      </c>
      <c r="G284">
        <v>255132</v>
      </c>
      <c r="H284" s="116"/>
      <c r="I284" s="116"/>
      <c r="L284" s="170">
        <v>45502</v>
      </c>
      <c r="M284" s="116">
        <v>104.31</v>
      </c>
      <c r="N284" s="116">
        <v>109.4</v>
      </c>
      <c r="O284" s="116">
        <v>103.42</v>
      </c>
      <c r="P284" s="116">
        <v>107.48</v>
      </c>
      <c r="Q284" s="116">
        <v>104.31</v>
      </c>
      <c r="R284">
        <v>2405378</v>
      </c>
    </row>
    <row r="285" spans="1:18" x14ac:dyDescent="0.25">
      <c r="A285" s="170">
        <v>45503</v>
      </c>
      <c r="B285" s="116">
        <v>108.15</v>
      </c>
      <c r="C285" s="116">
        <v>105.4</v>
      </c>
      <c r="D285" s="116">
        <v>104</v>
      </c>
      <c r="E285" s="116">
        <v>107</v>
      </c>
      <c r="F285" s="116">
        <v>105.4</v>
      </c>
      <c r="G285">
        <v>80358</v>
      </c>
      <c r="H285" s="116"/>
      <c r="I285" s="116"/>
      <c r="L285" s="170">
        <v>45503</v>
      </c>
      <c r="M285" s="116">
        <v>105.38</v>
      </c>
      <c r="N285" s="116">
        <v>108.2</v>
      </c>
      <c r="O285" s="116">
        <v>104</v>
      </c>
      <c r="P285" s="116">
        <v>104.31</v>
      </c>
      <c r="Q285" s="116">
        <v>105.38</v>
      </c>
      <c r="R285">
        <v>794572</v>
      </c>
    </row>
    <row r="286" spans="1:18" x14ac:dyDescent="0.25">
      <c r="A286" s="170">
        <v>45504</v>
      </c>
      <c r="B286" s="116">
        <v>108.4</v>
      </c>
      <c r="C286" s="116">
        <v>104.96</v>
      </c>
      <c r="D286" s="116">
        <v>104.49</v>
      </c>
      <c r="E286" s="116">
        <v>105.4</v>
      </c>
      <c r="F286" s="116">
        <v>104.96</v>
      </c>
      <c r="G286">
        <v>131847</v>
      </c>
      <c r="H286" s="116"/>
      <c r="I286" s="116"/>
      <c r="L286" s="170">
        <v>45504</v>
      </c>
      <c r="M286" s="116">
        <v>104.88</v>
      </c>
      <c r="N286" s="116">
        <v>108.65</v>
      </c>
      <c r="O286" s="116">
        <v>104.25</v>
      </c>
      <c r="P286" s="116">
        <v>105.95</v>
      </c>
      <c r="Q286" s="116">
        <v>104.88</v>
      </c>
      <c r="R286">
        <v>701719</v>
      </c>
    </row>
    <row r="287" spans="1:18" x14ac:dyDescent="0.25">
      <c r="A287" s="170">
        <v>45505</v>
      </c>
      <c r="B287" s="116">
        <v>107.9</v>
      </c>
      <c r="C287" s="116">
        <v>102.45</v>
      </c>
      <c r="D287" s="116">
        <v>100</v>
      </c>
      <c r="E287" s="116">
        <v>107.9</v>
      </c>
      <c r="F287" s="116">
        <v>102.45</v>
      </c>
      <c r="G287">
        <v>138956</v>
      </c>
      <c r="H287" s="116"/>
      <c r="I287" s="116"/>
      <c r="L287" s="170">
        <v>45505</v>
      </c>
      <c r="M287" s="116">
        <v>102.92</v>
      </c>
      <c r="N287" s="116">
        <v>107.88</v>
      </c>
      <c r="O287" s="116">
        <v>100.5</v>
      </c>
      <c r="P287" s="116">
        <v>105.5</v>
      </c>
      <c r="Q287" s="116">
        <v>102.92</v>
      </c>
      <c r="R287">
        <v>853209</v>
      </c>
    </row>
    <row r="288" spans="1:18" x14ac:dyDescent="0.25">
      <c r="A288" s="170">
        <v>45506</v>
      </c>
      <c r="B288" s="116">
        <v>110.6</v>
      </c>
      <c r="C288" s="116">
        <v>104.55</v>
      </c>
      <c r="D288" s="116">
        <v>103.1</v>
      </c>
      <c r="E288" s="116">
        <v>105.95</v>
      </c>
      <c r="F288" s="116">
        <v>104.55</v>
      </c>
      <c r="G288">
        <v>190001</v>
      </c>
      <c r="H288" s="116"/>
      <c r="I288" s="116"/>
      <c r="L288" s="170">
        <v>45506</v>
      </c>
      <c r="M288" s="116">
        <v>104.62</v>
      </c>
      <c r="N288" s="116">
        <v>110.63</v>
      </c>
      <c r="O288" s="116">
        <v>103.01</v>
      </c>
      <c r="P288" s="116">
        <v>105</v>
      </c>
      <c r="Q288" s="116">
        <v>104.62</v>
      </c>
      <c r="R288">
        <v>3941243</v>
      </c>
    </row>
    <row r="289" spans="1:18" x14ac:dyDescent="0.25">
      <c r="A289" s="170">
        <v>45509</v>
      </c>
      <c r="B289" s="116">
        <v>116.55</v>
      </c>
      <c r="C289" s="116">
        <v>110.8</v>
      </c>
      <c r="D289" s="116">
        <v>101.05</v>
      </c>
      <c r="E289" s="116">
        <v>103.8</v>
      </c>
      <c r="F289" s="116">
        <v>110.8</v>
      </c>
      <c r="G289">
        <v>238381</v>
      </c>
      <c r="H289" s="116"/>
      <c r="I289" s="116"/>
      <c r="L289" s="170">
        <v>45509</v>
      </c>
      <c r="M289" s="116">
        <v>111.11</v>
      </c>
      <c r="N289" s="116">
        <v>116.5</v>
      </c>
      <c r="O289" s="116">
        <v>101.21</v>
      </c>
      <c r="P289" s="116">
        <v>102</v>
      </c>
      <c r="Q289" s="116">
        <v>111.11</v>
      </c>
      <c r="R289">
        <v>8244293</v>
      </c>
    </row>
    <row r="290" spans="1:18" x14ac:dyDescent="0.25">
      <c r="A290" s="170">
        <v>45510</v>
      </c>
      <c r="B290" s="116">
        <v>123.05</v>
      </c>
      <c r="C290" s="116">
        <v>114.15</v>
      </c>
      <c r="D290" s="116">
        <v>113.35</v>
      </c>
      <c r="E290" s="116">
        <v>116.95</v>
      </c>
      <c r="F290" s="116">
        <v>114.15</v>
      </c>
      <c r="G290">
        <v>313706</v>
      </c>
      <c r="H290" s="116"/>
      <c r="I290" s="116"/>
      <c r="L290" s="170">
        <v>45510</v>
      </c>
      <c r="M290" s="116">
        <v>114.2</v>
      </c>
      <c r="N290" s="116">
        <v>123</v>
      </c>
      <c r="O290" s="116">
        <v>113.1</v>
      </c>
      <c r="P290" s="116">
        <v>114</v>
      </c>
      <c r="Q290" s="116">
        <v>114.2</v>
      </c>
      <c r="R290">
        <v>6327255</v>
      </c>
    </row>
    <row r="291" spans="1:18" x14ac:dyDescent="0.25">
      <c r="A291" s="170">
        <v>45511</v>
      </c>
      <c r="B291" s="116">
        <v>119</v>
      </c>
      <c r="C291" s="116">
        <v>111.8</v>
      </c>
      <c r="D291" s="116">
        <v>111.15</v>
      </c>
      <c r="E291" s="116">
        <v>119</v>
      </c>
      <c r="F291" s="116">
        <v>111.8</v>
      </c>
      <c r="G291">
        <v>77381</v>
      </c>
      <c r="H291" s="116"/>
      <c r="I291" s="116"/>
      <c r="L291" s="170">
        <v>45511</v>
      </c>
      <c r="M291" s="116">
        <v>111.62</v>
      </c>
      <c r="N291" s="116">
        <v>119.6</v>
      </c>
      <c r="O291" s="116">
        <v>111</v>
      </c>
      <c r="P291" s="116">
        <v>118</v>
      </c>
      <c r="Q291" s="116">
        <v>111.62</v>
      </c>
      <c r="R291">
        <v>1640809</v>
      </c>
    </row>
    <row r="292" spans="1:18" x14ac:dyDescent="0.25">
      <c r="A292" s="170">
        <v>45512</v>
      </c>
      <c r="B292" s="116">
        <v>113.75</v>
      </c>
      <c r="C292" s="116">
        <v>106.75</v>
      </c>
      <c r="D292" s="116">
        <v>106.1</v>
      </c>
      <c r="E292" s="116">
        <v>113.65</v>
      </c>
      <c r="F292" s="116">
        <v>106.75</v>
      </c>
      <c r="G292">
        <v>186494</v>
      </c>
      <c r="H292" s="116"/>
      <c r="I292" s="116"/>
      <c r="L292" s="170">
        <v>45512</v>
      </c>
      <c r="M292" s="116">
        <v>106.65</v>
      </c>
      <c r="N292" s="116">
        <v>112.39</v>
      </c>
      <c r="O292" s="116">
        <v>106</v>
      </c>
      <c r="P292" s="116">
        <v>111</v>
      </c>
      <c r="Q292" s="116">
        <v>106.65</v>
      </c>
      <c r="R292">
        <v>933401</v>
      </c>
    </row>
    <row r="293" spans="1:18" x14ac:dyDescent="0.25">
      <c r="A293" s="170">
        <v>45513</v>
      </c>
      <c r="B293" s="116">
        <v>112.6</v>
      </c>
      <c r="C293" s="116">
        <v>109.65</v>
      </c>
      <c r="D293" s="116">
        <v>105.35</v>
      </c>
      <c r="E293" s="116">
        <v>105.35</v>
      </c>
      <c r="F293" s="116">
        <v>109.65</v>
      </c>
      <c r="G293">
        <v>250860</v>
      </c>
      <c r="H293" s="116"/>
      <c r="I293" s="116"/>
      <c r="L293" s="170">
        <v>45513</v>
      </c>
      <c r="M293" s="116">
        <v>109.91</v>
      </c>
      <c r="N293" s="116">
        <v>113.5</v>
      </c>
      <c r="O293" s="116">
        <v>106.28</v>
      </c>
      <c r="P293" s="116">
        <v>108.2</v>
      </c>
      <c r="Q293" s="116">
        <v>109.91</v>
      </c>
      <c r="R293">
        <v>3610589</v>
      </c>
    </row>
    <row r="294" spans="1:18" x14ac:dyDescent="0.25">
      <c r="A294" s="170">
        <v>45516</v>
      </c>
      <c r="B294" s="116">
        <v>111</v>
      </c>
      <c r="C294" s="116">
        <v>106</v>
      </c>
      <c r="D294" s="116">
        <v>105.35</v>
      </c>
      <c r="E294" s="116">
        <v>111</v>
      </c>
      <c r="F294" s="116">
        <v>106</v>
      </c>
      <c r="G294">
        <v>52074</v>
      </c>
      <c r="H294" s="116"/>
      <c r="I294" s="116"/>
      <c r="L294" s="170">
        <v>45516</v>
      </c>
      <c r="M294" s="116">
        <v>106.18</v>
      </c>
      <c r="N294" s="116">
        <v>109.6</v>
      </c>
      <c r="O294" s="116">
        <v>105.55</v>
      </c>
      <c r="P294" s="116">
        <v>109.6</v>
      </c>
      <c r="Q294" s="116">
        <v>106.18</v>
      </c>
      <c r="R294">
        <v>834592</v>
      </c>
    </row>
    <row r="295" spans="1:18" x14ac:dyDescent="0.25">
      <c r="A295" s="170">
        <v>45517</v>
      </c>
      <c r="B295" s="116">
        <v>107.95</v>
      </c>
      <c r="C295" s="116">
        <v>103.45</v>
      </c>
      <c r="D295" s="116">
        <v>103.05</v>
      </c>
      <c r="E295" s="116">
        <v>107.95</v>
      </c>
      <c r="F295" s="116">
        <v>103.45</v>
      </c>
      <c r="G295">
        <v>43615</v>
      </c>
      <c r="H295" s="116"/>
      <c r="I295" s="116"/>
      <c r="L295" s="170">
        <v>45517</v>
      </c>
      <c r="M295" s="116">
        <v>103.38</v>
      </c>
      <c r="N295" s="116">
        <v>107.8</v>
      </c>
      <c r="O295" s="116">
        <v>103</v>
      </c>
      <c r="P295" s="116">
        <v>106.9</v>
      </c>
      <c r="Q295" s="116">
        <v>103.38</v>
      </c>
      <c r="R295">
        <v>794488</v>
      </c>
    </row>
    <row r="296" spans="1:18" x14ac:dyDescent="0.25">
      <c r="A296" s="170">
        <v>45518</v>
      </c>
      <c r="B296" s="116">
        <v>108.15</v>
      </c>
      <c r="C296" s="116">
        <v>105.25</v>
      </c>
      <c r="D296" s="116">
        <v>101.3</v>
      </c>
      <c r="E296" s="116">
        <v>103.45</v>
      </c>
      <c r="F296" s="116">
        <v>105.25</v>
      </c>
      <c r="G296">
        <v>115610</v>
      </c>
      <c r="H296" s="116"/>
      <c r="I296" s="116"/>
      <c r="L296" s="170">
        <v>45518</v>
      </c>
      <c r="M296" s="116">
        <v>105.4</v>
      </c>
      <c r="N296" s="116">
        <v>108</v>
      </c>
      <c r="O296" s="116">
        <v>101.24</v>
      </c>
      <c r="P296" s="116">
        <v>103</v>
      </c>
      <c r="Q296" s="116">
        <v>105.4</v>
      </c>
      <c r="R296">
        <v>970536</v>
      </c>
    </row>
    <row r="297" spans="1:18" x14ac:dyDescent="0.25">
      <c r="A297" s="170">
        <v>45520</v>
      </c>
      <c r="B297" s="116">
        <v>106.5</v>
      </c>
      <c r="C297" s="116">
        <v>104.1</v>
      </c>
      <c r="D297" s="116">
        <v>103</v>
      </c>
      <c r="E297" s="116">
        <v>105</v>
      </c>
      <c r="F297" s="116">
        <v>104.1</v>
      </c>
      <c r="G297">
        <v>29918</v>
      </c>
      <c r="H297" s="116"/>
      <c r="I297" s="116"/>
      <c r="L297" s="170">
        <v>45520</v>
      </c>
      <c r="M297" s="116">
        <v>104.07</v>
      </c>
      <c r="N297" s="116">
        <v>106.9</v>
      </c>
      <c r="O297" s="116">
        <v>103</v>
      </c>
      <c r="P297" s="116">
        <v>106.9</v>
      </c>
      <c r="Q297" s="116">
        <v>104.07</v>
      </c>
      <c r="R297">
        <v>484704</v>
      </c>
    </row>
    <row r="298" spans="1:18" x14ac:dyDescent="0.25">
      <c r="A298" s="170">
        <v>45523</v>
      </c>
      <c r="B298" s="116">
        <v>108</v>
      </c>
      <c r="C298" s="116">
        <v>106.6</v>
      </c>
      <c r="D298" s="116">
        <v>103.25</v>
      </c>
      <c r="E298" s="116">
        <v>103.25</v>
      </c>
      <c r="F298" s="116">
        <v>106.6</v>
      </c>
      <c r="G298">
        <v>77340</v>
      </c>
      <c r="H298" s="116"/>
      <c r="I298" s="116"/>
      <c r="L298" s="170">
        <v>45523</v>
      </c>
      <c r="M298" s="116">
        <v>106.7</v>
      </c>
      <c r="N298" s="116">
        <v>107.99</v>
      </c>
      <c r="O298" s="116">
        <v>103.81</v>
      </c>
      <c r="P298" s="116">
        <v>104.7</v>
      </c>
      <c r="Q298" s="116">
        <v>106.7</v>
      </c>
      <c r="R298">
        <v>490494</v>
      </c>
    </row>
    <row r="299" spans="1:18" x14ac:dyDescent="0.25">
      <c r="A299" s="170">
        <v>45524</v>
      </c>
      <c r="B299" s="116">
        <v>116.85</v>
      </c>
      <c r="C299" s="116">
        <v>115.9</v>
      </c>
      <c r="D299" s="116">
        <v>106.45</v>
      </c>
      <c r="E299" s="116">
        <v>106.75</v>
      </c>
      <c r="F299" s="116">
        <v>115.9</v>
      </c>
      <c r="G299">
        <v>146084</v>
      </c>
      <c r="H299" s="116"/>
      <c r="I299" s="116"/>
      <c r="L299" s="170">
        <v>45524</v>
      </c>
      <c r="M299" s="116">
        <v>115.75</v>
      </c>
      <c r="N299" s="116">
        <v>116.9</v>
      </c>
      <c r="O299" s="116">
        <v>106.3</v>
      </c>
      <c r="P299" s="116">
        <v>107.4</v>
      </c>
      <c r="Q299" s="116">
        <v>115.75</v>
      </c>
      <c r="R299">
        <v>2967540</v>
      </c>
    </row>
    <row r="300" spans="1:18" x14ac:dyDescent="0.25">
      <c r="A300" s="170">
        <v>45525</v>
      </c>
      <c r="B300" s="116">
        <v>118.8</v>
      </c>
      <c r="C300" s="116">
        <v>117.6</v>
      </c>
      <c r="D300" s="116">
        <v>113.2</v>
      </c>
      <c r="E300" s="116">
        <v>115</v>
      </c>
      <c r="F300" s="116">
        <v>117.6</v>
      </c>
      <c r="G300">
        <v>159809</v>
      </c>
      <c r="H300" s="116"/>
      <c r="I300" s="116"/>
      <c r="L300" s="170">
        <v>45525</v>
      </c>
      <c r="M300" s="116">
        <v>117.42</v>
      </c>
      <c r="N300" s="116">
        <v>118.72</v>
      </c>
      <c r="O300" s="116">
        <v>113.34</v>
      </c>
      <c r="P300" s="116">
        <v>117</v>
      </c>
      <c r="Q300" s="116">
        <v>117.42</v>
      </c>
      <c r="R300">
        <v>1331925</v>
      </c>
    </row>
    <row r="301" spans="1:18" x14ac:dyDescent="0.25">
      <c r="A301" s="170">
        <v>45526</v>
      </c>
      <c r="B301" s="116">
        <v>117.6</v>
      </c>
      <c r="C301" s="116">
        <v>113.95</v>
      </c>
      <c r="D301" s="116">
        <v>113.05</v>
      </c>
      <c r="E301" s="116">
        <v>117.6</v>
      </c>
      <c r="F301" s="116">
        <v>113.95</v>
      </c>
      <c r="G301">
        <v>93455</v>
      </c>
      <c r="H301" s="116"/>
      <c r="I301" s="116"/>
      <c r="L301" s="170">
        <v>45526</v>
      </c>
      <c r="M301" s="116">
        <v>113.99</v>
      </c>
      <c r="N301" s="116">
        <v>118.1</v>
      </c>
      <c r="O301" s="116">
        <v>113.09</v>
      </c>
      <c r="P301" s="116">
        <v>118</v>
      </c>
      <c r="Q301" s="116">
        <v>113.99</v>
      </c>
      <c r="R301">
        <v>544388</v>
      </c>
    </row>
    <row r="302" spans="1:18" x14ac:dyDescent="0.25">
      <c r="A302" s="170">
        <v>45527</v>
      </c>
      <c r="B302" s="116">
        <v>116.25</v>
      </c>
      <c r="C302" s="116">
        <v>114.15</v>
      </c>
      <c r="D302" s="116">
        <v>113.6</v>
      </c>
      <c r="E302" s="116">
        <v>116.25</v>
      </c>
      <c r="F302" s="116">
        <v>114.15</v>
      </c>
      <c r="G302">
        <v>37408</v>
      </c>
      <c r="H302" s="116"/>
      <c r="I302" s="116"/>
      <c r="L302" s="170">
        <v>45527</v>
      </c>
      <c r="M302" s="116">
        <v>114.33</v>
      </c>
      <c r="N302" s="116">
        <v>116.16</v>
      </c>
      <c r="O302" s="116">
        <v>113.6</v>
      </c>
      <c r="P302" s="116">
        <v>114.3</v>
      </c>
      <c r="Q302" s="116">
        <v>114.33</v>
      </c>
      <c r="R302">
        <v>473618</v>
      </c>
    </row>
    <row r="303" spans="1:18" x14ac:dyDescent="0.25">
      <c r="A303" s="170">
        <v>45530</v>
      </c>
      <c r="B303" s="116">
        <v>117.15</v>
      </c>
      <c r="C303" s="116">
        <v>112.8</v>
      </c>
      <c r="D303" s="116">
        <v>112.45</v>
      </c>
      <c r="E303" s="116">
        <v>116.9</v>
      </c>
      <c r="F303" s="116">
        <v>112.8</v>
      </c>
      <c r="G303">
        <v>43833</v>
      </c>
      <c r="H303" s="116"/>
      <c r="I303" s="116"/>
      <c r="L303" s="170">
        <v>45530</v>
      </c>
      <c r="M303" s="116">
        <v>112.81</v>
      </c>
      <c r="N303" s="116">
        <v>116.9</v>
      </c>
      <c r="O303" s="116">
        <v>112.2</v>
      </c>
      <c r="P303" s="116">
        <v>115.87</v>
      </c>
      <c r="Q303" s="116">
        <v>112.81</v>
      </c>
      <c r="R303">
        <v>692296</v>
      </c>
    </row>
    <row r="304" spans="1:18" x14ac:dyDescent="0.25">
      <c r="A304" s="170">
        <v>45531</v>
      </c>
      <c r="B304" s="116">
        <v>112.65</v>
      </c>
      <c r="C304" s="116">
        <v>110.05</v>
      </c>
      <c r="D304" s="116">
        <v>109.55</v>
      </c>
      <c r="E304" s="116">
        <v>112.2</v>
      </c>
      <c r="F304" s="116">
        <v>110.05</v>
      </c>
      <c r="G304">
        <v>22875</v>
      </c>
      <c r="H304" s="116"/>
      <c r="I304" s="116"/>
      <c r="L304" s="170">
        <v>45531</v>
      </c>
      <c r="M304" s="116">
        <v>110.04</v>
      </c>
      <c r="N304" s="116">
        <v>112.73</v>
      </c>
      <c r="O304" s="116">
        <v>109.51</v>
      </c>
      <c r="P304" s="116">
        <v>111.95</v>
      </c>
      <c r="Q304" s="116">
        <v>110.04</v>
      </c>
      <c r="R304">
        <v>427326</v>
      </c>
    </row>
    <row r="305" spans="1:18" x14ac:dyDescent="0.25">
      <c r="A305" s="170">
        <v>45532</v>
      </c>
      <c r="B305" s="116">
        <v>113.55</v>
      </c>
      <c r="C305" s="116">
        <v>109.4</v>
      </c>
      <c r="D305" s="116">
        <v>108.2</v>
      </c>
      <c r="E305" s="116">
        <v>108.2</v>
      </c>
      <c r="F305" s="116">
        <v>109.4</v>
      </c>
      <c r="G305">
        <v>103323</v>
      </c>
      <c r="H305" s="116"/>
      <c r="I305" s="116"/>
      <c r="L305" s="170">
        <v>45532</v>
      </c>
      <c r="M305" s="116">
        <v>109.32</v>
      </c>
      <c r="N305" s="116">
        <v>113.37</v>
      </c>
      <c r="O305" s="116">
        <v>108.55</v>
      </c>
      <c r="P305" s="116">
        <v>110.6</v>
      </c>
      <c r="Q305" s="116">
        <v>109.32</v>
      </c>
      <c r="R305">
        <v>451234</v>
      </c>
    </row>
    <row r="306" spans="1:18" x14ac:dyDescent="0.25">
      <c r="A306" s="170">
        <v>45533</v>
      </c>
      <c r="B306" s="116">
        <v>110.75</v>
      </c>
      <c r="C306" s="116">
        <v>108.5</v>
      </c>
      <c r="D306" s="116">
        <v>107</v>
      </c>
      <c r="E306" s="116">
        <v>109.2</v>
      </c>
      <c r="F306" s="116">
        <v>108.5</v>
      </c>
      <c r="G306">
        <v>69840</v>
      </c>
      <c r="H306" s="116"/>
      <c r="I306" s="116"/>
      <c r="L306" s="170">
        <v>45533</v>
      </c>
      <c r="M306" s="116">
        <v>108.34</v>
      </c>
      <c r="N306" s="116">
        <v>110.78</v>
      </c>
      <c r="O306" s="116">
        <v>107.1</v>
      </c>
      <c r="P306" s="116">
        <v>109.97</v>
      </c>
      <c r="Q306" s="116">
        <v>108.34</v>
      </c>
      <c r="R306">
        <v>272926</v>
      </c>
    </row>
    <row r="307" spans="1:18" x14ac:dyDescent="0.25">
      <c r="A307" s="170">
        <v>45534</v>
      </c>
      <c r="B307" s="116">
        <v>110</v>
      </c>
      <c r="C307" s="116">
        <v>108.15</v>
      </c>
      <c r="D307" s="116">
        <v>106.4</v>
      </c>
      <c r="E307" s="116">
        <v>106.4</v>
      </c>
      <c r="F307" s="116">
        <v>108.15</v>
      </c>
      <c r="G307">
        <v>43155</v>
      </c>
      <c r="H307" s="116"/>
      <c r="I307" s="116"/>
      <c r="L307" s="170">
        <v>45534</v>
      </c>
      <c r="M307" s="116">
        <v>108.07</v>
      </c>
      <c r="N307" s="116">
        <v>109.95</v>
      </c>
      <c r="O307" s="116">
        <v>107.51</v>
      </c>
      <c r="P307" s="116">
        <v>109.5</v>
      </c>
      <c r="Q307" s="116">
        <v>108.07</v>
      </c>
      <c r="R307">
        <v>200797</v>
      </c>
    </row>
    <row r="308" spans="1:18" x14ac:dyDescent="0.25">
      <c r="A308" s="170">
        <v>45537</v>
      </c>
      <c r="B308" s="116">
        <v>110.55</v>
      </c>
      <c r="C308" s="116">
        <v>106.1</v>
      </c>
      <c r="D308" s="116">
        <v>105.5</v>
      </c>
      <c r="E308" s="116">
        <v>107.4</v>
      </c>
      <c r="F308" s="116">
        <v>106.1</v>
      </c>
      <c r="G308">
        <v>47745</v>
      </c>
      <c r="H308" s="116"/>
      <c r="I308" s="116"/>
      <c r="L308" s="170">
        <v>45537</v>
      </c>
      <c r="M308" s="116">
        <v>106.22</v>
      </c>
      <c r="N308" s="116">
        <v>110.5</v>
      </c>
      <c r="O308" s="116">
        <v>105.5</v>
      </c>
      <c r="P308" s="116">
        <v>108.85</v>
      </c>
      <c r="Q308" s="116">
        <v>106.22</v>
      </c>
      <c r="R308">
        <v>264548</v>
      </c>
    </row>
    <row r="309" spans="1:18" x14ac:dyDescent="0.25">
      <c r="A309" s="170">
        <v>45538</v>
      </c>
      <c r="B309" s="116">
        <v>108.5</v>
      </c>
      <c r="C309" s="116">
        <v>107.65</v>
      </c>
      <c r="D309" s="116">
        <v>104.6</v>
      </c>
      <c r="E309" s="116">
        <v>104.6</v>
      </c>
      <c r="F309" s="116">
        <v>107.65</v>
      </c>
      <c r="G309">
        <v>36494</v>
      </c>
      <c r="H309" s="116"/>
      <c r="I309" s="116"/>
      <c r="L309" s="170">
        <v>45538</v>
      </c>
      <c r="M309" s="116">
        <v>107.75</v>
      </c>
      <c r="N309" s="116">
        <v>108.39</v>
      </c>
      <c r="O309" s="116">
        <v>105.24</v>
      </c>
      <c r="P309" s="116">
        <v>106.1</v>
      </c>
      <c r="Q309" s="116">
        <v>107.75</v>
      </c>
      <c r="R309">
        <v>277299</v>
      </c>
    </row>
    <row r="310" spans="1:18" x14ac:dyDescent="0.25">
      <c r="A310" s="170">
        <v>45539</v>
      </c>
      <c r="B310" s="116">
        <v>108.7</v>
      </c>
      <c r="C310" s="116">
        <v>106.85</v>
      </c>
      <c r="D310" s="116">
        <v>105.95</v>
      </c>
      <c r="E310" s="116">
        <v>107.75</v>
      </c>
      <c r="F310" s="116">
        <v>106.85</v>
      </c>
      <c r="G310">
        <v>6913</v>
      </c>
      <c r="H310" s="116"/>
      <c r="I310" s="116"/>
      <c r="L310" s="170">
        <v>45539</v>
      </c>
      <c r="M310" s="116">
        <v>106.61</v>
      </c>
      <c r="N310" s="116">
        <v>108.7</v>
      </c>
      <c r="O310" s="116">
        <v>105.49</v>
      </c>
      <c r="P310" s="116">
        <v>107</v>
      </c>
      <c r="Q310" s="116">
        <v>106.61</v>
      </c>
      <c r="R310">
        <v>193753</v>
      </c>
    </row>
    <row r="311" spans="1:18" x14ac:dyDescent="0.25">
      <c r="A311" s="170">
        <v>45540</v>
      </c>
      <c r="B311" s="116">
        <v>112.7</v>
      </c>
      <c r="C311" s="116">
        <v>111.3</v>
      </c>
      <c r="D311" s="116">
        <v>106.95</v>
      </c>
      <c r="E311" s="116">
        <v>110.85</v>
      </c>
      <c r="F311" s="116">
        <v>111.3</v>
      </c>
      <c r="G311">
        <v>103625</v>
      </c>
      <c r="H311" s="116"/>
      <c r="I311" s="116"/>
      <c r="L311" s="170">
        <v>45540</v>
      </c>
      <c r="M311" s="116">
        <v>110.79</v>
      </c>
      <c r="N311" s="116">
        <v>112.7</v>
      </c>
      <c r="O311" s="116">
        <v>107.01</v>
      </c>
      <c r="P311" s="116">
        <v>107.39</v>
      </c>
      <c r="Q311" s="116">
        <v>110.79</v>
      </c>
      <c r="R311">
        <v>773983</v>
      </c>
    </row>
    <row r="312" spans="1:18" x14ac:dyDescent="0.25">
      <c r="A312" s="170">
        <v>45541</v>
      </c>
      <c r="B312" s="116">
        <v>112.85</v>
      </c>
      <c r="C312" s="116">
        <v>107.3</v>
      </c>
      <c r="D312" s="116">
        <v>105.95</v>
      </c>
      <c r="E312" s="116">
        <v>112.45</v>
      </c>
      <c r="F312" s="116">
        <v>107.3</v>
      </c>
      <c r="G312">
        <v>78589</v>
      </c>
      <c r="H312" s="116"/>
      <c r="I312" s="116"/>
      <c r="L312" s="170">
        <v>45541</v>
      </c>
      <c r="M312" s="116">
        <v>107.03</v>
      </c>
      <c r="N312" s="116">
        <v>112</v>
      </c>
      <c r="O312" s="116">
        <v>106.06</v>
      </c>
      <c r="P312" s="116">
        <v>110.79</v>
      </c>
      <c r="Q312" s="116">
        <v>107.03</v>
      </c>
      <c r="R312">
        <v>412741</v>
      </c>
    </row>
    <row r="313" spans="1:18" x14ac:dyDescent="0.25">
      <c r="A313" s="170">
        <v>45544</v>
      </c>
      <c r="B313" s="116">
        <v>107.1</v>
      </c>
      <c r="C313" s="116">
        <v>104.9</v>
      </c>
      <c r="D313" s="116">
        <v>103</v>
      </c>
      <c r="E313" s="116">
        <v>103.5</v>
      </c>
      <c r="F313" s="116">
        <v>104.9</v>
      </c>
      <c r="G313">
        <v>53036</v>
      </c>
      <c r="H313" s="116"/>
      <c r="I313" s="116"/>
      <c r="L313" s="170">
        <v>45544</v>
      </c>
      <c r="M313" s="116">
        <v>104.82</v>
      </c>
      <c r="N313" s="116">
        <v>107.03</v>
      </c>
      <c r="O313" s="116">
        <v>102.94</v>
      </c>
      <c r="P313" s="116">
        <v>107.03</v>
      </c>
      <c r="Q313" s="116">
        <v>104.82</v>
      </c>
      <c r="R313">
        <v>252926</v>
      </c>
    </row>
    <row r="314" spans="1:18" x14ac:dyDescent="0.25">
      <c r="A314" s="170">
        <v>45545</v>
      </c>
      <c r="B314" s="116">
        <v>108.3</v>
      </c>
      <c r="C314" s="116">
        <v>106.95</v>
      </c>
      <c r="D314" s="116">
        <v>105.9</v>
      </c>
      <c r="E314" s="116">
        <v>105.9</v>
      </c>
      <c r="F314" s="116">
        <v>106.95</v>
      </c>
      <c r="G314">
        <v>52229</v>
      </c>
      <c r="H314" s="116"/>
      <c r="I314" s="116"/>
      <c r="L314" s="170">
        <v>45545</v>
      </c>
      <c r="M314" s="116">
        <v>106.93</v>
      </c>
      <c r="N314" s="116">
        <v>108.31</v>
      </c>
      <c r="O314" s="116">
        <v>105.74</v>
      </c>
      <c r="P314" s="116">
        <v>105.75</v>
      </c>
      <c r="Q314" s="116">
        <v>106.93</v>
      </c>
      <c r="R314">
        <v>244119</v>
      </c>
    </row>
    <row r="315" spans="1:18" x14ac:dyDescent="0.25">
      <c r="A315" s="170">
        <v>45546</v>
      </c>
      <c r="B315" s="116">
        <v>109.25</v>
      </c>
      <c r="C315" s="116">
        <v>106.7</v>
      </c>
      <c r="D315" s="116">
        <v>105.05</v>
      </c>
      <c r="E315" s="116">
        <v>107.15</v>
      </c>
      <c r="F315" s="116">
        <v>106.7</v>
      </c>
      <c r="G315">
        <v>45040</v>
      </c>
      <c r="H315" s="116"/>
      <c r="I315" s="116"/>
      <c r="L315" s="170">
        <v>45546</v>
      </c>
      <c r="M315" s="116">
        <v>106.92</v>
      </c>
      <c r="N315" s="116">
        <v>109.31</v>
      </c>
      <c r="O315" s="116">
        <v>105</v>
      </c>
      <c r="P315" s="116">
        <v>107.74</v>
      </c>
      <c r="Q315" s="116">
        <v>106.92</v>
      </c>
      <c r="R315">
        <v>249595</v>
      </c>
    </row>
    <row r="316" spans="1:18" x14ac:dyDescent="0.25">
      <c r="A316" s="170">
        <v>45547</v>
      </c>
      <c r="B316" s="116">
        <v>111.55</v>
      </c>
      <c r="C316" s="116">
        <v>111.35</v>
      </c>
      <c r="D316" s="116">
        <v>106.1</v>
      </c>
      <c r="E316" s="116">
        <v>111.4</v>
      </c>
      <c r="F316" s="116">
        <v>111.35</v>
      </c>
      <c r="G316">
        <v>47045</v>
      </c>
      <c r="H316" s="116"/>
      <c r="I316" s="116"/>
      <c r="L316" s="170">
        <v>45547</v>
      </c>
      <c r="M316" s="116">
        <v>111.06</v>
      </c>
      <c r="N316" s="116">
        <v>111.8</v>
      </c>
      <c r="O316" s="116">
        <v>106.29</v>
      </c>
      <c r="P316" s="116">
        <v>107.99</v>
      </c>
      <c r="Q316" s="116">
        <v>111.06</v>
      </c>
      <c r="R316">
        <v>494320</v>
      </c>
    </row>
    <row r="317" spans="1:18" x14ac:dyDescent="0.25">
      <c r="A317" s="170">
        <v>45548</v>
      </c>
      <c r="B317" s="116">
        <v>118.4</v>
      </c>
      <c r="C317" s="116">
        <v>114.2</v>
      </c>
      <c r="D317" s="116">
        <v>110.9</v>
      </c>
      <c r="E317" s="116">
        <v>113.5</v>
      </c>
      <c r="F317" s="116">
        <v>114.2</v>
      </c>
      <c r="G317">
        <v>170570</v>
      </c>
      <c r="H317" s="116"/>
      <c r="I317" s="116"/>
      <c r="L317" s="170">
        <v>45548</v>
      </c>
      <c r="M317" s="116">
        <v>113.96</v>
      </c>
      <c r="N317" s="116">
        <v>118.75</v>
      </c>
      <c r="O317" s="116">
        <v>110.71</v>
      </c>
      <c r="P317" s="116">
        <v>112</v>
      </c>
      <c r="Q317" s="116">
        <v>113.96</v>
      </c>
      <c r="R317">
        <v>1529396</v>
      </c>
    </row>
    <row r="318" spans="1:18" x14ac:dyDescent="0.25">
      <c r="A318" s="170">
        <v>45551</v>
      </c>
      <c r="B318" s="116">
        <v>116.5</v>
      </c>
      <c r="C318" s="116">
        <v>110.85</v>
      </c>
      <c r="D318" s="116">
        <v>110.05</v>
      </c>
      <c r="E318" s="116">
        <v>116.5</v>
      </c>
      <c r="F318" s="116">
        <v>110.85</v>
      </c>
      <c r="G318">
        <v>119805</v>
      </c>
      <c r="H318" s="116"/>
      <c r="I318" s="116"/>
      <c r="L318" s="170">
        <v>45551</v>
      </c>
      <c r="M318" s="116">
        <v>111.03</v>
      </c>
      <c r="N318" s="116">
        <v>115.29</v>
      </c>
      <c r="O318" s="116">
        <v>110.03</v>
      </c>
      <c r="P318" s="116">
        <v>114.89</v>
      </c>
      <c r="Q318" s="116">
        <v>111.03</v>
      </c>
      <c r="R318">
        <v>394959</v>
      </c>
    </row>
    <row r="319" spans="1:18" x14ac:dyDescent="0.25">
      <c r="A319" s="170">
        <v>45552</v>
      </c>
      <c r="B319" s="116">
        <v>112</v>
      </c>
      <c r="C319" s="116">
        <v>108.2</v>
      </c>
      <c r="D319" s="116">
        <v>107.25</v>
      </c>
      <c r="E319" s="116">
        <v>112</v>
      </c>
      <c r="F319" s="116">
        <v>108.2</v>
      </c>
      <c r="G319">
        <v>28399</v>
      </c>
      <c r="H319" s="116"/>
      <c r="I319" s="116"/>
      <c r="L319" s="170">
        <v>45552</v>
      </c>
      <c r="M319" s="116">
        <v>108.5</v>
      </c>
      <c r="N319" s="116">
        <v>111.9</v>
      </c>
      <c r="O319" s="116">
        <v>107.2</v>
      </c>
      <c r="P319" s="116">
        <v>111.9</v>
      </c>
      <c r="Q319" s="116">
        <v>108.5</v>
      </c>
      <c r="R319">
        <v>332045</v>
      </c>
    </row>
    <row r="320" spans="1:18" x14ac:dyDescent="0.25">
      <c r="A320" s="170">
        <v>45553</v>
      </c>
      <c r="B320" s="116">
        <v>108</v>
      </c>
      <c r="C320" s="116">
        <v>107.55</v>
      </c>
      <c r="D320" s="116">
        <v>105.55</v>
      </c>
      <c r="E320" s="116">
        <v>107.65</v>
      </c>
      <c r="F320" s="116">
        <v>107.55</v>
      </c>
      <c r="G320">
        <v>19309</v>
      </c>
      <c r="H320" s="116"/>
      <c r="I320" s="116"/>
      <c r="L320" s="170">
        <v>45553</v>
      </c>
      <c r="M320" s="116">
        <v>107.42</v>
      </c>
      <c r="N320" s="116">
        <v>109.6</v>
      </c>
      <c r="O320" s="116">
        <v>105.52</v>
      </c>
      <c r="P320" s="116">
        <v>109.6</v>
      </c>
      <c r="Q320" s="116">
        <v>107.42</v>
      </c>
      <c r="R320">
        <v>361664</v>
      </c>
    </row>
    <row r="321" spans="1:18" x14ac:dyDescent="0.25">
      <c r="A321" s="170">
        <v>45554</v>
      </c>
      <c r="B321" s="116">
        <v>108.95</v>
      </c>
      <c r="C321" s="116">
        <v>103.15</v>
      </c>
      <c r="D321" s="116">
        <v>102.1</v>
      </c>
      <c r="E321" s="116">
        <v>107.4</v>
      </c>
      <c r="F321" s="116">
        <v>103.15</v>
      </c>
      <c r="G321">
        <v>60323</v>
      </c>
      <c r="H321" s="116"/>
      <c r="I321" s="116"/>
      <c r="L321" s="170">
        <v>45554</v>
      </c>
      <c r="M321" s="116">
        <v>103.34</v>
      </c>
      <c r="N321" s="116">
        <v>108.74</v>
      </c>
      <c r="O321" s="116">
        <v>102.15</v>
      </c>
      <c r="P321" s="116">
        <v>108.74</v>
      </c>
      <c r="Q321" s="116">
        <v>103.34</v>
      </c>
      <c r="R321">
        <v>410561</v>
      </c>
    </row>
    <row r="322" spans="1:18" x14ac:dyDescent="0.25">
      <c r="A322" s="170">
        <v>45555</v>
      </c>
      <c r="B322" s="116">
        <v>105.65</v>
      </c>
      <c r="C322" s="116">
        <v>104.75</v>
      </c>
      <c r="D322" s="116">
        <v>103.5</v>
      </c>
      <c r="E322" s="116">
        <v>103.5</v>
      </c>
      <c r="F322" s="116">
        <v>104.75</v>
      </c>
      <c r="G322">
        <v>8208</v>
      </c>
      <c r="H322" s="116"/>
      <c r="I322" s="116"/>
      <c r="L322" s="170">
        <v>45555</v>
      </c>
      <c r="M322" s="116">
        <v>104.89</v>
      </c>
      <c r="N322" s="116">
        <v>105.89</v>
      </c>
      <c r="O322" s="116">
        <v>103.71</v>
      </c>
      <c r="P322" s="116">
        <v>104.45</v>
      </c>
      <c r="Q322" s="116">
        <v>104.89</v>
      </c>
      <c r="R322">
        <v>214403</v>
      </c>
    </row>
    <row r="323" spans="1:18" x14ac:dyDescent="0.25">
      <c r="A323" s="170">
        <v>45558</v>
      </c>
      <c r="B323" s="116">
        <v>106.7</v>
      </c>
      <c r="C323" s="116">
        <v>104.2</v>
      </c>
      <c r="D323" s="116">
        <v>104</v>
      </c>
      <c r="E323" s="116">
        <v>104.6</v>
      </c>
      <c r="F323" s="116">
        <v>104.2</v>
      </c>
      <c r="G323">
        <v>9020</v>
      </c>
      <c r="H323" s="116"/>
      <c r="I323" s="116"/>
      <c r="L323" s="170">
        <v>45558</v>
      </c>
      <c r="M323" s="116">
        <v>104.09</v>
      </c>
      <c r="N323" s="116">
        <v>106.33</v>
      </c>
      <c r="O323" s="116">
        <v>103.7</v>
      </c>
      <c r="P323" s="116">
        <v>105.2</v>
      </c>
      <c r="Q323" s="116">
        <v>104.09</v>
      </c>
      <c r="R323">
        <v>229921</v>
      </c>
    </row>
    <row r="324" spans="1:18" x14ac:dyDescent="0.25">
      <c r="A324" s="170">
        <v>45559</v>
      </c>
      <c r="B324" s="116">
        <v>106.95</v>
      </c>
      <c r="C324" s="116">
        <v>104.05</v>
      </c>
      <c r="D324" s="116">
        <v>103</v>
      </c>
      <c r="E324" s="116">
        <v>103</v>
      </c>
      <c r="F324" s="116">
        <v>104.05</v>
      </c>
      <c r="G324">
        <v>50134</v>
      </c>
      <c r="H324" s="116"/>
      <c r="I324" s="116"/>
      <c r="L324" s="170">
        <v>45559</v>
      </c>
      <c r="M324" s="116">
        <v>104.11</v>
      </c>
      <c r="N324" s="116">
        <v>107</v>
      </c>
      <c r="O324" s="116">
        <v>104</v>
      </c>
      <c r="P324" s="116">
        <v>104.3</v>
      </c>
      <c r="Q324" s="116">
        <v>104.11</v>
      </c>
      <c r="R324">
        <v>246237</v>
      </c>
    </row>
    <row r="325" spans="1:18" x14ac:dyDescent="0.25">
      <c r="A325" s="170">
        <v>45560</v>
      </c>
      <c r="B325" s="116">
        <v>105.85</v>
      </c>
      <c r="C325" s="116">
        <v>101.55</v>
      </c>
      <c r="D325" s="116">
        <v>101.45</v>
      </c>
      <c r="E325" s="116">
        <v>105.85</v>
      </c>
      <c r="F325" s="116">
        <v>101.55</v>
      </c>
      <c r="G325">
        <v>18221</v>
      </c>
      <c r="H325" s="116"/>
      <c r="I325" s="116"/>
      <c r="L325" s="170">
        <v>45560</v>
      </c>
      <c r="M325" s="116">
        <v>101.7</v>
      </c>
      <c r="N325" s="116">
        <v>105</v>
      </c>
      <c r="O325" s="116">
        <v>101.1</v>
      </c>
      <c r="P325" s="116">
        <v>104.26</v>
      </c>
      <c r="Q325" s="116">
        <v>101.7</v>
      </c>
      <c r="R325">
        <v>419600</v>
      </c>
    </row>
    <row r="326" spans="1:18" x14ac:dyDescent="0.25">
      <c r="A326" s="170">
        <v>45561</v>
      </c>
      <c r="B326" s="116">
        <v>103.8</v>
      </c>
      <c r="C326" s="116">
        <v>100.2</v>
      </c>
      <c r="D326" s="116">
        <v>98.55</v>
      </c>
      <c r="E326" s="116">
        <v>103.65</v>
      </c>
      <c r="F326" s="116">
        <v>100.2</v>
      </c>
      <c r="G326">
        <v>19596</v>
      </c>
      <c r="H326" s="116"/>
      <c r="I326" s="116"/>
      <c r="L326" s="170">
        <v>45561</v>
      </c>
      <c r="M326" s="116">
        <v>99.93</v>
      </c>
      <c r="N326" s="116">
        <v>104.41</v>
      </c>
      <c r="O326" s="116">
        <v>98.6</v>
      </c>
      <c r="P326" s="116">
        <v>102.06</v>
      </c>
      <c r="Q326" s="116">
        <v>99.93</v>
      </c>
      <c r="R326">
        <v>377155</v>
      </c>
    </row>
    <row r="327" spans="1:18" x14ac:dyDescent="0.25">
      <c r="A327" s="170">
        <v>45562</v>
      </c>
      <c r="B327" s="116">
        <v>102.45</v>
      </c>
      <c r="C327" s="116">
        <v>100.95</v>
      </c>
      <c r="D327" s="116">
        <v>99.75</v>
      </c>
      <c r="E327" s="116">
        <v>102.45</v>
      </c>
      <c r="F327" s="116">
        <v>100.95</v>
      </c>
      <c r="G327">
        <v>23599</v>
      </c>
      <c r="H327" s="116"/>
      <c r="I327" s="116"/>
      <c r="L327" s="170">
        <v>45562</v>
      </c>
      <c r="M327" s="116">
        <v>100.74</v>
      </c>
      <c r="N327" s="116">
        <v>101.69</v>
      </c>
      <c r="O327" s="116">
        <v>99.8</v>
      </c>
      <c r="P327" s="116">
        <v>99.98</v>
      </c>
      <c r="Q327" s="116">
        <v>100.74</v>
      </c>
      <c r="R327">
        <v>281529</v>
      </c>
    </row>
    <row r="328" spans="1:18" x14ac:dyDescent="0.25">
      <c r="A328" s="170">
        <v>45565</v>
      </c>
      <c r="B328" s="116">
        <v>102.85</v>
      </c>
      <c r="C328" s="116">
        <v>102.35</v>
      </c>
      <c r="D328" s="116">
        <v>98.95</v>
      </c>
      <c r="E328" s="116">
        <v>101.95</v>
      </c>
      <c r="F328" s="116">
        <v>102.35</v>
      </c>
      <c r="G328">
        <v>59717</v>
      </c>
      <c r="H328" s="116"/>
      <c r="I328" s="116"/>
      <c r="L328" s="170">
        <v>45565</v>
      </c>
      <c r="M328" s="116">
        <v>102.54</v>
      </c>
      <c r="N328" s="116">
        <v>102.99</v>
      </c>
      <c r="O328" s="116">
        <v>99.01</v>
      </c>
      <c r="P328" s="116">
        <v>101.7</v>
      </c>
      <c r="Q328" s="116">
        <v>102.54</v>
      </c>
      <c r="R328">
        <v>295734</v>
      </c>
    </row>
    <row r="329" spans="1:18" x14ac:dyDescent="0.25">
      <c r="A329" s="170">
        <v>45566</v>
      </c>
      <c r="B329" s="116">
        <v>103.05</v>
      </c>
      <c r="C329" s="116">
        <v>101.05</v>
      </c>
      <c r="D329" s="116">
        <v>99.8</v>
      </c>
      <c r="E329" s="116">
        <v>102.8</v>
      </c>
      <c r="F329" s="116">
        <v>101.05</v>
      </c>
      <c r="G329">
        <v>11871</v>
      </c>
      <c r="H329" s="116"/>
      <c r="I329" s="116"/>
      <c r="L329" s="170">
        <v>45566</v>
      </c>
      <c r="M329" s="116">
        <v>101.28</v>
      </c>
      <c r="N329" s="116">
        <v>103.2</v>
      </c>
      <c r="O329" s="116">
        <v>100.06</v>
      </c>
      <c r="P329" s="116">
        <v>102.99</v>
      </c>
      <c r="Q329" s="116">
        <v>101.28</v>
      </c>
      <c r="R329">
        <v>165141</v>
      </c>
    </row>
    <row r="330" spans="1:18" x14ac:dyDescent="0.25">
      <c r="A330" s="170">
        <v>45568</v>
      </c>
      <c r="B330" s="116">
        <v>100.55</v>
      </c>
      <c r="C330" s="116">
        <v>99.45</v>
      </c>
      <c r="D330" s="116">
        <v>97.65</v>
      </c>
      <c r="E330" s="116">
        <v>98.1</v>
      </c>
      <c r="F330" s="116">
        <v>99.45</v>
      </c>
      <c r="G330">
        <v>10398</v>
      </c>
      <c r="H330" s="116"/>
      <c r="I330" s="116"/>
      <c r="L330" s="170">
        <v>45568</v>
      </c>
      <c r="M330" s="116">
        <v>99.44</v>
      </c>
      <c r="N330" s="116">
        <v>101.78</v>
      </c>
      <c r="O330" s="116">
        <v>97.7</v>
      </c>
      <c r="P330" s="116">
        <v>97.7</v>
      </c>
      <c r="Q330" s="116">
        <v>99.44</v>
      </c>
      <c r="R330">
        <v>222752</v>
      </c>
    </row>
    <row r="331" spans="1:18" x14ac:dyDescent="0.25">
      <c r="A331" s="170">
        <v>45569</v>
      </c>
      <c r="B331" s="116">
        <v>101.4</v>
      </c>
      <c r="C331" s="116">
        <v>98.25</v>
      </c>
      <c r="D331" s="116">
        <v>97.95</v>
      </c>
      <c r="E331" s="116">
        <v>101.4</v>
      </c>
      <c r="F331" s="116">
        <v>98.25</v>
      </c>
      <c r="G331">
        <v>35214</v>
      </c>
      <c r="H331" s="116"/>
      <c r="I331" s="116"/>
      <c r="L331" s="170">
        <v>45569</v>
      </c>
      <c r="M331" s="116">
        <v>98.29</v>
      </c>
      <c r="N331" s="116">
        <v>100.95</v>
      </c>
      <c r="O331" s="116">
        <v>98</v>
      </c>
      <c r="P331" s="116">
        <v>99.75</v>
      </c>
      <c r="Q331" s="116">
        <v>98.29</v>
      </c>
      <c r="R331">
        <v>189833</v>
      </c>
    </row>
    <row r="332" spans="1:18" x14ac:dyDescent="0.25">
      <c r="A332" s="170">
        <v>45572</v>
      </c>
      <c r="B332" s="116">
        <v>99</v>
      </c>
      <c r="C332" s="116">
        <v>94.4</v>
      </c>
      <c r="D332" s="116">
        <v>91.9</v>
      </c>
      <c r="E332" s="116">
        <v>97.15</v>
      </c>
      <c r="F332" s="116">
        <v>94.4</v>
      </c>
      <c r="G332">
        <v>27527</v>
      </c>
      <c r="H332" s="116"/>
      <c r="I332" s="116"/>
      <c r="L332" s="170">
        <v>45572</v>
      </c>
      <c r="M332" s="116">
        <v>94.09</v>
      </c>
      <c r="N332" s="116">
        <v>99.76</v>
      </c>
      <c r="O332" s="116">
        <v>91.6</v>
      </c>
      <c r="P332" s="116">
        <v>99.75</v>
      </c>
      <c r="Q332" s="116">
        <v>94.09</v>
      </c>
      <c r="R332">
        <v>381424</v>
      </c>
    </row>
    <row r="333" spans="1:18" x14ac:dyDescent="0.25">
      <c r="A333" s="170">
        <v>45573</v>
      </c>
      <c r="B333" s="116">
        <v>94.9</v>
      </c>
      <c r="C333" s="116">
        <v>93.45</v>
      </c>
      <c r="D333" s="116">
        <v>91.25</v>
      </c>
      <c r="E333" s="116">
        <v>94.05</v>
      </c>
      <c r="F333" s="116">
        <v>93.45</v>
      </c>
      <c r="G333">
        <v>41935</v>
      </c>
      <c r="H333" s="116"/>
      <c r="I333" s="116"/>
      <c r="L333" s="170">
        <v>45573</v>
      </c>
      <c r="M333" s="116">
        <v>93.32</v>
      </c>
      <c r="N333" s="116">
        <v>94.7</v>
      </c>
      <c r="O333" s="116">
        <v>91.5</v>
      </c>
      <c r="P333" s="116">
        <v>92.6</v>
      </c>
      <c r="Q333" s="116">
        <v>93.32</v>
      </c>
      <c r="R333">
        <v>251939</v>
      </c>
    </row>
    <row r="334" spans="1:18" x14ac:dyDescent="0.25">
      <c r="A334" s="170">
        <v>45574</v>
      </c>
      <c r="B334" s="116">
        <v>97.7</v>
      </c>
      <c r="C334" s="116">
        <v>95.45</v>
      </c>
      <c r="D334" s="116">
        <v>94.85</v>
      </c>
      <c r="E334" s="116">
        <v>95.1</v>
      </c>
      <c r="F334" s="116">
        <v>95.45</v>
      </c>
      <c r="G334">
        <v>27132</v>
      </c>
      <c r="H334" s="116"/>
      <c r="I334" s="116"/>
      <c r="L334" s="170">
        <v>45574</v>
      </c>
      <c r="M334" s="116">
        <v>95.26</v>
      </c>
      <c r="N334" s="116">
        <v>97.59</v>
      </c>
      <c r="O334" s="116">
        <v>94.81</v>
      </c>
      <c r="P334" s="116">
        <v>94.97</v>
      </c>
      <c r="Q334" s="116">
        <v>95.26</v>
      </c>
      <c r="R334">
        <v>167410</v>
      </c>
    </row>
    <row r="335" spans="1:18" x14ac:dyDescent="0.25">
      <c r="A335" s="170">
        <v>45575</v>
      </c>
      <c r="B335" s="116">
        <v>95.95</v>
      </c>
      <c r="C335" s="116">
        <v>95.25</v>
      </c>
      <c r="D335" s="116">
        <v>94.55</v>
      </c>
      <c r="E335" s="116">
        <v>95.45</v>
      </c>
      <c r="F335" s="116">
        <v>95.25</v>
      </c>
      <c r="G335">
        <v>21847</v>
      </c>
      <c r="H335" s="116"/>
      <c r="I335" s="116"/>
      <c r="L335" s="170">
        <v>45575</v>
      </c>
      <c r="M335" s="116">
        <v>95.2</v>
      </c>
      <c r="N335" s="116">
        <v>96.24</v>
      </c>
      <c r="O335" s="116">
        <v>94.62</v>
      </c>
      <c r="P335" s="116">
        <v>96.24</v>
      </c>
      <c r="Q335" s="116">
        <v>95.2</v>
      </c>
      <c r="R335">
        <v>68541</v>
      </c>
    </row>
    <row r="336" spans="1:18" x14ac:dyDescent="0.25">
      <c r="A336" s="170">
        <v>45576</v>
      </c>
      <c r="B336" s="116">
        <v>97</v>
      </c>
      <c r="C336" s="116">
        <v>95.95</v>
      </c>
      <c r="D336" s="116">
        <v>94.7</v>
      </c>
      <c r="E336" s="116">
        <v>95.25</v>
      </c>
      <c r="F336" s="116">
        <v>95.95</v>
      </c>
      <c r="G336">
        <v>16923</v>
      </c>
      <c r="H336" s="116"/>
      <c r="I336" s="116"/>
      <c r="L336" s="170">
        <v>45576</v>
      </c>
      <c r="M336" s="116">
        <v>96.2</v>
      </c>
      <c r="N336" s="116">
        <v>97.5</v>
      </c>
      <c r="O336" s="116">
        <v>94.74</v>
      </c>
      <c r="P336" s="116">
        <v>95.3</v>
      </c>
      <c r="Q336" s="116">
        <v>96.2</v>
      </c>
      <c r="R336">
        <v>125436</v>
      </c>
    </row>
    <row r="337" spans="1:18" x14ac:dyDescent="0.25">
      <c r="A337" s="170">
        <v>45579</v>
      </c>
      <c r="B337" s="116">
        <v>97.8</v>
      </c>
      <c r="C337" s="116">
        <v>96.35</v>
      </c>
      <c r="D337" s="116">
        <v>95.65</v>
      </c>
      <c r="E337" s="116">
        <v>97.8</v>
      </c>
      <c r="F337" s="116">
        <v>96.35</v>
      </c>
      <c r="G337">
        <v>6805</v>
      </c>
      <c r="H337" s="116"/>
      <c r="I337" s="116"/>
      <c r="L337" s="170">
        <v>45579</v>
      </c>
      <c r="M337" s="116">
        <v>96.62</v>
      </c>
      <c r="N337" s="116">
        <v>97.85</v>
      </c>
      <c r="O337" s="116">
        <v>95.6</v>
      </c>
      <c r="P337" s="116">
        <v>96.97</v>
      </c>
      <c r="Q337" s="116">
        <v>96.62</v>
      </c>
      <c r="R337">
        <v>98883</v>
      </c>
    </row>
    <row r="338" spans="1:18" x14ac:dyDescent="0.25">
      <c r="A338" s="170">
        <v>45580</v>
      </c>
      <c r="B338" s="116">
        <v>98</v>
      </c>
      <c r="C338" s="116">
        <v>96.25</v>
      </c>
      <c r="D338" s="116">
        <v>94.8</v>
      </c>
      <c r="E338" s="116">
        <v>98</v>
      </c>
      <c r="F338" s="116">
        <v>96.25</v>
      </c>
      <c r="G338">
        <v>4772</v>
      </c>
      <c r="H338" s="116"/>
      <c r="I338" s="116"/>
      <c r="L338" s="170">
        <v>45580</v>
      </c>
      <c r="M338" s="116">
        <v>96.52</v>
      </c>
      <c r="N338" s="116">
        <v>97.29</v>
      </c>
      <c r="O338" s="116">
        <v>94.5</v>
      </c>
      <c r="P338" s="116">
        <v>96.65</v>
      </c>
      <c r="Q338" s="116">
        <v>96.52</v>
      </c>
      <c r="R338">
        <v>149677</v>
      </c>
    </row>
    <row r="339" spans="1:18" x14ac:dyDescent="0.25">
      <c r="A339" s="170">
        <v>45581</v>
      </c>
      <c r="B339" s="116">
        <v>96.5</v>
      </c>
      <c r="C339" s="116">
        <v>94.35</v>
      </c>
      <c r="D339" s="116">
        <v>93.85</v>
      </c>
      <c r="E339" s="116">
        <v>96.5</v>
      </c>
      <c r="F339" s="116">
        <v>94.35</v>
      </c>
      <c r="G339">
        <v>9062</v>
      </c>
      <c r="H339" s="116"/>
      <c r="I339" s="116"/>
      <c r="L339" s="170">
        <v>45581</v>
      </c>
      <c r="M339" s="116">
        <v>94.44</v>
      </c>
      <c r="N339" s="116">
        <v>96.9</v>
      </c>
      <c r="O339" s="116">
        <v>94</v>
      </c>
      <c r="P339" s="116">
        <v>95.55</v>
      </c>
      <c r="Q339" s="116">
        <v>94.44</v>
      </c>
      <c r="R339">
        <v>145793</v>
      </c>
    </row>
    <row r="340" spans="1:18" x14ac:dyDescent="0.25">
      <c r="A340" s="170">
        <v>45582</v>
      </c>
      <c r="B340" s="116">
        <v>95.55</v>
      </c>
      <c r="C340" s="116">
        <v>93.25</v>
      </c>
      <c r="D340" s="116">
        <v>92.7</v>
      </c>
      <c r="E340" s="116">
        <v>94.2</v>
      </c>
      <c r="F340" s="116">
        <v>93.25</v>
      </c>
      <c r="G340">
        <v>7245</v>
      </c>
      <c r="H340" s="116"/>
      <c r="I340" s="116"/>
      <c r="L340" s="170">
        <v>45582</v>
      </c>
      <c r="M340" s="116">
        <v>93.12</v>
      </c>
      <c r="N340" s="116">
        <v>95.34</v>
      </c>
      <c r="O340" s="116">
        <v>92.7</v>
      </c>
      <c r="P340" s="116">
        <v>94.85</v>
      </c>
      <c r="Q340" s="116">
        <v>93.12</v>
      </c>
      <c r="R340">
        <v>92816</v>
      </c>
    </row>
    <row r="341" spans="1:18" x14ac:dyDescent="0.25">
      <c r="A341" s="170">
        <v>45583</v>
      </c>
      <c r="B341" s="116">
        <v>94.35</v>
      </c>
      <c r="C341" s="116">
        <v>91.65</v>
      </c>
      <c r="D341" s="116">
        <v>90.85</v>
      </c>
      <c r="E341" s="116">
        <v>91.3</v>
      </c>
      <c r="F341" s="116">
        <v>91.65</v>
      </c>
      <c r="G341">
        <v>27583</v>
      </c>
      <c r="H341" s="116"/>
      <c r="I341" s="116"/>
      <c r="L341" s="170">
        <v>45583</v>
      </c>
      <c r="M341" s="116">
        <v>92.29</v>
      </c>
      <c r="N341" s="116">
        <v>93.9</v>
      </c>
      <c r="O341" s="116">
        <v>90.6</v>
      </c>
      <c r="P341" s="116">
        <v>92.98</v>
      </c>
      <c r="Q341" s="116">
        <v>92.29</v>
      </c>
      <c r="R341">
        <v>224218</v>
      </c>
    </row>
    <row r="342" spans="1:18" x14ac:dyDescent="0.25">
      <c r="A342" s="170">
        <v>45586</v>
      </c>
      <c r="B342" s="116">
        <v>93.8</v>
      </c>
      <c r="C342" s="116">
        <v>89.35</v>
      </c>
      <c r="D342" s="116">
        <v>88.35</v>
      </c>
      <c r="E342" s="116">
        <v>93.8</v>
      </c>
      <c r="F342" s="116">
        <v>89.35</v>
      </c>
      <c r="G342">
        <v>12028</v>
      </c>
      <c r="H342" s="116"/>
      <c r="I342" s="116"/>
      <c r="L342" s="170">
        <v>45586</v>
      </c>
      <c r="M342" s="116">
        <v>88.94</v>
      </c>
      <c r="N342" s="116">
        <v>93.87</v>
      </c>
      <c r="O342" s="116">
        <v>88.1</v>
      </c>
      <c r="P342" s="116">
        <v>93.2</v>
      </c>
      <c r="Q342" s="116">
        <v>88.94</v>
      </c>
      <c r="R342">
        <v>246956</v>
      </c>
    </row>
    <row r="343" spans="1:18" x14ac:dyDescent="0.25">
      <c r="A343" s="170">
        <v>45587</v>
      </c>
      <c r="B343" s="116">
        <v>91.8</v>
      </c>
      <c r="C343" s="116">
        <v>85.75</v>
      </c>
      <c r="D343" s="116">
        <v>85.05</v>
      </c>
      <c r="E343" s="116">
        <v>91.8</v>
      </c>
      <c r="F343" s="116">
        <v>85.75</v>
      </c>
      <c r="G343">
        <v>46145</v>
      </c>
      <c r="H343" s="116"/>
      <c r="I343" s="116"/>
      <c r="L343" s="170">
        <v>45587</v>
      </c>
      <c r="M343" s="116">
        <v>85.75</v>
      </c>
      <c r="N343" s="116">
        <v>89.95</v>
      </c>
      <c r="O343" s="116">
        <v>85</v>
      </c>
      <c r="P343" s="116">
        <v>89.95</v>
      </c>
      <c r="Q343" s="116">
        <v>85.75</v>
      </c>
      <c r="R343">
        <v>251339</v>
      </c>
    </row>
    <row r="344" spans="1:18" x14ac:dyDescent="0.25">
      <c r="A344" s="170">
        <v>45588</v>
      </c>
      <c r="B344" s="116">
        <v>88.05</v>
      </c>
      <c r="C344" s="116">
        <v>86.6</v>
      </c>
      <c r="D344" s="116">
        <v>84</v>
      </c>
      <c r="E344" s="116">
        <v>85.85</v>
      </c>
      <c r="F344" s="116">
        <v>86.6</v>
      </c>
      <c r="G344">
        <v>14193</v>
      </c>
      <c r="H344" s="116"/>
      <c r="I344" s="116"/>
      <c r="L344" s="170">
        <v>45588</v>
      </c>
      <c r="M344" s="116">
        <v>86.69</v>
      </c>
      <c r="N344" s="116">
        <v>88.49</v>
      </c>
      <c r="O344" s="116">
        <v>84.07</v>
      </c>
      <c r="P344" s="116">
        <v>85.75</v>
      </c>
      <c r="Q344" s="116">
        <v>86.69</v>
      </c>
      <c r="R344">
        <v>185094</v>
      </c>
    </row>
    <row r="345" spans="1:18" x14ac:dyDescent="0.25">
      <c r="A345" s="170">
        <v>45589</v>
      </c>
      <c r="B345" s="116">
        <v>91</v>
      </c>
      <c r="C345" s="116">
        <v>88.75</v>
      </c>
      <c r="D345" s="116">
        <v>87.8</v>
      </c>
      <c r="E345" s="116">
        <v>88.45</v>
      </c>
      <c r="F345" s="116">
        <v>88.75</v>
      </c>
      <c r="G345">
        <v>14275</v>
      </c>
      <c r="H345" s="116"/>
      <c r="I345" s="116"/>
      <c r="L345" s="170">
        <v>45589</v>
      </c>
      <c r="M345" s="116">
        <v>88.99</v>
      </c>
      <c r="N345" s="116">
        <v>93.4</v>
      </c>
      <c r="O345" s="116">
        <v>87.57</v>
      </c>
      <c r="P345" s="116">
        <v>93.4</v>
      </c>
      <c r="Q345" s="116">
        <v>88.99</v>
      </c>
      <c r="R345">
        <v>281278</v>
      </c>
    </row>
    <row r="346" spans="1:18" x14ac:dyDescent="0.25">
      <c r="A346" s="170">
        <v>45590</v>
      </c>
      <c r="B346" s="116">
        <v>88.25</v>
      </c>
      <c r="C346" s="116">
        <v>85.8</v>
      </c>
      <c r="D346" s="116">
        <v>83.15</v>
      </c>
      <c r="E346" s="116">
        <v>87.3</v>
      </c>
      <c r="F346" s="116">
        <v>85.8</v>
      </c>
      <c r="G346">
        <v>11269</v>
      </c>
      <c r="H346" s="116"/>
      <c r="I346" s="116"/>
      <c r="L346" s="170">
        <v>45590</v>
      </c>
      <c r="M346" s="116">
        <v>86.73</v>
      </c>
      <c r="N346" s="116">
        <v>89</v>
      </c>
      <c r="O346" s="116">
        <v>83.15</v>
      </c>
      <c r="P346" s="116">
        <v>88.1</v>
      </c>
      <c r="Q346" s="116">
        <v>86.73</v>
      </c>
      <c r="R346">
        <v>332441</v>
      </c>
    </row>
    <row r="347" spans="1:18" x14ac:dyDescent="0.25">
      <c r="A347" s="170">
        <v>45593</v>
      </c>
      <c r="B347" s="116">
        <v>89.9</v>
      </c>
      <c r="C347" s="116">
        <v>87.75</v>
      </c>
      <c r="D347" s="116">
        <v>85.3</v>
      </c>
      <c r="E347" s="116">
        <v>89.4</v>
      </c>
      <c r="F347" s="116">
        <v>87.75</v>
      </c>
      <c r="G347">
        <v>9589</v>
      </c>
      <c r="H347" s="116"/>
      <c r="I347" s="116"/>
      <c r="L347" s="170">
        <v>45593</v>
      </c>
      <c r="M347" s="116">
        <v>87.43</v>
      </c>
      <c r="N347" s="116">
        <v>89.99</v>
      </c>
      <c r="O347" s="116">
        <v>85.2</v>
      </c>
      <c r="P347" s="116">
        <v>88</v>
      </c>
      <c r="Q347" s="116">
        <v>87.43</v>
      </c>
      <c r="R347">
        <v>253739</v>
      </c>
    </row>
    <row r="348" spans="1:18" x14ac:dyDescent="0.25">
      <c r="A348" s="170">
        <v>45594</v>
      </c>
      <c r="B348" s="116">
        <v>91.15</v>
      </c>
      <c r="C348" s="116">
        <v>90.05</v>
      </c>
      <c r="D348" s="116">
        <v>86.65</v>
      </c>
      <c r="E348" s="116">
        <v>87.3</v>
      </c>
      <c r="F348" s="116">
        <v>90.05</v>
      </c>
      <c r="G348">
        <v>20108</v>
      </c>
      <c r="H348" s="116"/>
      <c r="I348" s="116"/>
      <c r="L348" s="170">
        <v>45594</v>
      </c>
      <c r="M348" s="116">
        <v>90.11</v>
      </c>
      <c r="N348" s="116">
        <v>91.5</v>
      </c>
      <c r="O348" s="116">
        <v>86.3</v>
      </c>
      <c r="P348" s="116">
        <v>87.94</v>
      </c>
      <c r="Q348" s="116">
        <v>90.11</v>
      </c>
      <c r="R348">
        <v>179788</v>
      </c>
    </row>
    <row r="349" spans="1:18" x14ac:dyDescent="0.25">
      <c r="A349" s="170">
        <v>45595</v>
      </c>
      <c r="B349" s="116">
        <v>108.05</v>
      </c>
      <c r="C349" s="116">
        <v>105.1</v>
      </c>
      <c r="D349" s="116">
        <v>94</v>
      </c>
      <c r="E349" s="116">
        <v>95.5</v>
      </c>
      <c r="F349" s="116">
        <v>105.1</v>
      </c>
      <c r="G349">
        <v>313849</v>
      </c>
      <c r="H349" s="116"/>
      <c r="I349" s="116"/>
      <c r="L349" s="170">
        <v>45595</v>
      </c>
      <c r="M349" s="116">
        <v>105.13</v>
      </c>
      <c r="N349" s="116">
        <v>108.13</v>
      </c>
      <c r="O349" s="116">
        <v>94</v>
      </c>
      <c r="P349" s="116">
        <v>95</v>
      </c>
      <c r="Q349" s="116">
        <v>105.13</v>
      </c>
      <c r="R349">
        <v>4783490</v>
      </c>
    </row>
    <row r="350" spans="1:18" x14ac:dyDescent="0.25">
      <c r="A350" s="170">
        <v>45596</v>
      </c>
      <c r="B350" s="116">
        <v>107.4</v>
      </c>
      <c r="C350" s="116">
        <v>105.55</v>
      </c>
      <c r="D350" s="116">
        <v>101.3</v>
      </c>
      <c r="E350" s="116">
        <v>104.4</v>
      </c>
      <c r="F350" s="116">
        <v>105.55</v>
      </c>
      <c r="G350">
        <v>77447</v>
      </c>
      <c r="H350" s="116"/>
      <c r="I350" s="116"/>
      <c r="L350" s="170">
        <v>45596</v>
      </c>
      <c r="M350" s="116">
        <v>105.65</v>
      </c>
      <c r="N350" s="116">
        <v>107.9</v>
      </c>
      <c r="O350" s="116">
        <v>100.15</v>
      </c>
      <c r="P350" s="116">
        <v>104</v>
      </c>
      <c r="Q350" s="116">
        <v>105.65</v>
      </c>
      <c r="R350">
        <v>1150845</v>
      </c>
    </row>
    <row r="351" spans="1:18" x14ac:dyDescent="0.25">
      <c r="A351" s="170">
        <v>45597</v>
      </c>
      <c r="B351" s="116">
        <v>107.4</v>
      </c>
      <c r="C351" s="116">
        <v>104.65</v>
      </c>
      <c r="D351" s="116">
        <v>103.8</v>
      </c>
      <c r="E351" s="116">
        <v>105.7</v>
      </c>
      <c r="F351" s="116">
        <v>104.65</v>
      </c>
      <c r="G351">
        <v>29503</v>
      </c>
      <c r="H351" s="116"/>
      <c r="I351" s="116"/>
      <c r="L351" s="170">
        <v>45597</v>
      </c>
      <c r="M351" s="116">
        <v>104.89</v>
      </c>
      <c r="N351" s="116">
        <v>107.75</v>
      </c>
      <c r="O351" s="116">
        <v>103.4</v>
      </c>
      <c r="P351" s="116">
        <v>105.7</v>
      </c>
      <c r="Q351" s="116">
        <v>104.89</v>
      </c>
      <c r="R351">
        <v>210434</v>
      </c>
    </row>
    <row r="352" spans="1:18" x14ac:dyDescent="0.25">
      <c r="A352" s="170">
        <v>45600</v>
      </c>
      <c r="B352" s="116">
        <v>104.95</v>
      </c>
      <c r="C352" s="116">
        <v>100.6</v>
      </c>
      <c r="D352" s="116">
        <v>99.85</v>
      </c>
      <c r="E352" s="116">
        <v>104.45</v>
      </c>
      <c r="F352" s="116">
        <v>100.6</v>
      </c>
      <c r="G352">
        <v>12108</v>
      </c>
      <c r="H352" s="116"/>
      <c r="I352" s="116"/>
      <c r="L352" s="170">
        <v>45600</v>
      </c>
      <c r="M352" s="116">
        <v>100.34</v>
      </c>
      <c r="N352" s="116">
        <v>105</v>
      </c>
      <c r="O352" s="116">
        <v>99.2</v>
      </c>
      <c r="P352" s="116">
        <v>105</v>
      </c>
      <c r="Q352" s="116">
        <v>100.34</v>
      </c>
      <c r="R352">
        <v>337810</v>
      </c>
    </row>
    <row r="353" spans="1:18" x14ac:dyDescent="0.25">
      <c r="A353" s="170">
        <v>45601</v>
      </c>
      <c r="B353" s="116">
        <v>103.05</v>
      </c>
      <c r="C353" s="116">
        <v>101.05</v>
      </c>
      <c r="D353" s="116">
        <v>98.75</v>
      </c>
      <c r="E353" s="116">
        <v>102.35</v>
      </c>
      <c r="F353" s="116">
        <v>101.05</v>
      </c>
      <c r="G353">
        <v>52631</v>
      </c>
      <c r="H353" s="116"/>
      <c r="I353" s="116"/>
      <c r="L353" s="170">
        <v>45601</v>
      </c>
      <c r="M353" s="116">
        <v>101.11</v>
      </c>
      <c r="N353" s="116">
        <v>103.19</v>
      </c>
      <c r="O353" s="116">
        <v>98.46</v>
      </c>
      <c r="P353" s="116">
        <v>99.75</v>
      </c>
      <c r="Q353" s="116">
        <v>101.11</v>
      </c>
      <c r="R353">
        <v>250939</v>
      </c>
    </row>
    <row r="354" spans="1:18" x14ac:dyDescent="0.25">
      <c r="A354" s="170">
        <v>45602</v>
      </c>
      <c r="B354" s="116">
        <v>103.35</v>
      </c>
      <c r="C354" s="116">
        <v>102.4</v>
      </c>
      <c r="D354" s="116">
        <v>99.05</v>
      </c>
      <c r="E354" s="116">
        <v>101.2</v>
      </c>
      <c r="F354" s="116">
        <v>102.4</v>
      </c>
      <c r="G354">
        <v>18928</v>
      </c>
      <c r="H354" s="116"/>
      <c r="I354" s="116"/>
      <c r="L354" s="170">
        <v>45602</v>
      </c>
      <c r="M354" s="116">
        <v>102.56</v>
      </c>
      <c r="N354" s="116">
        <v>103.39</v>
      </c>
      <c r="O354" s="116">
        <v>100.21</v>
      </c>
      <c r="P354" s="116">
        <v>101.5</v>
      </c>
      <c r="Q354" s="116">
        <v>102.56</v>
      </c>
      <c r="R354">
        <v>189610</v>
      </c>
    </row>
    <row r="355" spans="1:18" x14ac:dyDescent="0.25">
      <c r="A355" s="170">
        <v>45603</v>
      </c>
      <c r="B355" s="116">
        <v>104.9</v>
      </c>
      <c r="C355" s="116">
        <v>99.65</v>
      </c>
      <c r="D355" s="116">
        <v>99.05</v>
      </c>
      <c r="E355" s="116">
        <v>102</v>
      </c>
      <c r="F355" s="116">
        <v>99.65</v>
      </c>
      <c r="G355">
        <v>23958</v>
      </c>
      <c r="H355" s="116"/>
      <c r="I355" s="116"/>
      <c r="L355" s="170">
        <v>45603</v>
      </c>
      <c r="M355" s="116">
        <v>99.74</v>
      </c>
      <c r="N355" s="116">
        <v>104.89</v>
      </c>
      <c r="O355" s="116">
        <v>99</v>
      </c>
      <c r="P355" s="116">
        <v>103.25</v>
      </c>
      <c r="Q355" s="116">
        <v>99.74</v>
      </c>
      <c r="R355">
        <v>447101</v>
      </c>
    </row>
    <row r="356" spans="1:18" x14ac:dyDescent="0.25">
      <c r="A356" s="170">
        <v>45604</v>
      </c>
      <c r="B356" s="116">
        <v>100.65</v>
      </c>
      <c r="C356" s="116">
        <v>98.35</v>
      </c>
      <c r="D356" s="116">
        <v>98</v>
      </c>
      <c r="E356" s="116">
        <v>100.65</v>
      </c>
      <c r="F356" s="116">
        <v>98.35</v>
      </c>
      <c r="G356">
        <v>16065</v>
      </c>
      <c r="H356" s="116"/>
      <c r="I356" s="116"/>
      <c r="L356" s="170">
        <v>45604</v>
      </c>
      <c r="M356" s="116">
        <v>98.27</v>
      </c>
      <c r="N356" s="116">
        <v>100.01</v>
      </c>
      <c r="O356" s="116">
        <v>97.8</v>
      </c>
      <c r="P356" s="116">
        <v>100</v>
      </c>
      <c r="Q356" s="116">
        <v>98.27</v>
      </c>
      <c r="R356">
        <v>143532</v>
      </c>
    </row>
    <row r="357" spans="1:18" x14ac:dyDescent="0.25">
      <c r="A357" s="170">
        <v>45607</v>
      </c>
      <c r="B357" s="116">
        <v>97.45</v>
      </c>
      <c r="C357" s="116">
        <v>95.8</v>
      </c>
      <c r="D357" s="116">
        <v>95.05</v>
      </c>
      <c r="E357" s="116">
        <v>96.5</v>
      </c>
      <c r="F357" s="116">
        <v>95.8</v>
      </c>
      <c r="G357">
        <v>36922</v>
      </c>
      <c r="H357" s="116"/>
      <c r="I357" s="116"/>
      <c r="L357" s="170">
        <v>45607</v>
      </c>
      <c r="M357" s="116">
        <v>95.69</v>
      </c>
      <c r="N357" s="116">
        <v>98</v>
      </c>
      <c r="O357" s="116">
        <v>95.27</v>
      </c>
      <c r="P357" s="116">
        <v>98</v>
      </c>
      <c r="Q357" s="116">
        <v>95.69</v>
      </c>
      <c r="R357">
        <v>149401</v>
      </c>
    </row>
    <row r="358" spans="1:18" x14ac:dyDescent="0.25">
      <c r="A358" s="170">
        <v>45608</v>
      </c>
      <c r="B358" s="116">
        <v>97.75</v>
      </c>
      <c r="C358" s="116">
        <v>93.55</v>
      </c>
      <c r="D358" s="116">
        <v>91.9</v>
      </c>
      <c r="E358" s="116">
        <v>95</v>
      </c>
      <c r="F358" s="116">
        <v>93.55</v>
      </c>
      <c r="G358">
        <v>24770</v>
      </c>
      <c r="H358" s="116"/>
      <c r="I358" s="116"/>
      <c r="L358" s="170">
        <v>45608</v>
      </c>
      <c r="M358" s="116">
        <v>94.16</v>
      </c>
      <c r="N358" s="116">
        <v>97.79</v>
      </c>
      <c r="O358" s="116">
        <v>92.5</v>
      </c>
      <c r="P358" s="116">
        <v>95.95</v>
      </c>
      <c r="Q358" s="116">
        <v>94.16</v>
      </c>
      <c r="R358">
        <v>149246</v>
      </c>
    </row>
    <row r="359" spans="1:18" x14ac:dyDescent="0.25">
      <c r="A359" s="170">
        <v>45609</v>
      </c>
      <c r="B359" s="116">
        <v>95.3</v>
      </c>
      <c r="C359" s="116">
        <v>92.3</v>
      </c>
      <c r="D359" s="116">
        <v>91.25</v>
      </c>
      <c r="E359" s="116">
        <v>94.1</v>
      </c>
      <c r="F359" s="116">
        <v>92.3</v>
      </c>
      <c r="G359">
        <v>13517</v>
      </c>
      <c r="H359" s="116"/>
      <c r="I359" s="116"/>
      <c r="L359" s="170">
        <v>45609</v>
      </c>
      <c r="M359" s="116">
        <v>91.89</v>
      </c>
      <c r="N359" s="116">
        <v>95.39</v>
      </c>
      <c r="O359" s="116">
        <v>91</v>
      </c>
      <c r="P359" s="116">
        <v>94.4</v>
      </c>
      <c r="Q359" s="116">
        <v>91.89</v>
      </c>
      <c r="R359">
        <v>172045</v>
      </c>
    </row>
    <row r="360" spans="1:18" x14ac:dyDescent="0.25">
      <c r="A360" s="170">
        <v>45610</v>
      </c>
      <c r="B360" s="116">
        <v>94.9</v>
      </c>
      <c r="C360" s="116">
        <v>93.95</v>
      </c>
      <c r="D360" s="116">
        <v>91.9</v>
      </c>
      <c r="E360" s="116">
        <v>94.9</v>
      </c>
      <c r="F360" s="116">
        <v>93.95</v>
      </c>
      <c r="G360">
        <v>16712</v>
      </c>
      <c r="H360" s="116"/>
      <c r="I360" s="116"/>
      <c r="L360" s="170">
        <v>45610</v>
      </c>
      <c r="M360" s="116">
        <v>93.96</v>
      </c>
      <c r="N360" s="116">
        <v>95.37</v>
      </c>
      <c r="O360" s="116">
        <v>91.55</v>
      </c>
      <c r="P360" s="116">
        <v>92.5</v>
      </c>
      <c r="Q360" s="116">
        <v>93.96</v>
      </c>
      <c r="R360">
        <v>134169</v>
      </c>
    </row>
    <row r="361" spans="1:18" x14ac:dyDescent="0.25">
      <c r="A361" s="170">
        <v>45614</v>
      </c>
      <c r="B361" s="116">
        <v>95.05</v>
      </c>
      <c r="C361" s="116">
        <v>92.65</v>
      </c>
      <c r="D361" s="116">
        <v>91.55</v>
      </c>
      <c r="E361" s="116">
        <v>94.1</v>
      </c>
      <c r="F361" s="116">
        <v>92.65</v>
      </c>
      <c r="G361">
        <v>5745</v>
      </c>
      <c r="H361" s="116"/>
      <c r="I361" s="116"/>
      <c r="L361" s="170">
        <v>45614</v>
      </c>
      <c r="M361" s="116">
        <v>92.46</v>
      </c>
      <c r="N361" s="116">
        <v>94.84</v>
      </c>
      <c r="O361" s="116">
        <v>91.04</v>
      </c>
      <c r="P361" s="116">
        <v>94.15</v>
      </c>
      <c r="Q361" s="116">
        <v>92.46</v>
      </c>
      <c r="R361">
        <v>109532</v>
      </c>
    </row>
    <row r="362" spans="1:18" x14ac:dyDescent="0.25">
      <c r="A362" s="170">
        <v>45615</v>
      </c>
      <c r="B362" s="116">
        <v>95.9</v>
      </c>
      <c r="C362" s="116">
        <v>93.05</v>
      </c>
      <c r="D362" s="116">
        <v>90.8</v>
      </c>
      <c r="E362" s="116">
        <v>92.8</v>
      </c>
      <c r="F362" s="116">
        <v>93.05</v>
      </c>
      <c r="G362">
        <v>14428</v>
      </c>
      <c r="H362" s="116"/>
      <c r="I362" s="116"/>
      <c r="L362" s="170">
        <v>45615</v>
      </c>
      <c r="M362" s="116">
        <v>92.09</v>
      </c>
      <c r="N362" s="116">
        <v>95.9</v>
      </c>
      <c r="O362" s="116">
        <v>90.1</v>
      </c>
      <c r="P362" s="116">
        <v>92.7</v>
      </c>
      <c r="Q362" s="116">
        <v>92.09</v>
      </c>
      <c r="R362">
        <v>108991</v>
      </c>
    </row>
    <row r="363" spans="1:18" x14ac:dyDescent="0.25">
      <c r="A363" s="170">
        <v>45617</v>
      </c>
      <c r="B363" s="116">
        <v>93.9</v>
      </c>
      <c r="C363" s="116">
        <v>88.5</v>
      </c>
      <c r="D363" s="116">
        <v>88</v>
      </c>
      <c r="E363" s="116">
        <v>93.9</v>
      </c>
      <c r="F363" s="116">
        <v>88.5</v>
      </c>
      <c r="G363">
        <v>20827</v>
      </c>
      <c r="H363" s="116"/>
      <c r="I363" s="116"/>
      <c r="L363" s="170">
        <v>45617</v>
      </c>
      <c r="M363" s="116">
        <v>88.34</v>
      </c>
      <c r="N363" s="116">
        <v>91.95</v>
      </c>
      <c r="O363" s="116">
        <v>86.6</v>
      </c>
      <c r="P363" s="116">
        <v>91.95</v>
      </c>
      <c r="Q363" s="116">
        <v>88.34</v>
      </c>
      <c r="R363">
        <v>151494</v>
      </c>
    </row>
    <row r="364" spans="1:18" x14ac:dyDescent="0.25">
      <c r="A364" s="170">
        <v>45618</v>
      </c>
      <c r="B364" s="116">
        <v>90.45</v>
      </c>
      <c r="C364" s="116">
        <v>89.4</v>
      </c>
      <c r="D364" s="116">
        <v>87.9</v>
      </c>
      <c r="E364" s="116">
        <v>88.9</v>
      </c>
      <c r="F364" s="116">
        <v>89.4</v>
      </c>
      <c r="G364">
        <v>25303</v>
      </c>
      <c r="H364" s="116"/>
      <c r="I364" s="116"/>
      <c r="L364" s="170">
        <v>45618</v>
      </c>
      <c r="M364" s="116">
        <v>89.28</v>
      </c>
      <c r="N364" s="116">
        <v>90.29</v>
      </c>
      <c r="O364" s="116">
        <v>88.15</v>
      </c>
      <c r="P364" s="116">
        <v>88.62</v>
      </c>
      <c r="Q364" s="116">
        <v>89.28</v>
      </c>
      <c r="R364">
        <v>112019</v>
      </c>
    </row>
    <row r="365" spans="1:18" x14ac:dyDescent="0.25">
      <c r="A365" s="170">
        <v>45621</v>
      </c>
      <c r="B365" s="116">
        <v>92.75</v>
      </c>
      <c r="C365" s="116">
        <v>91.65</v>
      </c>
      <c r="D365" s="116">
        <v>90.2</v>
      </c>
      <c r="E365" s="116">
        <v>91.1</v>
      </c>
      <c r="F365" s="116">
        <v>91.65</v>
      </c>
      <c r="G365">
        <v>25568</v>
      </c>
      <c r="H365" s="116"/>
      <c r="I365" s="116"/>
      <c r="L365" s="170">
        <v>45621</v>
      </c>
      <c r="M365" s="116">
        <v>91.13</v>
      </c>
      <c r="N365" s="116">
        <v>92.9</v>
      </c>
      <c r="O365" s="116">
        <v>90</v>
      </c>
      <c r="P365" s="116">
        <v>90</v>
      </c>
      <c r="Q365" s="116">
        <v>91.13</v>
      </c>
      <c r="R365">
        <v>116278</v>
      </c>
    </row>
    <row r="366" spans="1:18" x14ac:dyDescent="0.25">
      <c r="A366" s="170">
        <v>45622</v>
      </c>
      <c r="B366" s="116">
        <v>93.75</v>
      </c>
      <c r="C366" s="116">
        <v>93.45</v>
      </c>
      <c r="D366" s="116">
        <v>87.95</v>
      </c>
      <c r="E366" s="116">
        <v>87.95</v>
      </c>
      <c r="F366" s="116">
        <v>93.45</v>
      </c>
      <c r="G366">
        <v>9612</v>
      </c>
      <c r="H366" s="116"/>
      <c r="I366" s="116"/>
      <c r="L366" s="170">
        <v>45622</v>
      </c>
      <c r="M366" s="116">
        <v>93.32</v>
      </c>
      <c r="N366" s="116">
        <v>93.88</v>
      </c>
      <c r="O366" s="116">
        <v>91.41</v>
      </c>
      <c r="P366" s="116">
        <v>92.64</v>
      </c>
      <c r="Q366" s="116">
        <v>93.32</v>
      </c>
      <c r="R366">
        <v>90442</v>
      </c>
    </row>
    <row r="367" spans="1:18" x14ac:dyDescent="0.25">
      <c r="A367" s="170">
        <v>45623</v>
      </c>
      <c r="B367" s="116">
        <v>95.95</v>
      </c>
      <c r="C367" s="116">
        <v>95.15</v>
      </c>
      <c r="D367" s="116">
        <v>92.35</v>
      </c>
      <c r="E367" s="116">
        <v>93.5</v>
      </c>
      <c r="F367" s="116">
        <v>95.15</v>
      </c>
      <c r="G367">
        <v>46687</v>
      </c>
      <c r="H367" s="116"/>
      <c r="I367" s="116"/>
      <c r="L367" s="170">
        <v>45623</v>
      </c>
      <c r="M367" s="116">
        <v>95.25</v>
      </c>
      <c r="N367" s="116">
        <v>96.02</v>
      </c>
      <c r="O367" s="116">
        <v>92.27</v>
      </c>
      <c r="P367" s="116">
        <v>94</v>
      </c>
      <c r="Q367" s="116">
        <v>95.25</v>
      </c>
      <c r="R367">
        <v>180757</v>
      </c>
    </row>
    <row r="368" spans="1:18" x14ac:dyDescent="0.25">
      <c r="A368" s="170">
        <v>45624</v>
      </c>
      <c r="B368" s="116">
        <v>99.9</v>
      </c>
      <c r="C368" s="116">
        <v>94.55</v>
      </c>
      <c r="D368" s="116">
        <v>93.55</v>
      </c>
      <c r="E368" s="116">
        <v>93.55</v>
      </c>
      <c r="F368" s="116">
        <v>94.55</v>
      </c>
      <c r="G368">
        <v>20634</v>
      </c>
      <c r="H368" s="116"/>
      <c r="I368" s="116"/>
      <c r="L368" s="170">
        <v>45624</v>
      </c>
      <c r="M368" s="116">
        <v>94.58</v>
      </c>
      <c r="N368" s="116">
        <v>99.69</v>
      </c>
      <c r="O368" s="116">
        <v>94.01</v>
      </c>
      <c r="P368" s="116">
        <v>95.49</v>
      </c>
      <c r="Q368" s="116">
        <v>94.58</v>
      </c>
      <c r="R368">
        <v>255633</v>
      </c>
    </row>
    <row r="369" spans="1:18" x14ac:dyDescent="0.25">
      <c r="A369" s="170">
        <v>45625</v>
      </c>
      <c r="B369" s="116">
        <v>96.9</v>
      </c>
      <c r="C369" s="116">
        <v>96.3</v>
      </c>
      <c r="D369" s="116">
        <v>94.55</v>
      </c>
      <c r="E369" s="116">
        <v>96</v>
      </c>
      <c r="F369" s="116">
        <v>96.3</v>
      </c>
      <c r="G369">
        <v>8355</v>
      </c>
      <c r="H369" s="116"/>
      <c r="I369" s="116"/>
      <c r="L369" s="170">
        <v>45625</v>
      </c>
      <c r="M369" s="116">
        <v>96.34</v>
      </c>
      <c r="N369" s="116">
        <v>96.8</v>
      </c>
      <c r="O369" s="116">
        <v>94.58</v>
      </c>
      <c r="P369" s="116">
        <v>95.4</v>
      </c>
      <c r="Q369" s="116">
        <v>96.34</v>
      </c>
      <c r="R369">
        <v>82931</v>
      </c>
    </row>
    <row r="370" spans="1:18" x14ac:dyDescent="0.25">
      <c r="A370" s="170">
        <v>45628</v>
      </c>
      <c r="B370" s="116">
        <v>100.15</v>
      </c>
      <c r="C370" s="116">
        <v>99.64</v>
      </c>
      <c r="D370" s="116">
        <v>95.91</v>
      </c>
      <c r="E370" s="116">
        <v>98.23</v>
      </c>
      <c r="F370" s="116">
        <v>99.64</v>
      </c>
      <c r="G370">
        <v>29820</v>
      </c>
      <c r="H370" s="116"/>
      <c r="I370" s="116"/>
      <c r="L370" s="170">
        <v>45628</v>
      </c>
      <c r="M370" s="116">
        <v>99.62</v>
      </c>
      <c r="N370" s="116">
        <v>100</v>
      </c>
      <c r="O370" s="116">
        <v>96</v>
      </c>
      <c r="P370" s="116">
        <v>96.85</v>
      </c>
      <c r="Q370" s="116">
        <v>99.62</v>
      </c>
      <c r="R370">
        <v>319084</v>
      </c>
    </row>
    <row r="371" spans="1:18" x14ac:dyDescent="0.25">
      <c r="A371" s="170">
        <v>45629</v>
      </c>
      <c r="B371" s="116">
        <v>107.5</v>
      </c>
      <c r="C371" s="116">
        <v>106.83</v>
      </c>
      <c r="D371" s="116">
        <v>99.73</v>
      </c>
      <c r="E371" s="116">
        <v>99.8</v>
      </c>
      <c r="F371" s="116">
        <v>106.83</v>
      </c>
      <c r="G371">
        <v>133816</v>
      </c>
      <c r="H371" s="116"/>
      <c r="I371" s="116"/>
      <c r="L371" s="170">
        <v>45629</v>
      </c>
      <c r="M371" s="116">
        <v>106.64</v>
      </c>
      <c r="N371" s="116">
        <v>107.75</v>
      </c>
      <c r="O371" s="116">
        <v>98.71</v>
      </c>
      <c r="P371" s="116">
        <v>98.71</v>
      </c>
      <c r="Q371" s="116">
        <v>106.64</v>
      </c>
      <c r="R371">
        <v>702505</v>
      </c>
    </row>
    <row r="372" spans="1:18" x14ac:dyDescent="0.25">
      <c r="A372" s="170">
        <v>45630</v>
      </c>
      <c r="B372" s="116">
        <v>112.08</v>
      </c>
      <c r="C372" s="116">
        <v>109.68</v>
      </c>
      <c r="D372" s="116">
        <v>106.6</v>
      </c>
      <c r="E372" s="116">
        <v>108.69</v>
      </c>
      <c r="F372" s="116">
        <v>109.68</v>
      </c>
      <c r="G372">
        <v>206416</v>
      </c>
      <c r="H372" s="116"/>
      <c r="I372" s="116"/>
      <c r="L372" s="170">
        <v>45630</v>
      </c>
      <c r="M372" s="116">
        <v>109.24</v>
      </c>
      <c r="N372" s="116">
        <v>112</v>
      </c>
      <c r="O372" s="116">
        <v>106.69</v>
      </c>
      <c r="P372" s="116">
        <v>108</v>
      </c>
      <c r="Q372" s="116">
        <v>109.24</v>
      </c>
      <c r="R372">
        <v>836184</v>
      </c>
    </row>
    <row r="373" spans="1:18" x14ac:dyDescent="0.25">
      <c r="A373" s="170">
        <v>45631</v>
      </c>
      <c r="B373" s="116">
        <v>108.97</v>
      </c>
      <c r="C373" s="116">
        <v>106.35</v>
      </c>
      <c r="D373" s="116">
        <v>105.51</v>
      </c>
      <c r="E373" s="116">
        <v>108.43</v>
      </c>
      <c r="F373" s="116">
        <v>106.35</v>
      </c>
      <c r="G373">
        <v>69320</v>
      </c>
      <c r="H373" s="116"/>
      <c r="I373" s="116"/>
      <c r="L373" s="170">
        <v>45631</v>
      </c>
      <c r="M373" s="116">
        <v>106.37</v>
      </c>
      <c r="N373" s="116">
        <v>108.79</v>
      </c>
      <c r="O373" s="116">
        <v>105.6</v>
      </c>
      <c r="P373" s="116">
        <v>108.79</v>
      </c>
      <c r="Q373" s="116">
        <v>106.37</v>
      </c>
      <c r="R373">
        <v>298467</v>
      </c>
    </row>
    <row r="374" spans="1:18" x14ac:dyDescent="0.25">
      <c r="A374" s="170">
        <v>45632</v>
      </c>
      <c r="B374" s="116">
        <v>108.65</v>
      </c>
      <c r="C374" s="116">
        <v>107.24</v>
      </c>
      <c r="D374" s="116">
        <v>105.83</v>
      </c>
      <c r="E374" s="116">
        <v>108.3</v>
      </c>
      <c r="F374" s="116">
        <v>107.24</v>
      </c>
      <c r="G374">
        <v>13402</v>
      </c>
      <c r="H374" s="116"/>
      <c r="I374" s="116"/>
      <c r="L374" s="170">
        <v>45632</v>
      </c>
      <c r="M374" s="116">
        <v>107.03</v>
      </c>
      <c r="N374" s="116">
        <v>109.2</v>
      </c>
      <c r="O374" s="116">
        <v>104.61</v>
      </c>
      <c r="P374" s="116">
        <v>107.3</v>
      </c>
      <c r="Q374" s="116">
        <v>107.03</v>
      </c>
      <c r="R374">
        <v>392529</v>
      </c>
    </row>
    <row r="375" spans="1:18" x14ac:dyDescent="0.25">
      <c r="A375" s="170">
        <v>45635</v>
      </c>
      <c r="B375" s="116">
        <v>112.24</v>
      </c>
      <c r="C375" s="116">
        <v>110.65</v>
      </c>
      <c r="D375" s="116">
        <v>107</v>
      </c>
      <c r="E375" s="116">
        <v>107.24</v>
      </c>
      <c r="F375" s="116">
        <v>110.65</v>
      </c>
      <c r="G375">
        <v>84894</v>
      </c>
      <c r="H375" s="116"/>
      <c r="I375" s="116"/>
      <c r="L375" s="170">
        <v>45635</v>
      </c>
      <c r="M375" s="116">
        <v>110.74</v>
      </c>
      <c r="N375" s="116">
        <v>112.37</v>
      </c>
      <c r="O375" s="116">
        <v>106.8</v>
      </c>
      <c r="P375" s="116">
        <v>107.84</v>
      </c>
      <c r="Q375" s="116">
        <v>110.74</v>
      </c>
      <c r="R375">
        <v>628173</v>
      </c>
    </row>
    <row r="376" spans="1:18" x14ac:dyDescent="0.25">
      <c r="A376" s="170">
        <v>45636</v>
      </c>
      <c r="B376" s="116">
        <v>114.57</v>
      </c>
      <c r="C376" s="116">
        <v>112.25</v>
      </c>
      <c r="D376" s="116">
        <v>110.39</v>
      </c>
      <c r="E376" s="116">
        <v>113.29</v>
      </c>
      <c r="F376" s="116">
        <v>112.25</v>
      </c>
      <c r="G376">
        <v>83256</v>
      </c>
      <c r="H376" s="116"/>
      <c r="I376" s="116"/>
      <c r="L376" s="170">
        <v>45636</v>
      </c>
      <c r="M376" s="116">
        <v>112.36</v>
      </c>
      <c r="N376" s="116">
        <v>114.5</v>
      </c>
      <c r="O376" s="116">
        <v>110.11</v>
      </c>
      <c r="P376" s="116">
        <v>112</v>
      </c>
      <c r="Q376" s="116">
        <v>112.36</v>
      </c>
      <c r="R376">
        <v>599201</v>
      </c>
    </row>
    <row r="377" spans="1:18" x14ac:dyDescent="0.25">
      <c r="A377" s="170">
        <v>45637</v>
      </c>
      <c r="B377" s="116">
        <v>115.68</v>
      </c>
      <c r="C377" s="116">
        <v>111.37</v>
      </c>
      <c r="D377" s="116">
        <v>111</v>
      </c>
      <c r="E377" s="116">
        <v>114</v>
      </c>
      <c r="F377" s="116">
        <v>111.37</v>
      </c>
      <c r="G377">
        <v>30022</v>
      </c>
      <c r="H377" s="116"/>
      <c r="I377" s="116"/>
      <c r="L377" s="170">
        <v>45637</v>
      </c>
      <c r="M377" s="116">
        <v>111.21</v>
      </c>
      <c r="N377" s="116">
        <v>115.79</v>
      </c>
      <c r="O377" s="116">
        <v>110.53</v>
      </c>
      <c r="P377" s="116">
        <v>112.85</v>
      </c>
      <c r="Q377" s="116">
        <v>111.21</v>
      </c>
      <c r="R377">
        <v>478041</v>
      </c>
    </row>
    <row r="378" spans="1:18" x14ac:dyDescent="0.25">
      <c r="A378" s="170">
        <v>45638</v>
      </c>
      <c r="B378" s="116">
        <v>112.5</v>
      </c>
      <c r="C378" s="116">
        <v>109.13</v>
      </c>
      <c r="D378" s="116">
        <v>108.38</v>
      </c>
      <c r="E378" s="116">
        <v>111.21</v>
      </c>
      <c r="F378" s="116">
        <v>109.13</v>
      </c>
      <c r="G378">
        <v>51957</v>
      </c>
      <c r="H378" s="116"/>
      <c r="I378" s="116"/>
      <c r="L378" s="170">
        <v>45638</v>
      </c>
      <c r="M378" s="116">
        <v>109.18</v>
      </c>
      <c r="N378" s="116">
        <v>112.75</v>
      </c>
      <c r="O378" s="116">
        <v>108.03</v>
      </c>
      <c r="P378" s="116">
        <v>111.98</v>
      </c>
      <c r="Q378" s="116">
        <v>109.18</v>
      </c>
      <c r="R378">
        <v>323513</v>
      </c>
    </row>
    <row r="379" spans="1:18" x14ac:dyDescent="0.25">
      <c r="A379" s="170">
        <v>45639</v>
      </c>
      <c r="B379" s="116">
        <v>111.54</v>
      </c>
      <c r="C379" s="116">
        <v>110.88</v>
      </c>
      <c r="D379" s="116">
        <v>105.5</v>
      </c>
      <c r="E379" s="116">
        <v>111.36</v>
      </c>
      <c r="F379" s="116">
        <v>110.88</v>
      </c>
      <c r="G379">
        <v>18432</v>
      </c>
      <c r="H379" s="116"/>
      <c r="I379" s="116"/>
      <c r="L379" s="170">
        <v>45639</v>
      </c>
      <c r="M379" s="116">
        <v>110.75</v>
      </c>
      <c r="N379" s="116">
        <v>111.88</v>
      </c>
      <c r="O379" s="116">
        <v>105.21</v>
      </c>
      <c r="P379" s="116">
        <v>108.7</v>
      </c>
      <c r="Q379" s="116">
        <v>110.75</v>
      </c>
      <c r="R379">
        <v>346422</v>
      </c>
    </row>
    <row r="380" spans="1:18" x14ac:dyDescent="0.25">
      <c r="A380" s="170">
        <v>45642</v>
      </c>
      <c r="B380" s="116">
        <v>114.81</v>
      </c>
      <c r="C380" s="116">
        <v>112.55</v>
      </c>
      <c r="D380" s="116">
        <v>110.37</v>
      </c>
      <c r="E380" s="116">
        <v>110.5</v>
      </c>
      <c r="F380" s="116">
        <v>112.55</v>
      </c>
      <c r="G380">
        <v>64418</v>
      </c>
      <c r="H380" s="116"/>
      <c r="I380" s="116"/>
      <c r="L380" s="170">
        <v>45642</v>
      </c>
      <c r="M380" s="116">
        <v>112.71</v>
      </c>
      <c r="N380" s="116">
        <v>114.89</v>
      </c>
      <c r="O380" s="116">
        <v>111</v>
      </c>
      <c r="P380" s="116">
        <v>111.8</v>
      </c>
      <c r="Q380" s="116">
        <v>112.71</v>
      </c>
      <c r="R380">
        <v>293990</v>
      </c>
    </row>
    <row r="381" spans="1:18" x14ac:dyDescent="0.25">
      <c r="A381" s="170">
        <v>45643</v>
      </c>
      <c r="B381" s="116">
        <v>116.1</v>
      </c>
      <c r="C381" s="116">
        <v>112.84</v>
      </c>
      <c r="D381" s="116">
        <v>110.7</v>
      </c>
      <c r="E381" s="116">
        <v>114.75</v>
      </c>
      <c r="F381" s="116">
        <v>112.84</v>
      </c>
      <c r="G381">
        <v>44151</v>
      </c>
      <c r="H381" s="116"/>
      <c r="I381" s="116"/>
      <c r="L381" s="170">
        <v>45643</v>
      </c>
      <c r="M381" s="116">
        <v>113.03</v>
      </c>
      <c r="N381" s="116">
        <v>116.25</v>
      </c>
      <c r="O381" s="116">
        <v>110.61</v>
      </c>
      <c r="P381" s="116">
        <v>113.34</v>
      </c>
      <c r="Q381" s="116">
        <v>113.03</v>
      </c>
      <c r="R381">
        <v>443846</v>
      </c>
    </row>
    <row r="382" spans="1:18" x14ac:dyDescent="0.25">
      <c r="A382" s="170">
        <v>45644</v>
      </c>
      <c r="B382" s="116">
        <v>113.8</v>
      </c>
      <c r="C382" s="116">
        <v>110.02</v>
      </c>
      <c r="D382" s="116">
        <v>109.35</v>
      </c>
      <c r="E382" s="116">
        <v>113.8</v>
      </c>
      <c r="F382" s="116">
        <v>110.02</v>
      </c>
      <c r="G382">
        <v>14223</v>
      </c>
      <c r="H382" s="116"/>
      <c r="I382" s="116"/>
      <c r="L382" s="170">
        <v>45644</v>
      </c>
      <c r="M382" s="116">
        <v>109.82</v>
      </c>
      <c r="N382" s="116">
        <v>113.85</v>
      </c>
      <c r="O382" s="116">
        <v>109.11</v>
      </c>
      <c r="P382" s="116">
        <v>112.85</v>
      </c>
      <c r="Q382" s="116">
        <v>109.82</v>
      </c>
      <c r="R382">
        <v>193523</v>
      </c>
    </row>
    <row r="383" spans="1:18" x14ac:dyDescent="0.25">
      <c r="A383" s="170">
        <v>45645</v>
      </c>
      <c r="B383" s="116">
        <v>113.95</v>
      </c>
      <c r="C383" s="116">
        <v>110.59</v>
      </c>
      <c r="D383" s="116">
        <v>106.28</v>
      </c>
      <c r="E383" s="116">
        <v>106.28</v>
      </c>
      <c r="F383" s="116">
        <v>110.59</v>
      </c>
      <c r="G383">
        <v>69666</v>
      </c>
      <c r="H383" s="116"/>
      <c r="I383" s="116"/>
      <c r="L383" s="170">
        <v>45645</v>
      </c>
      <c r="M383" s="116">
        <v>110.45</v>
      </c>
      <c r="N383" s="116">
        <v>113.79</v>
      </c>
      <c r="O383" s="116">
        <v>106.65</v>
      </c>
      <c r="P383" s="116">
        <v>107</v>
      </c>
      <c r="Q383" s="116">
        <v>110.45</v>
      </c>
      <c r="R383">
        <v>350348</v>
      </c>
    </row>
    <row r="384" spans="1:18" x14ac:dyDescent="0.25">
      <c r="A384" s="170">
        <v>45646</v>
      </c>
      <c r="B384" s="116">
        <v>113.8</v>
      </c>
      <c r="C384" s="116">
        <v>105.63</v>
      </c>
      <c r="D384" s="116">
        <v>104.9</v>
      </c>
      <c r="E384" s="116">
        <v>113.8</v>
      </c>
      <c r="F384" s="116">
        <v>105.63</v>
      </c>
      <c r="G384">
        <v>38397</v>
      </c>
      <c r="H384" s="116"/>
      <c r="I384" s="116"/>
      <c r="L384" s="170">
        <v>45646</v>
      </c>
      <c r="M384" s="116">
        <v>105.62</v>
      </c>
      <c r="N384" s="116">
        <v>112.13</v>
      </c>
      <c r="O384" s="116">
        <v>105.05</v>
      </c>
      <c r="P384" s="116">
        <v>110.2</v>
      </c>
      <c r="Q384" s="116">
        <v>105.62</v>
      </c>
      <c r="R384">
        <v>224923</v>
      </c>
    </row>
    <row r="385" spans="1:18" x14ac:dyDescent="0.25">
      <c r="A385" s="170">
        <v>45649</v>
      </c>
      <c r="B385" s="116">
        <v>108.54</v>
      </c>
      <c r="C385" s="116">
        <v>106.68</v>
      </c>
      <c r="D385" s="116">
        <v>104.43</v>
      </c>
      <c r="E385" s="116">
        <v>106.49</v>
      </c>
      <c r="F385" s="116">
        <v>106.68</v>
      </c>
      <c r="G385">
        <v>38102</v>
      </c>
      <c r="H385" s="116"/>
      <c r="I385" s="116"/>
      <c r="L385" s="170">
        <v>45649</v>
      </c>
      <c r="M385" s="116">
        <v>106.59</v>
      </c>
      <c r="N385" s="116">
        <v>108.6</v>
      </c>
      <c r="O385" s="116">
        <v>104.56</v>
      </c>
      <c r="P385" s="116">
        <v>107.19</v>
      </c>
      <c r="Q385" s="116">
        <v>106.59</v>
      </c>
      <c r="R385">
        <v>193695</v>
      </c>
    </row>
    <row r="386" spans="1:18" x14ac:dyDescent="0.25">
      <c r="A386" s="170">
        <v>45650</v>
      </c>
      <c r="B386" s="116">
        <v>109.55</v>
      </c>
      <c r="C386" s="116">
        <v>104.87</v>
      </c>
      <c r="D386" s="116">
        <v>104.17</v>
      </c>
      <c r="E386" s="116">
        <v>109.55</v>
      </c>
      <c r="F386" s="116">
        <v>104.87</v>
      </c>
      <c r="G386">
        <v>19509</v>
      </c>
      <c r="H386" s="116"/>
      <c r="I386" s="116"/>
      <c r="L386" s="170">
        <v>45650</v>
      </c>
      <c r="M386" s="116">
        <v>104.58</v>
      </c>
      <c r="N386" s="116">
        <v>108.45</v>
      </c>
      <c r="O386" s="116">
        <v>104.1</v>
      </c>
      <c r="P386" s="116">
        <v>107.19</v>
      </c>
      <c r="Q386" s="116">
        <v>104.58</v>
      </c>
      <c r="R386">
        <v>178777</v>
      </c>
    </row>
    <row r="387" spans="1:18" x14ac:dyDescent="0.25">
      <c r="A387" s="170">
        <v>45652</v>
      </c>
      <c r="B387" s="116">
        <v>105.76</v>
      </c>
      <c r="C387" s="116">
        <v>101.58</v>
      </c>
      <c r="D387" s="116">
        <v>100.94</v>
      </c>
      <c r="E387" s="116">
        <v>104.5</v>
      </c>
      <c r="F387" s="116">
        <v>101.58</v>
      </c>
      <c r="G387">
        <v>36233</v>
      </c>
      <c r="H387" s="116"/>
      <c r="I387" s="116"/>
      <c r="L387" s="170">
        <v>45652</v>
      </c>
      <c r="M387" s="116">
        <v>101.79</v>
      </c>
      <c r="N387" s="116">
        <v>105.39</v>
      </c>
      <c r="O387" s="116">
        <v>101.32</v>
      </c>
      <c r="P387" s="116">
        <v>104.5</v>
      </c>
      <c r="Q387" s="116">
        <v>101.79</v>
      </c>
      <c r="R387">
        <v>140945</v>
      </c>
    </row>
    <row r="388" spans="1:18" x14ac:dyDescent="0.25">
      <c r="A388" s="170">
        <v>45653</v>
      </c>
      <c r="B388" s="116">
        <v>105.2</v>
      </c>
      <c r="C388" s="116">
        <v>101.47</v>
      </c>
      <c r="D388" s="116">
        <v>100.95</v>
      </c>
      <c r="E388" s="116">
        <v>105.2</v>
      </c>
      <c r="F388" s="116">
        <v>101.47</v>
      </c>
      <c r="G388">
        <v>18972</v>
      </c>
      <c r="H388" s="116"/>
      <c r="I388" s="116"/>
      <c r="L388" s="170">
        <v>45653</v>
      </c>
      <c r="M388" s="116">
        <v>101.67</v>
      </c>
      <c r="N388" s="116">
        <v>102.98</v>
      </c>
      <c r="O388" s="116">
        <v>101.2</v>
      </c>
      <c r="P388" s="116">
        <v>102</v>
      </c>
      <c r="Q388" s="116">
        <v>101.67</v>
      </c>
      <c r="R388">
        <v>80376</v>
      </c>
    </row>
    <row r="389" spans="1:18" x14ac:dyDescent="0.25">
      <c r="A389" s="170">
        <v>45656</v>
      </c>
      <c r="B389" s="116">
        <v>102.08</v>
      </c>
      <c r="C389" s="116">
        <v>99.63</v>
      </c>
      <c r="D389" s="116">
        <v>98.8</v>
      </c>
      <c r="E389" s="116">
        <v>100</v>
      </c>
      <c r="F389" s="116">
        <v>99.63</v>
      </c>
      <c r="G389">
        <v>15404</v>
      </c>
      <c r="H389" s="116"/>
      <c r="I389" s="116"/>
      <c r="L389" s="170">
        <v>45656</v>
      </c>
      <c r="M389" s="116">
        <v>99.62</v>
      </c>
      <c r="N389" s="116">
        <v>101.89</v>
      </c>
      <c r="O389" s="116">
        <v>98.71</v>
      </c>
      <c r="P389" s="116">
        <v>101.67</v>
      </c>
      <c r="Q389" s="116">
        <v>99.62</v>
      </c>
      <c r="R389">
        <v>157993</v>
      </c>
    </row>
    <row r="390" spans="1:18" x14ac:dyDescent="0.25">
      <c r="A390" s="170">
        <v>45657</v>
      </c>
      <c r="B390" s="116">
        <v>101.72</v>
      </c>
      <c r="C390" s="116">
        <v>100.13</v>
      </c>
      <c r="D390" s="116">
        <v>97.9</v>
      </c>
      <c r="E390" s="116">
        <v>97.9</v>
      </c>
      <c r="F390" s="116">
        <v>100.13</v>
      </c>
      <c r="G390">
        <v>14075</v>
      </c>
      <c r="H390" s="116"/>
      <c r="I390" s="116"/>
      <c r="L390" s="170">
        <v>45657</v>
      </c>
      <c r="M390" s="116">
        <v>100.19</v>
      </c>
      <c r="N390" s="116">
        <v>101.9</v>
      </c>
      <c r="O390" s="116">
        <v>98.4</v>
      </c>
      <c r="P390" s="116">
        <v>98.4</v>
      </c>
      <c r="Q390" s="116">
        <v>100.19</v>
      </c>
      <c r="R390">
        <v>167466</v>
      </c>
    </row>
    <row r="391" spans="1:18" x14ac:dyDescent="0.25">
      <c r="A391" s="170">
        <v>45658</v>
      </c>
      <c r="B391" s="116">
        <v>102.3</v>
      </c>
      <c r="C391" s="116">
        <v>100.25</v>
      </c>
      <c r="D391" s="116">
        <v>99.6</v>
      </c>
      <c r="E391" s="116">
        <v>100</v>
      </c>
      <c r="F391" s="116">
        <v>100.25</v>
      </c>
      <c r="G391">
        <v>11182</v>
      </c>
      <c r="H391" s="116"/>
      <c r="I391" s="116"/>
      <c r="L391" s="170">
        <v>45658</v>
      </c>
      <c r="M391" s="116">
        <v>100.24</v>
      </c>
      <c r="N391" s="116">
        <v>102.54</v>
      </c>
      <c r="O391" s="116">
        <v>99.7</v>
      </c>
      <c r="P391" s="116">
        <v>101.7</v>
      </c>
      <c r="Q391" s="116">
        <v>100.24</v>
      </c>
      <c r="R391">
        <v>209483</v>
      </c>
    </row>
    <row r="392" spans="1:18" x14ac:dyDescent="0.25">
      <c r="A392" s="170">
        <v>45659</v>
      </c>
      <c r="B392" s="116">
        <v>106.2</v>
      </c>
      <c r="C392" s="116">
        <v>99.7</v>
      </c>
      <c r="D392" s="116">
        <v>99.15</v>
      </c>
      <c r="E392" s="116">
        <v>106.2</v>
      </c>
      <c r="F392" s="116">
        <v>99.7</v>
      </c>
      <c r="G392">
        <v>38544</v>
      </c>
      <c r="H392" s="116"/>
      <c r="I392" s="116"/>
      <c r="L392" s="170">
        <v>45659</v>
      </c>
      <c r="M392" s="116">
        <v>99.97</v>
      </c>
      <c r="N392" s="116">
        <v>103.39</v>
      </c>
      <c r="O392" s="116">
        <v>99.11</v>
      </c>
      <c r="P392" s="116">
        <v>100.3</v>
      </c>
      <c r="Q392" s="116">
        <v>99.97</v>
      </c>
      <c r="R392">
        <v>214758</v>
      </c>
    </row>
    <row r="393" spans="1:18" x14ac:dyDescent="0.25">
      <c r="A393" s="170">
        <v>45660</v>
      </c>
      <c r="B393" s="116">
        <v>101.45</v>
      </c>
      <c r="C393" s="116">
        <v>99.85</v>
      </c>
      <c r="D393" s="116">
        <v>99.5</v>
      </c>
      <c r="E393" s="116">
        <v>101.45</v>
      </c>
      <c r="F393" s="116">
        <v>99.85</v>
      </c>
      <c r="G393">
        <v>13854</v>
      </c>
      <c r="H393" s="116"/>
      <c r="I393" s="116"/>
      <c r="L393" s="170">
        <v>45660</v>
      </c>
      <c r="M393" s="116">
        <v>99.79</v>
      </c>
      <c r="N393" s="116">
        <v>101.45</v>
      </c>
      <c r="O393" s="116">
        <v>99.03</v>
      </c>
      <c r="P393" s="116">
        <v>101.45</v>
      </c>
      <c r="Q393" s="116">
        <v>99.79</v>
      </c>
      <c r="R393">
        <v>198491</v>
      </c>
    </row>
    <row r="394" spans="1:18" x14ac:dyDescent="0.25">
      <c r="A394" s="170">
        <v>45663</v>
      </c>
      <c r="B394" s="116">
        <v>99.65</v>
      </c>
      <c r="C394" s="116">
        <v>94.1</v>
      </c>
      <c r="D394" s="116">
        <v>93.85</v>
      </c>
      <c r="E394" s="116">
        <v>99.25</v>
      </c>
      <c r="F394" s="116">
        <v>94.1</v>
      </c>
      <c r="G394">
        <v>44072</v>
      </c>
      <c r="H394" s="116"/>
      <c r="I394" s="116"/>
      <c r="L394" s="170">
        <v>45663</v>
      </c>
      <c r="M394" s="116">
        <v>94.1</v>
      </c>
      <c r="N394" s="116">
        <v>100.39</v>
      </c>
      <c r="O394" s="116">
        <v>93.5</v>
      </c>
      <c r="P394" s="116">
        <v>99.79</v>
      </c>
      <c r="Q394" s="116">
        <v>94.1</v>
      </c>
      <c r="R394">
        <v>301582</v>
      </c>
    </row>
    <row r="395" spans="1:18" x14ac:dyDescent="0.25">
      <c r="A395" s="170">
        <v>45664</v>
      </c>
      <c r="B395" s="116">
        <v>98.15</v>
      </c>
      <c r="C395" s="116">
        <v>95.3</v>
      </c>
      <c r="D395" s="116">
        <v>94.8</v>
      </c>
      <c r="E395" s="116">
        <v>97</v>
      </c>
      <c r="F395" s="116">
        <v>95.3</v>
      </c>
      <c r="G395">
        <v>22455</v>
      </c>
      <c r="H395" s="116"/>
      <c r="I395" s="116"/>
      <c r="L395" s="170">
        <v>45664</v>
      </c>
      <c r="M395" s="116">
        <v>95.32</v>
      </c>
      <c r="N395" s="116">
        <v>97.92</v>
      </c>
      <c r="O395" s="116">
        <v>94.68</v>
      </c>
      <c r="P395" s="116">
        <v>95.49</v>
      </c>
      <c r="Q395" s="116">
        <v>95.32</v>
      </c>
      <c r="R395">
        <v>288708</v>
      </c>
    </row>
    <row r="396" spans="1:18" x14ac:dyDescent="0.25">
      <c r="A396" s="170">
        <v>45665</v>
      </c>
      <c r="B396" s="116">
        <v>96.5</v>
      </c>
      <c r="C396" s="116">
        <v>91.85</v>
      </c>
      <c r="D396" s="116">
        <v>91.05</v>
      </c>
      <c r="E396" s="116">
        <v>96.5</v>
      </c>
      <c r="F396" s="116">
        <v>91.85</v>
      </c>
      <c r="G396">
        <v>15896</v>
      </c>
      <c r="H396" s="116"/>
      <c r="I396" s="116"/>
      <c r="L396" s="170">
        <v>45665</v>
      </c>
      <c r="M396" s="116">
        <v>91.8</v>
      </c>
      <c r="N396" s="116">
        <v>96.85</v>
      </c>
      <c r="O396" s="116">
        <v>91.1</v>
      </c>
      <c r="P396" s="116">
        <v>95.32</v>
      </c>
      <c r="Q396" s="116">
        <v>91.8</v>
      </c>
      <c r="R396">
        <v>502598</v>
      </c>
    </row>
    <row r="397" spans="1:18" x14ac:dyDescent="0.25">
      <c r="A397" s="170">
        <v>45666</v>
      </c>
      <c r="B397" s="116">
        <v>94</v>
      </c>
      <c r="C397" s="116">
        <v>91.35</v>
      </c>
      <c r="D397" s="116">
        <v>91</v>
      </c>
      <c r="E397" s="116">
        <v>93.8</v>
      </c>
      <c r="F397" s="116">
        <v>91.35</v>
      </c>
      <c r="G397">
        <v>14227</v>
      </c>
      <c r="H397" s="116"/>
      <c r="I397" s="116"/>
      <c r="L397" s="170">
        <v>45666</v>
      </c>
      <c r="M397" s="116">
        <v>91.54</v>
      </c>
      <c r="N397" s="116">
        <v>94.12</v>
      </c>
      <c r="O397" s="116">
        <v>91.25</v>
      </c>
      <c r="P397" s="116">
        <v>92.3</v>
      </c>
      <c r="Q397" s="116">
        <v>91.54</v>
      </c>
      <c r="R397">
        <v>158643</v>
      </c>
    </row>
    <row r="398" spans="1:18" x14ac:dyDescent="0.25">
      <c r="A398" s="170">
        <v>45667</v>
      </c>
      <c r="B398" s="116">
        <v>91.95</v>
      </c>
      <c r="C398" s="116">
        <v>91.3</v>
      </c>
      <c r="D398" s="116">
        <v>88.4</v>
      </c>
      <c r="E398" s="116">
        <v>91.5</v>
      </c>
      <c r="F398" s="116">
        <v>91.3</v>
      </c>
      <c r="G398">
        <v>7036</v>
      </c>
      <c r="H398" s="116"/>
      <c r="I398" s="116"/>
      <c r="L398" s="170">
        <v>45667</v>
      </c>
      <c r="M398" s="116">
        <v>91.4</v>
      </c>
      <c r="N398" s="116">
        <v>92.45</v>
      </c>
      <c r="O398" s="116">
        <v>88.32</v>
      </c>
      <c r="P398" s="116">
        <v>92.45</v>
      </c>
      <c r="Q398" s="116">
        <v>91.4</v>
      </c>
      <c r="R398">
        <v>194629</v>
      </c>
    </row>
    <row r="399" spans="1:18" x14ac:dyDescent="0.25">
      <c r="A399" s="170">
        <v>45670</v>
      </c>
      <c r="B399" s="116">
        <v>91.4</v>
      </c>
      <c r="C399" s="116">
        <v>88.7</v>
      </c>
      <c r="D399" s="116">
        <v>88.05</v>
      </c>
      <c r="E399" s="116">
        <v>91.3</v>
      </c>
      <c r="F399" s="116">
        <v>88.7</v>
      </c>
      <c r="G399">
        <v>7529</v>
      </c>
      <c r="H399" s="116"/>
      <c r="I399" s="116"/>
      <c r="L399" s="170">
        <v>45670</v>
      </c>
      <c r="M399" s="116">
        <v>88.67</v>
      </c>
      <c r="N399" s="116">
        <v>91.88</v>
      </c>
      <c r="O399" s="116">
        <v>88</v>
      </c>
      <c r="P399" s="116">
        <v>91.88</v>
      </c>
      <c r="Q399" s="116">
        <v>88.67</v>
      </c>
      <c r="R399">
        <v>214915</v>
      </c>
    </row>
    <row r="400" spans="1:18" x14ac:dyDescent="0.25">
      <c r="A400" s="170">
        <v>45671</v>
      </c>
      <c r="B400" s="116">
        <v>91.1</v>
      </c>
      <c r="C400" s="116">
        <v>90.45</v>
      </c>
      <c r="D400" s="116">
        <v>86.5</v>
      </c>
      <c r="E400" s="116">
        <v>86.5</v>
      </c>
      <c r="F400" s="116">
        <v>90.45</v>
      </c>
      <c r="G400">
        <v>24443</v>
      </c>
      <c r="H400" s="116"/>
      <c r="I400" s="116"/>
      <c r="L400" s="170">
        <v>45671</v>
      </c>
      <c r="M400" s="116">
        <v>90.55</v>
      </c>
      <c r="N400" s="116">
        <v>92.4</v>
      </c>
      <c r="O400" s="116">
        <v>88.1</v>
      </c>
      <c r="P400" s="116">
        <v>89.44</v>
      </c>
      <c r="Q400" s="116">
        <v>90.55</v>
      </c>
      <c r="R400">
        <v>129709</v>
      </c>
    </row>
    <row r="401" spans="1:18" x14ac:dyDescent="0.25">
      <c r="A401" s="170">
        <v>45672</v>
      </c>
      <c r="B401" s="116">
        <v>93.5</v>
      </c>
      <c r="C401" s="116">
        <v>92.6</v>
      </c>
      <c r="D401" s="116">
        <v>89.4</v>
      </c>
      <c r="E401" s="116">
        <v>89.4</v>
      </c>
      <c r="F401" s="116">
        <v>92.6</v>
      </c>
      <c r="G401">
        <v>18749</v>
      </c>
      <c r="H401" s="116"/>
      <c r="I401" s="116"/>
      <c r="L401" s="170">
        <v>45672</v>
      </c>
      <c r="M401" s="116">
        <v>92.74</v>
      </c>
      <c r="N401" s="116">
        <v>94</v>
      </c>
      <c r="O401" s="116">
        <v>90.11</v>
      </c>
      <c r="P401" s="116">
        <v>91.99</v>
      </c>
      <c r="Q401" s="116">
        <v>92.74</v>
      </c>
      <c r="R401">
        <v>181387</v>
      </c>
    </row>
    <row r="402" spans="1:18" x14ac:dyDescent="0.25">
      <c r="A402" s="170">
        <v>45673</v>
      </c>
      <c r="B402" s="116">
        <v>97.35</v>
      </c>
      <c r="C402" s="116">
        <v>96.6</v>
      </c>
      <c r="D402" s="116">
        <v>92.65</v>
      </c>
      <c r="E402" s="116">
        <v>95</v>
      </c>
      <c r="F402" s="116">
        <v>96.6</v>
      </c>
      <c r="G402">
        <v>18071</v>
      </c>
      <c r="H402" s="116"/>
      <c r="I402" s="116"/>
      <c r="L402" s="170">
        <v>45673</v>
      </c>
      <c r="M402" s="116">
        <v>96.79</v>
      </c>
      <c r="N402" s="116">
        <v>97.5</v>
      </c>
      <c r="O402" s="116">
        <v>92.81</v>
      </c>
      <c r="P402" s="116">
        <v>93.55</v>
      </c>
      <c r="Q402" s="116">
        <v>96.79</v>
      </c>
      <c r="R402">
        <v>202815</v>
      </c>
    </row>
    <row r="403" spans="1:18" x14ac:dyDescent="0.25">
      <c r="A403" s="170">
        <v>45674</v>
      </c>
      <c r="B403" s="116">
        <v>98.75</v>
      </c>
      <c r="C403" s="116">
        <v>96.15</v>
      </c>
      <c r="D403" s="116">
        <v>95.1</v>
      </c>
      <c r="E403" s="116">
        <v>98.75</v>
      </c>
      <c r="F403" s="116">
        <v>96.15</v>
      </c>
      <c r="G403">
        <v>11420</v>
      </c>
      <c r="H403" s="116"/>
      <c r="I403" s="116"/>
      <c r="L403" s="170">
        <v>45674</v>
      </c>
      <c r="M403" s="116">
        <v>96.11</v>
      </c>
      <c r="N403" s="116">
        <v>98.59</v>
      </c>
      <c r="O403" s="116">
        <v>95.1</v>
      </c>
      <c r="P403" s="116">
        <v>97.39</v>
      </c>
      <c r="Q403" s="116">
        <v>96.11</v>
      </c>
      <c r="R403">
        <v>151345</v>
      </c>
    </row>
    <row r="404" spans="1:18" x14ac:dyDescent="0.25">
      <c r="A404" s="170">
        <v>45677</v>
      </c>
      <c r="B404" s="116">
        <v>98.7</v>
      </c>
      <c r="C404" s="116">
        <v>96.7</v>
      </c>
      <c r="D404" s="116">
        <v>95.45</v>
      </c>
      <c r="E404" s="116">
        <v>98.7</v>
      </c>
      <c r="F404" s="116">
        <v>96.7</v>
      </c>
      <c r="G404">
        <v>11892</v>
      </c>
      <c r="H404" s="116"/>
      <c r="I404" s="116"/>
      <c r="L404" s="170">
        <v>45677</v>
      </c>
      <c r="M404" s="116">
        <v>97.15</v>
      </c>
      <c r="N404" s="116">
        <v>98.25</v>
      </c>
      <c r="O404" s="116">
        <v>95.41</v>
      </c>
      <c r="P404" s="116">
        <v>96.1</v>
      </c>
      <c r="Q404" s="116">
        <v>97.15</v>
      </c>
      <c r="R404">
        <v>104569</v>
      </c>
    </row>
    <row r="405" spans="1:18" x14ac:dyDescent="0.25">
      <c r="A405" s="170">
        <v>45678</v>
      </c>
      <c r="B405" s="116">
        <v>99.15</v>
      </c>
      <c r="C405" s="116">
        <v>96.25</v>
      </c>
      <c r="D405" s="116">
        <v>95.9</v>
      </c>
      <c r="E405" s="116">
        <v>98.5</v>
      </c>
      <c r="F405" s="116">
        <v>96.25</v>
      </c>
      <c r="G405">
        <v>7187</v>
      </c>
      <c r="H405" s="116"/>
      <c r="I405" s="116"/>
      <c r="L405" s="170">
        <v>45678</v>
      </c>
      <c r="M405" s="116">
        <v>96.17</v>
      </c>
      <c r="N405" s="116">
        <v>99.4</v>
      </c>
      <c r="O405" s="116">
        <v>95.15</v>
      </c>
      <c r="P405" s="116">
        <v>97.15</v>
      </c>
      <c r="Q405" s="116">
        <v>96.17</v>
      </c>
      <c r="R405">
        <v>111380</v>
      </c>
    </row>
    <row r="406" spans="1:18" x14ac:dyDescent="0.25">
      <c r="A406" s="170">
        <v>45679</v>
      </c>
      <c r="B406" s="116">
        <v>95.65</v>
      </c>
      <c r="C406" s="116">
        <v>92.85</v>
      </c>
      <c r="D406" s="116">
        <v>91.1</v>
      </c>
      <c r="E406" s="116">
        <v>95.5</v>
      </c>
      <c r="F406" s="116">
        <v>92.85</v>
      </c>
      <c r="G406">
        <v>29323</v>
      </c>
      <c r="H406" s="116"/>
      <c r="I406" s="116"/>
      <c r="L406" s="170">
        <v>45679</v>
      </c>
      <c r="M406" s="116">
        <v>92.87</v>
      </c>
      <c r="N406" s="116">
        <v>97.35</v>
      </c>
      <c r="O406" s="116">
        <v>91.25</v>
      </c>
      <c r="P406" s="116">
        <v>97.35</v>
      </c>
      <c r="Q406" s="116">
        <v>92.87</v>
      </c>
      <c r="R406">
        <v>123693</v>
      </c>
    </row>
    <row r="407" spans="1:18" x14ac:dyDescent="0.25">
      <c r="A407" s="170">
        <v>45680</v>
      </c>
      <c r="B407" s="116">
        <v>94.7</v>
      </c>
      <c r="C407" s="116">
        <v>93.45</v>
      </c>
      <c r="D407" s="116">
        <v>92</v>
      </c>
      <c r="E407" s="116">
        <v>92.3</v>
      </c>
      <c r="F407" s="116">
        <v>93.45</v>
      </c>
      <c r="G407">
        <v>8434</v>
      </c>
      <c r="H407" s="116"/>
      <c r="I407" s="116"/>
      <c r="L407" s="170">
        <v>45680</v>
      </c>
      <c r="M407" s="116">
        <v>93.41</v>
      </c>
      <c r="N407" s="116">
        <v>94.74</v>
      </c>
      <c r="O407" s="116">
        <v>91.84</v>
      </c>
      <c r="P407" s="116">
        <v>92.01</v>
      </c>
      <c r="Q407" s="116">
        <v>93.41</v>
      </c>
      <c r="R407">
        <v>73742</v>
      </c>
    </row>
    <row r="408" spans="1:18" x14ac:dyDescent="0.25">
      <c r="A408" s="170">
        <v>45681</v>
      </c>
      <c r="B408" s="116">
        <v>94.75</v>
      </c>
      <c r="C408" s="116">
        <v>90.95</v>
      </c>
      <c r="D408" s="116">
        <v>90.45</v>
      </c>
      <c r="E408" s="116">
        <v>94.2</v>
      </c>
      <c r="F408" s="116">
        <v>90.95</v>
      </c>
      <c r="G408">
        <v>8982</v>
      </c>
      <c r="H408" s="116"/>
      <c r="I408" s="116"/>
      <c r="L408" s="170">
        <v>45681</v>
      </c>
      <c r="M408" s="116">
        <v>90.79</v>
      </c>
      <c r="N408" s="116">
        <v>94.64</v>
      </c>
      <c r="O408" s="116">
        <v>90.49</v>
      </c>
      <c r="P408" s="116">
        <v>93.78</v>
      </c>
      <c r="Q408" s="116">
        <v>90.79</v>
      </c>
      <c r="R408">
        <v>135754</v>
      </c>
    </row>
    <row r="409" spans="1:18" x14ac:dyDescent="0.25">
      <c r="A409" s="170">
        <v>45684</v>
      </c>
      <c r="B409" s="116">
        <v>90.45</v>
      </c>
      <c r="C409" s="116">
        <v>87.1</v>
      </c>
      <c r="D409" s="116">
        <v>86.9</v>
      </c>
      <c r="E409" s="116">
        <v>90</v>
      </c>
      <c r="F409" s="116">
        <v>87.1</v>
      </c>
      <c r="G409">
        <v>27382</v>
      </c>
      <c r="H409" s="116"/>
      <c r="I409" s="116"/>
      <c r="L409" s="170">
        <v>45684</v>
      </c>
      <c r="M409" s="116">
        <v>87.19</v>
      </c>
      <c r="N409" s="116">
        <v>90.16</v>
      </c>
      <c r="O409" s="116">
        <v>86.75</v>
      </c>
      <c r="P409" s="116">
        <v>90.01</v>
      </c>
      <c r="Q409" s="116">
        <v>87.19</v>
      </c>
      <c r="R409">
        <v>164075</v>
      </c>
    </row>
    <row r="410" spans="1:18" x14ac:dyDescent="0.25">
      <c r="A410" s="170">
        <v>45685</v>
      </c>
      <c r="B410" s="116">
        <v>89.7</v>
      </c>
      <c r="C410" s="116">
        <v>88.45</v>
      </c>
      <c r="D410" s="116">
        <v>86.85</v>
      </c>
      <c r="E410" s="116">
        <v>88.3</v>
      </c>
      <c r="F410" s="116">
        <v>88.45</v>
      </c>
      <c r="G410">
        <v>9689</v>
      </c>
      <c r="H410" s="116"/>
      <c r="I410" s="116"/>
      <c r="L410" s="170">
        <v>45685</v>
      </c>
      <c r="M410" s="116">
        <v>88.7</v>
      </c>
      <c r="N410" s="116">
        <v>89.99</v>
      </c>
      <c r="O410" s="116">
        <v>86.51</v>
      </c>
      <c r="P410" s="116">
        <v>88.5</v>
      </c>
      <c r="Q410" s="116">
        <v>88.7</v>
      </c>
      <c r="R410">
        <v>205092</v>
      </c>
    </row>
    <row r="411" spans="1:18" x14ac:dyDescent="0.25">
      <c r="A411" s="170">
        <v>45686</v>
      </c>
      <c r="B411" s="116">
        <v>94</v>
      </c>
      <c r="C411" s="116">
        <v>93.65</v>
      </c>
      <c r="D411" s="116">
        <v>88.7</v>
      </c>
      <c r="E411" s="116">
        <v>88.8</v>
      </c>
      <c r="F411" s="116">
        <v>93.65</v>
      </c>
      <c r="G411">
        <v>5820</v>
      </c>
      <c r="H411" s="116"/>
      <c r="I411" s="116"/>
      <c r="L411" s="170">
        <v>45686</v>
      </c>
      <c r="M411" s="116">
        <v>93.48</v>
      </c>
      <c r="N411" s="116">
        <v>94.2</v>
      </c>
      <c r="O411" s="116">
        <v>88</v>
      </c>
      <c r="P411" s="116">
        <v>88.11</v>
      </c>
      <c r="Q411" s="116">
        <v>93.48</v>
      </c>
      <c r="R411">
        <v>127153</v>
      </c>
    </row>
    <row r="412" spans="1:18" x14ac:dyDescent="0.25">
      <c r="A412" s="170">
        <v>45687</v>
      </c>
      <c r="B412" s="116">
        <v>94.5</v>
      </c>
      <c r="C412" s="116">
        <v>91.2</v>
      </c>
      <c r="D412" s="116">
        <v>90.85</v>
      </c>
      <c r="E412" s="116">
        <v>93.4</v>
      </c>
      <c r="F412" s="116">
        <v>91.2</v>
      </c>
      <c r="G412">
        <v>9256</v>
      </c>
      <c r="H412" s="116"/>
      <c r="I412" s="116"/>
      <c r="L412" s="170">
        <v>45687</v>
      </c>
      <c r="M412" s="116">
        <v>91.34</v>
      </c>
      <c r="N412" s="116">
        <v>94.55</v>
      </c>
      <c r="O412" s="116">
        <v>90.55</v>
      </c>
      <c r="P412" s="116">
        <v>93.7</v>
      </c>
      <c r="Q412" s="116">
        <v>91.34</v>
      </c>
      <c r="R412">
        <v>87014</v>
      </c>
    </row>
    <row r="413" spans="1:18" x14ac:dyDescent="0.25">
      <c r="A413" s="170">
        <v>45688</v>
      </c>
      <c r="B413" s="116">
        <v>94.1</v>
      </c>
      <c r="C413" s="116">
        <v>93.9</v>
      </c>
      <c r="D413" s="116">
        <v>89.1</v>
      </c>
      <c r="E413" s="116">
        <v>91.8</v>
      </c>
      <c r="F413" s="116">
        <v>93.9</v>
      </c>
      <c r="G413">
        <v>11275</v>
      </c>
      <c r="H413" s="116"/>
      <c r="I413" s="116"/>
      <c r="L413" s="170">
        <v>45688</v>
      </c>
      <c r="M413" s="116">
        <v>93.7</v>
      </c>
      <c r="N413" s="116">
        <v>94.35</v>
      </c>
      <c r="O413" s="116">
        <v>90</v>
      </c>
      <c r="P413" s="116">
        <v>91.8</v>
      </c>
      <c r="Q413" s="116">
        <v>93.7</v>
      </c>
      <c r="R413">
        <v>139490</v>
      </c>
    </row>
    <row r="414" spans="1:18" x14ac:dyDescent="0.25">
      <c r="A414" s="170">
        <v>45689</v>
      </c>
      <c r="B414" s="116">
        <v>98.05</v>
      </c>
      <c r="C414" s="116">
        <v>95.01</v>
      </c>
      <c r="D414" s="116">
        <v>92.05</v>
      </c>
      <c r="E414" s="116">
        <v>94</v>
      </c>
      <c r="F414" s="116">
        <v>95.01</v>
      </c>
      <c r="G414">
        <v>15660</v>
      </c>
      <c r="H414" s="116"/>
      <c r="I414" s="116"/>
      <c r="L414" s="170">
        <v>45689</v>
      </c>
      <c r="M414" s="116">
        <v>94.99</v>
      </c>
      <c r="N414" s="116">
        <v>96.48</v>
      </c>
      <c r="O414" s="116">
        <v>91.71</v>
      </c>
      <c r="P414" s="116">
        <v>93.95</v>
      </c>
      <c r="Q414" s="116">
        <v>94.99</v>
      </c>
      <c r="R414">
        <v>125713</v>
      </c>
    </row>
    <row r="415" spans="1:18" x14ac:dyDescent="0.25">
      <c r="A415" s="170">
        <v>45691</v>
      </c>
      <c r="B415" s="116">
        <v>99.49</v>
      </c>
      <c r="C415" s="116">
        <v>89.22</v>
      </c>
      <c r="D415" s="116">
        <v>88.5</v>
      </c>
      <c r="E415" s="116">
        <v>95.01</v>
      </c>
      <c r="F415" s="116">
        <v>89.22</v>
      </c>
      <c r="G415">
        <v>71560</v>
      </c>
      <c r="H415" s="116"/>
      <c r="I415" s="116"/>
      <c r="L415" s="170">
        <v>45691</v>
      </c>
      <c r="M415" s="116">
        <v>89.63</v>
      </c>
      <c r="N415" s="116">
        <v>100</v>
      </c>
      <c r="O415" s="116">
        <v>88.5</v>
      </c>
      <c r="P415" s="116">
        <v>95</v>
      </c>
      <c r="Q415" s="116">
        <v>89.63</v>
      </c>
      <c r="R415">
        <v>699711</v>
      </c>
    </row>
    <row r="416" spans="1:18" x14ac:dyDescent="0.25">
      <c r="A416" s="170">
        <v>45692</v>
      </c>
      <c r="B416" s="116">
        <v>91.68</v>
      </c>
      <c r="C416" s="116">
        <v>90.14</v>
      </c>
      <c r="D416" s="116">
        <v>89.21</v>
      </c>
      <c r="E416" s="116">
        <v>89.84</v>
      </c>
      <c r="F416" s="116">
        <v>90.14</v>
      </c>
      <c r="G416">
        <v>6854</v>
      </c>
      <c r="H416" s="116"/>
      <c r="I416" s="116"/>
      <c r="L416" s="170">
        <v>45692</v>
      </c>
      <c r="M416" s="116">
        <v>90.05</v>
      </c>
      <c r="N416" s="116">
        <v>91.99</v>
      </c>
      <c r="O416" s="116">
        <v>89.32</v>
      </c>
      <c r="P416" s="116">
        <v>89.63</v>
      </c>
      <c r="Q416" s="116">
        <v>90.05</v>
      </c>
      <c r="R416">
        <v>153632</v>
      </c>
    </row>
    <row r="417" spans="1:18" x14ac:dyDescent="0.25">
      <c r="A417" s="170">
        <v>45693</v>
      </c>
      <c r="B417" s="116">
        <v>91.93</v>
      </c>
      <c r="C417" s="116">
        <v>91.19</v>
      </c>
      <c r="D417" s="116">
        <v>90.02</v>
      </c>
      <c r="E417" s="116">
        <v>90.53</v>
      </c>
      <c r="F417" s="116">
        <v>91.19</v>
      </c>
      <c r="G417">
        <v>25519</v>
      </c>
      <c r="H417" s="116"/>
      <c r="I417" s="116"/>
      <c r="L417" s="170">
        <v>45693</v>
      </c>
      <c r="M417" s="116">
        <v>91.54</v>
      </c>
      <c r="N417" s="116">
        <v>92.25</v>
      </c>
      <c r="O417" s="116">
        <v>90.16</v>
      </c>
      <c r="P417" s="116">
        <v>90.79</v>
      </c>
      <c r="Q417" s="116">
        <v>91.54</v>
      </c>
      <c r="R417">
        <v>122871</v>
      </c>
    </row>
    <row r="418" spans="1:18" x14ac:dyDescent="0.25">
      <c r="A418" s="170">
        <v>45694</v>
      </c>
      <c r="B418" s="116">
        <v>93</v>
      </c>
      <c r="C418" s="116">
        <v>88.66</v>
      </c>
      <c r="D418" s="116">
        <v>88.3</v>
      </c>
      <c r="E418" s="116">
        <v>89.71</v>
      </c>
      <c r="F418" s="116">
        <v>88.66</v>
      </c>
      <c r="G418">
        <v>8413</v>
      </c>
      <c r="H418" s="116"/>
      <c r="I418" s="116"/>
      <c r="L418" s="170">
        <v>45694</v>
      </c>
      <c r="M418" s="116">
        <v>88.86</v>
      </c>
      <c r="N418" s="116">
        <v>92.9</v>
      </c>
      <c r="O418" s="116">
        <v>88.4</v>
      </c>
      <c r="P418" s="116">
        <v>92.9</v>
      </c>
      <c r="Q418" s="116">
        <v>88.86</v>
      </c>
      <c r="R418">
        <v>128267</v>
      </c>
    </row>
    <row r="419" spans="1:18" x14ac:dyDescent="0.25">
      <c r="A419" s="170">
        <v>45695</v>
      </c>
      <c r="B419" s="116">
        <v>91.48</v>
      </c>
      <c r="C419" s="116">
        <v>87.27</v>
      </c>
      <c r="D419" s="116">
        <v>86.94</v>
      </c>
      <c r="E419" s="116">
        <v>91.48</v>
      </c>
      <c r="F419" s="116">
        <v>87.27</v>
      </c>
      <c r="G419">
        <v>5900</v>
      </c>
      <c r="H419" s="116"/>
      <c r="I419" s="116"/>
      <c r="L419" s="170">
        <v>45695</v>
      </c>
      <c r="M419" s="116">
        <v>87.83</v>
      </c>
      <c r="N419" s="116">
        <v>89.9</v>
      </c>
      <c r="O419" s="116">
        <v>86.6</v>
      </c>
      <c r="P419" s="116">
        <v>89.85</v>
      </c>
      <c r="Q419" s="116">
        <v>87.83</v>
      </c>
      <c r="R419">
        <v>141240</v>
      </c>
    </row>
    <row r="420" spans="1:18" x14ac:dyDescent="0.25">
      <c r="A420" s="170">
        <v>45698</v>
      </c>
      <c r="B420" s="116">
        <v>93</v>
      </c>
      <c r="C420" s="116">
        <v>87.35</v>
      </c>
      <c r="D420" s="116">
        <v>86.9</v>
      </c>
      <c r="E420" s="116">
        <v>93</v>
      </c>
      <c r="F420" s="116">
        <v>87.35</v>
      </c>
      <c r="G420">
        <v>3328</v>
      </c>
      <c r="H420" s="116"/>
      <c r="I420" s="116"/>
      <c r="L420" s="170">
        <v>45698</v>
      </c>
      <c r="M420" s="116">
        <v>87.44</v>
      </c>
      <c r="N420" s="116">
        <v>89.4</v>
      </c>
      <c r="O420" s="116">
        <v>86.95</v>
      </c>
      <c r="P420" s="116">
        <v>89.1</v>
      </c>
      <c r="Q420" s="116">
        <v>87.44</v>
      </c>
      <c r="R420">
        <v>80384</v>
      </c>
    </row>
    <row r="421" spans="1:18" x14ac:dyDescent="0.25">
      <c r="A421" s="170">
        <v>45699</v>
      </c>
      <c r="B421" s="116">
        <v>88.64</v>
      </c>
      <c r="C421" s="116">
        <v>86.94</v>
      </c>
      <c r="D421" s="116">
        <v>86.5</v>
      </c>
      <c r="E421" s="116">
        <v>86.5</v>
      </c>
      <c r="F421" s="116">
        <v>86.94</v>
      </c>
      <c r="G421">
        <v>9767</v>
      </c>
      <c r="H421" s="116"/>
      <c r="I421" s="116"/>
      <c r="L421" s="170">
        <v>45699</v>
      </c>
      <c r="M421" s="116">
        <v>87.33</v>
      </c>
      <c r="N421" s="116">
        <v>88.75</v>
      </c>
      <c r="O421" s="116">
        <v>86.8</v>
      </c>
      <c r="P421" s="116">
        <v>88.75</v>
      </c>
      <c r="Q421" s="116">
        <v>87.33</v>
      </c>
      <c r="R421">
        <v>109325</v>
      </c>
    </row>
    <row r="422" spans="1:18" x14ac:dyDescent="0.25">
      <c r="A422" s="170">
        <v>45700</v>
      </c>
      <c r="B422" s="116">
        <v>87.98</v>
      </c>
      <c r="C422" s="116">
        <v>84.91</v>
      </c>
      <c r="D422" s="116">
        <v>81.900000000000006</v>
      </c>
      <c r="E422" s="116">
        <v>87.21</v>
      </c>
      <c r="F422" s="116">
        <v>84.91</v>
      </c>
      <c r="G422">
        <v>12597</v>
      </c>
      <c r="H422" s="116"/>
      <c r="I422" s="116"/>
      <c r="L422" s="170">
        <v>45700</v>
      </c>
      <c r="M422" s="116">
        <v>85.16</v>
      </c>
      <c r="N422" s="116">
        <v>88.01</v>
      </c>
      <c r="O422" s="116">
        <v>82.08</v>
      </c>
      <c r="P422" s="116">
        <v>86.6</v>
      </c>
      <c r="Q422" s="116">
        <v>85.16</v>
      </c>
      <c r="R422">
        <v>274881</v>
      </c>
    </row>
    <row r="423" spans="1:18" x14ac:dyDescent="0.25">
      <c r="A423" s="170">
        <v>45701</v>
      </c>
      <c r="B423" s="116">
        <v>85.82</v>
      </c>
      <c r="C423" s="116">
        <v>84.07</v>
      </c>
      <c r="D423" s="116">
        <v>82.95</v>
      </c>
      <c r="E423" s="116">
        <v>82.95</v>
      </c>
      <c r="F423" s="116">
        <v>84.07</v>
      </c>
      <c r="G423">
        <v>3317</v>
      </c>
      <c r="H423" s="116"/>
      <c r="I423" s="116"/>
      <c r="L423" s="170">
        <v>45701</v>
      </c>
      <c r="M423" s="116">
        <v>84.08</v>
      </c>
      <c r="N423" s="116">
        <v>86.3</v>
      </c>
      <c r="O423" s="116">
        <v>83.11</v>
      </c>
      <c r="P423" s="116">
        <v>85.01</v>
      </c>
      <c r="Q423" s="116">
        <v>84.08</v>
      </c>
      <c r="R423">
        <v>88319</v>
      </c>
    </row>
    <row r="424" spans="1:18" x14ac:dyDescent="0.25">
      <c r="A424" s="170">
        <v>45702</v>
      </c>
      <c r="B424" s="116">
        <v>87.9</v>
      </c>
      <c r="C424" s="116">
        <v>80.010000000000005</v>
      </c>
      <c r="D424" s="116">
        <v>77</v>
      </c>
      <c r="E424" s="116">
        <v>87.9</v>
      </c>
      <c r="F424" s="116">
        <v>80.010000000000005</v>
      </c>
      <c r="G424">
        <v>9904</v>
      </c>
      <c r="H424" s="116"/>
      <c r="I424" s="116"/>
      <c r="L424" s="170">
        <v>45702</v>
      </c>
      <c r="M424" s="116">
        <v>79.78</v>
      </c>
      <c r="N424" s="116">
        <v>85.09</v>
      </c>
      <c r="O424" s="116">
        <v>76.55</v>
      </c>
      <c r="P424" s="116">
        <v>84.51</v>
      </c>
      <c r="Q424" s="116">
        <v>79.78</v>
      </c>
      <c r="R424">
        <v>298017</v>
      </c>
    </row>
    <row r="425" spans="1:18" x14ac:dyDescent="0.25">
      <c r="A425" s="170">
        <v>45705</v>
      </c>
      <c r="B425" s="116">
        <v>81.39</v>
      </c>
      <c r="C425" s="116">
        <v>80.36</v>
      </c>
      <c r="D425" s="116">
        <v>72.010000000000005</v>
      </c>
      <c r="E425" s="116">
        <v>72.010000000000005</v>
      </c>
      <c r="F425" s="116">
        <v>80.36</v>
      </c>
      <c r="G425">
        <v>15187</v>
      </c>
      <c r="H425" s="116"/>
      <c r="I425" s="116"/>
      <c r="L425" s="170">
        <v>45705</v>
      </c>
      <c r="M425" s="116">
        <v>80.61</v>
      </c>
      <c r="N425" s="116">
        <v>81.5</v>
      </c>
      <c r="O425" s="116">
        <v>78</v>
      </c>
      <c r="P425" s="116">
        <v>79</v>
      </c>
      <c r="Q425" s="116">
        <v>80.61</v>
      </c>
      <c r="R425">
        <v>210552</v>
      </c>
    </row>
    <row r="426" spans="1:18" x14ac:dyDescent="0.25">
      <c r="A426" s="170">
        <v>45706</v>
      </c>
      <c r="B426" s="116">
        <v>80.569999999999993</v>
      </c>
      <c r="C426" s="116">
        <v>79.45</v>
      </c>
      <c r="D426" s="116">
        <v>78.5</v>
      </c>
      <c r="E426" s="116">
        <v>79</v>
      </c>
      <c r="F426" s="116">
        <v>79.45</v>
      </c>
      <c r="G426">
        <v>3809</v>
      </c>
      <c r="H426" s="116"/>
      <c r="I426" s="116"/>
      <c r="L426" s="170">
        <v>45706</v>
      </c>
      <c r="M426" s="116">
        <v>79.55</v>
      </c>
      <c r="N426" s="116">
        <v>81.489999999999995</v>
      </c>
      <c r="O426" s="116">
        <v>78.510000000000005</v>
      </c>
      <c r="P426" s="116">
        <v>81.489999999999995</v>
      </c>
      <c r="Q426" s="116">
        <v>79.55</v>
      </c>
      <c r="R426">
        <v>118646</v>
      </c>
    </row>
    <row r="427" spans="1:18" x14ac:dyDescent="0.25">
      <c r="A427" s="170">
        <v>45707</v>
      </c>
      <c r="B427" s="116">
        <v>81.88</v>
      </c>
      <c r="C427" s="116">
        <v>80.58</v>
      </c>
      <c r="D427" s="116">
        <v>79.03</v>
      </c>
      <c r="E427" s="116">
        <v>79.03</v>
      </c>
      <c r="F427" s="116">
        <v>80.58</v>
      </c>
      <c r="G427">
        <v>9590</v>
      </c>
      <c r="H427" s="116"/>
      <c r="I427" s="116"/>
      <c r="L427" s="170">
        <v>45707</v>
      </c>
      <c r="M427" s="116">
        <v>80.36</v>
      </c>
      <c r="N427" s="116">
        <v>81.81</v>
      </c>
      <c r="O427" s="116">
        <v>78.78</v>
      </c>
      <c r="P427" s="116">
        <v>79</v>
      </c>
      <c r="Q427" s="116">
        <v>80.36</v>
      </c>
      <c r="R427">
        <v>264687</v>
      </c>
    </row>
    <row r="428" spans="1:18" x14ac:dyDescent="0.25">
      <c r="A428" s="170">
        <v>45708</v>
      </c>
      <c r="B428" s="116">
        <v>81.8</v>
      </c>
      <c r="C428" s="116">
        <v>78.12</v>
      </c>
      <c r="D428" s="116">
        <v>77.5</v>
      </c>
      <c r="E428" s="116">
        <v>79.5</v>
      </c>
      <c r="F428" s="116">
        <v>78.12</v>
      </c>
      <c r="G428">
        <v>21583</v>
      </c>
      <c r="H428" s="116"/>
      <c r="I428" s="116"/>
      <c r="L428" s="170">
        <v>45708</v>
      </c>
      <c r="M428" s="116">
        <v>78.239999999999995</v>
      </c>
      <c r="N428" s="116">
        <v>81.81</v>
      </c>
      <c r="O428" s="116">
        <v>77.400000000000006</v>
      </c>
      <c r="P428" s="116">
        <v>79.150000000000006</v>
      </c>
      <c r="Q428" s="116">
        <v>78.239999999999995</v>
      </c>
      <c r="R428">
        <v>246222</v>
      </c>
    </row>
    <row r="429" spans="1:18" x14ac:dyDescent="0.25">
      <c r="A429" s="170">
        <v>45709</v>
      </c>
      <c r="B429" s="116">
        <v>81.58</v>
      </c>
      <c r="C429" s="116">
        <v>75.989999999999995</v>
      </c>
      <c r="D429" s="116">
        <v>75.33</v>
      </c>
      <c r="E429" s="116">
        <v>78.53</v>
      </c>
      <c r="F429" s="116">
        <v>75.989999999999995</v>
      </c>
      <c r="G429">
        <v>14813</v>
      </c>
      <c r="H429" s="116"/>
      <c r="I429" s="116"/>
      <c r="L429" s="170">
        <v>45709</v>
      </c>
      <c r="M429" s="116">
        <v>75.7</v>
      </c>
      <c r="N429" s="116">
        <v>81.72</v>
      </c>
      <c r="O429" s="116">
        <v>75.05</v>
      </c>
      <c r="P429" s="116">
        <v>78.48</v>
      </c>
      <c r="Q429" s="116">
        <v>75.7</v>
      </c>
      <c r="R429">
        <v>372189</v>
      </c>
    </row>
    <row r="430" spans="1:18" x14ac:dyDescent="0.25">
      <c r="A430" s="170">
        <v>45712</v>
      </c>
      <c r="B430" s="116">
        <v>76.58</v>
      </c>
      <c r="C430" s="116">
        <v>75.349999999999994</v>
      </c>
      <c r="D430" s="116">
        <v>72.2</v>
      </c>
      <c r="E430" s="116">
        <v>72.2</v>
      </c>
      <c r="F430" s="116">
        <v>75.349999999999994</v>
      </c>
      <c r="G430">
        <v>44347</v>
      </c>
      <c r="H430" s="116"/>
      <c r="I430" s="116"/>
      <c r="L430" s="170">
        <v>45712</v>
      </c>
      <c r="M430" s="116">
        <v>74.540000000000006</v>
      </c>
      <c r="N430" s="116">
        <v>76.45</v>
      </c>
      <c r="O430" s="116">
        <v>72.989999999999995</v>
      </c>
      <c r="P430" s="116">
        <v>75.099999999999994</v>
      </c>
      <c r="Q430" s="116">
        <v>74.540000000000006</v>
      </c>
      <c r="R430">
        <v>162285</v>
      </c>
    </row>
    <row r="431" spans="1:18" x14ac:dyDescent="0.25">
      <c r="A431" s="170">
        <v>45713</v>
      </c>
      <c r="B431" s="116">
        <v>77.42</v>
      </c>
      <c r="C431" s="116">
        <v>76.58</v>
      </c>
      <c r="D431" s="116">
        <v>74.28</v>
      </c>
      <c r="E431" s="116">
        <v>74.67</v>
      </c>
      <c r="F431" s="116">
        <v>76.58</v>
      </c>
      <c r="G431">
        <v>22846</v>
      </c>
      <c r="H431" s="116"/>
      <c r="I431" s="116"/>
      <c r="L431" s="170">
        <v>45713</v>
      </c>
      <c r="M431" s="116">
        <v>76.790000000000006</v>
      </c>
      <c r="N431" s="116">
        <v>77.400000000000006</v>
      </c>
      <c r="O431" s="116">
        <v>74</v>
      </c>
      <c r="P431" s="116">
        <v>74</v>
      </c>
      <c r="Q431" s="116">
        <v>76.790000000000006</v>
      </c>
      <c r="R431">
        <v>185665</v>
      </c>
    </row>
    <row r="432" spans="1:18" x14ac:dyDescent="0.25">
      <c r="A432" s="170">
        <v>45715</v>
      </c>
      <c r="B432" s="116">
        <v>77.11</v>
      </c>
      <c r="C432" s="116">
        <v>76.66</v>
      </c>
      <c r="D432" s="116">
        <v>74.2</v>
      </c>
      <c r="E432" s="116">
        <v>74.2</v>
      </c>
      <c r="F432" s="116">
        <v>76.66</v>
      </c>
      <c r="G432">
        <v>5757</v>
      </c>
      <c r="H432" s="116"/>
      <c r="I432" s="116"/>
      <c r="L432" s="170">
        <v>45715</v>
      </c>
      <c r="M432" s="116">
        <v>76.56</v>
      </c>
      <c r="N432" s="116">
        <v>77.5</v>
      </c>
      <c r="O432" s="116">
        <v>75.39</v>
      </c>
      <c r="P432" s="116">
        <v>77.5</v>
      </c>
      <c r="Q432" s="116">
        <v>76.56</v>
      </c>
      <c r="R432">
        <v>181016</v>
      </c>
    </row>
    <row r="433" spans="1:18" x14ac:dyDescent="0.25">
      <c r="A433" s="170">
        <v>45716</v>
      </c>
      <c r="B433" s="116">
        <v>76.42</v>
      </c>
      <c r="C433" s="116">
        <v>74.489999999999995</v>
      </c>
      <c r="D433" s="116">
        <v>73.47</v>
      </c>
      <c r="E433" s="116">
        <v>75.599999999999994</v>
      </c>
      <c r="F433" s="116">
        <v>74.489999999999995</v>
      </c>
      <c r="G433">
        <v>12690</v>
      </c>
      <c r="H433" s="116"/>
      <c r="I433" s="116"/>
      <c r="L433" s="170">
        <v>45716</v>
      </c>
      <c r="M433" s="116">
        <v>74.59</v>
      </c>
      <c r="N433" s="116">
        <v>76.64</v>
      </c>
      <c r="O433" s="116">
        <v>73.400000000000006</v>
      </c>
      <c r="P433" s="116">
        <v>76</v>
      </c>
      <c r="Q433" s="116">
        <v>74.59</v>
      </c>
      <c r="R433">
        <v>136865</v>
      </c>
    </row>
    <row r="434" spans="1:18" x14ac:dyDescent="0.25">
      <c r="A434" s="170">
        <v>45719</v>
      </c>
      <c r="B434" s="116">
        <v>82.9</v>
      </c>
      <c r="C434" s="116">
        <v>73.989999999999995</v>
      </c>
      <c r="D434" s="116">
        <v>72.31</v>
      </c>
      <c r="E434" s="116">
        <v>82.9</v>
      </c>
      <c r="F434" s="116">
        <v>73.989999999999995</v>
      </c>
      <c r="G434">
        <v>9969</v>
      </c>
      <c r="H434" s="116"/>
      <c r="I434" s="116"/>
      <c r="L434" s="170">
        <v>45719</v>
      </c>
      <c r="M434" s="116">
        <v>74.16</v>
      </c>
      <c r="N434" s="116">
        <v>75.8</v>
      </c>
      <c r="O434" s="116">
        <v>72.510000000000005</v>
      </c>
      <c r="P434" s="116">
        <v>74.599999999999994</v>
      </c>
      <c r="Q434" s="116">
        <v>74.16</v>
      </c>
      <c r="R434">
        <v>247033</v>
      </c>
    </row>
    <row r="435" spans="1:18" x14ac:dyDescent="0.25">
      <c r="A435" s="170">
        <v>45720</v>
      </c>
      <c r="B435" s="116">
        <v>76.88</v>
      </c>
      <c r="C435" s="116">
        <v>75.959999999999994</v>
      </c>
      <c r="D435" s="116">
        <v>71.5</v>
      </c>
      <c r="E435" s="116">
        <v>72.599999999999994</v>
      </c>
      <c r="F435" s="116">
        <v>75.959999999999994</v>
      </c>
      <c r="G435">
        <v>8604</v>
      </c>
      <c r="H435" s="116"/>
      <c r="I435" s="116"/>
      <c r="L435" s="170">
        <v>45720</v>
      </c>
      <c r="M435" s="116">
        <v>76.430000000000007</v>
      </c>
      <c r="N435" s="116">
        <v>76.95</v>
      </c>
      <c r="O435" s="116">
        <v>71.53</v>
      </c>
      <c r="P435" s="116">
        <v>72.75</v>
      </c>
      <c r="Q435" s="116">
        <v>76.430000000000007</v>
      </c>
      <c r="R435">
        <v>181646</v>
      </c>
    </row>
    <row r="436" spans="1:18" x14ac:dyDescent="0.25">
      <c r="A436" s="170">
        <v>45721</v>
      </c>
      <c r="B436" s="116">
        <v>80.959999999999994</v>
      </c>
      <c r="C436" s="116">
        <v>79.62</v>
      </c>
      <c r="D436" s="116">
        <v>74.55</v>
      </c>
      <c r="E436" s="116">
        <v>74.55</v>
      </c>
      <c r="F436" s="116">
        <v>79.62</v>
      </c>
      <c r="G436">
        <v>9814</v>
      </c>
      <c r="H436" s="116"/>
      <c r="I436" s="116"/>
      <c r="L436" s="170">
        <v>45721</v>
      </c>
      <c r="M436" s="116">
        <v>79.56</v>
      </c>
      <c r="N436" s="116">
        <v>80.3</v>
      </c>
      <c r="O436" s="116">
        <v>75.3</v>
      </c>
      <c r="P436" s="116">
        <v>75.3</v>
      </c>
      <c r="Q436" s="116">
        <v>79.56</v>
      </c>
      <c r="R436">
        <v>232162</v>
      </c>
    </row>
    <row r="437" spans="1:18" x14ac:dyDescent="0.25">
      <c r="A437" s="170">
        <v>45722</v>
      </c>
      <c r="B437" s="116">
        <v>83.86</v>
      </c>
      <c r="C437" s="116">
        <v>81.97</v>
      </c>
      <c r="D437" s="116">
        <v>78</v>
      </c>
      <c r="E437" s="116">
        <v>78</v>
      </c>
      <c r="F437" s="116">
        <v>81.97</v>
      </c>
      <c r="G437">
        <v>14806</v>
      </c>
      <c r="H437" s="116"/>
      <c r="I437" s="116"/>
      <c r="L437" s="170">
        <v>45722</v>
      </c>
      <c r="M437" s="116">
        <v>81.92</v>
      </c>
      <c r="N437" s="116">
        <v>83.78</v>
      </c>
      <c r="O437" s="116">
        <v>79.849999999999994</v>
      </c>
      <c r="P437" s="116">
        <v>79.849999999999994</v>
      </c>
      <c r="Q437" s="116">
        <v>81.92</v>
      </c>
      <c r="R437">
        <v>197197</v>
      </c>
    </row>
    <row r="438" spans="1:18" x14ac:dyDescent="0.25">
      <c r="A438" s="170">
        <v>45723</v>
      </c>
      <c r="B438" s="116">
        <v>85.41</v>
      </c>
      <c r="C438" s="116">
        <v>83.07</v>
      </c>
      <c r="D438" s="116">
        <v>80.83</v>
      </c>
      <c r="E438" s="116">
        <v>83.85</v>
      </c>
      <c r="F438" s="116">
        <v>83.07</v>
      </c>
      <c r="G438">
        <v>24562</v>
      </c>
      <c r="H438" s="116"/>
      <c r="I438" s="116"/>
      <c r="L438" s="170">
        <v>45723</v>
      </c>
      <c r="M438" s="116">
        <v>83.25</v>
      </c>
      <c r="N438" s="116">
        <v>85.21</v>
      </c>
      <c r="O438" s="116">
        <v>81.11</v>
      </c>
      <c r="P438" s="116">
        <v>82.1</v>
      </c>
      <c r="Q438" s="116">
        <v>83.25</v>
      </c>
      <c r="R438">
        <v>151276</v>
      </c>
    </row>
    <row r="439" spans="1:18" x14ac:dyDescent="0.25">
      <c r="A439" s="170">
        <v>45726</v>
      </c>
      <c r="B439" s="116">
        <v>83.84</v>
      </c>
      <c r="C439" s="116">
        <v>78.88</v>
      </c>
      <c r="D439" s="116">
        <v>78.06</v>
      </c>
      <c r="E439" s="116">
        <v>83.52</v>
      </c>
      <c r="F439" s="116">
        <v>78.88</v>
      </c>
      <c r="G439">
        <v>6963</v>
      </c>
      <c r="H439" s="116"/>
      <c r="I439" s="116"/>
      <c r="L439" s="170">
        <v>45726</v>
      </c>
      <c r="M439" s="116">
        <v>78.86</v>
      </c>
      <c r="N439" s="116">
        <v>84</v>
      </c>
      <c r="O439" s="116">
        <v>78.290000000000006</v>
      </c>
      <c r="P439" s="116">
        <v>82.2</v>
      </c>
      <c r="Q439" s="116">
        <v>78.86</v>
      </c>
      <c r="R439">
        <v>85851</v>
      </c>
    </row>
    <row r="440" spans="1:18" x14ac:dyDescent="0.25">
      <c r="A440" s="170">
        <v>45727</v>
      </c>
      <c r="B440" s="116">
        <v>78.8</v>
      </c>
      <c r="C440" s="116">
        <v>76.91</v>
      </c>
      <c r="D440" s="116">
        <v>74</v>
      </c>
      <c r="E440" s="116">
        <v>74</v>
      </c>
      <c r="F440" s="116">
        <v>76.91</v>
      </c>
      <c r="G440">
        <v>14471</v>
      </c>
      <c r="H440" s="116"/>
      <c r="I440" s="116"/>
      <c r="L440" s="170">
        <v>45727</v>
      </c>
      <c r="M440" s="116">
        <v>76.97</v>
      </c>
      <c r="N440" s="116">
        <v>78.19</v>
      </c>
      <c r="O440" s="116">
        <v>75.27</v>
      </c>
      <c r="P440" s="116">
        <v>77.7</v>
      </c>
      <c r="Q440" s="116">
        <v>76.97</v>
      </c>
      <c r="R440">
        <v>136192</v>
      </c>
    </row>
    <row r="441" spans="1:18" x14ac:dyDescent="0.25">
      <c r="A441" s="170">
        <v>45728</v>
      </c>
      <c r="B441" s="116">
        <v>77.14</v>
      </c>
      <c r="C441" s="116">
        <v>75.66</v>
      </c>
      <c r="D441" s="116">
        <v>75.44</v>
      </c>
      <c r="E441" s="116">
        <v>77.010000000000005</v>
      </c>
      <c r="F441" s="116">
        <v>75.66</v>
      </c>
      <c r="G441">
        <v>8549</v>
      </c>
      <c r="H441" s="116"/>
      <c r="I441" s="116"/>
      <c r="L441" s="170">
        <v>45728</v>
      </c>
      <c r="M441" s="116">
        <v>75.97</v>
      </c>
      <c r="N441" s="116">
        <v>77.69</v>
      </c>
      <c r="O441" s="116">
        <v>75.42</v>
      </c>
      <c r="P441" s="116">
        <v>77.36</v>
      </c>
      <c r="Q441" s="116">
        <v>75.97</v>
      </c>
      <c r="R441">
        <v>238010</v>
      </c>
    </row>
    <row r="442" spans="1:18" x14ac:dyDescent="0.25">
      <c r="A442" s="170">
        <v>45729</v>
      </c>
      <c r="B442" s="116">
        <v>76.7</v>
      </c>
      <c r="C442" s="116">
        <v>73.569999999999993</v>
      </c>
      <c r="D442" s="116">
        <v>72.87</v>
      </c>
      <c r="E442" s="116">
        <v>76.13</v>
      </c>
      <c r="F442" s="116">
        <v>73.569999999999993</v>
      </c>
      <c r="G442">
        <v>9765</v>
      </c>
      <c r="H442" s="116"/>
      <c r="I442" s="116"/>
      <c r="L442" s="170">
        <v>45729</v>
      </c>
      <c r="M442" s="116">
        <v>73.64</v>
      </c>
      <c r="N442" s="116">
        <v>76.489999999999995</v>
      </c>
      <c r="O442" s="116">
        <v>72.66</v>
      </c>
      <c r="P442" s="116">
        <v>76.349999999999994</v>
      </c>
      <c r="Q442" s="116">
        <v>73.64</v>
      </c>
      <c r="R442">
        <v>145802</v>
      </c>
    </row>
    <row r="443" spans="1:18" x14ac:dyDescent="0.25">
      <c r="A443" s="170">
        <v>45733</v>
      </c>
      <c r="B443" s="116">
        <v>82.9</v>
      </c>
      <c r="C443" s="116">
        <v>75.34</v>
      </c>
      <c r="D443" s="116">
        <v>74</v>
      </c>
      <c r="E443" s="116">
        <v>82.9</v>
      </c>
      <c r="F443" s="116">
        <v>75.34</v>
      </c>
      <c r="G443">
        <v>5710</v>
      </c>
      <c r="H443" s="116"/>
      <c r="I443" s="116"/>
      <c r="L443" s="170">
        <v>45733</v>
      </c>
      <c r="M443" s="116">
        <v>75.73</v>
      </c>
      <c r="N443" s="116">
        <v>76.63</v>
      </c>
      <c r="O443" s="116">
        <v>73.599999999999994</v>
      </c>
      <c r="P443" s="116">
        <v>73.599999999999994</v>
      </c>
      <c r="Q443" s="116">
        <v>75.73</v>
      </c>
      <c r="R443">
        <v>124484</v>
      </c>
    </row>
    <row r="444" spans="1:18" x14ac:dyDescent="0.25">
      <c r="A444" s="170">
        <v>45734</v>
      </c>
      <c r="B444" s="116">
        <v>77.91</v>
      </c>
      <c r="C444" s="116">
        <v>77.12</v>
      </c>
      <c r="D444" s="116">
        <v>75.510000000000005</v>
      </c>
      <c r="E444" s="116">
        <v>77.069999999999993</v>
      </c>
      <c r="F444" s="116">
        <v>77.12</v>
      </c>
      <c r="G444">
        <v>12526</v>
      </c>
      <c r="H444" s="116"/>
      <c r="I444" s="116"/>
      <c r="L444" s="170">
        <v>45734</v>
      </c>
      <c r="M444" s="116">
        <v>77.36</v>
      </c>
      <c r="N444" s="116">
        <v>78</v>
      </c>
      <c r="O444" s="116">
        <v>75.150000000000006</v>
      </c>
      <c r="P444" s="116">
        <v>76.11</v>
      </c>
      <c r="Q444" s="116">
        <v>77.36</v>
      </c>
      <c r="R444">
        <v>155745</v>
      </c>
    </row>
    <row r="445" spans="1:18" x14ac:dyDescent="0.25">
      <c r="A445" s="170">
        <v>45735</v>
      </c>
      <c r="B445" s="116">
        <v>79.19</v>
      </c>
      <c r="C445" s="116">
        <v>77.72</v>
      </c>
      <c r="D445" s="116">
        <v>76.77</v>
      </c>
      <c r="E445" s="116">
        <v>78.91</v>
      </c>
      <c r="F445" s="116">
        <v>77.72</v>
      </c>
      <c r="G445">
        <v>6333</v>
      </c>
      <c r="H445" s="116"/>
      <c r="I445" s="116"/>
      <c r="L445" s="170">
        <v>45735</v>
      </c>
      <c r="M445" s="116">
        <v>77.33</v>
      </c>
      <c r="N445" s="116">
        <v>79.44</v>
      </c>
      <c r="O445" s="116">
        <v>76.61</v>
      </c>
      <c r="P445" s="116">
        <v>77.8</v>
      </c>
      <c r="Q445" s="116">
        <v>77.33</v>
      </c>
      <c r="R445">
        <v>164646</v>
      </c>
    </row>
    <row r="446" spans="1:18" x14ac:dyDescent="0.25">
      <c r="A446" s="170">
        <v>45736</v>
      </c>
      <c r="B446" s="116">
        <v>79.58</v>
      </c>
      <c r="C446" s="116">
        <v>77.69</v>
      </c>
      <c r="D446" s="116">
        <v>77.05</v>
      </c>
      <c r="E446" s="116">
        <v>78.98</v>
      </c>
      <c r="F446" s="116">
        <v>77.69</v>
      </c>
      <c r="G446">
        <v>14197</v>
      </c>
      <c r="H446" s="116"/>
      <c r="I446" s="116"/>
      <c r="L446" s="170">
        <v>45736</v>
      </c>
      <c r="M446" s="116">
        <v>77.790000000000006</v>
      </c>
      <c r="N446" s="116">
        <v>79.64</v>
      </c>
      <c r="O446" s="116">
        <v>77.3</v>
      </c>
      <c r="P446" s="116">
        <v>78.5</v>
      </c>
      <c r="Q446" s="116">
        <v>77.790000000000006</v>
      </c>
      <c r="R446">
        <v>143730</v>
      </c>
    </row>
    <row r="447" spans="1:18" x14ac:dyDescent="0.25">
      <c r="A447" s="170">
        <v>45737</v>
      </c>
      <c r="B447" s="116">
        <v>79.66</v>
      </c>
      <c r="C447" s="116">
        <v>78.599999999999994</v>
      </c>
      <c r="D447" s="116">
        <v>77.650000000000006</v>
      </c>
      <c r="E447" s="116">
        <v>79.349999999999994</v>
      </c>
      <c r="F447" s="116">
        <v>78.599999999999994</v>
      </c>
      <c r="G447">
        <v>15581</v>
      </c>
      <c r="H447" s="116"/>
      <c r="I447" s="116"/>
      <c r="L447" s="170">
        <v>45737</v>
      </c>
      <c r="M447" s="116">
        <v>78.48</v>
      </c>
      <c r="N447" s="116">
        <v>79.5</v>
      </c>
      <c r="O447" s="116">
        <v>77.569999999999993</v>
      </c>
      <c r="P447" s="116">
        <v>78.64</v>
      </c>
      <c r="Q447" s="116">
        <v>78.48</v>
      </c>
      <c r="R447">
        <v>106671</v>
      </c>
    </row>
    <row r="448" spans="1:18" x14ac:dyDescent="0.25">
      <c r="A448" s="170">
        <v>45740</v>
      </c>
      <c r="B448" s="116">
        <v>80.81</v>
      </c>
      <c r="C448" s="116">
        <v>78.98</v>
      </c>
      <c r="D448" s="116">
        <v>77.930000000000007</v>
      </c>
      <c r="E448" s="116">
        <v>80</v>
      </c>
      <c r="F448" s="116">
        <v>78.98</v>
      </c>
      <c r="G448">
        <v>48318</v>
      </c>
      <c r="H448" s="116"/>
      <c r="I448" s="116"/>
      <c r="L448" s="170">
        <v>45740</v>
      </c>
      <c r="M448" s="116">
        <v>78.86</v>
      </c>
      <c r="N448" s="116">
        <v>80.430000000000007</v>
      </c>
      <c r="O448" s="116">
        <v>78.510000000000005</v>
      </c>
      <c r="P448" s="116">
        <v>79.849999999999994</v>
      </c>
      <c r="Q448" s="116">
        <v>78.86</v>
      </c>
      <c r="R448">
        <v>143723</v>
      </c>
    </row>
    <row r="449" spans="1:18" x14ac:dyDescent="0.25">
      <c r="A449" s="170">
        <v>45741</v>
      </c>
      <c r="B449" s="116">
        <v>80</v>
      </c>
      <c r="C449" s="116">
        <v>75.88</v>
      </c>
      <c r="D449" s="116">
        <v>75.260000000000005</v>
      </c>
      <c r="E449" s="116">
        <v>79.7</v>
      </c>
      <c r="F449" s="116">
        <v>75.88</v>
      </c>
      <c r="G449">
        <v>28166</v>
      </c>
      <c r="H449" s="116"/>
      <c r="I449" s="116"/>
      <c r="L449" s="170">
        <v>45741</v>
      </c>
      <c r="M449" s="116">
        <v>75.98</v>
      </c>
      <c r="N449" s="116">
        <v>80.39</v>
      </c>
      <c r="O449" s="116">
        <v>75.5</v>
      </c>
      <c r="P449" s="116">
        <v>78.92</v>
      </c>
      <c r="Q449" s="116">
        <v>75.98</v>
      </c>
      <c r="R449">
        <v>147957</v>
      </c>
    </row>
    <row r="450" spans="1:18" x14ac:dyDescent="0.25">
      <c r="A450" s="170">
        <v>45742</v>
      </c>
      <c r="B450" s="116">
        <v>77</v>
      </c>
      <c r="C450" s="116">
        <v>73.78</v>
      </c>
      <c r="D450" s="116">
        <v>73.05</v>
      </c>
      <c r="E450" s="116">
        <v>75.88</v>
      </c>
      <c r="F450" s="116">
        <v>73.78</v>
      </c>
      <c r="G450">
        <v>21162</v>
      </c>
      <c r="H450" s="116"/>
      <c r="I450" s="116"/>
      <c r="L450" s="170">
        <v>45742</v>
      </c>
      <c r="M450" s="116">
        <v>73.739999999999995</v>
      </c>
      <c r="N450" s="116">
        <v>77.099999999999994</v>
      </c>
      <c r="O450" s="116">
        <v>73</v>
      </c>
      <c r="P450" s="116">
        <v>75.8</v>
      </c>
      <c r="Q450" s="116">
        <v>73.739999999999995</v>
      </c>
      <c r="R450">
        <v>203521</v>
      </c>
    </row>
    <row r="451" spans="1:18" x14ac:dyDescent="0.25">
      <c r="A451" s="170">
        <v>45743</v>
      </c>
      <c r="B451" s="116">
        <v>74.7</v>
      </c>
      <c r="C451" s="116">
        <v>72.349999999999994</v>
      </c>
      <c r="D451" s="116">
        <v>72</v>
      </c>
      <c r="E451" s="116">
        <v>73.099999999999994</v>
      </c>
      <c r="F451" s="116">
        <v>72.349999999999994</v>
      </c>
      <c r="G451">
        <v>54813</v>
      </c>
      <c r="H451" s="116"/>
      <c r="I451" s="116"/>
      <c r="L451" s="170">
        <v>45743</v>
      </c>
      <c r="M451" s="116">
        <v>72.31</v>
      </c>
      <c r="N451" s="116">
        <v>74.95</v>
      </c>
      <c r="O451" s="116">
        <v>72</v>
      </c>
      <c r="P451" s="116">
        <v>73.8</v>
      </c>
      <c r="Q451" s="116">
        <v>72.31</v>
      </c>
      <c r="R451">
        <v>249331</v>
      </c>
    </row>
    <row r="452" spans="1:18" x14ac:dyDescent="0.25">
      <c r="A452" s="170">
        <v>45744</v>
      </c>
      <c r="B452" s="116">
        <v>76.13</v>
      </c>
      <c r="C452" s="116">
        <v>72.31</v>
      </c>
      <c r="D452" s="116">
        <v>72</v>
      </c>
      <c r="E452" s="116">
        <v>73.58</v>
      </c>
      <c r="F452" s="116">
        <v>72.31</v>
      </c>
      <c r="G452">
        <v>53960</v>
      </c>
      <c r="H452" s="116"/>
      <c r="I452" s="116"/>
      <c r="L452" s="170">
        <v>45744</v>
      </c>
      <c r="M452" s="116">
        <v>72.430000000000007</v>
      </c>
      <c r="N452" s="116">
        <v>75.89</v>
      </c>
      <c r="O452" s="116">
        <v>71.81</v>
      </c>
      <c r="P452" s="116">
        <v>73.010000000000005</v>
      </c>
      <c r="Q452" s="116">
        <v>72.430000000000007</v>
      </c>
      <c r="R452">
        <v>157512</v>
      </c>
    </row>
    <row r="453" spans="1:18" x14ac:dyDescent="0.25">
      <c r="A453" s="170">
        <v>45748</v>
      </c>
      <c r="B453" s="116">
        <v>76.989999999999995</v>
      </c>
      <c r="C453" s="116">
        <v>75.36</v>
      </c>
      <c r="D453" s="116">
        <v>72</v>
      </c>
      <c r="E453" s="116">
        <v>76.989999999999995</v>
      </c>
      <c r="F453" s="116">
        <v>75.36</v>
      </c>
      <c r="G453">
        <v>3580</v>
      </c>
      <c r="H453" s="116"/>
      <c r="I453" s="116"/>
      <c r="L453" s="170">
        <v>45748</v>
      </c>
      <c r="M453" s="116">
        <v>75.430000000000007</v>
      </c>
      <c r="N453" s="116">
        <v>75.95</v>
      </c>
      <c r="O453" s="116">
        <v>71.52</v>
      </c>
      <c r="P453" s="116">
        <v>71.52</v>
      </c>
      <c r="Q453" s="116">
        <v>75.430000000000007</v>
      </c>
      <c r="R453">
        <v>78163</v>
      </c>
    </row>
    <row r="454" spans="1:18" x14ac:dyDescent="0.25">
      <c r="A454" s="170">
        <v>45749</v>
      </c>
      <c r="B454" s="116">
        <v>75.8</v>
      </c>
      <c r="C454" s="116">
        <v>75.709999999999994</v>
      </c>
      <c r="D454" s="116">
        <v>73.83</v>
      </c>
      <c r="E454" s="116">
        <v>74.7</v>
      </c>
      <c r="F454" s="116">
        <v>75.709999999999994</v>
      </c>
      <c r="G454">
        <v>2637</v>
      </c>
      <c r="H454" s="116"/>
      <c r="I454" s="116"/>
      <c r="L454" s="170">
        <v>45749</v>
      </c>
      <c r="M454" s="116">
        <v>75.44</v>
      </c>
      <c r="N454" s="116">
        <v>75.900000000000006</v>
      </c>
      <c r="O454" s="116">
        <v>73.7</v>
      </c>
      <c r="P454" s="116">
        <v>75.900000000000006</v>
      </c>
      <c r="Q454" s="116">
        <v>75.44</v>
      </c>
      <c r="R454">
        <v>66507</v>
      </c>
    </row>
    <row r="455" spans="1:18" x14ac:dyDescent="0.25">
      <c r="A455" s="170">
        <v>45750</v>
      </c>
      <c r="B455" s="116">
        <v>79.900000000000006</v>
      </c>
      <c r="C455" s="116">
        <v>78.58</v>
      </c>
      <c r="D455" s="116">
        <v>75.709999999999994</v>
      </c>
      <c r="E455" s="116">
        <v>75.709999999999994</v>
      </c>
      <c r="F455" s="116">
        <v>78.58</v>
      </c>
      <c r="G455">
        <v>27816</v>
      </c>
      <c r="H455" s="116"/>
      <c r="I455" s="116"/>
      <c r="L455" s="170">
        <v>45750</v>
      </c>
      <c r="M455" s="116">
        <v>78.75</v>
      </c>
      <c r="N455" s="116">
        <v>79.900000000000006</v>
      </c>
      <c r="O455" s="116">
        <v>75.44</v>
      </c>
      <c r="P455" s="116">
        <v>75.44</v>
      </c>
      <c r="Q455" s="116">
        <v>78.75</v>
      </c>
      <c r="R455">
        <v>231489</v>
      </c>
    </row>
    <row r="456" spans="1:18" x14ac:dyDescent="0.25">
      <c r="A456" s="170">
        <v>45751</v>
      </c>
      <c r="B456" s="116">
        <v>80.150000000000006</v>
      </c>
      <c r="C456" s="116">
        <v>75.650000000000006</v>
      </c>
      <c r="D456" s="116">
        <v>75.09</v>
      </c>
      <c r="E456" s="116">
        <v>80.150000000000006</v>
      </c>
      <c r="F456" s="116">
        <v>75.650000000000006</v>
      </c>
      <c r="G456">
        <v>18470</v>
      </c>
      <c r="H456" s="116"/>
      <c r="I456" s="116"/>
      <c r="L456" s="170">
        <v>45751</v>
      </c>
      <c r="M456" s="116">
        <v>75.53</v>
      </c>
      <c r="N456" s="116">
        <v>80.099999999999994</v>
      </c>
      <c r="O456" s="116">
        <v>75</v>
      </c>
      <c r="P456" s="116">
        <v>79.2</v>
      </c>
      <c r="Q456" s="116">
        <v>75.53</v>
      </c>
      <c r="R456">
        <v>128200</v>
      </c>
    </row>
    <row r="457" spans="1:18" x14ac:dyDescent="0.25">
      <c r="A457" s="170">
        <v>45754</v>
      </c>
      <c r="B457" s="116">
        <v>73.39</v>
      </c>
      <c r="C457" s="116">
        <v>72.7</v>
      </c>
      <c r="D457" s="116">
        <v>65.900000000000006</v>
      </c>
      <c r="E457" s="116">
        <v>65.900000000000006</v>
      </c>
      <c r="F457" s="116">
        <v>72.7</v>
      </c>
      <c r="G457">
        <v>49899</v>
      </c>
      <c r="H457" s="116"/>
      <c r="I457" s="116"/>
      <c r="L457" s="170">
        <v>45754</v>
      </c>
      <c r="M457" s="116">
        <v>72.55</v>
      </c>
      <c r="N457" s="116">
        <v>73.5</v>
      </c>
      <c r="O457" s="116">
        <v>65</v>
      </c>
      <c r="P457" s="116">
        <v>65</v>
      </c>
      <c r="Q457" s="116">
        <v>72.55</v>
      </c>
      <c r="R457">
        <v>198762</v>
      </c>
    </row>
    <row r="458" spans="1:18" x14ac:dyDescent="0.25">
      <c r="A458" s="170">
        <v>45755</v>
      </c>
      <c r="B458" s="116">
        <v>74.38</v>
      </c>
      <c r="C458" s="116">
        <v>73.23</v>
      </c>
      <c r="D458" s="116">
        <v>72.099999999999994</v>
      </c>
      <c r="E458" s="116">
        <v>72.099999999999994</v>
      </c>
      <c r="F458" s="116">
        <v>73.23</v>
      </c>
      <c r="G458">
        <v>12150</v>
      </c>
      <c r="H458" s="116"/>
      <c r="I458" s="116"/>
      <c r="L458" s="170">
        <v>45755</v>
      </c>
      <c r="M458" s="116">
        <v>73.400000000000006</v>
      </c>
      <c r="N458" s="116">
        <v>74.5</v>
      </c>
      <c r="O458" s="116">
        <v>72.61</v>
      </c>
      <c r="P458" s="116">
        <v>73.650000000000006</v>
      </c>
      <c r="Q458" s="116">
        <v>73.400000000000006</v>
      </c>
      <c r="R458">
        <v>128222</v>
      </c>
    </row>
    <row r="459" spans="1:18" x14ac:dyDescent="0.25">
      <c r="A459" s="170">
        <v>45756</v>
      </c>
      <c r="B459" s="116">
        <v>75.319999999999993</v>
      </c>
      <c r="C459" s="116">
        <v>74.87</v>
      </c>
      <c r="D459" s="116">
        <v>72.760000000000005</v>
      </c>
      <c r="E459" s="116">
        <v>73.400000000000006</v>
      </c>
      <c r="F459" s="116">
        <v>74.87</v>
      </c>
      <c r="G459">
        <v>3827</v>
      </c>
      <c r="H459" s="116"/>
      <c r="I459" s="116"/>
      <c r="L459" s="170">
        <v>45756</v>
      </c>
      <c r="M459" s="116">
        <v>74.63</v>
      </c>
      <c r="N459" s="116">
        <v>75.400000000000006</v>
      </c>
      <c r="O459" s="116">
        <v>72.709999999999994</v>
      </c>
      <c r="P459" s="116">
        <v>73.400000000000006</v>
      </c>
      <c r="Q459" s="116">
        <v>74.63</v>
      </c>
      <c r="R459">
        <v>65904</v>
      </c>
    </row>
    <row r="460" spans="1:18" x14ac:dyDescent="0.25">
      <c r="A460" s="170">
        <v>45758</v>
      </c>
      <c r="B460" s="116">
        <v>79.8</v>
      </c>
      <c r="C460" s="116">
        <v>78.8</v>
      </c>
      <c r="D460" s="116">
        <v>74.7</v>
      </c>
      <c r="E460" s="116">
        <v>79.8</v>
      </c>
      <c r="F460" s="116">
        <v>78.8</v>
      </c>
      <c r="G460">
        <v>22195</v>
      </c>
      <c r="H460" s="116"/>
      <c r="I460" s="116"/>
      <c r="L460" s="170">
        <v>45758</v>
      </c>
      <c r="M460" s="116">
        <v>78.849999999999994</v>
      </c>
      <c r="N460" s="116">
        <v>80</v>
      </c>
      <c r="O460" s="116">
        <v>74.42</v>
      </c>
      <c r="P460" s="116">
        <v>76.48</v>
      </c>
      <c r="Q460" s="116">
        <v>78.849999999999994</v>
      </c>
      <c r="R460">
        <v>147314</v>
      </c>
    </row>
    <row r="461" spans="1:18" x14ac:dyDescent="0.25">
      <c r="A461" s="170">
        <v>45762</v>
      </c>
      <c r="B461" s="116">
        <v>81.3</v>
      </c>
      <c r="C461" s="116">
        <v>80.319999999999993</v>
      </c>
      <c r="D461" s="116">
        <v>78.599999999999994</v>
      </c>
      <c r="E461" s="116">
        <v>78.599999999999994</v>
      </c>
      <c r="F461" s="116">
        <v>80.319999999999993</v>
      </c>
      <c r="G461">
        <v>3699</v>
      </c>
      <c r="H461" s="116"/>
      <c r="I461" s="116"/>
      <c r="L461" s="170">
        <v>45762</v>
      </c>
      <c r="M461" s="116">
        <v>80.11</v>
      </c>
      <c r="N461" s="116">
        <v>81.599999999999994</v>
      </c>
      <c r="O461" s="116">
        <v>78.84</v>
      </c>
      <c r="P461" s="116">
        <v>79</v>
      </c>
      <c r="Q461" s="116">
        <v>80.11</v>
      </c>
      <c r="R461">
        <v>162008</v>
      </c>
    </row>
    <row r="462" spans="1:18" x14ac:dyDescent="0.25">
      <c r="A462" s="170">
        <v>45763</v>
      </c>
      <c r="B462" s="116">
        <v>81.680000000000007</v>
      </c>
      <c r="C462" s="116">
        <v>79.11</v>
      </c>
      <c r="D462" s="116">
        <v>78.48</v>
      </c>
      <c r="E462" s="116">
        <v>81.09</v>
      </c>
      <c r="F462" s="116">
        <v>79.11</v>
      </c>
      <c r="G462">
        <v>11332</v>
      </c>
      <c r="H462" s="116"/>
      <c r="I462" s="116"/>
      <c r="L462" s="170">
        <v>45763</v>
      </c>
      <c r="M462" s="116">
        <v>78.959999999999994</v>
      </c>
      <c r="N462" s="116">
        <v>81.44</v>
      </c>
      <c r="O462" s="116">
        <v>78.7</v>
      </c>
      <c r="P462" s="116">
        <v>80.88</v>
      </c>
      <c r="Q462" s="116">
        <v>78.959999999999994</v>
      </c>
      <c r="R462">
        <v>81779</v>
      </c>
    </row>
    <row r="463" spans="1:18" x14ac:dyDescent="0.25">
      <c r="A463" s="170">
        <v>45764</v>
      </c>
      <c r="B463" s="116">
        <v>81.430000000000007</v>
      </c>
      <c r="C463" s="116">
        <v>80.58</v>
      </c>
      <c r="D463" s="116">
        <v>79.209999999999994</v>
      </c>
      <c r="E463" s="116">
        <v>80.540000000000006</v>
      </c>
      <c r="F463" s="116">
        <v>80.58</v>
      </c>
      <c r="G463">
        <v>26170</v>
      </c>
      <c r="H463" s="116"/>
      <c r="I463" s="116"/>
      <c r="L463" s="170">
        <v>45764</v>
      </c>
      <c r="M463" s="116">
        <v>80.56</v>
      </c>
      <c r="N463" s="116">
        <v>81.290000000000006</v>
      </c>
      <c r="O463" s="116">
        <v>79.08</v>
      </c>
      <c r="P463" s="116">
        <v>79.8</v>
      </c>
      <c r="Q463" s="116">
        <v>80.56</v>
      </c>
      <c r="R463">
        <v>94476</v>
      </c>
    </row>
    <row r="464" spans="1:18" x14ac:dyDescent="0.25">
      <c r="A464" s="170">
        <v>45768</v>
      </c>
      <c r="B464" s="116">
        <v>83.9</v>
      </c>
      <c r="C464" s="116">
        <v>82.92</v>
      </c>
      <c r="D464" s="116">
        <v>82.3</v>
      </c>
      <c r="E464" s="116">
        <v>83.9</v>
      </c>
      <c r="F464" s="116">
        <v>82.92</v>
      </c>
      <c r="G464">
        <v>18352</v>
      </c>
      <c r="H464" s="116"/>
      <c r="I464" s="116"/>
      <c r="L464" s="170">
        <v>45768</v>
      </c>
      <c r="M464" s="116">
        <v>82.82</v>
      </c>
      <c r="N464" s="116">
        <v>84.19</v>
      </c>
      <c r="O464" s="116">
        <v>81.3</v>
      </c>
      <c r="P464" s="116">
        <v>81.63</v>
      </c>
      <c r="Q464" s="116">
        <v>82.82</v>
      </c>
      <c r="R464">
        <v>159758</v>
      </c>
    </row>
    <row r="465" spans="1:18" x14ac:dyDescent="0.25">
      <c r="A465" s="170">
        <v>45769</v>
      </c>
      <c r="B465" s="116">
        <v>84.64</v>
      </c>
      <c r="C465" s="116">
        <v>83.85</v>
      </c>
      <c r="D465" s="116">
        <v>82.6</v>
      </c>
      <c r="E465" s="116">
        <v>82.92</v>
      </c>
      <c r="F465" s="116">
        <v>83.85</v>
      </c>
      <c r="G465">
        <v>18661</v>
      </c>
      <c r="H465" s="116"/>
      <c r="I465" s="116"/>
      <c r="L465" s="170">
        <v>45769</v>
      </c>
      <c r="M465" s="116">
        <v>83.88</v>
      </c>
      <c r="N465" s="116">
        <v>84.86</v>
      </c>
      <c r="O465" s="116">
        <v>82.41</v>
      </c>
      <c r="P465" s="116">
        <v>82.41</v>
      </c>
      <c r="Q465" s="116">
        <v>83.88</v>
      </c>
      <c r="R465">
        <v>93067</v>
      </c>
    </row>
    <row r="466" spans="1:18" x14ac:dyDescent="0.25">
      <c r="A466" s="170">
        <v>45770</v>
      </c>
      <c r="B466" s="116">
        <v>88.15</v>
      </c>
      <c r="C466" s="116">
        <v>86.86</v>
      </c>
      <c r="D466" s="116">
        <v>84.76</v>
      </c>
      <c r="E466" s="116">
        <v>85.01</v>
      </c>
      <c r="F466" s="116">
        <v>86.86</v>
      </c>
      <c r="G466">
        <v>15382</v>
      </c>
      <c r="H466" s="116"/>
      <c r="I466" s="116"/>
      <c r="L466" s="170">
        <v>45770</v>
      </c>
      <c r="M466" s="116">
        <v>86.72</v>
      </c>
      <c r="N466" s="116">
        <v>87.8</v>
      </c>
      <c r="O466" s="116">
        <v>84.48</v>
      </c>
      <c r="P466" s="116">
        <v>85</v>
      </c>
      <c r="Q466" s="116">
        <v>86.72</v>
      </c>
      <c r="R466">
        <v>233693</v>
      </c>
    </row>
    <row r="467" spans="1:18" x14ac:dyDescent="0.25">
      <c r="A467" s="170">
        <v>45771</v>
      </c>
      <c r="B467" s="116">
        <v>87.2</v>
      </c>
      <c r="C467" s="116">
        <v>84.73</v>
      </c>
      <c r="D467" s="116">
        <v>84.5</v>
      </c>
      <c r="E467" s="116">
        <v>85</v>
      </c>
      <c r="F467" s="116">
        <v>84.73</v>
      </c>
      <c r="G467">
        <v>15664</v>
      </c>
      <c r="H467" s="116"/>
      <c r="I467" s="116"/>
      <c r="L467" s="170">
        <v>45771</v>
      </c>
      <c r="M467" s="116">
        <v>84.64</v>
      </c>
      <c r="N467" s="116">
        <v>87.49</v>
      </c>
      <c r="O467" s="116">
        <v>84.07</v>
      </c>
      <c r="P467" s="116">
        <v>85.1</v>
      </c>
      <c r="Q467" s="116">
        <v>84.64</v>
      </c>
      <c r="R467">
        <v>96220</v>
      </c>
    </row>
    <row r="468" spans="1:18" x14ac:dyDescent="0.25">
      <c r="A468" s="170">
        <v>45772</v>
      </c>
      <c r="B468" s="116">
        <v>86.1</v>
      </c>
      <c r="C468" s="116">
        <v>81.260000000000005</v>
      </c>
      <c r="D468" s="116">
        <v>80.55</v>
      </c>
      <c r="E468" s="116">
        <v>84.1</v>
      </c>
      <c r="F468" s="116">
        <v>81.260000000000005</v>
      </c>
      <c r="G468">
        <v>27639</v>
      </c>
      <c r="H468" s="116"/>
      <c r="I468" s="116"/>
      <c r="L468" s="170">
        <v>45772</v>
      </c>
      <c r="M468" s="116">
        <v>81.12</v>
      </c>
      <c r="N468" s="116">
        <v>85.83</v>
      </c>
      <c r="O468" s="116">
        <v>80.319999999999993</v>
      </c>
      <c r="P468" s="116">
        <v>84.11</v>
      </c>
      <c r="Q468" s="116">
        <v>81.12</v>
      </c>
      <c r="R468">
        <v>103701</v>
      </c>
    </row>
    <row r="469" spans="1:18" x14ac:dyDescent="0.25">
      <c r="A469" s="170">
        <v>45775</v>
      </c>
      <c r="B469" s="116">
        <v>82.5</v>
      </c>
      <c r="C469" s="116">
        <v>81.900000000000006</v>
      </c>
      <c r="D469" s="116">
        <v>80.489999999999995</v>
      </c>
      <c r="E469" s="116">
        <v>81.3</v>
      </c>
      <c r="F469" s="116">
        <v>81.900000000000006</v>
      </c>
      <c r="G469">
        <v>17141</v>
      </c>
      <c r="H469" s="116"/>
      <c r="I469" s="116"/>
      <c r="L469" s="170">
        <v>45775</v>
      </c>
      <c r="M469" s="116">
        <v>81.87</v>
      </c>
      <c r="N469" s="116">
        <v>82.48</v>
      </c>
      <c r="O469" s="116">
        <v>80.5</v>
      </c>
      <c r="P469" s="116">
        <v>81.12</v>
      </c>
      <c r="Q469" s="116">
        <v>81.87</v>
      </c>
      <c r="R469">
        <v>162281</v>
      </c>
    </row>
    <row r="470" spans="1:18" x14ac:dyDescent="0.25">
      <c r="A470" s="170">
        <v>45776</v>
      </c>
      <c r="B470" s="116">
        <v>83.72</v>
      </c>
      <c r="C470" s="116">
        <v>80.849999999999994</v>
      </c>
      <c r="D470" s="116">
        <v>79.959999999999994</v>
      </c>
      <c r="E470" s="116">
        <v>81.900000000000006</v>
      </c>
      <c r="F470" s="116">
        <v>80.849999999999994</v>
      </c>
      <c r="G470">
        <v>14591</v>
      </c>
      <c r="H470" s="116"/>
      <c r="I470" s="116"/>
      <c r="L470" s="170">
        <v>45776</v>
      </c>
      <c r="M470" s="116">
        <v>80.819999999999993</v>
      </c>
      <c r="N470" s="116">
        <v>83.67</v>
      </c>
      <c r="O470" s="116">
        <v>79.67</v>
      </c>
      <c r="P470" s="116">
        <v>82.5</v>
      </c>
      <c r="Q470" s="116">
        <v>80.819999999999993</v>
      </c>
      <c r="R470">
        <v>75068</v>
      </c>
    </row>
    <row r="471" spans="1:18" x14ac:dyDescent="0.25">
      <c r="A471" s="170">
        <v>45777</v>
      </c>
      <c r="B471" s="116">
        <v>81.27</v>
      </c>
      <c r="C471" s="116">
        <v>79.36</v>
      </c>
      <c r="D471" s="116">
        <v>79.02</v>
      </c>
      <c r="E471" s="116">
        <v>79.099999999999994</v>
      </c>
      <c r="F471" s="116">
        <v>79.36</v>
      </c>
      <c r="G471">
        <v>13370</v>
      </c>
      <c r="H471" s="116"/>
      <c r="I471" s="116"/>
      <c r="L471" s="170">
        <v>45777</v>
      </c>
      <c r="M471" s="116">
        <v>79.319999999999993</v>
      </c>
      <c r="N471" s="116">
        <v>81.09</v>
      </c>
      <c r="O471" s="116">
        <v>79.010000000000005</v>
      </c>
      <c r="P471" s="116">
        <v>80</v>
      </c>
      <c r="Q471" s="116">
        <v>79.319999999999993</v>
      </c>
      <c r="R471">
        <v>66151</v>
      </c>
    </row>
    <row r="472" spans="1:18" x14ac:dyDescent="0.25">
      <c r="A472" s="170">
        <v>45779</v>
      </c>
      <c r="B472" s="116">
        <v>82.46</v>
      </c>
      <c r="C472" s="116">
        <v>81.260000000000005</v>
      </c>
      <c r="D472" s="116">
        <v>79.099999999999994</v>
      </c>
      <c r="E472" s="116">
        <v>79.36</v>
      </c>
      <c r="F472" s="116">
        <v>81.260000000000005</v>
      </c>
      <c r="G472">
        <v>7283</v>
      </c>
      <c r="H472" s="116"/>
      <c r="I472" s="116"/>
      <c r="L472" s="170">
        <v>45779</v>
      </c>
      <c r="M472" s="116">
        <v>81.45</v>
      </c>
      <c r="N472" s="116">
        <v>82.5</v>
      </c>
      <c r="O472" s="116">
        <v>78.11</v>
      </c>
      <c r="P472" s="116">
        <v>78.11</v>
      </c>
      <c r="Q472" s="116">
        <v>81.45</v>
      </c>
      <c r="R472">
        <v>95669</v>
      </c>
    </row>
    <row r="473" spans="1:18" x14ac:dyDescent="0.25">
      <c r="A473" s="170">
        <v>45782</v>
      </c>
      <c r="B473" s="116">
        <v>90.14</v>
      </c>
      <c r="C473" s="116">
        <v>87.84</v>
      </c>
      <c r="D473" s="116">
        <v>80.73</v>
      </c>
      <c r="E473" s="116">
        <v>82</v>
      </c>
      <c r="F473" s="116">
        <v>87.84</v>
      </c>
      <c r="G473">
        <v>59365</v>
      </c>
      <c r="H473" s="116"/>
      <c r="I473" s="116"/>
      <c r="L473" s="170">
        <v>45782</v>
      </c>
      <c r="M473" s="116">
        <v>87.87</v>
      </c>
      <c r="N473" s="116">
        <v>90.1</v>
      </c>
      <c r="O473" s="116">
        <v>80.11</v>
      </c>
      <c r="P473" s="116">
        <v>81.510000000000005</v>
      </c>
      <c r="Q473" s="116">
        <v>87.87</v>
      </c>
      <c r="R473">
        <v>1099398</v>
      </c>
    </row>
    <row r="474" spans="1:18" x14ac:dyDescent="0.25">
      <c r="A474" s="170">
        <v>45783</v>
      </c>
      <c r="B474" s="116">
        <v>90.9</v>
      </c>
      <c r="C474" s="116">
        <v>84.16</v>
      </c>
      <c r="D474" s="116">
        <v>83.71</v>
      </c>
      <c r="E474" s="116">
        <v>90.9</v>
      </c>
      <c r="F474" s="116">
        <v>84.16</v>
      </c>
      <c r="G474">
        <v>32302</v>
      </c>
      <c r="H474" s="116"/>
      <c r="I474" s="116"/>
      <c r="L474" s="170">
        <v>45783</v>
      </c>
      <c r="M474" s="116">
        <v>83.85</v>
      </c>
      <c r="N474" s="116">
        <v>90.41</v>
      </c>
      <c r="O474" s="116">
        <v>82.6</v>
      </c>
      <c r="P474" s="116">
        <v>88.99</v>
      </c>
      <c r="Q474" s="116">
        <v>83.85</v>
      </c>
      <c r="R474">
        <v>317922</v>
      </c>
    </row>
    <row r="475" spans="1:18" x14ac:dyDescent="0.25">
      <c r="A475" s="170">
        <v>45784</v>
      </c>
      <c r="B475" s="116">
        <v>89.63</v>
      </c>
      <c r="C475" s="116">
        <v>87.27</v>
      </c>
      <c r="D475" s="116">
        <v>82.25</v>
      </c>
      <c r="E475" s="116">
        <v>82.25</v>
      </c>
      <c r="F475" s="116">
        <v>87.27</v>
      </c>
      <c r="G475">
        <v>77147</v>
      </c>
      <c r="H475" s="116"/>
      <c r="I475" s="116"/>
      <c r="L475" s="170">
        <v>45784</v>
      </c>
      <c r="M475" s="116">
        <v>87.04</v>
      </c>
      <c r="N475" s="116">
        <v>89.8</v>
      </c>
      <c r="O475" s="116">
        <v>84.15</v>
      </c>
      <c r="P475" s="116">
        <v>84.49</v>
      </c>
      <c r="Q475" s="116">
        <v>87.04</v>
      </c>
      <c r="R475">
        <v>465035</v>
      </c>
    </row>
    <row r="476" spans="1:18" x14ac:dyDescent="0.25">
      <c r="A476" s="170">
        <v>45785</v>
      </c>
      <c r="B476" s="116">
        <v>94.07</v>
      </c>
      <c r="C476" s="116">
        <v>88.71</v>
      </c>
      <c r="D476" s="116">
        <v>87.31</v>
      </c>
      <c r="E476" s="116">
        <v>88.99</v>
      </c>
      <c r="F476" s="116">
        <v>88.71</v>
      </c>
      <c r="G476">
        <v>72264</v>
      </c>
      <c r="H476" s="116"/>
      <c r="I476" s="116"/>
      <c r="L476" s="170">
        <v>45785</v>
      </c>
      <c r="M476" s="116">
        <v>88.66</v>
      </c>
      <c r="N476" s="116">
        <v>94.3</v>
      </c>
      <c r="O476" s="116">
        <v>87.01</v>
      </c>
      <c r="P476" s="116">
        <v>87.74</v>
      </c>
      <c r="Q476" s="116">
        <v>88.66</v>
      </c>
      <c r="R476">
        <v>478106</v>
      </c>
    </row>
    <row r="477" spans="1:18" x14ac:dyDescent="0.25">
      <c r="A477" s="170">
        <v>45786</v>
      </c>
      <c r="B477" s="116">
        <v>89.58</v>
      </c>
      <c r="C477" s="116">
        <v>88.42</v>
      </c>
      <c r="D477" s="116">
        <v>84.91</v>
      </c>
      <c r="E477" s="116">
        <v>84.91</v>
      </c>
      <c r="F477" s="116">
        <v>88.42</v>
      </c>
      <c r="G477">
        <v>44429</v>
      </c>
      <c r="H477" s="116"/>
      <c r="I477" s="116"/>
      <c r="L477" s="170">
        <v>45786</v>
      </c>
      <c r="M477" s="116">
        <v>88.68</v>
      </c>
      <c r="N477" s="116">
        <v>89.7</v>
      </c>
      <c r="O477" s="116">
        <v>86.02</v>
      </c>
      <c r="P477" s="116">
        <v>87</v>
      </c>
      <c r="Q477" s="116">
        <v>88.68</v>
      </c>
      <c r="R477">
        <v>210944</v>
      </c>
    </row>
    <row r="478" spans="1:18" x14ac:dyDescent="0.25">
      <c r="A478" s="170">
        <v>45789</v>
      </c>
      <c r="B478" s="116">
        <v>91.66</v>
      </c>
      <c r="C478" s="116">
        <v>90.15</v>
      </c>
      <c r="D478" s="116">
        <v>89.8</v>
      </c>
      <c r="E478" s="116">
        <v>91.19</v>
      </c>
      <c r="F478" s="116">
        <v>90.15</v>
      </c>
      <c r="G478">
        <v>16128</v>
      </c>
      <c r="H478" s="116"/>
      <c r="I478" s="116"/>
      <c r="L478" s="170">
        <v>45789</v>
      </c>
      <c r="M478" s="116">
        <v>90.15</v>
      </c>
      <c r="N478" s="116">
        <v>91.9</v>
      </c>
      <c r="O478" s="116">
        <v>89.44</v>
      </c>
      <c r="P478" s="116">
        <v>91.9</v>
      </c>
      <c r="Q478" s="116">
        <v>90.15</v>
      </c>
      <c r="R478">
        <v>142570</v>
      </c>
    </row>
    <row r="479" spans="1:18" x14ac:dyDescent="0.25">
      <c r="A479" s="170">
        <v>45790</v>
      </c>
      <c r="B479" s="116">
        <v>92.18</v>
      </c>
      <c r="C479" s="116">
        <v>89.26</v>
      </c>
      <c r="D479" s="116">
        <v>88.91</v>
      </c>
      <c r="E479" s="116">
        <v>90.25</v>
      </c>
      <c r="F479" s="116">
        <v>89.26</v>
      </c>
      <c r="G479">
        <v>8751</v>
      </c>
      <c r="H479" s="116"/>
      <c r="I479" s="116"/>
      <c r="L479" s="170">
        <v>45790</v>
      </c>
      <c r="M479" s="116">
        <v>89.47</v>
      </c>
      <c r="N479" s="116">
        <v>92.27</v>
      </c>
      <c r="O479" s="116">
        <v>88.11</v>
      </c>
      <c r="P479" s="116">
        <v>90.15</v>
      </c>
      <c r="Q479" s="116">
        <v>89.47</v>
      </c>
      <c r="R479">
        <v>173703</v>
      </c>
    </row>
    <row r="480" spans="1:18" x14ac:dyDescent="0.25">
      <c r="A480" s="170">
        <v>45791</v>
      </c>
      <c r="B480" s="116">
        <v>94.9</v>
      </c>
      <c r="C480" s="116">
        <v>92.52</v>
      </c>
      <c r="D480" s="116">
        <v>90.59</v>
      </c>
      <c r="E480" s="116">
        <v>90.59</v>
      </c>
      <c r="F480" s="116">
        <v>92.52</v>
      </c>
      <c r="G480">
        <v>19472</v>
      </c>
      <c r="H480" s="116"/>
      <c r="I480" s="116"/>
      <c r="L480" s="170">
        <v>45791</v>
      </c>
      <c r="M480" s="116">
        <v>92.46</v>
      </c>
      <c r="N480" s="116">
        <v>95</v>
      </c>
      <c r="O480" s="116">
        <v>89.8</v>
      </c>
      <c r="P480" s="116">
        <v>89.8</v>
      </c>
      <c r="Q480" s="116">
        <v>92.46</v>
      </c>
      <c r="R480">
        <v>314237</v>
      </c>
    </row>
    <row r="481" spans="1:18" x14ac:dyDescent="0.25">
      <c r="A481" s="170">
        <v>45792</v>
      </c>
      <c r="B481" s="116">
        <v>92.5</v>
      </c>
      <c r="C481" s="116">
        <v>90.9</v>
      </c>
      <c r="D481" s="116">
        <v>89.65</v>
      </c>
      <c r="E481" s="116">
        <v>92.5</v>
      </c>
      <c r="F481" s="116">
        <v>90.9</v>
      </c>
      <c r="G481">
        <v>33887</v>
      </c>
      <c r="H481" s="116"/>
      <c r="I481" s="116"/>
      <c r="L481" s="170">
        <v>45792</v>
      </c>
      <c r="M481" s="116">
        <v>91.05</v>
      </c>
      <c r="N481" s="116">
        <v>92.9</v>
      </c>
      <c r="O481" s="116">
        <v>89.47</v>
      </c>
      <c r="P481" s="116">
        <v>92.9</v>
      </c>
      <c r="Q481" s="116">
        <v>91.05</v>
      </c>
      <c r="R481">
        <v>169781</v>
      </c>
    </row>
    <row r="482" spans="1:18" x14ac:dyDescent="0.25">
      <c r="A482" s="170">
        <v>45793</v>
      </c>
      <c r="B482" s="116">
        <v>94.1</v>
      </c>
      <c r="C482" s="116">
        <v>90.16</v>
      </c>
      <c r="D482" s="116">
        <v>89.62</v>
      </c>
      <c r="E482" s="116">
        <v>94.1</v>
      </c>
      <c r="F482" s="116">
        <v>90.16</v>
      </c>
      <c r="G482">
        <v>10968</v>
      </c>
      <c r="H482" s="116"/>
      <c r="I482" s="116"/>
      <c r="L482" s="170">
        <v>45793</v>
      </c>
      <c r="M482" s="116">
        <v>90.11</v>
      </c>
      <c r="N482" s="116">
        <v>92.87</v>
      </c>
      <c r="O482" s="116">
        <v>89.6</v>
      </c>
      <c r="P482" s="116">
        <v>91.5</v>
      </c>
      <c r="Q482" s="116">
        <v>90.11</v>
      </c>
      <c r="R482">
        <v>219671</v>
      </c>
    </row>
    <row r="483" spans="1:18" x14ac:dyDescent="0.25">
      <c r="A483" s="170">
        <v>45796</v>
      </c>
      <c r="B483" s="116">
        <v>94.5</v>
      </c>
      <c r="C483" s="116">
        <v>92.07</v>
      </c>
      <c r="D483" s="116">
        <v>91.01</v>
      </c>
      <c r="E483" s="116">
        <v>94.1</v>
      </c>
      <c r="F483" s="116">
        <v>92.07</v>
      </c>
      <c r="G483">
        <v>37808</v>
      </c>
      <c r="H483" s="116"/>
      <c r="I483" s="116"/>
      <c r="L483" s="170">
        <v>45796</v>
      </c>
      <c r="M483" s="116">
        <v>92.17</v>
      </c>
      <c r="N483" s="116">
        <v>94.69</v>
      </c>
      <c r="O483" s="116">
        <v>90.67</v>
      </c>
      <c r="P483" s="116">
        <v>90.88</v>
      </c>
      <c r="Q483" s="116">
        <v>92.17</v>
      </c>
      <c r="R483">
        <v>265032</v>
      </c>
    </row>
    <row r="484" spans="1:18" x14ac:dyDescent="0.25">
      <c r="A484" s="170">
        <v>45797</v>
      </c>
      <c r="B484" s="116">
        <v>93.96</v>
      </c>
      <c r="C484" s="116">
        <v>91.14</v>
      </c>
      <c r="D484" s="116">
        <v>90.41</v>
      </c>
      <c r="E484" s="116">
        <v>93.96</v>
      </c>
      <c r="F484" s="116">
        <v>91.14</v>
      </c>
      <c r="G484">
        <v>10711</v>
      </c>
      <c r="H484" s="116"/>
      <c r="I484" s="116"/>
      <c r="L484" s="170">
        <v>45797</v>
      </c>
      <c r="M484" s="116">
        <v>90.69</v>
      </c>
      <c r="N484" s="116">
        <v>93.44</v>
      </c>
      <c r="O484" s="116">
        <v>90</v>
      </c>
      <c r="P484" s="116">
        <v>93.44</v>
      </c>
      <c r="Q484" s="116">
        <v>90.69</v>
      </c>
      <c r="R484">
        <v>106980</v>
      </c>
    </row>
    <row r="485" spans="1:18" x14ac:dyDescent="0.25">
      <c r="A485" s="170">
        <v>45798</v>
      </c>
      <c r="B485" s="116">
        <v>92.3</v>
      </c>
      <c r="C485" s="116">
        <v>91</v>
      </c>
      <c r="D485" s="116">
        <v>89.64</v>
      </c>
      <c r="E485" s="116">
        <v>90.46</v>
      </c>
      <c r="F485" s="116">
        <v>91</v>
      </c>
      <c r="G485">
        <v>15782</v>
      </c>
      <c r="H485" s="116"/>
      <c r="I485" s="116"/>
      <c r="L485" s="170">
        <v>45798</v>
      </c>
      <c r="M485" s="116">
        <v>90.74</v>
      </c>
      <c r="N485" s="116">
        <v>92.43</v>
      </c>
      <c r="O485" s="116">
        <v>89.75</v>
      </c>
      <c r="P485" s="116">
        <v>91.6</v>
      </c>
      <c r="Q485" s="116">
        <v>90.74</v>
      </c>
      <c r="R485">
        <v>127601</v>
      </c>
    </row>
    <row r="486" spans="1:18" x14ac:dyDescent="0.25">
      <c r="A486" s="170">
        <v>45799</v>
      </c>
      <c r="B486" s="116">
        <v>92.8</v>
      </c>
      <c r="C486" s="116">
        <v>90.88</v>
      </c>
      <c r="D486" s="116">
        <v>90</v>
      </c>
      <c r="E486" s="116">
        <v>91</v>
      </c>
      <c r="F486" s="116">
        <v>90.88</v>
      </c>
      <c r="G486">
        <v>20426</v>
      </c>
      <c r="H486" s="116"/>
      <c r="I486" s="116"/>
      <c r="L486" s="170">
        <v>45799</v>
      </c>
      <c r="M486" s="116">
        <v>91.05</v>
      </c>
      <c r="N486" s="116">
        <v>92.97</v>
      </c>
      <c r="O486" s="116">
        <v>89.99</v>
      </c>
      <c r="P486" s="116">
        <v>90.35</v>
      </c>
      <c r="Q486" s="116">
        <v>91.05</v>
      </c>
      <c r="R486">
        <v>109992</v>
      </c>
    </row>
    <row r="487" spans="1:18" x14ac:dyDescent="0.25">
      <c r="A487" s="170">
        <v>45800</v>
      </c>
      <c r="B487" s="116">
        <v>92.4</v>
      </c>
      <c r="C487" s="116">
        <v>91.19</v>
      </c>
      <c r="D487" s="116">
        <v>90.61</v>
      </c>
      <c r="E487" s="116">
        <v>90.61</v>
      </c>
      <c r="F487" s="116">
        <v>91.19</v>
      </c>
      <c r="G487">
        <v>6406</v>
      </c>
      <c r="H487" s="116"/>
      <c r="I487" s="116"/>
      <c r="L487" s="170">
        <v>45800</v>
      </c>
      <c r="M487" s="116">
        <v>91.22</v>
      </c>
      <c r="N487" s="116">
        <v>92.3</v>
      </c>
      <c r="O487" s="116">
        <v>90.15</v>
      </c>
      <c r="P487" s="116">
        <v>90.15</v>
      </c>
      <c r="Q487" s="116">
        <v>91.22</v>
      </c>
      <c r="R487">
        <v>80817</v>
      </c>
    </row>
    <row r="488" spans="1:18" x14ac:dyDescent="0.25">
      <c r="A488" s="170">
        <v>45803</v>
      </c>
      <c r="B488" s="116">
        <v>94.5</v>
      </c>
      <c r="C488" s="116">
        <v>92.13</v>
      </c>
      <c r="D488" s="116">
        <v>90.92</v>
      </c>
      <c r="E488" s="116">
        <v>91.52</v>
      </c>
      <c r="F488" s="116">
        <v>92.13</v>
      </c>
      <c r="G488">
        <v>26313</v>
      </c>
      <c r="H488" s="116"/>
      <c r="I488" s="116"/>
      <c r="L488" s="170">
        <v>45803</v>
      </c>
      <c r="M488" s="116">
        <v>91.86</v>
      </c>
      <c r="N488" s="116">
        <v>94.98</v>
      </c>
      <c r="O488" s="116">
        <v>90.51</v>
      </c>
      <c r="P488" s="116">
        <v>91.02</v>
      </c>
      <c r="Q488" s="116">
        <v>91.86</v>
      </c>
      <c r="R488">
        <v>170975</v>
      </c>
    </row>
    <row r="489" spans="1:18" x14ac:dyDescent="0.25">
      <c r="A489" s="170">
        <v>45804</v>
      </c>
      <c r="B489" s="116">
        <v>92.6</v>
      </c>
      <c r="C489" s="116">
        <v>91.11</v>
      </c>
      <c r="D489" s="116">
        <v>90.33</v>
      </c>
      <c r="E489" s="116">
        <v>91.05</v>
      </c>
      <c r="F489" s="116">
        <v>91.11</v>
      </c>
      <c r="G489">
        <v>28830</v>
      </c>
      <c r="H489" s="116"/>
      <c r="I489" s="116"/>
      <c r="L489" s="170">
        <v>45804</v>
      </c>
      <c r="M489" s="116">
        <v>91.44</v>
      </c>
      <c r="N489" s="116">
        <v>92.52</v>
      </c>
      <c r="O489" s="116">
        <v>90.71</v>
      </c>
      <c r="P489" s="116">
        <v>92.52</v>
      </c>
      <c r="Q489" s="116">
        <v>91.44</v>
      </c>
      <c r="R489">
        <v>100601</v>
      </c>
    </row>
    <row r="490" spans="1:18" x14ac:dyDescent="0.25">
      <c r="A490" s="170">
        <v>45805</v>
      </c>
      <c r="B490" s="116">
        <v>92.27</v>
      </c>
      <c r="C490" s="116">
        <v>90.76</v>
      </c>
      <c r="D490" s="116">
        <v>90.5</v>
      </c>
      <c r="E490" s="116">
        <v>92.27</v>
      </c>
      <c r="F490" s="116">
        <v>90.76</v>
      </c>
      <c r="G490">
        <v>6977</v>
      </c>
      <c r="H490" s="116"/>
      <c r="I490" s="116"/>
      <c r="L490" s="170">
        <v>45805</v>
      </c>
      <c r="M490" s="116">
        <v>90.79</v>
      </c>
      <c r="N490" s="116">
        <v>92.6</v>
      </c>
      <c r="O490" s="116">
        <v>90.1</v>
      </c>
      <c r="P490" s="116">
        <v>91.02</v>
      </c>
      <c r="Q490" s="116">
        <v>90.79</v>
      </c>
      <c r="R490">
        <v>83412</v>
      </c>
    </row>
    <row r="491" spans="1:18" x14ac:dyDescent="0.25">
      <c r="A491" s="170">
        <v>45806</v>
      </c>
      <c r="B491" s="116">
        <v>91.51</v>
      </c>
      <c r="C491" s="116">
        <v>90.17</v>
      </c>
      <c r="D491" s="116">
        <v>90</v>
      </c>
      <c r="E491" s="116">
        <v>91.16</v>
      </c>
      <c r="F491" s="116">
        <v>90.17</v>
      </c>
      <c r="G491">
        <v>10289</v>
      </c>
      <c r="H491" s="116"/>
      <c r="I491" s="116"/>
      <c r="L491" s="170">
        <v>45806</v>
      </c>
      <c r="M491" s="116">
        <v>90.14</v>
      </c>
      <c r="N491" s="116">
        <v>91.6</v>
      </c>
      <c r="O491" s="116">
        <v>89.99</v>
      </c>
      <c r="P491" s="116">
        <v>90.01</v>
      </c>
      <c r="Q491" s="116">
        <v>90.14</v>
      </c>
      <c r="R491">
        <v>101352</v>
      </c>
    </row>
    <row r="492" spans="1:18" x14ac:dyDescent="0.25">
      <c r="A492" s="170">
        <v>45807</v>
      </c>
      <c r="B492" s="116">
        <v>93.22</v>
      </c>
      <c r="C492" s="116">
        <v>92.03</v>
      </c>
      <c r="D492" s="116">
        <v>90</v>
      </c>
      <c r="E492" s="116">
        <v>90</v>
      </c>
      <c r="F492" s="116">
        <v>92.03</v>
      </c>
      <c r="G492">
        <v>41644</v>
      </c>
      <c r="H492" s="116"/>
      <c r="I492" s="116"/>
      <c r="L492" s="170">
        <v>45807</v>
      </c>
      <c r="M492" s="116">
        <v>91.88</v>
      </c>
      <c r="N492" s="116">
        <v>93.45</v>
      </c>
      <c r="O492" s="116">
        <v>89.69</v>
      </c>
      <c r="P492" s="116">
        <v>89.69</v>
      </c>
      <c r="Q492" s="116">
        <v>91.88</v>
      </c>
      <c r="R492">
        <v>234250</v>
      </c>
    </row>
    <row r="493" spans="1:18" x14ac:dyDescent="0.25">
      <c r="A493" s="170">
        <v>45810</v>
      </c>
      <c r="B493" s="116">
        <v>95.01</v>
      </c>
      <c r="C493" s="116">
        <v>92.31</v>
      </c>
      <c r="D493" s="116">
        <v>91.06</v>
      </c>
      <c r="E493" s="116">
        <v>94.1</v>
      </c>
      <c r="F493" s="116">
        <v>92.31</v>
      </c>
      <c r="G493">
        <v>41295</v>
      </c>
      <c r="H493" s="116"/>
      <c r="I493" s="116"/>
      <c r="L493" s="170">
        <v>45810</v>
      </c>
      <c r="M493" s="116">
        <v>92.31</v>
      </c>
      <c r="N493" s="116">
        <v>94.8</v>
      </c>
      <c r="O493" s="116">
        <v>91.2</v>
      </c>
      <c r="P493" s="116">
        <v>94.8</v>
      </c>
      <c r="Q493" s="116">
        <v>92.31</v>
      </c>
      <c r="R493">
        <v>281130</v>
      </c>
    </row>
    <row r="494" spans="1:18" x14ac:dyDescent="0.25">
      <c r="A494" s="170">
        <v>45811</v>
      </c>
      <c r="B494" s="116">
        <v>93</v>
      </c>
      <c r="C494" s="116">
        <v>91.82</v>
      </c>
      <c r="D494" s="116">
        <v>91.56</v>
      </c>
      <c r="E494" s="116">
        <v>93</v>
      </c>
      <c r="F494" s="116">
        <v>91.82</v>
      </c>
      <c r="G494">
        <v>15536</v>
      </c>
      <c r="H494" s="116"/>
      <c r="I494" s="116"/>
      <c r="L494" s="170">
        <v>45811</v>
      </c>
      <c r="M494" s="116">
        <v>91.86</v>
      </c>
      <c r="N494" s="116">
        <v>93.78</v>
      </c>
      <c r="O494" s="116">
        <v>91.55</v>
      </c>
      <c r="P494" s="116">
        <v>92.48</v>
      </c>
      <c r="Q494" s="116">
        <v>91.86</v>
      </c>
      <c r="R494">
        <v>81179</v>
      </c>
    </row>
    <row r="495" spans="1:18" x14ac:dyDescent="0.25">
      <c r="A495" s="170">
        <v>45812</v>
      </c>
      <c r="B495" s="116">
        <v>93.82</v>
      </c>
      <c r="C495" s="116">
        <v>92.56</v>
      </c>
      <c r="D495" s="116">
        <v>91.14</v>
      </c>
      <c r="E495" s="116">
        <v>93.82</v>
      </c>
      <c r="F495" s="116">
        <v>92.56</v>
      </c>
      <c r="G495">
        <v>8811</v>
      </c>
      <c r="H495" s="116"/>
      <c r="I495" s="116"/>
      <c r="L495" s="170">
        <v>45812</v>
      </c>
      <c r="M495" s="116">
        <v>92.4</v>
      </c>
      <c r="N495" s="116">
        <v>93.49</v>
      </c>
      <c r="O495" s="116">
        <v>91.12</v>
      </c>
      <c r="P495" s="116">
        <v>91.86</v>
      </c>
      <c r="Q495" s="116">
        <v>92.4</v>
      </c>
      <c r="R495">
        <v>103718</v>
      </c>
    </row>
    <row r="496" spans="1:18" x14ac:dyDescent="0.25">
      <c r="A496" s="170">
        <v>45813</v>
      </c>
      <c r="B496" s="116">
        <v>93.27</v>
      </c>
      <c r="C496" s="116">
        <v>91.19</v>
      </c>
      <c r="D496" s="116">
        <v>91.01</v>
      </c>
      <c r="E496" s="116">
        <v>93.27</v>
      </c>
      <c r="F496" s="116">
        <v>91.19</v>
      </c>
      <c r="G496">
        <v>25121</v>
      </c>
      <c r="H496" s="116"/>
      <c r="I496" s="116"/>
      <c r="L496" s="170">
        <v>45813</v>
      </c>
      <c r="M496" s="116">
        <v>91.14</v>
      </c>
      <c r="N496" s="116">
        <v>93.31</v>
      </c>
      <c r="O496" s="116">
        <v>91.02</v>
      </c>
      <c r="P496" s="116">
        <v>92.4</v>
      </c>
      <c r="Q496" s="116">
        <v>91.14</v>
      </c>
      <c r="R496">
        <v>85232</v>
      </c>
    </row>
    <row r="497" spans="1:18" x14ac:dyDescent="0.25">
      <c r="A497" s="170">
        <v>45814</v>
      </c>
      <c r="B497" s="116">
        <v>93.65</v>
      </c>
      <c r="C497" s="116">
        <v>91.19</v>
      </c>
      <c r="D497" s="116">
        <v>89.51</v>
      </c>
      <c r="E497" s="116">
        <v>89.51</v>
      </c>
      <c r="F497" s="116">
        <v>91.19</v>
      </c>
      <c r="G497">
        <v>22677</v>
      </c>
      <c r="H497" s="116"/>
      <c r="I497" s="116"/>
      <c r="L497" s="170">
        <v>45814</v>
      </c>
      <c r="M497" s="116">
        <v>91.21</v>
      </c>
      <c r="N497" s="116">
        <v>93.7</v>
      </c>
      <c r="O497" s="116">
        <v>90.41</v>
      </c>
      <c r="P497" s="116">
        <v>92.05</v>
      </c>
      <c r="Q497" s="116">
        <v>91.21</v>
      </c>
      <c r="R497">
        <v>287275</v>
      </c>
    </row>
    <row r="498" spans="1:18" x14ac:dyDescent="0.25">
      <c r="A498" s="170">
        <v>45817</v>
      </c>
      <c r="B498" s="116">
        <v>93.52</v>
      </c>
      <c r="C498" s="116">
        <v>93.3</v>
      </c>
      <c r="D498" s="116">
        <v>91.48</v>
      </c>
      <c r="E498" s="116">
        <v>91.69</v>
      </c>
      <c r="F498" s="116">
        <v>93.3</v>
      </c>
      <c r="G498">
        <v>10810</v>
      </c>
      <c r="H498" s="116"/>
      <c r="I498" s="116"/>
      <c r="L498" s="170">
        <v>45817</v>
      </c>
      <c r="M498" s="116">
        <v>93.22</v>
      </c>
      <c r="N498" s="116">
        <v>93.55</v>
      </c>
      <c r="O498" s="116">
        <v>91.23</v>
      </c>
      <c r="P498" s="116">
        <v>91.23</v>
      </c>
      <c r="Q498" s="116">
        <v>93.22</v>
      </c>
      <c r="R498">
        <v>143596</v>
      </c>
    </row>
    <row r="499" spans="1:18" x14ac:dyDescent="0.25">
      <c r="A499" s="170">
        <v>45818</v>
      </c>
      <c r="B499" s="116">
        <v>95.42</v>
      </c>
      <c r="C499" s="116">
        <v>93.22</v>
      </c>
      <c r="D499" s="116">
        <v>92.75</v>
      </c>
      <c r="E499" s="116">
        <v>94.1</v>
      </c>
      <c r="F499" s="116">
        <v>93.22</v>
      </c>
      <c r="G499">
        <v>11237</v>
      </c>
      <c r="H499" s="116"/>
      <c r="I499" s="116"/>
      <c r="L499" s="170">
        <v>45818</v>
      </c>
      <c r="M499" s="116">
        <v>93.36</v>
      </c>
      <c r="N499" s="116">
        <v>95.36</v>
      </c>
      <c r="O499" s="116">
        <v>92.5</v>
      </c>
      <c r="P499" s="116">
        <v>93.65</v>
      </c>
      <c r="Q499" s="116">
        <v>93.36</v>
      </c>
      <c r="R499">
        <v>138199</v>
      </c>
    </row>
    <row r="500" spans="1:18" x14ac:dyDescent="0.25">
      <c r="A500" s="170">
        <v>45819</v>
      </c>
      <c r="B500" s="116">
        <v>98.7</v>
      </c>
      <c r="C500" s="116">
        <v>95.76</v>
      </c>
      <c r="D500" s="116">
        <v>93.73</v>
      </c>
      <c r="E500" s="116">
        <v>94.03</v>
      </c>
      <c r="F500" s="116">
        <v>95.76</v>
      </c>
      <c r="G500">
        <v>37015</v>
      </c>
      <c r="H500" s="116"/>
      <c r="I500" s="116"/>
      <c r="L500" s="170">
        <v>45819</v>
      </c>
      <c r="M500" s="116">
        <v>95.88</v>
      </c>
      <c r="N500" s="116">
        <v>98.66</v>
      </c>
      <c r="O500" s="116">
        <v>93.3</v>
      </c>
      <c r="P500" s="116">
        <v>94.3</v>
      </c>
      <c r="Q500" s="116">
        <v>95.88</v>
      </c>
      <c r="R500">
        <v>590466</v>
      </c>
    </row>
    <row r="501" spans="1:18" x14ac:dyDescent="0.25">
      <c r="A501" s="170">
        <v>45820</v>
      </c>
      <c r="B501" s="116">
        <v>97.4</v>
      </c>
      <c r="C501" s="116">
        <v>94.6</v>
      </c>
      <c r="D501" s="116">
        <v>93.47</v>
      </c>
      <c r="E501" s="116">
        <v>95.25</v>
      </c>
      <c r="F501" s="116">
        <v>94.6</v>
      </c>
      <c r="G501">
        <v>6579</v>
      </c>
      <c r="H501" s="116"/>
      <c r="I501" s="116"/>
      <c r="L501" s="170">
        <v>45820</v>
      </c>
      <c r="M501" s="116">
        <v>94.51</v>
      </c>
      <c r="N501" s="116">
        <v>99</v>
      </c>
      <c r="O501" s="116">
        <v>93.51</v>
      </c>
      <c r="P501" s="116">
        <v>96.6</v>
      </c>
      <c r="Q501" s="116">
        <v>94.51</v>
      </c>
      <c r="R501">
        <v>193953</v>
      </c>
    </row>
    <row r="502" spans="1:18" x14ac:dyDescent="0.25">
      <c r="A502" s="170">
        <v>45821</v>
      </c>
      <c r="B502" s="116">
        <v>93.54</v>
      </c>
      <c r="C502" s="116">
        <v>92.96</v>
      </c>
      <c r="D502" s="116">
        <v>91.62</v>
      </c>
      <c r="E502" s="116">
        <v>92.11</v>
      </c>
      <c r="F502" s="116">
        <v>92.96</v>
      </c>
      <c r="G502">
        <v>13795</v>
      </c>
      <c r="H502" s="116"/>
      <c r="I502" s="116"/>
      <c r="L502" s="170">
        <v>45821</v>
      </c>
      <c r="M502" s="116">
        <v>93.21</v>
      </c>
      <c r="N502" s="116">
        <v>93.55</v>
      </c>
      <c r="O502" s="116">
        <v>90.9</v>
      </c>
      <c r="P502" s="116">
        <v>92.9</v>
      </c>
      <c r="Q502" s="116">
        <v>93.21</v>
      </c>
      <c r="R502">
        <v>118168</v>
      </c>
    </row>
    <row r="503" spans="1:18" x14ac:dyDescent="0.25">
      <c r="A503" s="170">
        <v>45824</v>
      </c>
      <c r="B503" s="116">
        <v>93.36</v>
      </c>
      <c r="C503" s="116">
        <v>92.58</v>
      </c>
      <c r="D503" s="116">
        <v>89.75</v>
      </c>
      <c r="E503" s="116">
        <v>92.99</v>
      </c>
      <c r="F503" s="116">
        <v>92.58</v>
      </c>
      <c r="G503">
        <v>6846</v>
      </c>
      <c r="H503" s="116"/>
      <c r="I503" s="116"/>
      <c r="L503" s="170">
        <v>45824</v>
      </c>
      <c r="M503" s="116">
        <v>92.61</v>
      </c>
      <c r="N503" s="116">
        <v>94.19</v>
      </c>
      <c r="O503" s="116">
        <v>89.13</v>
      </c>
      <c r="P503" s="116">
        <v>93.5</v>
      </c>
      <c r="Q503" s="116">
        <v>92.61</v>
      </c>
      <c r="R503">
        <v>135709</v>
      </c>
    </row>
    <row r="504" spans="1:18" x14ac:dyDescent="0.25">
      <c r="A504" s="170">
        <v>45825</v>
      </c>
      <c r="B504" s="116">
        <v>93.1</v>
      </c>
      <c r="C504" s="116">
        <v>91.05</v>
      </c>
      <c r="D504" s="116">
        <v>90.66</v>
      </c>
      <c r="E504" s="116">
        <v>92.31</v>
      </c>
      <c r="F504" s="116">
        <v>91.05</v>
      </c>
      <c r="G504">
        <v>4397</v>
      </c>
      <c r="H504" s="116"/>
      <c r="I504" s="116"/>
      <c r="L504" s="170">
        <v>45825</v>
      </c>
      <c r="M504" s="116">
        <v>90.9</v>
      </c>
      <c r="N504" s="116">
        <v>94</v>
      </c>
      <c r="O504" s="116">
        <v>90.51</v>
      </c>
      <c r="P504" s="116">
        <v>93.2</v>
      </c>
      <c r="Q504" s="116">
        <v>90.9</v>
      </c>
      <c r="R504">
        <v>80581</v>
      </c>
    </row>
    <row r="505" spans="1:18" x14ac:dyDescent="0.25">
      <c r="A505" s="170">
        <v>45826</v>
      </c>
      <c r="B505" s="116">
        <v>91.99</v>
      </c>
      <c r="C505" s="116">
        <v>90.59</v>
      </c>
      <c r="D505" s="116">
        <v>89.95</v>
      </c>
      <c r="E505" s="116">
        <v>91.05</v>
      </c>
      <c r="F505" s="116">
        <v>90.59</v>
      </c>
      <c r="G505">
        <v>21942</v>
      </c>
      <c r="H505" s="116"/>
      <c r="I505" s="116"/>
      <c r="L505" s="170">
        <v>45826</v>
      </c>
      <c r="M505" s="116">
        <v>90.56</v>
      </c>
      <c r="N505" s="116">
        <v>91.98</v>
      </c>
      <c r="O505" s="116">
        <v>89.74</v>
      </c>
      <c r="P505" s="116">
        <v>90.9</v>
      </c>
      <c r="Q505" s="116">
        <v>90.56</v>
      </c>
      <c r="R505">
        <v>56626</v>
      </c>
    </row>
    <row r="506" spans="1:18" x14ac:dyDescent="0.25">
      <c r="A506" s="170">
        <v>45827</v>
      </c>
      <c r="B506" s="116">
        <v>91.13</v>
      </c>
      <c r="C506" s="116">
        <v>89.56</v>
      </c>
      <c r="D506" s="116">
        <v>88.8</v>
      </c>
      <c r="E506" s="116">
        <v>90.6</v>
      </c>
      <c r="F506" s="116">
        <v>89.56</v>
      </c>
      <c r="G506">
        <v>12789</v>
      </c>
      <c r="H506" s="116"/>
      <c r="I506" s="116"/>
      <c r="L506" s="170">
        <v>45827</v>
      </c>
      <c r="M506" s="116">
        <v>89.69</v>
      </c>
      <c r="N506" s="116">
        <v>91.25</v>
      </c>
      <c r="O506" s="116">
        <v>89.01</v>
      </c>
      <c r="P506" s="116">
        <v>91</v>
      </c>
      <c r="Q506" s="116">
        <v>89.69</v>
      </c>
      <c r="R506">
        <v>86057</v>
      </c>
    </row>
    <row r="507" spans="1:18" x14ac:dyDescent="0.25">
      <c r="A507" s="170">
        <v>45828</v>
      </c>
      <c r="B507" s="116">
        <v>91.53</v>
      </c>
      <c r="C507" s="116">
        <v>90.78</v>
      </c>
      <c r="D507" s="116">
        <v>89.11</v>
      </c>
      <c r="E507" s="116">
        <v>89.68</v>
      </c>
      <c r="F507" s="116">
        <v>90.78</v>
      </c>
      <c r="G507">
        <v>9997</v>
      </c>
      <c r="H507" s="116"/>
      <c r="I507" s="116"/>
      <c r="L507" s="170">
        <v>45828</v>
      </c>
      <c r="M507" s="116">
        <v>90.61</v>
      </c>
      <c r="N507" s="116">
        <v>91.88</v>
      </c>
      <c r="O507" s="116">
        <v>88.72</v>
      </c>
      <c r="P507" s="116">
        <v>89.58</v>
      </c>
      <c r="Q507" s="116">
        <v>90.61</v>
      </c>
      <c r="R507">
        <v>73630</v>
      </c>
    </row>
    <row r="508" spans="1:18" x14ac:dyDescent="0.25">
      <c r="A508" s="170">
        <v>45831</v>
      </c>
      <c r="B508" s="116">
        <v>90.66</v>
      </c>
      <c r="C508" s="116">
        <v>90.15</v>
      </c>
      <c r="D508" s="116">
        <v>88.81</v>
      </c>
      <c r="E508" s="116">
        <v>90.66</v>
      </c>
      <c r="F508" s="116">
        <v>90.15</v>
      </c>
      <c r="G508">
        <v>7208</v>
      </c>
      <c r="H508" s="116"/>
      <c r="I508" s="116"/>
      <c r="L508" s="170">
        <v>45831</v>
      </c>
      <c r="M508" s="116">
        <v>90.2</v>
      </c>
      <c r="N508" s="116">
        <v>91.66</v>
      </c>
      <c r="O508" s="116">
        <v>89.25</v>
      </c>
      <c r="P508" s="116">
        <v>91.66</v>
      </c>
      <c r="Q508" s="116">
        <v>90.2</v>
      </c>
      <c r="R508">
        <v>51281</v>
      </c>
    </row>
    <row r="509" spans="1:18" x14ac:dyDescent="0.25">
      <c r="A509" s="170">
        <v>45832</v>
      </c>
      <c r="B509" s="116">
        <v>92.11</v>
      </c>
      <c r="C509" s="116">
        <v>91.46</v>
      </c>
      <c r="D509" s="116">
        <v>90.9</v>
      </c>
      <c r="E509" s="116">
        <v>90.9</v>
      </c>
      <c r="F509" s="116">
        <v>91.46</v>
      </c>
      <c r="G509">
        <v>8365</v>
      </c>
      <c r="H509" s="116"/>
      <c r="I509" s="116"/>
      <c r="L509" s="170">
        <v>45832</v>
      </c>
      <c r="M509" s="116">
        <v>91.43</v>
      </c>
      <c r="N509" s="116">
        <v>92.14</v>
      </c>
      <c r="O509" s="116">
        <v>90.89</v>
      </c>
      <c r="P509" s="116">
        <v>91</v>
      </c>
      <c r="Q509" s="116">
        <v>91.43</v>
      </c>
      <c r="R509">
        <v>66803</v>
      </c>
    </row>
    <row r="510" spans="1:18" x14ac:dyDescent="0.25">
      <c r="A510" s="170">
        <v>45833</v>
      </c>
      <c r="B510" s="116">
        <v>94.29</v>
      </c>
      <c r="C510" s="116">
        <v>93.79</v>
      </c>
      <c r="D510" s="116">
        <v>91.62</v>
      </c>
      <c r="E510" s="116">
        <v>92.35</v>
      </c>
      <c r="F510" s="116">
        <v>93.79</v>
      </c>
      <c r="G510">
        <v>32945</v>
      </c>
      <c r="H510" s="116"/>
      <c r="I510" s="116"/>
      <c r="L510" s="170">
        <v>45833</v>
      </c>
      <c r="M510" s="116">
        <v>93.66</v>
      </c>
      <c r="N510" s="116">
        <v>94.1</v>
      </c>
      <c r="O510" s="116">
        <v>91.7</v>
      </c>
      <c r="P510" s="116">
        <v>92</v>
      </c>
      <c r="Q510" s="116">
        <v>93.66</v>
      </c>
      <c r="R510">
        <v>89847</v>
      </c>
    </row>
    <row r="511" spans="1:18" x14ac:dyDescent="0.25">
      <c r="A511" s="170">
        <v>45834</v>
      </c>
      <c r="B511" s="116">
        <v>94.45</v>
      </c>
      <c r="C511" s="116">
        <v>92.89</v>
      </c>
      <c r="D511" s="116">
        <v>92.22</v>
      </c>
      <c r="E511" s="116">
        <v>94.45</v>
      </c>
      <c r="F511" s="116">
        <v>92.89</v>
      </c>
      <c r="G511">
        <v>22375</v>
      </c>
      <c r="H511" s="116"/>
      <c r="I511" s="116"/>
      <c r="L511" s="170">
        <v>45834</v>
      </c>
      <c r="M511" s="116">
        <v>92.98</v>
      </c>
      <c r="N511" s="116">
        <v>94.8</v>
      </c>
      <c r="O511" s="116">
        <v>92.2</v>
      </c>
      <c r="P511" s="116">
        <v>94.8</v>
      </c>
      <c r="Q511" s="116">
        <v>92.98</v>
      </c>
      <c r="R511">
        <v>75588</v>
      </c>
    </row>
    <row r="512" spans="1:18" x14ac:dyDescent="0.25">
      <c r="A512" s="170">
        <v>45835</v>
      </c>
      <c r="B512" s="116">
        <v>97.53</v>
      </c>
      <c r="C512" s="116">
        <v>96.25</v>
      </c>
      <c r="D512" s="116">
        <v>92.89</v>
      </c>
      <c r="E512" s="116">
        <v>93.19</v>
      </c>
      <c r="F512" s="116">
        <v>96.25</v>
      </c>
      <c r="G512">
        <v>13805</v>
      </c>
      <c r="H512" s="116"/>
      <c r="I512" s="116"/>
      <c r="L512" s="170">
        <v>45835</v>
      </c>
      <c r="M512" s="116">
        <v>96.4</v>
      </c>
      <c r="N512" s="116">
        <v>97.75</v>
      </c>
      <c r="O512" s="116">
        <v>92.94</v>
      </c>
      <c r="P512" s="116">
        <v>93</v>
      </c>
      <c r="Q512" s="116">
        <v>96.4</v>
      </c>
      <c r="R512">
        <v>279318</v>
      </c>
    </row>
    <row r="513" spans="1:18" x14ac:dyDescent="0.25">
      <c r="A513" s="170">
        <v>45838</v>
      </c>
      <c r="B513" s="116">
        <v>97.72</v>
      </c>
      <c r="C513" s="116">
        <v>96.07</v>
      </c>
      <c r="D513" s="116">
        <v>95.25</v>
      </c>
      <c r="E513" s="116">
        <v>95.25</v>
      </c>
      <c r="F513" s="116">
        <v>96.07</v>
      </c>
      <c r="G513">
        <v>4278</v>
      </c>
      <c r="H513" s="116"/>
      <c r="I513" s="116"/>
      <c r="L513" s="170">
        <v>45838</v>
      </c>
      <c r="M513" s="116">
        <v>95.93</v>
      </c>
      <c r="N513" s="116">
        <v>97.99</v>
      </c>
      <c r="O513" s="116">
        <v>95.3</v>
      </c>
      <c r="P513" s="116">
        <v>96.95</v>
      </c>
      <c r="Q513" s="116">
        <v>95.93</v>
      </c>
      <c r="R513">
        <v>137908</v>
      </c>
    </row>
    <row r="514" spans="1:18" x14ac:dyDescent="0.25">
      <c r="A514" s="170">
        <v>45839</v>
      </c>
      <c r="B514" s="116">
        <v>96.86</v>
      </c>
      <c r="C514" s="116">
        <v>95.9</v>
      </c>
      <c r="D514" s="116">
        <v>95.3</v>
      </c>
      <c r="E514" s="116">
        <v>96.4</v>
      </c>
      <c r="F514" s="116">
        <v>95.9</v>
      </c>
      <c r="G514">
        <v>6681</v>
      </c>
      <c r="H514" s="116"/>
      <c r="I514" s="116"/>
      <c r="L514" s="170">
        <v>45839</v>
      </c>
      <c r="M514" s="116">
        <v>95.62</v>
      </c>
      <c r="N514" s="116">
        <v>96.75</v>
      </c>
      <c r="O514" s="116">
        <v>95.21</v>
      </c>
      <c r="P514" s="116">
        <v>96.07</v>
      </c>
      <c r="Q514" s="116">
        <v>95.62</v>
      </c>
      <c r="R514">
        <v>82145</v>
      </c>
    </row>
    <row r="515" spans="1:18" x14ac:dyDescent="0.25">
      <c r="A515" s="170">
        <v>45840</v>
      </c>
      <c r="B515" s="116">
        <v>96.15</v>
      </c>
      <c r="C515" s="116">
        <v>95.04</v>
      </c>
      <c r="D515" s="116">
        <v>94.13</v>
      </c>
      <c r="E515" s="116">
        <v>96.02</v>
      </c>
      <c r="F515" s="116">
        <v>95.04</v>
      </c>
      <c r="G515">
        <v>15300</v>
      </c>
      <c r="H515" s="116"/>
      <c r="I515" s="116"/>
      <c r="L515" s="170">
        <v>45840</v>
      </c>
      <c r="M515" s="116">
        <v>95.24</v>
      </c>
      <c r="N515" s="116">
        <v>96.49</v>
      </c>
      <c r="O515" s="116">
        <v>94.15</v>
      </c>
      <c r="P515" s="116">
        <v>96.49</v>
      </c>
      <c r="Q515" s="116">
        <v>95.24</v>
      </c>
      <c r="R515">
        <v>131998</v>
      </c>
    </row>
    <row r="516" spans="1:18" x14ac:dyDescent="0.25">
      <c r="A516" s="170">
        <v>45841</v>
      </c>
      <c r="B516" s="116">
        <v>97.9</v>
      </c>
      <c r="C516" s="116">
        <v>93.99</v>
      </c>
      <c r="D516" s="116">
        <v>93.58</v>
      </c>
      <c r="E516" s="116">
        <v>97.9</v>
      </c>
      <c r="F516" s="116">
        <v>93.99</v>
      </c>
      <c r="G516">
        <v>8890</v>
      </c>
      <c r="H516" s="116"/>
      <c r="I516" s="116"/>
      <c r="L516" s="170">
        <v>45841</v>
      </c>
      <c r="M516" s="116">
        <v>93.87</v>
      </c>
      <c r="N516" s="116">
        <v>95.52</v>
      </c>
      <c r="O516" s="116">
        <v>93.5</v>
      </c>
      <c r="P516" s="116">
        <v>95.24</v>
      </c>
      <c r="Q516" s="116">
        <v>93.87</v>
      </c>
      <c r="R516">
        <v>117892</v>
      </c>
    </row>
    <row r="517" spans="1:18" x14ac:dyDescent="0.25">
      <c r="A517" s="170">
        <v>45842</v>
      </c>
      <c r="B517" s="116">
        <v>95.12</v>
      </c>
      <c r="C517" s="116">
        <v>93.39</v>
      </c>
      <c r="D517" s="116">
        <v>93.23</v>
      </c>
      <c r="E517" s="116">
        <v>94.4</v>
      </c>
      <c r="F517" s="116">
        <v>93.39</v>
      </c>
      <c r="G517">
        <v>9441</v>
      </c>
      <c r="H517" s="116"/>
      <c r="I517" s="116"/>
      <c r="L517" s="170">
        <v>45842</v>
      </c>
      <c r="M517" s="116">
        <v>93.4</v>
      </c>
      <c r="N517" s="116">
        <v>95.39</v>
      </c>
      <c r="O517" s="116">
        <v>92.51</v>
      </c>
      <c r="P517" s="116">
        <v>94.75</v>
      </c>
      <c r="Q517" s="116">
        <v>93.4</v>
      </c>
      <c r="R517">
        <v>86853</v>
      </c>
    </row>
    <row r="518" spans="1:18" x14ac:dyDescent="0.25">
      <c r="A518" s="170">
        <v>45845</v>
      </c>
      <c r="B518" s="116">
        <v>94.8</v>
      </c>
      <c r="C518" s="116">
        <v>92.6</v>
      </c>
      <c r="D518" s="116">
        <v>92.1</v>
      </c>
      <c r="E518" s="116">
        <v>93.2</v>
      </c>
      <c r="F518" s="116">
        <v>92.6</v>
      </c>
      <c r="G518">
        <v>7196</v>
      </c>
      <c r="H518" s="116"/>
      <c r="I518" s="116"/>
      <c r="L518" s="170">
        <v>45845</v>
      </c>
      <c r="M518" s="116">
        <v>92.67</v>
      </c>
      <c r="N518" s="116">
        <v>94.99</v>
      </c>
      <c r="O518" s="116">
        <v>91.72</v>
      </c>
      <c r="P518" s="116">
        <v>94.35</v>
      </c>
      <c r="Q518" s="116">
        <v>92.67</v>
      </c>
      <c r="R518">
        <v>65724</v>
      </c>
    </row>
    <row r="519" spans="1:18" x14ac:dyDescent="0.25">
      <c r="A519" s="170">
        <v>45846</v>
      </c>
      <c r="B519" s="116">
        <v>97.6</v>
      </c>
      <c r="C519" s="116">
        <v>94.06</v>
      </c>
      <c r="D519" s="116">
        <v>92.1</v>
      </c>
      <c r="E519" s="116">
        <v>92.1</v>
      </c>
      <c r="F519" s="116">
        <v>94.06</v>
      </c>
      <c r="G519">
        <v>23928</v>
      </c>
      <c r="H519" s="116"/>
      <c r="I519" s="116"/>
      <c r="L519" s="170">
        <v>45846</v>
      </c>
      <c r="M519" s="116">
        <v>94.19</v>
      </c>
      <c r="N519" s="116">
        <v>97.7</v>
      </c>
      <c r="O519" s="116">
        <v>93.4</v>
      </c>
      <c r="P519" s="116">
        <v>93.45</v>
      </c>
      <c r="Q519" s="116">
        <v>94.19</v>
      </c>
      <c r="R519">
        <v>314315</v>
      </c>
    </row>
    <row r="520" spans="1:18" x14ac:dyDescent="0.25">
      <c r="A520" s="170">
        <v>45847</v>
      </c>
      <c r="B520" s="116">
        <v>95.32</v>
      </c>
      <c r="C520" s="116">
        <v>94.31</v>
      </c>
      <c r="D520" s="116">
        <v>93.43</v>
      </c>
      <c r="E520" s="116">
        <v>94.85</v>
      </c>
      <c r="F520" s="116">
        <v>94.31</v>
      </c>
      <c r="G520">
        <v>4280</v>
      </c>
      <c r="H520" s="116"/>
      <c r="I520" s="116"/>
      <c r="L520" s="170">
        <v>45847</v>
      </c>
      <c r="M520" s="116">
        <v>94.46</v>
      </c>
      <c r="N520" s="116">
        <v>95.41</v>
      </c>
      <c r="O520" s="116">
        <v>93.5</v>
      </c>
      <c r="P520" s="116">
        <v>95</v>
      </c>
      <c r="Q520" s="116">
        <v>94.46</v>
      </c>
      <c r="R520">
        <v>74149</v>
      </c>
    </row>
    <row r="521" spans="1:18" x14ac:dyDescent="0.25">
      <c r="A521" s="170">
        <v>45848</v>
      </c>
      <c r="B521" s="116">
        <v>97.5</v>
      </c>
      <c r="C521" s="116">
        <v>92.85</v>
      </c>
      <c r="D521" s="116">
        <v>92.5</v>
      </c>
      <c r="E521" s="116">
        <v>97.5</v>
      </c>
      <c r="F521" s="116">
        <v>92.85</v>
      </c>
      <c r="G521">
        <v>1816</v>
      </c>
      <c r="H521" s="116"/>
      <c r="I521" s="116"/>
      <c r="L521" s="170">
        <v>45848</v>
      </c>
      <c r="M521" s="116">
        <v>92.96</v>
      </c>
      <c r="N521" s="116">
        <v>95.9</v>
      </c>
      <c r="O521" s="116">
        <v>92.4</v>
      </c>
      <c r="P521" s="116">
        <v>95.9</v>
      </c>
      <c r="Q521" s="116">
        <v>92.96</v>
      </c>
      <c r="R521">
        <v>82699</v>
      </c>
    </row>
    <row r="522" spans="1:18" x14ac:dyDescent="0.25">
      <c r="A522" s="170">
        <v>45849</v>
      </c>
      <c r="B522" s="116">
        <v>93.5</v>
      </c>
      <c r="C522" s="116">
        <v>90.5</v>
      </c>
      <c r="D522" s="116">
        <v>90.45</v>
      </c>
      <c r="E522" s="116">
        <v>93.22</v>
      </c>
      <c r="F522" s="116">
        <v>90.5</v>
      </c>
      <c r="G522">
        <v>3066</v>
      </c>
      <c r="H522" s="116"/>
      <c r="I522" s="116"/>
      <c r="L522" s="170">
        <v>45849</v>
      </c>
      <c r="M522" s="116">
        <v>90.87</v>
      </c>
      <c r="N522" s="116">
        <v>93.99</v>
      </c>
      <c r="O522" s="116">
        <v>90.5</v>
      </c>
      <c r="P522" s="116">
        <v>93.98</v>
      </c>
      <c r="Q522" s="116">
        <v>90.87</v>
      </c>
      <c r="R522">
        <v>178831</v>
      </c>
    </row>
    <row r="523" spans="1:18" x14ac:dyDescent="0.25">
      <c r="A523" s="170">
        <v>45852</v>
      </c>
      <c r="B523" s="116">
        <v>91.99</v>
      </c>
      <c r="C523" s="116">
        <v>89.66</v>
      </c>
      <c r="D523" s="116">
        <v>89.19</v>
      </c>
      <c r="E523" s="116">
        <v>91.99</v>
      </c>
      <c r="F523" s="116">
        <v>89.66</v>
      </c>
      <c r="G523">
        <v>4627</v>
      </c>
      <c r="H523" s="116"/>
      <c r="I523" s="116"/>
      <c r="L523" s="170">
        <v>45852</v>
      </c>
      <c r="M523" s="116">
        <v>89.72</v>
      </c>
      <c r="N523" s="116">
        <v>91.75</v>
      </c>
      <c r="O523" s="116">
        <v>89.01</v>
      </c>
      <c r="P523" s="116">
        <v>90.16</v>
      </c>
      <c r="Q523" s="116">
        <v>89.72</v>
      </c>
      <c r="R523">
        <v>133384</v>
      </c>
    </row>
    <row r="524" spans="1:18" x14ac:dyDescent="0.25">
      <c r="A524" s="170">
        <v>45853</v>
      </c>
      <c r="B524" s="116">
        <v>93.12</v>
      </c>
      <c r="C524" s="116">
        <v>92.24</v>
      </c>
      <c r="D524" s="116">
        <v>90.85</v>
      </c>
      <c r="E524" s="116">
        <v>90.9</v>
      </c>
      <c r="F524" s="116">
        <v>92.24</v>
      </c>
      <c r="G524">
        <v>7605</v>
      </c>
      <c r="H524" s="116"/>
      <c r="I524" s="116"/>
      <c r="L524" s="170">
        <v>45853</v>
      </c>
      <c r="M524" s="116">
        <v>92.55</v>
      </c>
      <c r="N524" s="116">
        <v>93.39</v>
      </c>
      <c r="O524" s="116">
        <v>90.5</v>
      </c>
      <c r="P524" s="116">
        <v>90.5</v>
      </c>
      <c r="Q524" s="116">
        <v>92.55</v>
      </c>
      <c r="R524">
        <v>117664</v>
      </c>
    </row>
    <row r="525" spans="1:18" x14ac:dyDescent="0.25">
      <c r="A525" s="170">
        <v>45854</v>
      </c>
      <c r="B525" s="116">
        <v>94.29</v>
      </c>
      <c r="C525" s="116">
        <v>93.58</v>
      </c>
      <c r="D525" s="116">
        <v>92.25</v>
      </c>
      <c r="E525" s="116">
        <v>93.19</v>
      </c>
      <c r="F525" s="116">
        <v>93.58</v>
      </c>
      <c r="G525">
        <v>6767</v>
      </c>
      <c r="H525" s="116"/>
      <c r="I525" s="116"/>
      <c r="L525" s="170">
        <v>45854</v>
      </c>
      <c r="M525" s="116">
        <v>93.5</v>
      </c>
      <c r="N525" s="116">
        <v>94.34</v>
      </c>
      <c r="O525" s="116">
        <v>92.11</v>
      </c>
      <c r="P525" s="116">
        <v>93.35</v>
      </c>
      <c r="Q525" s="116">
        <v>93.5</v>
      </c>
      <c r="R525">
        <v>103108</v>
      </c>
    </row>
    <row r="526" spans="1:18" x14ac:dyDescent="0.25">
      <c r="A526" s="170">
        <v>45855</v>
      </c>
      <c r="B526" s="116">
        <v>95.35</v>
      </c>
      <c r="C526" s="116">
        <v>92.99</v>
      </c>
      <c r="D526" s="116">
        <v>92</v>
      </c>
      <c r="E526" s="116">
        <v>92</v>
      </c>
      <c r="F526" s="116">
        <v>92.99</v>
      </c>
      <c r="G526">
        <v>34615</v>
      </c>
      <c r="H526" s="116"/>
      <c r="I526" s="116"/>
      <c r="L526" s="170">
        <v>45855</v>
      </c>
      <c r="M526" s="116">
        <v>92.86</v>
      </c>
      <c r="N526" s="116">
        <v>95.4</v>
      </c>
      <c r="O526" s="116">
        <v>92</v>
      </c>
      <c r="P526" s="116">
        <v>93.5</v>
      </c>
      <c r="Q526" s="116">
        <v>92.86</v>
      </c>
      <c r="R526">
        <v>139895</v>
      </c>
    </row>
    <row r="527" spans="1:18" x14ac:dyDescent="0.25">
      <c r="A527" s="170">
        <v>45856</v>
      </c>
      <c r="B527" s="116">
        <v>94.43</v>
      </c>
      <c r="C527" s="116">
        <v>93.52</v>
      </c>
      <c r="D527" s="116">
        <v>91.5</v>
      </c>
      <c r="E527" s="116">
        <v>92.99</v>
      </c>
      <c r="F527" s="116">
        <v>93.52</v>
      </c>
      <c r="G527">
        <v>14310</v>
      </c>
      <c r="H527" s="116"/>
      <c r="I527" s="116"/>
      <c r="L527" s="170">
        <v>45856</v>
      </c>
      <c r="M527" s="116">
        <v>93.4</v>
      </c>
      <c r="N527" s="116">
        <v>94.47</v>
      </c>
      <c r="O527" s="116">
        <v>91.32</v>
      </c>
      <c r="P527" s="116">
        <v>92.86</v>
      </c>
      <c r="Q527" s="116">
        <v>93.4</v>
      </c>
      <c r="R527">
        <v>92681</v>
      </c>
    </row>
    <row r="528" spans="1:18" x14ac:dyDescent="0.25">
      <c r="A528" s="170">
        <v>45859</v>
      </c>
      <c r="B528" s="116">
        <v>93.86</v>
      </c>
      <c r="C528" s="116">
        <v>92.77</v>
      </c>
      <c r="D528" s="116">
        <v>92</v>
      </c>
      <c r="E528" s="116">
        <v>92</v>
      </c>
      <c r="F528" s="116">
        <v>92.77</v>
      </c>
      <c r="G528">
        <v>8486</v>
      </c>
      <c r="H528" s="116"/>
      <c r="I528" s="116"/>
      <c r="L528" s="170">
        <v>45859</v>
      </c>
      <c r="M528" s="116">
        <v>92.83</v>
      </c>
      <c r="N528" s="116">
        <v>94.34</v>
      </c>
      <c r="O528" s="116">
        <v>92.16</v>
      </c>
      <c r="P528" s="116">
        <v>93.85</v>
      </c>
      <c r="Q528" s="116">
        <v>92.83</v>
      </c>
      <c r="R528">
        <v>75476</v>
      </c>
    </row>
    <row r="529" spans="1:18" x14ac:dyDescent="0.25">
      <c r="A529" s="170">
        <v>45860</v>
      </c>
      <c r="B529" s="116">
        <v>93.75</v>
      </c>
      <c r="C529" s="116">
        <v>92.5</v>
      </c>
      <c r="D529" s="116">
        <v>92</v>
      </c>
      <c r="E529" s="116">
        <v>92</v>
      </c>
      <c r="F529" s="116">
        <v>92.5</v>
      </c>
      <c r="G529">
        <v>1896</v>
      </c>
      <c r="H529" s="116"/>
      <c r="I529" s="116"/>
      <c r="L529" s="170">
        <v>45860</v>
      </c>
      <c r="M529" s="116">
        <v>92.23</v>
      </c>
      <c r="N529" s="116">
        <v>93.98</v>
      </c>
      <c r="O529" s="116">
        <v>91.99</v>
      </c>
      <c r="P529" s="116">
        <v>93.4</v>
      </c>
      <c r="Q529" s="116">
        <v>92.23</v>
      </c>
      <c r="R529">
        <v>63504</v>
      </c>
    </row>
    <row r="530" spans="1:18" x14ac:dyDescent="0.25">
      <c r="A530" s="170">
        <v>45861</v>
      </c>
      <c r="B530" s="116">
        <v>93</v>
      </c>
      <c r="C530" s="116">
        <v>92.75</v>
      </c>
      <c r="D530" s="116">
        <v>91.26</v>
      </c>
      <c r="E530" s="116">
        <v>92.47</v>
      </c>
      <c r="F530" s="116">
        <v>92.75</v>
      </c>
      <c r="G530">
        <v>6403</v>
      </c>
      <c r="H530" s="116"/>
      <c r="I530" s="116"/>
      <c r="L530" s="170">
        <v>45861</v>
      </c>
      <c r="M530" s="116">
        <v>92.71</v>
      </c>
      <c r="N530" s="116">
        <v>93.28</v>
      </c>
      <c r="O530" s="116">
        <v>91.25</v>
      </c>
      <c r="P530" s="116">
        <v>92.57</v>
      </c>
      <c r="Q530" s="116">
        <v>92.71</v>
      </c>
      <c r="R530">
        <v>84483</v>
      </c>
    </row>
    <row r="531" spans="1:18" x14ac:dyDescent="0.25">
      <c r="A531" s="170">
        <v>45862</v>
      </c>
      <c r="B531" s="116">
        <v>94.34</v>
      </c>
      <c r="C531" s="116">
        <v>93.08</v>
      </c>
      <c r="D531" s="116">
        <v>92</v>
      </c>
      <c r="E531" s="116">
        <v>92</v>
      </c>
      <c r="F531" s="116">
        <v>93.08</v>
      </c>
      <c r="G531">
        <v>18440</v>
      </c>
      <c r="H531" s="116"/>
      <c r="I531" s="116"/>
      <c r="L531" s="170">
        <v>45862</v>
      </c>
      <c r="M531" s="116">
        <v>93.28</v>
      </c>
      <c r="N531" s="116">
        <v>94.33</v>
      </c>
      <c r="O531" s="116">
        <v>92.01</v>
      </c>
      <c r="P531" s="116">
        <v>93.49</v>
      </c>
      <c r="Q531" s="116">
        <v>93.28</v>
      </c>
      <c r="R531">
        <v>88448</v>
      </c>
    </row>
    <row r="532" spans="1:18" x14ac:dyDescent="0.25">
      <c r="A532" s="170">
        <v>45863</v>
      </c>
      <c r="B532" s="116">
        <v>93.3</v>
      </c>
      <c r="C532" s="116">
        <v>91.74</v>
      </c>
      <c r="D532" s="116">
        <v>91.2</v>
      </c>
      <c r="E532" s="116">
        <v>93.12</v>
      </c>
      <c r="F532" s="116">
        <v>91.74</v>
      </c>
      <c r="G532">
        <v>4093</v>
      </c>
      <c r="H532" s="116"/>
      <c r="I532" s="116"/>
      <c r="L532" s="170">
        <v>45863</v>
      </c>
      <c r="M532" s="116">
        <v>91.73</v>
      </c>
      <c r="N532" s="116">
        <v>94.19</v>
      </c>
      <c r="O532" s="116">
        <v>91.4</v>
      </c>
      <c r="P532" s="116">
        <v>93.99</v>
      </c>
      <c r="Q532" s="116">
        <v>91.73</v>
      </c>
      <c r="R532">
        <v>73294</v>
      </c>
    </row>
    <row r="533" spans="1:18" x14ac:dyDescent="0.25">
      <c r="A533" s="170">
        <v>45866</v>
      </c>
      <c r="B533" s="116">
        <v>92.27</v>
      </c>
      <c r="C533" s="116">
        <v>89.96</v>
      </c>
      <c r="D533" s="116">
        <v>89.5</v>
      </c>
      <c r="E533" s="116">
        <v>91.95</v>
      </c>
      <c r="F533" s="116">
        <v>89.96</v>
      </c>
      <c r="G533">
        <v>21967</v>
      </c>
      <c r="H533" s="116"/>
      <c r="I533" s="116"/>
      <c r="L533" s="170">
        <v>45866</v>
      </c>
      <c r="M533" s="116">
        <v>89.6</v>
      </c>
      <c r="N533" s="116">
        <v>92.99</v>
      </c>
      <c r="O533" s="116">
        <v>88.2</v>
      </c>
      <c r="P533" s="116">
        <v>92.99</v>
      </c>
      <c r="Q533" s="116">
        <v>89.6</v>
      </c>
      <c r="R533">
        <v>131255</v>
      </c>
    </row>
    <row r="534" spans="1:18" x14ac:dyDescent="0.25">
      <c r="A534" s="170">
        <v>45867</v>
      </c>
      <c r="B534" s="116">
        <v>93</v>
      </c>
      <c r="C534" s="116">
        <v>91.63</v>
      </c>
      <c r="D534" s="116">
        <v>89.02</v>
      </c>
      <c r="E534" s="116">
        <v>90</v>
      </c>
      <c r="F534" s="116">
        <v>91.63</v>
      </c>
      <c r="G534">
        <v>20910</v>
      </c>
      <c r="H534" s="116"/>
      <c r="I534" s="116"/>
      <c r="L534" s="170">
        <v>45867</v>
      </c>
      <c r="M534" s="116">
        <v>91.61</v>
      </c>
      <c r="N534" s="116">
        <v>93.65</v>
      </c>
      <c r="O534" s="116">
        <v>89.1</v>
      </c>
      <c r="P534" s="116">
        <v>90.5</v>
      </c>
      <c r="Q534" s="116">
        <v>91.61</v>
      </c>
      <c r="R534">
        <v>140189</v>
      </c>
    </row>
    <row r="535" spans="1:18" x14ac:dyDescent="0.25">
      <c r="A535" s="170">
        <v>45868</v>
      </c>
      <c r="B535" s="116">
        <v>91</v>
      </c>
      <c r="C535" s="116">
        <v>89.55</v>
      </c>
      <c r="D535" s="116">
        <v>88.16</v>
      </c>
      <c r="E535" s="116">
        <v>90</v>
      </c>
      <c r="F535" s="116">
        <v>89.55</v>
      </c>
      <c r="G535">
        <v>41743</v>
      </c>
      <c r="H535" s="116"/>
      <c r="I535" s="116"/>
      <c r="L535" s="170">
        <v>45868</v>
      </c>
      <c r="M535" s="116">
        <v>89.9</v>
      </c>
      <c r="N535" s="116">
        <v>91</v>
      </c>
      <c r="O535" s="116">
        <v>88.31</v>
      </c>
      <c r="P535" s="116">
        <v>91</v>
      </c>
      <c r="Q535" s="116">
        <v>89.9</v>
      </c>
      <c r="R535">
        <v>207230</v>
      </c>
    </row>
    <row r="536" spans="1:18" x14ac:dyDescent="0.25">
      <c r="A536" s="170">
        <v>45869</v>
      </c>
      <c r="B536" s="116">
        <v>89.55</v>
      </c>
      <c r="C536" s="116">
        <v>88.15</v>
      </c>
      <c r="D536" s="116">
        <v>87.1</v>
      </c>
      <c r="E536" s="116">
        <v>89.55</v>
      </c>
      <c r="F536" s="116">
        <v>88.15</v>
      </c>
      <c r="G536">
        <v>8795</v>
      </c>
      <c r="H536" s="116"/>
      <c r="I536" s="116"/>
      <c r="L536" s="170">
        <v>45869</v>
      </c>
      <c r="M536" s="116">
        <v>87.98</v>
      </c>
      <c r="N536" s="116">
        <v>89.46</v>
      </c>
      <c r="O536" s="116">
        <v>87</v>
      </c>
      <c r="P536" s="116">
        <v>88.1</v>
      </c>
      <c r="Q536" s="116">
        <v>87.98</v>
      </c>
      <c r="R536">
        <v>115747</v>
      </c>
    </row>
    <row r="537" spans="1:18" x14ac:dyDescent="0.25">
      <c r="A537" s="170">
        <v>45870</v>
      </c>
      <c r="B537" s="116">
        <v>88.6</v>
      </c>
      <c r="C537" s="116">
        <v>86.87</v>
      </c>
      <c r="D537" s="116">
        <v>86.33</v>
      </c>
      <c r="E537" s="116">
        <v>88.24</v>
      </c>
      <c r="F537" s="116">
        <v>86.87</v>
      </c>
      <c r="G537">
        <v>15441</v>
      </c>
      <c r="H537" s="116"/>
      <c r="I537" s="116"/>
      <c r="L537" s="170">
        <v>45870</v>
      </c>
      <c r="M537" s="116">
        <v>86.88</v>
      </c>
      <c r="N537" s="116">
        <v>88.55</v>
      </c>
      <c r="O537" s="116">
        <v>86.8</v>
      </c>
      <c r="P537" s="116">
        <v>87.9</v>
      </c>
      <c r="Q537" s="116">
        <v>86.88</v>
      </c>
      <c r="R537">
        <v>76005</v>
      </c>
    </row>
    <row r="538" spans="1:18" x14ac:dyDescent="0.25">
      <c r="A538" s="170">
        <v>45873</v>
      </c>
      <c r="B538" s="116">
        <v>87.16</v>
      </c>
      <c r="C538" s="116">
        <v>86.48</v>
      </c>
      <c r="D538" s="116">
        <v>86.33</v>
      </c>
      <c r="E538" s="116">
        <v>86.33</v>
      </c>
      <c r="F538" s="116">
        <v>86.48</v>
      </c>
      <c r="G538">
        <v>4128</v>
      </c>
      <c r="H538" s="116"/>
      <c r="I538" s="116"/>
      <c r="L538" s="170">
        <v>45873</v>
      </c>
      <c r="M538" s="116">
        <v>86.55</v>
      </c>
      <c r="N538" s="116">
        <v>87.39</v>
      </c>
      <c r="O538" s="116">
        <v>86.4</v>
      </c>
      <c r="P538" s="116">
        <v>87.1</v>
      </c>
      <c r="Q538" s="116">
        <v>86.55</v>
      </c>
      <c r="R538">
        <v>46454</v>
      </c>
    </row>
    <row r="539" spans="1:18" x14ac:dyDescent="0.25">
      <c r="A539" s="170">
        <v>45874</v>
      </c>
      <c r="B539" s="116">
        <v>90.9</v>
      </c>
      <c r="C539" s="116">
        <v>86.3</v>
      </c>
      <c r="D539" s="116">
        <v>85.93</v>
      </c>
      <c r="E539" s="116">
        <v>90.9</v>
      </c>
      <c r="F539" s="116">
        <v>86.3</v>
      </c>
      <c r="G539">
        <v>3662</v>
      </c>
      <c r="H539" s="116"/>
      <c r="I539" s="116"/>
      <c r="L539" s="170">
        <v>45874</v>
      </c>
      <c r="M539" s="116">
        <v>86.15</v>
      </c>
      <c r="N539" s="116">
        <v>87.5</v>
      </c>
      <c r="O539" s="116">
        <v>86</v>
      </c>
      <c r="P539" s="116">
        <v>86.6</v>
      </c>
      <c r="Q539" s="116">
        <v>86.15</v>
      </c>
      <c r="R539">
        <v>61285</v>
      </c>
    </row>
    <row r="540" spans="1:18" x14ac:dyDescent="0.25">
      <c r="A540" s="170">
        <v>45875</v>
      </c>
      <c r="B540" s="116">
        <v>87.07</v>
      </c>
      <c r="C540" s="116">
        <v>82.7</v>
      </c>
      <c r="D540" s="116">
        <v>82</v>
      </c>
      <c r="E540" s="116">
        <v>85</v>
      </c>
      <c r="F540" s="116">
        <v>82.7</v>
      </c>
      <c r="G540">
        <v>40574</v>
      </c>
      <c r="H540" s="116"/>
      <c r="I540" s="116"/>
      <c r="L540" s="170">
        <v>45875</v>
      </c>
      <c r="M540" s="116">
        <v>82.5</v>
      </c>
      <c r="N540" s="116">
        <v>87.99</v>
      </c>
      <c r="O540" s="116">
        <v>81.63</v>
      </c>
      <c r="P540" s="116">
        <v>86.4</v>
      </c>
      <c r="Q540" s="116">
        <v>82.5</v>
      </c>
      <c r="R540">
        <v>146340</v>
      </c>
    </row>
    <row r="541" spans="1:18" x14ac:dyDescent="0.25">
      <c r="A541" s="170">
        <v>45876</v>
      </c>
      <c r="B541" s="116">
        <v>81.900000000000006</v>
      </c>
      <c r="C541" s="116">
        <v>80.89</v>
      </c>
      <c r="D541" s="116">
        <v>79.150000000000006</v>
      </c>
      <c r="E541" s="116">
        <v>81.22</v>
      </c>
      <c r="F541" s="116">
        <v>80.89</v>
      </c>
      <c r="G541">
        <v>21270</v>
      </c>
      <c r="H541" s="116"/>
      <c r="I541" s="116"/>
      <c r="L541" s="170">
        <v>45876</v>
      </c>
      <c r="M541" s="116">
        <v>80.67</v>
      </c>
      <c r="N541" s="116">
        <v>82.01</v>
      </c>
      <c r="O541" s="116">
        <v>79.319999999999993</v>
      </c>
      <c r="P541" s="116">
        <v>81.599999999999994</v>
      </c>
      <c r="Q541" s="116">
        <v>80.67</v>
      </c>
      <c r="R541">
        <v>167721</v>
      </c>
    </row>
    <row r="542" spans="1:18" x14ac:dyDescent="0.25">
      <c r="A542" s="170">
        <v>45877</v>
      </c>
      <c r="B542" s="116">
        <v>81.22</v>
      </c>
      <c r="C542" s="116">
        <v>79.86</v>
      </c>
      <c r="D542" s="116">
        <v>79</v>
      </c>
      <c r="E542" s="116">
        <v>80.5</v>
      </c>
      <c r="F542" s="116">
        <v>79.86</v>
      </c>
      <c r="G542">
        <v>11526</v>
      </c>
      <c r="H542" s="116"/>
      <c r="I542" s="116"/>
      <c r="L542" s="170">
        <v>45877</v>
      </c>
      <c r="M542" s="116">
        <v>79.69</v>
      </c>
      <c r="N542" s="116">
        <v>81.41</v>
      </c>
      <c r="O542" s="116">
        <v>79</v>
      </c>
      <c r="P542" s="116">
        <v>80.84</v>
      </c>
      <c r="Q542" s="116">
        <v>79.69</v>
      </c>
      <c r="R542">
        <v>84096</v>
      </c>
    </row>
    <row r="543" spans="1:18" x14ac:dyDescent="0.25">
      <c r="A543" s="170">
        <v>45880</v>
      </c>
      <c r="B543" s="116">
        <v>80.61</v>
      </c>
      <c r="C543" s="116">
        <v>78.900000000000006</v>
      </c>
      <c r="D543" s="116">
        <v>78.45</v>
      </c>
      <c r="E543" s="116">
        <v>80.599999999999994</v>
      </c>
      <c r="F543" s="116">
        <v>78.900000000000006</v>
      </c>
      <c r="G543">
        <v>8988</v>
      </c>
      <c r="H543" s="116"/>
      <c r="I543" s="116"/>
      <c r="L543" s="170">
        <v>45880</v>
      </c>
      <c r="M543" s="116">
        <v>79.05</v>
      </c>
      <c r="N543" s="116">
        <v>80.58</v>
      </c>
      <c r="O543" s="116">
        <v>78.540000000000006</v>
      </c>
      <c r="P543" s="116">
        <v>78.900000000000006</v>
      </c>
      <c r="Q543" s="116">
        <v>79.05</v>
      </c>
      <c r="R543">
        <v>66658</v>
      </c>
    </row>
    <row r="544" spans="1:18" x14ac:dyDescent="0.25">
      <c r="A544" s="170">
        <v>45881</v>
      </c>
      <c r="B544" s="116">
        <v>80</v>
      </c>
      <c r="C544" s="116">
        <v>78.5</v>
      </c>
      <c r="D544" s="116">
        <v>78.45</v>
      </c>
      <c r="E544" s="116">
        <v>79</v>
      </c>
      <c r="F544" s="116">
        <v>78.5</v>
      </c>
      <c r="G544">
        <v>1599</v>
      </c>
      <c r="H544" s="116"/>
      <c r="I544" s="116"/>
      <c r="L544" s="170">
        <v>45881</v>
      </c>
      <c r="M544" s="116">
        <v>78.510000000000005</v>
      </c>
      <c r="N544" s="116">
        <v>80.28</v>
      </c>
      <c r="O544" s="116">
        <v>78.25</v>
      </c>
      <c r="P544" s="116">
        <v>79.989999999999995</v>
      </c>
      <c r="Q544" s="116">
        <v>78.510000000000005</v>
      </c>
      <c r="R544">
        <v>65410</v>
      </c>
    </row>
    <row r="545" spans="1:18" x14ac:dyDescent="0.25">
      <c r="A545" s="170">
        <v>45882</v>
      </c>
      <c r="B545" s="116">
        <v>78.97</v>
      </c>
      <c r="C545" s="116">
        <v>77.989999999999995</v>
      </c>
      <c r="D545" s="116">
        <v>77.59</v>
      </c>
      <c r="E545" s="116">
        <v>78.3</v>
      </c>
      <c r="F545" s="116">
        <v>77.989999999999995</v>
      </c>
      <c r="G545">
        <v>4967</v>
      </c>
      <c r="H545" s="116"/>
      <c r="I545" s="116"/>
      <c r="L545" s="170">
        <v>45882</v>
      </c>
      <c r="M545" s="116">
        <v>77.97</v>
      </c>
      <c r="N545" s="116">
        <v>79.099999999999994</v>
      </c>
      <c r="O545" s="116">
        <v>77.58</v>
      </c>
      <c r="P545" s="116">
        <v>78.66</v>
      </c>
      <c r="Q545" s="116">
        <v>77.97</v>
      </c>
      <c r="R545">
        <v>101996</v>
      </c>
    </row>
    <row r="546" spans="1:18" x14ac:dyDescent="0.25">
      <c r="A546" s="170">
        <v>45883</v>
      </c>
      <c r="B546" s="116">
        <v>78</v>
      </c>
      <c r="C546" s="116">
        <v>77.239999999999995</v>
      </c>
      <c r="D546" s="116">
        <v>76.599999999999994</v>
      </c>
      <c r="E546" s="116">
        <v>78</v>
      </c>
      <c r="F546" s="116">
        <v>77.239999999999995</v>
      </c>
      <c r="G546">
        <v>8393</v>
      </c>
      <c r="H546" s="116"/>
      <c r="I546" s="116"/>
      <c r="L546" s="170">
        <v>45883</v>
      </c>
      <c r="M546" s="116">
        <v>77.260000000000005</v>
      </c>
      <c r="N546" s="116">
        <v>78.45</v>
      </c>
      <c r="O546" s="116">
        <v>76.16</v>
      </c>
      <c r="P546" s="116">
        <v>78.45</v>
      </c>
      <c r="Q546" s="116">
        <v>77.260000000000005</v>
      </c>
      <c r="R546">
        <v>93936</v>
      </c>
    </row>
    <row r="547" spans="1:18" x14ac:dyDescent="0.25">
      <c r="A547" s="170">
        <v>45887</v>
      </c>
      <c r="B547" s="116">
        <v>81.489999999999995</v>
      </c>
      <c r="C547" s="116">
        <v>80.03</v>
      </c>
      <c r="D547" s="116">
        <v>77.81</v>
      </c>
      <c r="E547" s="116">
        <v>77.81</v>
      </c>
      <c r="F547" s="116">
        <v>80.03</v>
      </c>
      <c r="G547">
        <v>11878</v>
      </c>
      <c r="H547" s="116"/>
      <c r="I547" s="116"/>
      <c r="L547" s="170">
        <v>45887</v>
      </c>
      <c r="M547" s="116">
        <v>79.78</v>
      </c>
      <c r="N547" s="116">
        <v>82</v>
      </c>
      <c r="O547" s="116">
        <v>78</v>
      </c>
      <c r="P547" s="116">
        <v>78.89</v>
      </c>
      <c r="Q547" s="116">
        <v>79.78</v>
      </c>
      <c r="R547">
        <v>160143</v>
      </c>
    </row>
    <row r="548" spans="1:18" x14ac:dyDescent="0.25">
      <c r="A548" s="170">
        <v>45888</v>
      </c>
      <c r="B548" s="116">
        <v>83.45</v>
      </c>
      <c r="C548" s="116">
        <v>82.68</v>
      </c>
      <c r="D548" s="116">
        <v>80.819999999999993</v>
      </c>
      <c r="E548" s="116">
        <v>81.89</v>
      </c>
      <c r="F548" s="116">
        <v>82.68</v>
      </c>
      <c r="G548">
        <v>20930</v>
      </c>
      <c r="H548" s="116"/>
      <c r="I548" s="116"/>
      <c r="L548" s="170">
        <v>45888</v>
      </c>
      <c r="M548" s="116">
        <v>82.94</v>
      </c>
      <c r="N548" s="116">
        <v>83.78</v>
      </c>
      <c r="O548" s="116">
        <v>80.709999999999994</v>
      </c>
      <c r="P548" s="116">
        <v>81</v>
      </c>
      <c r="Q548" s="116">
        <v>82.94</v>
      </c>
      <c r="R548">
        <v>201607</v>
      </c>
    </row>
    <row r="549" spans="1:18" x14ac:dyDescent="0.25">
      <c r="A549" s="170">
        <v>45889</v>
      </c>
      <c r="B549" s="116">
        <v>83.11</v>
      </c>
      <c r="C549" s="116">
        <v>82.56</v>
      </c>
      <c r="D549" s="116">
        <v>81</v>
      </c>
      <c r="E549" s="116">
        <v>83.1</v>
      </c>
      <c r="F549" s="116">
        <v>82.56</v>
      </c>
      <c r="G549">
        <v>3148</v>
      </c>
      <c r="H549" s="116"/>
      <c r="I549" s="116"/>
      <c r="L549" s="170">
        <v>45889</v>
      </c>
      <c r="M549" s="116">
        <v>82.01</v>
      </c>
      <c r="N549" s="116">
        <v>83.9</v>
      </c>
      <c r="O549" s="116">
        <v>80.95</v>
      </c>
      <c r="P549" s="116">
        <v>83.9</v>
      </c>
      <c r="Q549" s="116">
        <v>82.01</v>
      </c>
      <c r="R549">
        <v>127846</v>
      </c>
    </row>
    <row r="550" spans="1:18" x14ac:dyDescent="0.25">
      <c r="A550" s="170">
        <v>45890</v>
      </c>
      <c r="B550" s="116">
        <v>82.76</v>
      </c>
      <c r="C550" s="116">
        <v>81.08</v>
      </c>
      <c r="D550" s="116">
        <v>79</v>
      </c>
      <c r="E550" s="116">
        <v>79</v>
      </c>
      <c r="F550" s="116">
        <v>81.08</v>
      </c>
      <c r="G550">
        <v>9212</v>
      </c>
      <c r="H550" s="116"/>
      <c r="I550" s="116"/>
      <c r="L550" s="170">
        <v>45890</v>
      </c>
      <c r="M550" s="116">
        <v>81.150000000000006</v>
      </c>
      <c r="N550" s="116">
        <v>82.8</v>
      </c>
      <c r="O550" s="116">
        <v>80.91</v>
      </c>
      <c r="P550" s="116">
        <v>81.150000000000006</v>
      </c>
      <c r="Q550" s="116">
        <v>81.150000000000006</v>
      </c>
      <c r="R550">
        <v>46155</v>
      </c>
    </row>
    <row r="551" spans="1:18" x14ac:dyDescent="0.25">
      <c r="A551" s="170">
        <v>45891</v>
      </c>
      <c r="B551" s="116">
        <v>81.64</v>
      </c>
      <c r="C551" s="116">
        <v>80.16</v>
      </c>
      <c r="D551" s="116">
        <v>79.760000000000005</v>
      </c>
      <c r="E551" s="116">
        <v>81.58</v>
      </c>
      <c r="F551" s="116">
        <v>80.16</v>
      </c>
      <c r="G551">
        <v>3218</v>
      </c>
      <c r="H551" s="116"/>
      <c r="I551" s="116"/>
      <c r="L551" s="170">
        <v>45891</v>
      </c>
      <c r="M551" s="116">
        <v>80.05</v>
      </c>
      <c r="N551" s="116">
        <v>81.99</v>
      </c>
      <c r="O551" s="116">
        <v>79.709999999999994</v>
      </c>
      <c r="P551" s="116">
        <v>80.3</v>
      </c>
      <c r="Q551" s="116">
        <v>80.05</v>
      </c>
      <c r="R551">
        <v>70721</v>
      </c>
    </row>
    <row r="552" spans="1:18" x14ac:dyDescent="0.25">
      <c r="A552" s="170">
        <v>45894</v>
      </c>
      <c r="B552" s="116">
        <v>80.930000000000007</v>
      </c>
      <c r="C552" s="116">
        <v>79.989999999999995</v>
      </c>
      <c r="D552" s="116">
        <v>79.52</v>
      </c>
      <c r="E552" s="116">
        <v>80.010000000000005</v>
      </c>
      <c r="F552" s="116">
        <v>79.989999999999995</v>
      </c>
      <c r="G552">
        <v>3502</v>
      </c>
      <c r="H552" s="116"/>
      <c r="I552" s="116"/>
      <c r="L552" s="170">
        <v>45894</v>
      </c>
      <c r="M552" s="116">
        <v>79.790000000000006</v>
      </c>
      <c r="N552" s="116">
        <v>80.98</v>
      </c>
      <c r="O552" s="116">
        <v>79.400000000000006</v>
      </c>
      <c r="P552" s="116">
        <v>80.66</v>
      </c>
      <c r="Q552" s="116">
        <v>79.790000000000006</v>
      </c>
      <c r="R552">
        <v>45135</v>
      </c>
    </row>
    <row r="553" spans="1:18" x14ac:dyDescent="0.25">
      <c r="A553" s="170">
        <v>45895</v>
      </c>
      <c r="B553" s="116">
        <v>79.58</v>
      </c>
      <c r="C553" s="116">
        <v>77.16</v>
      </c>
      <c r="D553" s="116">
        <v>76.5</v>
      </c>
      <c r="E553" s="116">
        <v>79.099999999999994</v>
      </c>
      <c r="F553" s="116">
        <v>77.16</v>
      </c>
      <c r="G553">
        <v>13203</v>
      </c>
      <c r="H553" s="116"/>
      <c r="I553" s="116"/>
      <c r="L553" s="170">
        <v>45895</v>
      </c>
      <c r="M553" s="116">
        <v>77.099999999999994</v>
      </c>
      <c r="N553" s="116">
        <v>79.489999999999995</v>
      </c>
      <c r="O553" s="116">
        <v>76.25</v>
      </c>
      <c r="P553" s="116">
        <v>79.23</v>
      </c>
      <c r="Q553" s="116">
        <v>77.099999999999994</v>
      </c>
      <c r="R553">
        <v>52761</v>
      </c>
    </row>
    <row r="554" spans="1:18" x14ac:dyDescent="0.25">
      <c r="A554" s="170">
        <v>45897</v>
      </c>
      <c r="B554" s="116">
        <v>80.31</v>
      </c>
      <c r="C554" s="116">
        <v>79.06</v>
      </c>
      <c r="D554" s="116">
        <v>76.099999999999994</v>
      </c>
      <c r="E554" s="116">
        <v>76.900000000000006</v>
      </c>
      <c r="F554" s="116">
        <v>79.06</v>
      </c>
      <c r="G554">
        <v>14600</v>
      </c>
      <c r="H554" s="116"/>
      <c r="I554" s="116"/>
      <c r="L554" s="170">
        <v>45897</v>
      </c>
      <c r="M554" s="116">
        <v>79.11</v>
      </c>
      <c r="N554" s="116">
        <v>80.489999999999995</v>
      </c>
      <c r="O554" s="116">
        <v>76.209999999999994</v>
      </c>
      <c r="P554" s="116">
        <v>76.900000000000006</v>
      </c>
      <c r="Q554" s="116">
        <v>79.11</v>
      </c>
      <c r="R554">
        <v>200175</v>
      </c>
    </row>
    <row r="555" spans="1:18" x14ac:dyDescent="0.25">
      <c r="A555" s="170">
        <v>45898</v>
      </c>
      <c r="B555" s="116">
        <v>81.84</v>
      </c>
      <c r="C555" s="116">
        <v>79.25</v>
      </c>
      <c r="D555" s="116">
        <v>78.83</v>
      </c>
      <c r="E555" s="116">
        <v>80</v>
      </c>
      <c r="F555" s="116">
        <v>79.25</v>
      </c>
      <c r="G555">
        <v>8126</v>
      </c>
      <c r="H555" s="116"/>
      <c r="I555" s="116"/>
      <c r="L555" s="170">
        <v>45898</v>
      </c>
      <c r="M555" s="116">
        <v>79.56</v>
      </c>
      <c r="N555" s="116">
        <v>81.87</v>
      </c>
      <c r="O555" s="116">
        <v>78.48</v>
      </c>
      <c r="P555" s="116">
        <v>79.11</v>
      </c>
      <c r="Q555" s="116">
        <v>79.56</v>
      </c>
      <c r="R555">
        <v>95631</v>
      </c>
    </row>
    <row r="556" spans="1:18" x14ac:dyDescent="0.25">
      <c r="A556" s="170">
        <v>45901</v>
      </c>
      <c r="B556" s="116">
        <v>78.95</v>
      </c>
      <c r="C556" s="116">
        <v>77.760000000000005</v>
      </c>
      <c r="D556" s="116">
        <v>77.459999999999994</v>
      </c>
      <c r="E556" s="116">
        <v>78.489999999999995</v>
      </c>
      <c r="F556" s="116">
        <v>77.760000000000005</v>
      </c>
      <c r="G556">
        <v>13583</v>
      </c>
      <c r="H556" s="116"/>
      <c r="I556" s="116"/>
      <c r="L556" s="170">
        <v>45901</v>
      </c>
      <c r="M556" s="116">
        <v>77.77</v>
      </c>
      <c r="N556" s="116">
        <v>79.239999999999995</v>
      </c>
      <c r="O556" s="116">
        <v>77.42</v>
      </c>
      <c r="P556" s="116">
        <v>78.75</v>
      </c>
      <c r="Q556" s="116">
        <v>77.77</v>
      </c>
      <c r="R556">
        <v>73854</v>
      </c>
    </row>
    <row r="557" spans="1:18" x14ac:dyDescent="0.25">
      <c r="A557" s="170">
        <v>45902</v>
      </c>
      <c r="B557" s="116">
        <v>80.349999999999994</v>
      </c>
      <c r="C557" s="116">
        <v>79.64</v>
      </c>
      <c r="D557" s="116">
        <v>78.8</v>
      </c>
      <c r="E557" s="116">
        <v>78.8</v>
      </c>
      <c r="F557" s="116">
        <v>79.64</v>
      </c>
      <c r="G557">
        <v>2639</v>
      </c>
      <c r="H557" s="116"/>
      <c r="I557" s="116"/>
      <c r="L557" s="170">
        <v>45902</v>
      </c>
      <c r="M557" s="116">
        <v>79.58</v>
      </c>
      <c r="N557" s="116">
        <v>80.290000000000006</v>
      </c>
      <c r="O557" s="116">
        <v>78.739999999999995</v>
      </c>
      <c r="P557" s="116">
        <v>79</v>
      </c>
      <c r="Q557" s="116">
        <v>79.58</v>
      </c>
      <c r="R557">
        <v>74815</v>
      </c>
    </row>
    <row r="558" spans="1:18" x14ac:dyDescent="0.25">
      <c r="A558" s="170">
        <v>45903</v>
      </c>
      <c r="B558" s="116">
        <v>80.569999999999993</v>
      </c>
      <c r="C558" s="116">
        <v>79.209999999999994</v>
      </c>
      <c r="D558" s="116">
        <v>77.56</v>
      </c>
      <c r="E558" s="116">
        <v>77.56</v>
      </c>
      <c r="F558" s="116">
        <v>79.209999999999994</v>
      </c>
      <c r="G558">
        <v>5941</v>
      </c>
      <c r="H558" s="116"/>
      <c r="I558" s="116"/>
      <c r="L558" s="170">
        <v>45903</v>
      </c>
      <c r="M558" s="116">
        <v>79.14</v>
      </c>
      <c r="N558" s="116">
        <v>80.989999999999995</v>
      </c>
      <c r="O558" s="116">
        <v>78.150000000000006</v>
      </c>
      <c r="P558" s="116">
        <v>80.989999999999995</v>
      </c>
      <c r="Q558" s="116">
        <v>79.14</v>
      </c>
      <c r="R558">
        <v>36913</v>
      </c>
    </row>
    <row r="559" spans="1:18" x14ac:dyDescent="0.25">
      <c r="A559" s="170">
        <v>45904</v>
      </c>
      <c r="B559" s="116">
        <v>83.88</v>
      </c>
      <c r="C559" s="116">
        <v>77.44</v>
      </c>
      <c r="D559" s="116">
        <v>77.06</v>
      </c>
      <c r="E559" s="116">
        <v>83.88</v>
      </c>
      <c r="F559" s="116">
        <v>77.44</v>
      </c>
      <c r="G559">
        <v>8103</v>
      </c>
      <c r="H559" s="116"/>
      <c r="I559" s="116"/>
      <c r="L559" s="170">
        <v>45904</v>
      </c>
      <c r="M559" s="116">
        <v>77.209999999999994</v>
      </c>
      <c r="N559" s="116">
        <v>80.489999999999995</v>
      </c>
      <c r="O559" s="116">
        <v>77</v>
      </c>
      <c r="P559" s="116">
        <v>80.48</v>
      </c>
      <c r="Q559" s="116">
        <v>77.209999999999994</v>
      </c>
      <c r="R559">
        <v>78501</v>
      </c>
    </row>
    <row r="560" spans="1:18" x14ac:dyDescent="0.25">
      <c r="A560" s="170">
        <v>45905</v>
      </c>
      <c r="B560" s="116">
        <v>78.03</v>
      </c>
      <c r="C560" s="116">
        <v>76.489999999999995</v>
      </c>
      <c r="D560" s="116">
        <v>75.91</v>
      </c>
      <c r="E560" s="116">
        <v>77.930000000000007</v>
      </c>
      <c r="F560" s="116">
        <v>76.489999999999995</v>
      </c>
      <c r="G560">
        <v>14088</v>
      </c>
      <c r="H560" s="116"/>
      <c r="I560" s="116"/>
      <c r="L560" s="170">
        <v>45905</v>
      </c>
      <c r="M560" s="116">
        <v>76.56</v>
      </c>
      <c r="N560" s="116">
        <v>78.2</v>
      </c>
      <c r="O560" s="116">
        <v>76.19</v>
      </c>
      <c r="P560" s="116">
        <v>77.8</v>
      </c>
      <c r="Q560" s="116">
        <v>76.56</v>
      </c>
      <c r="R560">
        <v>62992</v>
      </c>
    </row>
    <row r="561" spans="1:18" x14ac:dyDescent="0.25">
      <c r="A561" s="170">
        <v>45908</v>
      </c>
      <c r="B561" s="116">
        <v>78.540000000000006</v>
      </c>
      <c r="C561" s="116">
        <v>77.08</v>
      </c>
      <c r="D561" s="116">
        <v>76.510000000000005</v>
      </c>
      <c r="E561" s="116">
        <v>78.540000000000006</v>
      </c>
      <c r="F561" s="116">
        <v>77.08</v>
      </c>
      <c r="G561">
        <v>1658</v>
      </c>
      <c r="H561" s="116"/>
      <c r="I561" s="116"/>
      <c r="L561" s="170">
        <v>45908</v>
      </c>
      <c r="M561" s="116">
        <v>76.98</v>
      </c>
      <c r="N561" s="116">
        <v>78.66</v>
      </c>
      <c r="O561" s="116">
        <v>76.22</v>
      </c>
      <c r="P561" s="116">
        <v>78</v>
      </c>
      <c r="Q561" s="116">
        <v>76.98</v>
      </c>
      <c r="R561">
        <v>66487</v>
      </c>
    </row>
    <row r="562" spans="1:18" x14ac:dyDescent="0.25">
      <c r="A562" s="170">
        <v>45909</v>
      </c>
      <c r="B562" s="116">
        <v>78.62</v>
      </c>
      <c r="C562" s="116">
        <v>77.09</v>
      </c>
      <c r="D562" s="116">
        <v>76.400000000000006</v>
      </c>
      <c r="E562" s="116">
        <v>77.44</v>
      </c>
      <c r="F562" s="116">
        <v>77.09</v>
      </c>
      <c r="G562">
        <v>6702</v>
      </c>
      <c r="H562" s="116"/>
      <c r="I562" s="116"/>
      <c r="L562" s="170">
        <v>45909</v>
      </c>
      <c r="M562" s="116">
        <v>76.790000000000006</v>
      </c>
      <c r="N562" s="116">
        <v>78.48</v>
      </c>
      <c r="O562" s="116">
        <v>76.510000000000005</v>
      </c>
      <c r="P562" s="116">
        <v>77.7</v>
      </c>
      <c r="Q562" s="116">
        <v>76.790000000000006</v>
      </c>
      <c r="R562">
        <v>43842</v>
      </c>
    </row>
    <row r="563" spans="1:18" x14ac:dyDescent="0.25">
      <c r="A563" s="170">
        <v>45910</v>
      </c>
      <c r="B563" s="116">
        <v>84.76</v>
      </c>
      <c r="C563" s="116">
        <v>84.15</v>
      </c>
      <c r="D563" s="116">
        <v>77.7</v>
      </c>
      <c r="E563" s="116">
        <v>77.7</v>
      </c>
      <c r="F563" s="116">
        <v>84.15</v>
      </c>
      <c r="G563">
        <v>40222</v>
      </c>
      <c r="H563" s="116"/>
      <c r="I563" s="116"/>
      <c r="L563" s="170">
        <v>45910</v>
      </c>
      <c r="M563" s="116">
        <v>84.15</v>
      </c>
      <c r="N563" s="116">
        <v>84.99</v>
      </c>
      <c r="O563" s="116">
        <v>76.989999999999995</v>
      </c>
      <c r="P563" s="116">
        <v>76.989999999999995</v>
      </c>
      <c r="Q563" s="116">
        <v>84.15</v>
      </c>
      <c r="R563">
        <v>309585</v>
      </c>
    </row>
    <row r="564" spans="1:18" x14ac:dyDescent="0.25">
      <c r="A564" s="170">
        <v>45911</v>
      </c>
      <c r="B564" s="116">
        <v>85.73</v>
      </c>
      <c r="C564" s="116">
        <v>82.64</v>
      </c>
      <c r="D564" s="116">
        <v>82.17</v>
      </c>
      <c r="E564" s="116">
        <v>83.69</v>
      </c>
      <c r="F564" s="116">
        <v>82.64</v>
      </c>
      <c r="G564">
        <v>15631</v>
      </c>
      <c r="H564" s="116"/>
      <c r="I564" s="116"/>
      <c r="L564" s="170">
        <v>45911</v>
      </c>
      <c r="M564" s="116">
        <v>82.96</v>
      </c>
      <c r="N564" s="116">
        <v>85.49</v>
      </c>
      <c r="O564" s="116">
        <v>82.15</v>
      </c>
      <c r="P564" s="116">
        <v>84.99</v>
      </c>
      <c r="Q564" s="116">
        <v>82.96</v>
      </c>
      <c r="R564">
        <v>104533</v>
      </c>
    </row>
    <row r="565" spans="1:18" x14ac:dyDescent="0.25">
      <c r="A565" s="170">
        <v>45912</v>
      </c>
      <c r="B565" s="116">
        <v>82.96</v>
      </c>
      <c r="C565" s="116">
        <v>81.09</v>
      </c>
      <c r="D565" s="116">
        <v>80.83</v>
      </c>
      <c r="E565" s="116">
        <v>82.64</v>
      </c>
      <c r="F565" s="116">
        <v>81.09</v>
      </c>
      <c r="G565">
        <v>2877</v>
      </c>
      <c r="H565" s="116"/>
      <c r="I565" s="116"/>
      <c r="L565" s="170">
        <v>45912</v>
      </c>
      <c r="M565" s="116">
        <v>81.09</v>
      </c>
      <c r="N565" s="116">
        <v>83</v>
      </c>
      <c r="O565" s="116">
        <v>80.5</v>
      </c>
      <c r="P565" s="116">
        <v>82.38</v>
      </c>
      <c r="Q565" s="116">
        <v>81.09</v>
      </c>
      <c r="R565">
        <v>46361</v>
      </c>
    </row>
    <row r="566" spans="1:18" x14ac:dyDescent="0.25">
      <c r="A566" s="170">
        <v>45915</v>
      </c>
      <c r="B566" s="116">
        <v>81.319999999999993</v>
      </c>
      <c r="C566" s="116">
        <v>79.290000000000006</v>
      </c>
      <c r="D566" s="116">
        <v>79.02</v>
      </c>
      <c r="E566" s="116">
        <v>80.099999999999994</v>
      </c>
      <c r="F566" s="116">
        <v>79.290000000000006</v>
      </c>
      <c r="G566">
        <v>8036</v>
      </c>
      <c r="H566" s="116"/>
      <c r="I566" s="116"/>
      <c r="L566" s="170">
        <v>45915</v>
      </c>
      <c r="M566" s="116">
        <v>79.37</v>
      </c>
      <c r="N566" s="116">
        <v>81.95</v>
      </c>
      <c r="O566" s="116">
        <v>79.010000000000005</v>
      </c>
      <c r="P566" s="116">
        <v>81.95</v>
      </c>
      <c r="Q566" s="116">
        <v>79.37</v>
      </c>
      <c r="R566">
        <v>65145</v>
      </c>
    </row>
    <row r="567" spans="1:18" x14ac:dyDescent="0.25">
      <c r="A567" s="170">
        <v>45916</v>
      </c>
      <c r="B567" s="116">
        <v>82.57</v>
      </c>
      <c r="C567" s="116">
        <v>81.17</v>
      </c>
      <c r="D567" s="116">
        <v>80</v>
      </c>
      <c r="E567" s="116">
        <v>80</v>
      </c>
      <c r="F567" s="116">
        <v>81.17</v>
      </c>
      <c r="G567">
        <v>8586</v>
      </c>
      <c r="H567" s="116"/>
      <c r="I567" s="116"/>
      <c r="L567" s="170">
        <v>45916</v>
      </c>
      <c r="M567" s="116">
        <v>81.27</v>
      </c>
      <c r="N567" s="116">
        <v>82.69</v>
      </c>
      <c r="O567" s="116">
        <v>79.650000000000006</v>
      </c>
      <c r="P567" s="116">
        <v>80.45</v>
      </c>
      <c r="Q567" s="116">
        <v>81.27</v>
      </c>
      <c r="R567">
        <v>112891</v>
      </c>
    </row>
    <row r="568" spans="1:18" x14ac:dyDescent="0.25">
      <c r="A568" s="170">
        <v>45917</v>
      </c>
      <c r="B568" s="116">
        <v>83.13</v>
      </c>
      <c r="C568" s="116">
        <v>81.680000000000007</v>
      </c>
      <c r="D568" s="116">
        <v>80.48</v>
      </c>
      <c r="E568" s="116">
        <v>83.13</v>
      </c>
      <c r="F568" s="116">
        <v>81.680000000000007</v>
      </c>
      <c r="G568">
        <v>9132</v>
      </c>
      <c r="H568" s="116"/>
      <c r="I568" s="116"/>
      <c r="L568" s="170">
        <v>45917</v>
      </c>
      <c r="M568" s="116">
        <v>81.8</v>
      </c>
      <c r="N568" s="116">
        <v>82.8</v>
      </c>
      <c r="O568" s="116">
        <v>81.34</v>
      </c>
      <c r="P568" s="116">
        <v>82.5</v>
      </c>
      <c r="Q568" s="116">
        <v>81.8</v>
      </c>
      <c r="R568">
        <v>64888</v>
      </c>
    </row>
    <row r="569" spans="1:18" x14ac:dyDescent="0.25">
      <c r="A569" s="170">
        <v>45918</v>
      </c>
      <c r="B569" s="116">
        <v>84.1</v>
      </c>
      <c r="C569" s="116">
        <v>81.400000000000006</v>
      </c>
      <c r="D569" s="116">
        <v>81.11</v>
      </c>
      <c r="E569" s="116">
        <v>84.1</v>
      </c>
      <c r="F569" s="116">
        <v>81.400000000000006</v>
      </c>
      <c r="G569">
        <v>2966</v>
      </c>
      <c r="H569" s="116"/>
      <c r="I569" s="116"/>
      <c r="L569" s="170">
        <v>45918</v>
      </c>
      <c r="M569" s="116">
        <v>81.319999999999993</v>
      </c>
      <c r="N569" s="116">
        <v>82.89</v>
      </c>
      <c r="O569" s="116">
        <v>81.099999999999994</v>
      </c>
      <c r="P569" s="116">
        <v>81.849999999999994</v>
      </c>
      <c r="Q569" s="116">
        <v>81.319999999999993</v>
      </c>
      <c r="R569">
        <v>34385</v>
      </c>
    </row>
    <row r="570" spans="1:18" x14ac:dyDescent="0.25">
      <c r="A570" s="170">
        <v>45919</v>
      </c>
      <c r="B570" s="116">
        <v>84.1</v>
      </c>
      <c r="C570" s="116">
        <v>81.5</v>
      </c>
      <c r="D570" s="116">
        <v>81.319999999999993</v>
      </c>
      <c r="E570" s="116">
        <v>82</v>
      </c>
      <c r="F570" s="116">
        <v>81.5</v>
      </c>
      <c r="G570">
        <v>14018</v>
      </c>
      <c r="H570" s="116"/>
      <c r="I570" s="116"/>
      <c r="L570" s="170">
        <v>45919</v>
      </c>
      <c r="M570" s="116">
        <v>81.61</v>
      </c>
      <c r="N570" s="116">
        <v>83.04</v>
      </c>
      <c r="O570" s="116">
        <v>81.5</v>
      </c>
      <c r="P570" s="116">
        <v>81.93</v>
      </c>
      <c r="Q570" s="116">
        <v>81.61</v>
      </c>
      <c r="R570">
        <v>63064</v>
      </c>
    </row>
    <row r="571" spans="1:18" x14ac:dyDescent="0.25">
      <c r="A571" s="170">
        <v>45922</v>
      </c>
      <c r="B571" s="116">
        <v>81.2</v>
      </c>
      <c r="C571" s="116">
        <v>79.760000000000005</v>
      </c>
      <c r="D571" s="116">
        <v>79.39</v>
      </c>
      <c r="E571" s="116">
        <v>81</v>
      </c>
      <c r="F571" s="116">
        <v>79.760000000000005</v>
      </c>
      <c r="G571">
        <v>1309</v>
      </c>
      <c r="H571" s="116"/>
      <c r="I571" s="116"/>
      <c r="L571" s="170">
        <v>45922</v>
      </c>
      <c r="M571" s="116">
        <v>79.88</v>
      </c>
      <c r="N571" s="116">
        <v>81.349999999999994</v>
      </c>
      <c r="O571" s="116">
        <v>79.209999999999994</v>
      </c>
      <c r="P571" s="116">
        <v>81.02</v>
      </c>
      <c r="Q571" s="116">
        <v>79.88</v>
      </c>
      <c r="R571">
        <v>37466</v>
      </c>
    </row>
    <row r="572" spans="1:18" x14ac:dyDescent="0.25">
      <c r="A572" s="170">
        <v>45923</v>
      </c>
      <c r="B572" s="116">
        <v>84.1</v>
      </c>
      <c r="C572" s="116">
        <v>79.989999999999995</v>
      </c>
      <c r="D572" s="116">
        <v>79.63</v>
      </c>
      <c r="E572" s="116">
        <v>84.1</v>
      </c>
      <c r="F572" s="116">
        <v>79.989999999999995</v>
      </c>
      <c r="G572">
        <v>5779</v>
      </c>
      <c r="H572" s="116"/>
      <c r="I572" s="116"/>
      <c r="L572" s="170">
        <v>45923</v>
      </c>
      <c r="M572" s="116">
        <v>79.8</v>
      </c>
      <c r="N572" s="116">
        <v>81.349999999999994</v>
      </c>
      <c r="O572" s="116">
        <v>79.33</v>
      </c>
      <c r="P572" s="116">
        <v>80.900000000000006</v>
      </c>
      <c r="Q572" s="116">
        <v>79.8</v>
      </c>
      <c r="R572">
        <v>67554</v>
      </c>
    </row>
    <row r="573" spans="1:18" x14ac:dyDescent="0.25">
      <c r="A573" s="170">
        <v>45924</v>
      </c>
      <c r="B573" s="116">
        <v>80.25</v>
      </c>
      <c r="C573" s="116">
        <v>78.31</v>
      </c>
      <c r="D573" s="116">
        <v>78</v>
      </c>
      <c r="E573" s="116">
        <v>80.25</v>
      </c>
      <c r="F573" s="116">
        <v>78.31</v>
      </c>
      <c r="G573">
        <v>7750</v>
      </c>
      <c r="H573" s="116"/>
      <c r="I573" s="116"/>
      <c r="L573" s="170">
        <v>45924</v>
      </c>
      <c r="M573" s="116">
        <v>78.06</v>
      </c>
      <c r="N573" s="116">
        <v>81.3</v>
      </c>
      <c r="O573" s="116">
        <v>78</v>
      </c>
      <c r="P573" s="116">
        <v>81.3</v>
      </c>
      <c r="Q573" s="116">
        <v>78.06</v>
      </c>
      <c r="R573">
        <v>69692</v>
      </c>
    </row>
    <row r="574" spans="1:18" x14ac:dyDescent="0.25">
      <c r="A574" s="170">
        <v>45925</v>
      </c>
      <c r="B574" s="116">
        <v>79.209999999999994</v>
      </c>
      <c r="C574" s="116">
        <v>78.03</v>
      </c>
      <c r="D574" s="116">
        <v>77.8</v>
      </c>
      <c r="E574" s="116">
        <v>78.31</v>
      </c>
      <c r="F574" s="116">
        <v>78.03</v>
      </c>
      <c r="G574">
        <v>6610</v>
      </c>
      <c r="H574" s="116"/>
      <c r="I574" s="116"/>
      <c r="L574" s="170">
        <v>45925</v>
      </c>
      <c r="M574" s="116">
        <v>78.14</v>
      </c>
      <c r="N574" s="116">
        <v>79.569999999999993</v>
      </c>
      <c r="O574" s="116">
        <v>77.709999999999994</v>
      </c>
      <c r="P574" s="116">
        <v>78.3</v>
      </c>
      <c r="Q574" s="116">
        <v>78.14</v>
      </c>
      <c r="R574">
        <v>29815</v>
      </c>
    </row>
    <row r="575" spans="1:18" x14ac:dyDescent="0.25">
      <c r="A575" s="170">
        <v>45926</v>
      </c>
      <c r="B575" s="116">
        <v>77.900000000000006</v>
      </c>
      <c r="C575" s="116">
        <v>77.06</v>
      </c>
      <c r="D575" s="116">
        <v>76.92</v>
      </c>
      <c r="E575" s="116">
        <v>77.540000000000006</v>
      </c>
      <c r="F575" s="116">
        <v>77.06</v>
      </c>
      <c r="G575">
        <v>1916</v>
      </c>
      <c r="H575" s="116"/>
      <c r="I575" s="116"/>
      <c r="L575" s="170">
        <v>45926</v>
      </c>
      <c r="M575" s="116">
        <v>77.36</v>
      </c>
      <c r="N575" s="116">
        <v>78.14</v>
      </c>
      <c r="O575" s="116">
        <v>77.010000000000005</v>
      </c>
      <c r="P575" s="116">
        <v>78.14</v>
      </c>
      <c r="Q575" s="116">
        <v>77.36</v>
      </c>
      <c r="R575">
        <v>42221</v>
      </c>
    </row>
    <row r="576" spans="1:18" x14ac:dyDescent="0.25">
      <c r="A576" s="170">
        <v>45929</v>
      </c>
      <c r="B576" s="116">
        <v>78.56</v>
      </c>
      <c r="C576" s="116">
        <v>77.849999999999994</v>
      </c>
      <c r="D576" s="116">
        <v>76.05</v>
      </c>
      <c r="E576" s="116">
        <v>77.44</v>
      </c>
      <c r="F576" s="116">
        <v>77.849999999999994</v>
      </c>
      <c r="G576">
        <v>12268</v>
      </c>
      <c r="H576" s="116"/>
      <c r="I576" s="116"/>
      <c r="L576" s="170">
        <v>45929</v>
      </c>
      <c r="M576" s="116">
        <v>78.02</v>
      </c>
      <c r="N576" s="116">
        <v>78.290000000000006</v>
      </c>
      <c r="O576" s="116">
        <v>76.2</v>
      </c>
      <c r="P576" s="116">
        <v>76.599999999999994</v>
      </c>
      <c r="Q576" s="116">
        <v>78.02</v>
      </c>
      <c r="R576">
        <v>96602</v>
      </c>
    </row>
    <row r="577" spans="1:18" x14ac:dyDescent="0.25">
      <c r="A577" s="170">
        <v>45930</v>
      </c>
      <c r="B577" s="116">
        <v>77.900000000000006</v>
      </c>
      <c r="C577" s="116">
        <v>76.64</v>
      </c>
      <c r="D577" s="116">
        <v>76.5</v>
      </c>
      <c r="E577" s="116">
        <v>77.900000000000006</v>
      </c>
      <c r="F577" s="116">
        <v>76.64</v>
      </c>
      <c r="G577">
        <v>2680</v>
      </c>
      <c r="H577" s="116"/>
      <c r="I577" s="116"/>
      <c r="L577" s="170">
        <v>45930</v>
      </c>
      <c r="M577" s="116">
        <v>76.63</v>
      </c>
      <c r="N577" s="116">
        <v>78.989999999999995</v>
      </c>
      <c r="O577" s="116">
        <v>76.41</v>
      </c>
      <c r="P577" s="116">
        <v>78.47</v>
      </c>
      <c r="Q577" s="116">
        <v>76.63</v>
      </c>
      <c r="R577">
        <v>80604</v>
      </c>
    </row>
    <row r="578" spans="1:18" x14ac:dyDescent="0.25">
      <c r="A578" s="170">
        <v>45931</v>
      </c>
      <c r="B578" s="116">
        <v>77.38</v>
      </c>
      <c r="C578" s="116">
        <v>77.349999999999994</v>
      </c>
      <c r="D578" s="116">
        <v>76.349999999999994</v>
      </c>
      <c r="E578" s="116">
        <v>76.5</v>
      </c>
      <c r="F578" s="116">
        <v>77.349999999999994</v>
      </c>
      <c r="G578">
        <v>808</v>
      </c>
      <c r="H578" s="116"/>
      <c r="I578" s="116"/>
      <c r="L578" s="170">
        <v>45931</v>
      </c>
      <c r="M578" s="116">
        <v>77.14</v>
      </c>
      <c r="N578" s="116">
        <v>77.599999999999994</v>
      </c>
      <c r="O578" s="116">
        <v>76.2</v>
      </c>
      <c r="P578" s="116">
        <v>76.3</v>
      </c>
      <c r="Q578" s="116">
        <v>77.14</v>
      </c>
      <c r="R578">
        <v>74626</v>
      </c>
    </row>
    <row r="579" spans="1:18" x14ac:dyDescent="0.25">
      <c r="A579" s="170">
        <v>45933</v>
      </c>
      <c r="B579" s="116">
        <v>79.38</v>
      </c>
      <c r="C579" s="116">
        <v>78.150000000000006</v>
      </c>
      <c r="D579" s="116">
        <v>77.34</v>
      </c>
      <c r="E579" s="116">
        <v>77.349999999999994</v>
      </c>
      <c r="F579" s="116">
        <v>78.150000000000006</v>
      </c>
      <c r="G579">
        <v>4803</v>
      </c>
      <c r="H579" s="116"/>
      <c r="I579" s="116"/>
      <c r="L579" s="170">
        <v>45933</v>
      </c>
      <c r="M579" s="116">
        <v>77.91</v>
      </c>
      <c r="N579" s="116">
        <v>79.489999999999995</v>
      </c>
      <c r="O579" s="116">
        <v>77.14</v>
      </c>
      <c r="P579" s="116">
        <v>77.14</v>
      </c>
      <c r="Q579" s="116">
        <v>77.91</v>
      </c>
      <c r="R579">
        <v>63145</v>
      </c>
    </row>
    <row r="580" spans="1:18" x14ac:dyDescent="0.25">
      <c r="A580" s="170">
        <v>45936</v>
      </c>
      <c r="B580" s="116">
        <v>78.349999999999994</v>
      </c>
      <c r="C580" s="116">
        <v>77.05</v>
      </c>
      <c r="D580" s="116">
        <v>76.709999999999994</v>
      </c>
      <c r="E580" s="116">
        <v>76.8</v>
      </c>
      <c r="F580" s="116">
        <v>77.05</v>
      </c>
      <c r="G580">
        <v>2409</v>
      </c>
      <c r="H580" s="116"/>
      <c r="I580" s="116"/>
      <c r="L580" s="170">
        <v>45936</v>
      </c>
      <c r="M580" s="116">
        <v>76.91</v>
      </c>
      <c r="N580" s="116">
        <v>78.680000000000007</v>
      </c>
      <c r="O580" s="116">
        <v>76.510000000000005</v>
      </c>
      <c r="P580" s="116">
        <v>77.900000000000006</v>
      </c>
      <c r="Q580" s="116">
        <v>76.91</v>
      </c>
      <c r="R580">
        <v>56633</v>
      </c>
    </row>
    <row r="581" spans="1:18" x14ac:dyDescent="0.25">
      <c r="A581" s="170">
        <v>45937</v>
      </c>
      <c r="B581" s="116">
        <v>78.06</v>
      </c>
      <c r="C581" s="116">
        <v>76.8</v>
      </c>
      <c r="D581" s="116">
        <v>76</v>
      </c>
      <c r="E581" s="116">
        <v>76</v>
      </c>
      <c r="F581" s="116">
        <v>76.8</v>
      </c>
      <c r="G581">
        <v>2547</v>
      </c>
      <c r="H581" s="116"/>
      <c r="I581" s="116"/>
      <c r="L581" s="170">
        <v>45937</v>
      </c>
      <c r="M581" s="116">
        <v>77.03</v>
      </c>
      <c r="N581" s="116">
        <v>78.39</v>
      </c>
      <c r="O581" s="116">
        <v>76.5</v>
      </c>
      <c r="P581" s="116">
        <v>78.39</v>
      </c>
      <c r="Q581" s="116">
        <v>77.03</v>
      </c>
      <c r="R581">
        <v>33195</v>
      </c>
    </row>
    <row r="582" spans="1:18" x14ac:dyDescent="0.25">
      <c r="A582" s="170">
        <v>45938</v>
      </c>
      <c r="B582" s="116">
        <v>77.92</v>
      </c>
      <c r="C582" s="116">
        <v>76.599999999999994</v>
      </c>
      <c r="D582" s="116">
        <v>76.510000000000005</v>
      </c>
      <c r="E582" s="116">
        <v>77.27</v>
      </c>
      <c r="F582" s="116">
        <v>76.599999999999994</v>
      </c>
      <c r="G582">
        <v>1813</v>
      </c>
      <c r="H582" s="116"/>
      <c r="I582" s="116"/>
      <c r="L582" s="170">
        <v>45938</v>
      </c>
      <c r="M582" s="116">
        <v>76.7</v>
      </c>
      <c r="N582" s="116">
        <v>77.989999999999995</v>
      </c>
      <c r="O582" s="116">
        <v>76.5</v>
      </c>
      <c r="P582" s="116">
        <v>76.5</v>
      </c>
      <c r="Q582" s="116">
        <v>76.7</v>
      </c>
      <c r="R582">
        <v>25977</v>
      </c>
    </row>
    <row r="583" spans="1:18" x14ac:dyDescent="0.25">
      <c r="A583" s="170">
        <v>45939</v>
      </c>
      <c r="B583" s="116">
        <v>77.05</v>
      </c>
      <c r="C583" s="116">
        <v>76.8</v>
      </c>
      <c r="D583" s="116">
        <v>76.209999999999994</v>
      </c>
      <c r="E583" s="116">
        <v>77.05</v>
      </c>
      <c r="F583" s="116">
        <v>76.8</v>
      </c>
      <c r="G583">
        <v>1955</v>
      </c>
      <c r="H583" s="116"/>
      <c r="I583" s="116"/>
      <c r="L583" s="170">
        <v>45939</v>
      </c>
      <c r="M583" s="116">
        <v>76.58</v>
      </c>
      <c r="N583" s="116">
        <v>77.88</v>
      </c>
      <c r="O583" s="116">
        <v>76.2</v>
      </c>
      <c r="P583" s="116">
        <v>76.22</v>
      </c>
      <c r="Q583" s="116">
        <v>76.58</v>
      </c>
      <c r="R583">
        <v>41484</v>
      </c>
    </row>
    <row r="584" spans="1:18" x14ac:dyDescent="0.25">
      <c r="A584" s="170">
        <v>45940</v>
      </c>
      <c r="B584" s="116">
        <v>78.34</v>
      </c>
      <c r="C584" s="116">
        <v>76.95</v>
      </c>
      <c r="D584" s="116">
        <v>76.650000000000006</v>
      </c>
      <c r="E584" s="116">
        <v>78.34</v>
      </c>
      <c r="F584" s="116">
        <v>76.95</v>
      </c>
      <c r="G584">
        <v>3030</v>
      </c>
      <c r="H584" s="116"/>
      <c r="I584" s="116"/>
      <c r="L584" s="170">
        <v>45940</v>
      </c>
      <c r="M584" s="116">
        <v>76.959999999999994</v>
      </c>
      <c r="N584" s="116">
        <v>77.88</v>
      </c>
      <c r="O584" s="116">
        <v>76.61</v>
      </c>
      <c r="P584" s="116">
        <v>77.05</v>
      </c>
      <c r="Q584" s="116">
        <v>76.959999999999994</v>
      </c>
      <c r="R584">
        <v>34231</v>
      </c>
    </row>
    <row r="585" spans="1:18" x14ac:dyDescent="0.25">
      <c r="A585" s="170">
        <v>45943</v>
      </c>
      <c r="B585" s="116">
        <v>78.73</v>
      </c>
      <c r="C585" s="116">
        <v>78.47</v>
      </c>
      <c r="D585" s="116">
        <v>76.069999999999993</v>
      </c>
      <c r="E585" s="116">
        <v>76.069999999999993</v>
      </c>
      <c r="F585" s="116">
        <v>78.47</v>
      </c>
      <c r="G585">
        <v>11029</v>
      </c>
      <c r="H585" s="116"/>
      <c r="I585" s="116"/>
      <c r="L585" s="170">
        <v>45943</v>
      </c>
      <c r="M585" s="116">
        <v>77.739999999999995</v>
      </c>
      <c r="N585" s="116">
        <v>78.400000000000006</v>
      </c>
      <c r="O585" s="116">
        <v>77</v>
      </c>
      <c r="P585" s="116">
        <v>77.099999999999994</v>
      </c>
      <c r="Q585" s="116">
        <v>77.739999999999995</v>
      </c>
      <c r="R585">
        <v>54054</v>
      </c>
    </row>
    <row r="586" spans="1:18" x14ac:dyDescent="0.25">
      <c r="A586" s="170">
        <v>45944</v>
      </c>
      <c r="B586" s="116">
        <v>77.58</v>
      </c>
      <c r="C586" s="116">
        <v>76.42</v>
      </c>
      <c r="D586" s="116">
        <v>76.400000000000006</v>
      </c>
      <c r="E586" s="116">
        <v>77.36</v>
      </c>
      <c r="F586" s="116">
        <v>76.42</v>
      </c>
      <c r="G586">
        <v>2861</v>
      </c>
      <c r="H586" s="116"/>
      <c r="I586" s="116"/>
      <c r="L586" s="170">
        <v>45944</v>
      </c>
      <c r="M586" s="116">
        <v>76.36</v>
      </c>
      <c r="N586" s="116">
        <v>77.75</v>
      </c>
      <c r="O586" s="116">
        <v>76.2</v>
      </c>
      <c r="P586" s="116">
        <v>77.489999999999995</v>
      </c>
      <c r="Q586" s="116">
        <v>76.36</v>
      </c>
      <c r="R586">
        <v>115006</v>
      </c>
    </row>
    <row r="587" spans="1:18" x14ac:dyDescent="0.25">
      <c r="A587" s="170">
        <v>45945</v>
      </c>
      <c r="B587" s="116">
        <v>77.010000000000005</v>
      </c>
      <c r="C587" s="116">
        <v>77</v>
      </c>
      <c r="D587" s="116">
        <v>76.05</v>
      </c>
      <c r="E587" s="116">
        <v>76.05</v>
      </c>
      <c r="F587" s="116">
        <v>77</v>
      </c>
      <c r="G587">
        <v>2917</v>
      </c>
      <c r="H587" s="116"/>
      <c r="I587" s="116"/>
      <c r="L587" s="170">
        <v>45945</v>
      </c>
      <c r="M587" s="116">
        <v>77.08</v>
      </c>
      <c r="N587" s="116">
        <v>77.459999999999994</v>
      </c>
      <c r="O587" s="116">
        <v>76.349999999999994</v>
      </c>
      <c r="P587" s="116">
        <v>76.53</v>
      </c>
      <c r="Q587" s="116">
        <v>77.08</v>
      </c>
      <c r="R587">
        <v>39574</v>
      </c>
    </row>
    <row r="588" spans="1:18" x14ac:dyDescent="0.25">
      <c r="A588" s="170">
        <v>45946</v>
      </c>
      <c r="B588" s="116">
        <v>78.84</v>
      </c>
      <c r="C588" s="116">
        <v>78.38</v>
      </c>
      <c r="D588" s="116">
        <v>77</v>
      </c>
      <c r="E588" s="116">
        <v>77.12</v>
      </c>
      <c r="F588" s="116">
        <v>78.38</v>
      </c>
      <c r="G588">
        <v>2828</v>
      </c>
      <c r="H588" s="116"/>
      <c r="I588" s="116"/>
      <c r="L588" s="170">
        <v>45946</v>
      </c>
      <c r="M588" s="116">
        <v>77.97</v>
      </c>
      <c r="N588" s="116">
        <v>78.849999999999994</v>
      </c>
      <c r="O588" s="116">
        <v>77.010000000000005</v>
      </c>
      <c r="P588" s="116">
        <v>77.08</v>
      </c>
      <c r="Q588" s="116">
        <v>77.97</v>
      </c>
      <c r="R588">
        <v>57678</v>
      </c>
    </row>
    <row r="589" spans="1:18" x14ac:dyDescent="0.25">
      <c r="A589" s="170">
        <v>45947</v>
      </c>
      <c r="B589" s="116">
        <v>78.64</v>
      </c>
      <c r="C589" s="116">
        <v>76.25</v>
      </c>
      <c r="D589" s="116">
        <v>76.17</v>
      </c>
      <c r="E589" s="116">
        <v>77.53</v>
      </c>
      <c r="F589" s="116">
        <v>76.25</v>
      </c>
      <c r="G589">
        <v>51831</v>
      </c>
      <c r="H589" s="116"/>
      <c r="I589" s="116"/>
      <c r="L589" s="170">
        <v>45947</v>
      </c>
      <c r="M589" s="116">
        <v>76.760000000000005</v>
      </c>
      <c r="N589" s="116">
        <v>78.78</v>
      </c>
      <c r="O589" s="116">
        <v>76.180000000000007</v>
      </c>
      <c r="P589" s="116">
        <v>78.78</v>
      </c>
      <c r="Q589" s="116">
        <v>76.760000000000005</v>
      </c>
      <c r="R589">
        <v>148229</v>
      </c>
    </row>
    <row r="590" spans="1:18" x14ac:dyDescent="0.25">
      <c r="A590" s="170">
        <v>45950</v>
      </c>
      <c r="B590" s="116">
        <v>83</v>
      </c>
      <c r="C590" s="116">
        <v>76.7</v>
      </c>
      <c r="D590" s="116">
        <v>76.37</v>
      </c>
      <c r="E590" s="116">
        <v>83</v>
      </c>
      <c r="F590" s="116">
        <v>76.7</v>
      </c>
      <c r="G590">
        <v>4227</v>
      </c>
      <c r="H590" s="116"/>
      <c r="I590" s="116"/>
      <c r="L590" s="170">
        <v>45950</v>
      </c>
      <c r="M590" s="116">
        <v>76.81</v>
      </c>
      <c r="N590" s="116">
        <v>77.989999999999995</v>
      </c>
      <c r="O590" s="116">
        <v>76.2</v>
      </c>
      <c r="P590" s="116">
        <v>76.45</v>
      </c>
      <c r="Q590" s="116">
        <v>76.81</v>
      </c>
      <c r="R590">
        <v>69131</v>
      </c>
    </row>
    <row r="591" spans="1:18" x14ac:dyDescent="0.25">
      <c r="A591" s="170">
        <v>45951</v>
      </c>
      <c r="B591" s="116">
        <v>79.349999999999994</v>
      </c>
      <c r="C591" s="116">
        <v>78.180000000000007</v>
      </c>
      <c r="D591" s="116">
        <v>77.22</v>
      </c>
      <c r="E591" s="116">
        <v>77.61</v>
      </c>
      <c r="F591" s="116">
        <v>78.180000000000007</v>
      </c>
      <c r="G591">
        <v>2674</v>
      </c>
      <c r="H591" s="116"/>
      <c r="I591" s="116"/>
      <c r="L591" s="170">
        <v>45951</v>
      </c>
      <c r="M591" s="116">
        <v>78.25</v>
      </c>
      <c r="N591" s="116">
        <v>78.900000000000006</v>
      </c>
      <c r="O591" s="116">
        <v>77.19</v>
      </c>
      <c r="P591" s="116">
        <v>77.19</v>
      </c>
      <c r="Q591" s="116">
        <v>78.25</v>
      </c>
      <c r="R591">
        <v>14993</v>
      </c>
    </row>
    <row r="592" spans="1:18" x14ac:dyDescent="0.25">
      <c r="A592" s="170">
        <v>45953</v>
      </c>
      <c r="B592" s="116">
        <v>81.92</v>
      </c>
      <c r="C592" s="116">
        <v>80.28</v>
      </c>
      <c r="D592" s="116">
        <v>78.5</v>
      </c>
      <c r="E592" s="116">
        <v>80.47</v>
      </c>
      <c r="F592" s="116">
        <v>80.28</v>
      </c>
      <c r="G592">
        <v>20827</v>
      </c>
      <c r="H592" s="116"/>
      <c r="I592" s="116"/>
      <c r="L592" s="170">
        <v>45953</v>
      </c>
      <c r="M592" s="116">
        <v>80.42</v>
      </c>
      <c r="N592" s="116">
        <v>81.99</v>
      </c>
      <c r="O592" s="116">
        <v>78.3</v>
      </c>
      <c r="P592" s="116">
        <v>78.599999999999994</v>
      </c>
      <c r="Q592" s="116">
        <v>80.42</v>
      </c>
      <c r="R592">
        <v>211458</v>
      </c>
    </row>
    <row r="593" spans="1:18" x14ac:dyDescent="0.25">
      <c r="A593" s="170">
        <v>45954</v>
      </c>
      <c r="B593" s="116">
        <v>81.8</v>
      </c>
      <c r="C593" s="116">
        <v>79.19</v>
      </c>
      <c r="D593" s="116">
        <v>79</v>
      </c>
      <c r="E593" s="116">
        <v>81.8</v>
      </c>
      <c r="F593" s="116">
        <v>79.19</v>
      </c>
      <c r="G593">
        <v>2382</v>
      </c>
      <c r="H593" s="116"/>
      <c r="I593" s="116"/>
      <c r="L593" s="170">
        <v>45954</v>
      </c>
      <c r="M593" s="116">
        <v>79.069999999999993</v>
      </c>
      <c r="N593" s="116">
        <v>81.69</v>
      </c>
      <c r="O593" s="116">
        <v>78.099999999999994</v>
      </c>
      <c r="P593" s="116">
        <v>81.5</v>
      </c>
      <c r="Q593" s="116">
        <v>79.069999999999993</v>
      </c>
      <c r="R593">
        <v>91317</v>
      </c>
    </row>
    <row r="594" spans="1:18" x14ac:dyDescent="0.25">
      <c r="A594" s="170">
        <v>45957</v>
      </c>
      <c r="B594" s="116">
        <v>79.510000000000005</v>
      </c>
      <c r="C594" s="116">
        <v>77.34</v>
      </c>
      <c r="D594" s="116">
        <v>77.010000000000005</v>
      </c>
      <c r="E594" s="116">
        <v>79</v>
      </c>
      <c r="F594" s="116">
        <v>77.34</v>
      </c>
      <c r="G594">
        <v>6473</v>
      </c>
      <c r="H594" s="116"/>
      <c r="I594" s="116"/>
      <c r="L594" s="170">
        <v>45957</v>
      </c>
      <c r="M594" s="116">
        <v>77.349999999999994</v>
      </c>
      <c r="N594" s="116">
        <v>79.7</v>
      </c>
      <c r="O594" s="116">
        <v>76.900000000000006</v>
      </c>
      <c r="P594" s="116">
        <v>79.7</v>
      </c>
      <c r="Q594" s="116">
        <v>77.349999999999994</v>
      </c>
      <c r="R594">
        <v>126840</v>
      </c>
    </row>
    <row r="595" spans="1:18" x14ac:dyDescent="0.25">
      <c r="A595" s="170">
        <v>45958</v>
      </c>
      <c r="B595" s="116">
        <v>82.5</v>
      </c>
      <c r="C595" s="116">
        <v>77.45</v>
      </c>
      <c r="D595" s="116">
        <v>76.209999999999994</v>
      </c>
      <c r="E595" s="116">
        <v>82.5</v>
      </c>
      <c r="F595" s="116">
        <v>77.45</v>
      </c>
      <c r="G595">
        <v>4690</v>
      </c>
      <c r="H595" s="116"/>
      <c r="I595" s="116"/>
      <c r="L595" s="170">
        <v>45958</v>
      </c>
      <c r="M595" s="116">
        <v>77.53</v>
      </c>
      <c r="N595" s="116">
        <v>78.13</v>
      </c>
      <c r="O595" s="116">
        <v>77.2</v>
      </c>
      <c r="P595" s="116">
        <v>77.489999999999995</v>
      </c>
      <c r="Q595" s="116">
        <v>77.53</v>
      </c>
      <c r="R595">
        <v>36385</v>
      </c>
    </row>
    <row r="596" spans="1:18" x14ac:dyDescent="0.25">
      <c r="A596" s="170">
        <v>45959</v>
      </c>
      <c r="B596" s="116">
        <v>79</v>
      </c>
      <c r="C596" s="116">
        <v>78.16</v>
      </c>
      <c r="D596" s="116">
        <v>76.760000000000005</v>
      </c>
      <c r="E596" s="116">
        <v>77.55</v>
      </c>
      <c r="F596" s="116">
        <v>78.16</v>
      </c>
      <c r="G596">
        <v>1375</v>
      </c>
      <c r="H596" s="116"/>
      <c r="I596" s="116"/>
      <c r="L596" s="170">
        <v>45959</v>
      </c>
      <c r="M596" s="116">
        <v>78.06</v>
      </c>
      <c r="N596" s="116">
        <v>79.400000000000006</v>
      </c>
      <c r="O596" s="116">
        <v>76.819999999999993</v>
      </c>
      <c r="P596" s="116">
        <v>77.56</v>
      </c>
      <c r="Q596" s="116">
        <v>78.06</v>
      </c>
      <c r="R596">
        <v>128098</v>
      </c>
    </row>
    <row r="597" spans="1:18" x14ac:dyDescent="0.25">
      <c r="A597" s="170">
        <v>45960</v>
      </c>
      <c r="B597" s="116">
        <v>78.790000000000006</v>
      </c>
      <c r="C597" s="116">
        <v>77.05</v>
      </c>
      <c r="D597" s="116">
        <v>76.34</v>
      </c>
      <c r="E597" s="116">
        <v>78.790000000000006</v>
      </c>
      <c r="F597" s="116">
        <v>77.05</v>
      </c>
      <c r="G597">
        <v>7634</v>
      </c>
      <c r="H597" s="116"/>
      <c r="I597" s="116"/>
      <c r="L597" s="170">
        <v>45960</v>
      </c>
      <c r="M597" s="116">
        <v>76.78</v>
      </c>
      <c r="N597" s="116">
        <v>79.040000000000006</v>
      </c>
      <c r="O597" s="116">
        <v>76.52</v>
      </c>
      <c r="P597" s="116">
        <v>78.8</v>
      </c>
      <c r="Q597" s="116">
        <v>76.78</v>
      </c>
      <c r="R597">
        <v>111258</v>
      </c>
    </row>
    <row r="598" spans="1:18" x14ac:dyDescent="0.25">
      <c r="A598" s="170">
        <v>45961</v>
      </c>
      <c r="B598" s="116">
        <v>78.62</v>
      </c>
      <c r="C598" s="116">
        <v>76.959999999999994</v>
      </c>
      <c r="D598" s="116">
        <v>76.290000000000006</v>
      </c>
      <c r="E598" s="116">
        <v>77.7</v>
      </c>
      <c r="F598" s="116">
        <v>76.959999999999994</v>
      </c>
      <c r="G598">
        <v>9938</v>
      </c>
      <c r="H598" s="116"/>
      <c r="I598" s="116"/>
      <c r="L598" s="170">
        <v>45961</v>
      </c>
      <c r="M598" s="116">
        <v>77.099999999999994</v>
      </c>
      <c r="N598" s="116">
        <v>78.430000000000007</v>
      </c>
      <c r="O598" s="116">
        <v>76.510000000000005</v>
      </c>
      <c r="P598" s="116">
        <v>78</v>
      </c>
      <c r="Q598" s="116">
        <v>77.099999999999994</v>
      </c>
      <c r="R598">
        <v>83774</v>
      </c>
    </row>
    <row r="599" spans="1:18" x14ac:dyDescent="0.25">
      <c r="A599" s="170">
        <v>45964</v>
      </c>
      <c r="B599" s="116">
        <v>89.99</v>
      </c>
      <c r="C599" s="116">
        <v>79.62</v>
      </c>
      <c r="D599" s="116">
        <v>76.58</v>
      </c>
      <c r="E599" s="116">
        <v>89.99</v>
      </c>
      <c r="F599" s="116">
        <v>79.62</v>
      </c>
      <c r="G599">
        <v>16260</v>
      </c>
      <c r="H599" s="116"/>
      <c r="I599" s="116"/>
      <c r="L599" s="170">
        <v>45964</v>
      </c>
      <c r="M599" s="116">
        <v>79.61</v>
      </c>
      <c r="N599" s="116">
        <v>81.89</v>
      </c>
      <c r="O599" s="116">
        <v>76.760000000000005</v>
      </c>
      <c r="P599" s="116">
        <v>78.489999999999995</v>
      </c>
      <c r="Q599" s="116">
        <v>79.61</v>
      </c>
      <c r="R599">
        <v>382136</v>
      </c>
    </row>
    <row r="600" spans="1:18" x14ac:dyDescent="0.25">
      <c r="A600" s="170">
        <v>45965</v>
      </c>
      <c r="B600" s="116">
        <v>82.71</v>
      </c>
      <c r="C600" s="116">
        <v>80.98</v>
      </c>
      <c r="D600" s="116">
        <v>80</v>
      </c>
      <c r="E600" s="116">
        <v>81.290000000000006</v>
      </c>
      <c r="F600" s="116">
        <v>80.98</v>
      </c>
      <c r="G600">
        <v>17199</v>
      </c>
      <c r="H600" s="116"/>
      <c r="I600" s="116"/>
      <c r="L600" s="170">
        <v>45965</v>
      </c>
      <c r="M600" s="116">
        <v>81.06</v>
      </c>
      <c r="N600" s="116">
        <v>82.8</v>
      </c>
      <c r="O600" s="116">
        <v>79.53</v>
      </c>
      <c r="P600" s="116">
        <v>80.3</v>
      </c>
      <c r="Q600" s="116">
        <v>81.06</v>
      </c>
      <c r="R600">
        <v>277420</v>
      </c>
    </row>
    <row r="601" spans="1:18" x14ac:dyDescent="0.25">
      <c r="A601" s="170">
        <v>45967</v>
      </c>
      <c r="B601" s="116">
        <v>81.62</v>
      </c>
      <c r="C601" s="116">
        <v>81</v>
      </c>
      <c r="D601" s="116">
        <v>79</v>
      </c>
      <c r="E601" s="116">
        <v>81.05</v>
      </c>
      <c r="F601" s="116">
        <v>81</v>
      </c>
      <c r="G601">
        <v>12395</v>
      </c>
      <c r="H601" s="116"/>
      <c r="I601" s="116"/>
      <c r="L601" s="170">
        <v>45967</v>
      </c>
      <c r="M601" s="116">
        <v>80.13</v>
      </c>
      <c r="N601" s="116">
        <v>82</v>
      </c>
      <c r="O601" s="116">
        <v>78.349999999999994</v>
      </c>
      <c r="P601" s="116">
        <v>82</v>
      </c>
      <c r="Q601" s="116">
        <v>80.13</v>
      </c>
      <c r="R601">
        <v>167306</v>
      </c>
    </row>
    <row r="602" spans="1:18" x14ac:dyDescent="0.25">
      <c r="A602" s="170">
        <v>45968</v>
      </c>
      <c r="B602" s="116">
        <v>79.13</v>
      </c>
      <c r="C602" s="116">
        <v>78.400000000000006</v>
      </c>
      <c r="D602" s="116">
        <v>77.900000000000006</v>
      </c>
      <c r="E602" s="116">
        <v>79</v>
      </c>
      <c r="F602" s="116">
        <v>78.400000000000006</v>
      </c>
      <c r="G602">
        <v>6473</v>
      </c>
      <c r="H602" s="116"/>
      <c r="I602" s="116"/>
      <c r="L602" s="170">
        <v>45968</v>
      </c>
      <c r="M602" s="116">
        <v>78.63</v>
      </c>
      <c r="N602" s="116">
        <v>79.849999999999994</v>
      </c>
      <c r="O602" s="116">
        <v>77.91</v>
      </c>
      <c r="P602" s="116">
        <v>79.849999999999994</v>
      </c>
      <c r="Q602" s="116">
        <v>78.63</v>
      </c>
      <c r="R602">
        <v>80857</v>
      </c>
    </row>
    <row r="603" spans="1:18" x14ac:dyDescent="0.25">
      <c r="A603" s="170">
        <v>45971</v>
      </c>
      <c r="B603" s="116">
        <v>78.400000000000006</v>
      </c>
      <c r="C603" s="116">
        <v>77.86</v>
      </c>
      <c r="D603" s="116">
        <v>77.66</v>
      </c>
      <c r="E603" s="116">
        <v>78.400000000000006</v>
      </c>
      <c r="F603" s="116">
        <v>77.86</v>
      </c>
      <c r="G603">
        <v>3366</v>
      </c>
      <c r="H603" s="116"/>
      <c r="I603" s="116"/>
      <c r="L603" s="170">
        <v>45971</v>
      </c>
      <c r="M603" s="116">
        <v>77.88</v>
      </c>
      <c r="N603" s="116">
        <v>80.069999999999993</v>
      </c>
      <c r="O603" s="116">
        <v>77.599999999999994</v>
      </c>
      <c r="P603" s="116">
        <v>78.5</v>
      </c>
      <c r="Q603" s="116">
        <v>77.88</v>
      </c>
      <c r="R603">
        <v>134241</v>
      </c>
    </row>
    <row r="604" spans="1:18" x14ac:dyDescent="0.25">
      <c r="A604" s="170">
        <v>45972</v>
      </c>
      <c r="B604" s="116">
        <v>79.8</v>
      </c>
      <c r="C604" s="116">
        <v>76.540000000000006</v>
      </c>
      <c r="D604" s="116">
        <v>75.95</v>
      </c>
      <c r="E604" s="116">
        <v>77.989999999999995</v>
      </c>
      <c r="F604" s="116">
        <v>76.540000000000006</v>
      </c>
      <c r="G604">
        <v>6125</v>
      </c>
      <c r="H604" s="116"/>
      <c r="I604" s="116"/>
      <c r="L604" s="170">
        <v>45972</v>
      </c>
      <c r="M604" s="116">
        <v>77.5</v>
      </c>
      <c r="N604" s="116">
        <v>79.3</v>
      </c>
      <c r="O604" s="116">
        <v>77.11</v>
      </c>
      <c r="P604" s="116">
        <v>77.510000000000005</v>
      </c>
      <c r="Q604" s="116">
        <v>77.5</v>
      </c>
      <c r="R604">
        <v>102692</v>
      </c>
    </row>
    <row r="605" spans="1:18" x14ac:dyDescent="0.25">
      <c r="A605" s="170">
        <v>45973</v>
      </c>
      <c r="B605" s="116">
        <v>78.45</v>
      </c>
      <c r="C605" s="116">
        <v>77.599999999999994</v>
      </c>
      <c r="D605" s="116">
        <v>77.05</v>
      </c>
      <c r="E605" s="116">
        <v>78</v>
      </c>
      <c r="F605" s="116">
        <v>77.599999999999994</v>
      </c>
      <c r="G605">
        <v>6495</v>
      </c>
      <c r="H605" s="116"/>
      <c r="I605" s="116"/>
      <c r="L605" s="170">
        <v>45973</v>
      </c>
      <c r="M605" s="116">
        <v>77.53</v>
      </c>
      <c r="N605" s="116">
        <v>78.94</v>
      </c>
      <c r="O605" s="116">
        <v>77</v>
      </c>
      <c r="P605" s="116">
        <v>77.5</v>
      </c>
      <c r="Q605" s="116">
        <v>77.53</v>
      </c>
      <c r="R605">
        <v>151116</v>
      </c>
    </row>
    <row r="606" spans="1:18" x14ac:dyDescent="0.25">
      <c r="A606" s="170">
        <v>45974</v>
      </c>
      <c r="B606" s="116">
        <v>78.2</v>
      </c>
      <c r="C606" s="116">
        <v>77.47</v>
      </c>
      <c r="D606" s="116">
        <v>77.23</v>
      </c>
      <c r="E606" s="116">
        <v>78.2</v>
      </c>
      <c r="F606" s="116">
        <v>77.47</v>
      </c>
      <c r="G606">
        <v>1565</v>
      </c>
      <c r="H606" s="116"/>
      <c r="I606" s="116"/>
      <c r="L606" s="170">
        <v>45974</v>
      </c>
      <c r="M606" s="116">
        <v>77.7</v>
      </c>
      <c r="N606" s="116">
        <v>78.75</v>
      </c>
      <c r="O606" s="116">
        <v>77.3</v>
      </c>
      <c r="P606" s="116">
        <v>77.53</v>
      </c>
      <c r="Q606" s="116">
        <v>77.7</v>
      </c>
      <c r="R606">
        <v>66091</v>
      </c>
    </row>
    <row r="607" spans="1:18" x14ac:dyDescent="0.25">
      <c r="A607" s="170">
        <v>45975</v>
      </c>
      <c r="B607" s="116">
        <v>78.05</v>
      </c>
      <c r="C607" s="116">
        <v>76.510000000000005</v>
      </c>
      <c r="D607" s="116">
        <v>76.5</v>
      </c>
      <c r="E607" s="116">
        <v>77.510000000000005</v>
      </c>
      <c r="F607" s="116">
        <v>76.510000000000005</v>
      </c>
      <c r="G607">
        <v>9229</v>
      </c>
      <c r="H607" s="116"/>
      <c r="I607" s="116"/>
      <c r="L607" s="170">
        <v>45975</v>
      </c>
      <c r="M607" s="116">
        <v>76.45</v>
      </c>
      <c r="N607" s="116">
        <v>78.44</v>
      </c>
      <c r="O607" s="116">
        <v>76.290000000000006</v>
      </c>
      <c r="P607" s="116">
        <v>77.5</v>
      </c>
      <c r="Q607" s="116">
        <v>76.45</v>
      </c>
      <c r="R607">
        <v>129427</v>
      </c>
    </row>
    <row r="608" spans="1:18" x14ac:dyDescent="0.25">
      <c r="A608" s="170">
        <v>45978</v>
      </c>
      <c r="B608" s="116">
        <v>78.489999999999995</v>
      </c>
      <c r="C608" s="116">
        <v>75.5</v>
      </c>
      <c r="D608" s="116">
        <v>75.17</v>
      </c>
      <c r="E608" s="116">
        <v>78.489999999999995</v>
      </c>
      <c r="F608" s="116">
        <v>75.5</v>
      </c>
      <c r="G608">
        <v>4914</v>
      </c>
      <c r="H608" s="116"/>
      <c r="I608" s="116"/>
      <c r="L608" s="170">
        <v>45978</v>
      </c>
      <c r="M608" s="116">
        <v>75.5</v>
      </c>
      <c r="N608" s="116">
        <v>76.98</v>
      </c>
      <c r="O608" s="116">
        <v>75.260000000000005</v>
      </c>
      <c r="P608" s="116">
        <v>76.45</v>
      </c>
      <c r="Q608" s="116">
        <v>75.5</v>
      </c>
      <c r="R608">
        <v>169829</v>
      </c>
    </row>
    <row r="609" spans="1:18" x14ac:dyDescent="0.25">
      <c r="A609" s="170">
        <v>45979</v>
      </c>
      <c r="B609" s="116">
        <v>78.209999999999994</v>
      </c>
      <c r="C609" s="116">
        <v>75.92</v>
      </c>
      <c r="D609" s="116">
        <v>75.38</v>
      </c>
      <c r="E609" s="116">
        <v>75.72</v>
      </c>
      <c r="F609" s="116">
        <v>75.92</v>
      </c>
      <c r="G609">
        <v>11354</v>
      </c>
      <c r="H609" s="116"/>
      <c r="I609" s="116"/>
      <c r="L609" s="170">
        <v>45979</v>
      </c>
      <c r="M609" s="116">
        <v>76.09</v>
      </c>
      <c r="N609" s="116">
        <v>77.41</v>
      </c>
      <c r="O609" s="116">
        <v>75.5</v>
      </c>
      <c r="P609" s="116">
        <v>75.97</v>
      </c>
      <c r="Q609" s="116">
        <v>76.09</v>
      </c>
      <c r="R609">
        <v>165269</v>
      </c>
    </row>
    <row r="610" spans="1:18" x14ac:dyDescent="0.25">
      <c r="A610" s="170">
        <v>45980</v>
      </c>
      <c r="B610" s="116">
        <v>77</v>
      </c>
      <c r="C610" s="116">
        <v>75.97</v>
      </c>
      <c r="D610" s="116">
        <v>75.2</v>
      </c>
      <c r="E610" s="116">
        <v>77</v>
      </c>
      <c r="F610" s="116">
        <v>75.97</v>
      </c>
      <c r="G610">
        <v>6213</v>
      </c>
      <c r="H610" s="116"/>
      <c r="I610" s="116"/>
      <c r="L610" s="170">
        <v>45980</v>
      </c>
      <c r="M610" s="116">
        <v>76.08</v>
      </c>
      <c r="N610" s="116">
        <v>77</v>
      </c>
      <c r="O610" s="116">
        <v>75.02</v>
      </c>
      <c r="P610" s="116">
        <v>77</v>
      </c>
      <c r="Q610" s="116">
        <v>76.08</v>
      </c>
      <c r="R610">
        <v>147962</v>
      </c>
    </row>
    <row r="611" spans="1:18" x14ac:dyDescent="0.25">
      <c r="A611" s="170">
        <v>45981</v>
      </c>
      <c r="B611" s="116">
        <v>77.66</v>
      </c>
      <c r="C611" s="116">
        <v>77.02</v>
      </c>
      <c r="D611" s="116">
        <v>76.260000000000005</v>
      </c>
      <c r="E611" s="116">
        <v>77.5</v>
      </c>
      <c r="F611" s="116">
        <v>77.02</v>
      </c>
      <c r="G611">
        <v>2458</v>
      </c>
      <c r="H611" s="116"/>
      <c r="I611" s="116"/>
      <c r="L611" s="170">
        <v>45981</v>
      </c>
      <c r="M611" s="116">
        <v>77.06</v>
      </c>
      <c r="N611" s="116">
        <v>77.81</v>
      </c>
      <c r="O611" s="116">
        <v>75.989999999999995</v>
      </c>
      <c r="P611" s="116">
        <v>76.08</v>
      </c>
      <c r="Q611" s="116">
        <v>77.06</v>
      </c>
      <c r="R611">
        <v>148476</v>
      </c>
    </row>
    <row r="612" spans="1:18" x14ac:dyDescent="0.25">
      <c r="A612" s="170">
        <v>45982</v>
      </c>
      <c r="B612" s="116">
        <v>77</v>
      </c>
      <c r="C612" s="116">
        <v>75.94</v>
      </c>
      <c r="D612" s="116">
        <v>75.5</v>
      </c>
      <c r="E612" s="116">
        <v>77</v>
      </c>
      <c r="F612" s="116">
        <v>75.94</v>
      </c>
      <c r="G612">
        <v>729</v>
      </c>
      <c r="H612" s="116"/>
      <c r="I612" s="116"/>
      <c r="L612" s="170">
        <v>45982</v>
      </c>
      <c r="M612" s="116">
        <v>75.739999999999995</v>
      </c>
      <c r="N612" s="116">
        <v>77.05</v>
      </c>
      <c r="O612" s="116">
        <v>75.349999999999994</v>
      </c>
      <c r="P612" s="116">
        <v>77.05</v>
      </c>
      <c r="Q612" s="116">
        <v>75.739999999999995</v>
      </c>
      <c r="R612">
        <v>51425</v>
      </c>
    </row>
    <row r="613" spans="1:18" x14ac:dyDescent="0.25">
      <c r="A613" s="170">
        <v>45985</v>
      </c>
      <c r="B613" s="116">
        <v>76.23</v>
      </c>
      <c r="C613" s="116">
        <v>75.209999999999994</v>
      </c>
      <c r="D613" s="116">
        <v>74.88</v>
      </c>
      <c r="E613" s="116">
        <v>75.900000000000006</v>
      </c>
      <c r="F613" s="116">
        <v>75.209999999999994</v>
      </c>
      <c r="G613">
        <v>1934</v>
      </c>
      <c r="H613" s="116"/>
      <c r="I613" s="116"/>
      <c r="L613" s="170">
        <v>45985</v>
      </c>
      <c r="M613" s="116">
        <v>75.47</v>
      </c>
      <c r="N613" s="116">
        <v>77</v>
      </c>
      <c r="O613" s="116">
        <v>75</v>
      </c>
      <c r="P613" s="116">
        <v>75.98</v>
      </c>
      <c r="Q613" s="116">
        <v>75.47</v>
      </c>
      <c r="R613">
        <v>99700</v>
      </c>
    </row>
    <row r="614" spans="1:18" x14ac:dyDescent="0.25">
      <c r="A614" s="170">
        <v>45986</v>
      </c>
      <c r="B614" s="116">
        <v>75.36</v>
      </c>
      <c r="C614" s="116">
        <v>74.87</v>
      </c>
      <c r="D614" s="116">
        <v>74.459999999999994</v>
      </c>
      <c r="E614" s="116">
        <v>75.349999999999994</v>
      </c>
      <c r="F614" s="116">
        <v>74.87</v>
      </c>
      <c r="G614">
        <v>1535</v>
      </c>
      <c r="H614" s="116"/>
      <c r="I614" s="116"/>
      <c r="L614" s="170">
        <v>45986</v>
      </c>
      <c r="M614" s="116">
        <v>75.12</v>
      </c>
      <c r="N614" s="116">
        <v>75.48</v>
      </c>
      <c r="O614" s="116">
        <v>74.900000000000006</v>
      </c>
      <c r="P614" s="116">
        <v>75.47</v>
      </c>
      <c r="Q614" s="116">
        <v>75.12</v>
      </c>
      <c r="R614">
        <v>26196</v>
      </c>
    </row>
    <row r="615" spans="1:18" x14ac:dyDescent="0.25">
      <c r="A615" s="170">
        <v>45987</v>
      </c>
      <c r="B615" s="116">
        <v>80.099999999999994</v>
      </c>
      <c r="C615" s="116">
        <v>79.11</v>
      </c>
      <c r="D615" s="116">
        <v>75.11</v>
      </c>
      <c r="E615" s="116">
        <v>75.55</v>
      </c>
      <c r="F615" s="116">
        <v>79.11</v>
      </c>
      <c r="G615">
        <v>2555</v>
      </c>
      <c r="H615" s="116"/>
      <c r="I615" s="116"/>
      <c r="L615" s="170">
        <v>45987</v>
      </c>
      <c r="M615" s="116">
        <v>79.12</v>
      </c>
      <c r="N615" s="116">
        <v>80.25</v>
      </c>
      <c r="O615" s="116">
        <v>74.72</v>
      </c>
      <c r="P615" s="116">
        <v>75.12</v>
      </c>
      <c r="Q615" s="116">
        <v>79.12</v>
      </c>
      <c r="R615">
        <v>219052</v>
      </c>
    </row>
    <row r="616" spans="1:18" x14ac:dyDescent="0.25">
      <c r="A616" s="170">
        <v>45988</v>
      </c>
      <c r="B616" s="116">
        <v>79.3</v>
      </c>
      <c r="C616" s="116">
        <v>78.33</v>
      </c>
      <c r="D616" s="116">
        <v>77.27</v>
      </c>
      <c r="E616" s="116">
        <v>79.3</v>
      </c>
      <c r="F616" s="116">
        <v>78.33</v>
      </c>
      <c r="G616">
        <v>5664</v>
      </c>
      <c r="H616" s="116"/>
      <c r="I616" s="116"/>
      <c r="L616" s="170">
        <v>45988</v>
      </c>
      <c r="M616" s="116">
        <v>78.19</v>
      </c>
      <c r="N616" s="116">
        <v>80.27</v>
      </c>
      <c r="O616" s="116">
        <v>77.25</v>
      </c>
      <c r="P616" s="116">
        <v>79.510000000000005</v>
      </c>
      <c r="Q616" s="116">
        <v>78.19</v>
      </c>
      <c r="R616">
        <v>61460</v>
      </c>
    </row>
    <row r="617" spans="1:18" x14ac:dyDescent="0.25">
      <c r="A617" s="170">
        <v>45989</v>
      </c>
      <c r="B617" s="116">
        <v>77.62</v>
      </c>
      <c r="C617" s="116">
        <v>76.16</v>
      </c>
      <c r="D617" s="116">
        <v>76</v>
      </c>
      <c r="E617" s="116">
        <v>77.400000000000006</v>
      </c>
      <c r="F617" s="116">
        <v>76.16</v>
      </c>
      <c r="G617">
        <v>3449</v>
      </c>
      <c r="H617" s="116"/>
      <c r="I617" s="116"/>
      <c r="L617" s="170">
        <v>45989</v>
      </c>
      <c r="M617" s="116">
        <v>76.13</v>
      </c>
      <c r="N617" s="116">
        <v>77.8</v>
      </c>
      <c r="O617" s="116">
        <v>75.92</v>
      </c>
      <c r="P617" s="116">
        <v>77.8</v>
      </c>
      <c r="Q617" s="116">
        <v>76.13</v>
      </c>
      <c r="R617">
        <v>84334</v>
      </c>
    </row>
    <row r="618" spans="1:18" x14ac:dyDescent="0.25">
      <c r="A618" s="170">
        <v>45992</v>
      </c>
      <c r="B618" s="116">
        <v>76.62</v>
      </c>
      <c r="C618" s="116">
        <v>75.2</v>
      </c>
      <c r="D618" s="116">
        <v>75.05</v>
      </c>
      <c r="E618" s="116">
        <v>76.16</v>
      </c>
      <c r="F618" s="116">
        <v>75.2</v>
      </c>
      <c r="G618">
        <v>3332</v>
      </c>
      <c r="H618" s="116"/>
      <c r="I618" s="116"/>
      <c r="L618" s="170">
        <v>45992</v>
      </c>
      <c r="M618" s="116">
        <v>75.150000000000006</v>
      </c>
      <c r="N618" s="116">
        <v>76.86</v>
      </c>
      <c r="O618" s="116">
        <v>75</v>
      </c>
      <c r="P618" s="116">
        <v>76.2</v>
      </c>
      <c r="Q618" s="116">
        <v>75.150000000000006</v>
      </c>
      <c r="R618">
        <v>123694</v>
      </c>
    </row>
    <row r="619" spans="1:18" x14ac:dyDescent="0.25">
      <c r="A619" s="170">
        <v>45993</v>
      </c>
      <c r="B619" s="116">
        <v>75.62</v>
      </c>
      <c r="C619" s="116">
        <v>74.52</v>
      </c>
      <c r="D619" s="116">
        <v>74.47</v>
      </c>
      <c r="E619" s="116">
        <v>75.62</v>
      </c>
      <c r="F619" s="116">
        <v>74.52</v>
      </c>
      <c r="G619">
        <v>1846</v>
      </c>
      <c r="H619" s="116"/>
      <c r="I619" s="116"/>
      <c r="L619" s="170">
        <v>45993</v>
      </c>
      <c r="M619" s="116">
        <v>74.67</v>
      </c>
      <c r="N619" s="116">
        <v>75.8</v>
      </c>
      <c r="O619" s="116">
        <v>74.56</v>
      </c>
      <c r="P619" s="116">
        <v>75.709999999999994</v>
      </c>
      <c r="Q619" s="116">
        <v>74.67</v>
      </c>
      <c r="R619">
        <v>63421</v>
      </c>
    </row>
    <row r="620" spans="1:18" x14ac:dyDescent="0.25">
      <c r="A620" s="170">
        <v>45994</v>
      </c>
      <c r="B620" s="116">
        <v>74.849999999999994</v>
      </c>
      <c r="C620" s="116">
        <v>73</v>
      </c>
      <c r="D620" s="116">
        <v>72.59</v>
      </c>
      <c r="E620" s="116">
        <v>74.849999999999994</v>
      </c>
      <c r="F620" s="116">
        <v>73</v>
      </c>
      <c r="G620">
        <v>4353</v>
      </c>
      <c r="H620" s="116"/>
      <c r="I620" s="116"/>
      <c r="L620" s="170">
        <v>45994</v>
      </c>
      <c r="M620" s="116">
        <v>72.989999999999995</v>
      </c>
      <c r="N620" s="116">
        <v>75.290000000000006</v>
      </c>
      <c r="O620" s="116">
        <v>72.81</v>
      </c>
      <c r="P620" s="116">
        <v>74.67</v>
      </c>
      <c r="Q620" s="116">
        <v>72.989999999999995</v>
      </c>
      <c r="R620">
        <v>205074</v>
      </c>
    </row>
    <row r="621" spans="1:18" x14ac:dyDescent="0.25">
      <c r="A621" s="170">
        <v>45995</v>
      </c>
      <c r="B621" s="116">
        <v>74.92</v>
      </c>
      <c r="C621" s="116">
        <v>74.400000000000006</v>
      </c>
      <c r="D621" s="116">
        <v>72.099999999999994</v>
      </c>
      <c r="E621" s="116">
        <v>72.959999999999994</v>
      </c>
      <c r="F621" s="116">
        <v>74.400000000000006</v>
      </c>
      <c r="G621">
        <v>7570</v>
      </c>
      <c r="H621" s="116"/>
      <c r="I621" s="116"/>
      <c r="L621" s="170">
        <v>45995</v>
      </c>
      <c r="M621" s="116">
        <v>74.34</v>
      </c>
      <c r="N621" s="116">
        <v>74.900000000000006</v>
      </c>
      <c r="O621" s="116">
        <v>71.989999999999995</v>
      </c>
      <c r="P621" s="116">
        <v>73.58</v>
      </c>
      <c r="Q621" s="116">
        <v>74.34</v>
      </c>
      <c r="R621">
        <v>294497</v>
      </c>
    </row>
    <row r="622" spans="1:18" x14ac:dyDescent="0.25">
      <c r="A622" s="170">
        <v>45996</v>
      </c>
      <c r="B622" s="116">
        <v>74.260000000000005</v>
      </c>
      <c r="C622" s="116">
        <v>73.180000000000007</v>
      </c>
      <c r="D622" s="116">
        <v>73.08</v>
      </c>
      <c r="E622" s="116">
        <v>74.2</v>
      </c>
      <c r="F622" s="116">
        <v>73.180000000000007</v>
      </c>
      <c r="G622">
        <v>2666</v>
      </c>
      <c r="H622" s="116"/>
      <c r="I622" s="116"/>
      <c r="L622" s="170">
        <v>45996</v>
      </c>
      <c r="M622" s="116">
        <v>73.12</v>
      </c>
      <c r="N622" s="116">
        <v>74.459999999999994</v>
      </c>
      <c r="O622" s="116">
        <v>73</v>
      </c>
      <c r="P622" s="116">
        <v>74.34</v>
      </c>
      <c r="Q622" s="116">
        <v>73.12</v>
      </c>
      <c r="R622">
        <v>72514</v>
      </c>
    </row>
    <row r="623" spans="1:18" x14ac:dyDescent="0.25">
      <c r="A623" s="170">
        <v>45999</v>
      </c>
      <c r="B623" s="116">
        <v>72.92</v>
      </c>
      <c r="C623" s="116">
        <v>71.5</v>
      </c>
      <c r="D623" s="116">
        <v>71.260000000000005</v>
      </c>
      <c r="E623" s="116">
        <v>72.84</v>
      </c>
      <c r="F623" s="116">
        <v>71.5</v>
      </c>
      <c r="G623">
        <v>4455</v>
      </c>
      <c r="H623" s="116"/>
      <c r="I623" s="116"/>
      <c r="L623" s="170">
        <v>45999</v>
      </c>
      <c r="M623" s="116">
        <v>71.739999999999995</v>
      </c>
      <c r="N623" s="116">
        <v>73.12</v>
      </c>
      <c r="O623" s="116">
        <v>71.12</v>
      </c>
      <c r="P623" s="116">
        <v>73.099999999999994</v>
      </c>
      <c r="Q623" s="116">
        <v>71.739999999999995</v>
      </c>
      <c r="R623">
        <v>229028</v>
      </c>
    </row>
    <row r="624" spans="1:18" x14ac:dyDescent="0.25">
      <c r="A624" s="170">
        <v>46000</v>
      </c>
      <c r="B624" s="116">
        <v>73.099999999999994</v>
      </c>
      <c r="C624" s="116">
        <v>72.69</v>
      </c>
      <c r="D624" s="116">
        <v>71.099999999999994</v>
      </c>
      <c r="E624" s="116">
        <v>71.489999999999995</v>
      </c>
      <c r="F624" s="116">
        <v>72.69</v>
      </c>
      <c r="G624">
        <v>13656</v>
      </c>
      <c r="H624" s="116"/>
      <c r="I624" s="116"/>
      <c r="L624" s="170">
        <v>46000</v>
      </c>
      <c r="M624" s="116">
        <v>72.52</v>
      </c>
      <c r="N624" s="116">
        <v>73.099999999999994</v>
      </c>
      <c r="O624" s="116">
        <v>71</v>
      </c>
      <c r="P624" s="116">
        <v>72.849999999999994</v>
      </c>
      <c r="Q624" s="116">
        <v>72.52</v>
      </c>
      <c r="R624">
        <v>234437</v>
      </c>
    </row>
    <row r="625" spans="1:18" x14ac:dyDescent="0.25">
      <c r="A625" s="170">
        <v>46001</v>
      </c>
      <c r="B625" s="116">
        <v>73.849999999999994</v>
      </c>
      <c r="C625" s="116">
        <v>72.14</v>
      </c>
      <c r="D625" s="116">
        <v>71.709999999999994</v>
      </c>
      <c r="E625" s="116">
        <v>73.2</v>
      </c>
      <c r="F625" s="116">
        <v>72.14</v>
      </c>
      <c r="G625">
        <v>5162</v>
      </c>
      <c r="H625" s="116"/>
      <c r="I625" s="116"/>
      <c r="L625" s="170">
        <v>46001</v>
      </c>
      <c r="M625" s="116">
        <v>72.09</v>
      </c>
      <c r="N625" s="116">
        <v>73.7</v>
      </c>
      <c r="O625" s="116">
        <v>71.31</v>
      </c>
      <c r="P625" s="116">
        <v>72.52</v>
      </c>
      <c r="Q625" s="116">
        <v>72.09</v>
      </c>
      <c r="R625">
        <v>587372</v>
      </c>
    </row>
    <row r="626" spans="1:18" x14ac:dyDescent="0.25">
      <c r="A626" s="170">
        <v>46002</v>
      </c>
      <c r="B626" s="116">
        <v>74.45</v>
      </c>
      <c r="C626" s="116">
        <v>73.87</v>
      </c>
      <c r="D626" s="116">
        <v>71.89</v>
      </c>
      <c r="E626" s="116">
        <v>73.099999999999994</v>
      </c>
      <c r="F626" s="116">
        <v>73.87</v>
      </c>
      <c r="G626">
        <v>8266</v>
      </c>
      <c r="H626" s="116"/>
      <c r="I626" s="116"/>
      <c r="L626" s="170">
        <v>46002</v>
      </c>
      <c r="M626" s="116">
        <v>73.78</v>
      </c>
      <c r="N626" s="116">
        <v>74.5</v>
      </c>
      <c r="O626" s="116">
        <v>71.87</v>
      </c>
      <c r="P626" s="116">
        <v>72.510000000000005</v>
      </c>
      <c r="Q626" s="116">
        <v>73.78</v>
      </c>
      <c r="R626">
        <v>286380</v>
      </c>
    </row>
    <row r="627" spans="1:18" x14ac:dyDescent="0.25">
      <c r="A627" s="170">
        <v>46003</v>
      </c>
      <c r="B627" s="116">
        <v>74.08</v>
      </c>
      <c r="C627" s="116">
        <v>72.36</v>
      </c>
      <c r="D627" s="116">
        <v>72.040000000000006</v>
      </c>
      <c r="E627" s="116">
        <v>73.84</v>
      </c>
      <c r="F627" s="116">
        <v>72.36</v>
      </c>
      <c r="G627">
        <v>5966</v>
      </c>
      <c r="H627" s="116"/>
      <c r="I627" s="116"/>
      <c r="L627" s="170">
        <v>46003</v>
      </c>
      <c r="M627" s="116">
        <v>72.27</v>
      </c>
      <c r="N627" s="116">
        <v>74.28</v>
      </c>
      <c r="O627" s="116">
        <v>71.97</v>
      </c>
      <c r="P627" s="116">
        <v>73.849999999999994</v>
      </c>
      <c r="Q627" s="116">
        <v>72.27</v>
      </c>
      <c r="R627">
        <v>118708</v>
      </c>
    </row>
    <row r="628" spans="1:18" x14ac:dyDescent="0.25">
      <c r="A628" s="170">
        <v>46006</v>
      </c>
      <c r="B628" s="116">
        <v>74.290000000000006</v>
      </c>
      <c r="C628" s="116">
        <v>73.849999999999994</v>
      </c>
      <c r="D628" s="116">
        <v>72</v>
      </c>
      <c r="E628" s="116">
        <v>73.95</v>
      </c>
      <c r="F628" s="116">
        <v>73.849999999999994</v>
      </c>
      <c r="G628">
        <v>11850</v>
      </c>
      <c r="H628" s="116"/>
      <c r="I628" s="116"/>
      <c r="L628" s="170">
        <v>46006</v>
      </c>
      <c r="M628" s="116">
        <v>73.77</v>
      </c>
      <c r="N628" s="116">
        <v>74.22</v>
      </c>
      <c r="O628" s="116">
        <v>71.819999999999993</v>
      </c>
      <c r="P628" s="116">
        <v>73.900000000000006</v>
      </c>
      <c r="Q628" s="116">
        <v>73.77</v>
      </c>
      <c r="R628">
        <v>236392</v>
      </c>
    </row>
    <row r="629" spans="1:18" x14ac:dyDescent="0.25">
      <c r="A629" s="170">
        <v>46007</v>
      </c>
      <c r="B629" s="116">
        <v>74.33</v>
      </c>
      <c r="C629" s="116">
        <v>73.89</v>
      </c>
      <c r="D629" s="116">
        <v>73</v>
      </c>
      <c r="E629" s="116">
        <v>73.12</v>
      </c>
      <c r="F629" s="116">
        <v>73.89</v>
      </c>
      <c r="G629">
        <v>7069</v>
      </c>
      <c r="H629" s="116"/>
      <c r="I629" s="116"/>
      <c r="L629" s="170">
        <v>46007</v>
      </c>
      <c r="M629" s="116">
        <v>73.83</v>
      </c>
      <c r="N629" s="116">
        <v>74.44</v>
      </c>
      <c r="O629" s="116">
        <v>72.900000000000006</v>
      </c>
      <c r="P629" s="116">
        <v>73.77</v>
      </c>
      <c r="Q629" s="116">
        <v>73.83</v>
      </c>
      <c r="R629">
        <v>177614</v>
      </c>
    </row>
    <row r="630" spans="1:18" x14ac:dyDescent="0.25">
      <c r="A630" s="170">
        <v>46008</v>
      </c>
      <c r="B630" s="116">
        <v>74.42</v>
      </c>
      <c r="C630" s="116">
        <v>73.83</v>
      </c>
      <c r="D630" s="116">
        <v>73.56</v>
      </c>
      <c r="E630" s="116">
        <v>74.2</v>
      </c>
      <c r="F630" s="116">
        <v>73.83</v>
      </c>
      <c r="G630">
        <v>2861</v>
      </c>
      <c r="H630" s="116"/>
      <c r="I630" s="116"/>
      <c r="L630" s="170">
        <v>46008</v>
      </c>
      <c r="M630" s="116">
        <v>73.63</v>
      </c>
      <c r="N630" s="116">
        <v>74.760000000000005</v>
      </c>
      <c r="O630" s="116">
        <v>73.5</v>
      </c>
      <c r="P630" s="116">
        <v>74.489999999999995</v>
      </c>
      <c r="Q630" s="116">
        <v>73.63</v>
      </c>
      <c r="R630">
        <v>154205</v>
      </c>
    </row>
    <row r="631" spans="1:18" x14ac:dyDescent="0.25">
      <c r="A631" s="170">
        <v>46009</v>
      </c>
      <c r="B631" s="116">
        <v>74.09</v>
      </c>
      <c r="C631" s="116">
        <v>74</v>
      </c>
      <c r="D631" s="116">
        <v>72.83</v>
      </c>
      <c r="E631" s="116">
        <v>73.58</v>
      </c>
      <c r="F631" s="116">
        <v>74</v>
      </c>
      <c r="G631">
        <v>18844</v>
      </c>
      <c r="H631" s="116"/>
      <c r="I631" s="116"/>
      <c r="L631" s="170">
        <v>46009</v>
      </c>
      <c r="M631" s="116">
        <v>74</v>
      </c>
      <c r="N631" s="116">
        <v>74.39</v>
      </c>
      <c r="O631" s="116">
        <v>72.73</v>
      </c>
      <c r="P631" s="116">
        <v>73</v>
      </c>
      <c r="Q631" s="116">
        <v>74</v>
      </c>
      <c r="R631">
        <v>117464</v>
      </c>
    </row>
    <row r="632" spans="1:18" x14ac:dyDescent="0.25">
      <c r="A632" s="170">
        <v>46010</v>
      </c>
      <c r="B632" s="116">
        <v>74.34</v>
      </c>
      <c r="C632" s="116">
        <v>72.989999999999995</v>
      </c>
      <c r="D632" s="116">
        <v>72.87</v>
      </c>
      <c r="E632" s="116">
        <v>74.19</v>
      </c>
      <c r="F632" s="116">
        <v>72.989999999999995</v>
      </c>
      <c r="G632">
        <v>8296</v>
      </c>
      <c r="H632" s="116"/>
      <c r="I632" s="116"/>
      <c r="L632" s="170">
        <v>46010</v>
      </c>
      <c r="M632" s="116">
        <v>73.180000000000007</v>
      </c>
      <c r="N632" s="116">
        <v>74.400000000000006</v>
      </c>
      <c r="O632" s="116">
        <v>72.67</v>
      </c>
      <c r="P632" s="116">
        <v>74.28</v>
      </c>
      <c r="Q632" s="116">
        <v>73.180000000000007</v>
      </c>
      <c r="R632">
        <v>125767</v>
      </c>
    </row>
    <row r="633" spans="1:18" x14ac:dyDescent="0.25">
      <c r="A633" s="170">
        <v>46013</v>
      </c>
      <c r="B633" s="116">
        <v>74.13</v>
      </c>
      <c r="C633" s="116">
        <v>73.75</v>
      </c>
      <c r="D633" s="116">
        <v>72.680000000000007</v>
      </c>
      <c r="E633" s="116">
        <v>73.75</v>
      </c>
      <c r="F633" s="116">
        <v>73.75</v>
      </c>
      <c r="G633">
        <v>4017</v>
      </c>
      <c r="H633" s="116"/>
      <c r="I633" s="116"/>
      <c r="L633" s="170">
        <v>46013</v>
      </c>
      <c r="M633" s="116">
        <v>73.63</v>
      </c>
      <c r="N633" s="116">
        <v>74.099999999999994</v>
      </c>
      <c r="O633" s="116">
        <v>72.63</v>
      </c>
      <c r="P633" s="116">
        <v>73.180000000000007</v>
      </c>
      <c r="Q633" s="116">
        <v>73.63</v>
      </c>
      <c r="R633">
        <v>107422</v>
      </c>
    </row>
    <row r="634" spans="1:18" x14ac:dyDescent="0.25">
      <c r="A634" s="170">
        <v>46014</v>
      </c>
      <c r="B634" s="116">
        <v>74.22</v>
      </c>
      <c r="C634" s="116">
        <v>73.81</v>
      </c>
      <c r="D634" s="116">
        <v>72.22</v>
      </c>
      <c r="E634" s="116">
        <v>73.709999999999994</v>
      </c>
      <c r="F634" s="116">
        <v>73.81</v>
      </c>
      <c r="G634">
        <v>9513</v>
      </c>
      <c r="H634" s="116"/>
      <c r="I634" s="116"/>
      <c r="L634" s="170">
        <v>46014</v>
      </c>
      <c r="M634" s="116">
        <v>73.11</v>
      </c>
      <c r="N634" s="116">
        <v>74.06</v>
      </c>
      <c r="O634" s="116">
        <v>72.83</v>
      </c>
      <c r="P634" s="116">
        <v>73.099999999999994</v>
      </c>
      <c r="Q634" s="116">
        <v>73.11</v>
      </c>
      <c r="R634">
        <v>154179</v>
      </c>
    </row>
    <row r="635" spans="1:18" x14ac:dyDescent="0.25">
      <c r="A635" s="170">
        <v>46015</v>
      </c>
      <c r="B635" s="116">
        <v>74.08</v>
      </c>
      <c r="C635" s="116">
        <v>72.97</v>
      </c>
      <c r="D635" s="116">
        <v>72.900000000000006</v>
      </c>
      <c r="E635" s="116">
        <v>73.73</v>
      </c>
      <c r="F635" s="116">
        <v>72.97</v>
      </c>
      <c r="G635">
        <v>6349</v>
      </c>
      <c r="H635" s="116"/>
      <c r="I635" s="116"/>
      <c r="L635" s="170">
        <v>46015</v>
      </c>
      <c r="M635" s="116">
        <v>72.959999999999994</v>
      </c>
      <c r="N635" s="116">
        <v>74.290000000000006</v>
      </c>
      <c r="O635" s="116">
        <v>72.7</v>
      </c>
      <c r="P635" s="116">
        <v>73.11</v>
      </c>
      <c r="Q635" s="116">
        <v>72.959999999999994</v>
      </c>
      <c r="R635">
        <v>94910</v>
      </c>
    </row>
    <row r="636" spans="1:18" x14ac:dyDescent="0.25">
      <c r="A636" s="170">
        <v>46017</v>
      </c>
      <c r="B636" s="116">
        <v>72.95</v>
      </c>
      <c r="C636" s="116">
        <v>72.069999999999993</v>
      </c>
      <c r="D636" s="116">
        <v>71.34</v>
      </c>
      <c r="E636" s="116">
        <v>72.3</v>
      </c>
      <c r="F636" s="116">
        <v>72.069999999999993</v>
      </c>
      <c r="G636">
        <v>2340</v>
      </c>
      <c r="H636" s="116"/>
      <c r="I636" s="116"/>
      <c r="L636" s="170">
        <v>46017</v>
      </c>
      <c r="M636" s="116">
        <v>71.95</v>
      </c>
      <c r="N636" s="116">
        <v>73</v>
      </c>
      <c r="O636" s="116">
        <v>71.7</v>
      </c>
      <c r="P636" s="116">
        <v>73</v>
      </c>
      <c r="Q636" s="116">
        <v>71.95</v>
      </c>
      <c r="R636">
        <v>120110</v>
      </c>
    </row>
    <row r="637" spans="1:18" x14ac:dyDescent="0.25">
      <c r="A637" s="170">
        <v>46020</v>
      </c>
      <c r="B637" s="116">
        <v>72.900000000000006</v>
      </c>
      <c r="C637" s="116">
        <v>71.099999999999994</v>
      </c>
      <c r="D637" s="116">
        <v>70.55</v>
      </c>
      <c r="E637" s="116">
        <v>71.010000000000005</v>
      </c>
      <c r="F637" s="116">
        <v>71.099999999999994</v>
      </c>
      <c r="G637">
        <v>8448</v>
      </c>
      <c r="H637" s="116"/>
      <c r="I637" s="116"/>
      <c r="L637" s="170">
        <v>46020</v>
      </c>
      <c r="M637" s="116">
        <v>71.209999999999994</v>
      </c>
      <c r="N637" s="116">
        <v>72.010000000000005</v>
      </c>
      <c r="O637" s="116">
        <v>70.81</v>
      </c>
      <c r="P637" s="116">
        <v>71.31</v>
      </c>
      <c r="Q637" s="116">
        <v>71.209999999999994</v>
      </c>
      <c r="R637">
        <v>103883</v>
      </c>
    </row>
    <row r="638" spans="1:18" x14ac:dyDescent="0.25">
      <c r="A638" s="170">
        <v>46021</v>
      </c>
      <c r="B638" s="116">
        <v>72</v>
      </c>
      <c r="C638" s="116">
        <v>71.510000000000005</v>
      </c>
      <c r="D638" s="116">
        <v>70.17</v>
      </c>
      <c r="E638" s="116">
        <v>71</v>
      </c>
      <c r="F638" s="116">
        <v>71.510000000000005</v>
      </c>
      <c r="G638">
        <v>2187</v>
      </c>
      <c r="H638" s="116"/>
      <c r="I638" s="116"/>
      <c r="L638" s="170">
        <v>46021</v>
      </c>
      <c r="M638" s="116">
        <v>72.02</v>
      </c>
      <c r="N638" s="116">
        <v>73.900000000000006</v>
      </c>
      <c r="O638" s="116">
        <v>70.2</v>
      </c>
      <c r="P638" s="116">
        <v>71.209999999999994</v>
      </c>
      <c r="Q638" s="116">
        <v>72.02</v>
      </c>
      <c r="R638">
        <v>91404</v>
      </c>
    </row>
    <row r="639" spans="1:18" x14ac:dyDescent="0.25">
      <c r="A639" s="170">
        <v>46022</v>
      </c>
      <c r="B639" s="116">
        <v>76.98</v>
      </c>
      <c r="C639" s="116">
        <v>73.22</v>
      </c>
      <c r="D639" s="116">
        <v>72.010000000000005</v>
      </c>
      <c r="E639" s="116">
        <v>76.98</v>
      </c>
      <c r="F639" s="116">
        <v>73.22</v>
      </c>
      <c r="G639">
        <v>13720</v>
      </c>
      <c r="H639" s="116"/>
      <c r="I639" s="116"/>
      <c r="L639" s="170">
        <v>46022</v>
      </c>
      <c r="M639" s="116">
        <v>73.8</v>
      </c>
      <c r="N639" s="116">
        <v>74.2</v>
      </c>
      <c r="O639" s="116">
        <v>72.069999999999993</v>
      </c>
      <c r="P639" s="116">
        <v>72.75</v>
      </c>
      <c r="Q639" s="116">
        <v>73.8</v>
      </c>
      <c r="R639">
        <v>88176</v>
      </c>
    </row>
    <row r="640" spans="1:18" x14ac:dyDescent="0.25">
      <c r="A640" s="170">
        <v>46023</v>
      </c>
      <c r="B640" s="116">
        <v>74</v>
      </c>
      <c r="C640" s="116">
        <v>73.87</v>
      </c>
      <c r="D640" s="116">
        <v>72.91</v>
      </c>
      <c r="E640" s="116">
        <v>73.819999999999993</v>
      </c>
      <c r="F640" s="116">
        <v>73.87</v>
      </c>
      <c r="G640">
        <v>2250</v>
      </c>
      <c r="H640" s="116"/>
      <c r="I640" s="116"/>
      <c r="L640" s="170">
        <v>46023</v>
      </c>
      <c r="M640" s="116">
        <v>74.06</v>
      </c>
      <c r="N640" s="116">
        <v>74.5</v>
      </c>
      <c r="O640" s="116">
        <v>73.069999999999993</v>
      </c>
      <c r="P640" s="116">
        <v>74.5</v>
      </c>
      <c r="Q640" s="116">
        <v>74.06</v>
      </c>
      <c r="R640">
        <v>27965</v>
      </c>
    </row>
    <row r="641" spans="1:18" x14ac:dyDescent="0.25">
      <c r="A641" s="170">
        <v>46024</v>
      </c>
      <c r="B641" s="116">
        <v>77.58</v>
      </c>
      <c r="C641" s="116">
        <v>76.17</v>
      </c>
      <c r="D641" s="116">
        <v>73.73</v>
      </c>
      <c r="E641" s="116">
        <v>73.84</v>
      </c>
      <c r="F641" s="116">
        <v>76.17</v>
      </c>
      <c r="G641">
        <v>13994</v>
      </c>
      <c r="H641" s="116"/>
      <c r="I641" s="116"/>
      <c r="L641" s="170">
        <v>46024</v>
      </c>
      <c r="M641" s="116">
        <v>76.77</v>
      </c>
      <c r="N641" s="116">
        <v>77.349999999999994</v>
      </c>
      <c r="O641" s="116">
        <v>73.5</v>
      </c>
      <c r="P641" s="116">
        <v>73.5</v>
      </c>
      <c r="Q641" s="116">
        <v>76.77</v>
      </c>
      <c r="R641">
        <v>222386</v>
      </c>
    </row>
    <row r="642" spans="1:18" x14ac:dyDescent="0.25">
      <c r="A642" s="170">
        <v>46027</v>
      </c>
      <c r="B642" s="116">
        <v>77.88</v>
      </c>
      <c r="C642" s="116">
        <v>76.400000000000006</v>
      </c>
      <c r="D642" s="116">
        <v>75.760000000000005</v>
      </c>
      <c r="E642" s="116">
        <v>77.88</v>
      </c>
      <c r="F642" s="116">
        <v>76.400000000000006</v>
      </c>
      <c r="G642">
        <v>2111</v>
      </c>
      <c r="H642" s="116"/>
      <c r="I642" s="116"/>
      <c r="L642" s="170">
        <v>46027</v>
      </c>
      <c r="M642" s="116">
        <v>76.8</v>
      </c>
      <c r="N642" s="116">
        <v>77.489999999999995</v>
      </c>
      <c r="O642" s="116">
        <v>75.7</v>
      </c>
      <c r="P642" s="116">
        <v>77.400000000000006</v>
      </c>
      <c r="Q642" s="116">
        <v>76.8</v>
      </c>
      <c r="R642">
        <v>68254</v>
      </c>
    </row>
    <row r="643" spans="1:18" x14ac:dyDescent="0.25">
      <c r="A643" s="170">
        <v>46028</v>
      </c>
      <c r="B643" s="116">
        <v>76.45</v>
      </c>
      <c r="C643" s="116">
        <v>74.53</v>
      </c>
      <c r="D643" s="116">
        <v>74.22</v>
      </c>
      <c r="E643" s="116">
        <v>75.66</v>
      </c>
      <c r="F643" s="116">
        <v>74.53</v>
      </c>
      <c r="G643">
        <v>3445</v>
      </c>
      <c r="H643" s="116"/>
      <c r="I643" s="116"/>
      <c r="L643" s="170">
        <v>46028</v>
      </c>
      <c r="M643" s="116">
        <v>74.77</v>
      </c>
      <c r="N643" s="116">
        <v>77.489999999999995</v>
      </c>
      <c r="O643" s="116">
        <v>74.069999999999993</v>
      </c>
      <c r="P643" s="116">
        <v>76.010000000000005</v>
      </c>
      <c r="Q643" s="116">
        <v>74.77</v>
      </c>
      <c r="R643">
        <v>180351</v>
      </c>
    </row>
    <row r="644" spans="1:18" x14ac:dyDescent="0.25">
      <c r="A644" s="170">
        <v>46029</v>
      </c>
      <c r="B644" s="116">
        <v>75.989999999999995</v>
      </c>
      <c r="C644" s="116">
        <v>74.45</v>
      </c>
      <c r="D644" s="116">
        <v>74.010000000000005</v>
      </c>
      <c r="E644" s="116">
        <v>75.150000000000006</v>
      </c>
      <c r="F644" s="116">
        <v>74.45</v>
      </c>
      <c r="G644">
        <v>6022</v>
      </c>
      <c r="H644" s="116"/>
      <c r="I644" s="116"/>
      <c r="L644" s="170">
        <v>46029</v>
      </c>
      <c r="M644" s="116">
        <v>74.47</v>
      </c>
      <c r="N644" s="116">
        <v>76.72</v>
      </c>
      <c r="O644" s="116">
        <v>73.5</v>
      </c>
      <c r="P644" s="116">
        <v>74.900000000000006</v>
      </c>
      <c r="Q644" s="116">
        <v>74.47</v>
      </c>
      <c r="R644">
        <v>306249</v>
      </c>
    </row>
    <row r="645" spans="1:18" x14ac:dyDescent="0.25">
      <c r="A645" s="170">
        <v>46030</v>
      </c>
      <c r="B645" s="116">
        <v>78</v>
      </c>
      <c r="C645" s="116">
        <v>74.08</v>
      </c>
      <c r="D645" s="116">
        <v>73.38</v>
      </c>
      <c r="E645" s="116">
        <v>78</v>
      </c>
      <c r="F645" s="116">
        <v>74.08</v>
      </c>
      <c r="G645">
        <v>37253</v>
      </c>
      <c r="H645" s="116"/>
      <c r="I645" s="116"/>
      <c r="L645" s="170">
        <v>46030</v>
      </c>
      <c r="M645" s="116">
        <v>73.64</v>
      </c>
      <c r="N645" s="116">
        <v>75.41</v>
      </c>
      <c r="O645" s="116">
        <v>72.989999999999995</v>
      </c>
      <c r="P645" s="116">
        <v>73.510000000000005</v>
      </c>
      <c r="Q645" s="116">
        <v>73.64</v>
      </c>
      <c r="R645">
        <v>248230</v>
      </c>
    </row>
    <row r="646" spans="1:18" x14ac:dyDescent="0.25">
      <c r="A646" s="170">
        <v>46031</v>
      </c>
      <c r="B646" s="116">
        <v>73.95</v>
      </c>
      <c r="C646" s="116">
        <v>73.08</v>
      </c>
      <c r="D646" s="116">
        <v>72.5</v>
      </c>
      <c r="E646" s="116">
        <v>73.66</v>
      </c>
      <c r="F646" s="116">
        <v>73.08</v>
      </c>
      <c r="G646">
        <v>2199</v>
      </c>
      <c r="H646" s="116"/>
      <c r="I646" s="116"/>
      <c r="L646" s="170">
        <v>46031</v>
      </c>
      <c r="M646" s="116">
        <v>73.17</v>
      </c>
      <c r="N646" s="116">
        <v>73.89</v>
      </c>
      <c r="O646" s="116">
        <v>72.23</v>
      </c>
      <c r="P646" s="116">
        <v>72.52</v>
      </c>
      <c r="Q646" s="116">
        <v>73.17</v>
      </c>
      <c r="R646">
        <v>61716</v>
      </c>
    </row>
    <row r="647" spans="1:18" x14ac:dyDescent="0.25">
      <c r="A647" s="170">
        <v>46034</v>
      </c>
      <c r="B647" s="116">
        <v>72.88</v>
      </c>
      <c r="C647" s="116">
        <v>72</v>
      </c>
      <c r="D647" s="116">
        <v>71.06</v>
      </c>
      <c r="E647" s="116">
        <v>72.5</v>
      </c>
      <c r="F647" s="116">
        <v>72</v>
      </c>
      <c r="G647">
        <v>5897</v>
      </c>
      <c r="H647" s="116"/>
      <c r="I647" s="116"/>
      <c r="L647" s="170">
        <v>46034</v>
      </c>
      <c r="M647" s="116">
        <v>72.2</v>
      </c>
      <c r="N647" s="116">
        <v>73.900000000000006</v>
      </c>
      <c r="O647" s="116">
        <v>71.099999999999994</v>
      </c>
      <c r="P647" s="116">
        <v>72.3</v>
      </c>
      <c r="Q647" s="116">
        <v>72.2</v>
      </c>
      <c r="R647">
        <v>99673</v>
      </c>
    </row>
    <row r="648" spans="1:18" x14ac:dyDescent="0.25">
      <c r="A648" s="170">
        <v>46035</v>
      </c>
      <c r="B648" s="116">
        <v>74.67</v>
      </c>
      <c r="C648" s="116">
        <v>73.930000000000007</v>
      </c>
      <c r="D648" s="116">
        <v>72</v>
      </c>
      <c r="E648" s="116">
        <v>72</v>
      </c>
      <c r="F648" s="116">
        <v>73.930000000000007</v>
      </c>
      <c r="G648">
        <v>4301</v>
      </c>
      <c r="H648" s="116"/>
      <c r="I648" s="116"/>
      <c r="L648" s="170">
        <v>46035</v>
      </c>
      <c r="M648" s="116">
        <v>74.209999999999994</v>
      </c>
      <c r="N648" s="116">
        <v>74.709999999999994</v>
      </c>
      <c r="O648" s="116">
        <v>72.209999999999994</v>
      </c>
      <c r="P648" s="116">
        <v>72.75</v>
      </c>
      <c r="Q648" s="116">
        <v>74.209999999999994</v>
      </c>
      <c r="R648">
        <v>126237</v>
      </c>
    </row>
    <row r="649" spans="1:18" x14ac:dyDescent="0.25">
      <c r="A649" s="170">
        <v>46036</v>
      </c>
      <c r="B649" s="116">
        <v>74.95</v>
      </c>
      <c r="C649" s="116">
        <v>73.989999999999995</v>
      </c>
      <c r="D649" s="116">
        <v>73.37</v>
      </c>
      <c r="E649" s="116">
        <v>73.92</v>
      </c>
      <c r="F649" s="116">
        <v>73.989999999999995</v>
      </c>
      <c r="G649">
        <v>1113</v>
      </c>
      <c r="H649" s="116"/>
      <c r="I649" s="116"/>
      <c r="L649" s="170">
        <v>46036</v>
      </c>
      <c r="M649" s="116">
        <v>73.89</v>
      </c>
      <c r="N649" s="116">
        <v>75.2</v>
      </c>
      <c r="O649" s="116">
        <v>73.28</v>
      </c>
      <c r="P649" s="116">
        <v>74.239999999999995</v>
      </c>
      <c r="Q649" s="116">
        <v>73.89</v>
      </c>
      <c r="R649">
        <v>79896</v>
      </c>
    </row>
    <row r="650" spans="1:18" x14ac:dyDescent="0.25">
      <c r="A650" s="170">
        <v>46038</v>
      </c>
      <c r="B650" s="116">
        <v>74.069999999999993</v>
      </c>
      <c r="C650" s="116">
        <v>73.98</v>
      </c>
      <c r="D650" s="116">
        <v>73.23</v>
      </c>
      <c r="E650" s="116">
        <v>73.760000000000005</v>
      </c>
      <c r="F650" s="116">
        <v>73.98</v>
      </c>
      <c r="G650">
        <v>2097</v>
      </c>
      <c r="H650" s="116"/>
      <c r="I650" s="116"/>
      <c r="L650" s="170">
        <v>46038</v>
      </c>
      <c r="M650" s="116">
        <v>74.03</v>
      </c>
      <c r="N650" s="116">
        <v>75</v>
      </c>
      <c r="O650" s="116">
        <v>73</v>
      </c>
      <c r="P650" s="116">
        <v>73.150000000000006</v>
      </c>
      <c r="Q650" s="116">
        <v>74.03</v>
      </c>
      <c r="R650">
        <v>75808</v>
      </c>
    </row>
    <row r="651" spans="1:18" x14ac:dyDescent="0.25">
      <c r="A651" s="170">
        <v>46041</v>
      </c>
      <c r="B651" s="116">
        <v>74.239999999999995</v>
      </c>
      <c r="C651" s="116">
        <v>72.75</v>
      </c>
      <c r="D651" s="116">
        <v>72.040000000000006</v>
      </c>
      <c r="E651" s="116">
        <v>74.239999999999995</v>
      </c>
      <c r="F651" s="116">
        <v>72.75</v>
      </c>
      <c r="G651">
        <v>1477</v>
      </c>
      <c r="H651" s="116"/>
      <c r="I651" s="116"/>
      <c r="L651" s="170">
        <v>46041</v>
      </c>
      <c r="M651" s="116">
        <v>72.64</v>
      </c>
      <c r="N651" s="116">
        <v>74.67</v>
      </c>
      <c r="O651" s="116">
        <v>72.099999999999994</v>
      </c>
      <c r="P651" s="116">
        <v>74.03</v>
      </c>
      <c r="Q651" s="116">
        <v>72.64</v>
      </c>
      <c r="R651">
        <v>69260</v>
      </c>
    </row>
    <row r="652" spans="1:18" x14ac:dyDescent="0.25">
      <c r="A652" s="170">
        <v>46042</v>
      </c>
      <c r="B652" s="116">
        <v>73.2</v>
      </c>
      <c r="C652" s="116">
        <v>70.760000000000005</v>
      </c>
      <c r="D652" s="116">
        <v>70.47</v>
      </c>
      <c r="E652" s="116">
        <v>73</v>
      </c>
      <c r="F652" s="116">
        <v>70.760000000000005</v>
      </c>
      <c r="G652">
        <v>4895</v>
      </c>
      <c r="H652" s="116"/>
      <c r="I652" s="116"/>
      <c r="L652" s="170">
        <v>46042</v>
      </c>
      <c r="M652" s="116">
        <v>71.180000000000007</v>
      </c>
      <c r="N652" s="116">
        <v>73.28</v>
      </c>
      <c r="O652" s="116">
        <v>70.75</v>
      </c>
      <c r="P652" s="116">
        <v>73.099999999999994</v>
      </c>
      <c r="Q652" s="116">
        <v>71.180000000000007</v>
      </c>
      <c r="R652">
        <v>100803</v>
      </c>
    </row>
    <row r="653" spans="1:18" x14ac:dyDescent="0.25">
      <c r="A653" s="170">
        <v>46043</v>
      </c>
      <c r="B653" s="116">
        <v>72.599999999999994</v>
      </c>
      <c r="C653" s="116">
        <v>69.45</v>
      </c>
      <c r="D653" s="116">
        <v>69.25</v>
      </c>
      <c r="E653" s="116">
        <v>71.5</v>
      </c>
      <c r="F653" s="116">
        <v>69.45</v>
      </c>
      <c r="G653">
        <v>9621</v>
      </c>
      <c r="H653" s="116"/>
      <c r="I653" s="116"/>
      <c r="L653" s="170">
        <v>46043</v>
      </c>
      <c r="M653" s="116">
        <v>69.48</v>
      </c>
      <c r="N653" s="116">
        <v>72.790000000000006</v>
      </c>
      <c r="O653" s="116">
        <v>69.209999999999994</v>
      </c>
      <c r="P653" s="116">
        <v>71</v>
      </c>
      <c r="Q653" s="116">
        <v>69.48</v>
      </c>
      <c r="R653">
        <v>381563</v>
      </c>
    </row>
    <row r="654" spans="1:18" x14ac:dyDescent="0.25">
      <c r="A654" s="170">
        <v>46044</v>
      </c>
      <c r="B654" s="116">
        <v>72.25</v>
      </c>
      <c r="C654" s="116">
        <v>71.19</v>
      </c>
      <c r="D654" s="116">
        <v>70.63</v>
      </c>
      <c r="E654" s="116">
        <v>71.239999999999995</v>
      </c>
      <c r="F654" s="116">
        <v>71.19</v>
      </c>
      <c r="G654">
        <v>3253</v>
      </c>
      <c r="H654" s="116"/>
      <c r="I654" s="116"/>
      <c r="L654" s="170">
        <v>46044</v>
      </c>
      <c r="M654" s="116">
        <v>71.03</v>
      </c>
      <c r="N654" s="116">
        <v>72.25</v>
      </c>
      <c r="O654" s="116">
        <v>70.930000000000007</v>
      </c>
      <c r="P654" s="116">
        <v>71.67</v>
      </c>
      <c r="Q654" s="116">
        <v>71.03</v>
      </c>
      <c r="R654">
        <v>94984</v>
      </c>
    </row>
    <row r="655" spans="1:18" x14ac:dyDescent="0.25">
      <c r="A655" s="170">
        <v>46045</v>
      </c>
      <c r="B655" s="116">
        <v>71.34</v>
      </c>
      <c r="C655" s="116">
        <v>70.75</v>
      </c>
      <c r="D655" s="116">
        <v>70.3</v>
      </c>
      <c r="E655" s="116">
        <v>71.239999999999995</v>
      </c>
      <c r="F655" s="116">
        <v>70.75</v>
      </c>
      <c r="G655">
        <v>2117</v>
      </c>
      <c r="H655" s="116"/>
      <c r="I655" s="116"/>
      <c r="L655" s="170">
        <v>46045</v>
      </c>
      <c r="M655" s="116">
        <v>70.67</v>
      </c>
      <c r="N655" s="116">
        <v>71.45</v>
      </c>
      <c r="O655" s="116">
        <v>70.2</v>
      </c>
      <c r="P655" s="116">
        <v>71.03</v>
      </c>
      <c r="Q655" s="116">
        <v>70.67</v>
      </c>
      <c r="R655">
        <v>73140</v>
      </c>
    </row>
    <row r="656" spans="1:18" x14ac:dyDescent="0.25">
      <c r="A656" s="170">
        <v>46049</v>
      </c>
      <c r="B656" s="116">
        <v>73.680000000000007</v>
      </c>
      <c r="C656" s="116">
        <v>73.12</v>
      </c>
      <c r="D656" s="116">
        <v>70.41</v>
      </c>
      <c r="E656" s="116">
        <v>73.680000000000007</v>
      </c>
      <c r="F656" s="116">
        <v>73.12</v>
      </c>
      <c r="G656">
        <v>3150</v>
      </c>
      <c r="H656" s="116"/>
      <c r="I656" s="116"/>
      <c r="L656" s="170">
        <v>46049</v>
      </c>
      <c r="M656" s="116">
        <v>73.05</v>
      </c>
      <c r="N656" s="116">
        <v>73.400000000000006</v>
      </c>
      <c r="O656" s="116">
        <v>70.53</v>
      </c>
      <c r="P656" s="116">
        <v>72.150000000000006</v>
      </c>
      <c r="Q656" s="116">
        <v>73.05</v>
      </c>
      <c r="R656">
        <v>117097</v>
      </c>
    </row>
    <row r="657" spans="1:18" x14ac:dyDescent="0.25">
      <c r="A657" s="170">
        <v>46050</v>
      </c>
      <c r="B657" s="116">
        <v>77.66</v>
      </c>
      <c r="C657" s="116">
        <v>77.06</v>
      </c>
      <c r="D657" s="116">
        <v>73.27</v>
      </c>
      <c r="E657" s="116">
        <v>73.5</v>
      </c>
      <c r="F657" s="116">
        <v>77.06</v>
      </c>
      <c r="G657">
        <v>11842</v>
      </c>
      <c r="H657" s="116"/>
      <c r="I657" s="116"/>
      <c r="L657" s="170">
        <v>46050</v>
      </c>
      <c r="M657" s="116">
        <v>77.260000000000005</v>
      </c>
      <c r="N657" s="116">
        <v>78.09</v>
      </c>
      <c r="O657" s="116">
        <v>73.2</v>
      </c>
      <c r="P657" s="116">
        <v>74</v>
      </c>
      <c r="Q657" s="116">
        <v>77.260000000000005</v>
      </c>
      <c r="R657">
        <v>171085</v>
      </c>
    </row>
    <row r="658" spans="1:18" x14ac:dyDescent="0.25">
      <c r="A658" s="170">
        <v>46051</v>
      </c>
      <c r="B658" s="116">
        <v>81.98</v>
      </c>
      <c r="C658" s="116">
        <v>78.13</v>
      </c>
      <c r="D658" s="116">
        <v>75.260000000000005</v>
      </c>
      <c r="E658" s="116">
        <v>78.98</v>
      </c>
      <c r="F658" s="116">
        <v>78.13</v>
      </c>
      <c r="G658">
        <v>19739</v>
      </c>
      <c r="H658" s="116"/>
      <c r="I658" s="116"/>
      <c r="L658" s="170">
        <v>46051</v>
      </c>
      <c r="M658" s="116">
        <v>78.13</v>
      </c>
      <c r="N658" s="116">
        <v>81.45</v>
      </c>
      <c r="O658" s="116">
        <v>75.3</v>
      </c>
      <c r="P658" s="116">
        <v>77.33</v>
      </c>
      <c r="Q658" s="116">
        <v>78.13</v>
      </c>
      <c r="R658">
        <v>461390</v>
      </c>
    </row>
    <row r="659" spans="1:18" x14ac:dyDescent="0.25">
      <c r="A659" s="170">
        <v>46052</v>
      </c>
      <c r="B659" s="116">
        <v>78.290000000000006</v>
      </c>
      <c r="C659" s="116">
        <v>76.12</v>
      </c>
      <c r="D659" s="116">
        <v>75.84</v>
      </c>
      <c r="E659" s="116">
        <v>78.2</v>
      </c>
      <c r="F659" s="116">
        <v>76.12</v>
      </c>
      <c r="G659">
        <v>5247</v>
      </c>
      <c r="H659" s="116"/>
      <c r="I659" s="116"/>
      <c r="L659" s="170">
        <v>46052</v>
      </c>
      <c r="M659" s="116">
        <v>76.28</v>
      </c>
      <c r="N659" s="116">
        <v>78</v>
      </c>
      <c r="O659" s="116">
        <v>75.81</v>
      </c>
      <c r="P659" s="116">
        <v>77.900000000000006</v>
      </c>
      <c r="Q659" s="116">
        <v>76.28</v>
      </c>
      <c r="R659">
        <v>101687</v>
      </c>
    </row>
    <row r="660" spans="1:18" x14ac:dyDescent="0.25">
      <c r="A660" s="170">
        <v>46054</v>
      </c>
      <c r="B660" s="116">
        <v>79.87</v>
      </c>
      <c r="C660" s="116">
        <v>74.599999999999994</v>
      </c>
      <c r="D660" s="116">
        <v>73.67</v>
      </c>
      <c r="E660" s="116">
        <v>78.8</v>
      </c>
      <c r="F660" s="116">
        <v>74.599999999999994</v>
      </c>
      <c r="G660">
        <v>6933</v>
      </c>
      <c r="H660" s="116"/>
      <c r="I660" s="116"/>
      <c r="L660" s="170">
        <v>46054</v>
      </c>
      <c r="M660" s="116">
        <v>74.290000000000006</v>
      </c>
      <c r="N660" s="116">
        <v>79.67</v>
      </c>
      <c r="O660" s="116">
        <v>73</v>
      </c>
      <c r="P660" s="116">
        <v>77.989999999999995</v>
      </c>
      <c r="Q660" s="116">
        <v>74.290000000000006</v>
      </c>
      <c r="R660">
        <v>177641</v>
      </c>
    </row>
    <row r="661" spans="1:18" x14ac:dyDescent="0.25">
      <c r="A661" s="170">
        <v>46055</v>
      </c>
      <c r="B661" s="116">
        <v>76.23</v>
      </c>
      <c r="C661" s="116">
        <v>72.290000000000006</v>
      </c>
      <c r="D661" s="116">
        <v>72.25</v>
      </c>
      <c r="E661" s="116">
        <v>76.23</v>
      </c>
      <c r="F661" s="116">
        <v>72.290000000000006</v>
      </c>
      <c r="G661">
        <v>882</v>
      </c>
      <c r="H661" s="116"/>
      <c r="I661" s="116"/>
      <c r="L661" s="170">
        <v>46055</v>
      </c>
      <c r="M661" s="116">
        <v>72.459999999999994</v>
      </c>
      <c r="N661" s="116">
        <v>74.290000000000006</v>
      </c>
      <c r="O661" s="116">
        <v>72.2</v>
      </c>
      <c r="P661" s="116">
        <v>73.3</v>
      </c>
      <c r="Q661" s="116">
        <v>72.459999999999994</v>
      </c>
      <c r="R661">
        <v>64960</v>
      </c>
    </row>
    <row r="662" spans="1:18" x14ac:dyDescent="0.25">
      <c r="A662" s="170">
        <v>46056</v>
      </c>
      <c r="B662" s="116">
        <v>86.4</v>
      </c>
      <c r="C662" s="116">
        <v>78.400000000000006</v>
      </c>
      <c r="D662" s="116">
        <v>78.099999999999994</v>
      </c>
      <c r="E662" s="116">
        <v>80</v>
      </c>
      <c r="F662" s="116">
        <v>78.400000000000006</v>
      </c>
      <c r="G662">
        <v>36434</v>
      </c>
      <c r="H662" s="116"/>
      <c r="I662" s="116"/>
      <c r="L662" s="170">
        <v>46056</v>
      </c>
      <c r="M662" s="116">
        <v>78.41</v>
      </c>
      <c r="N662" s="116">
        <v>86.95</v>
      </c>
      <c r="O662" s="116">
        <v>76.7</v>
      </c>
      <c r="P662" s="116">
        <v>82</v>
      </c>
      <c r="Q662" s="116">
        <v>78.41</v>
      </c>
      <c r="R662">
        <v>727148</v>
      </c>
    </row>
    <row r="663" spans="1:18" x14ac:dyDescent="0.25">
      <c r="A663" s="170">
        <v>46057</v>
      </c>
      <c r="B663" s="116">
        <v>84.4</v>
      </c>
      <c r="C663" s="116">
        <v>80.459999999999994</v>
      </c>
      <c r="D663" s="116">
        <v>78</v>
      </c>
      <c r="E663" s="116">
        <v>78.3</v>
      </c>
      <c r="F663" s="116">
        <v>80.459999999999994</v>
      </c>
      <c r="G663">
        <v>22074</v>
      </c>
      <c r="H663" s="116"/>
      <c r="I663" s="116"/>
      <c r="L663" s="170">
        <v>46057</v>
      </c>
      <c r="M663" s="116">
        <v>80.83</v>
      </c>
      <c r="N663" s="116">
        <v>84.89</v>
      </c>
      <c r="O663" s="116">
        <v>77.94</v>
      </c>
      <c r="P663" s="116">
        <v>79.19</v>
      </c>
      <c r="Q663" s="116">
        <v>80.83</v>
      </c>
      <c r="R663">
        <v>426460</v>
      </c>
    </row>
    <row r="664" spans="1:18" x14ac:dyDescent="0.25">
      <c r="A664" s="170">
        <v>46058</v>
      </c>
      <c r="B664" s="116">
        <v>81.13</v>
      </c>
      <c r="C664" s="116">
        <v>79.510000000000005</v>
      </c>
      <c r="D664" s="116">
        <v>79</v>
      </c>
      <c r="E664" s="116">
        <v>80.900000000000006</v>
      </c>
      <c r="F664" s="116">
        <v>79.510000000000005</v>
      </c>
      <c r="G664">
        <v>2053</v>
      </c>
      <c r="H664" s="116"/>
      <c r="I664" s="116"/>
      <c r="L664" s="170">
        <v>46058</v>
      </c>
      <c r="M664" s="116">
        <v>79.72</v>
      </c>
      <c r="N664" s="116">
        <v>81.48</v>
      </c>
      <c r="O664" s="116">
        <v>78.8</v>
      </c>
      <c r="P664" s="116">
        <v>81.39</v>
      </c>
      <c r="Q664" s="116">
        <v>79.72</v>
      </c>
      <c r="R664">
        <v>149423</v>
      </c>
    </row>
    <row r="665" spans="1:18" x14ac:dyDescent="0.25">
      <c r="A665" s="170">
        <v>46059</v>
      </c>
      <c r="B665" s="116">
        <v>78.790000000000006</v>
      </c>
      <c r="C665" s="116">
        <v>77.8</v>
      </c>
      <c r="D665" s="116">
        <v>77.709999999999994</v>
      </c>
      <c r="E665" s="116">
        <v>77.959999999999994</v>
      </c>
      <c r="F665" s="116">
        <v>77.8</v>
      </c>
      <c r="G665">
        <v>2248</v>
      </c>
      <c r="H665" s="116"/>
      <c r="I665" s="116"/>
      <c r="L665" s="170">
        <v>46059</v>
      </c>
      <c r="M665" s="116">
        <v>78.319999999999993</v>
      </c>
      <c r="N665" s="116">
        <v>79.510000000000005</v>
      </c>
      <c r="O665" s="116">
        <v>77.709999999999994</v>
      </c>
      <c r="P665" s="116">
        <v>79.5</v>
      </c>
      <c r="Q665" s="116">
        <v>78.319999999999993</v>
      </c>
      <c r="R665">
        <v>75909</v>
      </c>
    </row>
    <row r="666" spans="1:18" x14ac:dyDescent="0.25">
      <c r="A666" s="170">
        <v>46062</v>
      </c>
      <c r="B666" s="116">
        <v>85.38</v>
      </c>
      <c r="C666" s="116">
        <v>83.44</v>
      </c>
      <c r="D666" s="116">
        <v>79.239999999999995</v>
      </c>
      <c r="E666" s="116">
        <v>79.56</v>
      </c>
      <c r="F666" s="116">
        <v>83.44</v>
      </c>
      <c r="G666">
        <v>10689</v>
      </c>
      <c r="H666" s="116"/>
      <c r="I666" s="116"/>
      <c r="L666" s="170">
        <v>46062</v>
      </c>
      <c r="M666" s="116">
        <v>83.46</v>
      </c>
      <c r="N666" s="116">
        <v>86</v>
      </c>
      <c r="O666" s="116">
        <v>78.5</v>
      </c>
      <c r="P666" s="116">
        <v>80.849999999999994</v>
      </c>
      <c r="Q666" s="116">
        <v>83.46</v>
      </c>
      <c r="R666">
        <v>372885</v>
      </c>
    </row>
    <row r="667" spans="1:18" x14ac:dyDescent="0.25">
      <c r="A667" s="170">
        <v>46063</v>
      </c>
      <c r="B667" s="116">
        <v>82.64</v>
      </c>
      <c r="C667" s="116">
        <v>79.599999999999994</v>
      </c>
      <c r="D667" s="116">
        <v>79.12</v>
      </c>
      <c r="E667" s="116">
        <v>81.510000000000005</v>
      </c>
      <c r="F667" s="116">
        <v>79.599999999999994</v>
      </c>
      <c r="G667">
        <v>21564</v>
      </c>
      <c r="H667" s="116"/>
      <c r="I667" s="116"/>
      <c r="L667" s="170">
        <v>46063</v>
      </c>
      <c r="M667" s="116">
        <v>79.61</v>
      </c>
      <c r="N667" s="116">
        <v>82.31</v>
      </c>
      <c r="O667" s="116">
        <v>79.16</v>
      </c>
      <c r="P667" s="116">
        <v>82.2</v>
      </c>
      <c r="Q667" s="116">
        <v>79.61</v>
      </c>
      <c r="R667">
        <v>434852</v>
      </c>
    </row>
    <row r="668" spans="1:18" x14ac:dyDescent="0.25">
      <c r="A668" s="170">
        <v>46064</v>
      </c>
      <c r="B668" s="116">
        <v>80.06</v>
      </c>
      <c r="C668" s="116">
        <v>78.260000000000005</v>
      </c>
      <c r="D668" s="116">
        <v>78.010000000000005</v>
      </c>
      <c r="E668" s="116">
        <v>78.010000000000005</v>
      </c>
      <c r="F668" s="116">
        <v>78.260000000000005</v>
      </c>
      <c r="G668">
        <v>8496</v>
      </c>
      <c r="H668" s="116"/>
      <c r="I668" s="116"/>
      <c r="L668" s="170">
        <v>46064</v>
      </c>
      <c r="M668" s="116">
        <v>78.209999999999994</v>
      </c>
      <c r="N668" s="116">
        <v>79.98</v>
      </c>
      <c r="O668" s="116">
        <v>77.72</v>
      </c>
      <c r="P668" s="116">
        <v>79</v>
      </c>
      <c r="Q668" s="116">
        <v>78.209999999999994</v>
      </c>
      <c r="R668">
        <v>123991</v>
      </c>
    </row>
    <row r="669" spans="1:18" x14ac:dyDescent="0.25">
      <c r="A669" s="170">
        <v>46065</v>
      </c>
      <c r="B669" s="116">
        <v>77.7</v>
      </c>
      <c r="C669" s="116">
        <v>76.91</v>
      </c>
      <c r="D669" s="116">
        <v>76.790000000000006</v>
      </c>
      <c r="E669" s="116">
        <v>77.58</v>
      </c>
      <c r="F669" s="116">
        <v>76.91</v>
      </c>
      <c r="G669">
        <v>1231</v>
      </c>
      <c r="H669" s="116"/>
      <c r="I669" s="116"/>
      <c r="L669" s="170">
        <v>46065</v>
      </c>
      <c r="M669" s="116">
        <v>77.11</v>
      </c>
      <c r="N669" s="116">
        <v>78.62</v>
      </c>
      <c r="O669" s="116">
        <v>76.349999999999994</v>
      </c>
      <c r="P669" s="116">
        <v>78.62</v>
      </c>
      <c r="Q669" s="116">
        <v>77.11</v>
      </c>
      <c r="R669">
        <v>100357</v>
      </c>
    </row>
    <row r="670" spans="1:18" x14ac:dyDescent="0.25">
      <c r="A670" s="170">
        <v>46066</v>
      </c>
      <c r="B670" s="116">
        <v>81.28</v>
      </c>
      <c r="C670" s="116">
        <v>79.14</v>
      </c>
      <c r="D670" s="116">
        <v>76.33</v>
      </c>
      <c r="E670" s="116">
        <v>76.44</v>
      </c>
      <c r="F670" s="116">
        <v>79.14</v>
      </c>
      <c r="G670">
        <v>5103</v>
      </c>
      <c r="H670" s="116"/>
      <c r="I670" s="116"/>
      <c r="L670" s="170">
        <v>46066</v>
      </c>
      <c r="M670" s="116">
        <v>79.099999999999994</v>
      </c>
      <c r="N670" s="116">
        <v>81</v>
      </c>
      <c r="O670" s="116">
        <v>76.2</v>
      </c>
      <c r="P670" s="116">
        <v>76.2</v>
      </c>
      <c r="Q670" s="116">
        <v>79.099999999999994</v>
      </c>
      <c r="R670">
        <v>337092</v>
      </c>
    </row>
    <row r="671" spans="1:18" x14ac:dyDescent="0.25">
      <c r="A671" s="170">
        <v>46069</v>
      </c>
      <c r="B671" s="116">
        <v>80.319999999999993</v>
      </c>
      <c r="C671" s="116">
        <v>80.13</v>
      </c>
      <c r="D671" s="116">
        <v>74.2</v>
      </c>
      <c r="E671" s="116">
        <v>74.2</v>
      </c>
      <c r="F671" s="116">
        <v>80.13</v>
      </c>
      <c r="G671">
        <v>4137</v>
      </c>
      <c r="H671" s="116"/>
      <c r="I671" s="116"/>
      <c r="L671" s="170">
        <v>46069</v>
      </c>
      <c r="M671" s="116">
        <v>79.7</v>
      </c>
      <c r="N671" s="116">
        <v>80.2</v>
      </c>
      <c r="O671" s="116">
        <v>78.48</v>
      </c>
      <c r="P671" s="116">
        <v>79.55</v>
      </c>
      <c r="Q671" s="116">
        <v>79.7</v>
      </c>
      <c r="R671">
        <v>125874</v>
      </c>
    </row>
    <row r="672" spans="1:18" x14ac:dyDescent="0.25">
      <c r="A672" s="170">
        <v>46070</v>
      </c>
      <c r="B672" s="116">
        <v>81.48</v>
      </c>
      <c r="C672" s="116">
        <v>78.55</v>
      </c>
      <c r="D672" s="116">
        <v>78.05</v>
      </c>
      <c r="E672" s="116">
        <v>81.48</v>
      </c>
      <c r="F672" s="116">
        <v>78.55</v>
      </c>
      <c r="G672">
        <v>12248</v>
      </c>
      <c r="H672" s="116"/>
      <c r="I672" s="116"/>
      <c r="L672" s="170">
        <v>46070</v>
      </c>
      <c r="M672" s="116">
        <v>79.02</v>
      </c>
      <c r="N672" s="116">
        <v>81.41</v>
      </c>
      <c r="O672" s="116">
        <v>78.5</v>
      </c>
      <c r="P672" s="116">
        <v>79.709999999999994</v>
      </c>
      <c r="Q672" s="116">
        <v>79.02</v>
      </c>
      <c r="R672">
        <v>119051</v>
      </c>
    </row>
    <row r="673" spans="1:18" x14ac:dyDescent="0.25">
      <c r="A673" s="170">
        <v>46071</v>
      </c>
      <c r="B673" s="116">
        <v>79.02</v>
      </c>
      <c r="C673" s="116">
        <v>77.64</v>
      </c>
      <c r="D673" s="116">
        <v>76.55</v>
      </c>
      <c r="E673" s="116">
        <v>76.55</v>
      </c>
      <c r="F673" s="116">
        <v>77.64</v>
      </c>
      <c r="G673">
        <v>2464</v>
      </c>
      <c r="H673" s="116"/>
      <c r="I673" s="116"/>
      <c r="L673" s="170">
        <v>46071</v>
      </c>
      <c r="M673" s="116">
        <v>77.48</v>
      </c>
      <c r="N673" s="116">
        <v>79.150000000000006</v>
      </c>
      <c r="O673" s="116">
        <v>76.86</v>
      </c>
      <c r="P673" s="116">
        <v>78.260000000000005</v>
      </c>
      <c r="Q673" s="116">
        <v>77.48</v>
      </c>
      <c r="R673">
        <v>90634</v>
      </c>
    </row>
    <row r="674" spans="1:18" x14ac:dyDescent="0.25">
      <c r="A674" s="170">
        <v>46072</v>
      </c>
      <c r="B674" s="116">
        <v>84.49</v>
      </c>
      <c r="C674" s="116">
        <v>81.59</v>
      </c>
      <c r="D674" s="116">
        <v>76.59</v>
      </c>
      <c r="E674" s="116">
        <v>82.96</v>
      </c>
      <c r="F674" s="116">
        <v>81.59</v>
      </c>
      <c r="G674">
        <v>45709</v>
      </c>
      <c r="H674" s="116"/>
      <c r="I674" s="116"/>
      <c r="L674" s="170">
        <v>46072</v>
      </c>
      <c r="M674" s="116">
        <v>80.59</v>
      </c>
      <c r="N674" s="116">
        <v>84.3</v>
      </c>
      <c r="O674" s="116">
        <v>76.599999999999994</v>
      </c>
      <c r="P674" s="116">
        <v>78.069999999999993</v>
      </c>
      <c r="Q674" s="116">
        <v>80.59</v>
      </c>
      <c r="R674">
        <v>762584</v>
      </c>
    </row>
    <row r="675" spans="1:18" x14ac:dyDescent="0.25">
      <c r="A675" s="170">
        <v>46073</v>
      </c>
      <c r="B675" s="116">
        <v>82.5</v>
      </c>
      <c r="C675" s="116">
        <v>81.33</v>
      </c>
      <c r="D675" s="116">
        <v>78.06</v>
      </c>
      <c r="E675" s="116">
        <v>78.8</v>
      </c>
      <c r="F675" s="116">
        <v>81.33</v>
      </c>
      <c r="G675">
        <v>30462</v>
      </c>
      <c r="H675" s="116"/>
      <c r="I675" s="116"/>
      <c r="L675" s="170">
        <v>46073</v>
      </c>
      <c r="M675" s="116">
        <v>81.599999999999994</v>
      </c>
      <c r="N675" s="116">
        <v>82.56</v>
      </c>
      <c r="O675" s="116">
        <v>78.5</v>
      </c>
      <c r="P675" s="116">
        <v>80.5</v>
      </c>
      <c r="Q675" s="116">
        <v>81.599999999999994</v>
      </c>
      <c r="R675">
        <v>249964</v>
      </c>
    </row>
    <row r="676" spans="1:18" x14ac:dyDescent="0.25">
      <c r="A676" s="170">
        <v>46076</v>
      </c>
      <c r="B676" s="116">
        <v>84</v>
      </c>
      <c r="C676" s="116">
        <v>80.819999999999993</v>
      </c>
      <c r="D676" s="116">
        <v>79.55</v>
      </c>
      <c r="E676" s="116">
        <v>84</v>
      </c>
      <c r="F676" s="116">
        <v>80.819999999999993</v>
      </c>
      <c r="G676">
        <v>9167</v>
      </c>
      <c r="H676" s="116"/>
      <c r="I676" s="116"/>
      <c r="L676" s="170">
        <v>46076</v>
      </c>
      <c r="M676" s="116">
        <v>80.790000000000006</v>
      </c>
      <c r="N676" s="116">
        <v>82.6</v>
      </c>
      <c r="O676" s="116">
        <v>79.400000000000006</v>
      </c>
      <c r="P676" s="116">
        <v>82.6</v>
      </c>
      <c r="Q676" s="116">
        <v>80.790000000000006</v>
      </c>
      <c r="R676">
        <v>231618</v>
      </c>
    </row>
    <row r="677" spans="1:18" x14ac:dyDescent="0.25">
      <c r="A677" s="170">
        <v>46077</v>
      </c>
      <c r="B677" s="116">
        <v>80.3</v>
      </c>
      <c r="C677" s="116">
        <v>77.95</v>
      </c>
      <c r="D677" s="116">
        <v>77.39</v>
      </c>
      <c r="E677" s="116">
        <v>78.89</v>
      </c>
      <c r="F677" s="116">
        <v>77.95</v>
      </c>
      <c r="G677">
        <v>14883</v>
      </c>
      <c r="H677" s="116"/>
      <c r="I677" s="116"/>
      <c r="L677" s="170">
        <v>46077</v>
      </c>
      <c r="M677" s="116">
        <v>77.87</v>
      </c>
      <c r="N677" s="116">
        <v>80.489999999999995</v>
      </c>
      <c r="O677" s="116">
        <v>77.099999999999994</v>
      </c>
      <c r="P677" s="116">
        <v>79.5</v>
      </c>
      <c r="Q677" s="116">
        <v>77.87</v>
      </c>
      <c r="R677">
        <v>352443</v>
      </c>
    </row>
    <row r="678" spans="1:18" x14ac:dyDescent="0.25">
      <c r="A678" s="170">
        <v>46078</v>
      </c>
      <c r="B678" s="116">
        <v>80.05</v>
      </c>
      <c r="C678" s="116">
        <v>77.03</v>
      </c>
      <c r="D678" s="116">
        <v>77</v>
      </c>
      <c r="E678" s="116">
        <v>78.2</v>
      </c>
      <c r="F678" s="116">
        <v>77.03</v>
      </c>
      <c r="G678">
        <v>36896</v>
      </c>
      <c r="H678" s="116"/>
      <c r="I678" s="116"/>
      <c r="L678" s="170">
        <v>46078</v>
      </c>
      <c r="M678" s="116">
        <v>77.260000000000005</v>
      </c>
      <c r="N678" s="116">
        <v>80.52</v>
      </c>
      <c r="O678" s="116">
        <v>77</v>
      </c>
      <c r="P678" s="116">
        <v>78.489999999999995</v>
      </c>
      <c r="Q678" s="116">
        <v>77.260000000000005</v>
      </c>
      <c r="R678">
        <v>112285</v>
      </c>
    </row>
    <row r="679" spans="1:18" x14ac:dyDescent="0.25">
      <c r="A679" s="170">
        <v>46079</v>
      </c>
      <c r="B679" s="116">
        <v>77.45</v>
      </c>
      <c r="C679" s="116">
        <v>76.790000000000006</v>
      </c>
      <c r="D679" s="116">
        <v>75.02</v>
      </c>
      <c r="E679" s="116">
        <v>75.02</v>
      </c>
      <c r="F679" s="116">
        <v>76.790000000000006</v>
      </c>
      <c r="G679">
        <v>2964</v>
      </c>
      <c r="H679" s="116"/>
      <c r="I679" s="116"/>
      <c r="L679" s="170">
        <v>46079</v>
      </c>
      <c r="M679" s="116">
        <v>76.760000000000005</v>
      </c>
      <c r="N679" s="116">
        <v>77.63</v>
      </c>
      <c r="O679" s="116">
        <v>76.3</v>
      </c>
      <c r="P679" s="116">
        <v>77.25</v>
      </c>
      <c r="Q679" s="116">
        <v>76.760000000000005</v>
      </c>
      <c r="R679">
        <v>93861</v>
      </c>
    </row>
    <row r="680" spans="1:18" x14ac:dyDescent="0.25">
      <c r="A680" s="170">
        <v>46080</v>
      </c>
      <c r="B680" s="116">
        <v>77.260000000000005</v>
      </c>
      <c r="C680" s="116">
        <v>76.41</v>
      </c>
      <c r="D680" s="116">
        <v>75.540000000000006</v>
      </c>
      <c r="E680" s="116">
        <v>76.09</v>
      </c>
      <c r="F680" s="116">
        <v>76.41</v>
      </c>
      <c r="G680">
        <v>8484</v>
      </c>
      <c r="H680" s="116"/>
      <c r="I680" s="116"/>
      <c r="L680" s="170">
        <v>46080</v>
      </c>
      <c r="M680" s="116">
        <v>76.400000000000006</v>
      </c>
      <c r="N680" s="116">
        <v>77.19</v>
      </c>
      <c r="O680" s="116">
        <v>76</v>
      </c>
      <c r="P680" s="116">
        <v>76.16</v>
      </c>
      <c r="Q680" s="116">
        <v>76.400000000000006</v>
      </c>
      <c r="R680">
        <v>105656</v>
      </c>
    </row>
    <row r="681" spans="1:18" x14ac:dyDescent="0.25">
      <c r="A681" s="170">
        <v>46083</v>
      </c>
      <c r="B681" s="116">
        <v>76</v>
      </c>
      <c r="C681" s="116">
        <v>73.83</v>
      </c>
      <c r="D681" s="116">
        <v>72.5</v>
      </c>
      <c r="E681" s="116">
        <v>72.5</v>
      </c>
      <c r="F681" s="116">
        <v>73.83</v>
      </c>
      <c r="G681">
        <v>9083</v>
      </c>
      <c r="H681" s="116"/>
      <c r="I681" s="116"/>
      <c r="L681" s="170">
        <v>46083</v>
      </c>
      <c r="M681" s="116">
        <v>73.55</v>
      </c>
      <c r="N681" s="116">
        <v>76.400000000000006</v>
      </c>
      <c r="O681" s="116">
        <v>72.8</v>
      </c>
      <c r="P681" s="116">
        <v>75</v>
      </c>
      <c r="Q681" s="116">
        <v>73.55</v>
      </c>
      <c r="R681">
        <v>149419</v>
      </c>
    </row>
    <row r="682" spans="1:18" x14ac:dyDescent="0.25">
      <c r="A682" s="170">
        <v>46085</v>
      </c>
      <c r="B682" s="116">
        <v>73.209999999999994</v>
      </c>
      <c r="C682" s="116">
        <v>72.52</v>
      </c>
      <c r="D682" s="116">
        <v>71.59</v>
      </c>
      <c r="E682" s="116">
        <v>72</v>
      </c>
      <c r="F682" s="116">
        <v>72.52</v>
      </c>
      <c r="G682">
        <v>9928</v>
      </c>
      <c r="H682" s="116"/>
      <c r="I682" s="116"/>
      <c r="L682" s="170">
        <v>46085</v>
      </c>
      <c r="M682" s="116">
        <v>72.680000000000007</v>
      </c>
      <c r="N682" s="116">
        <v>73.34</v>
      </c>
      <c r="O682" s="116">
        <v>71.36</v>
      </c>
      <c r="P682" s="116">
        <v>72.05</v>
      </c>
      <c r="Q682" s="116">
        <v>72.680000000000007</v>
      </c>
      <c r="R682">
        <v>233425</v>
      </c>
    </row>
    <row r="683" spans="1:18" x14ac:dyDescent="0.25">
      <c r="A683" s="170">
        <v>46086</v>
      </c>
      <c r="B683" s="116">
        <v>74.89</v>
      </c>
      <c r="C683" s="116">
        <v>74.5</v>
      </c>
      <c r="D683" s="116">
        <v>73</v>
      </c>
      <c r="E683" s="116">
        <v>73.06</v>
      </c>
      <c r="F683" s="116">
        <v>74.5</v>
      </c>
      <c r="G683">
        <v>936</v>
      </c>
      <c r="H683" s="116"/>
      <c r="I683" s="116"/>
      <c r="L683" s="170">
        <v>46086</v>
      </c>
      <c r="M683" s="116">
        <v>74.81</v>
      </c>
      <c r="N683" s="116">
        <v>75.900000000000006</v>
      </c>
      <c r="O683" s="116">
        <v>72.510000000000005</v>
      </c>
      <c r="P683" s="116">
        <v>72.52</v>
      </c>
      <c r="Q683" s="116">
        <v>74.81</v>
      </c>
      <c r="R683">
        <v>118951</v>
      </c>
    </row>
    <row r="684" spans="1:18" x14ac:dyDescent="0.25">
      <c r="A684" s="170">
        <v>46087</v>
      </c>
      <c r="B684" s="116">
        <v>74.84</v>
      </c>
      <c r="C684" s="116">
        <v>72.55</v>
      </c>
      <c r="D684" s="116">
        <v>72</v>
      </c>
      <c r="E684" s="116">
        <v>74.489999999999995</v>
      </c>
      <c r="F684" s="116">
        <v>72.55</v>
      </c>
      <c r="G684">
        <v>4563</v>
      </c>
      <c r="H684" s="116"/>
      <c r="I684" s="116"/>
      <c r="L684" s="170">
        <v>46087</v>
      </c>
      <c r="M684" s="116">
        <v>72.28</v>
      </c>
      <c r="N684" s="116">
        <v>75.36</v>
      </c>
      <c r="O684" s="116">
        <v>71.7</v>
      </c>
      <c r="P684" s="116">
        <v>74.319999999999993</v>
      </c>
      <c r="Q684" s="116">
        <v>72.28</v>
      </c>
      <c r="R684">
        <v>74072</v>
      </c>
    </row>
    <row r="685" spans="1:18" x14ac:dyDescent="0.25">
      <c r="A685" s="170">
        <v>46090</v>
      </c>
      <c r="B685" s="116">
        <v>72.87</v>
      </c>
      <c r="C685" s="116">
        <v>71.58</v>
      </c>
      <c r="D685" s="116">
        <v>71</v>
      </c>
      <c r="E685" s="116">
        <v>72</v>
      </c>
      <c r="F685" s="116">
        <v>71.58</v>
      </c>
      <c r="G685">
        <v>7570</v>
      </c>
      <c r="H685" s="116"/>
      <c r="I685" s="116"/>
      <c r="L685" s="170">
        <v>46090</v>
      </c>
      <c r="M685" s="116">
        <v>71.62</v>
      </c>
      <c r="N685" s="116">
        <v>72.7</v>
      </c>
      <c r="O685" s="116">
        <v>71.010000000000005</v>
      </c>
      <c r="P685" s="116">
        <v>71.89</v>
      </c>
      <c r="Q685" s="116">
        <v>71.62</v>
      </c>
      <c r="R685">
        <v>412149</v>
      </c>
    </row>
    <row r="686" spans="1:18" x14ac:dyDescent="0.25">
      <c r="A686" s="170">
        <v>46091</v>
      </c>
      <c r="B686" s="116">
        <v>75</v>
      </c>
      <c r="C686" s="116">
        <v>74.459999999999994</v>
      </c>
      <c r="D686" s="116">
        <v>71.400000000000006</v>
      </c>
      <c r="E686" s="116">
        <v>72.09</v>
      </c>
      <c r="F686" s="116">
        <v>74.459999999999994</v>
      </c>
      <c r="G686">
        <v>29083</v>
      </c>
      <c r="H686" s="116"/>
      <c r="I686" s="116"/>
      <c r="L686" s="170">
        <v>46091</v>
      </c>
      <c r="M686" s="116">
        <v>74.790000000000006</v>
      </c>
      <c r="N686" s="116">
        <v>75.89</v>
      </c>
      <c r="O686" s="116">
        <v>71.62</v>
      </c>
      <c r="P686" s="116">
        <v>72.2</v>
      </c>
      <c r="Q686" s="116">
        <v>74.790000000000006</v>
      </c>
      <c r="R686">
        <v>184034</v>
      </c>
    </row>
    <row r="687" spans="1:18" x14ac:dyDescent="0.25">
      <c r="A687" s="170">
        <v>46092</v>
      </c>
      <c r="B687" s="116">
        <v>75.39</v>
      </c>
      <c r="C687" s="116">
        <v>73.22</v>
      </c>
      <c r="D687" s="116">
        <v>71.400000000000006</v>
      </c>
      <c r="E687" s="116">
        <v>71.400000000000006</v>
      </c>
      <c r="F687" s="116">
        <v>73.22</v>
      </c>
      <c r="G687">
        <v>18289</v>
      </c>
      <c r="H687" s="116"/>
      <c r="I687" s="116"/>
      <c r="L687" s="170">
        <v>46092</v>
      </c>
      <c r="M687" s="116">
        <v>73.430000000000007</v>
      </c>
      <c r="N687" s="116">
        <v>75.290000000000006</v>
      </c>
      <c r="O687" s="116">
        <v>73.06</v>
      </c>
      <c r="P687" s="116">
        <v>74.900000000000006</v>
      </c>
      <c r="Q687" s="116">
        <v>73.430000000000007</v>
      </c>
      <c r="R687">
        <v>140429</v>
      </c>
    </row>
    <row r="688" spans="1:18" x14ac:dyDescent="0.25">
      <c r="A688" s="170">
        <v>46093</v>
      </c>
      <c r="B688" s="116">
        <v>73.25</v>
      </c>
      <c r="C688" s="116">
        <v>73.209999999999994</v>
      </c>
      <c r="D688" s="116">
        <v>71.400000000000006</v>
      </c>
      <c r="E688" s="116">
        <v>71.8</v>
      </c>
      <c r="F688" s="116">
        <v>73.209999999999994</v>
      </c>
      <c r="G688">
        <v>6861</v>
      </c>
      <c r="H688" s="116"/>
      <c r="I688" s="116"/>
      <c r="L688" s="170">
        <v>46093</v>
      </c>
      <c r="M688" s="116">
        <v>72.94</v>
      </c>
      <c r="N688" s="116">
        <v>74</v>
      </c>
      <c r="O688" s="116">
        <v>71.2</v>
      </c>
      <c r="P688" s="116">
        <v>73</v>
      </c>
      <c r="Q688" s="116">
        <v>72.94</v>
      </c>
      <c r="R688">
        <v>366984</v>
      </c>
    </row>
    <row r="689" spans="1:18" x14ac:dyDescent="0.25">
      <c r="A689" s="170">
        <v>46094</v>
      </c>
      <c r="B689" s="116">
        <v>72.540000000000006</v>
      </c>
      <c r="C689" s="116">
        <v>71.78</v>
      </c>
      <c r="D689" s="116">
        <v>71.33</v>
      </c>
      <c r="E689" s="116">
        <v>72.260000000000005</v>
      </c>
      <c r="F689" s="116">
        <v>71.78</v>
      </c>
      <c r="G689">
        <v>7858</v>
      </c>
      <c r="H689" s="116"/>
      <c r="I689" s="116"/>
      <c r="L689" s="170">
        <v>46094</v>
      </c>
      <c r="M689" s="116">
        <v>71.989999999999995</v>
      </c>
      <c r="N689" s="116">
        <v>72.88</v>
      </c>
      <c r="O689" s="116">
        <v>71.56</v>
      </c>
      <c r="P689" s="116">
        <v>71.849999999999994</v>
      </c>
      <c r="Q689" s="116">
        <v>71.989999999999995</v>
      </c>
      <c r="R689">
        <v>98922</v>
      </c>
    </row>
    <row r="690" spans="1:18" x14ac:dyDescent="0.25">
      <c r="A690" s="170">
        <v>46097</v>
      </c>
      <c r="B690" s="116">
        <v>74.11</v>
      </c>
      <c r="C690" s="116">
        <v>72.819999999999993</v>
      </c>
      <c r="D690" s="116">
        <v>71.040000000000006</v>
      </c>
      <c r="E690" s="116">
        <v>72.16</v>
      </c>
      <c r="F690" s="116">
        <v>72.819999999999993</v>
      </c>
      <c r="G690">
        <v>3856</v>
      </c>
      <c r="H690" s="116"/>
      <c r="I690" s="116"/>
      <c r="L690" s="170">
        <v>46097</v>
      </c>
      <c r="M690" s="116">
        <v>73.27</v>
      </c>
      <c r="N690" s="116">
        <v>74</v>
      </c>
      <c r="O690" s="116">
        <v>71.3</v>
      </c>
      <c r="P690" s="116">
        <v>71.7</v>
      </c>
      <c r="Q690" s="116">
        <v>73.27</v>
      </c>
      <c r="R690">
        <v>203302</v>
      </c>
    </row>
    <row r="691" spans="1:18" x14ac:dyDescent="0.25">
      <c r="A691" s="170">
        <v>46098</v>
      </c>
      <c r="B691" s="116">
        <v>73.900000000000006</v>
      </c>
      <c r="C691" s="116">
        <v>73.27</v>
      </c>
      <c r="D691" s="116">
        <v>72.42</v>
      </c>
      <c r="E691" s="116">
        <v>72.790000000000006</v>
      </c>
      <c r="F691" s="116">
        <v>73.27</v>
      </c>
      <c r="G691">
        <v>92040</v>
      </c>
      <c r="H691" s="116"/>
      <c r="I691" s="116"/>
      <c r="L691" s="170">
        <v>46098</v>
      </c>
      <c r="M691" s="116">
        <v>73.16</v>
      </c>
      <c r="N691" s="116">
        <v>74.180000000000007</v>
      </c>
      <c r="O691" s="116">
        <v>72.06</v>
      </c>
      <c r="P691" s="116">
        <v>72.400000000000006</v>
      </c>
      <c r="Q691" s="116">
        <v>73.16</v>
      </c>
      <c r="R691">
        <v>174861</v>
      </c>
    </row>
    <row r="692" spans="1:18" x14ac:dyDescent="0.25">
      <c r="A692" s="170">
        <v>46099</v>
      </c>
      <c r="B692" s="116">
        <v>75.27</v>
      </c>
      <c r="C692" s="116">
        <v>73.569999999999993</v>
      </c>
      <c r="D692" s="116">
        <v>73.23</v>
      </c>
      <c r="E692" s="116">
        <v>73.23</v>
      </c>
      <c r="F692" s="116">
        <v>73.569999999999993</v>
      </c>
      <c r="G692">
        <v>3308</v>
      </c>
      <c r="H692" s="116"/>
      <c r="I692" s="116"/>
      <c r="L692" s="170">
        <v>46099</v>
      </c>
      <c r="M692" s="116">
        <v>73.63</v>
      </c>
      <c r="N692" s="116">
        <v>75.39</v>
      </c>
      <c r="O692" s="116">
        <v>72.53</v>
      </c>
      <c r="P692" s="116">
        <v>72.53</v>
      </c>
      <c r="Q692" s="116">
        <v>73.63</v>
      </c>
      <c r="R692">
        <v>93957</v>
      </c>
    </row>
    <row r="693" spans="1:18" x14ac:dyDescent="0.25">
      <c r="A693" s="170">
        <v>46100</v>
      </c>
      <c r="B693" s="116">
        <v>74.36</v>
      </c>
      <c r="C693" s="116">
        <v>72.87</v>
      </c>
      <c r="D693" s="116">
        <v>71.55</v>
      </c>
      <c r="E693" s="116">
        <v>71.709999999999994</v>
      </c>
      <c r="F693" s="116">
        <v>72.87</v>
      </c>
      <c r="G693">
        <v>5580</v>
      </c>
      <c r="H693" s="116"/>
      <c r="I693" s="116"/>
      <c r="L693" s="170">
        <v>46100</v>
      </c>
      <c r="M693" s="116">
        <v>72.89</v>
      </c>
      <c r="N693" s="116">
        <v>74.5</v>
      </c>
      <c r="O693" s="116">
        <v>71.31</v>
      </c>
      <c r="P693" s="116">
        <v>72.52</v>
      </c>
      <c r="Q693" s="116">
        <v>72.89</v>
      </c>
      <c r="R693">
        <v>331365</v>
      </c>
    </row>
    <row r="694" spans="1:18" x14ac:dyDescent="0.25">
      <c r="A694" s="170">
        <v>46101</v>
      </c>
      <c r="B694" s="116">
        <v>76.34</v>
      </c>
      <c r="C694" s="116">
        <v>75.98</v>
      </c>
      <c r="D694" s="116">
        <v>73.400000000000006</v>
      </c>
      <c r="E694" s="116">
        <v>73.400000000000006</v>
      </c>
      <c r="F694" s="116">
        <v>75.98</v>
      </c>
      <c r="G694">
        <v>10497</v>
      </c>
      <c r="H694" s="116"/>
      <c r="I694" s="116"/>
      <c r="L694" s="170">
        <v>46101</v>
      </c>
      <c r="M694" s="116">
        <v>75.69</v>
      </c>
      <c r="N694" s="116">
        <v>76.489999999999995</v>
      </c>
      <c r="O694" s="116">
        <v>72.2</v>
      </c>
      <c r="P694" s="116">
        <v>72.2</v>
      </c>
      <c r="Q694" s="116">
        <v>75.69</v>
      </c>
      <c r="R694">
        <v>198209</v>
      </c>
    </row>
    <row r="695" spans="1:18" x14ac:dyDescent="0.25">
      <c r="A695" s="170">
        <v>46104</v>
      </c>
      <c r="B695" s="116">
        <v>75.31</v>
      </c>
      <c r="C695" s="116">
        <v>72.2</v>
      </c>
      <c r="D695" s="116">
        <v>72.150000000000006</v>
      </c>
      <c r="E695" s="116">
        <v>75.31</v>
      </c>
      <c r="F695" s="116">
        <v>72.2</v>
      </c>
      <c r="G695">
        <v>6053</v>
      </c>
      <c r="H695" s="116"/>
      <c r="I695" s="116"/>
      <c r="L695" s="170">
        <v>46104</v>
      </c>
      <c r="M695" s="116">
        <v>72.41</v>
      </c>
      <c r="N695" s="116">
        <v>75.75</v>
      </c>
      <c r="O695" s="116">
        <v>72.05</v>
      </c>
      <c r="P695" s="116">
        <v>75.69</v>
      </c>
      <c r="Q695" s="116">
        <v>72.41</v>
      </c>
      <c r="R695">
        <v>120534</v>
      </c>
    </row>
    <row r="696" spans="1:18" x14ac:dyDescent="0.25">
      <c r="A696" s="170">
        <v>46105</v>
      </c>
      <c r="B696" s="116">
        <v>74.02</v>
      </c>
      <c r="C696" s="116">
        <v>72.23</v>
      </c>
      <c r="D696" s="116">
        <v>71.25</v>
      </c>
      <c r="E696" s="116">
        <v>73.64</v>
      </c>
      <c r="F696" s="116">
        <v>72.23</v>
      </c>
      <c r="G696">
        <v>13475</v>
      </c>
      <c r="H696" s="116"/>
      <c r="I696" s="116"/>
      <c r="L696" s="170">
        <v>46105</v>
      </c>
      <c r="M696" s="116">
        <v>72.650000000000006</v>
      </c>
      <c r="N696" s="116">
        <v>75</v>
      </c>
      <c r="O696" s="116">
        <v>71.3</v>
      </c>
      <c r="P696" s="116">
        <v>73.31</v>
      </c>
      <c r="Q696" s="116">
        <v>72.650000000000006</v>
      </c>
      <c r="R696">
        <v>149428</v>
      </c>
    </row>
    <row r="697" spans="1:18" x14ac:dyDescent="0.25">
      <c r="A697" s="170">
        <v>46106</v>
      </c>
      <c r="B697" s="116">
        <v>76</v>
      </c>
      <c r="C697" s="116">
        <v>71.41</v>
      </c>
      <c r="D697" s="116">
        <v>69.16</v>
      </c>
      <c r="E697" s="116">
        <v>76</v>
      </c>
      <c r="F697" s="116">
        <v>71.41</v>
      </c>
      <c r="G697">
        <v>66638</v>
      </c>
      <c r="H697" s="116"/>
      <c r="I697" s="116"/>
      <c r="L697" s="170">
        <v>46106</v>
      </c>
      <c r="M697" s="116">
        <v>71.77</v>
      </c>
      <c r="N697" s="116">
        <v>75.95</v>
      </c>
      <c r="O697" s="116">
        <v>69.02</v>
      </c>
      <c r="P697" s="116">
        <v>72.650000000000006</v>
      </c>
      <c r="Q697" s="116">
        <v>71.77</v>
      </c>
      <c r="R697">
        <v>594040</v>
      </c>
    </row>
    <row r="698" spans="1:18" x14ac:dyDescent="0.25">
      <c r="A698" s="170">
        <v>46108</v>
      </c>
      <c r="B698" s="116">
        <v>71.25</v>
      </c>
      <c r="C698" s="116">
        <v>68.52</v>
      </c>
      <c r="D698" s="116">
        <v>68.2</v>
      </c>
      <c r="E698" s="116">
        <v>71.23</v>
      </c>
      <c r="F698" s="116">
        <v>68.52</v>
      </c>
      <c r="G698">
        <v>18759</v>
      </c>
      <c r="H698" s="116"/>
      <c r="I698" s="116"/>
      <c r="L698" s="170">
        <v>46108</v>
      </c>
      <c r="M698" s="116">
        <v>68.709999999999994</v>
      </c>
      <c r="N698" s="116">
        <v>71.77</v>
      </c>
      <c r="O698" s="116">
        <v>68.2</v>
      </c>
      <c r="P698" s="116">
        <v>71.77</v>
      </c>
      <c r="Q698" s="116">
        <v>68.709999999999994</v>
      </c>
      <c r="R698">
        <v>468357</v>
      </c>
    </row>
    <row r="699" spans="1:18" x14ac:dyDescent="0.25">
      <c r="A699" s="170">
        <v>46111</v>
      </c>
      <c r="B699" s="116">
        <v>69.3</v>
      </c>
      <c r="C699" s="116">
        <v>65.569999999999993</v>
      </c>
      <c r="D699" s="116">
        <v>65.349999999999994</v>
      </c>
      <c r="E699" s="116">
        <v>69.3</v>
      </c>
      <c r="F699" s="116">
        <v>65.569999999999993</v>
      </c>
      <c r="G699">
        <v>31899</v>
      </c>
      <c r="H699" s="116"/>
      <c r="I699" s="116"/>
      <c r="L699" s="170">
        <v>46111</v>
      </c>
      <c r="M699" s="116">
        <v>65.540000000000006</v>
      </c>
      <c r="N699" s="116">
        <v>68.89</v>
      </c>
      <c r="O699" s="116">
        <v>65.260000000000005</v>
      </c>
      <c r="P699" s="116">
        <v>68.099999999999994</v>
      </c>
      <c r="Q699" s="116">
        <v>65.540000000000006</v>
      </c>
      <c r="R699">
        <v>441016</v>
      </c>
    </row>
    <row r="700" spans="1:18" x14ac:dyDescent="0.25">
      <c r="A700" s="170">
        <v>46113</v>
      </c>
      <c r="B700" s="116">
        <v>72.459999999999994</v>
      </c>
      <c r="C700" s="116">
        <v>70.41</v>
      </c>
      <c r="D700" s="116">
        <v>66</v>
      </c>
      <c r="E700" s="116">
        <v>66</v>
      </c>
      <c r="F700" s="116">
        <v>70.41</v>
      </c>
      <c r="G700">
        <v>13603</v>
      </c>
      <c r="H700" s="116"/>
      <c r="I700" s="116"/>
      <c r="L700" s="170">
        <v>46113</v>
      </c>
      <c r="M700" s="116">
        <v>70.38</v>
      </c>
      <c r="N700" s="116">
        <v>72.45</v>
      </c>
      <c r="O700" s="116">
        <v>66.3</v>
      </c>
      <c r="P700" s="116">
        <v>67.88</v>
      </c>
      <c r="Q700" s="116">
        <v>70.38</v>
      </c>
      <c r="R700">
        <v>292741</v>
      </c>
    </row>
    <row r="701" spans="1:18" x14ac:dyDescent="0.25">
      <c r="A701" s="170">
        <v>46114</v>
      </c>
      <c r="B701" s="116">
        <v>74</v>
      </c>
      <c r="C701" s="116">
        <v>72.95</v>
      </c>
      <c r="D701" s="116">
        <v>67.819999999999993</v>
      </c>
      <c r="E701" s="116">
        <v>70.010000000000005</v>
      </c>
      <c r="F701" s="116">
        <v>72.95</v>
      </c>
      <c r="G701">
        <v>11706</v>
      </c>
      <c r="H701" s="116"/>
      <c r="I701" s="116"/>
      <c r="L701" s="170">
        <v>46114</v>
      </c>
      <c r="M701" s="116">
        <v>72.959999999999994</v>
      </c>
      <c r="N701" s="116">
        <v>74</v>
      </c>
      <c r="O701" s="116">
        <v>68.040000000000006</v>
      </c>
      <c r="P701" s="116">
        <v>69.3</v>
      </c>
      <c r="Q701" s="116">
        <v>72.959999999999994</v>
      </c>
      <c r="R701">
        <v>200047</v>
      </c>
    </row>
    <row r="702" spans="1:18" x14ac:dyDescent="0.25">
      <c r="A702" s="170">
        <v>46118</v>
      </c>
      <c r="B702" s="116">
        <v>76.989999999999995</v>
      </c>
      <c r="C702" s="116">
        <v>74.78</v>
      </c>
      <c r="D702" s="116">
        <v>72.2</v>
      </c>
      <c r="E702" s="116">
        <v>73.8</v>
      </c>
      <c r="F702" s="116">
        <v>74.78</v>
      </c>
      <c r="G702">
        <v>13100</v>
      </c>
      <c r="H702" s="116"/>
      <c r="I702" s="116"/>
      <c r="L702" s="170">
        <v>46118</v>
      </c>
      <c r="M702" s="116">
        <v>75.06</v>
      </c>
      <c r="N702" s="116">
        <v>76</v>
      </c>
      <c r="O702" s="116">
        <v>72.11</v>
      </c>
      <c r="P702" s="116">
        <v>73.95</v>
      </c>
      <c r="Q702" s="116">
        <v>75.06</v>
      </c>
      <c r="R702">
        <v>230605</v>
      </c>
    </row>
    <row r="703" spans="1:18" x14ac:dyDescent="0.25">
      <c r="A703" s="170">
        <v>46119</v>
      </c>
      <c r="B703" s="116">
        <v>77.86</v>
      </c>
      <c r="C703" s="116">
        <v>76.930000000000007</v>
      </c>
      <c r="D703" s="116">
        <v>73.680000000000007</v>
      </c>
      <c r="E703" s="116">
        <v>75</v>
      </c>
      <c r="F703" s="116">
        <v>76.930000000000007</v>
      </c>
      <c r="G703">
        <v>6723</v>
      </c>
      <c r="H703" s="116"/>
      <c r="I703" s="116"/>
      <c r="L703" s="170">
        <v>46119</v>
      </c>
      <c r="M703" s="116">
        <v>76.849999999999994</v>
      </c>
      <c r="N703" s="116">
        <v>77.599999999999994</v>
      </c>
      <c r="O703" s="116">
        <v>73.95</v>
      </c>
      <c r="P703" s="116">
        <v>73.95</v>
      </c>
      <c r="Q703" s="116">
        <v>76.849999999999994</v>
      </c>
      <c r="R703">
        <v>174629</v>
      </c>
    </row>
    <row r="704" spans="1:18" x14ac:dyDescent="0.25">
      <c r="A704" s="170">
        <v>46120</v>
      </c>
      <c r="B704" s="116">
        <v>79.38</v>
      </c>
      <c r="C704" s="116">
        <v>78.75</v>
      </c>
      <c r="D704" s="116">
        <v>76.3</v>
      </c>
      <c r="E704" s="116">
        <v>78</v>
      </c>
      <c r="F704" s="116">
        <v>78.75</v>
      </c>
      <c r="G704">
        <v>24812</v>
      </c>
      <c r="H704" s="116"/>
      <c r="I704" s="116"/>
      <c r="L704" s="170">
        <v>46120</v>
      </c>
      <c r="M704" s="116">
        <v>79.02</v>
      </c>
      <c r="N704" s="116">
        <v>80</v>
      </c>
      <c r="O704" s="116">
        <v>76.03</v>
      </c>
      <c r="P704" s="116">
        <v>80</v>
      </c>
      <c r="Q704" s="116">
        <v>79.02</v>
      </c>
      <c r="R704">
        <v>317655</v>
      </c>
    </row>
    <row r="705" spans="1:18" x14ac:dyDescent="0.25">
      <c r="A705" s="170">
        <v>46121</v>
      </c>
      <c r="B705" s="116">
        <v>85.64</v>
      </c>
      <c r="C705" s="116">
        <v>83.21</v>
      </c>
      <c r="D705" s="116">
        <v>79.17</v>
      </c>
      <c r="E705" s="116">
        <v>79.94</v>
      </c>
      <c r="F705" s="116">
        <v>83.21</v>
      </c>
      <c r="G705">
        <v>45574</v>
      </c>
      <c r="H705" s="116"/>
      <c r="I705" s="116"/>
      <c r="L705" s="170">
        <v>46121</v>
      </c>
      <c r="M705" s="116">
        <v>82.78</v>
      </c>
      <c r="N705" s="116">
        <v>85.86</v>
      </c>
      <c r="O705" s="116">
        <v>78.61</v>
      </c>
      <c r="P705" s="116">
        <v>79.8</v>
      </c>
      <c r="Q705" s="116">
        <v>82.78</v>
      </c>
      <c r="R705">
        <v>817620</v>
      </c>
    </row>
    <row r="706" spans="1:18" x14ac:dyDescent="0.25">
      <c r="A706" s="170">
        <v>46122</v>
      </c>
      <c r="B706" s="116">
        <v>85.89</v>
      </c>
      <c r="C706" s="116">
        <v>85.1</v>
      </c>
      <c r="D706" s="116">
        <v>82.93</v>
      </c>
      <c r="E706" s="116">
        <v>83.21</v>
      </c>
      <c r="F706" s="116">
        <v>85.1</v>
      </c>
      <c r="G706">
        <v>18960</v>
      </c>
      <c r="H706" s="116"/>
      <c r="I706" s="116"/>
      <c r="L706" s="170">
        <v>46122</v>
      </c>
      <c r="M706" s="116">
        <v>85.19</v>
      </c>
      <c r="N706" s="116">
        <v>86</v>
      </c>
      <c r="O706" s="116">
        <v>82.01</v>
      </c>
      <c r="P706" s="116">
        <v>83.44</v>
      </c>
      <c r="Q706" s="116">
        <v>85.19</v>
      </c>
      <c r="R706">
        <v>169611</v>
      </c>
    </row>
    <row r="707" spans="1:18" x14ac:dyDescent="0.25">
      <c r="A707" s="170">
        <v>46125</v>
      </c>
      <c r="B707" s="116">
        <v>86.46</v>
      </c>
      <c r="C707" s="116">
        <v>83.07</v>
      </c>
      <c r="D707" s="116">
        <v>81</v>
      </c>
      <c r="E707" s="116">
        <v>83</v>
      </c>
      <c r="F707" s="116">
        <v>83.07</v>
      </c>
      <c r="G707">
        <v>13156</v>
      </c>
      <c r="H707" s="116"/>
      <c r="I707" s="116"/>
      <c r="L707" s="170">
        <v>46125</v>
      </c>
      <c r="M707" s="116">
        <v>84.16</v>
      </c>
      <c r="N707" s="116">
        <v>86.43</v>
      </c>
      <c r="O707" s="116">
        <v>81.510000000000005</v>
      </c>
      <c r="P707" s="116">
        <v>84.9</v>
      </c>
      <c r="Q707" s="116">
        <v>84.16</v>
      </c>
      <c r="R707">
        <v>243567</v>
      </c>
    </row>
    <row r="708" spans="1:18" x14ac:dyDescent="0.25">
      <c r="A708" s="170">
        <v>46127</v>
      </c>
      <c r="B708" s="116">
        <v>86.14</v>
      </c>
      <c r="C708" s="116">
        <v>84.67</v>
      </c>
      <c r="D708" s="116">
        <v>83.82</v>
      </c>
      <c r="E708" s="116">
        <v>84.95</v>
      </c>
      <c r="F708" s="116">
        <v>84.67</v>
      </c>
      <c r="G708">
        <v>7912</v>
      </c>
      <c r="H708" s="116"/>
      <c r="I708" s="116"/>
      <c r="L708" s="170">
        <v>46127</v>
      </c>
      <c r="M708" s="116">
        <v>84.46</v>
      </c>
      <c r="N708" s="116">
        <v>86.4</v>
      </c>
      <c r="O708" s="116">
        <v>84.1</v>
      </c>
      <c r="P708" s="116">
        <v>85.8</v>
      </c>
      <c r="Q708" s="116">
        <v>84.46</v>
      </c>
      <c r="R708">
        <v>157022</v>
      </c>
    </row>
    <row r="709" spans="1:18" x14ac:dyDescent="0.25">
      <c r="A709" s="170">
        <v>46128</v>
      </c>
      <c r="B709" s="116">
        <v>90.7</v>
      </c>
      <c r="C709" s="116">
        <v>88.1</v>
      </c>
      <c r="D709" s="116">
        <v>84.5</v>
      </c>
      <c r="E709" s="116">
        <v>86.39</v>
      </c>
      <c r="F709" s="116">
        <v>88.1</v>
      </c>
      <c r="G709">
        <v>23321</v>
      </c>
      <c r="H709" s="116"/>
      <c r="I709" s="116"/>
      <c r="L709" s="170">
        <v>46128</v>
      </c>
      <c r="M709" s="116">
        <v>88.54</v>
      </c>
      <c r="N709" s="116">
        <v>91</v>
      </c>
      <c r="O709" s="116">
        <v>84.11</v>
      </c>
      <c r="P709" s="116">
        <v>85.9</v>
      </c>
      <c r="Q709" s="116">
        <v>88.54</v>
      </c>
      <c r="R709">
        <v>592970</v>
      </c>
    </row>
    <row r="710" spans="1:18" x14ac:dyDescent="0.25">
      <c r="A710" s="170">
        <v>46129</v>
      </c>
      <c r="B710" s="116">
        <v>91.7</v>
      </c>
      <c r="C710" s="116">
        <v>89.45</v>
      </c>
      <c r="D710" s="116">
        <v>88</v>
      </c>
      <c r="E710" s="116">
        <v>91.7</v>
      </c>
      <c r="F710" s="116">
        <v>89.45</v>
      </c>
      <c r="G710">
        <v>12782</v>
      </c>
      <c r="H710" s="116"/>
      <c r="I710" s="116"/>
      <c r="L710" s="170">
        <v>46129</v>
      </c>
      <c r="M710" s="116">
        <v>88.98</v>
      </c>
      <c r="N710" s="116">
        <v>90.85</v>
      </c>
      <c r="O710" s="116">
        <v>87.57</v>
      </c>
      <c r="P710" s="116">
        <v>89.41</v>
      </c>
      <c r="Q710" s="116">
        <v>88.98</v>
      </c>
      <c r="R710">
        <v>270393</v>
      </c>
    </row>
    <row r="711" spans="1:18" x14ac:dyDescent="0.25">
      <c r="A711" s="170">
        <v>46132</v>
      </c>
      <c r="B711" s="116">
        <v>92.02</v>
      </c>
      <c r="C711" s="116">
        <v>90.45</v>
      </c>
      <c r="D711" s="116">
        <v>86.77</v>
      </c>
      <c r="E711" s="116">
        <v>87.4</v>
      </c>
      <c r="F711" s="116">
        <v>90.45</v>
      </c>
      <c r="G711">
        <v>46166</v>
      </c>
      <c r="H711" s="116"/>
      <c r="I711" s="116"/>
      <c r="L711" s="170">
        <v>46132</v>
      </c>
      <c r="M711" s="116">
        <v>90.64</v>
      </c>
      <c r="N711" s="116">
        <v>92.1</v>
      </c>
      <c r="O711" s="116">
        <v>86.5</v>
      </c>
      <c r="P711" s="116">
        <v>88.09</v>
      </c>
      <c r="Q711" s="116">
        <v>90.64</v>
      </c>
      <c r="R711">
        <v>555663</v>
      </c>
    </row>
    <row r="712" spans="1:18" x14ac:dyDescent="0.25">
      <c r="A712" s="170">
        <v>46133</v>
      </c>
      <c r="B712" s="116">
        <v>92.24</v>
      </c>
      <c r="C712" s="116">
        <v>89.16</v>
      </c>
      <c r="D712" s="116">
        <v>88</v>
      </c>
      <c r="E712" s="116">
        <v>90.45</v>
      </c>
      <c r="F712" s="116">
        <v>89.16</v>
      </c>
      <c r="G712">
        <v>17282</v>
      </c>
      <c r="H712" s="116"/>
      <c r="I712" s="116"/>
      <c r="L712" s="170">
        <v>46133</v>
      </c>
      <c r="M712" s="116">
        <v>89.42</v>
      </c>
      <c r="N712" s="116">
        <v>91.86</v>
      </c>
      <c r="O712" s="116">
        <v>88.2</v>
      </c>
      <c r="P712" s="116">
        <v>88.31</v>
      </c>
      <c r="Q712" s="116">
        <v>89.42</v>
      </c>
      <c r="R712">
        <v>196394</v>
      </c>
    </row>
    <row r="713" spans="1:18" x14ac:dyDescent="0.25">
      <c r="A713" s="170">
        <v>46134</v>
      </c>
      <c r="B713" s="116">
        <v>92</v>
      </c>
      <c r="C713" s="116">
        <v>87.12</v>
      </c>
      <c r="D713" s="116">
        <v>76.23</v>
      </c>
      <c r="E713" s="116">
        <v>89.8</v>
      </c>
      <c r="F713" s="116">
        <v>87.12</v>
      </c>
      <c r="G713">
        <v>159905</v>
      </c>
      <c r="H713" s="116"/>
      <c r="I713" s="116"/>
      <c r="L713" s="170">
        <v>46134</v>
      </c>
      <c r="M713" s="116">
        <v>85.94</v>
      </c>
      <c r="N713" s="116">
        <v>92.1</v>
      </c>
      <c r="O713" s="116">
        <v>73.900000000000006</v>
      </c>
      <c r="P713" s="116">
        <v>88.08</v>
      </c>
      <c r="Q713" s="116">
        <v>85.94</v>
      </c>
      <c r="R713">
        <v>399512</v>
      </c>
    </row>
    <row r="714" spans="1:18" x14ac:dyDescent="0.25">
      <c r="A714" s="170">
        <v>46135</v>
      </c>
      <c r="B714" s="116">
        <v>89</v>
      </c>
      <c r="C714" s="116">
        <v>86.64</v>
      </c>
      <c r="D714" s="116">
        <v>86</v>
      </c>
      <c r="E714" s="116">
        <v>87.3</v>
      </c>
      <c r="F714" s="116">
        <v>86.64</v>
      </c>
      <c r="G714">
        <v>19881</v>
      </c>
      <c r="H714" s="116"/>
      <c r="I714" s="116"/>
      <c r="L714" s="170">
        <v>46135</v>
      </c>
      <c r="M714" s="116">
        <v>86.51</v>
      </c>
      <c r="N714" s="116">
        <v>89.27</v>
      </c>
      <c r="O714" s="116">
        <v>85.41</v>
      </c>
      <c r="P714" s="116">
        <v>87.05</v>
      </c>
      <c r="Q714" s="116">
        <v>86.51</v>
      </c>
      <c r="R714">
        <v>246777</v>
      </c>
    </row>
    <row r="715" spans="1:18" x14ac:dyDescent="0.25">
      <c r="A715" s="170">
        <v>46136</v>
      </c>
      <c r="B715" s="116">
        <v>86.35</v>
      </c>
      <c r="C715" s="116">
        <v>85.44</v>
      </c>
      <c r="D715" s="116">
        <v>84.4</v>
      </c>
      <c r="E715" s="116">
        <v>86.27</v>
      </c>
      <c r="F715" s="116">
        <v>85.44</v>
      </c>
      <c r="G715">
        <v>4426</v>
      </c>
      <c r="H715" s="116"/>
      <c r="I715" s="116"/>
      <c r="L715" s="170">
        <v>46136</v>
      </c>
      <c r="M715" s="116">
        <v>85.48</v>
      </c>
      <c r="N715" s="116">
        <v>87</v>
      </c>
      <c r="O715" s="116">
        <v>84.32</v>
      </c>
      <c r="P715" s="116">
        <v>87</v>
      </c>
      <c r="Q715" s="116">
        <v>85.48</v>
      </c>
      <c r="R715">
        <v>89122</v>
      </c>
    </row>
    <row r="716" spans="1:18" x14ac:dyDescent="0.25">
      <c r="A716" s="170">
        <v>46139</v>
      </c>
      <c r="B716" s="116">
        <v>91.5</v>
      </c>
      <c r="C716" s="116">
        <v>89.49</v>
      </c>
      <c r="D716" s="116">
        <v>83.1</v>
      </c>
      <c r="E716" s="116">
        <v>83.1</v>
      </c>
      <c r="F716" s="116">
        <v>89.49</v>
      </c>
      <c r="G716">
        <v>10521</v>
      </c>
      <c r="H716" s="116"/>
      <c r="I716" s="116"/>
      <c r="L716" s="170">
        <v>46139</v>
      </c>
      <c r="M716" s="116">
        <v>89.46</v>
      </c>
      <c r="N716" s="116">
        <v>91.8</v>
      </c>
      <c r="O716" s="116">
        <v>84.55</v>
      </c>
      <c r="P716" s="116">
        <v>86.5</v>
      </c>
      <c r="Q716" s="116">
        <v>89.46</v>
      </c>
      <c r="R716">
        <v>314747</v>
      </c>
    </row>
    <row r="717" spans="1:18" x14ac:dyDescent="0.25">
      <c r="A717" s="170">
        <v>46140</v>
      </c>
      <c r="B717" s="116">
        <v>90.29</v>
      </c>
      <c r="C717" s="116">
        <v>86.42</v>
      </c>
      <c r="D717" s="116">
        <v>85.95</v>
      </c>
      <c r="E717" s="116">
        <v>90.29</v>
      </c>
      <c r="F717" s="116">
        <v>86.42</v>
      </c>
      <c r="G717">
        <v>2605</v>
      </c>
      <c r="H717" s="116"/>
      <c r="I717" s="116"/>
      <c r="L717" s="170">
        <v>46140</v>
      </c>
      <c r="M717" s="116">
        <v>86.23</v>
      </c>
      <c r="N717" s="116">
        <v>90.47</v>
      </c>
      <c r="O717" s="116">
        <v>85.75</v>
      </c>
      <c r="P717" s="116">
        <v>90</v>
      </c>
      <c r="Q717" s="116">
        <v>86.23</v>
      </c>
      <c r="R717">
        <v>209705</v>
      </c>
    </row>
    <row r="718" spans="1:18" x14ac:dyDescent="0.25">
      <c r="A718" s="170">
        <v>46141</v>
      </c>
      <c r="B718" s="116">
        <v>91.16</v>
      </c>
      <c r="C718" s="116">
        <v>89.73</v>
      </c>
      <c r="D718" s="116">
        <v>85.01</v>
      </c>
      <c r="E718" s="116">
        <v>85.76</v>
      </c>
      <c r="F718" s="116">
        <v>89.73</v>
      </c>
      <c r="G718">
        <v>73800</v>
      </c>
      <c r="H718" s="116"/>
      <c r="I718" s="116"/>
      <c r="L718" s="170">
        <v>46141</v>
      </c>
      <c r="M718" s="116">
        <v>90</v>
      </c>
      <c r="N718" s="116">
        <v>91.49</v>
      </c>
      <c r="O718" s="116">
        <v>85.1</v>
      </c>
      <c r="P718" s="116">
        <v>86.23</v>
      </c>
      <c r="Q718" s="116">
        <v>90</v>
      </c>
      <c r="R718">
        <v>549907</v>
      </c>
    </row>
    <row r="719" spans="1:18" x14ac:dyDescent="0.25">
      <c r="A719" s="170">
        <v>46142</v>
      </c>
      <c r="B719" s="116">
        <v>95.52</v>
      </c>
      <c r="C719" s="116">
        <v>89</v>
      </c>
      <c r="D719" s="116">
        <v>85.52</v>
      </c>
      <c r="E719" s="116">
        <v>90.45</v>
      </c>
      <c r="F719" s="116">
        <v>89</v>
      </c>
      <c r="G719">
        <v>376187</v>
      </c>
      <c r="H719" s="116"/>
      <c r="I719" s="116"/>
      <c r="L719" s="170">
        <v>46142</v>
      </c>
      <c r="M719" s="116">
        <v>89.07</v>
      </c>
      <c r="N719" s="116">
        <v>95.95</v>
      </c>
      <c r="O719" s="116">
        <v>85.6</v>
      </c>
      <c r="P719" s="116">
        <v>90.5</v>
      </c>
      <c r="Q719" s="116">
        <v>89.07</v>
      </c>
      <c r="R719">
        <v>4410279</v>
      </c>
    </row>
    <row r="720" spans="1:18" x14ac:dyDescent="0.25">
      <c r="A720" s="170">
        <v>46146</v>
      </c>
      <c r="B720" s="116">
        <v>90.8</v>
      </c>
      <c r="C720" s="116">
        <v>90.1</v>
      </c>
      <c r="D720" s="116">
        <v>89.15</v>
      </c>
      <c r="E720" s="116">
        <v>90.7</v>
      </c>
      <c r="F720" s="116">
        <v>90.1</v>
      </c>
      <c r="G720">
        <v>10769</v>
      </c>
      <c r="H720" s="116"/>
      <c r="I720" s="116"/>
      <c r="L720" s="170">
        <v>46146</v>
      </c>
      <c r="M720" s="116">
        <v>90.23</v>
      </c>
      <c r="N720" s="116">
        <v>91</v>
      </c>
      <c r="O720" s="116">
        <v>89.15</v>
      </c>
      <c r="P720" s="116">
        <v>90.41</v>
      </c>
      <c r="Q720" s="116">
        <v>90.23</v>
      </c>
      <c r="R720">
        <v>379667</v>
      </c>
    </row>
    <row r="721" spans="1:18" x14ac:dyDescent="0.25">
      <c r="A721" s="170">
        <v>46147</v>
      </c>
      <c r="B721" s="116">
        <v>91.8</v>
      </c>
      <c r="C721" s="116">
        <v>90.87</v>
      </c>
      <c r="D721" s="116">
        <v>88.43</v>
      </c>
      <c r="E721" s="116">
        <v>90.1</v>
      </c>
      <c r="F721" s="116">
        <v>90.87</v>
      </c>
      <c r="G721">
        <v>24348</v>
      </c>
      <c r="H721" s="116"/>
      <c r="I721" s="116"/>
      <c r="L721" s="170">
        <v>46147</v>
      </c>
      <c r="M721" s="116">
        <v>90.99</v>
      </c>
      <c r="N721" s="116">
        <v>92</v>
      </c>
      <c r="O721" s="116">
        <v>88.5</v>
      </c>
      <c r="P721" s="116">
        <v>90.69</v>
      </c>
      <c r="Q721" s="116">
        <v>90.99</v>
      </c>
      <c r="R721">
        <v>358471</v>
      </c>
    </row>
    <row r="722" spans="1:18" x14ac:dyDescent="0.25">
      <c r="A722" s="170">
        <v>46148</v>
      </c>
      <c r="B722" s="116">
        <v>93.75</v>
      </c>
      <c r="C722" s="116">
        <v>92.15</v>
      </c>
      <c r="D722" s="116">
        <v>90.09</v>
      </c>
      <c r="E722" s="116">
        <v>90.32</v>
      </c>
      <c r="F722" s="116">
        <v>92.15</v>
      </c>
      <c r="G722">
        <v>28209</v>
      </c>
      <c r="H722" s="116"/>
      <c r="I722" s="116"/>
      <c r="L722" s="170">
        <v>46148</v>
      </c>
      <c r="M722" s="116">
        <v>92.56</v>
      </c>
      <c r="N722" s="116">
        <v>93.91</v>
      </c>
      <c r="O722" s="116">
        <v>89.25</v>
      </c>
      <c r="P722" s="116">
        <v>91</v>
      </c>
      <c r="Q722" s="116">
        <v>92.56</v>
      </c>
      <c r="R722">
        <v>753828</v>
      </c>
    </row>
    <row r="723" spans="1:18" x14ac:dyDescent="0.25">
      <c r="A723" s="170">
        <v>46149</v>
      </c>
      <c r="B723" s="116">
        <v>94</v>
      </c>
      <c r="C723" s="116">
        <v>93.03</v>
      </c>
      <c r="D723" s="116">
        <v>91.82</v>
      </c>
      <c r="E723" s="116">
        <v>94</v>
      </c>
      <c r="F723" s="116">
        <v>93.03</v>
      </c>
      <c r="G723">
        <v>19732</v>
      </c>
      <c r="H723" s="116"/>
      <c r="I723" s="116"/>
      <c r="L723" s="170">
        <v>46149</v>
      </c>
      <c r="M723" s="116">
        <v>93.13</v>
      </c>
      <c r="N723" s="116">
        <v>94.05</v>
      </c>
      <c r="O723" s="116">
        <v>91.69</v>
      </c>
      <c r="P723" s="116">
        <v>92.9</v>
      </c>
      <c r="Q723" s="116">
        <v>93.13</v>
      </c>
      <c r="R723">
        <v>576859</v>
      </c>
    </row>
    <row r="724" spans="1:18" x14ac:dyDescent="0.25">
      <c r="A724" s="170">
        <v>46150</v>
      </c>
      <c r="B724" s="116">
        <v>94.6</v>
      </c>
      <c r="C724" s="116">
        <v>91.28</v>
      </c>
      <c r="D724" s="116">
        <v>91.04</v>
      </c>
      <c r="E724" s="116">
        <v>93.38</v>
      </c>
      <c r="F724" s="116">
        <v>91.28</v>
      </c>
      <c r="G724">
        <v>7438</v>
      </c>
      <c r="H724" s="116"/>
      <c r="I724" s="116"/>
      <c r="L724" s="170">
        <v>46150</v>
      </c>
      <c r="M724" s="116">
        <v>91.47</v>
      </c>
      <c r="N724" s="116">
        <v>94.53</v>
      </c>
      <c r="O724" s="116">
        <v>91.1</v>
      </c>
      <c r="P724" s="116">
        <v>92</v>
      </c>
      <c r="Q724" s="116">
        <v>91.47</v>
      </c>
      <c r="R724">
        <v>244897</v>
      </c>
    </row>
    <row r="725" spans="1:18" x14ac:dyDescent="0.25">
      <c r="A725" s="170">
        <v>46153</v>
      </c>
      <c r="B725" s="116">
        <v>92.1</v>
      </c>
      <c r="C725" s="116">
        <v>89.47</v>
      </c>
      <c r="D725" s="116">
        <v>88.22</v>
      </c>
      <c r="E725" s="116">
        <v>92.1</v>
      </c>
      <c r="F725" s="116">
        <v>89.47</v>
      </c>
      <c r="G725">
        <v>21033</v>
      </c>
      <c r="H725" s="116"/>
      <c r="I725" s="116"/>
      <c r="L725" s="170">
        <v>46153</v>
      </c>
      <c r="M725" s="116">
        <v>89.73</v>
      </c>
      <c r="N725" s="116">
        <v>91.98</v>
      </c>
      <c r="O725" s="116">
        <v>89</v>
      </c>
      <c r="P725" s="116">
        <v>91.98</v>
      </c>
      <c r="Q725" s="116">
        <v>89.73</v>
      </c>
      <c r="R725">
        <v>297910</v>
      </c>
    </row>
    <row r="726" spans="1:18" x14ac:dyDescent="0.25">
      <c r="A726" s="170">
        <v>46154</v>
      </c>
      <c r="B726" s="116">
        <v>88.7</v>
      </c>
      <c r="C726" s="116">
        <v>85.83</v>
      </c>
      <c r="D726" s="116">
        <v>85.26</v>
      </c>
      <c r="E726" s="116">
        <v>88.7</v>
      </c>
      <c r="F726" s="116">
        <v>85.83</v>
      </c>
      <c r="G726">
        <v>14768</v>
      </c>
      <c r="H726" s="116"/>
      <c r="I726" s="116"/>
      <c r="L726" s="170">
        <v>46154</v>
      </c>
      <c r="M726" s="116">
        <v>85.83</v>
      </c>
      <c r="N726" s="116">
        <v>89.49</v>
      </c>
      <c r="O726" s="116">
        <v>85.01</v>
      </c>
      <c r="P726" s="116">
        <v>89.1</v>
      </c>
      <c r="Q726" s="116">
        <v>85.83</v>
      </c>
      <c r="R726">
        <v>313469</v>
      </c>
    </row>
    <row r="727" spans="1:18" x14ac:dyDescent="0.25">
      <c r="A727" s="170">
        <v>46155</v>
      </c>
      <c r="B727" s="116">
        <v>89.5</v>
      </c>
      <c r="C727" s="116">
        <v>88.99</v>
      </c>
      <c r="D727" s="116">
        <v>86.05</v>
      </c>
      <c r="E727" s="116">
        <v>86.25</v>
      </c>
      <c r="F727" s="116">
        <v>88.99</v>
      </c>
      <c r="G727">
        <v>6793</v>
      </c>
      <c r="H727" s="116"/>
      <c r="I727" s="116"/>
      <c r="L727" s="170">
        <v>46155</v>
      </c>
      <c r="M727" s="116">
        <v>88.84</v>
      </c>
      <c r="N727" s="116">
        <v>89.4</v>
      </c>
      <c r="O727" s="116">
        <v>85.66</v>
      </c>
      <c r="P727" s="116">
        <v>85.98</v>
      </c>
      <c r="Q727" s="116">
        <v>88.84</v>
      </c>
      <c r="R727">
        <v>360750</v>
      </c>
    </row>
    <row r="728" spans="1:18" x14ac:dyDescent="0.25">
      <c r="A728" s="170">
        <v>46156</v>
      </c>
      <c r="B728" s="116">
        <v>91.23</v>
      </c>
      <c r="C728" s="116">
        <v>89.35</v>
      </c>
      <c r="D728" s="116">
        <v>88.11</v>
      </c>
      <c r="E728" s="116">
        <v>88.31</v>
      </c>
      <c r="F728" s="116">
        <v>89.35</v>
      </c>
      <c r="G728">
        <v>14345</v>
      </c>
      <c r="H728" s="116"/>
      <c r="I728" s="116"/>
      <c r="L728" s="170">
        <v>46156</v>
      </c>
      <c r="M728" s="116">
        <v>89.47</v>
      </c>
      <c r="N728" s="116">
        <v>91.47</v>
      </c>
      <c r="O728" s="116">
        <v>88.11</v>
      </c>
      <c r="P728" s="116">
        <v>89</v>
      </c>
      <c r="Q728" s="116">
        <v>89.47</v>
      </c>
      <c r="R728">
        <v>250003</v>
      </c>
    </row>
    <row r="729" spans="1:18" x14ac:dyDescent="0.25">
      <c r="A729" s="170">
        <v>46157</v>
      </c>
      <c r="B729" s="116">
        <v>89.39</v>
      </c>
      <c r="C729" s="116">
        <v>87.47</v>
      </c>
      <c r="D729" s="116">
        <v>87.31</v>
      </c>
      <c r="E729" s="116">
        <v>88.93</v>
      </c>
      <c r="F729" s="116">
        <v>87.47</v>
      </c>
      <c r="G729">
        <v>4869</v>
      </c>
      <c r="H729" s="116"/>
      <c r="I729" s="116"/>
      <c r="L729" s="170">
        <v>46157</v>
      </c>
      <c r="M729" s="116">
        <v>87.58</v>
      </c>
      <c r="N729" s="116">
        <v>89.9</v>
      </c>
      <c r="O729" s="116">
        <v>87.16</v>
      </c>
      <c r="P729" s="116">
        <v>89.9</v>
      </c>
      <c r="Q729" s="116">
        <v>87.58</v>
      </c>
      <c r="R729">
        <v>64991</v>
      </c>
    </row>
    <row r="730" spans="1:18" x14ac:dyDescent="0.25">
      <c r="A730" s="170">
        <v>46160</v>
      </c>
      <c r="B730" s="116">
        <v>86.73</v>
      </c>
      <c r="C730" s="116">
        <v>85.51</v>
      </c>
      <c r="D730" s="116">
        <v>84.57</v>
      </c>
      <c r="E730" s="116">
        <v>86.1</v>
      </c>
      <c r="F730" s="116">
        <v>85.51</v>
      </c>
      <c r="G730">
        <v>8743</v>
      </c>
      <c r="H730" s="116"/>
      <c r="I730" s="116"/>
      <c r="L730" s="170">
        <v>46160</v>
      </c>
      <c r="M730" s="116">
        <v>85.81</v>
      </c>
      <c r="N730" s="116">
        <v>87.02</v>
      </c>
      <c r="O730" s="116">
        <v>84.51</v>
      </c>
      <c r="P730" s="116">
        <v>86.98</v>
      </c>
      <c r="Q730" s="116">
        <v>85.81</v>
      </c>
      <c r="R730">
        <v>137280</v>
      </c>
    </row>
    <row r="731" spans="1:18" x14ac:dyDescent="0.25">
      <c r="A731" s="170">
        <v>46161</v>
      </c>
      <c r="B731" s="116">
        <v>87.72</v>
      </c>
      <c r="C731" s="116">
        <v>86.56</v>
      </c>
      <c r="D731" s="116">
        <v>86.24</v>
      </c>
      <c r="E731" s="116">
        <v>86.24</v>
      </c>
      <c r="F731" s="116">
        <v>86.56</v>
      </c>
      <c r="G731">
        <v>2909</v>
      </c>
      <c r="H731" s="116"/>
      <c r="I731" s="116"/>
      <c r="L731" s="170">
        <v>46161</v>
      </c>
      <c r="M731" s="116">
        <v>86.88</v>
      </c>
      <c r="N731" s="116">
        <v>88.69</v>
      </c>
      <c r="O731" s="116">
        <v>85.09</v>
      </c>
      <c r="P731" s="116">
        <v>85.09</v>
      </c>
      <c r="Q731" s="116">
        <v>86.88</v>
      </c>
      <c r="R731">
        <v>137068</v>
      </c>
    </row>
    <row r="732" spans="1:18" x14ac:dyDescent="0.25">
      <c r="A732" s="170">
        <v>46162</v>
      </c>
      <c r="B732" s="116">
        <v>92</v>
      </c>
      <c r="C732" s="116">
        <v>91.61</v>
      </c>
      <c r="D732" s="116">
        <v>86.37</v>
      </c>
      <c r="E732" s="116">
        <v>86.42</v>
      </c>
      <c r="F732" s="116">
        <v>91.61</v>
      </c>
      <c r="G732">
        <v>42978</v>
      </c>
      <c r="H732" s="116"/>
      <c r="I732" s="116"/>
      <c r="L732" s="170">
        <v>46162</v>
      </c>
      <c r="M732" s="116">
        <v>91.24</v>
      </c>
      <c r="N732" s="116">
        <v>91.8</v>
      </c>
      <c r="O732" s="116">
        <v>86.01</v>
      </c>
      <c r="P732" s="116">
        <v>86.26</v>
      </c>
      <c r="Q732" s="116">
        <v>91.24</v>
      </c>
      <c r="R732">
        <v>522723</v>
      </c>
    </row>
    <row r="733" spans="1:18" x14ac:dyDescent="0.25">
      <c r="A733" s="170">
        <v>46163</v>
      </c>
      <c r="B733" s="116">
        <v>95.31</v>
      </c>
      <c r="C733" s="116">
        <v>92.59</v>
      </c>
      <c r="D733" s="116">
        <v>91.23</v>
      </c>
      <c r="E733" s="116">
        <v>94.49</v>
      </c>
      <c r="F733" s="116">
        <v>92.59</v>
      </c>
      <c r="G733">
        <v>51195</v>
      </c>
      <c r="H733" s="116"/>
      <c r="I733" s="116"/>
      <c r="L733" s="170">
        <v>46163</v>
      </c>
      <c r="M733" s="116">
        <v>92.65</v>
      </c>
      <c r="N733" s="116">
        <v>95.5</v>
      </c>
      <c r="O733" s="116">
        <v>90.05</v>
      </c>
      <c r="P733" s="116">
        <v>92.3</v>
      </c>
      <c r="Q733" s="116">
        <v>92.65</v>
      </c>
      <c r="R733">
        <v>1348172</v>
      </c>
    </row>
    <row r="734" spans="1:18" x14ac:dyDescent="0.25">
      <c r="A734" s="170">
        <v>46164</v>
      </c>
      <c r="B734" s="116">
        <v>94</v>
      </c>
      <c r="C734" s="116">
        <v>90.5</v>
      </c>
      <c r="D734" s="116">
        <v>90.09</v>
      </c>
      <c r="E734" s="116">
        <v>94</v>
      </c>
      <c r="F734" s="116">
        <v>90.5</v>
      </c>
      <c r="G734">
        <v>4164</v>
      </c>
      <c r="H734" s="116"/>
      <c r="I734" s="116"/>
      <c r="L734" s="170">
        <v>46164</v>
      </c>
      <c r="M734" s="116">
        <v>90.5</v>
      </c>
      <c r="N734" s="116">
        <v>93.6</v>
      </c>
      <c r="O734" s="116">
        <v>90.05</v>
      </c>
      <c r="P734" s="116">
        <v>93.6</v>
      </c>
      <c r="Q734" s="116">
        <v>90.5</v>
      </c>
      <c r="R734">
        <v>151646</v>
      </c>
    </row>
    <row r="735" spans="1:18" x14ac:dyDescent="0.25">
      <c r="A735" s="170">
        <v>46167</v>
      </c>
      <c r="B735" s="116">
        <v>94.2</v>
      </c>
      <c r="C735" s="116">
        <v>93.72</v>
      </c>
      <c r="D735" s="116">
        <v>90.25</v>
      </c>
      <c r="E735" s="116">
        <v>90.3</v>
      </c>
      <c r="F735" s="116">
        <v>93.72</v>
      </c>
      <c r="G735">
        <v>6866</v>
      </c>
      <c r="H735" s="116"/>
      <c r="I735" s="116"/>
      <c r="L735" s="170">
        <v>46167</v>
      </c>
      <c r="M735" s="116">
        <v>93.95</v>
      </c>
      <c r="N735" s="116">
        <v>94.45</v>
      </c>
      <c r="O735" s="116">
        <v>90.02</v>
      </c>
      <c r="P735" s="116">
        <v>91.65</v>
      </c>
      <c r="Q735" s="116">
        <v>93.95</v>
      </c>
      <c r="R735">
        <v>565310</v>
      </c>
    </row>
    <row r="736" spans="1:18" x14ac:dyDescent="0.25">
      <c r="A736" s="170">
        <v>46168</v>
      </c>
      <c r="B736" s="116">
        <v>96.95</v>
      </c>
      <c r="C736" s="116">
        <v>95.45</v>
      </c>
      <c r="D736" s="116">
        <v>92.05</v>
      </c>
      <c r="E736" s="116">
        <v>94.84</v>
      </c>
      <c r="F736" s="116">
        <v>95.45</v>
      </c>
      <c r="G736">
        <v>24500</v>
      </c>
      <c r="H736" s="116"/>
      <c r="I736" s="116"/>
      <c r="L736" s="170">
        <v>46168</v>
      </c>
      <c r="M736" s="116">
        <v>95.71</v>
      </c>
      <c r="N736" s="116">
        <v>96.94</v>
      </c>
      <c r="O736" s="116">
        <v>92.73</v>
      </c>
      <c r="P736" s="116">
        <v>93.35</v>
      </c>
      <c r="Q736" s="116">
        <v>95.71</v>
      </c>
      <c r="R736">
        <v>1006290</v>
      </c>
    </row>
    <row r="737" spans="1:18" x14ac:dyDescent="0.25">
      <c r="A737" s="170">
        <v>46169</v>
      </c>
      <c r="B737" s="116">
        <v>103.58</v>
      </c>
      <c r="C737" s="116">
        <v>100.34</v>
      </c>
      <c r="D737" s="116">
        <v>96.25</v>
      </c>
      <c r="E737" s="116">
        <v>96.47</v>
      </c>
      <c r="F737" s="116">
        <v>100.34</v>
      </c>
      <c r="G737">
        <v>72766</v>
      </c>
      <c r="H737" s="116"/>
      <c r="I737" s="116"/>
      <c r="L737" s="170">
        <v>46169</v>
      </c>
      <c r="M737" s="116">
        <v>100.17</v>
      </c>
      <c r="N737" s="116">
        <v>103.37</v>
      </c>
      <c r="O737" s="116">
        <v>96</v>
      </c>
      <c r="P737" s="116">
        <v>96.4</v>
      </c>
      <c r="Q737" s="116">
        <v>100.17</v>
      </c>
      <c r="R737">
        <v>2864154</v>
      </c>
    </row>
    <row r="738" spans="1:18" x14ac:dyDescent="0.25">
      <c r="A738" s="170">
        <v>46171</v>
      </c>
      <c r="B738" s="116">
        <v>101.22</v>
      </c>
      <c r="C738" s="116">
        <v>96.21</v>
      </c>
      <c r="D738" s="116">
        <v>95.3</v>
      </c>
      <c r="E738" s="116">
        <v>101.22</v>
      </c>
      <c r="F738" s="116">
        <v>96.21</v>
      </c>
      <c r="G738">
        <v>30630</v>
      </c>
      <c r="H738" s="116"/>
      <c r="I738" s="116"/>
      <c r="L738" s="170">
        <v>46171</v>
      </c>
      <c r="M738" s="116">
        <v>95.81</v>
      </c>
      <c r="N738" s="116">
        <v>101.22</v>
      </c>
      <c r="O738" s="116">
        <v>95</v>
      </c>
      <c r="P738" s="116">
        <v>100.8</v>
      </c>
      <c r="Q738" s="116">
        <v>95.81</v>
      </c>
      <c r="R738">
        <v>481942</v>
      </c>
    </row>
    <row r="739" spans="1:18" x14ac:dyDescent="0.25">
      <c r="A739" s="170">
        <v>46174</v>
      </c>
      <c r="B739" s="116">
        <v>101.89</v>
      </c>
      <c r="C739" s="116">
        <v>99.35</v>
      </c>
      <c r="D739" s="116">
        <v>95.88</v>
      </c>
      <c r="E739" s="116">
        <v>99.9</v>
      </c>
      <c r="F739" s="116">
        <v>99.35</v>
      </c>
      <c r="G739">
        <v>96246</v>
      </c>
      <c r="H739" s="116"/>
      <c r="I739" s="116"/>
      <c r="L739" s="170">
        <v>46174</v>
      </c>
      <c r="M739" s="116">
        <v>99.45</v>
      </c>
      <c r="N739" s="116">
        <v>101.8</v>
      </c>
      <c r="O739" s="116">
        <v>96.14</v>
      </c>
      <c r="P739" s="116">
        <v>100.11</v>
      </c>
      <c r="Q739" s="116">
        <v>99.45</v>
      </c>
      <c r="R739">
        <v>1224624</v>
      </c>
    </row>
    <row r="740" spans="1:18" x14ac:dyDescent="0.25">
      <c r="A740" s="170">
        <v>46175</v>
      </c>
      <c r="B740" s="116">
        <v>101</v>
      </c>
      <c r="C740" s="116">
        <v>97.21</v>
      </c>
      <c r="D740" s="116">
        <v>96.92</v>
      </c>
      <c r="E740" s="116">
        <v>98.42</v>
      </c>
      <c r="F740" s="116">
        <v>97.21</v>
      </c>
      <c r="G740">
        <v>32340</v>
      </c>
      <c r="H740" s="116"/>
      <c r="I740" s="116"/>
      <c r="L740" s="170">
        <v>46175</v>
      </c>
      <c r="M740" s="116">
        <v>97.17</v>
      </c>
      <c r="N740" s="116">
        <v>101.1</v>
      </c>
      <c r="O740" s="116">
        <v>96.7</v>
      </c>
      <c r="P740" s="116">
        <v>98.75</v>
      </c>
      <c r="Q740" s="116">
        <v>97.17</v>
      </c>
      <c r="R740">
        <v>373108</v>
      </c>
    </row>
    <row r="741" spans="1:18" x14ac:dyDescent="0.25">
      <c r="A741" s="170">
        <v>46176</v>
      </c>
      <c r="B741" s="116">
        <v>97.36</v>
      </c>
      <c r="C741" s="116">
        <v>95.94</v>
      </c>
      <c r="D741" s="116">
        <v>95.14</v>
      </c>
      <c r="E741" s="116">
        <v>96.4</v>
      </c>
      <c r="F741" s="116">
        <v>95.94</v>
      </c>
      <c r="G741">
        <v>9529</v>
      </c>
      <c r="H741" s="116"/>
      <c r="I741" s="116"/>
      <c r="L741" s="170">
        <v>46176</v>
      </c>
      <c r="M741" s="116">
        <v>95.95</v>
      </c>
      <c r="N741" s="116">
        <v>97.69</v>
      </c>
      <c r="O741" s="116">
        <v>95</v>
      </c>
      <c r="P741" s="116">
        <v>97.65</v>
      </c>
      <c r="Q741" s="116">
        <v>95.95</v>
      </c>
      <c r="R741">
        <v>293393</v>
      </c>
    </row>
    <row r="742" spans="1:18" x14ac:dyDescent="0.25">
      <c r="A742" s="170">
        <v>46177</v>
      </c>
      <c r="B742" s="116">
        <v>99.5</v>
      </c>
      <c r="C742" s="116">
        <v>96.5</v>
      </c>
      <c r="D742" s="116">
        <v>95</v>
      </c>
      <c r="E742" s="116">
        <v>95.08</v>
      </c>
      <c r="F742" s="116">
        <v>96.5</v>
      </c>
      <c r="G742">
        <v>24184</v>
      </c>
      <c r="H742" s="116"/>
      <c r="I742" s="116"/>
      <c r="L742" s="170">
        <v>46177</v>
      </c>
      <c r="M742" s="116">
        <v>96.4</v>
      </c>
      <c r="N742" s="116">
        <v>99.65</v>
      </c>
      <c r="O742" s="116">
        <v>95.8</v>
      </c>
      <c r="P742" s="116">
        <v>96.78</v>
      </c>
      <c r="Q742" s="116">
        <v>96.4</v>
      </c>
      <c r="R742">
        <v>789395</v>
      </c>
    </row>
    <row r="743" spans="1:18" x14ac:dyDescent="0.25">
      <c r="A743" s="170">
        <v>46178</v>
      </c>
      <c r="B743" s="116">
        <v>100.36</v>
      </c>
      <c r="C743" s="116">
        <v>98.65</v>
      </c>
      <c r="D743" s="116">
        <v>96.37</v>
      </c>
      <c r="E743" s="116">
        <v>97.9</v>
      </c>
      <c r="F743" s="116">
        <v>98.65</v>
      </c>
      <c r="G743">
        <v>27996</v>
      </c>
      <c r="H743" s="116"/>
      <c r="I743" s="116"/>
      <c r="L743" s="170">
        <v>46178</v>
      </c>
      <c r="M743" s="116">
        <v>98.77</v>
      </c>
      <c r="N743" s="116">
        <v>100.7</v>
      </c>
      <c r="O743" s="116">
        <v>96.2</v>
      </c>
      <c r="P743" s="116">
        <v>97.62</v>
      </c>
      <c r="Q743" s="116">
        <v>98.77</v>
      </c>
      <c r="R743">
        <v>707347</v>
      </c>
    </row>
    <row r="744" spans="1:18" x14ac:dyDescent="0.25">
      <c r="A744" s="170">
        <v>46181</v>
      </c>
      <c r="B744" s="116">
        <v>99.25</v>
      </c>
      <c r="C744" s="116">
        <v>96.23</v>
      </c>
      <c r="D744" s="116">
        <v>95.87</v>
      </c>
      <c r="E744" s="116">
        <v>98.77</v>
      </c>
      <c r="F744" s="116">
        <v>96.23</v>
      </c>
      <c r="G744">
        <v>47761</v>
      </c>
      <c r="H744" s="116"/>
      <c r="I744" s="116"/>
      <c r="L744" s="170">
        <v>46181</v>
      </c>
      <c r="M744" s="116">
        <v>96.43</v>
      </c>
      <c r="N744" s="116">
        <v>99.39</v>
      </c>
      <c r="O744" s="116">
        <v>95.75</v>
      </c>
      <c r="P744" s="116">
        <v>97.25</v>
      </c>
      <c r="Q744" s="116">
        <v>96.43</v>
      </c>
      <c r="R744">
        <v>406347</v>
      </c>
    </row>
    <row r="745" spans="1:18" x14ac:dyDescent="0.25">
      <c r="A745" s="170">
        <v>46182</v>
      </c>
      <c r="B745" s="116">
        <v>98.05</v>
      </c>
      <c r="C745" s="116">
        <v>96.67</v>
      </c>
      <c r="D745" s="116">
        <v>95.9</v>
      </c>
      <c r="E745" s="116">
        <v>96.23</v>
      </c>
      <c r="F745" s="116">
        <v>96.67</v>
      </c>
      <c r="G745">
        <v>6802</v>
      </c>
      <c r="H745" s="116"/>
      <c r="I745" s="116"/>
      <c r="L745" s="170">
        <v>46182</v>
      </c>
      <c r="M745" s="116">
        <v>96.88</v>
      </c>
      <c r="N745" s="116">
        <v>97.79</v>
      </c>
      <c r="O745" s="116">
        <v>95.71</v>
      </c>
      <c r="P745" s="116">
        <v>96.5</v>
      </c>
      <c r="Q745" s="116">
        <v>96.88</v>
      </c>
      <c r="R745">
        <v>193945</v>
      </c>
    </row>
    <row r="746" spans="1:18" x14ac:dyDescent="0.25">
      <c r="A746" s="170">
        <v>46183</v>
      </c>
      <c r="B746" s="116">
        <v>97.12</v>
      </c>
      <c r="C746" s="116">
        <v>94.09</v>
      </c>
      <c r="D746" s="116">
        <v>93.5</v>
      </c>
      <c r="E746" s="116">
        <v>96.7</v>
      </c>
      <c r="F746" s="116">
        <v>94.09</v>
      </c>
      <c r="G746">
        <v>15653</v>
      </c>
      <c r="H746" s="116"/>
      <c r="I746" s="116"/>
      <c r="L746" s="170">
        <v>46183</v>
      </c>
      <c r="M746" s="116">
        <v>94.1</v>
      </c>
      <c r="N746" s="116">
        <v>97.9</v>
      </c>
      <c r="O746" s="116">
        <v>93.5</v>
      </c>
      <c r="P746" s="116">
        <v>96.74</v>
      </c>
      <c r="Q746" s="116">
        <v>94.1</v>
      </c>
      <c r="R746">
        <v>290443</v>
      </c>
    </row>
    <row r="747" spans="1:18" x14ac:dyDescent="0.25">
      <c r="A747" s="170">
        <v>46184</v>
      </c>
      <c r="B747" s="116">
        <v>95</v>
      </c>
      <c r="C747" s="116">
        <v>91.63</v>
      </c>
      <c r="D747" s="116">
        <v>91.21</v>
      </c>
      <c r="E747" s="116">
        <v>94.6</v>
      </c>
      <c r="F747" s="116">
        <v>91.63</v>
      </c>
      <c r="G747">
        <v>13924</v>
      </c>
      <c r="H747" s="116"/>
      <c r="I747" s="116"/>
      <c r="L747" s="170">
        <v>46184</v>
      </c>
      <c r="M747" s="116">
        <v>91.98</v>
      </c>
      <c r="N747" s="116">
        <v>94.96</v>
      </c>
      <c r="O747" s="116">
        <v>91.06</v>
      </c>
      <c r="P747" s="116">
        <v>93</v>
      </c>
      <c r="Q747" s="116">
        <v>91.98</v>
      </c>
      <c r="R747">
        <v>280856</v>
      </c>
    </row>
    <row r="748" spans="1:18" x14ac:dyDescent="0.25">
      <c r="A748" s="170">
        <v>46185</v>
      </c>
      <c r="B748" s="116">
        <v>93.56</v>
      </c>
      <c r="C748" s="116">
        <v>92.53</v>
      </c>
      <c r="D748" s="116">
        <v>90</v>
      </c>
      <c r="E748" s="116">
        <v>93.2</v>
      </c>
      <c r="F748" s="116">
        <v>92.53</v>
      </c>
      <c r="G748">
        <v>26812</v>
      </c>
      <c r="H748" s="116"/>
      <c r="I748" s="116"/>
      <c r="L748" s="170">
        <v>46185</v>
      </c>
      <c r="M748" s="116">
        <v>91.69</v>
      </c>
      <c r="N748" s="116">
        <v>93.88</v>
      </c>
      <c r="O748" s="116">
        <v>89.8</v>
      </c>
      <c r="P748" s="116">
        <v>93.29</v>
      </c>
      <c r="Q748" s="116">
        <v>91.69</v>
      </c>
      <c r="R748">
        <v>461295</v>
      </c>
    </row>
    <row r="749" spans="1:18" x14ac:dyDescent="0.25">
      <c r="A749" s="170">
        <v>46188</v>
      </c>
      <c r="B749" s="116">
        <v>94.5</v>
      </c>
      <c r="C749" s="116">
        <v>90.61</v>
      </c>
      <c r="D749" s="116">
        <v>89.92</v>
      </c>
      <c r="E749" s="116">
        <v>90</v>
      </c>
      <c r="F749" s="116">
        <v>90.61</v>
      </c>
      <c r="G749">
        <v>36275</v>
      </c>
      <c r="H749" s="116"/>
      <c r="I749" s="116"/>
      <c r="L749" s="170">
        <v>46188</v>
      </c>
      <c r="M749" s="116">
        <v>90.57</v>
      </c>
      <c r="N749" s="116">
        <v>94.86</v>
      </c>
      <c r="O749" s="116">
        <v>89.72</v>
      </c>
      <c r="P749" s="116">
        <v>92.15</v>
      </c>
      <c r="Q749" s="116">
        <v>90.57</v>
      </c>
      <c r="R749">
        <v>491793</v>
      </c>
    </row>
    <row r="750" spans="1:18" x14ac:dyDescent="0.25">
      <c r="A750" s="170">
        <v>46189</v>
      </c>
      <c r="B750" s="116">
        <v>94.9</v>
      </c>
      <c r="C750" s="116">
        <v>94.5</v>
      </c>
      <c r="D750" s="116">
        <v>91</v>
      </c>
      <c r="E750" s="116">
        <v>92.43</v>
      </c>
      <c r="F750" s="116">
        <v>94.5</v>
      </c>
      <c r="G750">
        <v>50214</v>
      </c>
      <c r="H750" s="116"/>
      <c r="I750" s="116"/>
      <c r="L750" s="170">
        <v>46189</v>
      </c>
      <c r="M750" s="116">
        <v>94.62</v>
      </c>
      <c r="N750" s="116">
        <v>95.1</v>
      </c>
      <c r="O750" s="116">
        <v>90.6</v>
      </c>
      <c r="P750" s="116">
        <v>92</v>
      </c>
      <c r="Q750" s="116">
        <v>94.62</v>
      </c>
      <c r="R750">
        <v>731731</v>
      </c>
    </row>
    <row r="751" spans="1:18" x14ac:dyDescent="0.25">
      <c r="A751" s="170">
        <v>46190</v>
      </c>
      <c r="B751" s="116">
        <v>97.2</v>
      </c>
      <c r="C751" s="116">
        <v>94.25</v>
      </c>
      <c r="D751" s="116">
        <v>93.1</v>
      </c>
      <c r="E751" s="116">
        <v>94.9</v>
      </c>
      <c r="F751" s="116">
        <v>94.25</v>
      </c>
      <c r="G751">
        <v>20402</v>
      </c>
      <c r="H751" s="116"/>
      <c r="I751" s="116"/>
      <c r="L751" s="170">
        <v>46190</v>
      </c>
      <c r="M751" s="116">
        <v>93.84</v>
      </c>
      <c r="N751" s="116">
        <v>97.13</v>
      </c>
      <c r="O751" s="116">
        <v>93.31</v>
      </c>
      <c r="P751" s="116">
        <v>95</v>
      </c>
      <c r="Q751" s="116">
        <v>93.84</v>
      </c>
      <c r="R751">
        <v>457916</v>
      </c>
    </row>
    <row r="752" spans="1:18" x14ac:dyDescent="0.25">
      <c r="A752" s="170"/>
      <c r="B752" s="116"/>
      <c r="C752" s="116"/>
      <c r="D752" s="116"/>
      <c r="E752" s="116"/>
      <c r="F752" s="116"/>
      <c r="H752" s="116"/>
      <c r="I752" s="116"/>
      <c r="L752" s="170"/>
    </row>
    <row r="753" spans="1:12" x14ac:dyDescent="0.25">
      <c r="A753" s="170"/>
      <c r="B753" s="116"/>
      <c r="C753" s="116"/>
      <c r="D753" s="116"/>
      <c r="E753" s="116"/>
      <c r="F753" s="116"/>
      <c r="H753" s="116"/>
      <c r="I753" s="116"/>
      <c r="L753" s="170"/>
    </row>
    <row r="754" spans="1:12" x14ac:dyDescent="0.25">
      <c r="A754" s="170"/>
      <c r="B754" s="116"/>
      <c r="C754" s="116"/>
      <c r="D754" s="116"/>
      <c r="E754" s="116"/>
      <c r="F754" s="116"/>
      <c r="H754" s="116"/>
      <c r="I754" s="116"/>
      <c r="L754" s="170"/>
    </row>
    <row r="755" spans="1:12" x14ac:dyDescent="0.25">
      <c r="A755" s="170"/>
      <c r="B755" s="116"/>
      <c r="C755" s="116"/>
      <c r="D755" s="116"/>
      <c r="E755" s="116"/>
      <c r="F755" s="116"/>
      <c r="H755" s="116"/>
      <c r="I755" s="116"/>
      <c r="L755" s="170"/>
    </row>
    <row r="756" spans="1:12" x14ac:dyDescent="0.25">
      <c r="A756" s="170"/>
      <c r="B756" s="116"/>
      <c r="C756" s="116"/>
      <c r="D756" s="116"/>
      <c r="E756" s="116"/>
      <c r="F756" s="116"/>
      <c r="H756" s="116"/>
      <c r="I756" s="116"/>
      <c r="L756" s="170"/>
    </row>
    <row r="757" spans="1:12" x14ac:dyDescent="0.25">
      <c r="A757" s="170"/>
      <c r="B757" s="116"/>
      <c r="C757" s="116"/>
      <c r="D757" s="116"/>
      <c r="E757" s="116"/>
      <c r="F757" s="116"/>
      <c r="H757" s="116"/>
      <c r="I757" s="116"/>
      <c r="L757" s="170"/>
    </row>
    <row r="758" spans="1:12" x14ac:dyDescent="0.25">
      <c r="A758" s="170"/>
      <c r="B758" s="116"/>
      <c r="C758" s="116"/>
      <c r="D758" s="116"/>
      <c r="E758" s="116"/>
      <c r="F758" s="116"/>
      <c r="H758" s="116"/>
      <c r="I758" s="116"/>
      <c r="L758" s="170"/>
    </row>
    <row r="759" spans="1:12" x14ac:dyDescent="0.25">
      <c r="A759" s="170"/>
      <c r="B759" s="116"/>
      <c r="C759" s="116"/>
      <c r="D759" s="116"/>
      <c r="E759" s="116"/>
      <c r="F759" s="116"/>
      <c r="H759" s="116"/>
      <c r="I759" s="116"/>
      <c r="L759" s="170"/>
    </row>
    <row r="760" spans="1:12" x14ac:dyDescent="0.25">
      <c r="A760" s="170"/>
      <c r="B760" s="116"/>
      <c r="C760" s="116"/>
      <c r="D760" s="116"/>
      <c r="E760" s="116"/>
      <c r="F760" s="116"/>
      <c r="H760" s="116"/>
      <c r="I760" s="116"/>
      <c r="L760" s="170"/>
    </row>
    <row r="761" spans="1:12" x14ac:dyDescent="0.25">
      <c r="A761" s="170"/>
      <c r="B761" s="116"/>
      <c r="C761" s="116"/>
      <c r="D761" s="116"/>
      <c r="E761" s="116"/>
      <c r="F761" s="116"/>
      <c r="H761" s="116"/>
      <c r="I761" s="116"/>
      <c r="L761" s="170"/>
    </row>
    <row r="762" spans="1:12" x14ac:dyDescent="0.25">
      <c r="A762" s="170"/>
      <c r="B762" s="116"/>
      <c r="C762" s="116"/>
      <c r="D762" s="116"/>
      <c r="E762" s="116"/>
      <c r="F762" s="116"/>
      <c r="H762" s="116"/>
      <c r="I762" s="116"/>
      <c r="L762" s="170"/>
    </row>
    <row r="763" spans="1:12" x14ac:dyDescent="0.25">
      <c r="A763" s="170"/>
      <c r="B763" s="116"/>
      <c r="C763" s="116"/>
      <c r="D763" s="116"/>
      <c r="E763" s="116"/>
      <c r="F763" s="116"/>
      <c r="H763" s="116"/>
      <c r="I763" s="116"/>
      <c r="L763" s="170"/>
    </row>
    <row r="764" spans="1:12" x14ac:dyDescent="0.25">
      <c r="A764" s="170"/>
      <c r="B764" s="116"/>
      <c r="C764" s="116"/>
      <c r="D764" s="116"/>
      <c r="E764" s="116"/>
      <c r="F764" s="116"/>
      <c r="H764" s="116"/>
      <c r="I764" s="116"/>
      <c r="L764" s="170"/>
    </row>
    <row r="765" spans="1:12" x14ac:dyDescent="0.25">
      <c r="A765" s="170"/>
      <c r="B765" s="116"/>
      <c r="C765" s="116"/>
      <c r="D765" s="116"/>
      <c r="E765" s="116"/>
      <c r="F765" s="116"/>
      <c r="H765" s="116"/>
      <c r="I765" s="116"/>
      <c r="L765" s="170"/>
    </row>
    <row r="766" spans="1:12" x14ac:dyDescent="0.25">
      <c r="A766" s="170"/>
      <c r="B766" s="116"/>
      <c r="C766" s="116"/>
      <c r="D766" s="116"/>
      <c r="E766" s="116"/>
      <c r="F766" s="116"/>
      <c r="H766" s="116"/>
      <c r="I766" s="116"/>
      <c r="L766" s="170"/>
    </row>
    <row r="767" spans="1:12" x14ac:dyDescent="0.25">
      <c r="A767" s="170"/>
      <c r="B767" s="116"/>
      <c r="C767" s="116"/>
      <c r="D767" s="116"/>
      <c r="E767" s="116"/>
      <c r="F767" s="116"/>
      <c r="H767" s="116"/>
      <c r="I767" s="116"/>
      <c r="L767" s="170"/>
    </row>
    <row r="768" spans="1:12" x14ac:dyDescent="0.25">
      <c r="A768" s="170"/>
      <c r="B768" s="116"/>
      <c r="C768" s="116"/>
      <c r="D768" s="116"/>
      <c r="E768" s="116"/>
      <c r="F768" s="116"/>
      <c r="H768" s="116"/>
      <c r="I768" s="116"/>
      <c r="L768" s="170"/>
    </row>
    <row r="769" spans="1:12" x14ac:dyDescent="0.25">
      <c r="A769" s="170"/>
      <c r="B769" s="116"/>
      <c r="C769" s="116"/>
      <c r="D769" s="116"/>
      <c r="E769" s="116"/>
      <c r="F769" s="116"/>
      <c r="H769" s="116"/>
      <c r="I769" s="116"/>
      <c r="L769" s="170"/>
    </row>
    <row r="770" spans="1:12" x14ac:dyDescent="0.25">
      <c r="A770" s="170"/>
      <c r="B770" s="116"/>
      <c r="C770" s="116"/>
      <c r="D770" s="116"/>
      <c r="E770" s="116"/>
      <c r="F770" s="116"/>
      <c r="H770" s="116"/>
      <c r="I770" s="116"/>
      <c r="L770" s="170"/>
    </row>
    <row r="771" spans="1:12" x14ac:dyDescent="0.25">
      <c r="A771" s="170"/>
      <c r="B771" s="116"/>
      <c r="C771" s="116"/>
      <c r="D771" s="116"/>
      <c r="E771" s="116"/>
      <c r="F771" s="116"/>
      <c r="H771" s="116"/>
      <c r="I771" s="116"/>
      <c r="L771" s="170"/>
    </row>
    <row r="772" spans="1:12" x14ac:dyDescent="0.25">
      <c r="A772" s="170"/>
      <c r="B772" s="116"/>
      <c r="C772" s="116"/>
      <c r="D772" s="116"/>
      <c r="E772" s="116"/>
      <c r="F772" s="116"/>
      <c r="H772" s="116"/>
      <c r="I772" s="116"/>
      <c r="L772" s="170"/>
    </row>
    <row r="773" spans="1:12" x14ac:dyDescent="0.25">
      <c r="A773" s="170"/>
      <c r="B773" s="116"/>
      <c r="C773" s="116"/>
      <c r="D773" s="116"/>
      <c r="E773" s="116"/>
      <c r="F773" s="116"/>
      <c r="H773" s="116"/>
      <c r="I773" s="116"/>
      <c r="L773" s="170"/>
    </row>
    <row r="774" spans="1:12" x14ac:dyDescent="0.25">
      <c r="A774" s="170"/>
      <c r="B774" s="116"/>
      <c r="C774" s="116"/>
      <c r="D774" s="116"/>
      <c r="E774" s="116"/>
      <c r="F774" s="116"/>
      <c r="H774" s="116"/>
      <c r="I774" s="116"/>
      <c r="L774" s="170"/>
    </row>
    <row r="775" spans="1:12" x14ac:dyDescent="0.25">
      <c r="A775" s="170"/>
      <c r="B775" s="116"/>
      <c r="C775" s="116"/>
      <c r="D775" s="116"/>
      <c r="E775" s="116"/>
      <c r="F775" s="116"/>
      <c r="H775" s="116"/>
      <c r="I775" s="116"/>
      <c r="L775" s="170"/>
    </row>
    <row r="776" spans="1:12" x14ac:dyDescent="0.25">
      <c r="A776" s="170"/>
      <c r="B776" s="116"/>
      <c r="C776" s="116"/>
      <c r="D776" s="116"/>
      <c r="E776" s="116"/>
      <c r="F776" s="116"/>
      <c r="H776" s="116"/>
      <c r="I776" s="116"/>
      <c r="L776" s="170"/>
    </row>
    <row r="777" spans="1:12" x14ac:dyDescent="0.25">
      <c r="A777" s="170"/>
      <c r="B777" s="116"/>
      <c r="C777" s="116"/>
      <c r="D777" s="116"/>
      <c r="E777" s="116"/>
      <c r="F777" s="116"/>
      <c r="H777" s="116"/>
      <c r="I777" s="116"/>
      <c r="L777" s="170"/>
    </row>
    <row r="778" spans="1:12" x14ac:dyDescent="0.25">
      <c r="A778" s="170"/>
      <c r="B778" s="116"/>
      <c r="C778" s="116"/>
      <c r="D778" s="116"/>
      <c r="E778" s="116"/>
      <c r="F778" s="116"/>
      <c r="H778" s="116"/>
      <c r="I778" s="116"/>
      <c r="L778" s="170"/>
    </row>
    <row r="779" spans="1:12" x14ac:dyDescent="0.25">
      <c r="A779" s="170"/>
      <c r="B779" s="116"/>
      <c r="C779" s="116"/>
      <c r="D779" s="116"/>
      <c r="E779" s="116"/>
      <c r="F779" s="116"/>
      <c r="H779" s="116"/>
      <c r="I779" s="116"/>
      <c r="L779" s="170"/>
    </row>
    <row r="780" spans="1:12" x14ac:dyDescent="0.25">
      <c r="A780" s="170"/>
      <c r="B780" s="116"/>
      <c r="C780" s="116"/>
      <c r="D780" s="116"/>
      <c r="E780" s="116"/>
      <c r="F780" s="116"/>
      <c r="H780" s="116"/>
      <c r="I780" s="116"/>
      <c r="L780" s="170"/>
    </row>
    <row r="781" spans="1:12" x14ac:dyDescent="0.25">
      <c r="A781" s="170"/>
      <c r="B781" s="116"/>
      <c r="C781" s="116"/>
      <c r="D781" s="116"/>
      <c r="E781" s="116"/>
      <c r="F781" s="116"/>
      <c r="H781" s="116"/>
      <c r="I781" s="116"/>
      <c r="L781" s="170"/>
    </row>
    <row r="782" spans="1:12" x14ac:dyDescent="0.25">
      <c r="A782" s="170"/>
      <c r="B782" s="116"/>
      <c r="C782" s="116"/>
      <c r="D782" s="116"/>
      <c r="E782" s="116"/>
      <c r="F782" s="116"/>
      <c r="H782" s="116"/>
      <c r="I782" s="116"/>
      <c r="L782" s="170"/>
    </row>
    <row r="783" spans="1:12" x14ac:dyDescent="0.25">
      <c r="A783" s="170"/>
      <c r="B783" s="116"/>
      <c r="C783" s="116"/>
      <c r="D783" s="116"/>
      <c r="E783" s="116"/>
      <c r="F783" s="116"/>
      <c r="H783" s="116"/>
      <c r="I783" s="116"/>
      <c r="L783" s="170"/>
    </row>
    <row r="784" spans="1:12" x14ac:dyDescent="0.25">
      <c r="A784" s="170"/>
      <c r="B784" s="116"/>
      <c r="C784" s="116"/>
      <c r="D784" s="116"/>
      <c r="E784" s="116"/>
      <c r="F784" s="116"/>
      <c r="H784" s="116"/>
      <c r="I784" s="116"/>
      <c r="L784" s="170"/>
    </row>
    <row r="785" spans="1:12" x14ac:dyDescent="0.25">
      <c r="A785" s="170"/>
      <c r="B785" s="116"/>
      <c r="C785" s="116"/>
      <c r="D785" s="116"/>
      <c r="E785" s="116"/>
      <c r="F785" s="116"/>
      <c r="H785" s="116"/>
      <c r="I785" s="116"/>
      <c r="L785" s="170"/>
    </row>
    <row r="786" spans="1:12" x14ac:dyDescent="0.25">
      <c r="A786" s="170"/>
      <c r="B786" s="116"/>
      <c r="C786" s="116"/>
      <c r="D786" s="116"/>
      <c r="E786" s="116"/>
      <c r="F786" s="116"/>
      <c r="H786" s="116"/>
      <c r="I786" s="116"/>
      <c r="L786" s="170"/>
    </row>
    <row r="787" spans="1:12" x14ac:dyDescent="0.25">
      <c r="A787" s="170"/>
      <c r="B787" s="116"/>
      <c r="C787" s="116"/>
      <c r="D787" s="116"/>
      <c r="E787" s="116"/>
      <c r="F787" s="116"/>
      <c r="H787" s="116"/>
      <c r="I787" s="116"/>
      <c r="L787" s="170"/>
    </row>
    <row r="788" spans="1:12" x14ac:dyDescent="0.25">
      <c r="A788" s="170"/>
      <c r="B788" s="116"/>
      <c r="C788" s="116"/>
      <c r="D788" s="116"/>
      <c r="E788" s="116"/>
      <c r="F788" s="116"/>
      <c r="H788" s="116"/>
      <c r="I788" s="116"/>
      <c r="L788" s="170"/>
    </row>
    <row r="789" spans="1:12" x14ac:dyDescent="0.25">
      <c r="A789" s="170"/>
      <c r="B789" s="116"/>
      <c r="C789" s="116"/>
      <c r="D789" s="116"/>
      <c r="E789" s="116"/>
      <c r="F789" s="116"/>
      <c r="H789" s="116"/>
      <c r="I789" s="116"/>
      <c r="L789" s="170"/>
    </row>
    <row r="790" spans="1:12" x14ac:dyDescent="0.25">
      <c r="A790" s="170"/>
      <c r="B790" s="116"/>
      <c r="C790" s="116"/>
      <c r="D790" s="116"/>
      <c r="E790" s="116"/>
      <c r="F790" s="116"/>
      <c r="H790" s="116"/>
      <c r="I790" s="116"/>
      <c r="L790" s="170"/>
    </row>
    <row r="791" spans="1:12" x14ac:dyDescent="0.25">
      <c r="A791" s="170"/>
      <c r="B791" s="116"/>
      <c r="C791" s="116"/>
      <c r="D791" s="116"/>
      <c r="E791" s="116"/>
      <c r="F791" s="116"/>
      <c r="H791" s="116"/>
      <c r="I791" s="116"/>
      <c r="L791" s="170"/>
    </row>
    <row r="792" spans="1:12" x14ac:dyDescent="0.25">
      <c r="A792" s="170"/>
      <c r="B792" s="116"/>
      <c r="C792" s="116"/>
      <c r="D792" s="116"/>
      <c r="E792" s="116"/>
      <c r="F792" s="116"/>
      <c r="H792" s="116"/>
      <c r="I792" s="116"/>
      <c r="L792" s="170"/>
    </row>
    <row r="793" spans="1:12" x14ac:dyDescent="0.25">
      <c r="A793" s="170"/>
      <c r="B793" s="116"/>
      <c r="C793" s="116"/>
      <c r="D793" s="116"/>
      <c r="E793" s="116"/>
      <c r="F793" s="116"/>
      <c r="H793" s="116"/>
      <c r="I793" s="116"/>
      <c r="L793" s="170"/>
    </row>
    <row r="794" spans="1:12" x14ac:dyDescent="0.25">
      <c r="A794" s="170"/>
      <c r="B794" s="116"/>
      <c r="C794" s="116"/>
      <c r="D794" s="116"/>
      <c r="E794" s="116"/>
      <c r="F794" s="116"/>
      <c r="H794" s="116"/>
      <c r="I794" s="116"/>
      <c r="L794" s="170"/>
    </row>
    <row r="795" spans="1:12" x14ac:dyDescent="0.25">
      <c r="A795" s="170"/>
      <c r="B795" s="116"/>
      <c r="C795" s="116"/>
      <c r="D795" s="116"/>
      <c r="E795" s="116"/>
      <c r="F795" s="116"/>
      <c r="H795" s="116"/>
      <c r="I795" s="116"/>
      <c r="L795" s="170"/>
    </row>
    <row r="796" spans="1:12" x14ac:dyDescent="0.25">
      <c r="A796" s="170"/>
      <c r="B796" s="116"/>
      <c r="C796" s="116"/>
      <c r="D796" s="116"/>
      <c r="E796" s="116"/>
      <c r="F796" s="116"/>
      <c r="H796" s="116"/>
      <c r="I796" s="116"/>
      <c r="L796" s="170"/>
    </row>
    <row r="797" spans="1:12" x14ac:dyDescent="0.25">
      <c r="A797" s="170"/>
      <c r="B797" s="116"/>
      <c r="C797" s="116"/>
      <c r="D797" s="116"/>
      <c r="E797" s="116"/>
      <c r="F797" s="116"/>
      <c r="H797" s="116"/>
      <c r="I797" s="116"/>
      <c r="L797" s="170"/>
    </row>
    <row r="798" spans="1:12" x14ac:dyDescent="0.25">
      <c r="A798" s="170"/>
      <c r="B798" s="116"/>
      <c r="C798" s="116"/>
      <c r="D798" s="116"/>
      <c r="E798" s="116"/>
      <c r="F798" s="116"/>
      <c r="H798" s="116"/>
      <c r="I798" s="116"/>
      <c r="L798" s="170"/>
    </row>
    <row r="799" spans="1:12" x14ac:dyDescent="0.25">
      <c r="A799" s="170"/>
      <c r="B799" s="116"/>
      <c r="C799" s="116"/>
      <c r="D799" s="116"/>
      <c r="E799" s="116"/>
      <c r="F799" s="116"/>
      <c r="H799" s="116"/>
      <c r="I799" s="116"/>
      <c r="L799" s="170"/>
    </row>
    <row r="800" spans="1:12" x14ac:dyDescent="0.25">
      <c r="A800" s="170"/>
      <c r="B800" s="116"/>
      <c r="C800" s="116"/>
      <c r="D800" s="116"/>
      <c r="E800" s="116"/>
      <c r="F800" s="116"/>
      <c r="H800" s="116"/>
      <c r="I800" s="116"/>
      <c r="L800" s="170"/>
    </row>
    <row r="801" spans="1:12" x14ac:dyDescent="0.25">
      <c r="A801" s="170"/>
      <c r="B801" s="116"/>
      <c r="C801" s="116"/>
      <c r="D801" s="116"/>
      <c r="E801" s="116"/>
      <c r="F801" s="116"/>
      <c r="H801" s="116"/>
      <c r="I801" s="116"/>
      <c r="L801" s="170"/>
    </row>
    <row r="802" spans="1:12" x14ac:dyDescent="0.25">
      <c r="A802" s="170"/>
      <c r="B802" s="116"/>
      <c r="C802" s="116"/>
      <c r="D802" s="116"/>
      <c r="E802" s="116"/>
      <c r="F802" s="116"/>
      <c r="H802" s="116"/>
      <c r="I802" s="116"/>
      <c r="L802" s="170"/>
    </row>
    <row r="803" spans="1:12" x14ac:dyDescent="0.25">
      <c r="A803" s="170"/>
      <c r="B803" s="116"/>
      <c r="C803" s="116"/>
      <c r="D803" s="116"/>
      <c r="E803" s="116"/>
      <c r="F803" s="116"/>
      <c r="H803" s="116"/>
      <c r="I803" s="116"/>
      <c r="L803" s="170"/>
    </row>
    <row r="804" spans="1:12" x14ac:dyDescent="0.25">
      <c r="A804" s="170"/>
      <c r="B804" s="116"/>
      <c r="C804" s="116"/>
      <c r="D804" s="116"/>
      <c r="E804" s="116"/>
      <c r="F804" s="116"/>
      <c r="H804" s="116"/>
      <c r="I804" s="116"/>
      <c r="L804" s="170"/>
    </row>
    <row r="805" spans="1:12" x14ac:dyDescent="0.25">
      <c r="A805" s="170"/>
      <c r="B805" s="116"/>
      <c r="C805" s="116"/>
      <c r="D805" s="116"/>
      <c r="E805" s="116"/>
      <c r="F805" s="116"/>
      <c r="H805" s="116"/>
      <c r="I805" s="116"/>
      <c r="L805" s="170"/>
    </row>
    <row r="806" spans="1:12" x14ac:dyDescent="0.25">
      <c r="A806" s="170"/>
      <c r="B806" s="116"/>
      <c r="C806" s="116"/>
      <c r="D806" s="116"/>
      <c r="E806" s="116"/>
      <c r="F806" s="116"/>
      <c r="H806" s="116"/>
      <c r="I806" s="116"/>
      <c r="L806" s="170"/>
    </row>
    <row r="807" spans="1:12" x14ac:dyDescent="0.25">
      <c r="A807" s="170"/>
      <c r="B807" s="116"/>
      <c r="C807" s="116"/>
      <c r="D807" s="116"/>
      <c r="E807" s="116"/>
      <c r="F807" s="116"/>
      <c r="H807" s="116"/>
      <c r="I807" s="116"/>
      <c r="L807" s="170"/>
    </row>
    <row r="808" spans="1:12" x14ac:dyDescent="0.25">
      <c r="A808" s="170"/>
      <c r="B808" s="116"/>
      <c r="C808" s="116"/>
      <c r="D808" s="116"/>
      <c r="E808" s="116"/>
      <c r="F808" s="116"/>
      <c r="H808" s="116"/>
      <c r="I808" s="116"/>
      <c r="L808" s="170"/>
    </row>
    <row r="809" spans="1:12" x14ac:dyDescent="0.25">
      <c r="A809" s="170"/>
      <c r="B809" s="116"/>
      <c r="C809" s="116"/>
      <c r="D809" s="116"/>
      <c r="E809" s="116"/>
      <c r="F809" s="116"/>
      <c r="H809" s="116"/>
      <c r="I809" s="116"/>
      <c r="L809" s="170"/>
    </row>
    <row r="810" spans="1:12" x14ac:dyDescent="0.25">
      <c r="A810" s="170"/>
      <c r="B810" s="116"/>
      <c r="C810" s="116"/>
      <c r="D810" s="116"/>
      <c r="E810" s="116"/>
      <c r="F810" s="116"/>
      <c r="H810" s="116"/>
      <c r="I810" s="116"/>
      <c r="L810" s="170"/>
    </row>
    <row r="811" spans="1:12" x14ac:dyDescent="0.25">
      <c r="A811" s="170"/>
      <c r="B811" s="116"/>
      <c r="C811" s="116"/>
      <c r="D811" s="116"/>
      <c r="E811" s="116"/>
      <c r="F811" s="116"/>
      <c r="H811" s="116"/>
      <c r="I811" s="116"/>
      <c r="L811" s="170"/>
    </row>
    <row r="812" spans="1:12" x14ac:dyDescent="0.25">
      <c r="A812" s="170"/>
      <c r="B812" s="116"/>
      <c r="C812" s="116"/>
      <c r="D812" s="116"/>
      <c r="E812" s="116"/>
      <c r="F812" s="116"/>
      <c r="H812" s="116"/>
      <c r="I812" s="116"/>
      <c r="L812" s="170"/>
    </row>
    <row r="813" spans="1:12" x14ac:dyDescent="0.25">
      <c r="A813" s="170"/>
      <c r="B813" s="116"/>
      <c r="C813" s="116"/>
      <c r="D813" s="116"/>
      <c r="E813" s="116"/>
      <c r="F813" s="116"/>
      <c r="H813" s="116"/>
      <c r="I813" s="116"/>
      <c r="L813" s="170"/>
    </row>
    <row r="814" spans="1:12" x14ac:dyDescent="0.25">
      <c r="A814" s="170"/>
      <c r="B814" s="116"/>
      <c r="C814" s="116"/>
      <c r="D814" s="116"/>
      <c r="E814" s="116"/>
      <c r="F814" s="116"/>
      <c r="H814" s="116"/>
      <c r="I814" s="116"/>
      <c r="L814" s="170"/>
    </row>
    <row r="815" spans="1:12" x14ac:dyDescent="0.25">
      <c r="A815" s="170"/>
      <c r="B815" s="116"/>
      <c r="C815" s="116"/>
      <c r="D815" s="116"/>
      <c r="E815" s="116"/>
      <c r="F815" s="116"/>
      <c r="H815" s="116"/>
      <c r="I815" s="116"/>
      <c r="L815" s="170"/>
    </row>
    <row r="816" spans="1:12" x14ac:dyDescent="0.25">
      <c r="A816" s="170"/>
      <c r="B816" s="116"/>
      <c r="C816" s="116"/>
      <c r="D816" s="116"/>
      <c r="E816" s="116"/>
      <c r="F816" s="116"/>
      <c r="H816" s="116"/>
      <c r="I816" s="116"/>
      <c r="L816" s="170"/>
    </row>
    <row r="817" spans="1:12" x14ac:dyDescent="0.25">
      <c r="A817" s="170"/>
      <c r="B817" s="116"/>
      <c r="C817" s="116"/>
      <c r="D817" s="116"/>
      <c r="E817" s="116"/>
      <c r="F817" s="116"/>
      <c r="H817" s="116"/>
      <c r="I817" s="116"/>
      <c r="L817" s="170"/>
    </row>
    <row r="818" spans="1:12" x14ac:dyDescent="0.25">
      <c r="A818" s="170"/>
      <c r="B818" s="116"/>
      <c r="C818" s="116"/>
      <c r="D818" s="116"/>
      <c r="E818" s="116"/>
      <c r="F818" s="116"/>
      <c r="H818" s="116"/>
      <c r="I818" s="116"/>
      <c r="L818" s="170"/>
    </row>
    <row r="819" spans="1:12" x14ac:dyDescent="0.25">
      <c r="A819" s="170"/>
      <c r="B819" s="116"/>
      <c r="C819" s="116"/>
      <c r="D819" s="116"/>
      <c r="E819" s="116"/>
      <c r="F819" s="116"/>
      <c r="H819" s="116"/>
      <c r="I819" s="116"/>
      <c r="L819" s="170"/>
    </row>
    <row r="820" spans="1:12" x14ac:dyDescent="0.25">
      <c r="A820" s="170"/>
      <c r="B820" s="116"/>
      <c r="C820" s="116"/>
      <c r="D820" s="116"/>
      <c r="E820" s="116"/>
      <c r="F820" s="116"/>
      <c r="H820" s="116"/>
      <c r="I820" s="116"/>
      <c r="L820" s="170"/>
    </row>
    <row r="821" spans="1:12" x14ac:dyDescent="0.25">
      <c r="A821" s="170"/>
      <c r="B821" s="116"/>
      <c r="C821" s="116"/>
      <c r="D821" s="116"/>
      <c r="E821" s="116"/>
      <c r="F821" s="116"/>
      <c r="H821" s="116"/>
      <c r="I821" s="116"/>
      <c r="L821" s="170"/>
    </row>
    <row r="822" spans="1:12" x14ac:dyDescent="0.25">
      <c r="A822" s="170"/>
      <c r="B822" s="116"/>
      <c r="C822" s="116"/>
      <c r="D822" s="116"/>
      <c r="E822" s="116"/>
      <c r="F822" s="116"/>
      <c r="H822" s="116"/>
      <c r="I822" s="116"/>
      <c r="L822" s="170"/>
    </row>
    <row r="823" spans="1:12" x14ac:dyDescent="0.25">
      <c r="A823" s="170"/>
      <c r="B823" s="116"/>
      <c r="C823" s="116"/>
      <c r="D823" s="116"/>
      <c r="E823" s="116"/>
      <c r="F823" s="116"/>
      <c r="H823" s="116"/>
      <c r="I823" s="116"/>
      <c r="L823" s="170"/>
    </row>
    <row r="824" spans="1:12" x14ac:dyDescent="0.25">
      <c r="A824" s="170"/>
      <c r="B824" s="116"/>
      <c r="C824" s="116"/>
      <c r="D824" s="116"/>
      <c r="E824" s="116"/>
      <c r="F824" s="116"/>
      <c r="H824" s="116"/>
      <c r="I824" s="116"/>
      <c r="L824" s="170"/>
    </row>
    <row r="825" spans="1:12" x14ac:dyDescent="0.25">
      <c r="A825" s="170"/>
      <c r="B825" s="116"/>
      <c r="C825" s="116"/>
      <c r="D825" s="116"/>
      <c r="E825" s="116"/>
      <c r="F825" s="116"/>
      <c r="H825" s="116"/>
      <c r="I825" s="116"/>
      <c r="L825" s="170"/>
    </row>
    <row r="826" spans="1:12" x14ac:dyDescent="0.25">
      <c r="A826" s="170"/>
      <c r="B826" s="116"/>
      <c r="C826" s="116"/>
      <c r="D826" s="116"/>
      <c r="E826" s="116"/>
      <c r="F826" s="116"/>
      <c r="H826" s="116"/>
      <c r="I826" s="116"/>
      <c r="L826" s="170"/>
    </row>
    <row r="827" spans="1:12" x14ac:dyDescent="0.25">
      <c r="A827" s="170"/>
      <c r="B827" s="116"/>
      <c r="C827" s="116"/>
      <c r="D827" s="116"/>
      <c r="E827" s="116"/>
      <c r="F827" s="116"/>
      <c r="H827" s="116"/>
      <c r="I827" s="116"/>
      <c r="L827" s="170"/>
    </row>
    <row r="828" spans="1:12" x14ac:dyDescent="0.25">
      <c r="A828" s="170"/>
      <c r="B828" s="116"/>
      <c r="C828" s="116"/>
      <c r="D828" s="116"/>
      <c r="E828" s="116"/>
      <c r="F828" s="116"/>
      <c r="H828" s="116"/>
      <c r="I828" s="116"/>
      <c r="L828" s="170"/>
    </row>
    <row r="829" spans="1:12" x14ac:dyDescent="0.25">
      <c r="A829" s="170"/>
      <c r="B829" s="116"/>
      <c r="C829" s="116"/>
      <c r="D829" s="116"/>
      <c r="E829" s="116"/>
      <c r="F829" s="116"/>
      <c r="H829" s="116"/>
      <c r="I829" s="116"/>
      <c r="L829" s="170"/>
    </row>
    <row r="830" spans="1:12" x14ac:dyDescent="0.25">
      <c r="A830" s="170"/>
      <c r="B830" s="116"/>
      <c r="C830" s="116"/>
      <c r="D830" s="116"/>
      <c r="E830" s="116"/>
      <c r="F830" s="116"/>
      <c r="H830" s="116"/>
      <c r="I830" s="116"/>
      <c r="L830" s="170"/>
    </row>
    <row r="831" spans="1:12" x14ac:dyDescent="0.25">
      <c r="A831" s="170"/>
      <c r="B831" s="116"/>
      <c r="C831" s="116"/>
      <c r="D831" s="116"/>
      <c r="E831" s="116"/>
      <c r="F831" s="116"/>
      <c r="H831" s="116"/>
      <c r="I831" s="116"/>
      <c r="L831" s="170"/>
    </row>
    <row r="832" spans="1:12" x14ac:dyDescent="0.25">
      <c r="A832" s="170"/>
      <c r="B832" s="116"/>
      <c r="C832" s="116"/>
      <c r="D832" s="116"/>
      <c r="E832" s="116"/>
      <c r="F832" s="116"/>
      <c r="H832" s="116"/>
      <c r="I832" s="116"/>
      <c r="L832" s="170"/>
    </row>
    <row r="833" spans="1:12" x14ac:dyDescent="0.25">
      <c r="A833" s="170"/>
      <c r="B833" s="116"/>
      <c r="C833" s="116"/>
      <c r="D833" s="116"/>
      <c r="E833" s="116"/>
      <c r="F833" s="116"/>
      <c r="H833" s="116"/>
      <c r="I833" s="116"/>
      <c r="L833" s="170"/>
    </row>
    <row r="834" spans="1:12" x14ac:dyDescent="0.25">
      <c r="A834" s="170"/>
      <c r="B834" s="116"/>
      <c r="C834" s="116"/>
      <c r="D834" s="116"/>
      <c r="E834" s="116"/>
      <c r="F834" s="116"/>
      <c r="H834" s="116"/>
      <c r="I834" s="116"/>
      <c r="L834" s="170"/>
    </row>
    <row r="835" spans="1:12" x14ac:dyDescent="0.25">
      <c r="A835" s="170"/>
      <c r="B835" s="116"/>
      <c r="C835" s="116"/>
      <c r="D835" s="116"/>
      <c r="E835" s="116"/>
      <c r="F835" s="116"/>
      <c r="H835" s="116"/>
      <c r="I835" s="116"/>
      <c r="L835" s="170"/>
    </row>
    <row r="836" spans="1:12" x14ac:dyDescent="0.25">
      <c r="A836" s="170"/>
      <c r="B836" s="116"/>
      <c r="C836" s="116"/>
      <c r="D836" s="116"/>
      <c r="E836" s="116"/>
      <c r="F836" s="116"/>
      <c r="H836" s="116"/>
      <c r="I836" s="116"/>
      <c r="L836" s="170"/>
    </row>
    <row r="837" spans="1:12" x14ac:dyDescent="0.25">
      <c r="A837" s="170"/>
      <c r="B837" s="116"/>
      <c r="C837" s="116"/>
      <c r="D837" s="116"/>
      <c r="E837" s="116"/>
      <c r="F837" s="116"/>
      <c r="H837" s="116"/>
      <c r="I837" s="116"/>
      <c r="L837" s="170"/>
    </row>
    <row r="838" spans="1:12" x14ac:dyDescent="0.25">
      <c r="A838" s="170"/>
      <c r="B838" s="116"/>
      <c r="C838" s="116"/>
      <c r="D838" s="116"/>
      <c r="E838" s="116"/>
      <c r="F838" s="116"/>
      <c r="H838" s="116"/>
      <c r="I838" s="116"/>
      <c r="L838" s="170"/>
    </row>
    <row r="839" spans="1:12" x14ac:dyDescent="0.25">
      <c r="A839" s="170"/>
      <c r="B839" s="116"/>
      <c r="C839" s="116"/>
      <c r="D839" s="116"/>
      <c r="E839" s="116"/>
      <c r="F839" s="116"/>
      <c r="H839" s="116"/>
      <c r="I839" s="116"/>
      <c r="L839" s="170"/>
    </row>
    <row r="840" spans="1:12" x14ac:dyDescent="0.25">
      <c r="A840" s="170"/>
      <c r="B840" s="116"/>
      <c r="C840" s="116"/>
      <c r="D840" s="116"/>
      <c r="E840" s="116"/>
      <c r="F840" s="116"/>
      <c r="H840" s="116"/>
      <c r="I840" s="116"/>
      <c r="L840" s="170"/>
    </row>
    <row r="841" spans="1:12" x14ac:dyDescent="0.25">
      <c r="A841" s="170"/>
      <c r="B841" s="116"/>
      <c r="C841" s="116"/>
      <c r="D841" s="116"/>
      <c r="E841" s="116"/>
      <c r="F841" s="116"/>
      <c r="H841" s="116"/>
      <c r="I841" s="116"/>
      <c r="L841" s="170"/>
    </row>
    <row r="842" spans="1:12" x14ac:dyDescent="0.25">
      <c r="A842" s="170"/>
      <c r="B842" s="116"/>
      <c r="C842" s="116"/>
      <c r="D842" s="116"/>
      <c r="E842" s="116"/>
      <c r="F842" s="116"/>
      <c r="H842" s="116"/>
      <c r="I842" s="116"/>
      <c r="L842" s="170"/>
    </row>
    <row r="843" spans="1:12" x14ac:dyDescent="0.25">
      <c r="A843" s="170"/>
      <c r="B843" s="116"/>
      <c r="C843" s="116"/>
      <c r="D843" s="116"/>
      <c r="E843" s="116"/>
      <c r="F843" s="116"/>
      <c r="H843" s="116"/>
      <c r="I843" s="116"/>
      <c r="L843" s="170"/>
    </row>
    <row r="844" spans="1:12" x14ac:dyDescent="0.25">
      <c r="A844" s="170"/>
      <c r="B844" s="116"/>
      <c r="C844" s="116"/>
      <c r="D844" s="116"/>
      <c r="E844" s="116"/>
      <c r="F844" s="116"/>
      <c r="H844" s="116"/>
      <c r="I844" s="116"/>
      <c r="L844" s="170"/>
    </row>
    <row r="845" spans="1:12" x14ac:dyDescent="0.25">
      <c r="A845" s="170"/>
      <c r="B845" s="116"/>
      <c r="C845" s="116"/>
      <c r="D845" s="116"/>
      <c r="E845" s="116"/>
      <c r="F845" s="116"/>
      <c r="H845" s="116"/>
      <c r="I845" s="116"/>
      <c r="L845" s="170"/>
    </row>
    <row r="846" spans="1:12" x14ac:dyDescent="0.25">
      <c r="A846" s="170"/>
      <c r="B846" s="116"/>
      <c r="C846" s="116"/>
      <c r="D846" s="116"/>
      <c r="E846" s="116"/>
      <c r="F846" s="116"/>
      <c r="H846" s="116"/>
      <c r="I846" s="116"/>
      <c r="L846" s="170"/>
    </row>
    <row r="847" spans="1:12" x14ac:dyDescent="0.25">
      <c r="A847" s="170"/>
      <c r="B847" s="116"/>
      <c r="C847" s="116"/>
      <c r="D847" s="116"/>
      <c r="E847" s="116"/>
      <c r="F847" s="116"/>
      <c r="H847" s="116"/>
      <c r="I847" s="116"/>
      <c r="L847" s="170"/>
    </row>
    <row r="848" spans="1:12" x14ac:dyDescent="0.25">
      <c r="A848" s="170"/>
      <c r="B848" s="116"/>
      <c r="C848" s="116"/>
      <c r="D848" s="116"/>
      <c r="E848" s="116"/>
      <c r="F848" s="116"/>
      <c r="H848" s="116"/>
      <c r="I848" s="116"/>
      <c r="L848" s="170"/>
    </row>
    <row r="849" spans="1:12" x14ac:dyDescent="0.25">
      <c r="A849" s="170"/>
      <c r="B849" s="116"/>
      <c r="C849" s="116"/>
      <c r="D849" s="116"/>
      <c r="E849" s="116"/>
      <c r="F849" s="116"/>
      <c r="H849" s="116"/>
      <c r="I849" s="116"/>
      <c r="L849" s="170"/>
    </row>
    <row r="850" spans="1:12" x14ac:dyDescent="0.25">
      <c r="A850" s="170"/>
      <c r="B850" s="116"/>
      <c r="C850" s="116"/>
      <c r="D850" s="116"/>
      <c r="E850" s="116"/>
      <c r="F850" s="116"/>
      <c r="H850" s="116"/>
      <c r="I850" s="116"/>
      <c r="L850" s="170"/>
    </row>
    <row r="851" spans="1:12" x14ac:dyDescent="0.25">
      <c r="A851" s="170"/>
      <c r="B851" s="116"/>
      <c r="C851" s="116"/>
      <c r="D851" s="116"/>
      <c r="E851" s="116"/>
      <c r="F851" s="116"/>
      <c r="H851" s="116"/>
      <c r="I851" s="116"/>
      <c r="L851" s="170"/>
    </row>
    <row r="852" spans="1:12" x14ac:dyDescent="0.25">
      <c r="A852" s="170"/>
      <c r="B852" s="116"/>
      <c r="C852" s="116"/>
      <c r="D852" s="116"/>
      <c r="E852" s="116"/>
      <c r="F852" s="116"/>
      <c r="H852" s="116"/>
      <c r="I852" s="116"/>
      <c r="L852" s="170"/>
    </row>
    <row r="853" spans="1:12" x14ac:dyDescent="0.25">
      <c r="A853" s="170"/>
      <c r="B853" s="116"/>
      <c r="C853" s="116"/>
      <c r="D853" s="116"/>
      <c r="E853" s="116"/>
      <c r="F853" s="116"/>
      <c r="H853" s="116"/>
      <c r="I853" s="116"/>
      <c r="L853" s="170"/>
    </row>
    <row r="854" spans="1:12" x14ac:dyDescent="0.25">
      <c r="A854" s="170"/>
      <c r="B854" s="116"/>
      <c r="C854" s="116"/>
      <c r="D854" s="116"/>
      <c r="E854" s="116"/>
      <c r="F854" s="116"/>
      <c r="H854" s="116"/>
      <c r="I854" s="116"/>
      <c r="L854" s="170"/>
    </row>
    <row r="855" spans="1:12" x14ac:dyDescent="0.25">
      <c r="A855" s="170"/>
      <c r="B855" s="116"/>
      <c r="C855" s="116"/>
      <c r="D855" s="116"/>
      <c r="E855" s="116"/>
      <c r="F855" s="116"/>
      <c r="H855" s="116"/>
      <c r="I855" s="116"/>
      <c r="L855" s="170"/>
    </row>
    <row r="856" spans="1:12" x14ac:dyDescent="0.25">
      <c r="A856" s="170"/>
      <c r="B856" s="116"/>
      <c r="C856" s="116"/>
      <c r="D856" s="116"/>
      <c r="E856" s="116"/>
      <c r="F856" s="116"/>
      <c r="H856" s="116"/>
      <c r="I856" s="116"/>
      <c r="L856" s="170"/>
    </row>
    <row r="857" spans="1:12" x14ac:dyDescent="0.25">
      <c r="A857" s="170"/>
      <c r="B857" s="116"/>
      <c r="C857" s="116"/>
      <c r="D857" s="116"/>
      <c r="E857" s="116"/>
      <c r="F857" s="116"/>
      <c r="H857" s="116"/>
      <c r="I857" s="116"/>
      <c r="L857" s="170"/>
    </row>
    <row r="858" spans="1:12" x14ac:dyDescent="0.25">
      <c r="A858" s="170"/>
      <c r="B858" s="116"/>
      <c r="C858" s="116"/>
      <c r="D858" s="116"/>
      <c r="E858" s="116"/>
      <c r="F858" s="116"/>
      <c r="H858" s="116"/>
      <c r="I858" s="116"/>
      <c r="L858" s="170"/>
    </row>
    <row r="859" spans="1:12" x14ac:dyDescent="0.25">
      <c r="A859" s="170"/>
      <c r="B859" s="116"/>
      <c r="C859" s="116"/>
      <c r="D859" s="116"/>
      <c r="E859" s="116"/>
      <c r="F859" s="116"/>
      <c r="H859" s="116"/>
      <c r="I859" s="116"/>
      <c r="L859" s="170"/>
    </row>
    <row r="860" spans="1:12" x14ac:dyDescent="0.25">
      <c r="A860" s="170"/>
      <c r="B860" s="116"/>
      <c r="C860" s="116"/>
      <c r="D860" s="116"/>
      <c r="E860" s="116"/>
      <c r="F860" s="116"/>
      <c r="H860" s="116"/>
      <c r="I860" s="116"/>
      <c r="L860" s="170"/>
    </row>
    <row r="861" spans="1:12" x14ac:dyDescent="0.25">
      <c r="A861" s="170"/>
      <c r="B861" s="116"/>
      <c r="C861" s="116"/>
      <c r="D861" s="116"/>
      <c r="E861" s="116"/>
      <c r="F861" s="116"/>
      <c r="H861" s="116"/>
      <c r="I861" s="116"/>
      <c r="L861" s="170"/>
    </row>
    <row r="862" spans="1:12" x14ac:dyDescent="0.25">
      <c r="A862" s="170"/>
      <c r="B862" s="116"/>
      <c r="C862" s="116"/>
      <c r="D862" s="116"/>
      <c r="E862" s="116"/>
      <c r="F862" s="116"/>
      <c r="H862" s="116"/>
      <c r="I862" s="116"/>
      <c r="L862" s="170"/>
    </row>
    <row r="863" spans="1:12" x14ac:dyDescent="0.25">
      <c r="A863" s="170"/>
      <c r="B863" s="116"/>
      <c r="C863" s="116"/>
      <c r="D863" s="116"/>
      <c r="E863" s="116"/>
      <c r="F863" s="116"/>
      <c r="H863" s="116"/>
      <c r="I863" s="116"/>
      <c r="L863" s="170"/>
    </row>
    <row r="864" spans="1:12" x14ac:dyDescent="0.25">
      <c r="A864" s="170"/>
      <c r="B864" s="116"/>
      <c r="C864" s="116"/>
      <c r="D864" s="116"/>
      <c r="E864" s="116"/>
      <c r="F864" s="116"/>
      <c r="H864" s="116"/>
      <c r="I864" s="116"/>
      <c r="L864" s="170"/>
    </row>
    <row r="865" spans="1:12" x14ac:dyDescent="0.25">
      <c r="A865" s="170"/>
      <c r="B865" s="116"/>
      <c r="C865" s="116"/>
      <c r="D865" s="116"/>
      <c r="E865" s="116"/>
      <c r="F865" s="116"/>
      <c r="H865" s="116"/>
      <c r="I865" s="116"/>
      <c r="L865" s="170"/>
    </row>
    <row r="866" spans="1:12" x14ac:dyDescent="0.25">
      <c r="A866" s="170"/>
      <c r="B866" s="116"/>
      <c r="C866" s="116"/>
      <c r="D866" s="116"/>
      <c r="E866" s="116"/>
      <c r="F866" s="116"/>
      <c r="H866" s="116"/>
      <c r="I866" s="116"/>
      <c r="L866" s="170"/>
    </row>
    <row r="867" spans="1:12" x14ac:dyDescent="0.25">
      <c r="A867" s="170"/>
      <c r="B867" s="116"/>
      <c r="C867" s="116"/>
      <c r="D867" s="116"/>
      <c r="E867" s="116"/>
      <c r="F867" s="116"/>
      <c r="H867" s="116"/>
      <c r="I867" s="116"/>
      <c r="L867" s="170"/>
    </row>
    <row r="868" spans="1:12" x14ac:dyDescent="0.25">
      <c r="A868" s="170"/>
      <c r="B868" s="116"/>
      <c r="C868" s="116"/>
      <c r="D868" s="116"/>
      <c r="E868" s="116"/>
      <c r="F868" s="116"/>
      <c r="H868" s="116"/>
      <c r="I868" s="116"/>
      <c r="L868" s="170"/>
    </row>
    <row r="869" spans="1:12" x14ac:dyDescent="0.25">
      <c r="A869" s="170"/>
      <c r="B869" s="116"/>
      <c r="C869" s="116"/>
      <c r="D869" s="116"/>
      <c r="E869" s="116"/>
      <c r="F869" s="116"/>
      <c r="H869" s="116"/>
      <c r="I869" s="116"/>
      <c r="L869" s="170"/>
    </row>
    <row r="870" spans="1:12" x14ac:dyDescent="0.25">
      <c r="A870" s="170"/>
      <c r="B870" s="116"/>
      <c r="C870" s="116"/>
      <c r="D870" s="116"/>
      <c r="E870" s="116"/>
      <c r="F870" s="116"/>
      <c r="H870" s="116"/>
      <c r="I870" s="116"/>
      <c r="L870" s="170"/>
    </row>
    <row r="871" spans="1:12" x14ac:dyDescent="0.25">
      <c r="A871" s="170"/>
      <c r="B871" s="116"/>
      <c r="C871" s="116"/>
      <c r="D871" s="116"/>
      <c r="E871" s="116"/>
      <c r="F871" s="116"/>
      <c r="H871" s="116"/>
      <c r="I871" s="116"/>
      <c r="L871" s="170"/>
    </row>
    <row r="872" spans="1:12" x14ac:dyDescent="0.25">
      <c r="A872" s="170"/>
      <c r="B872" s="116"/>
      <c r="C872" s="116"/>
      <c r="D872" s="116"/>
      <c r="E872" s="116"/>
      <c r="F872" s="116"/>
      <c r="H872" s="116"/>
      <c r="I872" s="116"/>
      <c r="L872" s="170"/>
    </row>
    <row r="873" spans="1:12" x14ac:dyDescent="0.25">
      <c r="A873" s="170"/>
      <c r="B873" s="116"/>
      <c r="C873" s="116"/>
      <c r="D873" s="116"/>
      <c r="E873" s="116"/>
      <c r="F873" s="116"/>
      <c r="H873" s="116"/>
      <c r="I873" s="116"/>
      <c r="L873" s="170"/>
    </row>
    <row r="874" spans="1:12" x14ac:dyDescent="0.25">
      <c r="A874" s="170"/>
      <c r="B874" s="116"/>
      <c r="C874" s="116"/>
      <c r="D874" s="116"/>
      <c r="E874" s="116"/>
      <c r="F874" s="116"/>
      <c r="H874" s="116"/>
      <c r="I874" s="116"/>
      <c r="L874" s="170"/>
    </row>
    <row r="875" spans="1:12" x14ac:dyDescent="0.25">
      <c r="A875" s="170"/>
      <c r="B875" s="116"/>
      <c r="C875" s="116"/>
      <c r="D875" s="116"/>
      <c r="E875" s="116"/>
      <c r="F875" s="116"/>
      <c r="H875" s="116"/>
      <c r="I875" s="116"/>
      <c r="L875" s="170"/>
    </row>
    <row r="876" spans="1:12" x14ac:dyDescent="0.25">
      <c r="A876" s="170"/>
      <c r="B876" s="116"/>
      <c r="C876" s="116"/>
      <c r="D876" s="116"/>
      <c r="E876" s="116"/>
      <c r="F876" s="116"/>
      <c r="H876" s="116"/>
      <c r="I876" s="116"/>
      <c r="L876" s="170"/>
    </row>
    <row r="877" spans="1:12" x14ac:dyDescent="0.25">
      <c r="A877" s="170"/>
      <c r="B877" s="116"/>
      <c r="C877" s="116"/>
      <c r="D877" s="116"/>
      <c r="E877" s="116"/>
      <c r="F877" s="116"/>
      <c r="H877" s="116"/>
      <c r="I877" s="116"/>
      <c r="L877" s="170"/>
    </row>
    <row r="878" spans="1:12" x14ac:dyDescent="0.25">
      <c r="A878" s="170"/>
      <c r="B878" s="116"/>
      <c r="C878" s="116"/>
      <c r="D878" s="116"/>
      <c r="E878" s="116"/>
      <c r="F878" s="116"/>
      <c r="H878" s="116"/>
      <c r="I878" s="116"/>
      <c r="L878" s="170"/>
    </row>
    <row r="879" spans="1:12" x14ac:dyDescent="0.25">
      <c r="A879" s="170"/>
      <c r="B879" s="116"/>
      <c r="C879" s="116"/>
      <c r="D879" s="116"/>
      <c r="E879" s="116"/>
      <c r="F879" s="116"/>
      <c r="H879" s="116"/>
      <c r="I879" s="116"/>
      <c r="L879" s="170"/>
    </row>
    <row r="880" spans="1:12" x14ac:dyDescent="0.25">
      <c r="A880" s="170"/>
      <c r="B880" s="116"/>
      <c r="C880" s="116"/>
      <c r="D880" s="116"/>
      <c r="E880" s="116"/>
      <c r="F880" s="116"/>
      <c r="H880" s="116"/>
      <c r="I880" s="116"/>
      <c r="L880" s="170"/>
    </row>
    <row r="881" spans="1:12" x14ac:dyDescent="0.25">
      <c r="A881" s="170"/>
      <c r="B881" s="116"/>
      <c r="C881" s="116"/>
      <c r="D881" s="116"/>
      <c r="E881" s="116"/>
      <c r="F881" s="116"/>
      <c r="H881" s="116"/>
      <c r="I881" s="116"/>
      <c r="L881" s="170"/>
    </row>
    <row r="882" spans="1:12" x14ac:dyDescent="0.25">
      <c r="A882" s="170"/>
      <c r="B882" s="116"/>
      <c r="C882" s="116"/>
      <c r="D882" s="116"/>
      <c r="E882" s="116"/>
      <c r="F882" s="116"/>
      <c r="H882" s="116"/>
      <c r="I882" s="116"/>
      <c r="L882" s="170"/>
    </row>
    <row r="883" spans="1:12" x14ac:dyDescent="0.25">
      <c r="A883" s="170"/>
      <c r="B883" s="116"/>
      <c r="C883" s="116"/>
      <c r="D883" s="116"/>
      <c r="E883" s="116"/>
      <c r="F883" s="116"/>
      <c r="H883" s="116"/>
      <c r="I883" s="116"/>
      <c r="L883" s="170"/>
    </row>
    <row r="884" spans="1:12" x14ac:dyDescent="0.25">
      <c r="A884" s="170"/>
      <c r="B884" s="116"/>
      <c r="C884" s="116"/>
      <c r="D884" s="116"/>
      <c r="E884" s="116"/>
      <c r="F884" s="116"/>
      <c r="H884" s="116"/>
      <c r="I884" s="116"/>
      <c r="L884" s="170"/>
    </row>
    <row r="885" spans="1:12" x14ac:dyDescent="0.25">
      <c r="A885" s="170"/>
      <c r="B885" s="116"/>
      <c r="C885" s="116"/>
      <c r="D885" s="116"/>
      <c r="E885" s="116"/>
      <c r="F885" s="116"/>
      <c r="H885" s="116"/>
      <c r="I885" s="116"/>
      <c r="L885" s="170"/>
    </row>
    <row r="886" spans="1:12" x14ac:dyDescent="0.25">
      <c r="A886" s="170"/>
      <c r="B886" s="116"/>
      <c r="C886" s="116"/>
      <c r="D886" s="116"/>
      <c r="E886" s="116"/>
      <c r="F886" s="116"/>
      <c r="H886" s="116"/>
      <c r="I886" s="116"/>
      <c r="L886" s="170"/>
    </row>
    <row r="887" spans="1:12" x14ac:dyDescent="0.25">
      <c r="A887" s="170"/>
      <c r="B887" s="116"/>
      <c r="C887" s="116"/>
      <c r="D887" s="116"/>
      <c r="E887" s="116"/>
      <c r="F887" s="116"/>
      <c r="H887" s="116"/>
      <c r="I887" s="116"/>
      <c r="L887" s="170"/>
    </row>
    <row r="888" spans="1:12" x14ac:dyDescent="0.25">
      <c r="A888" s="170"/>
      <c r="B888" s="116"/>
      <c r="C888" s="116"/>
      <c r="D888" s="116"/>
      <c r="E888" s="116"/>
      <c r="F888" s="116"/>
      <c r="H888" s="116"/>
      <c r="I888" s="116"/>
      <c r="L888" s="170"/>
    </row>
    <row r="889" spans="1:12" x14ac:dyDescent="0.25">
      <c r="A889" s="170"/>
      <c r="B889" s="116"/>
      <c r="C889" s="116"/>
      <c r="D889" s="116"/>
      <c r="E889" s="116"/>
      <c r="F889" s="116"/>
      <c r="H889" s="116"/>
      <c r="I889" s="116"/>
      <c r="L889" s="170"/>
    </row>
    <row r="890" spans="1:12" x14ac:dyDescent="0.25">
      <c r="A890" s="170"/>
      <c r="B890" s="116"/>
      <c r="C890" s="116"/>
      <c r="D890" s="116"/>
      <c r="E890" s="116"/>
      <c r="F890" s="116"/>
      <c r="H890" s="116"/>
      <c r="I890" s="116"/>
      <c r="L890" s="170"/>
    </row>
    <row r="891" spans="1:12" x14ac:dyDescent="0.25">
      <c r="A891" s="170"/>
      <c r="B891" s="116"/>
      <c r="C891" s="116"/>
      <c r="D891" s="116"/>
      <c r="E891" s="116"/>
      <c r="F891" s="116"/>
      <c r="H891" s="116"/>
      <c r="I891" s="116"/>
      <c r="L891" s="170"/>
    </row>
    <row r="892" spans="1:12" x14ac:dyDescent="0.25">
      <c r="A892" s="170"/>
      <c r="B892" s="116"/>
      <c r="C892" s="116"/>
      <c r="D892" s="116"/>
      <c r="E892" s="116"/>
      <c r="F892" s="116"/>
      <c r="H892" s="116"/>
      <c r="I892" s="116"/>
      <c r="L892" s="170"/>
    </row>
    <row r="893" spans="1:12" x14ac:dyDescent="0.25">
      <c r="A893" s="170"/>
      <c r="B893" s="116"/>
      <c r="C893" s="116"/>
      <c r="D893" s="116"/>
      <c r="E893" s="116"/>
      <c r="F893" s="116"/>
      <c r="H893" s="116"/>
      <c r="I893" s="116"/>
      <c r="L893" s="170"/>
    </row>
    <row r="894" spans="1:12" x14ac:dyDescent="0.25">
      <c r="A894" s="170"/>
      <c r="B894" s="116"/>
      <c r="C894" s="116"/>
      <c r="D894" s="116"/>
      <c r="E894" s="116"/>
      <c r="F894" s="116"/>
      <c r="H894" s="116"/>
      <c r="I894" s="116"/>
      <c r="L894" s="170"/>
    </row>
    <row r="895" spans="1:12" x14ac:dyDescent="0.25">
      <c r="A895" s="170"/>
      <c r="B895" s="116"/>
      <c r="C895" s="116"/>
      <c r="D895" s="116"/>
      <c r="E895" s="116"/>
      <c r="F895" s="116"/>
      <c r="H895" s="116"/>
      <c r="I895" s="116"/>
      <c r="L895" s="170"/>
    </row>
    <row r="896" spans="1:12" x14ac:dyDescent="0.25">
      <c r="A896" s="170"/>
      <c r="B896" s="116"/>
      <c r="C896" s="116"/>
      <c r="D896" s="116"/>
      <c r="E896" s="116"/>
      <c r="F896" s="116"/>
      <c r="H896" s="116"/>
      <c r="I896" s="116"/>
      <c r="L896" s="170"/>
    </row>
    <row r="897" spans="1:18" x14ac:dyDescent="0.25">
      <c r="A897" s="170"/>
      <c r="B897" s="116"/>
      <c r="C897" s="116"/>
      <c r="D897" s="116"/>
      <c r="E897" s="116"/>
      <c r="F897" s="116"/>
      <c r="H897" s="116"/>
      <c r="I897" s="116"/>
      <c r="L897" s="170"/>
    </row>
    <row r="898" spans="1:18" x14ac:dyDescent="0.25">
      <c r="A898" s="170"/>
      <c r="B898" s="116"/>
      <c r="C898" s="116"/>
      <c r="D898" s="116"/>
      <c r="E898" s="116"/>
      <c r="F898" s="116"/>
      <c r="H898" s="116"/>
      <c r="I898" s="116"/>
      <c r="L898" s="170"/>
    </row>
    <row r="899" spans="1:18" x14ac:dyDescent="0.25">
      <c r="A899" s="170"/>
      <c r="B899" s="116"/>
      <c r="C899" s="116"/>
      <c r="D899" s="116"/>
      <c r="E899" s="116"/>
      <c r="F899" s="116"/>
      <c r="H899" s="116"/>
      <c r="I899" s="116"/>
      <c r="L899" s="170"/>
    </row>
    <row r="900" spans="1:18" x14ac:dyDescent="0.25">
      <c r="A900" s="170"/>
      <c r="B900" s="116"/>
      <c r="C900" s="116"/>
      <c r="D900" s="116"/>
      <c r="E900" s="116"/>
      <c r="F900" s="116"/>
      <c r="H900" s="116"/>
      <c r="I900" s="116"/>
      <c r="L900" s="170"/>
    </row>
    <row r="901" spans="1:18" x14ac:dyDescent="0.25">
      <c r="A901" s="170"/>
      <c r="B901" s="116"/>
      <c r="C901" s="116"/>
      <c r="D901" s="116"/>
      <c r="E901" s="116"/>
      <c r="F901" s="116"/>
      <c r="H901" s="116"/>
      <c r="I901" s="116"/>
      <c r="L901" s="170"/>
    </row>
    <row r="902" spans="1:18" x14ac:dyDescent="0.25">
      <c r="A902" s="170">
        <v>43326</v>
      </c>
      <c r="B902" s="116">
        <v>620.9</v>
      </c>
      <c r="C902" s="116">
        <v>614.95000000000005</v>
      </c>
      <c r="D902" s="116">
        <v>609.65</v>
      </c>
      <c r="E902" s="116">
        <v>618.04999999999995</v>
      </c>
      <c r="F902" s="116">
        <v>614.95000000000005</v>
      </c>
      <c r="G902">
        <v>65686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43328</v>
      </c>
      <c r="B903" s="116">
        <v>616.29999999999995</v>
      </c>
      <c r="C903" s="116">
        <v>606.70000000000005</v>
      </c>
      <c r="D903" s="116">
        <v>605.1</v>
      </c>
      <c r="E903" s="116">
        <v>612.5</v>
      </c>
      <c r="F903" s="116">
        <v>606.70000000000005</v>
      </c>
      <c r="G903">
        <v>88473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43329</v>
      </c>
      <c r="B904" s="116">
        <v>625</v>
      </c>
      <c r="C904" s="116">
        <v>615.4</v>
      </c>
      <c r="D904" s="116">
        <v>609</v>
      </c>
      <c r="E904" s="116">
        <v>609</v>
      </c>
      <c r="F904" s="116">
        <v>615.4</v>
      </c>
      <c r="G904">
        <v>50326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43332</v>
      </c>
      <c r="B905" s="116">
        <v>630</v>
      </c>
      <c r="C905" s="116">
        <v>620.75</v>
      </c>
      <c r="D905" s="116">
        <v>617</v>
      </c>
      <c r="E905" s="116">
        <v>617.1</v>
      </c>
      <c r="F905" s="116">
        <v>620.75</v>
      </c>
      <c r="G905">
        <v>74711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43333</v>
      </c>
      <c r="B906" s="116">
        <v>623.79999999999995</v>
      </c>
      <c r="C906" s="116">
        <v>612.9</v>
      </c>
      <c r="D906" s="116">
        <v>610.9</v>
      </c>
      <c r="E906" s="116">
        <v>621</v>
      </c>
      <c r="F906" s="116">
        <v>612.9</v>
      </c>
      <c r="G906">
        <v>34686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43335</v>
      </c>
      <c r="B907" s="116">
        <v>615.5</v>
      </c>
      <c r="C907" s="116">
        <v>607.45000000000005</v>
      </c>
      <c r="D907" s="116">
        <v>600.5</v>
      </c>
      <c r="E907" s="116">
        <v>614.45000000000005</v>
      </c>
      <c r="F907" s="116">
        <v>607.45000000000005</v>
      </c>
      <c r="G907">
        <v>357977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43336</v>
      </c>
      <c r="B908" s="116">
        <v>628.04999999999995</v>
      </c>
      <c r="C908" s="116">
        <v>612.5</v>
      </c>
      <c r="D908" s="116">
        <v>605.95000000000005</v>
      </c>
      <c r="E908" s="116">
        <v>607.54999999999995</v>
      </c>
      <c r="F908" s="116">
        <v>612.5</v>
      </c>
      <c r="G908">
        <v>102901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43339</v>
      </c>
      <c r="B909" s="116">
        <v>625.29999999999995</v>
      </c>
      <c r="C909" s="116">
        <v>623.6</v>
      </c>
      <c r="D909" s="116">
        <v>611</v>
      </c>
      <c r="E909" s="116">
        <v>612.6</v>
      </c>
      <c r="F909" s="116">
        <v>623.6</v>
      </c>
      <c r="G909">
        <v>64540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43340</v>
      </c>
      <c r="B910" s="116">
        <v>634.75</v>
      </c>
      <c r="C910" s="116">
        <v>628.70000000000005</v>
      </c>
      <c r="D910" s="116">
        <v>617</v>
      </c>
      <c r="E910" s="116">
        <v>624</v>
      </c>
      <c r="F910" s="116">
        <v>628.70000000000005</v>
      </c>
      <c r="G910">
        <v>95956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43341</v>
      </c>
      <c r="B911" s="116">
        <v>637.25</v>
      </c>
      <c r="C911" s="116">
        <v>628.25</v>
      </c>
      <c r="D911" s="116">
        <v>624.15</v>
      </c>
      <c r="E911" s="116">
        <v>634</v>
      </c>
      <c r="F911" s="116">
        <v>628.25</v>
      </c>
      <c r="G911">
        <v>130426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43342</v>
      </c>
      <c r="B912" s="116">
        <v>632.4</v>
      </c>
      <c r="C912" s="116">
        <v>623.79999999999995</v>
      </c>
      <c r="D912" s="116">
        <v>622</v>
      </c>
      <c r="E912" s="116">
        <v>628.75</v>
      </c>
      <c r="F912" s="116">
        <v>623.79999999999995</v>
      </c>
      <c r="G912">
        <v>74764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43343</v>
      </c>
      <c r="B913" s="116">
        <v>629.85</v>
      </c>
      <c r="C913" s="116">
        <v>616.6</v>
      </c>
      <c r="D913" s="116">
        <v>613.70000000000005</v>
      </c>
      <c r="E913" s="116">
        <v>621.1</v>
      </c>
      <c r="F913" s="116">
        <v>616.6</v>
      </c>
      <c r="G913">
        <v>58288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43346</v>
      </c>
      <c r="B914" s="116">
        <v>622.29999999999995</v>
      </c>
      <c r="C914" s="116">
        <v>602.25</v>
      </c>
      <c r="D914" s="116">
        <v>599.15</v>
      </c>
      <c r="E914" s="116">
        <v>619</v>
      </c>
      <c r="F914" s="116">
        <v>602.25</v>
      </c>
      <c r="G914">
        <v>78267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43347</v>
      </c>
      <c r="B915" s="116">
        <v>610</v>
      </c>
      <c r="C915" s="116">
        <v>600.25</v>
      </c>
      <c r="D915" s="116">
        <v>596.1</v>
      </c>
      <c r="E915" s="116">
        <v>601.70000000000005</v>
      </c>
      <c r="F915" s="116">
        <v>600.25</v>
      </c>
      <c r="G915">
        <v>75123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43348</v>
      </c>
      <c r="B916" s="116">
        <v>604.29999999999995</v>
      </c>
      <c r="C916" s="116">
        <v>587.25</v>
      </c>
      <c r="D916" s="116">
        <v>570.04999999999995</v>
      </c>
      <c r="E916" s="116">
        <v>602</v>
      </c>
      <c r="F916" s="116">
        <v>587.25</v>
      </c>
      <c r="G916">
        <v>158014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43349</v>
      </c>
      <c r="B917" s="116">
        <v>597.4</v>
      </c>
      <c r="C917" s="116">
        <v>593.29999999999995</v>
      </c>
      <c r="D917" s="116">
        <v>578.79999999999995</v>
      </c>
      <c r="E917" s="116">
        <v>593.25</v>
      </c>
      <c r="F917" s="116">
        <v>593.29999999999995</v>
      </c>
      <c r="G917">
        <v>59690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43350</v>
      </c>
      <c r="B918" s="116">
        <v>602.9</v>
      </c>
      <c r="C918" s="116">
        <v>598.4</v>
      </c>
      <c r="D918" s="116">
        <v>588</v>
      </c>
      <c r="E918" s="116">
        <v>597.9</v>
      </c>
      <c r="F918" s="116">
        <v>598.4</v>
      </c>
      <c r="G918">
        <v>40408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43353</v>
      </c>
      <c r="B919" s="116">
        <v>598.54999999999995</v>
      </c>
      <c r="C919" s="116">
        <v>583.70000000000005</v>
      </c>
      <c r="D919" s="116">
        <v>581</v>
      </c>
      <c r="E919" s="116">
        <v>598.54999999999995</v>
      </c>
      <c r="F919" s="116">
        <v>583.70000000000005</v>
      </c>
      <c r="G919">
        <v>70443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43354</v>
      </c>
      <c r="B920" s="116">
        <v>590</v>
      </c>
      <c r="C920" s="116">
        <v>576.15</v>
      </c>
      <c r="D920" s="116">
        <v>572.04999999999995</v>
      </c>
      <c r="E920" s="116">
        <v>584.20000000000005</v>
      </c>
      <c r="F920" s="116">
        <v>576.15</v>
      </c>
      <c r="G920">
        <v>66666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43355</v>
      </c>
      <c r="B921" s="116">
        <v>589.65</v>
      </c>
      <c r="C921" s="116">
        <v>585.95000000000005</v>
      </c>
      <c r="D921" s="116">
        <v>565.54999999999995</v>
      </c>
      <c r="E921" s="116">
        <v>576.04999999999995</v>
      </c>
      <c r="F921" s="116">
        <v>585.95000000000005</v>
      </c>
      <c r="G921">
        <v>72625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43357</v>
      </c>
      <c r="B922" s="116">
        <v>619</v>
      </c>
      <c r="C922" s="116">
        <v>614.20000000000005</v>
      </c>
      <c r="D922" s="116">
        <v>591.25</v>
      </c>
      <c r="E922" s="116">
        <v>592</v>
      </c>
      <c r="F922" s="116">
        <v>614.20000000000005</v>
      </c>
      <c r="G922">
        <v>148736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43360</v>
      </c>
      <c r="B923" s="116">
        <v>613</v>
      </c>
      <c r="C923" s="116">
        <v>598.75</v>
      </c>
      <c r="D923" s="116">
        <v>596</v>
      </c>
      <c r="E923" s="116">
        <v>613</v>
      </c>
      <c r="F923" s="116">
        <v>598.75</v>
      </c>
      <c r="G923">
        <v>70575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43361</v>
      </c>
      <c r="B924" s="116">
        <v>599.85</v>
      </c>
      <c r="C924" s="116">
        <v>578.79999999999995</v>
      </c>
      <c r="D924" s="116">
        <v>576.65</v>
      </c>
      <c r="E924" s="116">
        <v>599.5</v>
      </c>
      <c r="F924" s="116">
        <v>578.79999999999995</v>
      </c>
      <c r="G924">
        <v>50837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43362</v>
      </c>
      <c r="B925" s="116">
        <v>584.20000000000005</v>
      </c>
      <c r="C925" s="116">
        <v>568.20000000000005</v>
      </c>
      <c r="D925" s="116">
        <v>565</v>
      </c>
      <c r="E925" s="116">
        <v>581</v>
      </c>
      <c r="F925" s="116">
        <v>568.20000000000005</v>
      </c>
      <c r="G925">
        <v>67034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43364</v>
      </c>
      <c r="B926" s="116">
        <v>576.20000000000005</v>
      </c>
      <c r="C926" s="116">
        <v>564.70000000000005</v>
      </c>
      <c r="D926" s="116">
        <v>549.95000000000005</v>
      </c>
      <c r="E926" s="116">
        <v>575</v>
      </c>
      <c r="F926" s="116">
        <v>564.70000000000005</v>
      </c>
      <c r="G926">
        <v>141395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43367</v>
      </c>
      <c r="B927" s="116">
        <v>573.95000000000005</v>
      </c>
      <c r="C927" s="116">
        <v>567.20000000000005</v>
      </c>
      <c r="D927" s="116">
        <v>555.04999999999995</v>
      </c>
      <c r="E927" s="116">
        <v>569.9</v>
      </c>
      <c r="F927" s="116">
        <v>567.20000000000005</v>
      </c>
      <c r="G927">
        <v>59863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43368</v>
      </c>
      <c r="B928" s="116">
        <v>581.4</v>
      </c>
      <c r="C928" s="116">
        <v>575.35</v>
      </c>
      <c r="D928" s="116">
        <v>558.5</v>
      </c>
      <c r="E928" s="116">
        <v>569.29999999999995</v>
      </c>
      <c r="F928" s="116">
        <v>575.35</v>
      </c>
      <c r="G928">
        <v>96848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43369</v>
      </c>
      <c r="B929" s="116">
        <v>584.35</v>
      </c>
      <c r="C929" s="116">
        <v>572.1</v>
      </c>
      <c r="D929" s="116">
        <v>565.5</v>
      </c>
      <c r="E929" s="116">
        <v>580</v>
      </c>
      <c r="F929" s="116">
        <v>572.1</v>
      </c>
      <c r="G929">
        <v>37419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43370</v>
      </c>
      <c r="B930" s="116">
        <v>558.75</v>
      </c>
      <c r="C930" s="116">
        <v>536.70000000000005</v>
      </c>
      <c r="D930" s="116">
        <v>532.54999999999995</v>
      </c>
      <c r="E930" s="116">
        <v>550.1</v>
      </c>
      <c r="F930" s="116">
        <v>536.70000000000005</v>
      </c>
      <c r="G930">
        <v>191858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43371</v>
      </c>
      <c r="B931" s="116">
        <v>546.04999999999995</v>
      </c>
      <c r="C931" s="116">
        <v>529.15</v>
      </c>
      <c r="D931" s="116">
        <v>525</v>
      </c>
      <c r="E931" s="116">
        <v>540</v>
      </c>
      <c r="F931" s="116">
        <v>529.15</v>
      </c>
      <c r="G931">
        <v>78085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43374</v>
      </c>
      <c r="B932" s="116">
        <v>539</v>
      </c>
      <c r="C932" s="116">
        <v>535</v>
      </c>
      <c r="D932" s="116">
        <v>515.1</v>
      </c>
      <c r="E932" s="116">
        <v>526.04999999999995</v>
      </c>
      <c r="F932" s="116">
        <v>535</v>
      </c>
      <c r="G932">
        <v>69522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43376</v>
      </c>
      <c r="B933" s="116">
        <v>545</v>
      </c>
      <c r="C933" s="116">
        <v>529.54999999999995</v>
      </c>
      <c r="D933" s="116">
        <v>523</v>
      </c>
      <c r="E933" s="116">
        <v>539</v>
      </c>
      <c r="F933" s="116">
        <v>529.54999999999995</v>
      </c>
      <c r="G933">
        <v>59026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43377</v>
      </c>
      <c r="B934" s="116">
        <v>531</v>
      </c>
      <c r="C934" s="116">
        <v>516.04999999999995</v>
      </c>
      <c r="D934" s="116">
        <v>508.8</v>
      </c>
      <c r="E934" s="116">
        <v>522.5</v>
      </c>
      <c r="F934" s="116">
        <v>516.04999999999995</v>
      </c>
      <c r="G934">
        <v>72959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43378</v>
      </c>
      <c r="B935" s="116">
        <v>518.29999999999995</v>
      </c>
      <c r="C935" s="116">
        <v>509.1</v>
      </c>
      <c r="D935" s="116">
        <v>501</v>
      </c>
      <c r="E935" s="116">
        <v>514.15</v>
      </c>
      <c r="F935" s="116">
        <v>509.1</v>
      </c>
      <c r="G935">
        <v>61905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43381</v>
      </c>
      <c r="B936" s="116">
        <v>509.95</v>
      </c>
      <c r="C936" s="116">
        <v>479.35</v>
      </c>
      <c r="D936" s="116">
        <v>471</v>
      </c>
      <c r="E936" s="116">
        <v>509.95</v>
      </c>
      <c r="F936" s="116">
        <v>479.35</v>
      </c>
      <c r="G936">
        <v>126018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43382</v>
      </c>
      <c r="B937" s="116">
        <v>487.35</v>
      </c>
      <c r="C937" s="116">
        <v>484.35</v>
      </c>
      <c r="D937" s="116">
        <v>475.75</v>
      </c>
      <c r="E937" s="116">
        <v>480.65</v>
      </c>
      <c r="F937" s="116">
        <v>484.35</v>
      </c>
      <c r="G937">
        <v>39918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43383</v>
      </c>
      <c r="B938" s="116">
        <v>521.35</v>
      </c>
      <c r="C938" s="116">
        <v>515</v>
      </c>
      <c r="D938" s="116">
        <v>486.2</v>
      </c>
      <c r="E938" s="116">
        <v>492</v>
      </c>
      <c r="F938" s="116">
        <v>515</v>
      </c>
      <c r="G938">
        <v>46344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43384</v>
      </c>
      <c r="B939" s="116">
        <v>513.4</v>
      </c>
      <c r="C939" s="116">
        <v>496.95</v>
      </c>
      <c r="D939" s="116">
        <v>486.05</v>
      </c>
      <c r="E939" s="116">
        <v>505.9</v>
      </c>
      <c r="F939" s="116">
        <v>496.95</v>
      </c>
      <c r="G939">
        <v>65167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43385</v>
      </c>
      <c r="B940" s="116">
        <v>518</v>
      </c>
      <c r="C940" s="116">
        <v>509.35</v>
      </c>
      <c r="D940" s="116">
        <v>500</v>
      </c>
      <c r="E940" s="116">
        <v>500</v>
      </c>
      <c r="F940" s="116">
        <v>509.35</v>
      </c>
      <c r="G940">
        <v>39417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43388</v>
      </c>
      <c r="B941" s="116">
        <v>522</v>
      </c>
      <c r="C941" s="116">
        <v>500.8</v>
      </c>
      <c r="D941" s="116">
        <v>496.25</v>
      </c>
      <c r="E941" s="116">
        <v>522</v>
      </c>
      <c r="F941" s="116">
        <v>500.8</v>
      </c>
      <c r="G941">
        <v>110511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43389</v>
      </c>
      <c r="B942" s="116">
        <v>516.6</v>
      </c>
      <c r="C942" s="116">
        <v>508.5</v>
      </c>
      <c r="D942" s="116">
        <v>500.8</v>
      </c>
      <c r="E942" s="116">
        <v>505.75</v>
      </c>
      <c r="F942" s="116">
        <v>508.5</v>
      </c>
      <c r="G942">
        <v>27400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43390</v>
      </c>
      <c r="B943" s="116">
        <v>515.35</v>
      </c>
      <c r="C943" s="116">
        <v>500.2</v>
      </c>
      <c r="D943" s="116">
        <v>498</v>
      </c>
      <c r="E943" s="116">
        <v>515.35</v>
      </c>
      <c r="F943" s="116">
        <v>500.2</v>
      </c>
      <c r="G943">
        <v>30738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43392</v>
      </c>
      <c r="B944" s="116">
        <v>510</v>
      </c>
      <c r="C944" s="116">
        <v>503.25</v>
      </c>
      <c r="D944" s="116">
        <v>490</v>
      </c>
      <c r="E944" s="116">
        <v>490</v>
      </c>
      <c r="F944" s="116">
        <v>503.25</v>
      </c>
      <c r="G944">
        <v>63409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43395</v>
      </c>
      <c r="B945" s="116">
        <v>513.5</v>
      </c>
      <c r="C945" s="116">
        <v>501.7</v>
      </c>
      <c r="D945" s="116">
        <v>496</v>
      </c>
      <c r="E945" s="116">
        <v>505.95</v>
      </c>
      <c r="F945" s="116">
        <v>501.7</v>
      </c>
      <c r="G945">
        <v>30348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43396</v>
      </c>
      <c r="B946" s="116">
        <v>511</v>
      </c>
      <c r="C946" s="116">
        <v>506.95</v>
      </c>
      <c r="D946" s="116">
        <v>494.25</v>
      </c>
      <c r="E946" s="116">
        <v>501</v>
      </c>
      <c r="F946" s="116">
        <v>506.95</v>
      </c>
      <c r="G946">
        <v>50779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43397</v>
      </c>
      <c r="B947" s="116">
        <v>526</v>
      </c>
      <c r="C947" s="116">
        <v>522.6</v>
      </c>
      <c r="D947" s="116">
        <v>510</v>
      </c>
      <c r="E947" s="116">
        <v>512.95000000000005</v>
      </c>
      <c r="F947" s="116">
        <v>522.6</v>
      </c>
      <c r="G947">
        <v>84010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43398</v>
      </c>
      <c r="B948" s="116">
        <v>528.5</v>
      </c>
      <c r="C948" s="116">
        <v>525.45000000000005</v>
      </c>
      <c r="D948" s="116">
        <v>515.6</v>
      </c>
      <c r="E948" s="116">
        <v>520</v>
      </c>
      <c r="F948" s="116">
        <v>525.45000000000005</v>
      </c>
      <c r="G948">
        <v>56382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43399</v>
      </c>
      <c r="B949" s="116">
        <v>530</v>
      </c>
      <c r="C949" s="116">
        <v>505.85</v>
      </c>
      <c r="D949" s="116">
        <v>500.25</v>
      </c>
      <c r="E949" s="116">
        <v>530</v>
      </c>
      <c r="F949" s="116">
        <v>505.85</v>
      </c>
      <c r="G949">
        <v>53634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43402</v>
      </c>
      <c r="B950" s="116">
        <v>527</v>
      </c>
      <c r="C950" s="116">
        <v>521.65</v>
      </c>
      <c r="D950" s="116">
        <v>497</v>
      </c>
      <c r="E950" s="116">
        <v>498</v>
      </c>
      <c r="F950" s="116">
        <v>521.65</v>
      </c>
      <c r="G950">
        <v>55668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43403</v>
      </c>
      <c r="B951" s="116">
        <v>536.95000000000005</v>
      </c>
      <c r="C951" s="116">
        <v>517.70000000000005</v>
      </c>
      <c r="D951" s="116">
        <v>510.45</v>
      </c>
      <c r="E951" s="116">
        <v>536.95000000000005</v>
      </c>
      <c r="F951" s="116">
        <v>517.70000000000005</v>
      </c>
      <c r="G951">
        <v>60741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43404</v>
      </c>
      <c r="B952" s="116">
        <v>543.5</v>
      </c>
      <c r="C952" s="116">
        <v>538.04999999999995</v>
      </c>
      <c r="D952" s="116">
        <v>519</v>
      </c>
      <c r="E952" s="116">
        <v>522.65</v>
      </c>
      <c r="F952" s="116">
        <v>538.04999999999995</v>
      </c>
      <c r="G952">
        <v>64488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43405</v>
      </c>
      <c r="B953" s="116">
        <v>558.5</v>
      </c>
      <c r="C953" s="116">
        <v>532.15</v>
      </c>
      <c r="D953" s="116">
        <v>527</v>
      </c>
      <c r="E953" s="116">
        <v>542</v>
      </c>
      <c r="F953" s="116">
        <v>532.15</v>
      </c>
      <c r="G953">
        <v>67258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43406</v>
      </c>
      <c r="B954" s="116">
        <v>549.6</v>
      </c>
      <c r="C954" s="116">
        <v>541.20000000000005</v>
      </c>
      <c r="D954" s="116">
        <v>524.54999999999995</v>
      </c>
      <c r="E954" s="116">
        <v>540</v>
      </c>
      <c r="F954" s="116">
        <v>541.20000000000005</v>
      </c>
      <c r="G954">
        <v>37989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43409</v>
      </c>
      <c r="B955" s="116">
        <v>553.04999999999995</v>
      </c>
      <c r="C955" s="116">
        <v>540.29999999999995</v>
      </c>
      <c r="D955" s="116">
        <v>533.5</v>
      </c>
      <c r="E955" s="116">
        <v>548.75</v>
      </c>
      <c r="F955" s="116">
        <v>540.29999999999995</v>
      </c>
      <c r="G955">
        <v>108720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43410</v>
      </c>
      <c r="B956" s="116">
        <v>549</v>
      </c>
      <c r="C956" s="116">
        <v>524.04999999999995</v>
      </c>
      <c r="D956" s="116">
        <v>518.5</v>
      </c>
      <c r="E956" s="116">
        <v>536.70000000000005</v>
      </c>
      <c r="F956" s="116">
        <v>524.04999999999995</v>
      </c>
      <c r="G956">
        <v>281611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43411</v>
      </c>
      <c r="B957" s="116">
        <v>528</v>
      </c>
      <c r="C957" s="116">
        <v>514.4</v>
      </c>
      <c r="D957" s="116">
        <v>507.35</v>
      </c>
      <c r="E957" s="116">
        <v>526</v>
      </c>
      <c r="F957" s="116">
        <v>514.4</v>
      </c>
      <c r="G957">
        <v>54696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43413</v>
      </c>
      <c r="B958" s="116">
        <v>541.79999999999995</v>
      </c>
      <c r="C958" s="116">
        <v>538.20000000000005</v>
      </c>
      <c r="D958" s="116">
        <v>505</v>
      </c>
      <c r="E958" s="116">
        <v>513</v>
      </c>
      <c r="F958" s="116">
        <v>538.20000000000005</v>
      </c>
      <c r="G958">
        <v>223784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43416</v>
      </c>
      <c r="B959" s="116">
        <v>545.25</v>
      </c>
      <c r="C959" s="116">
        <v>535</v>
      </c>
      <c r="D959" s="116">
        <v>532.4</v>
      </c>
      <c r="E959" s="116">
        <v>538.4</v>
      </c>
      <c r="F959" s="116">
        <v>535</v>
      </c>
      <c r="G959">
        <v>59820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43417</v>
      </c>
      <c r="B960" s="116">
        <v>545</v>
      </c>
      <c r="C960" s="116">
        <v>544.04999999999995</v>
      </c>
      <c r="D960" s="116">
        <v>527.4</v>
      </c>
      <c r="E960" s="116">
        <v>534.79999999999995</v>
      </c>
      <c r="F960" s="116">
        <v>544.04999999999995</v>
      </c>
      <c r="G960">
        <v>46786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43418</v>
      </c>
      <c r="B961" s="116">
        <v>551.5</v>
      </c>
      <c r="C961" s="116">
        <v>542.4</v>
      </c>
      <c r="D961" s="116">
        <v>538.20000000000005</v>
      </c>
      <c r="E961" s="116">
        <v>545.70000000000005</v>
      </c>
      <c r="F961" s="116">
        <v>542.4</v>
      </c>
      <c r="G961">
        <v>53795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43419</v>
      </c>
      <c r="B962" s="116">
        <v>559</v>
      </c>
      <c r="C962" s="116">
        <v>552.85</v>
      </c>
      <c r="D962" s="116">
        <v>539.04999999999995</v>
      </c>
      <c r="E962" s="116">
        <v>544</v>
      </c>
      <c r="F962" s="116">
        <v>552.85</v>
      </c>
      <c r="G962">
        <v>87519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43420</v>
      </c>
      <c r="B963" s="116">
        <v>562</v>
      </c>
      <c r="C963" s="116">
        <v>553.29999999999995</v>
      </c>
      <c r="D963" s="116">
        <v>542</v>
      </c>
      <c r="E963" s="116">
        <v>560</v>
      </c>
      <c r="F963" s="116">
        <v>553.29999999999995</v>
      </c>
      <c r="G963">
        <v>51752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43423</v>
      </c>
      <c r="B964" s="116">
        <v>567</v>
      </c>
      <c r="C964" s="116">
        <v>562.4</v>
      </c>
      <c r="D964" s="116">
        <v>550</v>
      </c>
      <c r="E964" s="116">
        <v>550</v>
      </c>
      <c r="F964" s="116">
        <v>562.4</v>
      </c>
      <c r="G964">
        <v>72026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43424</v>
      </c>
      <c r="B965" s="116">
        <v>565.79999999999995</v>
      </c>
      <c r="C965" s="116">
        <v>547.04999999999995</v>
      </c>
      <c r="D965" s="116">
        <v>544.20000000000005</v>
      </c>
      <c r="E965" s="116">
        <v>558</v>
      </c>
      <c r="F965" s="116">
        <v>547.04999999999995</v>
      </c>
      <c r="G965">
        <v>43571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43425</v>
      </c>
      <c r="B966" s="116">
        <v>562.65</v>
      </c>
      <c r="C966" s="116">
        <v>559.35</v>
      </c>
      <c r="D966" s="116">
        <v>545.15</v>
      </c>
      <c r="E966" s="116">
        <v>554.5</v>
      </c>
      <c r="F966" s="116">
        <v>559.35</v>
      </c>
      <c r="G966">
        <v>44209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43426</v>
      </c>
      <c r="B967" s="116">
        <v>564</v>
      </c>
      <c r="C967" s="116">
        <v>549.65</v>
      </c>
      <c r="D967" s="116">
        <v>547.15</v>
      </c>
      <c r="E967" s="116">
        <v>564</v>
      </c>
      <c r="F967" s="116">
        <v>549.65</v>
      </c>
      <c r="G967">
        <v>39971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43430</v>
      </c>
      <c r="B968" s="116">
        <v>562.25</v>
      </c>
      <c r="C968" s="116">
        <v>557.54999999999995</v>
      </c>
      <c r="D968" s="116">
        <v>541.54999999999995</v>
      </c>
      <c r="E968" s="116">
        <v>548.45000000000005</v>
      </c>
      <c r="F968" s="116">
        <v>557.54999999999995</v>
      </c>
      <c r="G968">
        <v>33582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43431</v>
      </c>
      <c r="B969" s="116">
        <v>557.54999999999995</v>
      </c>
      <c r="C969" s="116">
        <v>546.04999999999995</v>
      </c>
      <c r="D969" s="116">
        <v>543</v>
      </c>
      <c r="E969" s="116">
        <v>557</v>
      </c>
      <c r="F969" s="116">
        <v>546.04999999999995</v>
      </c>
      <c r="G969">
        <v>36379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43432</v>
      </c>
      <c r="B970" s="116">
        <v>550.65</v>
      </c>
      <c r="C970" s="116">
        <v>535.95000000000005</v>
      </c>
      <c r="D970" s="116">
        <v>534</v>
      </c>
      <c r="E970" s="116">
        <v>546.04999999999995</v>
      </c>
      <c r="F970" s="116">
        <v>535.95000000000005</v>
      </c>
      <c r="G970">
        <v>50055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43433</v>
      </c>
      <c r="B971" s="116">
        <v>554.70000000000005</v>
      </c>
      <c r="C971" s="116">
        <v>552.45000000000005</v>
      </c>
      <c r="D971" s="116">
        <v>539.5</v>
      </c>
      <c r="E971" s="116">
        <v>540</v>
      </c>
      <c r="F971" s="116">
        <v>552.45000000000005</v>
      </c>
      <c r="G971">
        <v>53547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43434</v>
      </c>
      <c r="B972" s="116">
        <v>561</v>
      </c>
      <c r="C972" s="116">
        <v>553.79999999999995</v>
      </c>
      <c r="D972" s="116">
        <v>547.4</v>
      </c>
      <c r="E972" s="116">
        <v>555.70000000000005</v>
      </c>
      <c r="F972" s="116">
        <v>553.79999999999995</v>
      </c>
      <c r="G972">
        <v>47838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43437</v>
      </c>
      <c r="B973" s="116">
        <v>561.75</v>
      </c>
      <c r="C973" s="116">
        <v>556.29999999999995</v>
      </c>
      <c r="D973" s="116">
        <v>549</v>
      </c>
      <c r="E973" s="116">
        <v>555.5</v>
      </c>
      <c r="F973" s="116">
        <v>556.29999999999995</v>
      </c>
      <c r="G973">
        <v>36143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43438</v>
      </c>
      <c r="B974" s="116">
        <v>559.29999999999995</v>
      </c>
      <c r="C974" s="116">
        <v>553.04999999999995</v>
      </c>
      <c r="D974" s="116">
        <v>548.9</v>
      </c>
      <c r="E974" s="116">
        <v>553.95000000000005</v>
      </c>
      <c r="F974" s="116">
        <v>553.04999999999995</v>
      </c>
      <c r="G974">
        <v>25530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43439</v>
      </c>
      <c r="B975" s="116">
        <v>554.04999999999995</v>
      </c>
      <c r="C975" s="116">
        <v>551.35</v>
      </c>
      <c r="D975" s="116">
        <v>542.20000000000005</v>
      </c>
      <c r="E975" s="116">
        <v>549.75</v>
      </c>
      <c r="F975" s="116">
        <v>551.35</v>
      </c>
      <c r="G975">
        <v>33541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43440</v>
      </c>
      <c r="B976" s="116">
        <v>545.65</v>
      </c>
      <c r="C976" s="116">
        <v>538.5</v>
      </c>
      <c r="D976" s="116">
        <v>527.5</v>
      </c>
      <c r="E976" s="116">
        <v>543.54999999999995</v>
      </c>
      <c r="F976" s="116">
        <v>538.5</v>
      </c>
      <c r="G976">
        <v>56070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43441</v>
      </c>
      <c r="B977" s="116">
        <v>551</v>
      </c>
      <c r="C977" s="116">
        <v>543.65</v>
      </c>
      <c r="D977" s="116">
        <v>530</v>
      </c>
      <c r="E977" s="116">
        <v>551</v>
      </c>
      <c r="F977" s="116">
        <v>543.65</v>
      </c>
      <c r="G977">
        <v>98370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43444</v>
      </c>
      <c r="B978" s="116">
        <v>541</v>
      </c>
      <c r="C978" s="116">
        <v>534.85</v>
      </c>
      <c r="D978" s="116">
        <v>531.65</v>
      </c>
      <c r="E978" s="116">
        <v>536.9</v>
      </c>
      <c r="F978" s="116">
        <v>534.85</v>
      </c>
      <c r="G978">
        <v>25311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43445</v>
      </c>
      <c r="B979" s="116">
        <v>555.85</v>
      </c>
      <c r="C979" s="116">
        <v>553.6</v>
      </c>
      <c r="D979" s="116">
        <v>527.35</v>
      </c>
      <c r="E979" s="116">
        <v>528.54999999999995</v>
      </c>
      <c r="F979" s="116">
        <v>553.6</v>
      </c>
      <c r="G979">
        <v>78831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43446</v>
      </c>
      <c r="B980" s="116">
        <v>568.45000000000005</v>
      </c>
      <c r="C980" s="116">
        <v>567.35</v>
      </c>
      <c r="D980" s="116">
        <v>548.20000000000005</v>
      </c>
      <c r="E980" s="116">
        <v>554</v>
      </c>
      <c r="F980" s="116">
        <v>567.35</v>
      </c>
      <c r="G980">
        <v>54976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43447</v>
      </c>
      <c r="B981" s="116">
        <v>574.5</v>
      </c>
      <c r="C981" s="116">
        <v>566.95000000000005</v>
      </c>
      <c r="D981" s="116">
        <v>558.85</v>
      </c>
      <c r="E981" s="116">
        <v>572</v>
      </c>
      <c r="F981" s="116">
        <v>566.95000000000005</v>
      </c>
      <c r="G981">
        <v>62829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43448</v>
      </c>
      <c r="B982" s="116">
        <v>582.70000000000005</v>
      </c>
      <c r="C982" s="116">
        <v>578.54999999999995</v>
      </c>
      <c r="D982" s="116">
        <v>562</v>
      </c>
      <c r="E982" s="116">
        <v>565.20000000000005</v>
      </c>
      <c r="F982" s="116">
        <v>578.54999999999995</v>
      </c>
      <c r="G982">
        <v>52342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43451</v>
      </c>
      <c r="B983" s="116">
        <v>589.95000000000005</v>
      </c>
      <c r="C983" s="116">
        <v>567.5</v>
      </c>
      <c r="D983" s="116">
        <v>565.1</v>
      </c>
      <c r="E983" s="116">
        <v>585</v>
      </c>
      <c r="F983" s="116">
        <v>567.5</v>
      </c>
      <c r="G983">
        <v>116147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43452</v>
      </c>
      <c r="B984" s="116">
        <v>571</v>
      </c>
      <c r="C984" s="116">
        <v>561.4</v>
      </c>
      <c r="D984" s="116">
        <v>559</v>
      </c>
      <c r="E984" s="116">
        <v>567.6</v>
      </c>
      <c r="F984" s="116">
        <v>561.4</v>
      </c>
      <c r="G984">
        <v>56403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43453</v>
      </c>
      <c r="B985" s="116">
        <v>578.4</v>
      </c>
      <c r="C985" s="116">
        <v>571.5</v>
      </c>
      <c r="D985" s="116">
        <v>562</v>
      </c>
      <c r="E985" s="116">
        <v>574</v>
      </c>
      <c r="F985" s="116">
        <v>571.5</v>
      </c>
      <c r="G985">
        <v>73721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43454</v>
      </c>
      <c r="B986" s="116">
        <v>581</v>
      </c>
      <c r="C986" s="116">
        <v>577</v>
      </c>
      <c r="D986" s="116">
        <v>565</v>
      </c>
      <c r="E986" s="116">
        <v>570</v>
      </c>
      <c r="F986" s="116">
        <v>577</v>
      </c>
      <c r="G986">
        <v>189183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43455</v>
      </c>
      <c r="B987" s="116">
        <v>579.65</v>
      </c>
      <c r="C987" s="116">
        <v>569.95000000000005</v>
      </c>
      <c r="D987" s="116">
        <v>566.9</v>
      </c>
      <c r="E987" s="116">
        <v>579</v>
      </c>
      <c r="F987" s="116">
        <v>569.95000000000005</v>
      </c>
      <c r="G987">
        <v>553688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43458</v>
      </c>
      <c r="B988" s="116">
        <v>569</v>
      </c>
      <c r="C988" s="116">
        <v>555</v>
      </c>
      <c r="D988" s="116">
        <v>551.15</v>
      </c>
      <c r="E988" s="116">
        <v>569</v>
      </c>
      <c r="F988" s="116">
        <v>555</v>
      </c>
      <c r="G988">
        <v>162920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43460</v>
      </c>
      <c r="B989" s="116">
        <v>555.04999999999995</v>
      </c>
      <c r="C989" s="116">
        <v>549.29999999999995</v>
      </c>
      <c r="D989" s="116">
        <v>541.35</v>
      </c>
      <c r="E989" s="116">
        <v>555</v>
      </c>
      <c r="F989" s="116">
        <v>549.29999999999995</v>
      </c>
      <c r="G989">
        <v>53634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43461</v>
      </c>
      <c r="B990" s="116">
        <v>564</v>
      </c>
      <c r="C990" s="116">
        <v>550.29999999999995</v>
      </c>
      <c r="D990" s="116">
        <v>545.75</v>
      </c>
      <c r="E990" s="116">
        <v>564</v>
      </c>
      <c r="F990" s="116">
        <v>550.29999999999995</v>
      </c>
      <c r="G990">
        <v>101478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43462</v>
      </c>
      <c r="B991" s="116">
        <v>556.6</v>
      </c>
      <c r="C991" s="116">
        <v>551.54999999999995</v>
      </c>
      <c r="D991" s="116">
        <v>550</v>
      </c>
      <c r="E991" s="116">
        <v>553.95000000000005</v>
      </c>
      <c r="F991" s="116">
        <v>551.54999999999995</v>
      </c>
      <c r="G991">
        <v>26498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43465</v>
      </c>
      <c r="B992" s="116">
        <v>561</v>
      </c>
      <c r="C992" s="116">
        <v>552.45000000000005</v>
      </c>
      <c r="D992" s="116">
        <v>550</v>
      </c>
      <c r="E992" s="116">
        <v>553.85</v>
      </c>
      <c r="F992" s="116">
        <v>552.45000000000005</v>
      </c>
      <c r="G992">
        <v>75770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43466</v>
      </c>
      <c r="B993" s="116">
        <v>558</v>
      </c>
      <c r="C993" s="116">
        <v>554.54999999999995</v>
      </c>
      <c r="D993" s="116">
        <v>551.20000000000005</v>
      </c>
      <c r="E993" s="116">
        <v>558</v>
      </c>
      <c r="F993" s="116">
        <v>554.54999999999995</v>
      </c>
      <c r="G993">
        <v>30660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43467</v>
      </c>
      <c r="B994" s="116">
        <v>556</v>
      </c>
      <c r="C994" s="116">
        <v>538</v>
      </c>
      <c r="D994" s="116">
        <v>535.25</v>
      </c>
      <c r="E994" s="116">
        <v>552.5</v>
      </c>
      <c r="F994" s="116">
        <v>538</v>
      </c>
      <c r="G994">
        <v>35410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43468</v>
      </c>
      <c r="B995" s="116">
        <v>543.79999999999995</v>
      </c>
      <c r="C995" s="116">
        <v>536.15</v>
      </c>
      <c r="D995" s="116">
        <v>533</v>
      </c>
      <c r="E995" s="116">
        <v>536.70000000000005</v>
      </c>
      <c r="F995" s="116">
        <v>536.15</v>
      </c>
      <c r="G995">
        <v>48365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43469</v>
      </c>
      <c r="B996" s="116">
        <v>540.70000000000005</v>
      </c>
      <c r="C996" s="116">
        <v>536.6</v>
      </c>
      <c r="D996" s="116">
        <v>527.85</v>
      </c>
      <c r="E996" s="116">
        <v>540.70000000000005</v>
      </c>
      <c r="F996" s="116">
        <v>536.6</v>
      </c>
      <c r="G996">
        <v>33387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43472</v>
      </c>
      <c r="B997" s="116">
        <v>545.35</v>
      </c>
      <c r="C997" s="116">
        <v>542.1</v>
      </c>
      <c r="D997" s="116">
        <v>538.54999999999995</v>
      </c>
      <c r="E997" s="116">
        <v>545</v>
      </c>
      <c r="F997" s="116">
        <v>542.1</v>
      </c>
      <c r="G997">
        <v>40179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43473</v>
      </c>
      <c r="B998" s="116">
        <v>544.15</v>
      </c>
      <c r="C998" s="116">
        <v>539.45000000000005</v>
      </c>
      <c r="D998" s="116">
        <v>538</v>
      </c>
      <c r="E998" s="116">
        <v>544</v>
      </c>
      <c r="F998" s="116">
        <v>539.45000000000005</v>
      </c>
      <c r="G998">
        <v>334221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43474</v>
      </c>
      <c r="B999" s="116">
        <v>542.65</v>
      </c>
      <c r="C999" s="116">
        <v>535.85</v>
      </c>
      <c r="D999" s="116">
        <v>531.95000000000005</v>
      </c>
      <c r="E999" s="116">
        <v>542.65</v>
      </c>
      <c r="F999" s="116">
        <v>535.85</v>
      </c>
      <c r="G999">
        <v>323660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43475</v>
      </c>
      <c r="B1000" s="116">
        <v>542.54999999999995</v>
      </c>
      <c r="C1000" s="116">
        <v>538.75</v>
      </c>
      <c r="D1000" s="116">
        <v>533.9</v>
      </c>
      <c r="E1000" s="116">
        <v>536.15</v>
      </c>
      <c r="F1000" s="116">
        <v>538.75</v>
      </c>
      <c r="G1000">
        <v>31056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43476</v>
      </c>
      <c r="B1001" s="116">
        <v>543.04999999999995</v>
      </c>
      <c r="C1001" s="116">
        <v>541.20000000000005</v>
      </c>
      <c r="D1001" s="116">
        <v>535</v>
      </c>
      <c r="E1001" s="116">
        <v>539.25</v>
      </c>
      <c r="F1001" s="116">
        <v>541.20000000000005</v>
      </c>
      <c r="G1001">
        <v>73185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43479</v>
      </c>
      <c r="B1002" s="116">
        <v>545</v>
      </c>
      <c r="C1002" s="116">
        <v>540.4</v>
      </c>
      <c r="D1002" s="116">
        <v>538</v>
      </c>
      <c r="E1002" s="116">
        <v>542.79999999999995</v>
      </c>
      <c r="F1002" s="116">
        <v>540.4</v>
      </c>
      <c r="G1002">
        <v>22657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43480</v>
      </c>
      <c r="B1003" s="116">
        <v>543.54999999999995</v>
      </c>
      <c r="C1003" s="116">
        <v>532</v>
      </c>
      <c r="D1003" s="116">
        <v>526.5</v>
      </c>
      <c r="E1003" s="116">
        <v>541</v>
      </c>
      <c r="F1003" s="116">
        <v>532</v>
      </c>
      <c r="G1003">
        <v>59818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43481</v>
      </c>
      <c r="B1004" s="116">
        <v>537.35</v>
      </c>
      <c r="C1004" s="116">
        <v>532.95000000000005</v>
      </c>
      <c r="D1004" s="116">
        <v>521</v>
      </c>
      <c r="E1004" s="116">
        <v>521</v>
      </c>
      <c r="F1004" s="116">
        <v>532.95000000000005</v>
      </c>
      <c r="G1004">
        <v>33530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43482</v>
      </c>
      <c r="B1005" s="116">
        <v>540</v>
      </c>
      <c r="C1005" s="116">
        <v>534.4</v>
      </c>
      <c r="D1005" s="116">
        <v>532</v>
      </c>
      <c r="E1005" s="116">
        <v>533</v>
      </c>
      <c r="F1005" s="116">
        <v>534.4</v>
      </c>
      <c r="G1005">
        <v>25083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43483</v>
      </c>
      <c r="B1006" s="116">
        <v>537.4</v>
      </c>
      <c r="C1006" s="116">
        <v>533.25</v>
      </c>
      <c r="D1006" s="116">
        <v>531.04999999999995</v>
      </c>
      <c r="E1006" s="116">
        <v>535</v>
      </c>
      <c r="F1006" s="116">
        <v>533.25</v>
      </c>
      <c r="G1006">
        <v>29849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43486</v>
      </c>
      <c r="B1007" s="116">
        <v>542</v>
      </c>
      <c r="C1007" s="116">
        <v>536.29999999999995</v>
      </c>
      <c r="D1007" s="116">
        <v>530.15</v>
      </c>
      <c r="E1007" s="116">
        <v>536</v>
      </c>
      <c r="F1007" s="116">
        <v>536.29999999999995</v>
      </c>
      <c r="G1007">
        <v>36637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43487</v>
      </c>
      <c r="B1008" s="116">
        <v>543.9</v>
      </c>
      <c r="C1008" s="116">
        <v>540.15</v>
      </c>
      <c r="D1008" s="116">
        <v>526.70000000000005</v>
      </c>
      <c r="E1008" s="116">
        <v>536</v>
      </c>
      <c r="F1008" s="116">
        <v>540.15</v>
      </c>
      <c r="G1008">
        <v>60712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43488</v>
      </c>
      <c r="B1009" s="116">
        <v>541.6</v>
      </c>
      <c r="C1009" s="116">
        <v>533.15</v>
      </c>
      <c r="D1009" s="116">
        <v>530</v>
      </c>
      <c r="E1009" s="116">
        <v>535.75</v>
      </c>
      <c r="F1009" s="116">
        <v>533.15</v>
      </c>
      <c r="G1009">
        <v>31388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43489</v>
      </c>
      <c r="B1010" s="116">
        <v>541.85</v>
      </c>
      <c r="C1010" s="116">
        <v>539.6</v>
      </c>
      <c r="D1010" s="116">
        <v>531.79999999999995</v>
      </c>
      <c r="E1010" s="116">
        <v>534.4</v>
      </c>
      <c r="F1010" s="116">
        <v>539.6</v>
      </c>
      <c r="G1010">
        <v>27150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43490</v>
      </c>
      <c r="B1011" s="116">
        <v>544</v>
      </c>
      <c r="C1011" s="116">
        <v>533.1</v>
      </c>
      <c r="D1011" s="116">
        <v>530</v>
      </c>
      <c r="E1011" s="116">
        <v>544</v>
      </c>
      <c r="F1011" s="116">
        <v>533.1</v>
      </c>
      <c r="G1011">
        <v>84979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43493</v>
      </c>
      <c r="B1012" s="116">
        <v>536.85</v>
      </c>
      <c r="C1012" s="116">
        <v>534.29999999999995</v>
      </c>
      <c r="D1012" s="116">
        <v>531.54999999999995</v>
      </c>
      <c r="E1012" s="116">
        <v>533.5</v>
      </c>
      <c r="F1012" s="116">
        <v>534.29999999999995</v>
      </c>
      <c r="G1012">
        <v>43606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43494</v>
      </c>
      <c r="B1013" s="116">
        <v>546</v>
      </c>
      <c r="C1013" s="116">
        <v>541.75</v>
      </c>
      <c r="D1013" s="116">
        <v>529</v>
      </c>
      <c r="E1013" s="116">
        <v>532.25</v>
      </c>
      <c r="F1013" s="116">
        <v>541.75</v>
      </c>
      <c r="G1013">
        <v>41073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43495</v>
      </c>
      <c r="B1014" s="116">
        <v>544.70000000000005</v>
      </c>
      <c r="C1014" s="116">
        <v>540.85</v>
      </c>
      <c r="D1014" s="116">
        <v>532.9</v>
      </c>
      <c r="E1014" s="116">
        <v>542</v>
      </c>
      <c r="F1014" s="116">
        <v>540.85</v>
      </c>
      <c r="G1014">
        <v>56871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43496</v>
      </c>
      <c r="B1015" s="116">
        <v>542.5</v>
      </c>
      <c r="C1015" s="116">
        <v>540.5</v>
      </c>
      <c r="D1015" s="116">
        <v>531.5</v>
      </c>
      <c r="E1015" s="116">
        <v>541.15</v>
      </c>
      <c r="F1015" s="116">
        <v>540.5</v>
      </c>
      <c r="G1015">
        <v>47603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43497</v>
      </c>
      <c r="B1016" s="116">
        <v>559.9</v>
      </c>
      <c r="C1016" s="116">
        <v>555.6</v>
      </c>
      <c r="D1016" s="116">
        <v>533.5</v>
      </c>
      <c r="E1016" s="116">
        <v>540.5</v>
      </c>
      <c r="F1016" s="116">
        <v>555.6</v>
      </c>
      <c r="G1016">
        <v>105477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43500</v>
      </c>
      <c r="B1017" s="116">
        <v>558</v>
      </c>
      <c r="C1017" s="116">
        <v>544.75</v>
      </c>
      <c r="D1017" s="116">
        <v>536.6</v>
      </c>
      <c r="E1017" s="116">
        <v>558</v>
      </c>
      <c r="F1017" s="116">
        <v>544.75</v>
      </c>
      <c r="G1017">
        <v>46468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43501</v>
      </c>
      <c r="B1018" s="116">
        <v>547.9</v>
      </c>
      <c r="C1018" s="116">
        <v>534.35</v>
      </c>
      <c r="D1018" s="116">
        <v>532.1</v>
      </c>
      <c r="E1018" s="116">
        <v>547.9</v>
      </c>
      <c r="F1018" s="116">
        <v>534.35</v>
      </c>
      <c r="G1018">
        <v>51529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43502</v>
      </c>
      <c r="B1019" s="116">
        <v>535</v>
      </c>
      <c r="C1019" s="116">
        <v>528.6</v>
      </c>
      <c r="D1019" s="116">
        <v>513.5</v>
      </c>
      <c r="E1019" s="116">
        <v>535</v>
      </c>
      <c r="F1019" s="116">
        <v>528.6</v>
      </c>
      <c r="G1019">
        <v>107927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43503</v>
      </c>
      <c r="B1020" s="116">
        <v>540.85</v>
      </c>
      <c r="C1020" s="116">
        <v>537.70000000000005</v>
      </c>
      <c r="D1020" s="116">
        <v>524.70000000000005</v>
      </c>
      <c r="E1020" s="116">
        <v>525.6</v>
      </c>
      <c r="F1020" s="116">
        <v>537.70000000000005</v>
      </c>
      <c r="G1020">
        <v>40904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43504</v>
      </c>
      <c r="B1021" s="116">
        <v>540.54999999999995</v>
      </c>
      <c r="C1021" s="116">
        <v>532.20000000000005</v>
      </c>
      <c r="D1021" s="116">
        <v>531</v>
      </c>
      <c r="E1021" s="116">
        <v>534.65</v>
      </c>
      <c r="F1021" s="116">
        <v>532.20000000000005</v>
      </c>
      <c r="G1021">
        <v>24199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43507</v>
      </c>
      <c r="B1022" s="116">
        <v>535</v>
      </c>
      <c r="C1022" s="116">
        <v>526.15</v>
      </c>
      <c r="D1022" s="116">
        <v>520.29999999999995</v>
      </c>
      <c r="E1022" s="116">
        <v>532.20000000000005</v>
      </c>
      <c r="F1022" s="116">
        <v>526.15</v>
      </c>
      <c r="G1022">
        <v>47501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43508</v>
      </c>
      <c r="B1023" s="116">
        <v>528.5</v>
      </c>
      <c r="C1023" s="116">
        <v>522.4</v>
      </c>
      <c r="D1023" s="116">
        <v>519.04999999999995</v>
      </c>
      <c r="E1023" s="116">
        <v>524.15</v>
      </c>
      <c r="F1023" s="116">
        <v>522.4</v>
      </c>
      <c r="G1023">
        <v>23029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43509</v>
      </c>
      <c r="B1024" s="116">
        <v>528.79999999999995</v>
      </c>
      <c r="C1024" s="116">
        <v>507.75</v>
      </c>
      <c r="D1024" s="116">
        <v>505.1</v>
      </c>
      <c r="E1024" s="116">
        <v>525</v>
      </c>
      <c r="F1024" s="116">
        <v>507.75</v>
      </c>
      <c r="G1024">
        <v>84681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43510</v>
      </c>
      <c r="B1025" s="116">
        <v>518.79999999999995</v>
      </c>
      <c r="C1025" s="116">
        <v>514.35</v>
      </c>
      <c r="D1025" s="116">
        <v>501.65</v>
      </c>
      <c r="E1025" s="116">
        <v>505</v>
      </c>
      <c r="F1025" s="116">
        <v>514.35</v>
      </c>
      <c r="G1025">
        <v>88089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43511</v>
      </c>
      <c r="B1026" s="116">
        <v>534</v>
      </c>
      <c r="C1026" s="116">
        <v>522.75</v>
      </c>
      <c r="D1026" s="116">
        <v>510</v>
      </c>
      <c r="E1026" s="116">
        <v>513.9</v>
      </c>
      <c r="F1026" s="116">
        <v>522.75</v>
      </c>
      <c r="G1026">
        <v>153109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43514</v>
      </c>
      <c r="B1027" s="116">
        <v>529.5</v>
      </c>
      <c r="C1027" s="116">
        <v>520.5</v>
      </c>
      <c r="D1027" s="116">
        <v>519</v>
      </c>
      <c r="E1027" s="116">
        <v>524.4</v>
      </c>
      <c r="F1027" s="116">
        <v>520.5</v>
      </c>
      <c r="G1027">
        <v>30653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43515</v>
      </c>
      <c r="B1028" s="116">
        <v>529.04999999999995</v>
      </c>
      <c r="C1028" s="116">
        <v>524.25</v>
      </c>
      <c r="D1028" s="116">
        <v>516.25</v>
      </c>
      <c r="E1028" s="116">
        <v>520.79999999999995</v>
      </c>
      <c r="F1028" s="116">
        <v>524.25</v>
      </c>
      <c r="G1028">
        <v>50097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43516</v>
      </c>
      <c r="B1029" s="116">
        <v>532.4</v>
      </c>
      <c r="C1029" s="116">
        <v>529.75</v>
      </c>
      <c r="D1029" s="116">
        <v>524.4</v>
      </c>
      <c r="E1029" s="116">
        <v>529.15</v>
      </c>
      <c r="F1029" s="116">
        <v>529.75</v>
      </c>
      <c r="G1029">
        <v>24991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43517</v>
      </c>
      <c r="B1030" s="116">
        <v>536.25</v>
      </c>
      <c r="C1030" s="116">
        <v>533.15</v>
      </c>
      <c r="D1030" s="116">
        <v>526.5</v>
      </c>
      <c r="E1030" s="116">
        <v>529.75</v>
      </c>
      <c r="F1030" s="116">
        <v>533.15</v>
      </c>
      <c r="G1030">
        <v>62916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43518</v>
      </c>
      <c r="B1031" s="116">
        <v>532.95000000000005</v>
      </c>
      <c r="C1031" s="116">
        <v>530.6</v>
      </c>
      <c r="D1031" s="116">
        <v>524.4</v>
      </c>
      <c r="E1031" s="116">
        <v>528.5</v>
      </c>
      <c r="F1031" s="116">
        <v>530.6</v>
      </c>
      <c r="G1031">
        <v>37912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43521</v>
      </c>
      <c r="B1032" s="116">
        <v>536.1</v>
      </c>
      <c r="C1032" s="116">
        <v>529.6</v>
      </c>
      <c r="D1032" s="116">
        <v>528</v>
      </c>
      <c r="E1032" s="116">
        <v>536.1</v>
      </c>
      <c r="F1032" s="116">
        <v>529.6</v>
      </c>
      <c r="G1032">
        <v>37870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43522</v>
      </c>
      <c r="B1033" s="116">
        <v>539</v>
      </c>
      <c r="C1033" s="116">
        <v>537.04999999999995</v>
      </c>
      <c r="D1033" s="116">
        <v>525.45000000000005</v>
      </c>
      <c r="E1033" s="116">
        <v>532</v>
      </c>
      <c r="F1033" s="116">
        <v>537.04999999999995</v>
      </c>
      <c r="G1033">
        <v>50128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43523</v>
      </c>
      <c r="B1034" s="116">
        <v>556.54999999999995</v>
      </c>
      <c r="C1034" s="116">
        <v>542.29999999999995</v>
      </c>
      <c r="D1034" s="116">
        <v>537.65</v>
      </c>
      <c r="E1034" s="116">
        <v>539</v>
      </c>
      <c r="F1034" s="116">
        <v>542.29999999999995</v>
      </c>
      <c r="G1034">
        <v>125099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43524</v>
      </c>
      <c r="B1035" s="116">
        <v>570</v>
      </c>
      <c r="C1035" s="116">
        <v>566.1</v>
      </c>
      <c r="D1035" s="116">
        <v>542</v>
      </c>
      <c r="E1035" s="116">
        <v>559</v>
      </c>
      <c r="F1035" s="116">
        <v>566.1</v>
      </c>
      <c r="G1035">
        <v>153405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43525</v>
      </c>
      <c r="B1036" s="116">
        <v>576.9</v>
      </c>
      <c r="C1036" s="116">
        <v>573.9</v>
      </c>
      <c r="D1036" s="116">
        <v>563.70000000000005</v>
      </c>
      <c r="E1036" s="116">
        <v>567</v>
      </c>
      <c r="F1036" s="116">
        <v>573.9</v>
      </c>
      <c r="G1036">
        <v>132387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43529</v>
      </c>
      <c r="B1037" s="116">
        <v>598.45000000000005</v>
      </c>
      <c r="C1037" s="116">
        <v>596.04999999999995</v>
      </c>
      <c r="D1037" s="116">
        <v>572.85</v>
      </c>
      <c r="E1037" s="116">
        <v>573.9</v>
      </c>
      <c r="F1037" s="116">
        <v>596.04999999999995</v>
      </c>
      <c r="G1037">
        <v>222173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43530</v>
      </c>
      <c r="B1038" s="116">
        <v>602</v>
      </c>
      <c r="C1038" s="116">
        <v>599.20000000000005</v>
      </c>
      <c r="D1038" s="116">
        <v>591.45000000000005</v>
      </c>
      <c r="E1038" s="116">
        <v>596.15</v>
      </c>
      <c r="F1038" s="116">
        <v>599.20000000000005</v>
      </c>
      <c r="G1038">
        <v>132194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43531</v>
      </c>
      <c r="B1039" s="116">
        <v>601.79999999999995</v>
      </c>
      <c r="C1039" s="116">
        <v>593.54999999999995</v>
      </c>
      <c r="D1039" s="116">
        <v>590</v>
      </c>
      <c r="E1039" s="116">
        <v>590</v>
      </c>
      <c r="F1039" s="116">
        <v>593.54999999999995</v>
      </c>
      <c r="G1039">
        <v>77758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43532</v>
      </c>
      <c r="B1040" s="116">
        <v>596.5</v>
      </c>
      <c r="C1040" s="116">
        <v>593.75</v>
      </c>
      <c r="D1040" s="116">
        <v>588.20000000000005</v>
      </c>
      <c r="E1040" s="116">
        <v>594.70000000000005</v>
      </c>
      <c r="F1040" s="116">
        <v>593.75</v>
      </c>
      <c r="G1040">
        <v>41862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43535</v>
      </c>
      <c r="B1041" s="116">
        <v>627.95000000000005</v>
      </c>
      <c r="C1041" s="116">
        <v>625.04999999999995</v>
      </c>
      <c r="D1041" s="116">
        <v>593.25</v>
      </c>
      <c r="E1041" s="116">
        <v>595</v>
      </c>
      <c r="F1041" s="116">
        <v>625.04999999999995</v>
      </c>
      <c r="G1041">
        <v>210137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43536</v>
      </c>
      <c r="B1042" s="116">
        <v>630.95000000000005</v>
      </c>
      <c r="C1042" s="116">
        <v>621.6</v>
      </c>
      <c r="D1042" s="116">
        <v>617</v>
      </c>
      <c r="E1042" s="116">
        <v>630</v>
      </c>
      <c r="F1042" s="116">
        <v>621.6</v>
      </c>
      <c r="G1042">
        <v>171484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43537</v>
      </c>
      <c r="B1043" s="116">
        <v>630</v>
      </c>
      <c r="C1043" s="116">
        <v>618.45000000000005</v>
      </c>
      <c r="D1043" s="116">
        <v>615</v>
      </c>
      <c r="E1043" s="116">
        <v>621.85</v>
      </c>
      <c r="F1043" s="116">
        <v>618.45000000000005</v>
      </c>
      <c r="G1043">
        <v>96566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43538</v>
      </c>
      <c r="B1044" s="116">
        <v>617</v>
      </c>
      <c r="C1044" s="116">
        <v>602.79999999999995</v>
      </c>
      <c r="D1044" s="116">
        <v>598.5</v>
      </c>
      <c r="E1044" s="116">
        <v>616.45000000000005</v>
      </c>
      <c r="F1044" s="116">
        <v>602.79999999999995</v>
      </c>
      <c r="G1044">
        <v>106968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43539</v>
      </c>
      <c r="B1045" s="116">
        <v>607.1</v>
      </c>
      <c r="C1045" s="116">
        <v>599.95000000000005</v>
      </c>
      <c r="D1045" s="116">
        <v>596.4</v>
      </c>
      <c r="E1045" s="116">
        <v>604.79999999999995</v>
      </c>
      <c r="F1045" s="116">
        <v>599.95000000000005</v>
      </c>
      <c r="G1045">
        <v>63433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43542</v>
      </c>
      <c r="B1046" s="116">
        <v>610.5</v>
      </c>
      <c r="C1046" s="116">
        <v>604.29999999999995</v>
      </c>
      <c r="D1046" s="116">
        <v>600</v>
      </c>
      <c r="E1046" s="116">
        <v>604.25</v>
      </c>
      <c r="F1046" s="116">
        <v>604.29999999999995</v>
      </c>
      <c r="G1046">
        <v>95741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43543</v>
      </c>
      <c r="B1047" s="116">
        <v>613.9</v>
      </c>
      <c r="C1047" s="116">
        <v>612.65</v>
      </c>
      <c r="D1047" s="116">
        <v>600.9</v>
      </c>
      <c r="E1047" s="116">
        <v>604</v>
      </c>
      <c r="F1047" s="116">
        <v>612.65</v>
      </c>
      <c r="G1047">
        <v>56772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43544</v>
      </c>
      <c r="B1048" s="116">
        <v>615.85</v>
      </c>
      <c r="C1048" s="116">
        <v>614.15</v>
      </c>
      <c r="D1048" s="116">
        <v>608.1</v>
      </c>
      <c r="E1048" s="116">
        <v>614.70000000000005</v>
      </c>
      <c r="F1048" s="116">
        <v>614.15</v>
      </c>
      <c r="G1048">
        <v>67546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43546</v>
      </c>
      <c r="B1049" s="116">
        <v>619</v>
      </c>
      <c r="C1049" s="116">
        <v>612.79999999999995</v>
      </c>
      <c r="D1049" s="116">
        <v>608.54999999999995</v>
      </c>
      <c r="E1049" s="116">
        <v>619</v>
      </c>
      <c r="F1049" s="116">
        <v>612.79999999999995</v>
      </c>
      <c r="G1049">
        <v>41376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43549</v>
      </c>
      <c r="B1050" s="116">
        <v>612.9</v>
      </c>
      <c r="C1050" s="116">
        <v>602.85</v>
      </c>
      <c r="D1050" s="116">
        <v>599.20000000000005</v>
      </c>
      <c r="E1050" s="116">
        <v>606.70000000000005</v>
      </c>
      <c r="F1050" s="116">
        <v>602.85</v>
      </c>
      <c r="G1050">
        <v>41113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43550</v>
      </c>
      <c r="B1051" s="116">
        <v>615</v>
      </c>
      <c r="C1051" s="116">
        <v>613.20000000000005</v>
      </c>
      <c r="D1051" s="116">
        <v>603.75</v>
      </c>
      <c r="E1051" s="116">
        <v>604.29999999999995</v>
      </c>
      <c r="F1051" s="116">
        <v>613.20000000000005</v>
      </c>
      <c r="G1051">
        <v>51078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43551</v>
      </c>
      <c r="B1052" s="116">
        <v>626.75</v>
      </c>
      <c r="C1052" s="116">
        <v>623.79999999999995</v>
      </c>
      <c r="D1052" s="116">
        <v>613</v>
      </c>
      <c r="E1052" s="116">
        <v>613</v>
      </c>
      <c r="F1052" s="116">
        <v>623.79999999999995</v>
      </c>
      <c r="G1052">
        <v>116186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43552</v>
      </c>
      <c r="B1053" s="116">
        <v>633.5</v>
      </c>
      <c r="C1053" s="116">
        <v>626.4</v>
      </c>
      <c r="D1053" s="116">
        <v>622.79999999999995</v>
      </c>
      <c r="E1053" s="116">
        <v>626.65</v>
      </c>
      <c r="F1053" s="116">
        <v>626.4</v>
      </c>
      <c r="G1053">
        <v>71506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43553</v>
      </c>
      <c r="B1054" s="116">
        <v>634.95000000000005</v>
      </c>
      <c r="C1054" s="116">
        <v>630.45000000000005</v>
      </c>
      <c r="D1054" s="116">
        <v>627.1</v>
      </c>
      <c r="E1054" s="116">
        <v>634.95000000000005</v>
      </c>
      <c r="F1054" s="116">
        <v>630.45000000000005</v>
      </c>
      <c r="G1054">
        <v>43006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43556</v>
      </c>
      <c r="B1055" s="116">
        <v>641.54999999999995</v>
      </c>
      <c r="C1055" s="116">
        <v>625.35</v>
      </c>
      <c r="D1055" s="116">
        <v>620.1</v>
      </c>
      <c r="E1055" s="116">
        <v>633</v>
      </c>
      <c r="F1055" s="116">
        <v>625.35</v>
      </c>
      <c r="G1055">
        <v>72191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43557</v>
      </c>
      <c r="B1056" s="116">
        <v>626.79999999999995</v>
      </c>
      <c r="C1056" s="116">
        <v>622.70000000000005</v>
      </c>
      <c r="D1056" s="116">
        <v>620.75</v>
      </c>
      <c r="E1056" s="116">
        <v>625</v>
      </c>
      <c r="F1056" s="116">
        <v>622.70000000000005</v>
      </c>
      <c r="G1056">
        <v>38278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43558</v>
      </c>
      <c r="B1057" s="116">
        <v>633.25</v>
      </c>
      <c r="C1057" s="116">
        <v>617.65</v>
      </c>
      <c r="D1057" s="116">
        <v>615.4</v>
      </c>
      <c r="E1057" s="116">
        <v>623</v>
      </c>
      <c r="F1057" s="116">
        <v>617.65</v>
      </c>
      <c r="G1057">
        <v>72060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43559</v>
      </c>
      <c r="B1058" s="116">
        <v>628.5</v>
      </c>
      <c r="C1058" s="116">
        <v>607.04999999999995</v>
      </c>
      <c r="D1058" s="116">
        <v>602</v>
      </c>
      <c r="E1058" s="116">
        <v>628.5</v>
      </c>
      <c r="F1058" s="116">
        <v>607.04999999999995</v>
      </c>
      <c r="G1058">
        <v>63199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43560</v>
      </c>
      <c r="B1059" s="116">
        <v>613.9</v>
      </c>
      <c r="C1059" s="116">
        <v>610.65</v>
      </c>
      <c r="D1059" s="116">
        <v>606</v>
      </c>
      <c r="E1059" s="116">
        <v>608.45000000000005</v>
      </c>
      <c r="F1059" s="116">
        <v>610.65</v>
      </c>
      <c r="G1059">
        <v>27199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43563</v>
      </c>
      <c r="B1060" s="116">
        <v>624.70000000000005</v>
      </c>
      <c r="C1060" s="116">
        <v>611.20000000000005</v>
      </c>
      <c r="D1060" s="116">
        <v>608</v>
      </c>
      <c r="E1060" s="116">
        <v>613.4</v>
      </c>
      <c r="F1060" s="116">
        <v>611.20000000000005</v>
      </c>
      <c r="G1060">
        <v>75343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43564</v>
      </c>
      <c r="B1061" s="116">
        <v>618</v>
      </c>
      <c r="C1061" s="116">
        <v>609.29999999999995</v>
      </c>
      <c r="D1061" s="116">
        <v>607.54999999999995</v>
      </c>
      <c r="E1061" s="116">
        <v>618</v>
      </c>
      <c r="F1061" s="116">
        <v>609.29999999999995</v>
      </c>
      <c r="G1061">
        <v>30098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43565</v>
      </c>
      <c r="B1062" s="116">
        <v>616.35</v>
      </c>
      <c r="C1062" s="116">
        <v>609.54999999999995</v>
      </c>
      <c r="D1062" s="116">
        <v>607</v>
      </c>
      <c r="E1062" s="116">
        <v>610.75</v>
      </c>
      <c r="F1062" s="116">
        <v>609.54999999999995</v>
      </c>
      <c r="G1062">
        <v>27828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43566</v>
      </c>
      <c r="B1063" s="116">
        <v>619</v>
      </c>
      <c r="C1063" s="116">
        <v>616.79999999999995</v>
      </c>
      <c r="D1063" s="116">
        <v>609.35</v>
      </c>
      <c r="E1063" s="116">
        <v>612.35</v>
      </c>
      <c r="F1063" s="116">
        <v>616.79999999999995</v>
      </c>
      <c r="G1063">
        <v>55235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43567</v>
      </c>
      <c r="B1064" s="116">
        <v>625.5</v>
      </c>
      <c r="C1064" s="116">
        <v>620.29999999999995</v>
      </c>
      <c r="D1064" s="116">
        <v>616.6</v>
      </c>
      <c r="E1064" s="116">
        <v>617.95000000000005</v>
      </c>
      <c r="F1064" s="116">
        <v>620.29999999999995</v>
      </c>
      <c r="G1064">
        <v>75341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43570</v>
      </c>
      <c r="B1065" s="116">
        <v>627.70000000000005</v>
      </c>
      <c r="C1065" s="116">
        <v>621.9</v>
      </c>
      <c r="D1065" s="116">
        <v>618.5</v>
      </c>
      <c r="E1065" s="116">
        <v>625.54999999999995</v>
      </c>
      <c r="F1065" s="116">
        <v>621.9</v>
      </c>
      <c r="G1065">
        <v>45198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43571</v>
      </c>
      <c r="B1066" s="116">
        <v>628</v>
      </c>
      <c r="C1066" s="116">
        <v>623.25</v>
      </c>
      <c r="D1066" s="116">
        <v>622.20000000000005</v>
      </c>
      <c r="E1066" s="116">
        <v>623.95000000000005</v>
      </c>
      <c r="F1066" s="116">
        <v>623.25</v>
      </c>
      <c r="G1066">
        <v>22175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43573</v>
      </c>
      <c r="B1067" s="116">
        <v>626.95000000000005</v>
      </c>
      <c r="C1067" s="116">
        <v>615.45000000000005</v>
      </c>
      <c r="D1067" s="116">
        <v>610</v>
      </c>
      <c r="E1067" s="116">
        <v>626</v>
      </c>
      <c r="F1067" s="116">
        <v>615.45000000000005</v>
      </c>
      <c r="G1067">
        <v>39246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43577</v>
      </c>
      <c r="B1068" s="116">
        <v>615.5</v>
      </c>
      <c r="C1068" s="116">
        <v>612.20000000000005</v>
      </c>
      <c r="D1068" s="116">
        <v>605.95000000000005</v>
      </c>
      <c r="E1068" s="116">
        <v>615</v>
      </c>
      <c r="F1068" s="116">
        <v>612.20000000000005</v>
      </c>
      <c r="G1068">
        <v>36670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43578</v>
      </c>
      <c r="B1069" s="116">
        <v>625.1</v>
      </c>
      <c r="C1069" s="116">
        <v>621.65</v>
      </c>
      <c r="D1069" s="116">
        <v>610</v>
      </c>
      <c r="E1069" s="116">
        <v>612</v>
      </c>
      <c r="F1069" s="116">
        <v>621.65</v>
      </c>
      <c r="G1069">
        <v>59859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43579</v>
      </c>
      <c r="B1070" s="116">
        <v>624.1</v>
      </c>
      <c r="C1070" s="116">
        <v>616.20000000000005</v>
      </c>
      <c r="D1070" s="116">
        <v>613.15</v>
      </c>
      <c r="E1070" s="116">
        <v>623.20000000000005</v>
      </c>
      <c r="F1070" s="116">
        <v>616.20000000000005</v>
      </c>
      <c r="G1070">
        <v>34880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43580</v>
      </c>
      <c r="B1071" s="116">
        <v>619.65</v>
      </c>
      <c r="C1071" s="116">
        <v>615.25</v>
      </c>
      <c r="D1071" s="116">
        <v>611.9</v>
      </c>
      <c r="E1071" s="116">
        <v>617.95000000000005</v>
      </c>
      <c r="F1071" s="116">
        <v>615.25</v>
      </c>
      <c r="G1071">
        <v>26407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43581</v>
      </c>
      <c r="B1072" s="116">
        <v>617.9</v>
      </c>
      <c r="C1072" s="116">
        <v>609</v>
      </c>
      <c r="D1072" s="116">
        <v>600.75</v>
      </c>
      <c r="E1072" s="116">
        <v>617</v>
      </c>
      <c r="F1072" s="116">
        <v>609</v>
      </c>
      <c r="G1072">
        <v>47762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43585</v>
      </c>
      <c r="B1073" s="116">
        <v>618</v>
      </c>
      <c r="C1073" s="116">
        <v>602.85</v>
      </c>
      <c r="D1073" s="116">
        <v>599</v>
      </c>
      <c r="E1073" s="116">
        <v>618</v>
      </c>
      <c r="F1073" s="116">
        <v>602.85</v>
      </c>
      <c r="G1073">
        <v>28267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43587</v>
      </c>
      <c r="B1074" s="116">
        <v>610.25</v>
      </c>
      <c r="C1074" s="116">
        <v>600.54999999999995</v>
      </c>
      <c r="D1074" s="116">
        <v>598.65</v>
      </c>
      <c r="E1074" s="116">
        <v>600</v>
      </c>
      <c r="F1074" s="116">
        <v>600.54999999999995</v>
      </c>
      <c r="G1074">
        <v>33174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43588</v>
      </c>
      <c r="B1075" s="116">
        <v>620.85</v>
      </c>
      <c r="C1075" s="116">
        <v>604.20000000000005</v>
      </c>
      <c r="D1075" s="116">
        <v>601.20000000000005</v>
      </c>
      <c r="E1075" s="116">
        <v>609.25</v>
      </c>
      <c r="F1075" s="116">
        <v>604.20000000000005</v>
      </c>
      <c r="G1075">
        <v>74838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43591</v>
      </c>
      <c r="B1076" s="116">
        <v>610.6</v>
      </c>
      <c r="C1076" s="116">
        <v>605.85</v>
      </c>
      <c r="D1076" s="116">
        <v>598.54999999999995</v>
      </c>
      <c r="E1076" s="116">
        <v>603</v>
      </c>
      <c r="F1076" s="116">
        <v>605.85</v>
      </c>
      <c r="G1076">
        <v>74050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43592</v>
      </c>
      <c r="B1077" s="116">
        <v>611.04999999999995</v>
      </c>
      <c r="C1077" s="116">
        <v>600.75</v>
      </c>
      <c r="D1077" s="116">
        <v>598.45000000000005</v>
      </c>
      <c r="E1077" s="116">
        <v>607.95000000000005</v>
      </c>
      <c r="F1077" s="116">
        <v>600.75</v>
      </c>
      <c r="G1077">
        <v>31139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43593</v>
      </c>
      <c r="B1078" s="116">
        <v>600</v>
      </c>
      <c r="C1078" s="116">
        <v>574.79999999999995</v>
      </c>
      <c r="D1078" s="116">
        <v>572</v>
      </c>
      <c r="E1078" s="116">
        <v>600</v>
      </c>
      <c r="F1078" s="116">
        <v>574.79999999999995</v>
      </c>
      <c r="G1078">
        <v>140557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43594</v>
      </c>
      <c r="B1079" s="116">
        <v>580.4</v>
      </c>
      <c r="C1079" s="116">
        <v>573.20000000000005</v>
      </c>
      <c r="D1079" s="116">
        <v>568.85</v>
      </c>
      <c r="E1079" s="116">
        <v>576</v>
      </c>
      <c r="F1079" s="116">
        <v>573.20000000000005</v>
      </c>
      <c r="G1079">
        <v>94988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43595</v>
      </c>
      <c r="B1080" s="116">
        <v>585.25</v>
      </c>
      <c r="C1080" s="116">
        <v>579.70000000000005</v>
      </c>
      <c r="D1080" s="116">
        <v>537</v>
      </c>
      <c r="E1080" s="116">
        <v>539.79999999999995</v>
      </c>
      <c r="F1080" s="116">
        <v>579.70000000000005</v>
      </c>
      <c r="G1080">
        <v>789466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43598</v>
      </c>
      <c r="B1081" s="116">
        <v>575.75</v>
      </c>
      <c r="C1081" s="116">
        <v>570.54999999999995</v>
      </c>
      <c r="D1081" s="116">
        <v>562.20000000000005</v>
      </c>
      <c r="E1081" s="116">
        <v>573.6</v>
      </c>
      <c r="F1081" s="116">
        <v>570.54999999999995</v>
      </c>
      <c r="G1081">
        <v>80002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43599</v>
      </c>
      <c r="B1082" s="116">
        <v>576.5</v>
      </c>
      <c r="C1082" s="116">
        <v>572.6</v>
      </c>
      <c r="D1082" s="116">
        <v>565</v>
      </c>
      <c r="E1082" s="116">
        <v>570.15</v>
      </c>
      <c r="F1082" s="116">
        <v>572.6</v>
      </c>
      <c r="G1082">
        <v>46738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43600</v>
      </c>
      <c r="B1083" s="116">
        <v>571.54999999999995</v>
      </c>
      <c r="C1083" s="116">
        <v>559.65</v>
      </c>
      <c r="D1083" s="116">
        <v>557.29999999999995</v>
      </c>
      <c r="E1083" s="116">
        <v>571.54999999999995</v>
      </c>
      <c r="F1083" s="116">
        <v>559.65</v>
      </c>
      <c r="G1083">
        <v>537981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43601</v>
      </c>
      <c r="B1084" s="116">
        <v>561</v>
      </c>
      <c r="C1084" s="116">
        <v>557.4</v>
      </c>
      <c r="D1084" s="116">
        <v>550.6</v>
      </c>
      <c r="E1084" s="116">
        <v>560</v>
      </c>
      <c r="F1084" s="116">
        <v>557.4</v>
      </c>
      <c r="G1084">
        <v>38738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43602</v>
      </c>
      <c r="B1085" s="116">
        <v>577.95000000000005</v>
      </c>
      <c r="C1085" s="116">
        <v>574.65</v>
      </c>
      <c r="D1085" s="116">
        <v>556.95000000000005</v>
      </c>
      <c r="E1085" s="116">
        <v>557.5</v>
      </c>
      <c r="F1085" s="116">
        <v>574.65</v>
      </c>
      <c r="G1085">
        <v>52254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43605</v>
      </c>
      <c r="B1086" s="116">
        <v>605.25</v>
      </c>
      <c r="C1086" s="116">
        <v>588.75</v>
      </c>
      <c r="D1086" s="116">
        <v>582</v>
      </c>
      <c r="E1086" s="116">
        <v>582</v>
      </c>
      <c r="F1086" s="116">
        <v>588.75</v>
      </c>
      <c r="G1086">
        <v>45390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43606</v>
      </c>
      <c r="B1087" s="116">
        <v>594.95000000000005</v>
      </c>
      <c r="C1087" s="116">
        <v>584.5</v>
      </c>
      <c r="D1087" s="116">
        <v>580.70000000000005</v>
      </c>
      <c r="E1087" s="116">
        <v>589</v>
      </c>
      <c r="F1087" s="116">
        <v>584.5</v>
      </c>
      <c r="G1087">
        <v>49439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43607</v>
      </c>
      <c r="B1088" s="116">
        <v>592</v>
      </c>
      <c r="C1088" s="116">
        <v>584.04999999999995</v>
      </c>
      <c r="D1088" s="116">
        <v>579.75</v>
      </c>
      <c r="E1088" s="116">
        <v>584.5</v>
      </c>
      <c r="F1088" s="116">
        <v>584.04999999999995</v>
      </c>
      <c r="G1088">
        <v>25734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43608</v>
      </c>
      <c r="B1089" s="116">
        <v>599.6</v>
      </c>
      <c r="C1089" s="116">
        <v>576.75</v>
      </c>
      <c r="D1089" s="116">
        <v>572.45000000000005</v>
      </c>
      <c r="E1089" s="116">
        <v>585</v>
      </c>
      <c r="F1089" s="116">
        <v>576.75</v>
      </c>
      <c r="G1089">
        <v>48907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43609</v>
      </c>
      <c r="B1090" s="116">
        <v>585.29999999999995</v>
      </c>
      <c r="C1090" s="116">
        <v>582.70000000000005</v>
      </c>
      <c r="D1090" s="116">
        <v>571.5</v>
      </c>
      <c r="E1090" s="116">
        <v>580</v>
      </c>
      <c r="F1090" s="116">
        <v>582.70000000000005</v>
      </c>
      <c r="G1090">
        <v>38330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43612</v>
      </c>
      <c r="B1091" s="116">
        <v>596.75</v>
      </c>
      <c r="C1091" s="116">
        <v>591.9</v>
      </c>
      <c r="D1091" s="116">
        <v>584</v>
      </c>
      <c r="E1091" s="116">
        <v>584</v>
      </c>
      <c r="F1091" s="116">
        <v>591.9</v>
      </c>
      <c r="G1091">
        <v>69380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43613</v>
      </c>
      <c r="B1092" s="116">
        <v>604.65</v>
      </c>
      <c r="C1092" s="116">
        <v>588</v>
      </c>
      <c r="D1092" s="116">
        <v>585.95000000000005</v>
      </c>
      <c r="E1092" s="116">
        <v>599</v>
      </c>
      <c r="F1092" s="116">
        <v>588</v>
      </c>
      <c r="G1092">
        <v>67515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43614</v>
      </c>
      <c r="B1093" s="116">
        <v>589</v>
      </c>
      <c r="C1093" s="116">
        <v>572.35</v>
      </c>
      <c r="D1093" s="116">
        <v>570.85</v>
      </c>
      <c r="E1093" s="116">
        <v>589</v>
      </c>
      <c r="F1093" s="116">
        <v>572.35</v>
      </c>
      <c r="G1093">
        <v>52269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43615</v>
      </c>
      <c r="B1094" s="116">
        <v>575.20000000000005</v>
      </c>
      <c r="C1094" s="116">
        <v>571.9</v>
      </c>
      <c r="D1094" s="116">
        <v>564.70000000000005</v>
      </c>
      <c r="E1094" s="116">
        <v>570.45000000000005</v>
      </c>
      <c r="F1094" s="116">
        <v>571.9</v>
      </c>
      <c r="G1094">
        <v>53578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43616</v>
      </c>
      <c r="B1095" s="116">
        <v>590.35</v>
      </c>
      <c r="C1095" s="116">
        <v>578.9</v>
      </c>
      <c r="D1095" s="116">
        <v>572.04999999999995</v>
      </c>
      <c r="E1095" s="116">
        <v>574.45000000000005</v>
      </c>
      <c r="F1095" s="116">
        <v>578.9</v>
      </c>
      <c r="G1095">
        <v>65322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43619</v>
      </c>
      <c r="B1096" s="116">
        <v>594</v>
      </c>
      <c r="C1096" s="116">
        <v>590.9</v>
      </c>
      <c r="D1096" s="116">
        <v>579</v>
      </c>
      <c r="E1096" s="116">
        <v>584</v>
      </c>
      <c r="F1096" s="116">
        <v>590.9</v>
      </c>
      <c r="G1096">
        <v>54529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43620</v>
      </c>
      <c r="B1097" s="116">
        <v>601.79999999999995</v>
      </c>
      <c r="C1097" s="116">
        <v>598.29999999999995</v>
      </c>
      <c r="D1097" s="116">
        <v>591.1</v>
      </c>
      <c r="E1097" s="116">
        <v>594.5</v>
      </c>
      <c r="F1097" s="116">
        <v>598.29999999999995</v>
      </c>
      <c r="G1097">
        <v>47291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43622</v>
      </c>
      <c r="B1098" s="116">
        <v>606.4</v>
      </c>
      <c r="C1098" s="116">
        <v>587.70000000000005</v>
      </c>
      <c r="D1098" s="116">
        <v>574.95000000000005</v>
      </c>
      <c r="E1098" s="116">
        <v>600</v>
      </c>
      <c r="F1098" s="116">
        <v>587.70000000000005</v>
      </c>
      <c r="G1098">
        <v>47458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43623</v>
      </c>
      <c r="B1099" s="116">
        <v>618.5</v>
      </c>
      <c r="C1099" s="116">
        <v>617.20000000000005</v>
      </c>
      <c r="D1099" s="116">
        <v>586</v>
      </c>
      <c r="E1099" s="116">
        <v>586.5</v>
      </c>
      <c r="F1099" s="116">
        <v>617.20000000000005</v>
      </c>
      <c r="G1099">
        <v>202538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43626</v>
      </c>
      <c r="B1100" s="116">
        <v>624.75</v>
      </c>
      <c r="C1100" s="116">
        <v>620.6</v>
      </c>
      <c r="D1100" s="116">
        <v>615.20000000000005</v>
      </c>
      <c r="E1100" s="116">
        <v>620</v>
      </c>
      <c r="F1100" s="116">
        <v>620.6</v>
      </c>
      <c r="G1100">
        <v>85433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43627</v>
      </c>
      <c r="B1101" s="116">
        <v>625</v>
      </c>
      <c r="C1101" s="116">
        <v>615.54999999999995</v>
      </c>
      <c r="D1101" s="116">
        <v>613.15</v>
      </c>
      <c r="E1101" s="116">
        <v>625</v>
      </c>
      <c r="F1101" s="116">
        <v>615.54999999999995</v>
      </c>
      <c r="G1101">
        <v>51920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43628</v>
      </c>
      <c r="B1102" s="116">
        <v>621</v>
      </c>
      <c r="C1102" s="116">
        <v>608.15</v>
      </c>
      <c r="D1102" s="116">
        <v>605</v>
      </c>
      <c r="E1102" s="116">
        <v>621</v>
      </c>
      <c r="F1102" s="116">
        <v>608.15</v>
      </c>
      <c r="G1102">
        <v>43936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43629</v>
      </c>
      <c r="B1103" s="116">
        <v>616</v>
      </c>
      <c r="C1103" s="116">
        <v>613.35</v>
      </c>
      <c r="D1103" s="116">
        <v>607.6</v>
      </c>
      <c r="E1103" s="116">
        <v>608.4</v>
      </c>
      <c r="F1103" s="116">
        <v>613.35</v>
      </c>
      <c r="G1103">
        <v>60755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43630</v>
      </c>
      <c r="B1104" s="116">
        <v>615.15</v>
      </c>
      <c r="C1104" s="116">
        <v>605.1</v>
      </c>
      <c r="D1104" s="116">
        <v>604.6</v>
      </c>
      <c r="E1104" s="116">
        <v>614</v>
      </c>
      <c r="F1104" s="116">
        <v>605.1</v>
      </c>
      <c r="G1104">
        <v>26329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43633</v>
      </c>
      <c r="B1105" s="116">
        <v>615</v>
      </c>
      <c r="C1105" s="116">
        <v>594.65</v>
      </c>
      <c r="D1105" s="116">
        <v>593</v>
      </c>
      <c r="E1105" s="116">
        <v>615</v>
      </c>
      <c r="F1105" s="116">
        <v>594.65</v>
      </c>
      <c r="G1105">
        <v>43824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43634</v>
      </c>
      <c r="B1106" s="116">
        <v>603.04999999999995</v>
      </c>
      <c r="C1106" s="116">
        <v>600.65</v>
      </c>
      <c r="D1106" s="116">
        <v>593</v>
      </c>
      <c r="E1106" s="116">
        <v>596</v>
      </c>
      <c r="F1106" s="116">
        <v>600.65</v>
      </c>
      <c r="G1106">
        <v>26237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43635</v>
      </c>
      <c r="B1107" s="116">
        <v>613.79999999999995</v>
      </c>
      <c r="C1107" s="116">
        <v>609.70000000000005</v>
      </c>
      <c r="D1107" s="116">
        <v>599.95000000000005</v>
      </c>
      <c r="E1107" s="116">
        <v>599.95000000000005</v>
      </c>
      <c r="F1107" s="116">
        <v>609.70000000000005</v>
      </c>
      <c r="G1107">
        <v>89478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43636</v>
      </c>
      <c r="B1108" s="116">
        <v>625.20000000000005</v>
      </c>
      <c r="C1108" s="116">
        <v>621.20000000000005</v>
      </c>
      <c r="D1108" s="116">
        <v>608.5</v>
      </c>
      <c r="E1108" s="116">
        <v>612.95000000000005</v>
      </c>
      <c r="F1108" s="116">
        <v>621.20000000000005</v>
      </c>
      <c r="G1108">
        <v>62717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43637</v>
      </c>
      <c r="B1109" s="116">
        <v>625</v>
      </c>
      <c r="C1109" s="116">
        <v>623.20000000000005</v>
      </c>
      <c r="D1109" s="116">
        <v>612.9</v>
      </c>
      <c r="E1109" s="116">
        <v>623</v>
      </c>
      <c r="F1109" s="116">
        <v>623.20000000000005</v>
      </c>
      <c r="G1109">
        <v>43806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43640</v>
      </c>
      <c r="B1110" s="116">
        <v>634.85</v>
      </c>
      <c r="C1110" s="116">
        <v>632.1</v>
      </c>
      <c r="D1110" s="116">
        <v>625</v>
      </c>
      <c r="E1110" s="116">
        <v>625</v>
      </c>
      <c r="F1110" s="116">
        <v>632.1</v>
      </c>
      <c r="G1110">
        <v>97640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43641</v>
      </c>
      <c r="B1111" s="116">
        <v>654.29999999999995</v>
      </c>
      <c r="C1111" s="116">
        <v>651.29999999999995</v>
      </c>
      <c r="D1111" s="116">
        <v>632</v>
      </c>
      <c r="E1111" s="116">
        <v>635</v>
      </c>
      <c r="F1111" s="116">
        <v>651.29999999999995</v>
      </c>
      <c r="G1111">
        <v>157226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43642</v>
      </c>
      <c r="B1112" s="116">
        <v>658.55</v>
      </c>
      <c r="C1112" s="116">
        <v>653.70000000000005</v>
      </c>
      <c r="D1112" s="116">
        <v>645.95000000000005</v>
      </c>
      <c r="E1112" s="116">
        <v>648</v>
      </c>
      <c r="F1112" s="116">
        <v>653.70000000000005</v>
      </c>
      <c r="G1112">
        <v>144987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43643</v>
      </c>
      <c r="B1113" s="116">
        <v>658.6</v>
      </c>
      <c r="C1113" s="116">
        <v>652.70000000000005</v>
      </c>
      <c r="D1113" s="116">
        <v>649.5</v>
      </c>
      <c r="E1113" s="116">
        <v>655</v>
      </c>
      <c r="F1113" s="116">
        <v>652.70000000000005</v>
      </c>
      <c r="G1113">
        <v>72680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43644</v>
      </c>
      <c r="B1114" s="116">
        <v>654.35</v>
      </c>
      <c r="C1114" s="116">
        <v>643.54999999999995</v>
      </c>
      <c r="D1114" s="116">
        <v>641.4</v>
      </c>
      <c r="E1114" s="116">
        <v>647.04999999999995</v>
      </c>
      <c r="F1114" s="116">
        <v>643.54999999999995</v>
      </c>
      <c r="G1114">
        <v>42858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43647</v>
      </c>
      <c r="B1115" s="116">
        <v>662.15</v>
      </c>
      <c r="C1115" s="116">
        <v>655.55</v>
      </c>
      <c r="D1115" s="116">
        <v>638.04999999999995</v>
      </c>
      <c r="E1115" s="116">
        <v>645.15</v>
      </c>
      <c r="F1115" s="116">
        <v>655.55</v>
      </c>
      <c r="G1115">
        <v>96911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43648</v>
      </c>
      <c r="B1116" s="116">
        <v>658</v>
      </c>
      <c r="C1116" s="116">
        <v>645</v>
      </c>
      <c r="D1116" s="116">
        <v>640.29999999999995</v>
      </c>
      <c r="E1116" s="116">
        <v>657.95</v>
      </c>
      <c r="F1116" s="116">
        <v>645</v>
      </c>
      <c r="G1116">
        <v>64816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43649</v>
      </c>
      <c r="B1117" s="116">
        <v>647.15</v>
      </c>
      <c r="C1117" s="116">
        <v>641</v>
      </c>
      <c r="D1117" s="116">
        <v>636</v>
      </c>
      <c r="E1117" s="116">
        <v>647.15</v>
      </c>
      <c r="F1117" s="116">
        <v>641</v>
      </c>
      <c r="G1117">
        <v>43568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43650</v>
      </c>
      <c r="B1118" s="116">
        <v>640.5</v>
      </c>
      <c r="C1118" s="116">
        <v>635</v>
      </c>
      <c r="D1118" s="116">
        <v>634</v>
      </c>
      <c r="E1118" s="116">
        <v>640.5</v>
      </c>
      <c r="F1118" s="116">
        <v>635</v>
      </c>
      <c r="G1118">
        <v>28475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43651</v>
      </c>
      <c r="B1119" s="116">
        <v>637.70000000000005</v>
      </c>
      <c r="C1119" s="116">
        <v>615.65</v>
      </c>
      <c r="D1119" s="116">
        <v>613</v>
      </c>
      <c r="E1119" s="116">
        <v>634.04999999999995</v>
      </c>
      <c r="F1119" s="116">
        <v>615.65</v>
      </c>
      <c r="G1119">
        <v>64466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43654</v>
      </c>
      <c r="B1120" s="116">
        <v>615</v>
      </c>
      <c r="C1120" s="116">
        <v>603.29999999999995</v>
      </c>
      <c r="D1120" s="116">
        <v>599.6</v>
      </c>
      <c r="E1120" s="116">
        <v>615</v>
      </c>
      <c r="F1120" s="116">
        <v>603.29999999999995</v>
      </c>
      <c r="G1120">
        <v>32505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43655</v>
      </c>
      <c r="B1121" s="116">
        <v>620</v>
      </c>
      <c r="C1121" s="116">
        <v>596.6</v>
      </c>
      <c r="D1121" s="116">
        <v>587.35</v>
      </c>
      <c r="E1121" s="116">
        <v>620</v>
      </c>
      <c r="F1121" s="116">
        <v>596.6</v>
      </c>
      <c r="G1121">
        <v>43362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43656</v>
      </c>
      <c r="B1122" s="116">
        <v>599.85</v>
      </c>
      <c r="C1122" s="116">
        <v>590.85</v>
      </c>
      <c r="D1122" s="116">
        <v>589.65</v>
      </c>
      <c r="E1122" s="116">
        <v>597.20000000000005</v>
      </c>
      <c r="F1122" s="116">
        <v>590.85</v>
      </c>
      <c r="G1122">
        <v>34496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43657</v>
      </c>
      <c r="B1123" s="116">
        <v>595.4</v>
      </c>
      <c r="C1123" s="116">
        <v>591.20000000000005</v>
      </c>
      <c r="D1123" s="116">
        <v>583.45000000000005</v>
      </c>
      <c r="E1123" s="116">
        <v>591</v>
      </c>
      <c r="F1123" s="116">
        <v>591.20000000000005</v>
      </c>
      <c r="G1123">
        <v>45648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43658</v>
      </c>
      <c r="B1124" s="116">
        <v>600</v>
      </c>
      <c r="C1124" s="116">
        <v>589</v>
      </c>
      <c r="D1124" s="116">
        <v>584.70000000000005</v>
      </c>
      <c r="E1124" s="116">
        <v>592</v>
      </c>
      <c r="F1124" s="116">
        <v>589</v>
      </c>
      <c r="G1124">
        <v>40896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43661</v>
      </c>
      <c r="B1125" s="116">
        <v>590.04999999999995</v>
      </c>
      <c r="C1125" s="116">
        <v>587.04999999999995</v>
      </c>
      <c r="D1125" s="116">
        <v>580</v>
      </c>
      <c r="E1125" s="116">
        <v>590.04999999999995</v>
      </c>
      <c r="F1125" s="116">
        <v>587.04999999999995</v>
      </c>
      <c r="G1125">
        <v>27664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43662</v>
      </c>
      <c r="B1126" s="116">
        <v>598.65</v>
      </c>
      <c r="C1126" s="116">
        <v>597.25</v>
      </c>
      <c r="D1126" s="116">
        <v>585</v>
      </c>
      <c r="E1126" s="116">
        <v>588.29999999999995</v>
      </c>
      <c r="F1126" s="116">
        <v>597.25</v>
      </c>
      <c r="G1126">
        <v>290130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43663</v>
      </c>
      <c r="B1127" s="116">
        <v>598.54999999999995</v>
      </c>
      <c r="C1127" s="116">
        <v>590.54999999999995</v>
      </c>
      <c r="D1127" s="116">
        <v>588</v>
      </c>
      <c r="E1127" s="116">
        <v>596</v>
      </c>
      <c r="F1127" s="116">
        <v>590.54999999999995</v>
      </c>
      <c r="G1127">
        <v>29024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43664</v>
      </c>
      <c r="B1128" s="116">
        <v>590.54999999999995</v>
      </c>
      <c r="C1128" s="116">
        <v>580.45000000000005</v>
      </c>
      <c r="D1128" s="116">
        <v>578</v>
      </c>
      <c r="E1128" s="116">
        <v>590.54999999999995</v>
      </c>
      <c r="F1128" s="116">
        <v>580.45000000000005</v>
      </c>
      <c r="G1128">
        <v>20876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43665</v>
      </c>
      <c r="B1129" s="116">
        <v>585.4</v>
      </c>
      <c r="C1129" s="116">
        <v>578.25</v>
      </c>
      <c r="D1129" s="116">
        <v>571.20000000000005</v>
      </c>
      <c r="E1129" s="116">
        <v>585</v>
      </c>
      <c r="F1129" s="116">
        <v>578.25</v>
      </c>
      <c r="G1129">
        <v>217322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43668</v>
      </c>
      <c r="B1130" s="116">
        <v>585.15</v>
      </c>
      <c r="C1130" s="116">
        <v>582.5</v>
      </c>
      <c r="D1130" s="116">
        <v>569.45000000000005</v>
      </c>
      <c r="E1130" s="116">
        <v>578</v>
      </c>
      <c r="F1130" s="116">
        <v>582.5</v>
      </c>
      <c r="G1130">
        <v>27851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43669</v>
      </c>
      <c r="B1131" s="116">
        <v>592.35</v>
      </c>
      <c r="C1131" s="116">
        <v>589.20000000000005</v>
      </c>
      <c r="D1131" s="116">
        <v>581.25</v>
      </c>
      <c r="E1131" s="116">
        <v>587.4</v>
      </c>
      <c r="F1131" s="116">
        <v>589.20000000000005</v>
      </c>
      <c r="G1131">
        <v>56712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43670</v>
      </c>
      <c r="B1132" s="116">
        <v>590.75</v>
      </c>
      <c r="C1132" s="116">
        <v>579.9</v>
      </c>
      <c r="D1132" s="116">
        <v>574.29999999999995</v>
      </c>
      <c r="E1132" s="116">
        <v>590</v>
      </c>
      <c r="F1132" s="116">
        <v>579.9</v>
      </c>
      <c r="G1132">
        <v>45942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43671</v>
      </c>
      <c r="B1133" s="116">
        <v>584.29999999999995</v>
      </c>
      <c r="C1133" s="116">
        <v>579.35</v>
      </c>
      <c r="D1133" s="116">
        <v>576.20000000000005</v>
      </c>
      <c r="E1133" s="116">
        <v>580.45000000000005</v>
      </c>
      <c r="F1133" s="116">
        <v>579.35</v>
      </c>
      <c r="G1133">
        <v>33816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43672</v>
      </c>
      <c r="B1134" s="116">
        <v>585.25</v>
      </c>
      <c r="C1134" s="116">
        <v>582.79999999999995</v>
      </c>
      <c r="D1134" s="116">
        <v>572.35</v>
      </c>
      <c r="E1134" s="116">
        <v>576.04999999999995</v>
      </c>
      <c r="F1134" s="116">
        <v>582.79999999999995</v>
      </c>
      <c r="G1134">
        <v>367961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43675</v>
      </c>
      <c r="B1135" s="116">
        <v>581.79999999999995</v>
      </c>
      <c r="C1135" s="116">
        <v>572.6</v>
      </c>
      <c r="D1135" s="116">
        <v>566.35</v>
      </c>
      <c r="E1135" s="116">
        <v>579</v>
      </c>
      <c r="F1135" s="116">
        <v>572.6</v>
      </c>
      <c r="G1135">
        <v>27964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43676</v>
      </c>
      <c r="B1136" s="116">
        <v>578.65</v>
      </c>
      <c r="C1136" s="116">
        <v>564.5</v>
      </c>
      <c r="D1136" s="116">
        <v>562.6</v>
      </c>
      <c r="E1136" s="116">
        <v>573</v>
      </c>
      <c r="F1136" s="116">
        <v>564.5</v>
      </c>
      <c r="G1136">
        <v>19964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43677</v>
      </c>
      <c r="B1137" s="116">
        <v>585</v>
      </c>
      <c r="C1137" s="116">
        <v>582.15</v>
      </c>
      <c r="D1137" s="116">
        <v>557.20000000000005</v>
      </c>
      <c r="E1137" s="116">
        <v>561</v>
      </c>
      <c r="F1137" s="116">
        <v>582.15</v>
      </c>
      <c r="G1137">
        <v>61584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43678</v>
      </c>
      <c r="B1138" s="116">
        <v>611.85</v>
      </c>
      <c r="C1138" s="116">
        <v>608.45000000000005</v>
      </c>
      <c r="D1138" s="116">
        <v>583.25</v>
      </c>
      <c r="E1138" s="116">
        <v>583.9</v>
      </c>
      <c r="F1138" s="116">
        <v>608.45000000000005</v>
      </c>
      <c r="G1138">
        <v>177233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43679</v>
      </c>
      <c r="B1139" s="116">
        <v>615.29999999999995</v>
      </c>
      <c r="C1139" s="116">
        <v>611.9</v>
      </c>
      <c r="D1139" s="116">
        <v>601.45000000000005</v>
      </c>
      <c r="E1139" s="116">
        <v>608</v>
      </c>
      <c r="F1139" s="116">
        <v>611.9</v>
      </c>
      <c r="G1139">
        <v>81278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43682</v>
      </c>
      <c r="B1140" s="116">
        <v>611</v>
      </c>
      <c r="C1140" s="116">
        <v>601.20000000000005</v>
      </c>
      <c r="D1140" s="116">
        <v>596.4</v>
      </c>
      <c r="E1140" s="116">
        <v>611</v>
      </c>
      <c r="F1140" s="116">
        <v>601.20000000000005</v>
      </c>
      <c r="G1140">
        <v>35605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43683</v>
      </c>
      <c r="B1141" s="116">
        <v>621</v>
      </c>
      <c r="C1141" s="116">
        <v>617.79999999999995</v>
      </c>
      <c r="D1141" s="116">
        <v>599</v>
      </c>
      <c r="E1141" s="116">
        <v>599</v>
      </c>
      <c r="F1141" s="116">
        <v>617.79999999999995</v>
      </c>
      <c r="G1141">
        <v>71902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43684</v>
      </c>
      <c r="B1142" s="116">
        <v>624.35</v>
      </c>
      <c r="C1142" s="116">
        <v>605.9</v>
      </c>
      <c r="D1142" s="116">
        <v>594.15</v>
      </c>
      <c r="E1142" s="116">
        <v>617.45000000000005</v>
      </c>
      <c r="F1142" s="116">
        <v>605.9</v>
      </c>
      <c r="G1142">
        <v>163420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43685</v>
      </c>
      <c r="B1143" s="116">
        <v>612.4</v>
      </c>
      <c r="C1143" s="116">
        <v>597.75</v>
      </c>
      <c r="D1143" s="116">
        <v>590.54999999999995</v>
      </c>
      <c r="E1143" s="116">
        <v>606</v>
      </c>
      <c r="F1143" s="116">
        <v>597.75</v>
      </c>
      <c r="G1143">
        <v>59169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43686</v>
      </c>
      <c r="B1144" s="116">
        <v>616.20000000000005</v>
      </c>
      <c r="C1144" s="116">
        <v>604.9</v>
      </c>
      <c r="D1144" s="116">
        <v>600.45000000000005</v>
      </c>
      <c r="E1144" s="116">
        <v>602.79999999999995</v>
      </c>
      <c r="F1144" s="116">
        <v>604.9</v>
      </c>
      <c r="G1144">
        <v>81795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43690</v>
      </c>
      <c r="B1145" s="116">
        <v>610.65</v>
      </c>
      <c r="C1145" s="116">
        <v>585.20000000000005</v>
      </c>
      <c r="D1145" s="116">
        <v>579.1</v>
      </c>
      <c r="E1145" s="116">
        <v>606</v>
      </c>
      <c r="F1145" s="116">
        <v>585.20000000000005</v>
      </c>
      <c r="G1145">
        <v>35468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43691</v>
      </c>
      <c r="B1146" s="116">
        <v>597.85</v>
      </c>
      <c r="C1146" s="116">
        <v>591.4</v>
      </c>
      <c r="D1146" s="116">
        <v>586.54999999999995</v>
      </c>
      <c r="E1146" s="116">
        <v>589.1</v>
      </c>
      <c r="F1146" s="116">
        <v>591.4</v>
      </c>
      <c r="G1146">
        <v>24993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43693</v>
      </c>
      <c r="B1147" s="116">
        <v>609</v>
      </c>
      <c r="C1147" s="116">
        <v>601.4</v>
      </c>
      <c r="D1147" s="116">
        <v>585.25</v>
      </c>
      <c r="E1147" s="116">
        <v>589.15</v>
      </c>
      <c r="F1147" s="116">
        <v>601.4</v>
      </c>
      <c r="G1147">
        <v>88534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43696</v>
      </c>
      <c r="B1148" s="116">
        <v>614.5</v>
      </c>
      <c r="C1148" s="116">
        <v>606.45000000000005</v>
      </c>
      <c r="D1148" s="116">
        <v>602</v>
      </c>
      <c r="E1148" s="116">
        <v>602</v>
      </c>
      <c r="F1148" s="116">
        <v>606.45000000000005</v>
      </c>
      <c r="G1148">
        <v>42383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43697</v>
      </c>
      <c r="B1149" s="116">
        <v>612</v>
      </c>
      <c r="C1149" s="116">
        <v>604.85</v>
      </c>
      <c r="D1149" s="116">
        <v>599.70000000000005</v>
      </c>
      <c r="E1149" s="116">
        <v>612</v>
      </c>
      <c r="F1149" s="116">
        <v>604.85</v>
      </c>
      <c r="G1149">
        <v>23040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43698</v>
      </c>
      <c r="B1150" s="116">
        <v>609.04999999999995</v>
      </c>
      <c r="C1150" s="116">
        <v>592.4</v>
      </c>
      <c r="D1150" s="116">
        <v>588.45000000000005</v>
      </c>
      <c r="E1150" s="116">
        <v>604.85</v>
      </c>
      <c r="F1150" s="116">
        <v>592.4</v>
      </c>
      <c r="G1150">
        <v>129757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43699</v>
      </c>
      <c r="B1151" s="116">
        <v>605.5</v>
      </c>
      <c r="C1151" s="116">
        <v>597.95000000000005</v>
      </c>
      <c r="D1151" s="116">
        <v>586</v>
      </c>
      <c r="E1151" s="116">
        <v>588</v>
      </c>
      <c r="F1151" s="116">
        <v>597.95000000000005</v>
      </c>
      <c r="G1151">
        <v>40820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43700</v>
      </c>
      <c r="B1152" s="116">
        <v>614.95000000000005</v>
      </c>
      <c r="C1152" s="116">
        <v>612.70000000000005</v>
      </c>
      <c r="D1152" s="116">
        <v>586.6</v>
      </c>
      <c r="E1152" s="116">
        <v>596.9</v>
      </c>
      <c r="F1152" s="116">
        <v>612.70000000000005</v>
      </c>
      <c r="G1152">
        <v>44466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43703</v>
      </c>
      <c r="B1153" s="116">
        <v>624.79999999999995</v>
      </c>
      <c r="C1153" s="116">
        <v>614.70000000000005</v>
      </c>
      <c r="D1153" s="116">
        <v>611</v>
      </c>
      <c r="E1153" s="116">
        <v>618</v>
      </c>
      <c r="F1153" s="116">
        <v>614.70000000000005</v>
      </c>
      <c r="G1153">
        <v>57108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43704</v>
      </c>
      <c r="B1154" s="116">
        <v>626</v>
      </c>
      <c r="C1154" s="116">
        <v>618.20000000000005</v>
      </c>
      <c r="D1154" s="116">
        <v>608.6</v>
      </c>
      <c r="E1154" s="116">
        <v>616.6</v>
      </c>
      <c r="F1154" s="116">
        <v>618.20000000000005</v>
      </c>
      <c r="G1154">
        <v>85734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43705</v>
      </c>
      <c r="B1155" s="116">
        <v>628.4</v>
      </c>
      <c r="C1155" s="116">
        <v>625.85</v>
      </c>
      <c r="D1155" s="116">
        <v>614.65</v>
      </c>
      <c r="E1155" s="116">
        <v>619</v>
      </c>
      <c r="F1155" s="116">
        <v>625.85</v>
      </c>
      <c r="G1155">
        <v>61826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43706</v>
      </c>
      <c r="B1156" s="116">
        <v>631.95000000000005</v>
      </c>
      <c r="C1156" s="116">
        <v>630.04999999999995</v>
      </c>
      <c r="D1156" s="116">
        <v>617.29999999999995</v>
      </c>
      <c r="E1156" s="116">
        <v>626</v>
      </c>
      <c r="F1156" s="116">
        <v>630.04999999999995</v>
      </c>
      <c r="G1156">
        <v>85658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43707</v>
      </c>
      <c r="B1157" s="116">
        <v>643.70000000000005</v>
      </c>
      <c r="C1157" s="116">
        <v>640.85</v>
      </c>
      <c r="D1157" s="116">
        <v>624</v>
      </c>
      <c r="E1157" s="116">
        <v>630.54999999999995</v>
      </c>
      <c r="F1157" s="116">
        <v>640.85</v>
      </c>
      <c r="G1157">
        <v>54266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43711</v>
      </c>
      <c r="B1158" s="116">
        <v>636.04999999999995</v>
      </c>
      <c r="C1158" s="116">
        <v>619.54999999999995</v>
      </c>
      <c r="D1158" s="116">
        <v>617</v>
      </c>
      <c r="E1158" s="116">
        <v>633</v>
      </c>
      <c r="F1158" s="116">
        <v>619.54999999999995</v>
      </c>
      <c r="G1158">
        <v>44181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43712</v>
      </c>
      <c r="B1159" s="116">
        <v>624.70000000000005</v>
      </c>
      <c r="C1159" s="116">
        <v>621.9</v>
      </c>
      <c r="D1159" s="116">
        <v>606.79999999999995</v>
      </c>
      <c r="E1159" s="116">
        <v>624.70000000000005</v>
      </c>
      <c r="F1159" s="116">
        <v>621.9</v>
      </c>
      <c r="G1159">
        <v>422437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43713</v>
      </c>
      <c r="B1160" s="116">
        <v>632.70000000000005</v>
      </c>
      <c r="C1160" s="116">
        <v>630.25</v>
      </c>
      <c r="D1160" s="116">
        <v>621.9</v>
      </c>
      <c r="E1160" s="116">
        <v>621.9</v>
      </c>
      <c r="F1160" s="116">
        <v>630.25</v>
      </c>
      <c r="G1160">
        <v>37379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43714</v>
      </c>
      <c r="B1161" s="116">
        <v>633.9</v>
      </c>
      <c r="C1161" s="116">
        <v>629.54999999999995</v>
      </c>
      <c r="D1161" s="116">
        <v>624.5</v>
      </c>
      <c r="E1161" s="116">
        <v>633.9</v>
      </c>
      <c r="F1161" s="116">
        <v>629.54999999999995</v>
      </c>
      <c r="G1161">
        <v>34554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43717</v>
      </c>
      <c r="B1162" s="116">
        <v>642.79999999999995</v>
      </c>
      <c r="C1162" s="116">
        <v>640.04999999999995</v>
      </c>
      <c r="D1162" s="116">
        <v>626.54999999999995</v>
      </c>
      <c r="E1162" s="116">
        <v>629</v>
      </c>
      <c r="F1162" s="116">
        <v>640.04999999999995</v>
      </c>
      <c r="G1162">
        <v>83708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43719</v>
      </c>
      <c r="B1163" s="116">
        <v>644</v>
      </c>
      <c r="C1163" s="116">
        <v>632.6</v>
      </c>
      <c r="D1163" s="116">
        <v>630</v>
      </c>
      <c r="E1163" s="116">
        <v>644</v>
      </c>
      <c r="F1163" s="116">
        <v>632.6</v>
      </c>
      <c r="G1163">
        <v>28416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43720</v>
      </c>
      <c r="B1164" s="116">
        <v>641.45000000000005</v>
      </c>
      <c r="C1164" s="116">
        <v>634.9</v>
      </c>
      <c r="D1164" s="116">
        <v>628.20000000000005</v>
      </c>
      <c r="E1164" s="116">
        <v>634</v>
      </c>
      <c r="F1164" s="116">
        <v>634.9</v>
      </c>
      <c r="G1164">
        <v>36215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43721</v>
      </c>
      <c r="B1165" s="116">
        <v>645</v>
      </c>
      <c r="C1165" s="116">
        <v>637.15</v>
      </c>
      <c r="D1165" s="116">
        <v>629.20000000000005</v>
      </c>
      <c r="E1165" s="116">
        <v>645</v>
      </c>
      <c r="F1165" s="116">
        <v>637.15</v>
      </c>
      <c r="G1165">
        <v>24083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43724</v>
      </c>
      <c r="B1166" s="116">
        <v>639</v>
      </c>
      <c r="C1166" s="116">
        <v>634.95000000000005</v>
      </c>
      <c r="D1166" s="116">
        <v>629.54999999999995</v>
      </c>
      <c r="E1166" s="116">
        <v>630.20000000000005</v>
      </c>
      <c r="F1166" s="116">
        <v>634.95000000000005</v>
      </c>
      <c r="G1166">
        <v>29799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43725</v>
      </c>
      <c r="B1167" s="116">
        <v>634.5</v>
      </c>
      <c r="C1167" s="116">
        <v>620.29999999999995</v>
      </c>
      <c r="D1167" s="116">
        <v>619.9</v>
      </c>
      <c r="E1167" s="116">
        <v>634.1</v>
      </c>
      <c r="F1167" s="116">
        <v>620.29999999999995</v>
      </c>
      <c r="G1167">
        <v>23680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43726</v>
      </c>
      <c r="B1168" s="116">
        <v>633.9</v>
      </c>
      <c r="C1168" s="116">
        <v>630.6</v>
      </c>
      <c r="D1168" s="116">
        <v>620.04999999999995</v>
      </c>
      <c r="E1168" s="116">
        <v>624.70000000000005</v>
      </c>
      <c r="F1168" s="116">
        <v>630.6</v>
      </c>
      <c r="G1168">
        <v>47417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43727</v>
      </c>
      <c r="B1169" s="116">
        <v>632</v>
      </c>
      <c r="C1169" s="116">
        <v>625</v>
      </c>
      <c r="D1169" s="116">
        <v>622</v>
      </c>
      <c r="E1169" s="116">
        <v>630.6</v>
      </c>
      <c r="F1169" s="116">
        <v>625</v>
      </c>
      <c r="G1169">
        <v>35541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43728</v>
      </c>
      <c r="B1170" s="116">
        <v>673</v>
      </c>
      <c r="C1170" s="116">
        <v>668.15</v>
      </c>
      <c r="D1170" s="116">
        <v>619.65</v>
      </c>
      <c r="E1170" s="116">
        <v>625</v>
      </c>
      <c r="F1170" s="116">
        <v>668.15</v>
      </c>
      <c r="G1170">
        <v>249013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43731</v>
      </c>
      <c r="B1171" s="116">
        <v>704.25</v>
      </c>
      <c r="C1171" s="116">
        <v>669.3</v>
      </c>
      <c r="D1171" s="116">
        <v>666.2</v>
      </c>
      <c r="E1171" s="116">
        <v>677.05</v>
      </c>
      <c r="F1171" s="116">
        <v>669.3</v>
      </c>
      <c r="G1171">
        <v>186553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43732</v>
      </c>
      <c r="B1172" s="116">
        <v>674.1</v>
      </c>
      <c r="C1172" s="116">
        <v>665.55</v>
      </c>
      <c r="D1172" s="116">
        <v>662</v>
      </c>
      <c r="E1172" s="116">
        <v>672.45</v>
      </c>
      <c r="F1172" s="116">
        <v>665.55</v>
      </c>
      <c r="G1172">
        <v>77329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43733</v>
      </c>
      <c r="B1173" s="116">
        <v>679</v>
      </c>
      <c r="C1173" s="116">
        <v>669.05</v>
      </c>
      <c r="D1173" s="116">
        <v>662.3</v>
      </c>
      <c r="E1173" s="116">
        <v>668.2</v>
      </c>
      <c r="F1173" s="116">
        <v>669.05</v>
      </c>
      <c r="G1173">
        <v>71341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43734</v>
      </c>
      <c r="B1174" s="116">
        <v>684.9</v>
      </c>
      <c r="C1174" s="116">
        <v>677.55</v>
      </c>
      <c r="D1174" s="116">
        <v>664.05</v>
      </c>
      <c r="E1174" s="116">
        <v>671.05</v>
      </c>
      <c r="F1174" s="116">
        <v>677.55</v>
      </c>
      <c r="G1174">
        <v>85411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43735</v>
      </c>
      <c r="B1175" s="116">
        <v>686.2</v>
      </c>
      <c r="C1175" s="116">
        <v>682.3</v>
      </c>
      <c r="D1175" s="116">
        <v>673.05</v>
      </c>
      <c r="E1175" s="116">
        <v>682</v>
      </c>
      <c r="F1175" s="116">
        <v>682.3</v>
      </c>
      <c r="G1175">
        <v>45560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43738</v>
      </c>
      <c r="B1176" s="116">
        <v>684.45</v>
      </c>
      <c r="C1176" s="116">
        <v>679.85</v>
      </c>
      <c r="D1176" s="116">
        <v>671.85</v>
      </c>
      <c r="E1176" s="116">
        <v>684.1</v>
      </c>
      <c r="F1176" s="116">
        <v>679.85</v>
      </c>
      <c r="G1176">
        <v>40470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43739</v>
      </c>
      <c r="B1177" s="116">
        <v>696.4</v>
      </c>
      <c r="C1177" s="116">
        <v>674</v>
      </c>
      <c r="D1177" s="116">
        <v>671</v>
      </c>
      <c r="E1177" s="116">
        <v>680.45</v>
      </c>
      <c r="F1177" s="116">
        <v>674</v>
      </c>
      <c r="G1177">
        <v>69666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43741</v>
      </c>
      <c r="B1178" s="116">
        <v>681.8</v>
      </c>
      <c r="C1178" s="116">
        <v>674.6</v>
      </c>
      <c r="D1178" s="116">
        <v>665.8</v>
      </c>
      <c r="E1178" s="116">
        <v>672</v>
      </c>
      <c r="F1178" s="116">
        <v>674.6</v>
      </c>
      <c r="G1178">
        <v>38350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43742</v>
      </c>
      <c r="B1179" s="116">
        <v>679</v>
      </c>
      <c r="C1179" s="116">
        <v>655.6</v>
      </c>
      <c r="D1179" s="116">
        <v>653</v>
      </c>
      <c r="E1179" s="116">
        <v>679</v>
      </c>
      <c r="F1179" s="116">
        <v>655.6</v>
      </c>
      <c r="G1179">
        <v>22210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43745</v>
      </c>
      <c r="B1180" s="116">
        <v>667.05</v>
      </c>
      <c r="C1180" s="116">
        <v>664.35</v>
      </c>
      <c r="D1180" s="116">
        <v>650</v>
      </c>
      <c r="E1180" s="116">
        <v>660</v>
      </c>
      <c r="F1180" s="116">
        <v>664.35</v>
      </c>
      <c r="G1180">
        <v>33842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43747</v>
      </c>
      <c r="B1181" s="116">
        <v>685</v>
      </c>
      <c r="C1181" s="116">
        <v>681.25</v>
      </c>
      <c r="D1181" s="116">
        <v>657.85</v>
      </c>
      <c r="E1181" s="116">
        <v>672</v>
      </c>
      <c r="F1181" s="116">
        <v>681.25</v>
      </c>
      <c r="G1181">
        <v>43986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43748</v>
      </c>
      <c r="B1182" s="116">
        <v>695</v>
      </c>
      <c r="C1182" s="116">
        <v>674.15</v>
      </c>
      <c r="D1182" s="116">
        <v>671</v>
      </c>
      <c r="E1182" s="116">
        <v>690</v>
      </c>
      <c r="F1182" s="116">
        <v>674.15</v>
      </c>
      <c r="G1182">
        <v>85015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43749</v>
      </c>
      <c r="B1183" s="116">
        <v>683.1</v>
      </c>
      <c r="C1183" s="116">
        <v>678.8</v>
      </c>
      <c r="D1183" s="116">
        <v>672.95</v>
      </c>
      <c r="E1183" s="116">
        <v>677.5</v>
      </c>
      <c r="F1183" s="116">
        <v>678.8</v>
      </c>
      <c r="G1183">
        <v>29254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43752</v>
      </c>
      <c r="B1184" s="116">
        <v>686.15</v>
      </c>
      <c r="C1184" s="116">
        <v>673.6</v>
      </c>
      <c r="D1184" s="116">
        <v>671.8</v>
      </c>
      <c r="E1184" s="116">
        <v>680</v>
      </c>
      <c r="F1184" s="116">
        <v>673.6</v>
      </c>
      <c r="G1184">
        <v>22480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43753</v>
      </c>
      <c r="B1185" s="116">
        <v>681</v>
      </c>
      <c r="C1185" s="116">
        <v>675.8</v>
      </c>
      <c r="D1185" s="116">
        <v>669.8</v>
      </c>
      <c r="E1185" s="116">
        <v>673</v>
      </c>
      <c r="F1185" s="116">
        <v>675.8</v>
      </c>
      <c r="G1185">
        <v>49308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43754</v>
      </c>
      <c r="B1186" s="116">
        <v>675.65</v>
      </c>
      <c r="C1186" s="116">
        <v>670.5</v>
      </c>
      <c r="D1186" s="116">
        <v>661.1</v>
      </c>
      <c r="E1186" s="116">
        <v>675</v>
      </c>
      <c r="F1186" s="116">
        <v>670.5</v>
      </c>
      <c r="G1186">
        <v>36275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43755</v>
      </c>
      <c r="B1187" s="116">
        <v>678.25</v>
      </c>
      <c r="C1187" s="116">
        <v>676.1</v>
      </c>
      <c r="D1187" s="116">
        <v>670.4</v>
      </c>
      <c r="E1187" s="116">
        <v>671.7</v>
      </c>
      <c r="F1187" s="116">
        <v>676.1</v>
      </c>
      <c r="G1187">
        <v>22282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43756</v>
      </c>
      <c r="B1188" s="116">
        <v>697</v>
      </c>
      <c r="C1188" s="116">
        <v>691.4</v>
      </c>
      <c r="D1188" s="116">
        <v>677.4</v>
      </c>
      <c r="E1188" s="116">
        <v>677.4</v>
      </c>
      <c r="F1188" s="116">
        <v>691.4</v>
      </c>
      <c r="G1188">
        <v>62830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43760</v>
      </c>
      <c r="B1189" s="116">
        <v>713</v>
      </c>
      <c r="C1189" s="116">
        <v>693.15</v>
      </c>
      <c r="D1189" s="116">
        <v>691</v>
      </c>
      <c r="E1189" s="116">
        <v>694.95</v>
      </c>
      <c r="F1189" s="116">
        <v>693.15</v>
      </c>
      <c r="G1189">
        <v>90666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43761</v>
      </c>
      <c r="B1190" s="116">
        <v>708.9</v>
      </c>
      <c r="C1190" s="116">
        <v>707.45</v>
      </c>
      <c r="D1190" s="116">
        <v>689</v>
      </c>
      <c r="E1190" s="116">
        <v>694</v>
      </c>
      <c r="F1190" s="116">
        <v>707.45</v>
      </c>
      <c r="G1190">
        <v>42137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43762</v>
      </c>
      <c r="B1191" s="116">
        <v>721</v>
      </c>
      <c r="C1191" s="116">
        <v>707.95</v>
      </c>
      <c r="D1191" s="116">
        <v>696.15</v>
      </c>
      <c r="E1191" s="116">
        <v>710.4</v>
      </c>
      <c r="F1191" s="116">
        <v>707.95</v>
      </c>
      <c r="G1191">
        <v>95897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43763</v>
      </c>
      <c r="B1192" s="116">
        <v>712.35</v>
      </c>
      <c r="C1192" s="116">
        <v>699.05</v>
      </c>
      <c r="D1192" s="116">
        <v>693.8</v>
      </c>
      <c r="E1192" s="116">
        <v>710</v>
      </c>
      <c r="F1192" s="116">
        <v>699.05</v>
      </c>
      <c r="G1192">
        <v>94922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43765</v>
      </c>
      <c r="B1193" s="116">
        <v>707</v>
      </c>
      <c r="C1193" s="116">
        <v>703.85</v>
      </c>
      <c r="D1193" s="116">
        <v>702</v>
      </c>
      <c r="E1193" s="116">
        <v>707</v>
      </c>
      <c r="F1193" s="116">
        <v>703.85</v>
      </c>
      <c r="G1193">
        <v>4376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43767</v>
      </c>
      <c r="B1194" s="116">
        <v>725.45</v>
      </c>
      <c r="C1194" s="116">
        <v>719.85</v>
      </c>
      <c r="D1194" s="116">
        <v>703.9</v>
      </c>
      <c r="E1194" s="116">
        <v>704</v>
      </c>
      <c r="F1194" s="116">
        <v>719.85</v>
      </c>
      <c r="G1194">
        <v>71057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43768</v>
      </c>
      <c r="B1195" s="116">
        <v>722.65</v>
      </c>
      <c r="C1195" s="116">
        <v>713</v>
      </c>
      <c r="D1195" s="116">
        <v>706</v>
      </c>
      <c r="E1195" s="116">
        <v>719.8</v>
      </c>
      <c r="F1195" s="116">
        <v>713</v>
      </c>
      <c r="G1195">
        <v>34332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43769</v>
      </c>
      <c r="B1196" s="116">
        <v>720</v>
      </c>
      <c r="C1196" s="116">
        <v>708.3</v>
      </c>
      <c r="D1196" s="116">
        <v>705.55</v>
      </c>
      <c r="E1196" s="116">
        <v>717.55</v>
      </c>
      <c r="F1196" s="116">
        <v>708.3</v>
      </c>
      <c r="G1196">
        <v>28051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43770</v>
      </c>
      <c r="B1197" s="116">
        <v>708.55</v>
      </c>
      <c r="C1197" s="116">
        <v>695.6</v>
      </c>
      <c r="D1197" s="116">
        <v>694.45</v>
      </c>
      <c r="E1197" s="116">
        <v>707.4</v>
      </c>
      <c r="F1197" s="116">
        <v>695.6</v>
      </c>
      <c r="G1197">
        <v>32558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43773</v>
      </c>
      <c r="B1198" s="116">
        <v>700.2</v>
      </c>
      <c r="C1198" s="116">
        <v>687.3</v>
      </c>
      <c r="D1198" s="116">
        <v>685.95</v>
      </c>
      <c r="E1198" s="116">
        <v>697</v>
      </c>
      <c r="F1198" s="116">
        <v>687.3</v>
      </c>
      <c r="G1198">
        <v>26592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43774</v>
      </c>
      <c r="B1199" s="116">
        <v>688.6</v>
      </c>
      <c r="C1199" s="116">
        <v>679.35</v>
      </c>
      <c r="D1199" s="116">
        <v>675</v>
      </c>
      <c r="E1199" s="116">
        <v>688</v>
      </c>
      <c r="F1199" s="116">
        <v>679.35</v>
      </c>
      <c r="G1199">
        <v>23413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43775</v>
      </c>
      <c r="B1200" s="116">
        <v>693.6</v>
      </c>
      <c r="C1200" s="116">
        <v>672.75</v>
      </c>
      <c r="D1200" s="116">
        <v>670.25</v>
      </c>
      <c r="E1200" s="116">
        <v>693.6</v>
      </c>
      <c r="F1200" s="116">
        <v>672.75</v>
      </c>
      <c r="G1200">
        <v>46875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43776</v>
      </c>
      <c r="B1201" s="116">
        <v>681.2</v>
      </c>
      <c r="C1201" s="116">
        <v>666.55</v>
      </c>
      <c r="D1201" s="116">
        <v>658.35</v>
      </c>
      <c r="E1201" s="116">
        <v>674.6</v>
      </c>
      <c r="F1201" s="116">
        <v>666.55</v>
      </c>
      <c r="G1201">
        <v>65974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43777</v>
      </c>
      <c r="B1202" s="116">
        <v>701</v>
      </c>
      <c r="C1202" s="116">
        <v>693.85</v>
      </c>
      <c r="D1202" s="116">
        <v>665</v>
      </c>
      <c r="E1202" s="116">
        <v>665</v>
      </c>
      <c r="F1202" s="116">
        <v>693.85</v>
      </c>
      <c r="G1202">
        <v>81613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43780</v>
      </c>
      <c r="B1203" s="116">
        <v>703.8</v>
      </c>
      <c r="C1203" s="116">
        <v>686.7</v>
      </c>
      <c r="D1203" s="116">
        <v>685</v>
      </c>
      <c r="E1203" s="116">
        <v>702</v>
      </c>
      <c r="F1203" s="116">
        <v>686.7</v>
      </c>
      <c r="G1203">
        <v>41677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43782</v>
      </c>
      <c r="B1204" s="116">
        <v>706.95</v>
      </c>
      <c r="C1204" s="116">
        <v>702.05</v>
      </c>
      <c r="D1204" s="116">
        <v>686</v>
      </c>
      <c r="E1204" s="116">
        <v>686</v>
      </c>
      <c r="F1204" s="116">
        <v>702.05</v>
      </c>
      <c r="G1204">
        <v>57724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43783</v>
      </c>
      <c r="B1205" s="116">
        <v>715.9</v>
      </c>
      <c r="C1205" s="116">
        <v>713.4</v>
      </c>
      <c r="D1205" s="116">
        <v>700.4</v>
      </c>
      <c r="E1205" s="116">
        <v>702.05</v>
      </c>
      <c r="F1205" s="116">
        <v>713.4</v>
      </c>
      <c r="G1205">
        <v>51231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43784</v>
      </c>
      <c r="B1206" s="116">
        <v>719</v>
      </c>
      <c r="C1206" s="116">
        <v>713.25</v>
      </c>
      <c r="D1206" s="116">
        <v>711.5</v>
      </c>
      <c r="E1206" s="116">
        <v>716</v>
      </c>
      <c r="F1206" s="116">
        <v>713.25</v>
      </c>
      <c r="G1206">
        <v>30648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43787</v>
      </c>
      <c r="B1207" s="116">
        <v>719.4</v>
      </c>
      <c r="C1207" s="116">
        <v>715.1</v>
      </c>
      <c r="D1207" s="116">
        <v>708.4</v>
      </c>
      <c r="E1207" s="116">
        <v>714</v>
      </c>
      <c r="F1207" s="116">
        <v>715.1</v>
      </c>
      <c r="G1207">
        <v>41135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43788</v>
      </c>
      <c r="B1208" s="116">
        <v>717.95</v>
      </c>
      <c r="C1208" s="116">
        <v>713.4</v>
      </c>
      <c r="D1208" s="116">
        <v>709.5</v>
      </c>
      <c r="E1208" s="116">
        <v>711.9</v>
      </c>
      <c r="F1208" s="116">
        <v>713.4</v>
      </c>
      <c r="G1208">
        <v>24502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43789</v>
      </c>
      <c r="B1209" s="116">
        <v>719</v>
      </c>
      <c r="C1209" s="116">
        <v>708.15</v>
      </c>
      <c r="D1209" s="116">
        <v>703.95</v>
      </c>
      <c r="E1209" s="116">
        <v>712.65</v>
      </c>
      <c r="F1209" s="116">
        <v>708.15</v>
      </c>
      <c r="G1209">
        <v>33163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43790</v>
      </c>
      <c r="B1210" s="116">
        <v>708.25</v>
      </c>
      <c r="C1210" s="116">
        <v>703.6</v>
      </c>
      <c r="D1210" s="116">
        <v>700.25</v>
      </c>
      <c r="E1210" s="116">
        <v>708.2</v>
      </c>
      <c r="F1210" s="116">
        <v>703.6</v>
      </c>
      <c r="G1210">
        <v>20039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43791</v>
      </c>
      <c r="B1211" s="116">
        <v>706.15</v>
      </c>
      <c r="C1211" s="116">
        <v>694.05</v>
      </c>
      <c r="D1211" s="116">
        <v>689</v>
      </c>
      <c r="E1211" s="116">
        <v>705</v>
      </c>
      <c r="F1211" s="116">
        <v>694.05</v>
      </c>
      <c r="G1211">
        <v>50172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43794</v>
      </c>
      <c r="B1212" s="116">
        <v>705</v>
      </c>
      <c r="C1212" s="116">
        <v>702.1</v>
      </c>
      <c r="D1212" s="116">
        <v>689.95</v>
      </c>
      <c r="E1212" s="116">
        <v>698.9</v>
      </c>
      <c r="F1212" s="116">
        <v>702.1</v>
      </c>
      <c r="G1212">
        <v>22667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43795</v>
      </c>
      <c r="B1213" s="116">
        <v>708.55</v>
      </c>
      <c r="C1213" s="116">
        <v>701.5</v>
      </c>
      <c r="D1213" s="116">
        <v>699</v>
      </c>
      <c r="E1213" s="116">
        <v>703</v>
      </c>
      <c r="F1213" s="116">
        <v>701.5</v>
      </c>
      <c r="G1213">
        <v>40843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43796</v>
      </c>
      <c r="B1214" s="116">
        <v>713.95</v>
      </c>
      <c r="C1214" s="116">
        <v>702.1</v>
      </c>
      <c r="D1214" s="116">
        <v>692.9</v>
      </c>
      <c r="E1214" s="116">
        <v>713.95</v>
      </c>
      <c r="F1214" s="116">
        <v>702.1</v>
      </c>
      <c r="G1214">
        <v>144893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43797</v>
      </c>
      <c r="B1215" s="116">
        <v>714</v>
      </c>
      <c r="C1215" s="116">
        <v>710.3</v>
      </c>
      <c r="D1215" s="116">
        <v>697.85</v>
      </c>
      <c r="E1215" s="116">
        <v>703.35</v>
      </c>
      <c r="F1215" s="116">
        <v>710.3</v>
      </c>
      <c r="G1215">
        <v>27807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43798</v>
      </c>
      <c r="B1216" s="116">
        <v>712.4</v>
      </c>
      <c r="C1216" s="116">
        <v>700.5</v>
      </c>
      <c r="D1216" s="116">
        <v>698.6</v>
      </c>
      <c r="E1216" s="116">
        <v>707.95</v>
      </c>
      <c r="F1216" s="116">
        <v>700.5</v>
      </c>
      <c r="G1216">
        <v>17376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43801</v>
      </c>
      <c r="B1217" s="116">
        <v>700.05</v>
      </c>
      <c r="C1217" s="116">
        <v>694.75</v>
      </c>
      <c r="D1217" s="116">
        <v>689.55</v>
      </c>
      <c r="E1217" s="116">
        <v>699.8</v>
      </c>
      <c r="F1217" s="116">
        <v>694.75</v>
      </c>
      <c r="G1217">
        <v>17793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43802</v>
      </c>
      <c r="B1218" s="116">
        <v>701.75</v>
      </c>
      <c r="C1218" s="116">
        <v>689.35</v>
      </c>
      <c r="D1218" s="116">
        <v>687.1</v>
      </c>
      <c r="E1218" s="116">
        <v>695</v>
      </c>
      <c r="F1218" s="116">
        <v>689.35</v>
      </c>
      <c r="G1218">
        <v>17114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43803</v>
      </c>
      <c r="B1219" s="116">
        <v>695.3</v>
      </c>
      <c r="C1219" s="116">
        <v>693.45</v>
      </c>
      <c r="D1219" s="116">
        <v>684.5</v>
      </c>
      <c r="E1219" s="116">
        <v>690</v>
      </c>
      <c r="F1219" s="116">
        <v>693.45</v>
      </c>
      <c r="G1219">
        <v>22928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43804</v>
      </c>
      <c r="B1220" s="116">
        <v>706.9</v>
      </c>
      <c r="C1220" s="116">
        <v>696.05</v>
      </c>
      <c r="D1220" s="116">
        <v>691</v>
      </c>
      <c r="E1220" s="116">
        <v>695</v>
      </c>
      <c r="F1220" s="116">
        <v>696.05</v>
      </c>
      <c r="G1220">
        <v>56035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43805</v>
      </c>
      <c r="B1221" s="116">
        <v>695.6</v>
      </c>
      <c r="C1221" s="116">
        <v>689.65</v>
      </c>
      <c r="D1221" s="116">
        <v>674.5</v>
      </c>
      <c r="E1221" s="116">
        <v>695.6</v>
      </c>
      <c r="F1221" s="116">
        <v>689.65</v>
      </c>
      <c r="G1221">
        <v>71479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43808</v>
      </c>
      <c r="B1222" s="116">
        <v>691</v>
      </c>
      <c r="C1222" s="116">
        <v>679.4</v>
      </c>
      <c r="D1222" s="116">
        <v>677.85</v>
      </c>
      <c r="E1222" s="116">
        <v>690</v>
      </c>
      <c r="F1222" s="116">
        <v>679.4</v>
      </c>
      <c r="G1222">
        <v>19992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43809</v>
      </c>
      <c r="B1223" s="116">
        <v>685.5</v>
      </c>
      <c r="C1223" s="116">
        <v>679.7</v>
      </c>
      <c r="D1223" s="116">
        <v>675.5</v>
      </c>
      <c r="E1223" s="116">
        <v>679.5</v>
      </c>
      <c r="F1223" s="116">
        <v>679.7</v>
      </c>
      <c r="G1223">
        <v>19083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43810</v>
      </c>
      <c r="B1224" s="116">
        <v>682.2</v>
      </c>
      <c r="C1224" s="116">
        <v>680.35</v>
      </c>
      <c r="D1224" s="116">
        <v>670.95</v>
      </c>
      <c r="E1224" s="116">
        <v>680</v>
      </c>
      <c r="F1224" s="116">
        <v>680.35</v>
      </c>
      <c r="G1224">
        <v>30712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43811</v>
      </c>
      <c r="B1225" s="116">
        <v>695.6</v>
      </c>
      <c r="C1225" s="116">
        <v>692.6</v>
      </c>
      <c r="D1225" s="116">
        <v>680</v>
      </c>
      <c r="E1225" s="116">
        <v>680</v>
      </c>
      <c r="F1225" s="116">
        <v>692.6</v>
      </c>
      <c r="G1225">
        <v>30152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43812</v>
      </c>
      <c r="B1226" s="116">
        <v>698.95</v>
      </c>
      <c r="C1226" s="116">
        <v>679.45</v>
      </c>
      <c r="D1226" s="116">
        <v>672.8</v>
      </c>
      <c r="E1226" s="116">
        <v>698.95</v>
      </c>
      <c r="F1226" s="116">
        <v>679.45</v>
      </c>
      <c r="G1226">
        <v>54153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43815</v>
      </c>
      <c r="B1227" s="116">
        <v>690.3</v>
      </c>
      <c r="C1227" s="116">
        <v>678.95</v>
      </c>
      <c r="D1227" s="116">
        <v>676.45</v>
      </c>
      <c r="E1227" s="116">
        <v>682.25</v>
      </c>
      <c r="F1227" s="116">
        <v>678.95</v>
      </c>
      <c r="G1227">
        <v>44441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43816</v>
      </c>
      <c r="B1228" s="116">
        <v>680.75</v>
      </c>
      <c r="C1228" s="116">
        <v>669.1</v>
      </c>
      <c r="D1228" s="116">
        <v>666.65</v>
      </c>
      <c r="E1228" s="116">
        <v>678.7</v>
      </c>
      <c r="F1228" s="116">
        <v>669.1</v>
      </c>
      <c r="G1228">
        <v>36158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43817</v>
      </c>
      <c r="B1229" s="116">
        <v>672.95</v>
      </c>
      <c r="C1229" s="116">
        <v>654</v>
      </c>
      <c r="D1229" s="116">
        <v>649.15</v>
      </c>
      <c r="E1229" s="116">
        <v>672.95</v>
      </c>
      <c r="F1229" s="116">
        <v>654</v>
      </c>
      <c r="G1229">
        <v>41829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43818</v>
      </c>
      <c r="B1230" s="116">
        <v>661.8</v>
      </c>
      <c r="C1230" s="116">
        <v>656.05</v>
      </c>
      <c r="D1230" s="116">
        <v>651.79999999999995</v>
      </c>
      <c r="E1230" s="116">
        <v>659.85</v>
      </c>
      <c r="F1230" s="116">
        <v>656.05</v>
      </c>
      <c r="G1230">
        <v>20926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43819</v>
      </c>
      <c r="B1231" s="116">
        <v>661.2</v>
      </c>
      <c r="C1231" s="116">
        <v>650.5</v>
      </c>
      <c r="D1231" s="116">
        <v>648</v>
      </c>
      <c r="E1231" s="116">
        <v>655</v>
      </c>
      <c r="F1231" s="116">
        <v>650.5</v>
      </c>
      <c r="G1231">
        <v>22386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43822</v>
      </c>
      <c r="B1232" s="116">
        <v>656.55</v>
      </c>
      <c r="C1232" s="116">
        <v>654.5</v>
      </c>
      <c r="D1232" s="116">
        <v>638.95000000000005</v>
      </c>
      <c r="E1232" s="116">
        <v>650.75</v>
      </c>
      <c r="F1232" s="116">
        <v>654.5</v>
      </c>
      <c r="G1232">
        <v>716167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43823</v>
      </c>
      <c r="B1233" s="116">
        <v>659</v>
      </c>
      <c r="C1233" s="116">
        <v>651.6</v>
      </c>
      <c r="D1233" s="116">
        <v>650.15</v>
      </c>
      <c r="E1233" s="116">
        <v>656.7</v>
      </c>
      <c r="F1233" s="116">
        <v>651.6</v>
      </c>
      <c r="G1233">
        <v>51268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43825</v>
      </c>
      <c r="B1234" s="116">
        <v>654.75</v>
      </c>
      <c r="C1234" s="116">
        <v>651.6</v>
      </c>
      <c r="D1234" s="116">
        <v>645.5</v>
      </c>
      <c r="E1234" s="116">
        <v>651.5</v>
      </c>
      <c r="F1234" s="116">
        <v>651.6</v>
      </c>
      <c r="G1234">
        <v>16753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43826</v>
      </c>
      <c r="B1235" s="116">
        <v>655.25</v>
      </c>
      <c r="C1235" s="116">
        <v>649</v>
      </c>
      <c r="D1235" s="116">
        <v>646.6</v>
      </c>
      <c r="E1235" s="116">
        <v>651.6</v>
      </c>
      <c r="F1235" s="116">
        <v>649</v>
      </c>
      <c r="G1235">
        <v>34592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43829</v>
      </c>
      <c r="B1236" s="116">
        <v>663.1</v>
      </c>
      <c r="C1236" s="116">
        <v>659.45</v>
      </c>
      <c r="D1236" s="116">
        <v>648</v>
      </c>
      <c r="E1236" s="116">
        <v>649</v>
      </c>
      <c r="F1236" s="116">
        <v>659.45</v>
      </c>
      <c r="G1236">
        <v>96697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43830</v>
      </c>
      <c r="B1237" s="116">
        <v>663.4</v>
      </c>
      <c r="C1237" s="116">
        <v>659.3</v>
      </c>
      <c r="D1237" s="116">
        <v>656.1</v>
      </c>
      <c r="E1237" s="116">
        <v>663.4</v>
      </c>
      <c r="F1237" s="116">
        <v>659.3</v>
      </c>
      <c r="G1237">
        <v>41822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43831</v>
      </c>
      <c r="B1238" s="116">
        <v>662.5</v>
      </c>
      <c r="C1238" s="116">
        <v>653.15</v>
      </c>
      <c r="D1238" s="116">
        <v>648.15</v>
      </c>
      <c r="E1238" s="116">
        <v>648.15</v>
      </c>
      <c r="F1238" s="116">
        <v>653.15</v>
      </c>
      <c r="G1238">
        <v>29022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43832</v>
      </c>
      <c r="B1239" s="116">
        <v>660.75</v>
      </c>
      <c r="C1239" s="116">
        <v>659.25</v>
      </c>
      <c r="D1239" s="116">
        <v>647.65</v>
      </c>
      <c r="E1239" s="116">
        <v>652.5</v>
      </c>
      <c r="F1239" s="116">
        <v>659.25</v>
      </c>
      <c r="G1239">
        <v>18484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43833</v>
      </c>
      <c r="B1240" s="116">
        <v>665.35</v>
      </c>
      <c r="C1240" s="116">
        <v>663.95</v>
      </c>
      <c r="D1240" s="116">
        <v>657</v>
      </c>
      <c r="E1240" s="116">
        <v>661</v>
      </c>
      <c r="F1240" s="116">
        <v>663.95</v>
      </c>
      <c r="G1240">
        <v>20587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43836</v>
      </c>
      <c r="B1241" s="116">
        <v>660.15</v>
      </c>
      <c r="C1241" s="116">
        <v>650.20000000000005</v>
      </c>
      <c r="D1241" s="116">
        <v>646.85</v>
      </c>
      <c r="E1241" s="116">
        <v>660.15</v>
      </c>
      <c r="F1241" s="116">
        <v>650.20000000000005</v>
      </c>
      <c r="G1241">
        <v>19890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43837</v>
      </c>
      <c r="B1242" s="116">
        <v>660.15</v>
      </c>
      <c r="C1242" s="116">
        <v>654.25</v>
      </c>
      <c r="D1242" s="116">
        <v>650.45000000000005</v>
      </c>
      <c r="E1242" s="116">
        <v>652</v>
      </c>
      <c r="F1242" s="116">
        <v>654.25</v>
      </c>
      <c r="G1242">
        <v>12383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43838</v>
      </c>
      <c r="B1243" s="116">
        <v>654</v>
      </c>
      <c r="C1243" s="116">
        <v>651.1</v>
      </c>
      <c r="D1243" s="116">
        <v>648.29999999999995</v>
      </c>
      <c r="E1243" s="116">
        <v>654</v>
      </c>
      <c r="F1243" s="116">
        <v>651.1</v>
      </c>
      <c r="G1243">
        <v>13258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43839</v>
      </c>
      <c r="B1244" s="116">
        <v>685.6</v>
      </c>
      <c r="C1244" s="116">
        <v>684.2</v>
      </c>
      <c r="D1244" s="116">
        <v>655.7</v>
      </c>
      <c r="E1244" s="116">
        <v>658.7</v>
      </c>
      <c r="F1244" s="116">
        <v>684.2</v>
      </c>
      <c r="G1244">
        <v>55274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43840</v>
      </c>
      <c r="B1245" s="116">
        <v>691.5</v>
      </c>
      <c r="C1245" s="116">
        <v>687.4</v>
      </c>
      <c r="D1245" s="116">
        <v>682.45</v>
      </c>
      <c r="E1245" s="116">
        <v>686</v>
      </c>
      <c r="F1245" s="116">
        <v>687.4</v>
      </c>
      <c r="G1245">
        <v>25163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43843</v>
      </c>
      <c r="B1246" s="116">
        <v>695</v>
      </c>
      <c r="C1246" s="116">
        <v>693.55</v>
      </c>
      <c r="D1246" s="116">
        <v>686.5</v>
      </c>
      <c r="E1246" s="116">
        <v>687.45</v>
      </c>
      <c r="F1246" s="116">
        <v>693.55</v>
      </c>
      <c r="G1246">
        <v>15919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43844</v>
      </c>
      <c r="B1247" s="116">
        <v>700.3</v>
      </c>
      <c r="C1247" s="116">
        <v>693</v>
      </c>
      <c r="D1247" s="116">
        <v>691.5</v>
      </c>
      <c r="E1247" s="116">
        <v>695</v>
      </c>
      <c r="F1247" s="116">
        <v>693</v>
      </c>
      <c r="G1247">
        <v>39123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43845</v>
      </c>
      <c r="B1248" s="116">
        <v>697.85</v>
      </c>
      <c r="C1248" s="116">
        <v>695.7</v>
      </c>
      <c r="D1248" s="116">
        <v>684</v>
      </c>
      <c r="E1248" s="116">
        <v>692.35</v>
      </c>
      <c r="F1248" s="116">
        <v>695.7</v>
      </c>
      <c r="G1248">
        <v>9963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43846</v>
      </c>
      <c r="B1249" s="116">
        <v>711.9</v>
      </c>
      <c r="C1249" s="116">
        <v>700.85</v>
      </c>
      <c r="D1249" s="116">
        <v>695.5</v>
      </c>
      <c r="E1249" s="116">
        <v>695.5</v>
      </c>
      <c r="F1249" s="116">
        <v>700.85</v>
      </c>
      <c r="G1249">
        <v>34156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43847</v>
      </c>
      <c r="B1250" s="116">
        <v>712.8</v>
      </c>
      <c r="C1250" s="116">
        <v>705.05</v>
      </c>
      <c r="D1250" s="116">
        <v>698.35</v>
      </c>
      <c r="E1250" s="116">
        <v>698.9</v>
      </c>
      <c r="F1250" s="116">
        <v>705.05</v>
      </c>
      <c r="G1250">
        <v>28938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43850</v>
      </c>
      <c r="B1251" s="116">
        <v>715</v>
      </c>
      <c r="C1251" s="116">
        <v>700.75</v>
      </c>
      <c r="D1251" s="116">
        <v>696.5</v>
      </c>
      <c r="E1251" s="116">
        <v>708.4</v>
      </c>
      <c r="F1251" s="116">
        <v>700.75</v>
      </c>
      <c r="G1251">
        <v>19809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43851</v>
      </c>
      <c r="B1252" s="116">
        <v>704.65</v>
      </c>
      <c r="C1252" s="116">
        <v>702.5</v>
      </c>
      <c r="D1252" s="116">
        <v>696.05</v>
      </c>
      <c r="E1252" s="116">
        <v>697.6</v>
      </c>
      <c r="F1252" s="116">
        <v>702.5</v>
      </c>
      <c r="G1252">
        <v>22169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43852</v>
      </c>
      <c r="B1253" s="116">
        <v>705.05</v>
      </c>
      <c r="C1253" s="116">
        <v>695.1</v>
      </c>
      <c r="D1253" s="116">
        <v>692.5</v>
      </c>
      <c r="E1253" s="116">
        <v>705</v>
      </c>
      <c r="F1253" s="116">
        <v>695.1</v>
      </c>
      <c r="G1253">
        <v>203068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43853</v>
      </c>
      <c r="B1254" s="116">
        <v>717.7</v>
      </c>
      <c r="C1254" s="116">
        <v>713.4</v>
      </c>
      <c r="D1254" s="116">
        <v>695</v>
      </c>
      <c r="E1254" s="116">
        <v>695</v>
      </c>
      <c r="F1254" s="116">
        <v>713.4</v>
      </c>
      <c r="G1254">
        <v>47472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43854</v>
      </c>
      <c r="B1255" s="116">
        <v>731.05</v>
      </c>
      <c r="C1255" s="116">
        <v>723.8</v>
      </c>
      <c r="D1255" s="116">
        <v>704.8</v>
      </c>
      <c r="E1255" s="116">
        <v>704.8</v>
      </c>
      <c r="F1255" s="116">
        <v>723.8</v>
      </c>
      <c r="G1255">
        <v>47114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43857</v>
      </c>
      <c r="B1256" s="116">
        <v>725.05</v>
      </c>
      <c r="C1256" s="116">
        <v>710.25</v>
      </c>
      <c r="D1256" s="116">
        <v>707.6</v>
      </c>
      <c r="E1256" s="116">
        <v>725</v>
      </c>
      <c r="F1256" s="116">
        <v>710.25</v>
      </c>
      <c r="G1256">
        <v>43730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43858</v>
      </c>
      <c r="B1257" s="116">
        <v>722.5</v>
      </c>
      <c r="C1257" s="116">
        <v>715.85</v>
      </c>
      <c r="D1257" s="116">
        <v>710</v>
      </c>
      <c r="E1257" s="116">
        <v>710</v>
      </c>
      <c r="F1257" s="116">
        <v>715.85</v>
      </c>
      <c r="G1257">
        <v>27332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43859</v>
      </c>
      <c r="B1258" s="116">
        <v>718.4</v>
      </c>
      <c r="C1258" s="116">
        <v>707.8</v>
      </c>
      <c r="D1258" s="116">
        <v>706</v>
      </c>
      <c r="E1258" s="116">
        <v>715.85</v>
      </c>
      <c r="F1258" s="116">
        <v>707.8</v>
      </c>
      <c r="G1258">
        <v>12160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43860</v>
      </c>
      <c r="B1259" s="116">
        <v>707.25</v>
      </c>
      <c r="C1259" s="116">
        <v>697.65</v>
      </c>
      <c r="D1259" s="116">
        <v>691.65</v>
      </c>
      <c r="E1259" s="116">
        <v>700.15</v>
      </c>
      <c r="F1259" s="116">
        <v>697.65</v>
      </c>
      <c r="G1259">
        <v>21082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43861</v>
      </c>
      <c r="B1260" s="116">
        <v>708.65</v>
      </c>
      <c r="C1260" s="116">
        <v>695.05</v>
      </c>
      <c r="D1260" s="116">
        <v>691.55</v>
      </c>
      <c r="E1260" s="116">
        <v>702.35</v>
      </c>
      <c r="F1260" s="116">
        <v>695.05</v>
      </c>
      <c r="G1260">
        <v>14272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43862</v>
      </c>
      <c r="B1261" s="116">
        <v>708.25</v>
      </c>
      <c r="C1261" s="116">
        <v>684.55</v>
      </c>
      <c r="D1261" s="116">
        <v>677.8</v>
      </c>
      <c r="E1261" s="116">
        <v>695.75</v>
      </c>
      <c r="F1261" s="116">
        <v>684.55</v>
      </c>
      <c r="G1261">
        <v>37497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43864</v>
      </c>
      <c r="B1262" s="116">
        <v>697.65</v>
      </c>
      <c r="C1262" s="116">
        <v>690.15</v>
      </c>
      <c r="D1262" s="116">
        <v>680</v>
      </c>
      <c r="E1262" s="116">
        <v>683.05</v>
      </c>
      <c r="F1262" s="116">
        <v>690.15</v>
      </c>
      <c r="G1262">
        <v>21005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43865</v>
      </c>
      <c r="B1263" s="116">
        <v>702.25</v>
      </c>
      <c r="C1263" s="116">
        <v>699.75</v>
      </c>
      <c r="D1263" s="116">
        <v>682.1</v>
      </c>
      <c r="E1263" s="116">
        <v>697.65</v>
      </c>
      <c r="F1263" s="116">
        <v>699.75</v>
      </c>
      <c r="G1263">
        <v>32423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43866</v>
      </c>
      <c r="B1264" s="116">
        <v>715.3</v>
      </c>
      <c r="C1264" s="116">
        <v>694.3</v>
      </c>
      <c r="D1264" s="116">
        <v>688.15</v>
      </c>
      <c r="E1264" s="116">
        <v>707.4</v>
      </c>
      <c r="F1264" s="116">
        <v>694.3</v>
      </c>
      <c r="G1264">
        <v>34723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43867</v>
      </c>
      <c r="B1265" s="116">
        <v>694.8</v>
      </c>
      <c r="C1265" s="116">
        <v>683.5</v>
      </c>
      <c r="D1265" s="116">
        <v>678</v>
      </c>
      <c r="E1265" s="116">
        <v>694.4</v>
      </c>
      <c r="F1265" s="116">
        <v>683.5</v>
      </c>
      <c r="G1265">
        <v>50751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43868</v>
      </c>
      <c r="B1266" s="116">
        <v>707.5</v>
      </c>
      <c r="C1266" s="116">
        <v>701.6</v>
      </c>
      <c r="D1266" s="116">
        <v>671.95</v>
      </c>
      <c r="E1266" s="116">
        <v>683</v>
      </c>
      <c r="F1266" s="116">
        <v>701.6</v>
      </c>
      <c r="G1266">
        <v>210310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43871</v>
      </c>
      <c r="B1267" s="116">
        <v>699</v>
      </c>
      <c r="C1267" s="116">
        <v>681.35</v>
      </c>
      <c r="D1267" s="116">
        <v>667.3</v>
      </c>
      <c r="E1267" s="116">
        <v>699</v>
      </c>
      <c r="F1267" s="116">
        <v>681.35</v>
      </c>
      <c r="G1267">
        <v>59929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43872</v>
      </c>
      <c r="B1268" s="116">
        <v>705.6</v>
      </c>
      <c r="C1268" s="116">
        <v>683.05</v>
      </c>
      <c r="D1268" s="116">
        <v>681.05</v>
      </c>
      <c r="E1268" s="116">
        <v>689</v>
      </c>
      <c r="F1268" s="116">
        <v>683.05</v>
      </c>
      <c r="G1268">
        <v>47635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43873</v>
      </c>
      <c r="B1269" s="116">
        <v>687.6</v>
      </c>
      <c r="C1269" s="116">
        <v>682.1</v>
      </c>
      <c r="D1269" s="116">
        <v>677.8</v>
      </c>
      <c r="E1269" s="116">
        <v>685.25</v>
      </c>
      <c r="F1269" s="116">
        <v>682.1</v>
      </c>
      <c r="G1269">
        <v>13426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43874</v>
      </c>
      <c r="B1270" s="116">
        <v>688.95</v>
      </c>
      <c r="C1270" s="116">
        <v>685.75</v>
      </c>
      <c r="D1270" s="116">
        <v>677.25</v>
      </c>
      <c r="E1270" s="116">
        <v>683.8</v>
      </c>
      <c r="F1270" s="116">
        <v>685.75</v>
      </c>
      <c r="G1270">
        <v>14678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43875</v>
      </c>
      <c r="B1271" s="116">
        <v>692.1</v>
      </c>
      <c r="C1271" s="116">
        <v>688.1</v>
      </c>
      <c r="D1271" s="116">
        <v>683.9</v>
      </c>
      <c r="E1271" s="116">
        <v>688.25</v>
      </c>
      <c r="F1271" s="116">
        <v>688.1</v>
      </c>
      <c r="G1271">
        <v>9669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43878</v>
      </c>
      <c r="B1272" s="116">
        <v>704.55</v>
      </c>
      <c r="C1272" s="116">
        <v>694.9</v>
      </c>
      <c r="D1272" s="116">
        <v>683.55</v>
      </c>
      <c r="E1272" s="116">
        <v>688</v>
      </c>
      <c r="F1272" s="116">
        <v>694.9</v>
      </c>
      <c r="G1272">
        <v>53560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43879</v>
      </c>
      <c r="B1273" s="116">
        <v>700.7</v>
      </c>
      <c r="C1273" s="116">
        <v>693.85</v>
      </c>
      <c r="D1273" s="116">
        <v>684.65</v>
      </c>
      <c r="E1273" s="116">
        <v>694</v>
      </c>
      <c r="F1273" s="116">
        <v>693.85</v>
      </c>
      <c r="G1273">
        <v>42825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43880</v>
      </c>
      <c r="B1274" s="116">
        <v>737</v>
      </c>
      <c r="C1274" s="116">
        <v>733.35</v>
      </c>
      <c r="D1274" s="116">
        <v>700</v>
      </c>
      <c r="E1274" s="116">
        <v>700</v>
      </c>
      <c r="F1274" s="116">
        <v>733.35</v>
      </c>
      <c r="G1274">
        <v>111478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43881</v>
      </c>
      <c r="B1275" s="116">
        <v>740.5</v>
      </c>
      <c r="C1275" s="116">
        <v>725.15</v>
      </c>
      <c r="D1275" s="116">
        <v>721</v>
      </c>
      <c r="E1275" s="116">
        <v>734</v>
      </c>
      <c r="F1275" s="116">
        <v>725.15</v>
      </c>
      <c r="G1275">
        <v>70054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43885</v>
      </c>
      <c r="B1276" s="116">
        <v>733.85</v>
      </c>
      <c r="C1276" s="116">
        <v>718.4</v>
      </c>
      <c r="D1276" s="116">
        <v>715.75</v>
      </c>
      <c r="E1276" s="116">
        <v>720</v>
      </c>
      <c r="F1276" s="116">
        <v>718.4</v>
      </c>
      <c r="G1276">
        <v>45384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43886</v>
      </c>
      <c r="B1277" s="116">
        <v>731.3</v>
      </c>
      <c r="C1277" s="116">
        <v>703.2</v>
      </c>
      <c r="D1277" s="116">
        <v>701.55</v>
      </c>
      <c r="E1277" s="116">
        <v>720.05</v>
      </c>
      <c r="F1277" s="116">
        <v>703.2</v>
      </c>
      <c r="G1277">
        <v>45253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43887</v>
      </c>
      <c r="B1278" s="116">
        <v>704.45</v>
      </c>
      <c r="C1278" s="116">
        <v>691.65</v>
      </c>
      <c r="D1278" s="116">
        <v>685.3</v>
      </c>
      <c r="E1278" s="116">
        <v>703</v>
      </c>
      <c r="F1278" s="116">
        <v>691.65</v>
      </c>
      <c r="G1278">
        <v>26958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43888</v>
      </c>
      <c r="B1279" s="116">
        <v>696</v>
      </c>
      <c r="C1279" s="116">
        <v>685.1</v>
      </c>
      <c r="D1279" s="116">
        <v>680</v>
      </c>
      <c r="E1279" s="116">
        <v>695.75</v>
      </c>
      <c r="F1279" s="116">
        <v>685.1</v>
      </c>
      <c r="G1279">
        <v>24452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43889</v>
      </c>
      <c r="B1280" s="116">
        <v>685.2</v>
      </c>
      <c r="C1280" s="116">
        <v>678.95</v>
      </c>
      <c r="D1280" s="116">
        <v>656.6</v>
      </c>
      <c r="E1280" s="116">
        <v>679</v>
      </c>
      <c r="F1280" s="116">
        <v>678.95</v>
      </c>
      <c r="G1280">
        <v>43202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43892</v>
      </c>
      <c r="B1281" s="116">
        <v>692.5</v>
      </c>
      <c r="C1281" s="116">
        <v>663.2</v>
      </c>
      <c r="D1281" s="116">
        <v>655.4</v>
      </c>
      <c r="E1281" s="116">
        <v>678.1</v>
      </c>
      <c r="F1281" s="116">
        <v>663.2</v>
      </c>
      <c r="G1281">
        <v>121322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43893</v>
      </c>
      <c r="B1282" s="116">
        <v>695</v>
      </c>
      <c r="C1282" s="116">
        <v>691.65</v>
      </c>
      <c r="D1282" s="116">
        <v>665.75</v>
      </c>
      <c r="E1282" s="116">
        <v>666</v>
      </c>
      <c r="F1282" s="116">
        <v>691.65</v>
      </c>
      <c r="G1282">
        <v>56040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43894</v>
      </c>
      <c r="B1283" s="116">
        <v>697.95</v>
      </c>
      <c r="C1283" s="116">
        <v>685.95</v>
      </c>
      <c r="D1283" s="116">
        <v>668.8</v>
      </c>
      <c r="E1283" s="116">
        <v>697.95</v>
      </c>
      <c r="F1283" s="116">
        <v>685.95</v>
      </c>
      <c r="G1283">
        <v>28119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43895</v>
      </c>
      <c r="B1284" s="116">
        <v>697</v>
      </c>
      <c r="C1284" s="116">
        <v>688.8</v>
      </c>
      <c r="D1284" s="116">
        <v>676</v>
      </c>
      <c r="E1284" s="116">
        <v>690</v>
      </c>
      <c r="F1284" s="116">
        <v>688.8</v>
      </c>
      <c r="G1284">
        <v>41937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43896</v>
      </c>
      <c r="B1285" s="116">
        <v>682</v>
      </c>
      <c r="C1285" s="116">
        <v>673.2</v>
      </c>
      <c r="D1285" s="116">
        <v>657.75</v>
      </c>
      <c r="E1285" s="116">
        <v>682</v>
      </c>
      <c r="F1285" s="116">
        <v>673.2</v>
      </c>
      <c r="G1285">
        <v>36777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43899</v>
      </c>
      <c r="B1286" s="116">
        <v>664.95</v>
      </c>
      <c r="C1286" s="116">
        <v>645.75</v>
      </c>
      <c r="D1286" s="116">
        <v>634.79999999999995</v>
      </c>
      <c r="E1286" s="116">
        <v>664.95</v>
      </c>
      <c r="F1286" s="116">
        <v>645.75</v>
      </c>
      <c r="G1286">
        <v>54454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43901</v>
      </c>
      <c r="B1287" s="116">
        <v>655</v>
      </c>
      <c r="C1287" s="116">
        <v>640.79999999999995</v>
      </c>
      <c r="D1287" s="116">
        <v>634.9</v>
      </c>
      <c r="E1287" s="116">
        <v>650</v>
      </c>
      <c r="F1287" s="116">
        <v>640.79999999999995</v>
      </c>
      <c r="G1287">
        <v>24770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43902</v>
      </c>
      <c r="B1288" s="116">
        <v>638</v>
      </c>
      <c r="C1288" s="116">
        <v>618.9</v>
      </c>
      <c r="D1288" s="116">
        <v>587.5</v>
      </c>
      <c r="E1288" s="116">
        <v>638</v>
      </c>
      <c r="F1288" s="116">
        <v>618.9</v>
      </c>
      <c r="G1288">
        <v>55074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43903</v>
      </c>
      <c r="B1289" s="116">
        <v>663.45</v>
      </c>
      <c r="C1289" s="116">
        <v>656.5</v>
      </c>
      <c r="D1289" s="116">
        <v>560</v>
      </c>
      <c r="E1289" s="116">
        <v>577</v>
      </c>
      <c r="F1289" s="116">
        <v>656.5</v>
      </c>
      <c r="G1289">
        <v>83261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43906</v>
      </c>
      <c r="B1290" s="116">
        <v>633.20000000000005</v>
      </c>
      <c r="C1290" s="116">
        <v>603.15</v>
      </c>
      <c r="D1290" s="116">
        <v>599</v>
      </c>
      <c r="E1290" s="116">
        <v>630</v>
      </c>
      <c r="F1290" s="116">
        <v>603.15</v>
      </c>
      <c r="G1290">
        <v>42317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43907</v>
      </c>
      <c r="B1291" s="116">
        <v>626.04999999999995</v>
      </c>
      <c r="C1291" s="116">
        <v>595</v>
      </c>
      <c r="D1291" s="116">
        <v>590.79999999999995</v>
      </c>
      <c r="E1291" s="116">
        <v>615.25</v>
      </c>
      <c r="F1291" s="116">
        <v>595</v>
      </c>
      <c r="G1291">
        <v>45013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43908</v>
      </c>
      <c r="B1292" s="116">
        <v>607.85</v>
      </c>
      <c r="C1292" s="116">
        <v>576.45000000000005</v>
      </c>
      <c r="D1292" s="116">
        <v>571</v>
      </c>
      <c r="E1292" s="116">
        <v>605</v>
      </c>
      <c r="F1292" s="116">
        <v>576.45000000000005</v>
      </c>
      <c r="G1292">
        <v>22307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43909</v>
      </c>
      <c r="B1293" s="116">
        <v>566</v>
      </c>
      <c r="C1293" s="116">
        <v>547.65</v>
      </c>
      <c r="D1293" s="116">
        <v>528</v>
      </c>
      <c r="E1293" s="116">
        <v>548.5</v>
      </c>
      <c r="F1293" s="116">
        <v>547.65</v>
      </c>
      <c r="G1293">
        <v>53046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43910</v>
      </c>
      <c r="B1294" s="116">
        <v>585.20000000000005</v>
      </c>
      <c r="C1294" s="116">
        <v>566.29999999999995</v>
      </c>
      <c r="D1294" s="116">
        <v>547.65</v>
      </c>
      <c r="E1294" s="116">
        <v>547.65</v>
      </c>
      <c r="F1294" s="116">
        <v>566.29999999999995</v>
      </c>
      <c r="G1294">
        <v>38581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43913</v>
      </c>
      <c r="B1295" s="116">
        <v>540</v>
      </c>
      <c r="C1295" s="116">
        <v>489.35</v>
      </c>
      <c r="D1295" s="116">
        <v>476.85</v>
      </c>
      <c r="E1295" s="116">
        <v>540</v>
      </c>
      <c r="F1295" s="116">
        <v>489.35</v>
      </c>
      <c r="G1295">
        <v>34285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43914</v>
      </c>
      <c r="B1296" s="116">
        <v>525.95000000000005</v>
      </c>
      <c r="C1296" s="116">
        <v>479.2</v>
      </c>
      <c r="D1296" s="116">
        <v>474</v>
      </c>
      <c r="E1296" s="116">
        <v>512</v>
      </c>
      <c r="F1296" s="116">
        <v>479.2</v>
      </c>
      <c r="G1296">
        <v>38143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43915</v>
      </c>
      <c r="B1297" s="116">
        <v>502.75</v>
      </c>
      <c r="C1297" s="116">
        <v>490.9</v>
      </c>
      <c r="D1297" s="116">
        <v>449.2</v>
      </c>
      <c r="E1297" s="116">
        <v>478</v>
      </c>
      <c r="F1297" s="116">
        <v>490.9</v>
      </c>
      <c r="G1297">
        <v>60009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43916</v>
      </c>
      <c r="B1298" s="116">
        <v>522</v>
      </c>
      <c r="C1298" s="116">
        <v>503.5</v>
      </c>
      <c r="D1298" s="116">
        <v>474</v>
      </c>
      <c r="E1298" s="116">
        <v>489</v>
      </c>
      <c r="F1298" s="116">
        <v>503.5</v>
      </c>
      <c r="G1298">
        <v>47699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43917</v>
      </c>
      <c r="B1299" s="116">
        <v>520.9</v>
      </c>
      <c r="C1299" s="116">
        <v>490.45</v>
      </c>
      <c r="D1299" s="116">
        <v>474.5</v>
      </c>
      <c r="E1299" s="116">
        <v>518</v>
      </c>
      <c r="F1299" s="116">
        <v>490.45</v>
      </c>
      <c r="G1299">
        <v>47499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43920</v>
      </c>
      <c r="B1300" s="116">
        <v>490</v>
      </c>
      <c r="C1300" s="116">
        <v>465.65</v>
      </c>
      <c r="D1300" s="116">
        <v>449.5</v>
      </c>
      <c r="E1300" s="116">
        <v>490</v>
      </c>
      <c r="F1300" s="116">
        <v>465.65</v>
      </c>
      <c r="G1300">
        <v>28375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43921</v>
      </c>
      <c r="B1301" s="116">
        <v>492.4</v>
      </c>
      <c r="C1301" s="116">
        <v>478.85</v>
      </c>
      <c r="D1301" s="116">
        <v>464.5</v>
      </c>
      <c r="E1301" s="116">
        <v>484</v>
      </c>
      <c r="F1301" s="116">
        <v>478.85</v>
      </c>
      <c r="G1301">
        <v>26895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43922</v>
      </c>
      <c r="B1302" s="116">
        <v>484.9</v>
      </c>
      <c r="C1302" s="116">
        <v>470.85</v>
      </c>
      <c r="D1302" s="116">
        <v>464.5</v>
      </c>
      <c r="E1302" s="116">
        <v>476.2</v>
      </c>
      <c r="F1302" s="116">
        <v>470.85</v>
      </c>
      <c r="G1302">
        <v>37839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43924</v>
      </c>
      <c r="B1303" s="116">
        <v>479</v>
      </c>
      <c r="C1303" s="116">
        <v>471.4</v>
      </c>
      <c r="D1303" s="116">
        <v>461.25</v>
      </c>
      <c r="E1303" s="116">
        <v>472</v>
      </c>
      <c r="F1303" s="116">
        <v>471.4</v>
      </c>
      <c r="G1303">
        <v>32731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43928</v>
      </c>
      <c r="B1304" s="116">
        <v>501.8</v>
      </c>
      <c r="C1304" s="116">
        <v>485.45</v>
      </c>
      <c r="D1304" s="116">
        <v>478.3</v>
      </c>
      <c r="E1304" s="116">
        <v>480</v>
      </c>
      <c r="F1304" s="116">
        <v>485.45</v>
      </c>
      <c r="G1304">
        <v>65102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43929</v>
      </c>
      <c r="B1305" s="116">
        <v>522.5</v>
      </c>
      <c r="C1305" s="116">
        <v>482.15</v>
      </c>
      <c r="D1305" s="116">
        <v>476</v>
      </c>
      <c r="E1305" s="116">
        <v>484</v>
      </c>
      <c r="F1305" s="116">
        <v>482.15</v>
      </c>
      <c r="G1305">
        <v>83437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43930</v>
      </c>
      <c r="B1306" s="116">
        <v>515</v>
      </c>
      <c r="C1306" s="116">
        <v>509.35</v>
      </c>
      <c r="D1306" s="116">
        <v>481.5</v>
      </c>
      <c r="E1306" s="116">
        <v>492</v>
      </c>
      <c r="F1306" s="116">
        <v>509.35</v>
      </c>
      <c r="G1306">
        <v>105992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43934</v>
      </c>
      <c r="B1307" s="116">
        <v>511.3</v>
      </c>
      <c r="C1307" s="116">
        <v>505.35</v>
      </c>
      <c r="D1307" s="116">
        <v>482.85</v>
      </c>
      <c r="E1307" s="116">
        <v>511.3</v>
      </c>
      <c r="F1307" s="116">
        <v>505.35</v>
      </c>
      <c r="G1307">
        <v>44507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43936</v>
      </c>
      <c r="B1308" s="116">
        <v>538.29999999999995</v>
      </c>
      <c r="C1308" s="116">
        <v>515.5</v>
      </c>
      <c r="D1308" s="116">
        <v>505</v>
      </c>
      <c r="E1308" s="116">
        <v>505</v>
      </c>
      <c r="F1308" s="116">
        <v>515.5</v>
      </c>
      <c r="G1308">
        <v>94752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43937</v>
      </c>
      <c r="B1309" s="116">
        <v>532.5</v>
      </c>
      <c r="C1309" s="116">
        <v>521.4</v>
      </c>
      <c r="D1309" s="116">
        <v>509.8</v>
      </c>
      <c r="E1309" s="116">
        <v>515.5</v>
      </c>
      <c r="F1309" s="116">
        <v>521.4</v>
      </c>
      <c r="G1309">
        <v>78579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43938</v>
      </c>
      <c r="B1310" s="116">
        <v>545.45000000000005</v>
      </c>
      <c r="C1310" s="116">
        <v>523.75</v>
      </c>
      <c r="D1310" s="116">
        <v>515</v>
      </c>
      <c r="E1310" s="116">
        <v>539.95000000000005</v>
      </c>
      <c r="F1310" s="116">
        <v>523.75</v>
      </c>
      <c r="G1310">
        <v>86552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43941</v>
      </c>
      <c r="B1311" s="116">
        <v>530.85</v>
      </c>
      <c r="C1311" s="116">
        <v>522</v>
      </c>
      <c r="D1311" s="116">
        <v>518.5</v>
      </c>
      <c r="E1311" s="116">
        <v>524</v>
      </c>
      <c r="F1311" s="116">
        <v>522</v>
      </c>
      <c r="G1311">
        <v>52509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43942</v>
      </c>
      <c r="B1312" s="116">
        <v>520.04999999999995</v>
      </c>
      <c r="C1312" s="116">
        <v>499.8</v>
      </c>
      <c r="D1312" s="116">
        <v>491.75</v>
      </c>
      <c r="E1312" s="116">
        <v>520.04999999999995</v>
      </c>
      <c r="F1312" s="116">
        <v>499.8</v>
      </c>
      <c r="G1312">
        <v>53179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43943</v>
      </c>
      <c r="B1313" s="116">
        <v>507.15</v>
      </c>
      <c r="C1313" s="116">
        <v>503.55</v>
      </c>
      <c r="D1313" s="116">
        <v>485</v>
      </c>
      <c r="E1313" s="116">
        <v>505</v>
      </c>
      <c r="F1313" s="116">
        <v>503.55</v>
      </c>
      <c r="G1313">
        <v>68064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43944</v>
      </c>
      <c r="B1314" s="116">
        <v>512.9</v>
      </c>
      <c r="C1314" s="116">
        <v>507.7</v>
      </c>
      <c r="D1314" s="116">
        <v>498</v>
      </c>
      <c r="E1314" s="116">
        <v>500</v>
      </c>
      <c r="F1314" s="116">
        <v>507.7</v>
      </c>
      <c r="G1314">
        <v>84131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43945</v>
      </c>
      <c r="B1315" s="116">
        <v>505.25</v>
      </c>
      <c r="C1315" s="116">
        <v>487.5</v>
      </c>
      <c r="D1315" s="116">
        <v>485.3</v>
      </c>
      <c r="E1315" s="116">
        <v>501.5</v>
      </c>
      <c r="F1315" s="116">
        <v>487.5</v>
      </c>
      <c r="G1315">
        <v>61056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43948</v>
      </c>
      <c r="B1316" s="116">
        <v>509</v>
      </c>
      <c r="C1316" s="116">
        <v>490.8</v>
      </c>
      <c r="D1316" s="116">
        <v>485.05</v>
      </c>
      <c r="E1316" s="116">
        <v>509</v>
      </c>
      <c r="F1316" s="116">
        <v>490.8</v>
      </c>
      <c r="G1316">
        <v>27772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43949</v>
      </c>
      <c r="B1317" s="116">
        <v>501.55</v>
      </c>
      <c r="C1317" s="116">
        <v>497.15</v>
      </c>
      <c r="D1317" s="116">
        <v>493.2</v>
      </c>
      <c r="E1317" s="116">
        <v>494.15</v>
      </c>
      <c r="F1317" s="116">
        <v>497.15</v>
      </c>
      <c r="G1317">
        <v>41476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43950</v>
      </c>
      <c r="B1318" s="116">
        <v>498.35</v>
      </c>
      <c r="C1318" s="116">
        <v>491.4</v>
      </c>
      <c r="D1318" s="116">
        <v>489</v>
      </c>
      <c r="E1318" s="116">
        <v>497.5</v>
      </c>
      <c r="F1318" s="116">
        <v>491.4</v>
      </c>
      <c r="G1318">
        <v>47883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43951</v>
      </c>
      <c r="B1319" s="116">
        <v>517.5</v>
      </c>
      <c r="C1319" s="116">
        <v>505.8</v>
      </c>
      <c r="D1319" s="116">
        <v>495</v>
      </c>
      <c r="E1319" s="116">
        <v>495</v>
      </c>
      <c r="F1319" s="116">
        <v>505.8</v>
      </c>
      <c r="G1319">
        <v>59225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43955</v>
      </c>
      <c r="B1320" s="116">
        <v>503</v>
      </c>
      <c r="C1320" s="116">
        <v>466.35</v>
      </c>
      <c r="D1320" s="116">
        <v>461.05</v>
      </c>
      <c r="E1320" s="116">
        <v>503</v>
      </c>
      <c r="F1320" s="116">
        <v>466.35</v>
      </c>
      <c r="G1320">
        <v>84686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43956</v>
      </c>
      <c r="B1321" s="116">
        <v>481.8</v>
      </c>
      <c r="C1321" s="116">
        <v>438.25</v>
      </c>
      <c r="D1321" s="116">
        <v>432.5</v>
      </c>
      <c r="E1321" s="116">
        <v>474.45</v>
      </c>
      <c r="F1321" s="116">
        <v>438.25</v>
      </c>
      <c r="G1321">
        <v>105992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43957</v>
      </c>
      <c r="B1322" s="116">
        <v>463</v>
      </c>
      <c r="C1322" s="116">
        <v>457.35</v>
      </c>
      <c r="D1322" s="116">
        <v>428</v>
      </c>
      <c r="E1322" s="116">
        <v>444.7</v>
      </c>
      <c r="F1322" s="116">
        <v>457.35</v>
      </c>
      <c r="G1322">
        <v>161771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43958</v>
      </c>
      <c r="B1323" s="116">
        <v>469</v>
      </c>
      <c r="C1323" s="116">
        <v>441.75</v>
      </c>
      <c r="D1323" s="116">
        <v>439.05</v>
      </c>
      <c r="E1323" s="116">
        <v>457.9</v>
      </c>
      <c r="F1323" s="116">
        <v>441.75</v>
      </c>
      <c r="G1323">
        <v>181937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43959</v>
      </c>
      <c r="B1324" s="116">
        <v>459.9</v>
      </c>
      <c r="C1324" s="116">
        <v>456.65</v>
      </c>
      <c r="D1324" s="116">
        <v>445.45</v>
      </c>
      <c r="E1324" s="116">
        <v>455</v>
      </c>
      <c r="F1324" s="116">
        <v>456.65</v>
      </c>
      <c r="G1324">
        <v>82621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43962</v>
      </c>
      <c r="B1325" s="116">
        <v>472.5</v>
      </c>
      <c r="C1325" s="116">
        <v>468.3</v>
      </c>
      <c r="D1325" s="116">
        <v>458.3</v>
      </c>
      <c r="E1325" s="116">
        <v>463.5</v>
      </c>
      <c r="F1325" s="116">
        <v>468.3</v>
      </c>
      <c r="G1325">
        <v>46552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43963</v>
      </c>
      <c r="B1326" s="116">
        <v>474</v>
      </c>
      <c r="C1326" s="116">
        <v>460.15</v>
      </c>
      <c r="D1326" s="116">
        <v>457.25</v>
      </c>
      <c r="E1326" s="116">
        <v>467.5</v>
      </c>
      <c r="F1326" s="116">
        <v>460.15</v>
      </c>
      <c r="G1326">
        <v>68553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43964</v>
      </c>
      <c r="B1327" s="116">
        <v>481</v>
      </c>
      <c r="C1327" s="116">
        <v>464.15</v>
      </c>
      <c r="D1327" s="116">
        <v>453.1</v>
      </c>
      <c r="E1327" s="116">
        <v>480.95</v>
      </c>
      <c r="F1327" s="116">
        <v>464.15</v>
      </c>
      <c r="G1327">
        <v>330074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43965</v>
      </c>
      <c r="B1328" s="116">
        <v>472.3</v>
      </c>
      <c r="C1328" s="116">
        <v>456.95</v>
      </c>
      <c r="D1328" s="116">
        <v>453.5</v>
      </c>
      <c r="E1328" s="116">
        <v>460.75</v>
      </c>
      <c r="F1328" s="116">
        <v>456.95</v>
      </c>
      <c r="G1328">
        <v>54996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43966</v>
      </c>
      <c r="B1329" s="116">
        <v>465.6</v>
      </c>
      <c r="C1329" s="116">
        <v>462.45</v>
      </c>
      <c r="D1329" s="116">
        <v>448.45</v>
      </c>
      <c r="E1329" s="116">
        <v>462.6</v>
      </c>
      <c r="F1329" s="116">
        <v>462.45</v>
      </c>
      <c r="G1329">
        <v>52771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43969</v>
      </c>
      <c r="B1330" s="116">
        <v>463.25</v>
      </c>
      <c r="C1330" s="116">
        <v>441.55</v>
      </c>
      <c r="D1330" s="116">
        <v>438.5</v>
      </c>
      <c r="E1330" s="116">
        <v>463.25</v>
      </c>
      <c r="F1330" s="116">
        <v>441.55</v>
      </c>
      <c r="G1330">
        <v>50496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43970</v>
      </c>
      <c r="B1331" s="116">
        <v>452.9</v>
      </c>
      <c r="C1331" s="116">
        <v>436.8</v>
      </c>
      <c r="D1331" s="116">
        <v>432.2</v>
      </c>
      <c r="E1331" s="116">
        <v>447.55</v>
      </c>
      <c r="F1331" s="116">
        <v>436.8</v>
      </c>
      <c r="G1331">
        <v>46587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43971</v>
      </c>
      <c r="B1332" s="116">
        <v>459.8</v>
      </c>
      <c r="C1332" s="116">
        <v>454.85</v>
      </c>
      <c r="D1332" s="116">
        <v>434.35</v>
      </c>
      <c r="E1332" s="116">
        <v>438.95</v>
      </c>
      <c r="F1332" s="116">
        <v>454.85</v>
      </c>
      <c r="G1332">
        <v>53986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43972</v>
      </c>
      <c r="B1333" s="116">
        <v>466.5</v>
      </c>
      <c r="C1333" s="116">
        <v>460.8</v>
      </c>
      <c r="D1333" s="116">
        <v>454.45</v>
      </c>
      <c r="E1333" s="116">
        <v>457.6</v>
      </c>
      <c r="F1333" s="116">
        <v>460.8</v>
      </c>
      <c r="G1333">
        <v>40966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43973</v>
      </c>
      <c r="B1334" s="116">
        <v>466.65</v>
      </c>
      <c r="C1334" s="116">
        <v>450.3</v>
      </c>
      <c r="D1334" s="116">
        <v>445.2</v>
      </c>
      <c r="E1334" s="116">
        <v>461.25</v>
      </c>
      <c r="F1334" s="116">
        <v>450.3</v>
      </c>
      <c r="G1334">
        <v>52543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43977</v>
      </c>
      <c r="B1335" s="116">
        <v>459</v>
      </c>
      <c r="C1335" s="116">
        <v>449.8</v>
      </c>
      <c r="D1335" s="116">
        <v>446.6</v>
      </c>
      <c r="E1335" s="116">
        <v>459</v>
      </c>
      <c r="F1335" s="116">
        <v>449.8</v>
      </c>
      <c r="G1335">
        <v>28999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43978</v>
      </c>
      <c r="B1336" s="116">
        <v>466</v>
      </c>
      <c r="C1336" s="116">
        <v>464.25</v>
      </c>
      <c r="D1336" s="116">
        <v>448.55</v>
      </c>
      <c r="E1336" s="116">
        <v>451.9</v>
      </c>
      <c r="F1336" s="116">
        <v>464.25</v>
      </c>
      <c r="G1336">
        <v>70305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43979</v>
      </c>
      <c r="B1337" s="116">
        <v>489.55</v>
      </c>
      <c r="C1337" s="116">
        <v>486.6</v>
      </c>
      <c r="D1337" s="116">
        <v>467</v>
      </c>
      <c r="E1337" s="116">
        <v>470</v>
      </c>
      <c r="F1337" s="116">
        <v>486.6</v>
      </c>
      <c r="G1337">
        <v>127585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43980</v>
      </c>
      <c r="B1338" s="116">
        <v>493.15</v>
      </c>
      <c r="C1338" s="116">
        <v>480</v>
      </c>
      <c r="D1338" s="116">
        <v>477.35</v>
      </c>
      <c r="E1338" s="116">
        <v>486.6</v>
      </c>
      <c r="F1338" s="116">
        <v>480</v>
      </c>
      <c r="G1338">
        <v>92075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43983</v>
      </c>
      <c r="B1339" s="116">
        <v>544</v>
      </c>
      <c r="C1339" s="116">
        <v>539.75</v>
      </c>
      <c r="D1339" s="116">
        <v>505</v>
      </c>
      <c r="E1339" s="116">
        <v>505</v>
      </c>
      <c r="F1339" s="116">
        <v>539.75</v>
      </c>
      <c r="G1339">
        <v>374191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43984</v>
      </c>
      <c r="B1340" s="116">
        <v>577</v>
      </c>
      <c r="C1340" s="116">
        <v>557.79999999999995</v>
      </c>
      <c r="D1340" s="116">
        <v>536.4</v>
      </c>
      <c r="E1340" s="116">
        <v>577</v>
      </c>
      <c r="F1340" s="116">
        <v>557.79999999999995</v>
      </c>
      <c r="G1340">
        <v>156668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43985</v>
      </c>
      <c r="B1341" s="116">
        <v>580</v>
      </c>
      <c r="C1341" s="116">
        <v>569.5</v>
      </c>
      <c r="D1341" s="116">
        <v>560</v>
      </c>
      <c r="E1341" s="116">
        <v>562.45000000000005</v>
      </c>
      <c r="F1341" s="116">
        <v>569.5</v>
      </c>
      <c r="G1341">
        <v>108533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43986</v>
      </c>
      <c r="B1342" s="116">
        <v>575.6</v>
      </c>
      <c r="C1342" s="116">
        <v>566</v>
      </c>
      <c r="D1342" s="116">
        <v>554.54999999999995</v>
      </c>
      <c r="E1342" s="116">
        <v>570</v>
      </c>
      <c r="F1342" s="116">
        <v>566</v>
      </c>
      <c r="G1342">
        <v>83011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43987</v>
      </c>
      <c r="B1343" s="116">
        <v>582</v>
      </c>
      <c r="C1343" s="116">
        <v>579.85</v>
      </c>
      <c r="D1343" s="116">
        <v>564.6</v>
      </c>
      <c r="E1343" s="116">
        <v>568</v>
      </c>
      <c r="F1343" s="116">
        <v>579.85</v>
      </c>
      <c r="G1343">
        <v>67313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43990</v>
      </c>
      <c r="B1344" s="116">
        <v>587.15</v>
      </c>
      <c r="C1344" s="116">
        <v>560.79999999999995</v>
      </c>
      <c r="D1344" s="116">
        <v>554</v>
      </c>
      <c r="E1344" s="116">
        <v>585</v>
      </c>
      <c r="F1344" s="116">
        <v>560.79999999999995</v>
      </c>
      <c r="G1344">
        <v>132884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43991</v>
      </c>
      <c r="B1345" s="116">
        <v>571.9</v>
      </c>
      <c r="C1345" s="116">
        <v>547.79999999999995</v>
      </c>
      <c r="D1345" s="116">
        <v>544.5</v>
      </c>
      <c r="E1345" s="116">
        <v>565</v>
      </c>
      <c r="F1345" s="116">
        <v>547.79999999999995</v>
      </c>
      <c r="G1345">
        <v>68555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43992</v>
      </c>
      <c r="B1346" s="116">
        <v>558.6</v>
      </c>
      <c r="C1346" s="116">
        <v>553.6</v>
      </c>
      <c r="D1346" s="116">
        <v>545.4</v>
      </c>
      <c r="E1346" s="116">
        <v>550.54999999999995</v>
      </c>
      <c r="F1346" s="116">
        <v>553.6</v>
      </c>
      <c r="G1346">
        <v>48085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43993</v>
      </c>
      <c r="B1347" s="116">
        <v>563.45000000000005</v>
      </c>
      <c r="C1347" s="116">
        <v>556.45000000000005</v>
      </c>
      <c r="D1347" s="116">
        <v>547</v>
      </c>
      <c r="E1347" s="116">
        <v>553.6</v>
      </c>
      <c r="F1347" s="116">
        <v>556.45000000000005</v>
      </c>
      <c r="G1347">
        <v>46990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43994</v>
      </c>
      <c r="B1348" s="116">
        <v>557.5</v>
      </c>
      <c r="C1348" s="116">
        <v>553.79999999999995</v>
      </c>
      <c r="D1348" s="116">
        <v>537.45000000000005</v>
      </c>
      <c r="E1348" s="116">
        <v>542.20000000000005</v>
      </c>
      <c r="F1348" s="116">
        <v>553.79999999999995</v>
      </c>
      <c r="G1348">
        <v>57977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43997</v>
      </c>
      <c r="B1349" s="116">
        <v>565.25</v>
      </c>
      <c r="C1349" s="116">
        <v>547.1</v>
      </c>
      <c r="D1349" s="116">
        <v>544.6</v>
      </c>
      <c r="E1349" s="116">
        <v>558</v>
      </c>
      <c r="F1349" s="116">
        <v>547.1</v>
      </c>
      <c r="G1349">
        <v>65264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43998</v>
      </c>
      <c r="B1350" s="116">
        <v>559.85</v>
      </c>
      <c r="C1350" s="116">
        <v>549.70000000000005</v>
      </c>
      <c r="D1350" s="116">
        <v>540.20000000000005</v>
      </c>
      <c r="E1350" s="116">
        <v>559.85</v>
      </c>
      <c r="F1350" s="116">
        <v>549.70000000000005</v>
      </c>
      <c r="G1350">
        <v>25171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43999</v>
      </c>
      <c r="B1351" s="116">
        <v>556.79999999999995</v>
      </c>
      <c r="C1351" s="116">
        <v>545.79999999999995</v>
      </c>
      <c r="D1351" s="116">
        <v>543.6</v>
      </c>
      <c r="E1351" s="116">
        <v>552.9</v>
      </c>
      <c r="F1351" s="116">
        <v>545.79999999999995</v>
      </c>
      <c r="G1351">
        <v>43804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44000</v>
      </c>
      <c r="B1352" s="116">
        <v>548</v>
      </c>
      <c r="C1352" s="116">
        <v>543.6</v>
      </c>
      <c r="D1352" s="116">
        <v>539.35</v>
      </c>
      <c r="E1352" s="116">
        <v>542</v>
      </c>
      <c r="F1352" s="116">
        <v>543.6</v>
      </c>
      <c r="G1352">
        <v>36547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44001</v>
      </c>
      <c r="B1353" s="116">
        <v>550.35</v>
      </c>
      <c r="C1353" s="116">
        <v>548.4</v>
      </c>
      <c r="D1353" s="116">
        <v>539.4</v>
      </c>
      <c r="E1353" s="116">
        <v>545</v>
      </c>
      <c r="F1353" s="116">
        <v>548.4</v>
      </c>
      <c r="G1353">
        <v>34180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44004</v>
      </c>
      <c r="B1354" s="116">
        <v>557.29999999999995</v>
      </c>
      <c r="C1354" s="116">
        <v>552.1</v>
      </c>
      <c r="D1354" s="116">
        <v>548.5</v>
      </c>
      <c r="E1354" s="116">
        <v>550.20000000000005</v>
      </c>
      <c r="F1354" s="116">
        <v>552.1</v>
      </c>
      <c r="G1354">
        <v>39057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44005</v>
      </c>
      <c r="B1355" s="116">
        <v>565.54999999999995</v>
      </c>
      <c r="C1355" s="116">
        <v>547.4</v>
      </c>
      <c r="D1355" s="116">
        <v>544.85</v>
      </c>
      <c r="E1355" s="116">
        <v>550</v>
      </c>
      <c r="F1355" s="116">
        <v>547.4</v>
      </c>
      <c r="G1355">
        <v>64958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44006</v>
      </c>
      <c r="B1356" s="116">
        <v>553.29999999999995</v>
      </c>
      <c r="C1356" s="116">
        <v>538.15</v>
      </c>
      <c r="D1356" s="116">
        <v>533.5</v>
      </c>
      <c r="E1356" s="116">
        <v>552</v>
      </c>
      <c r="F1356" s="116">
        <v>538.15</v>
      </c>
      <c r="G1356">
        <v>59552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44007</v>
      </c>
      <c r="B1357" s="116">
        <v>554.70000000000005</v>
      </c>
      <c r="C1357" s="116">
        <v>551.85</v>
      </c>
      <c r="D1357" s="116">
        <v>530.04999999999995</v>
      </c>
      <c r="E1357" s="116">
        <v>530.04999999999995</v>
      </c>
      <c r="F1357" s="116">
        <v>551.85</v>
      </c>
      <c r="G1357">
        <v>96225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44008</v>
      </c>
      <c r="B1358" s="116">
        <v>557</v>
      </c>
      <c r="C1358" s="116">
        <v>545.1</v>
      </c>
      <c r="D1358" s="116">
        <v>542.5</v>
      </c>
      <c r="E1358" s="116">
        <v>557</v>
      </c>
      <c r="F1358" s="116">
        <v>545.1</v>
      </c>
      <c r="G1358">
        <v>33573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44011</v>
      </c>
      <c r="B1359" s="116">
        <v>546</v>
      </c>
      <c r="C1359" s="116">
        <v>536.65</v>
      </c>
      <c r="D1359" s="116">
        <v>534.9</v>
      </c>
      <c r="E1359" s="116">
        <v>545.4</v>
      </c>
      <c r="F1359" s="116">
        <v>536.65</v>
      </c>
      <c r="G1359">
        <v>22042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44012</v>
      </c>
      <c r="B1360" s="116">
        <v>548.9</v>
      </c>
      <c r="C1360" s="116">
        <v>546.15</v>
      </c>
      <c r="D1360" s="116">
        <v>536.25</v>
      </c>
      <c r="E1360" s="116">
        <v>536.25</v>
      </c>
      <c r="F1360" s="116">
        <v>546.15</v>
      </c>
      <c r="G1360">
        <v>41742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44013</v>
      </c>
      <c r="B1361" s="116">
        <v>548.79999999999995</v>
      </c>
      <c r="C1361" s="116">
        <v>542.75</v>
      </c>
      <c r="D1361" s="116">
        <v>539.6</v>
      </c>
      <c r="E1361" s="116">
        <v>548</v>
      </c>
      <c r="F1361" s="116">
        <v>542.75</v>
      </c>
      <c r="G1361">
        <v>37613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44014</v>
      </c>
      <c r="B1362" s="116">
        <v>564.75</v>
      </c>
      <c r="C1362" s="116">
        <v>562.25</v>
      </c>
      <c r="D1362" s="116">
        <v>545</v>
      </c>
      <c r="E1362" s="116">
        <v>546.25</v>
      </c>
      <c r="F1362" s="116">
        <v>562.25</v>
      </c>
      <c r="G1362">
        <v>141971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44015</v>
      </c>
      <c r="B1363" s="116">
        <v>570</v>
      </c>
      <c r="C1363" s="116">
        <v>558.95000000000005</v>
      </c>
      <c r="D1363" s="116">
        <v>552.35</v>
      </c>
      <c r="E1363" s="116">
        <v>567.65</v>
      </c>
      <c r="F1363" s="116">
        <v>558.95000000000005</v>
      </c>
      <c r="G1363">
        <v>99074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44018</v>
      </c>
      <c r="B1364" s="116">
        <v>569.79999999999995</v>
      </c>
      <c r="C1364" s="116">
        <v>566.54999999999995</v>
      </c>
      <c r="D1364" s="116">
        <v>557.54999999999995</v>
      </c>
      <c r="E1364" s="116">
        <v>562.15</v>
      </c>
      <c r="F1364" s="116">
        <v>566.54999999999995</v>
      </c>
      <c r="G1364">
        <v>41741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44019</v>
      </c>
      <c r="B1365" s="116">
        <v>577</v>
      </c>
      <c r="C1365" s="116">
        <v>574.4</v>
      </c>
      <c r="D1365" s="116">
        <v>554</v>
      </c>
      <c r="E1365" s="116">
        <v>565</v>
      </c>
      <c r="F1365" s="116">
        <v>574.4</v>
      </c>
      <c r="G1365">
        <v>124162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44020</v>
      </c>
      <c r="B1366" s="116">
        <v>578</v>
      </c>
      <c r="C1366" s="116">
        <v>562.65</v>
      </c>
      <c r="D1366" s="116">
        <v>560</v>
      </c>
      <c r="E1366" s="116">
        <v>574</v>
      </c>
      <c r="F1366" s="116">
        <v>562.65</v>
      </c>
      <c r="G1366">
        <v>39620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44021</v>
      </c>
      <c r="B1367" s="116">
        <v>564.4</v>
      </c>
      <c r="C1367" s="116">
        <v>560.85</v>
      </c>
      <c r="D1367" s="116">
        <v>556.15</v>
      </c>
      <c r="E1367" s="116">
        <v>562</v>
      </c>
      <c r="F1367" s="116">
        <v>560.85</v>
      </c>
      <c r="G1367">
        <v>25329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44022</v>
      </c>
      <c r="B1368" s="116">
        <v>567</v>
      </c>
      <c r="C1368" s="116">
        <v>562.4</v>
      </c>
      <c r="D1368" s="116">
        <v>555.15</v>
      </c>
      <c r="E1368" s="116">
        <v>555.79999999999995</v>
      </c>
      <c r="F1368" s="116">
        <v>562.4</v>
      </c>
      <c r="G1368">
        <v>42735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44025</v>
      </c>
      <c r="B1369" s="116">
        <v>565.65</v>
      </c>
      <c r="C1369" s="116">
        <v>554.15</v>
      </c>
      <c r="D1369" s="116">
        <v>548.70000000000005</v>
      </c>
      <c r="E1369" s="116">
        <v>565.1</v>
      </c>
      <c r="F1369" s="116">
        <v>554.15</v>
      </c>
      <c r="G1369">
        <v>42343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44026</v>
      </c>
      <c r="B1370" s="116">
        <v>553.20000000000005</v>
      </c>
      <c r="C1370" s="116">
        <v>547.6</v>
      </c>
      <c r="D1370" s="116">
        <v>542</v>
      </c>
      <c r="E1370" s="116">
        <v>553.20000000000005</v>
      </c>
      <c r="F1370" s="116">
        <v>547.6</v>
      </c>
      <c r="G1370">
        <v>32133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44027</v>
      </c>
      <c r="B1371" s="116">
        <v>555.70000000000005</v>
      </c>
      <c r="C1371" s="116">
        <v>543.79999999999995</v>
      </c>
      <c r="D1371" s="116">
        <v>541.29999999999995</v>
      </c>
      <c r="E1371" s="116">
        <v>547.54999999999995</v>
      </c>
      <c r="F1371" s="116">
        <v>543.79999999999995</v>
      </c>
      <c r="G1371">
        <v>23195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44028</v>
      </c>
      <c r="B1372" s="116">
        <v>552.29999999999995</v>
      </c>
      <c r="C1372" s="116">
        <v>549.9</v>
      </c>
      <c r="D1372" s="116">
        <v>529.4</v>
      </c>
      <c r="E1372" s="116">
        <v>540.54999999999995</v>
      </c>
      <c r="F1372" s="116">
        <v>549.9</v>
      </c>
      <c r="G1372">
        <v>28317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44029</v>
      </c>
      <c r="B1373" s="116">
        <v>580.9</v>
      </c>
      <c r="C1373" s="116">
        <v>576.54999999999995</v>
      </c>
      <c r="D1373" s="116">
        <v>555.79999999999995</v>
      </c>
      <c r="E1373" s="116">
        <v>557.75</v>
      </c>
      <c r="F1373" s="116">
        <v>576.54999999999995</v>
      </c>
      <c r="G1373">
        <v>135612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44032</v>
      </c>
      <c r="B1374" s="116">
        <v>601.9</v>
      </c>
      <c r="C1374" s="116">
        <v>597.54999999999995</v>
      </c>
      <c r="D1374" s="116">
        <v>580.9</v>
      </c>
      <c r="E1374" s="116">
        <v>581</v>
      </c>
      <c r="F1374" s="116">
        <v>597.54999999999995</v>
      </c>
      <c r="G1374">
        <v>129391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44033</v>
      </c>
      <c r="B1375" s="116">
        <v>609.6</v>
      </c>
      <c r="C1375" s="116">
        <v>596.85</v>
      </c>
      <c r="D1375" s="116">
        <v>595</v>
      </c>
      <c r="E1375" s="116">
        <v>597.6</v>
      </c>
      <c r="F1375" s="116">
        <v>596.85</v>
      </c>
      <c r="G1375">
        <v>87322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44034</v>
      </c>
      <c r="B1376" s="116">
        <v>605</v>
      </c>
      <c r="C1376" s="116">
        <v>595.54999999999995</v>
      </c>
      <c r="D1376" s="116">
        <v>590.20000000000005</v>
      </c>
      <c r="E1376" s="116">
        <v>596.54999999999995</v>
      </c>
      <c r="F1376" s="116">
        <v>595.54999999999995</v>
      </c>
      <c r="G1376">
        <v>45566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44035</v>
      </c>
      <c r="B1377" s="116">
        <v>611.25</v>
      </c>
      <c r="C1377" s="116">
        <v>595.85</v>
      </c>
      <c r="D1377" s="116">
        <v>594.15</v>
      </c>
      <c r="E1377" s="116">
        <v>595.54999999999995</v>
      </c>
      <c r="F1377" s="116">
        <v>595.85</v>
      </c>
      <c r="G1377">
        <v>82079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44036</v>
      </c>
      <c r="B1378" s="116">
        <v>599.9</v>
      </c>
      <c r="C1378" s="116">
        <v>593.79999999999995</v>
      </c>
      <c r="D1378" s="116">
        <v>589.79999999999995</v>
      </c>
      <c r="E1378" s="116">
        <v>595</v>
      </c>
      <c r="F1378" s="116">
        <v>593.79999999999995</v>
      </c>
      <c r="G1378">
        <v>40811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44039</v>
      </c>
      <c r="B1379" s="116">
        <v>598.25</v>
      </c>
      <c r="C1379" s="116">
        <v>589.5</v>
      </c>
      <c r="D1379" s="116">
        <v>577.04999999999995</v>
      </c>
      <c r="E1379" s="116">
        <v>596.29999999999995</v>
      </c>
      <c r="F1379" s="116">
        <v>589.5</v>
      </c>
      <c r="G1379">
        <v>34239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44040</v>
      </c>
      <c r="B1380" s="116">
        <v>587.29999999999995</v>
      </c>
      <c r="C1380" s="116">
        <v>580.70000000000005</v>
      </c>
      <c r="D1380" s="116">
        <v>574.04999999999995</v>
      </c>
      <c r="E1380" s="116">
        <v>586.15</v>
      </c>
      <c r="F1380" s="116">
        <v>580.70000000000005</v>
      </c>
      <c r="G1380">
        <v>24052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44041</v>
      </c>
      <c r="B1381" s="116">
        <v>598.6</v>
      </c>
      <c r="C1381" s="116">
        <v>589.04999999999995</v>
      </c>
      <c r="D1381" s="116">
        <v>583.95000000000005</v>
      </c>
      <c r="E1381" s="116">
        <v>583.95000000000005</v>
      </c>
      <c r="F1381" s="116">
        <v>589.04999999999995</v>
      </c>
      <c r="G1381">
        <v>36665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44042</v>
      </c>
      <c r="B1382" s="116">
        <v>598.65</v>
      </c>
      <c r="C1382" s="116">
        <v>595</v>
      </c>
      <c r="D1382" s="116">
        <v>587.79999999999995</v>
      </c>
      <c r="E1382" s="116">
        <v>588.75</v>
      </c>
      <c r="F1382" s="116">
        <v>595</v>
      </c>
      <c r="G1382">
        <v>23085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44043</v>
      </c>
      <c r="B1383" s="116">
        <v>603.4</v>
      </c>
      <c r="C1383" s="116">
        <v>597.35</v>
      </c>
      <c r="D1383" s="116">
        <v>590</v>
      </c>
      <c r="E1383" s="116">
        <v>597</v>
      </c>
      <c r="F1383" s="116">
        <v>597.35</v>
      </c>
      <c r="G1383">
        <v>35382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44046</v>
      </c>
      <c r="B1384" s="116">
        <v>600.35</v>
      </c>
      <c r="C1384" s="116">
        <v>595.6</v>
      </c>
      <c r="D1384" s="116">
        <v>591.95000000000005</v>
      </c>
      <c r="E1384" s="116">
        <v>595</v>
      </c>
      <c r="F1384" s="116">
        <v>595.6</v>
      </c>
      <c r="G1384">
        <v>17005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44047</v>
      </c>
      <c r="B1385" s="116">
        <v>615.1</v>
      </c>
      <c r="C1385" s="116">
        <v>610.79999999999995</v>
      </c>
      <c r="D1385" s="116">
        <v>595.70000000000005</v>
      </c>
      <c r="E1385" s="116">
        <v>595.70000000000005</v>
      </c>
      <c r="F1385" s="116">
        <v>610.79999999999995</v>
      </c>
      <c r="G1385">
        <v>74741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44048</v>
      </c>
      <c r="B1386" s="116">
        <v>617.29999999999995</v>
      </c>
      <c r="C1386" s="116">
        <v>605</v>
      </c>
      <c r="D1386" s="116">
        <v>599.20000000000005</v>
      </c>
      <c r="E1386" s="116">
        <v>610.6</v>
      </c>
      <c r="F1386" s="116">
        <v>605</v>
      </c>
      <c r="G1386">
        <v>57390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44049</v>
      </c>
      <c r="B1387" s="116">
        <v>615</v>
      </c>
      <c r="C1387" s="116">
        <v>602.45000000000005</v>
      </c>
      <c r="D1387" s="116">
        <v>601.5</v>
      </c>
      <c r="E1387" s="116">
        <v>615</v>
      </c>
      <c r="F1387" s="116">
        <v>602.45000000000005</v>
      </c>
      <c r="G1387">
        <v>20626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44050</v>
      </c>
      <c r="B1388" s="116">
        <v>602.95000000000005</v>
      </c>
      <c r="C1388" s="116">
        <v>593.85</v>
      </c>
      <c r="D1388" s="116">
        <v>592.1</v>
      </c>
      <c r="E1388" s="116">
        <v>602.95000000000005</v>
      </c>
      <c r="F1388" s="116">
        <v>593.85</v>
      </c>
      <c r="G1388">
        <v>14903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44053</v>
      </c>
      <c r="B1389" s="116">
        <v>599.9</v>
      </c>
      <c r="C1389" s="116">
        <v>586.70000000000005</v>
      </c>
      <c r="D1389" s="116">
        <v>585.75</v>
      </c>
      <c r="E1389" s="116">
        <v>599.9</v>
      </c>
      <c r="F1389" s="116">
        <v>586.70000000000005</v>
      </c>
      <c r="G1389">
        <v>44892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44054</v>
      </c>
      <c r="B1390" s="116">
        <v>617.35</v>
      </c>
      <c r="C1390" s="116">
        <v>608.20000000000005</v>
      </c>
      <c r="D1390" s="116">
        <v>589.35</v>
      </c>
      <c r="E1390" s="116">
        <v>595.29999999999995</v>
      </c>
      <c r="F1390" s="116">
        <v>608.20000000000005</v>
      </c>
      <c r="G1390">
        <v>80851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44055</v>
      </c>
      <c r="B1391" s="116">
        <v>616.15</v>
      </c>
      <c r="C1391" s="116">
        <v>604.45000000000005</v>
      </c>
      <c r="D1391" s="116">
        <v>602.15</v>
      </c>
      <c r="E1391" s="116">
        <v>607</v>
      </c>
      <c r="F1391" s="116">
        <v>604.45000000000005</v>
      </c>
      <c r="G1391">
        <v>52225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44056</v>
      </c>
      <c r="B1392" s="116">
        <v>620.75</v>
      </c>
      <c r="C1392" s="116">
        <v>618.5</v>
      </c>
      <c r="D1392" s="116">
        <v>606.35</v>
      </c>
      <c r="E1392" s="116">
        <v>611.5</v>
      </c>
      <c r="F1392" s="116">
        <v>618.5</v>
      </c>
      <c r="G1392">
        <v>86261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44057</v>
      </c>
      <c r="B1393" s="116">
        <v>631.5</v>
      </c>
      <c r="C1393" s="116">
        <v>615.15</v>
      </c>
      <c r="D1393" s="116">
        <v>603.79999999999995</v>
      </c>
      <c r="E1393" s="116">
        <v>621.5</v>
      </c>
      <c r="F1393" s="116">
        <v>615.15</v>
      </c>
      <c r="G1393">
        <v>190514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44060</v>
      </c>
      <c r="B1394" s="116">
        <v>637.15</v>
      </c>
      <c r="C1394" s="116">
        <v>628.70000000000005</v>
      </c>
      <c r="D1394" s="116">
        <v>618</v>
      </c>
      <c r="E1394" s="116">
        <v>618</v>
      </c>
      <c r="F1394" s="116">
        <v>628.70000000000005</v>
      </c>
      <c r="G1394">
        <v>67623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44061</v>
      </c>
      <c r="B1395" s="116">
        <v>646.79999999999995</v>
      </c>
      <c r="C1395" s="116">
        <v>644.85</v>
      </c>
      <c r="D1395" s="116">
        <v>629.35</v>
      </c>
      <c r="E1395" s="116">
        <v>630.9</v>
      </c>
      <c r="F1395" s="116">
        <v>644.85</v>
      </c>
      <c r="G1395">
        <v>78600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44062</v>
      </c>
      <c r="B1396" s="116">
        <v>653.4</v>
      </c>
      <c r="C1396" s="116">
        <v>649.35</v>
      </c>
      <c r="D1396" s="116">
        <v>638.25</v>
      </c>
      <c r="E1396" s="116">
        <v>648</v>
      </c>
      <c r="F1396" s="116">
        <v>649.35</v>
      </c>
      <c r="G1396">
        <v>55426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44063</v>
      </c>
      <c r="B1397" s="116">
        <v>675</v>
      </c>
      <c r="C1397" s="116">
        <v>669.85</v>
      </c>
      <c r="D1397" s="116">
        <v>640</v>
      </c>
      <c r="E1397" s="116">
        <v>640</v>
      </c>
      <c r="F1397" s="116">
        <v>669.85</v>
      </c>
      <c r="G1397">
        <v>83028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44064</v>
      </c>
      <c r="B1398" s="116">
        <v>681.85</v>
      </c>
      <c r="C1398" s="116">
        <v>659.1</v>
      </c>
      <c r="D1398" s="116">
        <v>656.05</v>
      </c>
      <c r="E1398" s="116">
        <v>670.05</v>
      </c>
      <c r="F1398" s="116">
        <v>659.1</v>
      </c>
      <c r="G1398">
        <v>77823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44067</v>
      </c>
      <c r="B1399" s="116">
        <v>672.5</v>
      </c>
      <c r="C1399" s="116">
        <v>661.45</v>
      </c>
      <c r="D1399" s="116">
        <v>659</v>
      </c>
      <c r="E1399" s="116">
        <v>661</v>
      </c>
      <c r="F1399" s="116">
        <v>661.45</v>
      </c>
      <c r="G1399">
        <v>30178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44068</v>
      </c>
      <c r="B1400" s="116">
        <v>673</v>
      </c>
      <c r="C1400" s="116">
        <v>654.1</v>
      </c>
      <c r="D1400" s="116">
        <v>652.85</v>
      </c>
      <c r="E1400" s="116">
        <v>665.1</v>
      </c>
      <c r="F1400" s="116">
        <v>654.1</v>
      </c>
      <c r="G1400">
        <v>35322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44069</v>
      </c>
      <c r="B1401" s="116">
        <v>662</v>
      </c>
      <c r="C1401" s="116">
        <v>648.70000000000005</v>
      </c>
      <c r="D1401" s="116">
        <v>645.70000000000005</v>
      </c>
      <c r="E1401" s="116">
        <v>662</v>
      </c>
      <c r="F1401" s="116">
        <v>648.70000000000005</v>
      </c>
      <c r="G1401">
        <v>29531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44070</v>
      </c>
      <c r="B1402" s="116">
        <v>669.2</v>
      </c>
      <c r="C1402" s="116">
        <v>662.95</v>
      </c>
      <c r="D1402" s="116">
        <v>650</v>
      </c>
      <c r="E1402" s="116">
        <v>650</v>
      </c>
      <c r="F1402" s="116">
        <v>662.95</v>
      </c>
      <c r="G1402">
        <v>66518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44071</v>
      </c>
      <c r="B1403" s="116">
        <v>669.5</v>
      </c>
      <c r="C1403" s="116">
        <v>661.9</v>
      </c>
      <c r="D1403" s="116">
        <v>659.45</v>
      </c>
      <c r="E1403" s="116">
        <v>668</v>
      </c>
      <c r="F1403" s="116">
        <v>661.9</v>
      </c>
      <c r="G1403">
        <v>39216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44074</v>
      </c>
      <c r="B1404" s="116">
        <v>669.25</v>
      </c>
      <c r="C1404" s="116">
        <v>635.35</v>
      </c>
      <c r="D1404" s="116">
        <v>630</v>
      </c>
      <c r="E1404" s="116">
        <v>658.4</v>
      </c>
      <c r="F1404" s="116">
        <v>635.35</v>
      </c>
      <c r="G1404">
        <v>96027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44075</v>
      </c>
      <c r="B1405" s="116">
        <v>649.15</v>
      </c>
      <c r="C1405" s="116">
        <v>634.79999999999995</v>
      </c>
      <c r="D1405" s="116">
        <v>632</v>
      </c>
      <c r="E1405" s="116">
        <v>635.1</v>
      </c>
      <c r="F1405" s="116">
        <v>634.79999999999995</v>
      </c>
      <c r="G1405">
        <v>23266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44076</v>
      </c>
      <c r="B1406" s="116">
        <v>644.75</v>
      </c>
      <c r="C1406" s="116">
        <v>642.79999999999995</v>
      </c>
      <c r="D1406" s="116">
        <v>627</v>
      </c>
      <c r="E1406" s="116">
        <v>627</v>
      </c>
      <c r="F1406" s="116">
        <v>642.79999999999995</v>
      </c>
      <c r="G1406">
        <v>25388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44077</v>
      </c>
      <c r="B1407" s="116">
        <v>661</v>
      </c>
      <c r="C1407" s="116">
        <v>657.7</v>
      </c>
      <c r="D1407" s="116">
        <v>645.5</v>
      </c>
      <c r="E1407" s="116">
        <v>647.79999999999995</v>
      </c>
      <c r="F1407" s="116">
        <v>657.7</v>
      </c>
      <c r="G1407">
        <v>42545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44078</v>
      </c>
      <c r="B1408" s="116">
        <v>662.2</v>
      </c>
      <c r="C1408" s="116">
        <v>645.54999999999995</v>
      </c>
      <c r="D1408" s="116">
        <v>640.29999999999995</v>
      </c>
      <c r="E1408" s="116">
        <v>650</v>
      </c>
      <c r="F1408" s="116">
        <v>645.54999999999995</v>
      </c>
      <c r="G1408">
        <v>32019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44081</v>
      </c>
      <c r="B1409" s="116">
        <v>654.29999999999995</v>
      </c>
      <c r="C1409" s="116">
        <v>646.5</v>
      </c>
      <c r="D1409" s="116">
        <v>637.5</v>
      </c>
      <c r="E1409" s="116">
        <v>650</v>
      </c>
      <c r="F1409" s="116">
        <v>646.5</v>
      </c>
      <c r="G1409">
        <v>19338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44082</v>
      </c>
      <c r="B1410" s="116">
        <v>650</v>
      </c>
      <c r="C1410" s="116">
        <v>637.54999999999995</v>
      </c>
      <c r="D1410" s="116">
        <v>635.4</v>
      </c>
      <c r="E1410" s="116">
        <v>646</v>
      </c>
      <c r="F1410" s="116">
        <v>637.54999999999995</v>
      </c>
      <c r="G1410">
        <v>19438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44083</v>
      </c>
      <c r="B1411" s="116">
        <v>654</v>
      </c>
      <c r="C1411" s="116">
        <v>651.04999999999995</v>
      </c>
      <c r="D1411" s="116">
        <v>631.54999999999995</v>
      </c>
      <c r="E1411" s="116">
        <v>635.6</v>
      </c>
      <c r="F1411" s="116">
        <v>651.04999999999995</v>
      </c>
      <c r="G1411">
        <v>17357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44084</v>
      </c>
      <c r="B1412" s="116">
        <v>658</v>
      </c>
      <c r="C1412" s="116">
        <v>648.65</v>
      </c>
      <c r="D1412" s="116">
        <v>643.85</v>
      </c>
      <c r="E1412" s="116">
        <v>656.9</v>
      </c>
      <c r="F1412" s="116">
        <v>648.65</v>
      </c>
      <c r="G1412">
        <v>25241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44085</v>
      </c>
      <c r="B1413" s="116">
        <v>662.05</v>
      </c>
      <c r="C1413" s="116">
        <v>656.55</v>
      </c>
      <c r="D1413" s="116">
        <v>644</v>
      </c>
      <c r="E1413" s="116">
        <v>644</v>
      </c>
      <c r="F1413" s="116">
        <v>656.55</v>
      </c>
      <c r="G1413">
        <v>39907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44088</v>
      </c>
      <c r="B1414" s="116">
        <v>699.3</v>
      </c>
      <c r="C1414" s="116">
        <v>685.15</v>
      </c>
      <c r="D1414" s="116">
        <v>657</v>
      </c>
      <c r="E1414" s="116">
        <v>657</v>
      </c>
      <c r="F1414" s="116">
        <v>685.15</v>
      </c>
      <c r="G1414">
        <v>248163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44089</v>
      </c>
      <c r="B1415" s="116">
        <v>695</v>
      </c>
      <c r="C1415" s="116">
        <v>679.15</v>
      </c>
      <c r="D1415" s="116">
        <v>678.1</v>
      </c>
      <c r="E1415" s="116">
        <v>695</v>
      </c>
      <c r="F1415" s="116">
        <v>679.15</v>
      </c>
      <c r="G1415">
        <v>30651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44090</v>
      </c>
      <c r="B1416" s="116">
        <v>694.7</v>
      </c>
      <c r="C1416" s="116">
        <v>683.35</v>
      </c>
      <c r="D1416" s="116">
        <v>676</v>
      </c>
      <c r="E1416" s="116">
        <v>688.8</v>
      </c>
      <c r="F1416" s="116">
        <v>683.35</v>
      </c>
      <c r="G1416">
        <v>37551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44091</v>
      </c>
      <c r="B1417" s="116">
        <v>698.4</v>
      </c>
      <c r="C1417" s="116">
        <v>693.25</v>
      </c>
      <c r="D1417" s="116">
        <v>684.1</v>
      </c>
      <c r="E1417" s="116">
        <v>686</v>
      </c>
      <c r="F1417" s="116">
        <v>693.25</v>
      </c>
      <c r="G1417">
        <v>33359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44092</v>
      </c>
      <c r="B1418" s="116">
        <v>713.7</v>
      </c>
      <c r="C1418" s="116">
        <v>679.05</v>
      </c>
      <c r="D1418" s="116">
        <v>676.35</v>
      </c>
      <c r="E1418" s="116">
        <v>699</v>
      </c>
      <c r="F1418" s="116">
        <v>679.05</v>
      </c>
      <c r="G1418">
        <v>106810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44095</v>
      </c>
      <c r="B1419" s="116">
        <v>689.45</v>
      </c>
      <c r="C1419" s="116">
        <v>670.6</v>
      </c>
      <c r="D1419" s="116">
        <v>661.25</v>
      </c>
      <c r="E1419" s="116">
        <v>678</v>
      </c>
      <c r="F1419" s="116">
        <v>670.6</v>
      </c>
      <c r="G1419">
        <v>53779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44096</v>
      </c>
      <c r="B1420" s="116">
        <v>672</v>
      </c>
      <c r="C1420" s="116">
        <v>657.85</v>
      </c>
      <c r="D1420" s="116">
        <v>645.4</v>
      </c>
      <c r="E1420" s="116">
        <v>665.35</v>
      </c>
      <c r="F1420" s="116">
        <v>657.85</v>
      </c>
      <c r="G1420">
        <v>45353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44097</v>
      </c>
      <c r="B1421" s="116">
        <v>676.6</v>
      </c>
      <c r="C1421" s="116">
        <v>666.3</v>
      </c>
      <c r="D1421" s="116">
        <v>653.5</v>
      </c>
      <c r="E1421" s="116">
        <v>660.8</v>
      </c>
      <c r="F1421" s="116">
        <v>666.3</v>
      </c>
      <c r="G1421">
        <v>1142196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44098</v>
      </c>
      <c r="B1422" s="116">
        <v>667</v>
      </c>
      <c r="C1422" s="116">
        <v>648.6</v>
      </c>
      <c r="D1422" s="116">
        <v>646.70000000000005</v>
      </c>
      <c r="E1422" s="116">
        <v>667</v>
      </c>
      <c r="F1422" s="116">
        <v>648.6</v>
      </c>
      <c r="G1422">
        <v>13107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44099</v>
      </c>
      <c r="B1423" s="116">
        <v>672.5</v>
      </c>
      <c r="C1423" s="116">
        <v>670.05</v>
      </c>
      <c r="D1423" s="116">
        <v>640</v>
      </c>
      <c r="E1423" s="116">
        <v>653.9</v>
      </c>
      <c r="F1423" s="116">
        <v>670.05</v>
      </c>
      <c r="G1423">
        <v>28534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44102</v>
      </c>
      <c r="B1424" s="116">
        <v>693</v>
      </c>
      <c r="C1424" s="116">
        <v>689.7</v>
      </c>
      <c r="D1424" s="116">
        <v>667.1</v>
      </c>
      <c r="E1424" s="116">
        <v>674.8</v>
      </c>
      <c r="F1424" s="116">
        <v>689.7</v>
      </c>
      <c r="G1424">
        <v>59684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44103</v>
      </c>
      <c r="B1425" s="116">
        <v>700</v>
      </c>
      <c r="C1425" s="116">
        <v>682.9</v>
      </c>
      <c r="D1425" s="116">
        <v>677.6</v>
      </c>
      <c r="E1425" s="116">
        <v>700</v>
      </c>
      <c r="F1425" s="116">
        <v>682.9</v>
      </c>
      <c r="G1425">
        <v>24760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44104</v>
      </c>
      <c r="B1426" s="116">
        <v>687.85</v>
      </c>
      <c r="C1426" s="116">
        <v>680.8</v>
      </c>
      <c r="D1426" s="116">
        <v>672</v>
      </c>
      <c r="E1426" s="116">
        <v>672.25</v>
      </c>
      <c r="F1426" s="116">
        <v>680.8</v>
      </c>
      <c r="G1426">
        <v>20518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44105</v>
      </c>
      <c r="B1427" s="116">
        <v>690.55</v>
      </c>
      <c r="C1427" s="116">
        <v>678.3</v>
      </c>
      <c r="D1427" s="116">
        <v>676.45</v>
      </c>
      <c r="E1427" s="116">
        <v>687.15</v>
      </c>
      <c r="F1427" s="116">
        <v>678.3</v>
      </c>
      <c r="G1427">
        <v>32770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44109</v>
      </c>
      <c r="B1428" s="116">
        <v>685.5</v>
      </c>
      <c r="C1428" s="116">
        <v>669</v>
      </c>
      <c r="D1428" s="116">
        <v>663.8</v>
      </c>
      <c r="E1428" s="116">
        <v>678.55</v>
      </c>
      <c r="F1428" s="116">
        <v>669</v>
      </c>
      <c r="G1428">
        <v>43095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44110</v>
      </c>
      <c r="B1429" s="116">
        <v>680</v>
      </c>
      <c r="C1429" s="116">
        <v>672.1</v>
      </c>
      <c r="D1429" s="116">
        <v>667.5</v>
      </c>
      <c r="E1429" s="116">
        <v>672</v>
      </c>
      <c r="F1429" s="116">
        <v>672.1</v>
      </c>
      <c r="G1429">
        <v>29678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44111</v>
      </c>
      <c r="B1430" s="116">
        <v>679.65</v>
      </c>
      <c r="C1430" s="116">
        <v>677.8</v>
      </c>
      <c r="D1430" s="116">
        <v>669.4</v>
      </c>
      <c r="E1430" s="116">
        <v>669.9</v>
      </c>
      <c r="F1430" s="116">
        <v>677.8</v>
      </c>
      <c r="G1430">
        <v>11926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44112</v>
      </c>
      <c r="B1431" s="116">
        <v>694.35</v>
      </c>
      <c r="C1431" s="116">
        <v>692.4</v>
      </c>
      <c r="D1431" s="116">
        <v>680</v>
      </c>
      <c r="E1431" s="116">
        <v>680</v>
      </c>
      <c r="F1431" s="116">
        <v>692.4</v>
      </c>
      <c r="G1431">
        <v>84070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44113</v>
      </c>
      <c r="B1432" s="116">
        <v>697.75</v>
      </c>
      <c r="C1432" s="116">
        <v>689.6</v>
      </c>
      <c r="D1432" s="116">
        <v>679.75</v>
      </c>
      <c r="E1432" s="116">
        <v>693.1</v>
      </c>
      <c r="F1432" s="116">
        <v>689.6</v>
      </c>
      <c r="G1432">
        <v>37086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44116</v>
      </c>
      <c r="B1433" s="116">
        <v>694.75</v>
      </c>
      <c r="C1433" s="116">
        <v>677.45</v>
      </c>
      <c r="D1433" s="116">
        <v>675.4</v>
      </c>
      <c r="E1433" s="116">
        <v>689.3</v>
      </c>
      <c r="F1433" s="116">
        <v>677.45</v>
      </c>
      <c r="G1433">
        <v>21876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44117</v>
      </c>
      <c r="B1434" s="116">
        <v>681.6</v>
      </c>
      <c r="C1434" s="116">
        <v>667</v>
      </c>
      <c r="D1434" s="116">
        <v>662</v>
      </c>
      <c r="E1434" s="116">
        <v>662</v>
      </c>
      <c r="F1434" s="116">
        <v>667</v>
      </c>
      <c r="G1434">
        <v>26072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44118</v>
      </c>
      <c r="B1435" s="116">
        <v>674.45</v>
      </c>
      <c r="C1435" s="116">
        <v>672.75</v>
      </c>
      <c r="D1435" s="116">
        <v>656.55</v>
      </c>
      <c r="E1435" s="116">
        <v>665.85</v>
      </c>
      <c r="F1435" s="116">
        <v>672.75</v>
      </c>
      <c r="G1435">
        <v>30690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44119</v>
      </c>
      <c r="B1436" s="116">
        <v>676.45</v>
      </c>
      <c r="C1436" s="116">
        <v>672.4</v>
      </c>
      <c r="D1436" s="116">
        <v>665.2</v>
      </c>
      <c r="E1436" s="116">
        <v>665.2</v>
      </c>
      <c r="F1436" s="116">
        <v>672.4</v>
      </c>
      <c r="G1436">
        <v>20431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44120</v>
      </c>
      <c r="B1437" s="116">
        <v>703.9</v>
      </c>
      <c r="C1437" s="116">
        <v>700.65</v>
      </c>
      <c r="D1437" s="116">
        <v>683</v>
      </c>
      <c r="E1437" s="116">
        <v>688.1</v>
      </c>
      <c r="F1437" s="116">
        <v>700.65</v>
      </c>
      <c r="G1437">
        <v>312926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44123</v>
      </c>
      <c r="B1438" s="116">
        <v>709.9</v>
      </c>
      <c r="C1438" s="116">
        <v>687.9</v>
      </c>
      <c r="D1438" s="116">
        <v>684.85</v>
      </c>
      <c r="E1438" s="116">
        <v>705.6</v>
      </c>
      <c r="F1438" s="116">
        <v>687.9</v>
      </c>
      <c r="G1438">
        <v>248090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44124</v>
      </c>
      <c r="B1439" s="116">
        <v>700</v>
      </c>
      <c r="C1439" s="116">
        <v>698.2</v>
      </c>
      <c r="D1439" s="116">
        <v>681.65</v>
      </c>
      <c r="E1439" s="116">
        <v>683</v>
      </c>
      <c r="F1439" s="116">
        <v>698.2</v>
      </c>
      <c r="G1439">
        <v>25278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44125</v>
      </c>
      <c r="B1440" s="116">
        <v>711</v>
      </c>
      <c r="C1440" s="116">
        <v>706.35</v>
      </c>
      <c r="D1440" s="116">
        <v>695.7</v>
      </c>
      <c r="E1440" s="116">
        <v>699</v>
      </c>
      <c r="F1440" s="116">
        <v>706.35</v>
      </c>
      <c r="G1440">
        <v>50941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44126</v>
      </c>
      <c r="B1441" s="116">
        <v>718.55</v>
      </c>
      <c r="C1441" s="116">
        <v>709.65</v>
      </c>
      <c r="D1441" s="116">
        <v>699.75</v>
      </c>
      <c r="E1441" s="116">
        <v>701</v>
      </c>
      <c r="F1441" s="116">
        <v>709.65</v>
      </c>
      <c r="G1441">
        <v>201266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44127</v>
      </c>
      <c r="B1442" s="116">
        <v>721</v>
      </c>
      <c r="C1442" s="116">
        <v>705.35</v>
      </c>
      <c r="D1442" s="116">
        <v>703.2</v>
      </c>
      <c r="E1442" s="116">
        <v>710.6</v>
      </c>
      <c r="F1442" s="116">
        <v>705.35</v>
      </c>
      <c r="G1442">
        <v>65314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44130</v>
      </c>
      <c r="B1443" s="116">
        <v>708.15</v>
      </c>
      <c r="C1443" s="116">
        <v>688.6</v>
      </c>
      <c r="D1443" s="116">
        <v>687.1</v>
      </c>
      <c r="E1443" s="116">
        <v>704</v>
      </c>
      <c r="F1443" s="116">
        <v>688.6</v>
      </c>
      <c r="G1443">
        <v>27486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44131</v>
      </c>
      <c r="B1444" s="116">
        <v>704.5</v>
      </c>
      <c r="C1444" s="116">
        <v>702.25</v>
      </c>
      <c r="D1444" s="116">
        <v>692</v>
      </c>
      <c r="E1444" s="116">
        <v>696.25</v>
      </c>
      <c r="F1444" s="116">
        <v>702.25</v>
      </c>
      <c r="G1444">
        <v>30622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44132</v>
      </c>
      <c r="B1445" s="116">
        <v>717.45</v>
      </c>
      <c r="C1445" s="116">
        <v>702.2</v>
      </c>
      <c r="D1445" s="116">
        <v>700.45</v>
      </c>
      <c r="E1445" s="116">
        <v>701.1</v>
      </c>
      <c r="F1445" s="116">
        <v>702.2</v>
      </c>
      <c r="G1445">
        <v>83523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44133</v>
      </c>
      <c r="B1446" s="116">
        <v>707.1</v>
      </c>
      <c r="C1446" s="116">
        <v>702.5</v>
      </c>
      <c r="D1446" s="116">
        <v>690.35</v>
      </c>
      <c r="E1446" s="116">
        <v>705</v>
      </c>
      <c r="F1446" s="116">
        <v>702.5</v>
      </c>
      <c r="G1446">
        <v>31959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44134</v>
      </c>
      <c r="B1447" s="116">
        <v>711.15</v>
      </c>
      <c r="C1447" s="116">
        <v>706.4</v>
      </c>
      <c r="D1447" s="116">
        <v>701.75</v>
      </c>
      <c r="E1447" s="116">
        <v>702.8</v>
      </c>
      <c r="F1447" s="116">
        <v>706.4</v>
      </c>
      <c r="G1447">
        <v>25596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44137</v>
      </c>
      <c r="B1448" s="116">
        <v>723.8</v>
      </c>
      <c r="C1448" s="116">
        <v>720.1</v>
      </c>
      <c r="D1448" s="116">
        <v>696.2</v>
      </c>
      <c r="E1448" s="116">
        <v>705</v>
      </c>
      <c r="F1448" s="116">
        <v>720.1</v>
      </c>
      <c r="G1448">
        <v>47986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44138</v>
      </c>
      <c r="B1449" s="116">
        <v>732.5</v>
      </c>
      <c r="C1449" s="116">
        <v>709.15</v>
      </c>
      <c r="D1449" s="116">
        <v>706.95</v>
      </c>
      <c r="E1449" s="116">
        <v>726.9</v>
      </c>
      <c r="F1449" s="116">
        <v>709.15</v>
      </c>
      <c r="G1449">
        <v>57013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44139</v>
      </c>
      <c r="B1450" s="116">
        <v>727</v>
      </c>
      <c r="C1450" s="116">
        <v>724.85</v>
      </c>
      <c r="D1450" s="116">
        <v>708.4</v>
      </c>
      <c r="E1450" s="116">
        <v>713.1</v>
      </c>
      <c r="F1450" s="116">
        <v>724.85</v>
      </c>
      <c r="G1450">
        <v>83566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44140</v>
      </c>
      <c r="B1451" s="116">
        <v>744.05</v>
      </c>
      <c r="C1451" s="116">
        <v>740.55</v>
      </c>
      <c r="D1451" s="116">
        <v>719</v>
      </c>
      <c r="E1451" s="116">
        <v>720</v>
      </c>
      <c r="F1451" s="116">
        <v>740.55</v>
      </c>
      <c r="G1451">
        <v>109148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44141</v>
      </c>
      <c r="B1452" s="116">
        <v>768</v>
      </c>
      <c r="C1452" s="116">
        <v>753.35</v>
      </c>
      <c r="D1452" s="116">
        <v>734</v>
      </c>
      <c r="E1452" s="116">
        <v>745.1</v>
      </c>
      <c r="F1452" s="116">
        <v>753.35</v>
      </c>
      <c r="G1452">
        <v>148524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44144</v>
      </c>
      <c r="B1453" s="116">
        <v>803</v>
      </c>
      <c r="C1453" s="116">
        <v>791.45</v>
      </c>
      <c r="D1453" s="116">
        <v>756.5</v>
      </c>
      <c r="E1453" s="116">
        <v>757.1</v>
      </c>
      <c r="F1453" s="116">
        <v>791.45</v>
      </c>
      <c r="G1453">
        <v>444089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44145</v>
      </c>
      <c r="B1454" s="116">
        <v>800</v>
      </c>
      <c r="C1454" s="116">
        <v>764.55</v>
      </c>
      <c r="D1454" s="116">
        <v>759.5</v>
      </c>
      <c r="E1454" s="116">
        <v>795.35</v>
      </c>
      <c r="F1454" s="116">
        <v>764.55</v>
      </c>
      <c r="G1454">
        <v>72865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44146</v>
      </c>
      <c r="B1455" s="116">
        <v>767</v>
      </c>
      <c r="C1455" s="116">
        <v>761.15</v>
      </c>
      <c r="D1455" s="116">
        <v>745</v>
      </c>
      <c r="E1455" s="116">
        <v>763.15</v>
      </c>
      <c r="F1455" s="116">
        <v>761.15</v>
      </c>
      <c r="G1455">
        <v>44732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44147</v>
      </c>
      <c r="B1456" s="116">
        <v>763.05</v>
      </c>
      <c r="C1456" s="116">
        <v>755.35</v>
      </c>
      <c r="D1456" s="116">
        <v>746</v>
      </c>
      <c r="E1456" s="116">
        <v>761.15</v>
      </c>
      <c r="F1456" s="116">
        <v>755.35</v>
      </c>
      <c r="G1456">
        <v>70897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44148</v>
      </c>
      <c r="B1457" s="116">
        <v>761.2</v>
      </c>
      <c r="C1457" s="116">
        <v>758.1</v>
      </c>
      <c r="D1457" s="116">
        <v>748.75</v>
      </c>
      <c r="E1457" s="116">
        <v>750</v>
      </c>
      <c r="F1457" s="116">
        <v>758.1</v>
      </c>
      <c r="G1457">
        <v>48735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44149</v>
      </c>
      <c r="B1458" s="116">
        <v>765</v>
      </c>
      <c r="C1458" s="116">
        <v>759.3</v>
      </c>
      <c r="D1458" s="116">
        <v>755.2</v>
      </c>
      <c r="E1458" s="116">
        <v>765</v>
      </c>
      <c r="F1458" s="116">
        <v>759.3</v>
      </c>
      <c r="G1458">
        <v>2758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44152</v>
      </c>
      <c r="B1459" s="116">
        <v>776.35</v>
      </c>
      <c r="C1459" s="116">
        <v>774.7</v>
      </c>
      <c r="D1459" s="116">
        <v>756.4</v>
      </c>
      <c r="E1459" s="116">
        <v>762</v>
      </c>
      <c r="F1459" s="116">
        <v>774.7</v>
      </c>
      <c r="G1459">
        <v>34960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44153</v>
      </c>
      <c r="B1460" s="116">
        <v>781.85</v>
      </c>
      <c r="C1460" s="116">
        <v>770.4</v>
      </c>
      <c r="D1460" s="116">
        <v>767</v>
      </c>
      <c r="E1460" s="116">
        <v>776.9</v>
      </c>
      <c r="F1460" s="116">
        <v>770.4</v>
      </c>
      <c r="G1460">
        <v>43149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44154</v>
      </c>
      <c r="B1461" s="116">
        <v>785.75</v>
      </c>
      <c r="C1461" s="116">
        <v>773.5</v>
      </c>
      <c r="D1461" s="116">
        <v>765</v>
      </c>
      <c r="E1461" s="116">
        <v>765</v>
      </c>
      <c r="F1461" s="116">
        <v>773.5</v>
      </c>
      <c r="G1461">
        <v>328054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44155</v>
      </c>
      <c r="B1462" s="116">
        <v>781.75</v>
      </c>
      <c r="C1462" s="116">
        <v>770.05</v>
      </c>
      <c r="D1462" s="116">
        <v>765.75</v>
      </c>
      <c r="E1462" s="116">
        <v>780.7</v>
      </c>
      <c r="F1462" s="116">
        <v>770.05</v>
      </c>
      <c r="G1462">
        <v>19764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44158</v>
      </c>
      <c r="B1463" s="116">
        <v>782.85</v>
      </c>
      <c r="C1463" s="116">
        <v>759.9</v>
      </c>
      <c r="D1463" s="116">
        <v>757.2</v>
      </c>
      <c r="E1463" s="116">
        <v>780</v>
      </c>
      <c r="F1463" s="116">
        <v>759.9</v>
      </c>
      <c r="G1463">
        <v>28518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44159</v>
      </c>
      <c r="B1464" s="116">
        <v>781</v>
      </c>
      <c r="C1464" s="116">
        <v>778.35</v>
      </c>
      <c r="D1464" s="116">
        <v>762</v>
      </c>
      <c r="E1464" s="116">
        <v>762</v>
      </c>
      <c r="F1464" s="116">
        <v>778.35</v>
      </c>
      <c r="G1464">
        <v>20702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44160</v>
      </c>
      <c r="B1465" s="116">
        <v>785.9</v>
      </c>
      <c r="C1465" s="116">
        <v>753.15</v>
      </c>
      <c r="D1465" s="116">
        <v>748.1</v>
      </c>
      <c r="E1465" s="116">
        <v>785</v>
      </c>
      <c r="F1465" s="116">
        <v>753.15</v>
      </c>
      <c r="G1465">
        <v>31809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44161</v>
      </c>
      <c r="B1466" s="116">
        <v>771.95</v>
      </c>
      <c r="C1466" s="116">
        <v>769.1</v>
      </c>
      <c r="D1466" s="116">
        <v>754.85</v>
      </c>
      <c r="E1466" s="116">
        <v>770</v>
      </c>
      <c r="F1466" s="116">
        <v>769.1</v>
      </c>
      <c r="G1466">
        <v>18623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44162</v>
      </c>
      <c r="B1467" s="116">
        <v>820.95</v>
      </c>
      <c r="C1467" s="116">
        <v>806.2</v>
      </c>
      <c r="D1467" s="116">
        <v>767</v>
      </c>
      <c r="E1467" s="116">
        <v>767.5</v>
      </c>
      <c r="F1467" s="116">
        <v>806.2</v>
      </c>
      <c r="G1467">
        <v>169625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44166</v>
      </c>
      <c r="B1468" s="116">
        <v>811.2</v>
      </c>
      <c r="C1468" s="116">
        <v>794.2</v>
      </c>
      <c r="D1468" s="116">
        <v>790.9</v>
      </c>
      <c r="E1468" s="116">
        <v>806.2</v>
      </c>
      <c r="F1468" s="116">
        <v>794.2</v>
      </c>
      <c r="G1468">
        <v>32820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44167</v>
      </c>
      <c r="B1469" s="116">
        <v>810.4</v>
      </c>
      <c r="C1469" s="116">
        <v>802.2</v>
      </c>
      <c r="D1469" s="116">
        <v>790.5</v>
      </c>
      <c r="E1469" s="116">
        <v>795.45</v>
      </c>
      <c r="F1469" s="116">
        <v>802.2</v>
      </c>
      <c r="G1469">
        <v>35667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44168</v>
      </c>
      <c r="B1470" s="116">
        <v>818.9</v>
      </c>
      <c r="C1470" s="116">
        <v>805.55</v>
      </c>
      <c r="D1470" s="116">
        <v>794.45</v>
      </c>
      <c r="E1470" s="116">
        <v>802.3</v>
      </c>
      <c r="F1470" s="116">
        <v>805.55</v>
      </c>
      <c r="G1470">
        <v>90960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44169</v>
      </c>
      <c r="B1471" s="116">
        <v>826.85</v>
      </c>
      <c r="C1471" s="116">
        <v>820.15</v>
      </c>
      <c r="D1471" s="116">
        <v>807.5</v>
      </c>
      <c r="E1471" s="116">
        <v>807.5</v>
      </c>
      <c r="F1471" s="116">
        <v>820.15</v>
      </c>
      <c r="G1471">
        <v>38934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44172</v>
      </c>
      <c r="B1472" s="116">
        <v>829.7</v>
      </c>
      <c r="C1472" s="116">
        <v>808.85</v>
      </c>
      <c r="D1472" s="116">
        <v>807</v>
      </c>
      <c r="E1472" s="116">
        <v>820.2</v>
      </c>
      <c r="F1472" s="116">
        <v>808.85</v>
      </c>
      <c r="G1472">
        <v>39997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44173</v>
      </c>
      <c r="B1473" s="116">
        <v>820.9</v>
      </c>
      <c r="C1473" s="116">
        <v>810.1</v>
      </c>
      <c r="D1473" s="116">
        <v>804.35</v>
      </c>
      <c r="E1473" s="116">
        <v>820.9</v>
      </c>
      <c r="F1473" s="116">
        <v>810.1</v>
      </c>
      <c r="G1473">
        <v>22370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44174</v>
      </c>
      <c r="B1474" s="116">
        <v>820.9</v>
      </c>
      <c r="C1474" s="116">
        <v>808</v>
      </c>
      <c r="D1474" s="116">
        <v>806.35</v>
      </c>
      <c r="E1474" s="116">
        <v>813.05</v>
      </c>
      <c r="F1474" s="116">
        <v>808</v>
      </c>
      <c r="G1474">
        <v>38593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44175</v>
      </c>
      <c r="B1475" s="116">
        <v>815.35</v>
      </c>
      <c r="C1475" s="116">
        <v>814.3</v>
      </c>
      <c r="D1475" s="116">
        <v>801.7</v>
      </c>
      <c r="E1475" s="116">
        <v>803.3</v>
      </c>
      <c r="F1475" s="116">
        <v>814.3</v>
      </c>
      <c r="G1475">
        <v>30193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44176</v>
      </c>
      <c r="B1476" s="116">
        <v>820.15</v>
      </c>
      <c r="C1476" s="116">
        <v>804.85</v>
      </c>
      <c r="D1476" s="116">
        <v>800.5</v>
      </c>
      <c r="E1476" s="116">
        <v>811.85</v>
      </c>
      <c r="F1476" s="116">
        <v>804.85</v>
      </c>
      <c r="G1476">
        <v>39893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44179</v>
      </c>
      <c r="B1477" s="116">
        <v>813.85</v>
      </c>
      <c r="C1477" s="116">
        <v>808</v>
      </c>
      <c r="D1477" s="116">
        <v>804.4</v>
      </c>
      <c r="E1477" s="116">
        <v>805</v>
      </c>
      <c r="F1477" s="116">
        <v>808</v>
      </c>
      <c r="G1477">
        <v>21029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44180</v>
      </c>
      <c r="B1478" s="116">
        <v>833.65</v>
      </c>
      <c r="C1478" s="116">
        <v>829.6</v>
      </c>
      <c r="D1478" s="116">
        <v>803.8</v>
      </c>
      <c r="E1478" s="116">
        <v>811.55</v>
      </c>
      <c r="F1478" s="116">
        <v>829.6</v>
      </c>
      <c r="G1478">
        <v>70596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44181</v>
      </c>
      <c r="B1479" s="116">
        <v>844.5</v>
      </c>
      <c r="C1479" s="116">
        <v>838.35</v>
      </c>
      <c r="D1479" s="116">
        <v>822.35</v>
      </c>
      <c r="E1479" s="116">
        <v>834</v>
      </c>
      <c r="F1479" s="116">
        <v>838.35</v>
      </c>
      <c r="G1479">
        <v>66823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44182</v>
      </c>
      <c r="B1480" s="116">
        <v>844.95</v>
      </c>
      <c r="C1480" s="116">
        <v>823.1</v>
      </c>
      <c r="D1480" s="116">
        <v>820.25</v>
      </c>
      <c r="E1480" s="116">
        <v>838.35</v>
      </c>
      <c r="F1480" s="116">
        <v>823.1</v>
      </c>
      <c r="G1480">
        <v>340058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44183</v>
      </c>
      <c r="B1481" s="116">
        <v>836.7</v>
      </c>
      <c r="C1481" s="116">
        <v>827.4</v>
      </c>
      <c r="D1481" s="116">
        <v>819.25</v>
      </c>
      <c r="E1481" s="116">
        <v>830</v>
      </c>
      <c r="F1481" s="116">
        <v>827.4</v>
      </c>
      <c r="G1481">
        <v>68385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44186</v>
      </c>
      <c r="B1482" s="116">
        <v>834.7</v>
      </c>
      <c r="C1482" s="116">
        <v>783.95</v>
      </c>
      <c r="D1482" s="116">
        <v>779.45</v>
      </c>
      <c r="E1482" s="116">
        <v>834.7</v>
      </c>
      <c r="F1482" s="116">
        <v>783.95</v>
      </c>
      <c r="G1482">
        <v>46742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44187</v>
      </c>
      <c r="B1483" s="116">
        <v>800.5</v>
      </c>
      <c r="C1483" s="116">
        <v>797.65</v>
      </c>
      <c r="D1483" s="116">
        <v>768.5</v>
      </c>
      <c r="E1483" s="116">
        <v>783</v>
      </c>
      <c r="F1483" s="116">
        <v>797.65</v>
      </c>
      <c r="G1483">
        <v>38126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44188</v>
      </c>
      <c r="B1484" s="116">
        <v>824.1</v>
      </c>
      <c r="C1484" s="116">
        <v>820.35</v>
      </c>
      <c r="D1484" s="116">
        <v>794.25</v>
      </c>
      <c r="E1484" s="116">
        <v>797.7</v>
      </c>
      <c r="F1484" s="116">
        <v>820.35</v>
      </c>
      <c r="G1484">
        <v>25261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44189</v>
      </c>
      <c r="B1485" s="116">
        <v>828.05</v>
      </c>
      <c r="C1485" s="116">
        <v>809.7</v>
      </c>
      <c r="D1485" s="116">
        <v>807.15</v>
      </c>
      <c r="E1485" s="116">
        <v>820</v>
      </c>
      <c r="F1485" s="116">
        <v>809.7</v>
      </c>
      <c r="G1485">
        <v>37156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44193</v>
      </c>
      <c r="B1486" s="116">
        <v>820.95</v>
      </c>
      <c r="C1486" s="116">
        <v>816.05</v>
      </c>
      <c r="D1486" s="116">
        <v>810</v>
      </c>
      <c r="E1486" s="116">
        <v>814.2</v>
      </c>
      <c r="F1486" s="116">
        <v>816.05</v>
      </c>
      <c r="G1486">
        <v>18231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44194</v>
      </c>
      <c r="B1487" s="116">
        <v>822</v>
      </c>
      <c r="C1487" s="116">
        <v>813.9</v>
      </c>
      <c r="D1487" s="116">
        <v>809.35</v>
      </c>
      <c r="E1487" s="116">
        <v>820</v>
      </c>
      <c r="F1487" s="116">
        <v>813.9</v>
      </c>
      <c r="G1487">
        <v>24281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44195</v>
      </c>
      <c r="B1488" s="116">
        <v>820.9</v>
      </c>
      <c r="C1488" s="116">
        <v>819.4</v>
      </c>
      <c r="D1488" s="116">
        <v>810.05</v>
      </c>
      <c r="E1488" s="116">
        <v>818.5</v>
      </c>
      <c r="F1488" s="116">
        <v>819.4</v>
      </c>
      <c r="G1488">
        <v>30048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44196</v>
      </c>
      <c r="B1489" s="116">
        <v>827.7</v>
      </c>
      <c r="C1489" s="116">
        <v>826</v>
      </c>
      <c r="D1489" s="116">
        <v>812.3</v>
      </c>
      <c r="E1489" s="116">
        <v>819.5</v>
      </c>
      <c r="F1489" s="116">
        <v>826</v>
      </c>
      <c r="G1489">
        <v>30964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44197</v>
      </c>
      <c r="B1490" s="116">
        <v>833.45</v>
      </c>
      <c r="C1490" s="116">
        <v>831</v>
      </c>
      <c r="D1490" s="116">
        <v>822.3</v>
      </c>
      <c r="E1490" s="116">
        <v>826.3</v>
      </c>
      <c r="F1490" s="116">
        <v>831</v>
      </c>
      <c r="G1490">
        <v>29071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44200</v>
      </c>
      <c r="B1491" s="116">
        <v>848.75</v>
      </c>
      <c r="C1491" s="116">
        <v>845.9</v>
      </c>
      <c r="D1491" s="116">
        <v>830</v>
      </c>
      <c r="E1491" s="116">
        <v>830</v>
      </c>
      <c r="F1491" s="116">
        <v>845.9</v>
      </c>
      <c r="G1491">
        <v>44194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44201</v>
      </c>
      <c r="B1492" s="116">
        <v>853.15</v>
      </c>
      <c r="C1492" s="116">
        <v>838</v>
      </c>
      <c r="D1492" s="116">
        <v>830.6</v>
      </c>
      <c r="E1492" s="116">
        <v>847</v>
      </c>
      <c r="F1492" s="116">
        <v>838</v>
      </c>
      <c r="G1492">
        <v>41813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44202</v>
      </c>
      <c r="B1493" s="116">
        <v>877.5</v>
      </c>
      <c r="C1493" s="116">
        <v>869.3</v>
      </c>
      <c r="D1493" s="116">
        <v>835.15</v>
      </c>
      <c r="E1493" s="116">
        <v>842</v>
      </c>
      <c r="F1493" s="116">
        <v>869.3</v>
      </c>
      <c r="G1493">
        <v>103890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44203</v>
      </c>
      <c r="B1494" s="116">
        <v>887.55</v>
      </c>
      <c r="C1494" s="116">
        <v>881.7</v>
      </c>
      <c r="D1494" s="116">
        <v>869.3</v>
      </c>
      <c r="E1494" s="116">
        <v>869.3</v>
      </c>
      <c r="F1494" s="116">
        <v>881.7</v>
      </c>
      <c r="G1494">
        <v>60103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44204</v>
      </c>
      <c r="B1495" s="116">
        <v>908.95</v>
      </c>
      <c r="C1495" s="116">
        <v>903.5</v>
      </c>
      <c r="D1495" s="116">
        <v>882</v>
      </c>
      <c r="E1495" s="116">
        <v>885</v>
      </c>
      <c r="F1495" s="116">
        <v>903.5</v>
      </c>
      <c r="G1495">
        <v>83201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44207</v>
      </c>
      <c r="B1496" s="116">
        <v>917.6</v>
      </c>
      <c r="C1496" s="116">
        <v>915.1</v>
      </c>
      <c r="D1496" s="116">
        <v>882.8</v>
      </c>
      <c r="E1496" s="116">
        <v>904.5</v>
      </c>
      <c r="F1496" s="116">
        <v>915.1</v>
      </c>
      <c r="G1496">
        <v>78377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44208</v>
      </c>
      <c r="B1497" s="116">
        <v>922</v>
      </c>
      <c r="C1497" s="116">
        <v>903.75</v>
      </c>
      <c r="D1497" s="116">
        <v>900</v>
      </c>
      <c r="E1497" s="116">
        <v>915</v>
      </c>
      <c r="F1497" s="116">
        <v>903.75</v>
      </c>
      <c r="G1497">
        <v>39699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44209</v>
      </c>
      <c r="B1498" s="116">
        <v>912</v>
      </c>
      <c r="C1498" s="116">
        <v>896.4</v>
      </c>
      <c r="D1498" s="116">
        <v>882.15</v>
      </c>
      <c r="E1498" s="116">
        <v>903.75</v>
      </c>
      <c r="F1498" s="116">
        <v>896.4</v>
      </c>
      <c r="G1498">
        <v>44255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44210</v>
      </c>
      <c r="B1499" s="116">
        <v>926.5</v>
      </c>
      <c r="C1499" s="116">
        <v>911.7</v>
      </c>
      <c r="D1499" s="116">
        <v>898</v>
      </c>
      <c r="E1499" s="116">
        <v>898</v>
      </c>
      <c r="F1499" s="116">
        <v>911.7</v>
      </c>
      <c r="G1499">
        <v>77001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44211</v>
      </c>
      <c r="B1500" s="116">
        <v>917.75</v>
      </c>
      <c r="C1500" s="116">
        <v>887.95</v>
      </c>
      <c r="D1500" s="116">
        <v>882</v>
      </c>
      <c r="E1500" s="116">
        <v>909</v>
      </c>
      <c r="F1500" s="116">
        <v>887.95</v>
      </c>
      <c r="G1500">
        <v>30082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44214</v>
      </c>
      <c r="B1501" s="116">
        <v>903.35</v>
      </c>
      <c r="C1501" s="116">
        <v>891.9</v>
      </c>
      <c r="D1501" s="116">
        <v>876.9</v>
      </c>
      <c r="E1501" s="116">
        <v>882</v>
      </c>
      <c r="F1501" s="116">
        <v>891.9</v>
      </c>
      <c r="G1501">
        <v>39937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44215</v>
      </c>
      <c r="B1502" s="116">
        <v>910.5</v>
      </c>
      <c r="C1502" s="116">
        <v>908.85</v>
      </c>
      <c r="D1502" s="116">
        <v>892.15</v>
      </c>
      <c r="E1502" s="116">
        <v>892.9</v>
      </c>
      <c r="F1502" s="116">
        <v>908.85</v>
      </c>
      <c r="G1502">
        <v>36171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44216</v>
      </c>
      <c r="B1503" s="116">
        <v>918.4</v>
      </c>
      <c r="C1503" s="116">
        <v>911.15</v>
      </c>
      <c r="D1503" s="116">
        <v>901.1</v>
      </c>
      <c r="E1503" s="116">
        <v>910</v>
      </c>
      <c r="F1503" s="116">
        <v>911.15</v>
      </c>
      <c r="G1503">
        <v>22239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44217</v>
      </c>
      <c r="B1504" s="116">
        <v>995.2</v>
      </c>
      <c r="C1504" s="116">
        <v>955.75</v>
      </c>
      <c r="D1504" s="116">
        <v>930</v>
      </c>
      <c r="E1504" s="116">
        <v>930</v>
      </c>
      <c r="F1504" s="116">
        <v>955.75</v>
      </c>
      <c r="G1504">
        <v>241714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44218</v>
      </c>
      <c r="B1505" s="116">
        <v>969</v>
      </c>
      <c r="C1505" s="116">
        <v>934.25</v>
      </c>
      <c r="D1505" s="116">
        <v>917.3</v>
      </c>
      <c r="E1505" s="116">
        <v>953.25</v>
      </c>
      <c r="F1505" s="116">
        <v>934.25</v>
      </c>
      <c r="G1505">
        <v>119065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44221</v>
      </c>
      <c r="B1506" s="116">
        <v>959.9</v>
      </c>
      <c r="C1506" s="116">
        <v>941.85</v>
      </c>
      <c r="D1506" s="116">
        <v>914</v>
      </c>
      <c r="E1506" s="116">
        <v>945</v>
      </c>
      <c r="F1506" s="116">
        <v>941.85</v>
      </c>
      <c r="G1506">
        <v>78646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44223</v>
      </c>
      <c r="B1507" s="116">
        <v>944.15</v>
      </c>
      <c r="C1507" s="116">
        <v>913.95</v>
      </c>
      <c r="D1507" s="116">
        <v>908.2</v>
      </c>
      <c r="E1507" s="116">
        <v>935</v>
      </c>
      <c r="F1507" s="116">
        <v>913.95</v>
      </c>
      <c r="G1507">
        <v>51830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44224</v>
      </c>
      <c r="B1508" s="116">
        <v>942.5</v>
      </c>
      <c r="C1508" s="116">
        <v>933.95</v>
      </c>
      <c r="D1508" s="116">
        <v>904.05</v>
      </c>
      <c r="E1508" s="116">
        <v>910</v>
      </c>
      <c r="F1508" s="116">
        <v>933.95</v>
      </c>
      <c r="G1508">
        <v>121763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44225</v>
      </c>
      <c r="B1509" s="116">
        <v>945</v>
      </c>
      <c r="C1509" s="116">
        <v>908.5</v>
      </c>
      <c r="D1509" s="116">
        <v>897.4</v>
      </c>
      <c r="E1509" s="116">
        <v>940</v>
      </c>
      <c r="F1509" s="116">
        <v>908.5</v>
      </c>
      <c r="G1509">
        <v>79753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44228</v>
      </c>
      <c r="B1510" s="116">
        <v>949.35</v>
      </c>
      <c r="C1510" s="116">
        <v>937.55</v>
      </c>
      <c r="D1510" s="116">
        <v>903.5</v>
      </c>
      <c r="E1510" s="116">
        <v>908.5</v>
      </c>
      <c r="F1510" s="116">
        <v>937.55</v>
      </c>
      <c r="G1510">
        <v>69497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44229</v>
      </c>
      <c r="B1511" s="116">
        <v>998.35</v>
      </c>
      <c r="C1511" s="116">
        <v>988.2</v>
      </c>
      <c r="D1511" s="116">
        <v>941.65</v>
      </c>
      <c r="E1511" s="116">
        <v>948</v>
      </c>
      <c r="F1511" s="116">
        <v>988.2</v>
      </c>
      <c r="G1511">
        <v>125083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44230</v>
      </c>
      <c r="B1512" s="116">
        <v>1030</v>
      </c>
      <c r="C1512" s="116">
        <v>1004.15</v>
      </c>
      <c r="D1512" s="116">
        <v>990.3</v>
      </c>
      <c r="E1512" s="116">
        <v>990.3</v>
      </c>
      <c r="F1512" s="116">
        <v>1004.15</v>
      </c>
      <c r="G1512">
        <v>95880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44231</v>
      </c>
      <c r="B1513" s="116">
        <v>1022</v>
      </c>
      <c r="C1513" s="116">
        <v>1003.1</v>
      </c>
      <c r="D1513" s="116">
        <v>998.85</v>
      </c>
      <c r="E1513" s="116">
        <v>999.45</v>
      </c>
      <c r="F1513" s="116">
        <v>1003.1</v>
      </c>
      <c r="G1513">
        <v>56172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44232</v>
      </c>
      <c r="B1514" s="116">
        <v>1041.3</v>
      </c>
      <c r="C1514" s="116">
        <v>1000.6</v>
      </c>
      <c r="D1514" s="116">
        <v>989.9</v>
      </c>
      <c r="E1514" s="116">
        <v>1009</v>
      </c>
      <c r="F1514" s="116">
        <v>1000.6</v>
      </c>
      <c r="G1514">
        <v>105796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44235</v>
      </c>
      <c r="B1515" s="116">
        <v>1045.9000000000001</v>
      </c>
      <c r="C1515" s="116">
        <v>1039.2</v>
      </c>
      <c r="D1515" s="116">
        <v>1005</v>
      </c>
      <c r="E1515" s="116">
        <v>1009</v>
      </c>
      <c r="F1515" s="116">
        <v>1039.2</v>
      </c>
      <c r="G1515">
        <v>118329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44236</v>
      </c>
      <c r="B1516" s="116">
        <v>1089.55</v>
      </c>
      <c r="C1516" s="116">
        <v>1080.1500000000001</v>
      </c>
      <c r="D1516" s="116">
        <v>1039</v>
      </c>
      <c r="E1516" s="116">
        <v>1040</v>
      </c>
      <c r="F1516" s="116">
        <v>1080.1500000000001</v>
      </c>
      <c r="G1516">
        <v>177475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44237</v>
      </c>
      <c r="B1517" s="116">
        <v>1095.55</v>
      </c>
      <c r="C1517" s="116">
        <v>1090.1500000000001</v>
      </c>
      <c r="D1517" s="116">
        <v>1020.35</v>
      </c>
      <c r="E1517" s="116">
        <v>1020.35</v>
      </c>
      <c r="F1517" s="116">
        <v>1090.1500000000001</v>
      </c>
      <c r="G1517">
        <v>86489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44238</v>
      </c>
      <c r="B1518" s="116">
        <v>1110.05</v>
      </c>
      <c r="C1518" s="116">
        <v>1101.05</v>
      </c>
      <c r="D1518" s="116">
        <v>1080.1500000000001</v>
      </c>
      <c r="E1518" s="116">
        <v>1090.1500000000001</v>
      </c>
      <c r="F1518" s="116">
        <v>1101.05</v>
      </c>
      <c r="G1518">
        <v>60589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44239</v>
      </c>
      <c r="B1519" s="116">
        <v>1131.2</v>
      </c>
      <c r="C1519" s="116">
        <v>1079.0999999999999</v>
      </c>
      <c r="D1519" s="116">
        <v>1060.55</v>
      </c>
      <c r="E1519" s="116">
        <v>1103</v>
      </c>
      <c r="F1519" s="116">
        <v>1079.0999999999999</v>
      </c>
      <c r="G1519">
        <v>276594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44242</v>
      </c>
      <c r="B1520" s="116">
        <v>1104</v>
      </c>
      <c r="C1520" s="116">
        <v>1057.95</v>
      </c>
      <c r="D1520" s="116">
        <v>1052.5999999999999</v>
      </c>
      <c r="E1520" s="116">
        <v>1104</v>
      </c>
      <c r="F1520" s="116">
        <v>1057.95</v>
      </c>
      <c r="G1520">
        <v>185508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44243</v>
      </c>
      <c r="B1521" s="116">
        <v>1079.9000000000001</v>
      </c>
      <c r="C1521" s="116">
        <v>1036.05</v>
      </c>
      <c r="D1521" s="116">
        <v>1026.05</v>
      </c>
      <c r="E1521" s="116">
        <v>1079.9000000000001</v>
      </c>
      <c r="F1521" s="116">
        <v>1036.05</v>
      </c>
      <c r="G1521">
        <v>85682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44244</v>
      </c>
      <c r="B1522" s="116">
        <v>1048.25</v>
      </c>
      <c r="C1522" s="116">
        <v>1033.4000000000001</v>
      </c>
      <c r="D1522" s="116">
        <v>1017.35</v>
      </c>
      <c r="E1522" s="116">
        <v>1037</v>
      </c>
      <c r="F1522" s="116">
        <v>1033.4000000000001</v>
      </c>
      <c r="G1522">
        <v>68306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44245</v>
      </c>
      <c r="B1523" s="116">
        <v>1041</v>
      </c>
      <c r="C1523" s="116">
        <v>1017.3</v>
      </c>
      <c r="D1523" s="116">
        <v>1003</v>
      </c>
      <c r="E1523" s="116">
        <v>1041</v>
      </c>
      <c r="F1523" s="116">
        <v>1017.3</v>
      </c>
      <c r="G1523">
        <v>63316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44246</v>
      </c>
      <c r="B1524" s="116">
        <v>1032.75</v>
      </c>
      <c r="C1524" s="116">
        <v>1001.25</v>
      </c>
      <c r="D1524" s="116">
        <v>992.8</v>
      </c>
      <c r="E1524" s="116">
        <v>1012.45</v>
      </c>
      <c r="F1524" s="116">
        <v>1001.25</v>
      </c>
      <c r="G1524">
        <v>66917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44249</v>
      </c>
      <c r="B1525" s="116">
        <v>1015</v>
      </c>
      <c r="C1525" s="116">
        <v>991.8</v>
      </c>
      <c r="D1525" s="116">
        <v>984.95</v>
      </c>
      <c r="E1525" s="116">
        <v>1003</v>
      </c>
      <c r="F1525" s="116">
        <v>991.8</v>
      </c>
      <c r="G1525">
        <v>71650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44250</v>
      </c>
      <c r="B1526" s="116">
        <v>1021.3</v>
      </c>
      <c r="C1526" s="116">
        <v>1014.8</v>
      </c>
      <c r="D1526" s="116">
        <v>979.5</v>
      </c>
      <c r="E1526" s="116">
        <v>989</v>
      </c>
      <c r="F1526" s="116">
        <v>1014.8</v>
      </c>
      <c r="G1526">
        <v>55178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44251</v>
      </c>
      <c r="B1527" s="116">
        <v>1090.5999999999999</v>
      </c>
      <c r="C1527" s="116">
        <v>1013.75</v>
      </c>
      <c r="D1527" s="116">
        <v>971.9</v>
      </c>
      <c r="E1527" s="116">
        <v>1020</v>
      </c>
      <c r="F1527" s="116">
        <v>1013.75</v>
      </c>
      <c r="G1527">
        <v>177672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44252</v>
      </c>
      <c r="B1528" s="116">
        <v>1054.5999999999999</v>
      </c>
      <c r="C1528" s="116">
        <v>1049.0999999999999</v>
      </c>
      <c r="D1528" s="116">
        <v>1017.65</v>
      </c>
      <c r="E1528" s="116">
        <v>1025</v>
      </c>
      <c r="F1528" s="116">
        <v>1049.0999999999999</v>
      </c>
      <c r="G1528">
        <v>129669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44253</v>
      </c>
      <c r="B1529" s="116">
        <v>1053.8</v>
      </c>
      <c r="C1529" s="116">
        <v>1017.3</v>
      </c>
      <c r="D1529" s="116">
        <v>1009.85</v>
      </c>
      <c r="E1529" s="116">
        <v>1044.2</v>
      </c>
      <c r="F1529" s="116">
        <v>1017.3</v>
      </c>
      <c r="G1529">
        <v>113032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44256</v>
      </c>
      <c r="B1530" s="116">
        <v>1062.4000000000001</v>
      </c>
      <c r="C1530" s="116">
        <v>1044.1500000000001</v>
      </c>
      <c r="D1530" s="116">
        <v>1021.95</v>
      </c>
      <c r="E1530" s="116">
        <v>1040</v>
      </c>
      <c r="F1530" s="116">
        <v>1044.1500000000001</v>
      </c>
      <c r="G1530">
        <v>52793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44257</v>
      </c>
      <c r="B1531" s="116">
        <v>1072.0999999999999</v>
      </c>
      <c r="C1531" s="116">
        <v>1067.7</v>
      </c>
      <c r="D1531" s="116">
        <v>1040</v>
      </c>
      <c r="E1531" s="116">
        <v>1040</v>
      </c>
      <c r="F1531" s="116">
        <v>1067.7</v>
      </c>
      <c r="G1531">
        <v>99262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44258</v>
      </c>
      <c r="B1532" s="116">
        <v>1081</v>
      </c>
      <c r="C1532" s="116">
        <v>1072.5999999999999</v>
      </c>
      <c r="D1532" s="116">
        <v>1064.3499999999999</v>
      </c>
      <c r="E1532" s="116">
        <v>1077.0999999999999</v>
      </c>
      <c r="F1532" s="116">
        <v>1072.5999999999999</v>
      </c>
      <c r="G1532">
        <v>107917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44259</v>
      </c>
      <c r="B1533" s="116">
        <v>1091</v>
      </c>
      <c r="C1533" s="116">
        <v>1071.2</v>
      </c>
      <c r="D1533" s="116">
        <v>1054.05</v>
      </c>
      <c r="E1533" s="116">
        <v>1070</v>
      </c>
      <c r="F1533" s="116">
        <v>1071.2</v>
      </c>
      <c r="G1533">
        <v>54902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44260</v>
      </c>
      <c r="B1534" s="116">
        <v>1080</v>
      </c>
      <c r="C1534" s="116">
        <v>1031.55</v>
      </c>
      <c r="D1534" s="116">
        <v>1029</v>
      </c>
      <c r="E1534" s="116">
        <v>1080</v>
      </c>
      <c r="F1534" s="116">
        <v>1031.55</v>
      </c>
      <c r="G1534">
        <v>83264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44263</v>
      </c>
      <c r="B1535" s="116">
        <v>1057.5999999999999</v>
      </c>
      <c r="C1535" s="116">
        <v>1049.2</v>
      </c>
      <c r="D1535" s="116">
        <v>1032.9000000000001</v>
      </c>
      <c r="E1535" s="116">
        <v>1048</v>
      </c>
      <c r="F1535" s="116">
        <v>1049.2</v>
      </c>
      <c r="G1535">
        <v>87100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44264</v>
      </c>
      <c r="B1536" s="116">
        <v>1055.3499999999999</v>
      </c>
      <c r="C1536" s="116">
        <v>1040.8</v>
      </c>
      <c r="D1536" s="116">
        <v>1031.4000000000001</v>
      </c>
      <c r="E1536" s="116">
        <v>1052.5</v>
      </c>
      <c r="F1536" s="116">
        <v>1040.8</v>
      </c>
      <c r="G1536">
        <v>72860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44265</v>
      </c>
      <c r="B1537" s="116">
        <v>1070</v>
      </c>
      <c r="C1537" s="116">
        <v>1061.5</v>
      </c>
      <c r="D1537" s="116">
        <v>1047.5</v>
      </c>
      <c r="E1537" s="116">
        <v>1053</v>
      </c>
      <c r="F1537" s="116">
        <v>1061.5</v>
      </c>
      <c r="G1537">
        <v>46032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44267</v>
      </c>
      <c r="B1538" s="116">
        <v>1084.8</v>
      </c>
      <c r="C1538" s="116">
        <v>1053.2</v>
      </c>
      <c r="D1538" s="116">
        <v>1046.3</v>
      </c>
      <c r="E1538" s="116">
        <v>1063.1500000000001</v>
      </c>
      <c r="F1538" s="116">
        <v>1053.2</v>
      </c>
      <c r="G1538">
        <v>103244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44270</v>
      </c>
      <c r="B1539" s="116">
        <v>1079.9000000000001</v>
      </c>
      <c r="C1539" s="116">
        <v>1058.55</v>
      </c>
      <c r="D1539" s="116">
        <v>1053.05</v>
      </c>
      <c r="E1539" s="116">
        <v>1064</v>
      </c>
      <c r="F1539" s="116">
        <v>1058.55</v>
      </c>
      <c r="G1539">
        <v>81769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44271</v>
      </c>
      <c r="B1540" s="116">
        <v>1067.7</v>
      </c>
      <c r="C1540" s="116">
        <v>1030.3499999999999</v>
      </c>
      <c r="D1540" s="116">
        <v>1025.5</v>
      </c>
      <c r="E1540" s="116">
        <v>1058.2</v>
      </c>
      <c r="F1540" s="116">
        <v>1030.3499999999999</v>
      </c>
      <c r="G1540">
        <v>75515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44272</v>
      </c>
      <c r="B1541" s="116">
        <v>1032.1500000000001</v>
      </c>
      <c r="C1541" s="116">
        <v>1000.7</v>
      </c>
      <c r="D1541" s="116">
        <v>998</v>
      </c>
      <c r="E1541" s="116">
        <v>1032.1500000000001</v>
      </c>
      <c r="F1541" s="116">
        <v>1000.7</v>
      </c>
      <c r="G1541">
        <v>76780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44273</v>
      </c>
      <c r="B1542" s="116">
        <v>1023.5</v>
      </c>
      <c r="C1542" s="116">
        <v>985.55</v>
      </c>
      <c r="D1542" s="116">
        <v>969.2</v>
      </c>
      <c r="E1542" s="116">
        <v>1023.5</v>
      </c>
      <c r="F1542" s="116">
        <v>985.55</v>
      </c>
      <c r="G1542">
        <v>135741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44274</v>
      </c>
      <c r="B1543" s="116">
        <v>988.25</v>
      </c>
      <c r="C1543" s="116">
        <v>980.25</v>
      </c>
      <c r="D1543" s="116">
        <v>962.75</v>
      </c>
      <c r="E1543" s="116">
        <v>970</v>
      </c>
      <c r="F1543" s="116">
        <v>980.25</v>
      </c>
      <c r="G1543">
        <v>103069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44277</v>
      </c>
      <c r="B1544" s="116">
        <v>1012.5</v>
      </c>
      <c r="C1544" s="116">
        <v>997.85</v>
      </c>
      <c r="D1544" s="116">
        <v>972.8</v>
      </c>
      <c r="E1544" s="116">
        <v>985.25</v>
      </c>
      <c r="F1544" s="116">
        <v>997.85</v>
      </c>
      <c r="G1544">
        <v>100688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44278</v>
      </c>
      <c r="B1545" s="116">
        <v>1014.5</v>
      </c>
      <c r="C1545" s="116">
        <v>1001.05</v>
      </c>
      <c r="D1545" s="116">
        <v>993</v>
      </c>
      <c r="E1545" s="116">
        <v>1014.5</v>
      </c>
      <c r="F1545" s="116">
        <v>1001.05</v>
      </c>
      <c r="G1545">
        <v>48313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44279</v>
      </c>
      <c r="B1546" s="116">
        <v>1011.55</v>
      </c>
      <c r="C1546" s="116">
        <v>984.55</v>
      </c>
      <c r="D1546" s="116">
        <v>982.65</v>
      </c>
      <c r="E1546" s="116">
        <v>996</v>
      </c>
      <c r="F1546" s="116">
        <v>984.55</v>
      </c>
      <c r="G1546">
        <v>69492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44280</v>
      </c>
      <c r="B1547" s="116">
        <v>1000</v>
      </c>
      <c r="C1547" s="116">
        <v>959.65</v>
      </c>
      <c r="D1547" s="116">
        <v>954</v>
      </c>
      <c r="E1547" s="116">
        <v>1000</v>
      </c>
      <c r="F1547" s="116">
        <v>959.65</v>
      </c>
      <c r="G1547">
        <v>37247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44281</v>
      </c>
      <c r="B1548" s="116">
        <v>987.25</v>
      </c>
      <c r="C1548" s="116">
        <v>978.95</v>
      </c>
      <c r="D1548" s="116">
        <v>962</v>
      </c>
      <c r="E1548" s="116">
        <v>962</v>
      </c>
      <c r="F1548" s="116">
        <v>978.95</v>
      </c>
      <c r="G1548">
        <v>49167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44285</v>
      </c>
      <c r="B1549" s="116">
        <v>1004.45</v>
      </c>
      <c r="C1549" s="116">
        <v>992.85</v>
      </c>
      <c r="D1549" s="116">
        <v>982.5</v>
      </c>
      <c r="E1549" s="116">
        <v>990</v>
      </c>
      <c r="F1549" s="116">
        <v>992.85</v>
      </c>
      <c r="G1549">
        <v>50917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44286</v>
      </c>
      <c r="B1550" s="116">
        <v>1010.95</v>
      </c>
      <c r="C1550" s="116">
        <v>1001.85</v>
      </c>
      <c r="D1550" s="116">
        <v>990.05</v>
      </c>
      <c r="E1550" s="116">
        <v>1007</v>
      </c>
      <c r="F1550" s="116">
        <v>1001.85</v>
      </c>
      <c r="G1550">
        <v>62282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44287</v>
      </c>
      <c r="B1551" s="116">
        <v>1018</v>
      </c>
      <c r="C1551" s="116">
        <v>1005.25</v>
      </c>
      <c r="D1551" s="116">
        <v>1002.4</v>
      </c>
      <c r="E1551" s="116">
        <v>1018</v>
      </c>
      <c r="F1551" s="116">
        <v>1005.25</v>
      </c>
      <c r="G1551">
        <v>25513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44291</v>
      </c>
      <c r="B1552" s="116">
        <v>1008</v>
      </c>
      <c r="C1552" s="116">
        <v>976.45</v>
      </c>
      <c r="D1552" s="116">
        <v>961.65</v>
      </c>
      <c r="E1552" s="116">
        <v>1003</v>
      </c>
      <c r="F1552" s="116">
        <v>976.45</v>
      </c>
      <c r="G1552">
        <v>49925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44292</v>
      </c>
      <c r="B1553" s="116">
        <v>990</v>
      </c>
      <c r="C1553" s="116">
        <v>974.45</v>
      </c>
      <c r="D1553" s="116">
        <v>964.15</v>
      </c>
      <c r="E1553" s="116">
        <v>990</v>
      </c>
      <c r="F1553" s="116">
        <v>974.45</v>
      </c>
      <c r="G1553">
        <v>55232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44293</v>
      </c>
      <c r="B1554" s="116">
        <v>1018.35</v>
      </c>
      <c r="C1554" s="116">
        <v>999.2</v>
      </c>
      <c r="D1554" s="116">
        <v>975.9</v>
      </c>
      <c r="E1554" s="116">
        <v>989</v>
      </c>
      <c r="F1554" s="116">
        <v>999.2</v>
      </c>
      <c r="G1554">
        <v>96076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44294</v>
      </c>
      <c r="B1555" s="116">
        <v>1016</v>
      </c>
      <c r="C1555" s="116">
        <v>1004.7</v>
      </c>
      <c r="D1555" s="116">
        <v>1000</v>
      </c>
      <c r="E1555" s="116">
        <v>1013.95</v>
      </c>
      <c r="F1555" s="116">
        <v>1004.7</v>
      </c>
      <c r="G1555">
        <v>32126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44295</v>
      </c>
      <c r="B1556" s="116">
        <v>1027</v>
      </c>
      <c r="C1556" s="116">
        <v>1006.25</v>
      </c>
      <c r="D1556" s="116">
        <v>1002.95</v>
      </c>
      <c r="E1556" s="116">
        <v>1005</v>
      </c>
      <c r="F1556" s="116">
        <v>1006.25</v>
      </c>
      <c r="G1556">
        <v>123234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44298</v>
      </c>
      <c r="B1557" s="116">
        <v>994.1</v>
      </c>
      <c r="C1557" s="116">
        <v>951.4</v>
      </c>
      <c r="D1557" s="116">
        <v>940.65</v>
      </c>
      <c r="E1557" s="116">
        <v>986</v>
      </c>
      <c r="F1557" s="116">
        <v>951.4</v>
      </c>
      <c r="G1557">
        <v>214560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44299</v>
      </c>
      <c r="B1558" s="116">
        <v>969.75</v>
      </c>
      <c r="C1558" s="116">
        <v>959.35</v>
      </c>
      <c r="D1558" s="116">
        <v>946.2</v>
      </c>
      <c r="E1558" s="116">
        <v>960</v>
      </c>
      <c r="F1558" s="116">
        <v>959.35</v>
      </c>
      <c r="G1558">
        <v>91953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44301</v>
      </c>
      <c r="B1559" s="116">
        <v>959.35</v>
      </c>
      <c r="C1559" s="116">
        <v>947.3</v>
      </c>
      <c r="D1559" s="116">
        <v>939.45</v>
      </c>
      <c r="E1559" s="116">
        <v>954.2</v>
      </c>
      <c r="F1559" s="116">
        <v>947.3</v>
      </c>
      <c r="G1559">
        <v>59332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44302</v>
      </c>
      <c r="B1560" s="116">
        <v>968.9</v>
      </c>
      <c r="C1560" s="116">
        <v>959.05</v>
      </c>
      <c r="D1560" s="116">
        <v>940</v>
      </c>
      <c r="E1560" s="116">
        <v>940</v>
      </c>
      <c r="F1560" s="116">
        <v>959.05</v>
      </c>
      <c r="G1560">
        <v>99747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44305</v>
      </c>
      <c r="B1561" s="116">
        <v>959.9</v>
      </c>
      <c r="C1561" s="116">
        <v>956.95</v>
      </c>
      <c r="D1561" s="116">
        <v>918</v>
      </c>
      <c r="E1561" s="116">
        <v>939</v>
      </c>
      <c r="F1561" s="116">
        <v>956.95</v>
      </c>
      <c r="G1561">
        <v>79970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44306</v>
      </c>
      <c r="B1562" s="116">
        <v>973.6</v>
      </c>
      <c r="C1562" s="116">
        <v>940.95</v>
      </c>
      <c r="D1562" s="116">
        <v>935.8</v>
      </c>
      <c r="E1562" s="116">
        <v>957.05</v>
      </c>
      <c r="F1562" s="116">
        <v>940.95</v>
      </c>
      <c r="G1562">
        <v>138372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44308</v>
      </c>
      <c r="B1563" s="116">
        <v>969</v>
      </c>
      <c r="C1563" s="116">
        <v>940.1</v>
      </c>
      <c r="D1563" s="116">
        <v>935</v>
      </c>
      <c r="E1563" s="116">
        <v>969</v>
      </c>
      <c r="F1563" s="116">
        <v>940.1</v>
      </c>
      <c r="G1563">
        <v>103389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44309</v>
      </c>
      <c r="B1564" s="116">
        <v>956.55</v>
      </c>
      <c r="C1564" s="116">
        <v>939.15</v>
      </c>
      <c r="D1564" s="116">
        <v>934.3</v>
      </c>
      <c r="E1564" s="116">
        <v>939.4</v>
      </c>
      <c r="F1564" s="116">
        <v>939.15</v>
      </c>
      <c r="G1564">
        <v>66432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44312</v>
      </c>
      <c r="B1565" s="116">
        <v>950</v>
      </c>
      <c r="C1565" s="116">
        <v>946</v>
      </c>
      <c r="D1565" s="116">
        <v>941.05</v>
      </c>
      <c r="E1565" s="116">
        <v>944</v>
      </c>
      <c r="F1565" s="116">
        <v>946</v>
      </c>
      <c r="G1565">
        <v>30634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44313</v>
      </c>
      <c r="B1566" s="116">
        <v>981</v>
      </c>
      <c r="C1566" s="116">
        <v>976.2</v>
      </c>
      <c r="D1566" s="116">
        <v>943.5</v>
      </c>
      <c r="E1566" s="116">
        <v>948.35</v>
      </c>
      <c r="F1566" s="116">
        <v>976.2</v>
      </c>
      <c r="G1566">
        <v>32241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44314</v>
      </c>
      <c r="B1567" s="116">
        <v>984.9</v>
      </c>
      <c r="C1567" s="116">
        <v>962.6</v>
      </c>
      <c r="D1567" s="116">
        <v>957.2</v>
      </c>
      <c r="E1567" s="116">
        <v>984.9</v>
      </c>
      <c r="F1567" s="116">
        <v>962.6</v>
      </c>
      <c r="G1567">
        <v>39757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44315</v>
      </c>
      <c r="B1568" s="116">
        <v>989.3</v>
      </c>
      <c r="C1568" s="116">
        <v>967.3</v>
      </c>
      <c r="D1568" s="116">
        <v>962</v>
      </c>
      <c r="E1568" s="116">
        <v>968</v>
      </c>
      <c r="F1568" s="116">
        <v>967.3</v>
      </c>
      <c r="G1568">
        <v>74636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44316</v>
      </c>
      <c r="B1569" s="116">
        <v>977.35</v>
      </c>
      <c r="C1569" s="116">
        <v>957.1</v>
      </c>
      <c r="D1569" s="116">
        <v>954.9</v>
      </c>
      <c r="E1569" s="116">
        <v>960</v>
      </c>
      <c r="F1569" s="116">
        <v>957.1</v>
      </c>
      <c r="G1569">
        <v>62896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44319</v>
      </c>
      <c r="B1570" s="116">
        <v>962.05</v>
      </c>
      <c r="C1570" s="116">
        <v>957.9</v>
      </c>
      <c r="D1570" s="116">
        <v>938</v>
      </c>
      <c r="E1570" s="116">
        <v>955</v>
      </c>
      <c r="F1570" s="116">
        <v>957.9</v>
      </c>
      <c r="G1570">
        <v>69365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44320</v>
      </c>
      <c r="B1571" s="116">
        <v>972.15</v>
      </c>
      <c r="C1571" s="116">
        <v>963.35</v>
      </c>
      <c r="D1571" s="116">
        <v>955.05</v>
      </c>
      <c r="E1571" s="116">
        <v>965.45</v>
      </c>
      <c r="F1571" s="116">
        <v>963.35</v>
      </c>
      <c r="G1571">
        <v>72630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44321</v>
      </c>
      <c r="B1572" s="116">
        <v>993.2</v>
      </c>
      <c r="C1572" s="116">
        <v>971.8</v>
      </c>
      <c r="D1572" s="116">
        <v>965.55</v>
      </c>
      <c r="E1572" s="116">
        <v>979.3</v>
      </c>
      <c r="F1572" s="116">
        <v>971.8</v>
      </c>
      <c r="G1572">
        <v>61401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44322</v>
      </c>
      <c r="B1573" s="116">
        <v>988.9</v>
      </c>
      <c r="C1573" s="116">
        <v>984.3</v>
      </c>
      <c r="D1573" s="116">
        <v>965.9</v>
      </c>
      <c r="E1573" s="116">
        <v>984</v>
      </c>
      <c r="F1573" s="116">
        <v>984.3</v>
      </c>
      <c r="G1573">
        <v>56565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44323</v>
      </c>
      <c r="B1574" s="116">
        <v>994</v>
      </c>
      <c r="C1574" s="116">
        <v>969.3</v>
      </c>
      <c r="D1574" s="116">
        <v>963.9</v>
      </c>
      <c r="E1574" s="116">
        <v>994</v>
      </c>
      <c r="F1574" s="116">
        <v>969.3</v>
      </c>
      <c r="G1574">
        <v>63226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44326</v>
      </c>
      <c r="B1575" s="116">
        <v>988</v>
      </c>
      <c r="C1575" s="116">
        <v>968.4</v>
      </c>
      <c r="D1575" s="116">
        <v>961.45</v>
      </c>
      <c r="E1575" s="116">
        <v>988</v>
      </c>
      <c r="F1575" s="116">
        <v>968.4</v>
      </c>
      <c r="G1575">
        <v>29575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44327</v>
      </c>
      <c r="B1576" s="116">
        <v>1015.95</v>
      </c>
      <c r="C1576" s="116">
        <v>1010.3</v>
      </c>
      <c r="D1576" s="116">
        <v>962.45</v>
      </c>
      <c r="E1576" s="116">
        <v>969</v>
      </c>
      <c r="F1576" s="116">
        <v>1010.3</v>
      </c>
      <c r="G1576">
        <v>300356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44328</v>
      </c>
      <c r="B1577" s="116">
        <v>1020</v>
      </c>
      <c r="C1577" s="116">
        <v>970.55</v>
      </c>
      <c r="D1577" s="116">
        <v>962.25</v>
      </c>
      <c r="E1577" s="116">
        <v>1020</v>
      </c>
      <c r="F1577" s="116">
        <v>970.55</v>
      </c>
      <c r="G1577">
        <v>287208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44330</v>
      </c>
      <c r="B1578" s="116">
        <v>1040</v>
      </c>
      <c r="C1578" s="116">
        <v>999.75</v>
      </c>
      <c r="D1578" s="116">
        <v>963.7</v>
      </c>
      <c r="E1578" s="116">
        <v>1040</v>
      </c>
      <c r="F1578" s="116">
        <v>999.75</v>
      </c>
      <c r="G1578">
        <v>151540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44333</v>
      </c>
      <c r="B1579" s="116">
        <v>1000</v>
      </c>
      <c r="C1579" s="116">
        <v>983.15</v>
      </c>
      <c r="D1579" s="116">
        <v>953.95</v>
      </c>
      <c r="E1579" s="116">
        <v>1000</v>
      </c>
      <c r="F1579" s="116">
        <v>983.15</v>
      </c>
      <c r="G1579">
        <v>113752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44334</v>
      </c>
      <c r="B1580" s="116">
        <v>1012.45</v>
      </c>
      <c r="C1580" s="116">
        <v>1007.45</v>
      </c>
      <c r="D1580" s="116">
        <v>986</v>
      </c>
      <c r="E1580" s="116">
        <v>990</v>
      </c>
      <c r="F1580" s="116">
        <v>1007.45</v>
      </c>
      <c r="G1580">
        <v>52943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44335</v>
      </c>
      <c r="B1581" s="116">
        <v>1033.8499999999999</v>
      </c>
      <c r="C1581" s="116">
        <v>1020.05</v>
      </c>
      <c r="D1581" s="116">
        <v>999</v>
      </c>
      <c r="E1581" s="116">
        <v>1029.8</v>
      </c>
      <c r="F1581" s="116">
        <v>1020.05</v>
      </c>
      <c r="G1581">
        <v>104094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44336</v>
      </c>
      <c r="B1582" s="116">
        <v>1028.55</v>
      </c>
      <c r="C1582" s="116">
        <v>1008.65</v>
      </c>
      <c r="D1582" s="116">
        <v>1001.45</v>
      </c>
      <c r="E1582" s="116">
        <v>1022.2</v>
      </c>
      <c r="F1582" s="116">
        <v>1008.65</v>
      </c>
      <c r="G1582">
        <v>71917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44337</v>
      </c>
      <c r="B1583" s="116">
        <v>1016.05</v>
      </c>
      <c r="C1583" s="116">
        <v>999.95</v>
      </c>
      <c r="D1583" s="116">
        <v>993.55</v>
      </c>
      <c r="E1583" s="116">
        <v>1005</v>
      </c>
      <c r="F1583" s="116">
        <v>999.95</v>
      </c>
      <c r="G1583">
        <v>30892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44340</v>
      </c>
      <c r="B1584" s="116">
        <v>1010.85</v>
      </c>
      <c r="C1584" s="116">
        <v>996.9</v>
      </c>
      <c r="D1584" s="116">
        <v>992.5</v>
      </c>
      <c r="E1584" s="116">
        <v>1000</v>
      </c>
      <c r="F1584" s="116">
        <v>996.9</v>
      </c>
      <c r="G1584">
        <v>56037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44341</v>
      </c>
      <c r="B1585" s="116">
        <v>1006</v>
      </c>
      <c r="C1585" s="116">
        <v>988.45</v>
      </c>
      <c r="D1585" s="116">
        <v>985.65</v>
      </c>
      <c r="E1585" s="116">
        <v>995.6</v>
      </c>
      <c r="F1585" s="116">
        <v>988.45</v>
      </c>
      <c r="G1585">
        <v>43921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44342</v>
      </c>
      <c r="B1586" s="116">
        <v>995.4</v>
      </c>
      <c r="C1586" s="116">
        <v>990.15</v>
      </c>
      <c r="D1586" s="116">
        <v>975.3</v>
      </c>
      <c r="E1586" s="116">
        <v>992.3</v>
      </c>
      <c r="F1586" s="116">
        <v>990.15</v>
      </c>
      <c r="G1586">
        <v>49975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44343</v>
      </c>
      <c r="B1587" s="116">
        <v>1001.55</v>
      </c>
      <c r="C1587" s="116">
        <v>996.55</v>
      </c>
      <c r="D1587" s="116">
        <v>985.6</v>
      </c>
      <c r="E1587" s="116">
        <v>996</v>
      </c>
      <c r="F1587" s="116">
        <v>996.55</v>
      </c>
      <c r="G1587">
        <v>54650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44344</v>
      </c>
      <c r="B1588" s="116">
        <v>1008.5</v>
      </c>
      <c r="C1588" s="116">
        <v>1000.05</v>
      </c>
      <c r="D1588" s="116">
        <v>997.05</v>
      </c>
      <c r="E1588" s="116">
        <v>1000.4</v>
      </c>
      <c r="F1588" s="116">
        <v>1000.05</v>
      </c>
      <c r="G1588">
        <v>30743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44347</v>
      </c>
      <c r="B1589" s="116">
        <v>1014.9</v>
      </c>
      <c r="C1589" s="116">
        <v>1006.6</v>
      </c>
      <c r="D1589" s="116">
        <v>998.55</v>
      </c>
      <c r="E1589" s="116">
        <v>1001.55</v>
      </c>
      <c r="F1589" s="116">
        <v>1006.6</v>
      </c>
      <c r="G1589">
        <v>47532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44348</v>
      </c>
      <c r="B1590" s="116">
        <v>1019.7</v>
      </c>
      <c r="C1590" s="116">
        <v>1013.85</v>
      </c>
      <c r="D1590" s="116">
        <v>1006.5</v>
      </c>
      <c r="E1590" s="116">
        <v>1013.45</v>
      </c>
      <c r="F1590" s="116">
        <v>1013.85</v>
      </c>
      <c r="G1590">
        <v>25548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44349</v>
      </c>
      <c r="B1591" s="116">
        <v>1038.4000000000001</v>
      </c>
      <c r="C1591" s="116">
        <v>1034.4000000000001</v>
      </c>
      <c r="D1591" s="116">
        <v>1007.6</v>
      </c>
      <c r="E1591" s="116">
        <v>1015</v>
      </c>
      <c r="F1591" s="116">
        <v>1034.4000000000001</v>
      </c>
      <c r="G1591">
        <v>104029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44350</v>
      </c>
      <c r="B1592" s="116">
        <v>1118</v>
      </c>
      <c r="C1592" s="116">
        <v>1111.75</v>
      </c>
      <c r="D1592" s="116">
        <v>1037.05</v>
      </c>
      <c r="E1592" s="116">
        <v>1040</v>
      </c>
      <c r="F1592" s="116">
        <v>1111.75</v>
      </c>
      <c r="G1592">
        <v>449764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44351</v>
      </c>
      <c r="B1593" s="116">
        <v>1124.9000000000001</v>
      </c>
      <c r="C1593" s="116">
        <v>1103.9000000000001</v>
      </c>
      <c r="D1593" s="116">
        <v>1098.1500000000001</v>
      </c>
      <c r="E1593" s="116">
        <v>1117.8499999999999</v>
      </c>
      <c r="F1593" s="116">
        <v>1103.9000000000001</v>
      </c>
      <c r="G1593">
        <v>173992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44354</v>
      </c>
      <c r="B1594" s="116">
        <v>1118.5</v>
      </c>
      <c r="C1594" s="116">
        <v>1097.1500000000001</v>
      </c>
      <c r="D1594" s="116">
        <v>1093.7</v>
      </c>
      <c r="E1594" s="116">
        <v>1105</v>
      </c>
      <c r="F1594" s="116">
        <v>1097.1500000000001</v>
      </c>
      <c r="G1594">
        <v>68404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44355</v>
      </c>
      <c r="B1595" s="116">
        <v>1104</v>
      </c>
      <c r="C1595" s="116">
        <v>1071.5</v>
      </c>
      <c r="D1595" s="116">
        <v>1070</v>
      </c>
      <c r="E1595" s="116">
        <v>1101</v>
      </c>
      <c r="F1595" s="116">
        <v>1071.5</v>
      </c>
      <c r="G1595">
        <v>65884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44356</v>
      </c>
      <c r="B1596" s="116">
        <v>1076.55</v>
      </c>
      <c r="C1596" s="116">
        <v>1045.9000000000001</v>
      </c>
      <c r="D1596" s="116">
        <v>1042.5999999999999</v>
      </c>
      <c r="E1596" s="116">
        <v>1071.45</v>
      </c>
      <c r="F1596" s="116">
        <v>1045.9000000000001</v>
      </c>
      <c r="G1596">
        <v>37095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44357</v>
      </c>
      <c r="B1597" s="116">
        <v>1059.2</v>
      </c>
      <c r="C1597" s="116">
        <v>1055.1500000000001</v>
      </c>
      <c r="D1597" s="116">
        <v>1045.3499999999999</v>
      </c>
      <c r="E1597" s="116">
        <v>1051.05</v>
      </c>
      <c r="F1597" s="116">
        <v>1055.1500000000001</v>
      </c>
      <c r="G1597">
        <v>28032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44358</v>
      </c>
      <c r="B1598" s="116">
        <v>1062</v>
      </c>
      <c r="C1598" s="116">
        <v>1046</v>
      </c>
      <c r="D1598" s="116">
        <v>1039.0999999999999</v>
      </c>
      <c r="E1598" s="116">
        <v>1056.0999999999999</v>
      </c>
      <c r="F1598" s="116">
        <v>1046</v>
      </c>
      <c r="G1598">
        <v>26498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44361</v>
      </c>
      <c r="B1599" s="116">
        <v>1048</v>
      </c>
      <c r="C1599" s="116">
        <v>1043.25</v>
      </c>
      <c r="D1599" s="116">
        <v>1021.1</v>
      </c>
      <c r="E1599" s="116">
        <v>1048</v>
      </c>
      <c r="F1599" s="116">
        <v>1043.25</v>
      </c>
      <c r="G1599">
        <v>41957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44362</v>
      </c>
      <c r="B1600" s="116">
        <v>1067.8499999999999</v>
      </c>
      <c r="C1600" s="116">
        <v>1061.3</v>
      </c>
      <c r="D1600" s="116">
        <v>1047.05</v>
      </c>
      <c r="E1600" s="116">
        <v>1048.9000000000001</v>
      </c>
      <c r="F1600" s="116">
        <v>1061.3</v>
      </c>
      <c r="G1600">
        <v>81019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44363</v>
      </c>
      <c r="B1601" s="116">
        <v>1064.7</v>
      </c>
      <c r="C1601" s="116">
        <v>1029.0999999999999</v>
      </c>
      <c r="D1601" s="116">
        <v>1023.15</v>
      </c>
      <c r="E1601" s="116">
        <v>1064.7</v>
      </c>
      <c r="F1601" s="116">
        <v>1029.0999999999999</v>
      </c>
      <c r="G1601">
        <v>527451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44364</v>
      </c>
      <c r="B1602" s="116">
        <v>1043.25</v>
      </c>
      <c r="C1602" s="116">
        <v>1030.5</v>
      </c>
      <c r="D1602" s="116">
        <v>1013.6</v>
      </c>
      <c r="E1602" s="116">
        <v>1016.05</v>
      </c>
      <c r="F1602" s="116">
        <v>1030.5</v>
      </c>
      <c r="G1602">
        <v>66633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44365</v>
      </c>
      <c r="B1603" s="116">
        <v>1039</v>
      </c>
      <c r="C1603" s="116">
        <v>1028.8499999999999</v>
      </c>
      <c r="D1603" s="116">
        <v>1002.45</v>
      </c>
      <c r="E1603" s="116">
        <v>1032.6500000000001</v>
      </c>
      <c r="F1603" s="116">
        <v>1028.8499999999999</v>
      </c>
      <c r="G1603">
        <v>60764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44368</v>
      </c>
      <c r="B1604" s="116">
        <v>1025</v>
      </c>
      <c r="C1604" s="116">
        <v>1019.25</v>
      </c>
      <c r="D1604" s="116">
        <v>1008.65</v>
      </c>
      <c r="E1604" s="116">
        <v>1025</v>
      </c>
      <c r="F1604" s="116">
        <v>1019.25</v>
      </c>
      <c r="G1604">
        <v>20951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44369</v>
      </c>
      <c r="B1605" s="116">
        <v>1030</v>
      </c>
      <c r="C1605" s="116">
        <v>1020.5</v>
      </c>
      <c r="D1605" s="116">
        <v>1017.6</v>
      </c>
      <c r="E1605" s="116">
        <v>1025.3</v>
      </c>
      <c r="F1605" s="116">
        <v>1020.5</v>
      </c>
      <c r="G1605">
        <v>23671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44370</v>
      </c>
      <c r="B1606" s="116">
        <v>1045.8499999999999</v>
      </c>
      <c r="C1606" s="116">
        <v>1030.3</v>
      </c>
      <c r="D1606" s="116">
        <v>1018.8</v>
      </c>
      <c r="E1606" s="116">
        <v>1023</v>
      </c>
      <c r="F1606" s="116">
        <v>1030.3</v>
      </c>
      <c r="G1606">
        <v>85168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44371</v>
      </c>
      <c r="B1607" s="116">
        <v>1037</v>
      </c>
      <c r="C1607" s="116">
        <v>1023.95</v>
      </c>
      <c r="D1607" s="116">
        <v>1019.25</v>
      </c>
      <c r="E1607" s="116">
        <v>1030</v>
      </c>
      <c r="F1607" s="116">
        <v>1023.95</v>
      </c>
      <c r="G1607">
        <v>100138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44372</v>
      </c>
      <c r="B1608" s="116">
        <v>1038</v>
      </c>
      <c r="C1608" s="116">
        <v>1029.3</v>
      </c>
      <c r="D1608" s="116">
        <v>1024.3499999999999</v>
      </c>
      <c r="E1608" s="116">
        <v>1031.9000000000001</v>
      </c>
      <c r="F1608" s="116">
        <v>1029.3</v>
      </c>
      <c r="G1608">
        <v>42109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44375</v>
      </c>
      <c r="B1609" s="116">
        <v>1061</v>
      </c>
      <c r="C1609" s="116">
        <v>1042.7</v>
      </c>
      <c r="D1609" s="116">
        <v>1033.6500000000001</v>
      </c>
      <c r="E1609" s="116">
        <v>1035</v>
      </c>
      <c r="F1609" s="116">
        <v>1042.7</v>
      </c>
      <c r="G1609">
        <v>65664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44376</v>
      </c>
      <c r="B1610" s="116">
        <v>1051</v>
      </c>
      <c r="C1610" s="116">
        <v>1028.25</v>
      </c>
      <c r="D1610" s="116">
        <v>1016.15</v>
      </c>
      <c r="E1610" s="116">
        <v>1045</v>
      </c>
      <c r="F1610" s="116">
        <v>1028.25</v>
      </c>
      <c r="G1610">
        <v>1170784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44377</v>
      </c>
      <c r="B1611" s="116">
        <v>1040.25</v>
      </c>
      <c r="C1611" s="116">
        <v>1022.35</v>
      </c>
      <c r="D1611" s="116">
        <v>1015.75</v>
      </c>
      <c r="E1611" s="116">
        <v>1040.25</v>
      </c>
      <c r="F1611" s="116">
        <v>1022.35</v>
      </c>
      <c r="G1611">
        <v>25259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44378</v>
      </c>
      <c r="B1612" s="116">
        <v>1033</v>
      </c>
      <c r="C1612" s="116">
        <v>1013.65</v>
      </c>
      <c r="D1612" s="116">
        <v>1012</v>
      </c>
      <c r="E1612" s="116">
        <v>1033</v>
      </c>
      <c r="F1612" s="116">
        <v>1013.65</v>
      </c>
      <c r="G1612">
        <v>20329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44379</v>
      </c>
      <c r="B1613" s="116">
        <v>1018</v>
      </c>
      <c r="C1613" s="116">
        <v>1013.65</v>
      </c>
      <c r="D1613" s="116">
        <v>997.75</v>
      </c>
      <c r="E1613" s="116">
        <v>1018</v>
      </c>
      <c r="F1613" s="116">
        <v>1013.65</v>
      </c>
      <c r="G1613">
        <v>45571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44382</v>
      </c>
      <c r="B1614" s="116">
        <v>1025.1500000000001</v>
      </c>
      <c r="C1614" s="116">
        <v>1014.1</v>
      </c>
      <c r="D1614" s="116">
        <v>1012.8</v>
      </c>
      <c r="E1614" s="116">
        <v>1025.1500000000001</v>
      </c>
      <c r="F1614" s="116">
        <v>1014.1</v>
      </c>
      <c r="G1614">
        <v>15935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44383</v>
      </c>
      <c r="B1615" s="116">
        <v>1027.5999999999999</v>
      </c>
      <c r="C1615" s="116">
        <v>1012.75</v>
      </c>
      <c r="D1615" s="116">
        <v>1010.45</v>
      </c>
      <c r="E1615" s="116">
        <v>1020</v>
      </c>
      <c r="F1615" s="116">
        <v>1012.75</v>
      </c>
      <c r="G1615">
        <v>20713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44384</v>
      </c>
      <c r="B1616" s="116">
        <v>1015.8</v>
      </c>
      <c r="C1616" s="116">
        <v>1005.55</v>
      </c>
      <c r="D1616" s="116">
        <v>1003.05</v>
      </c>
      <c r="E1616" s="116">
        <v>1014.1</v>
      </c>
      <c r="F1616" s="116">
        <v>1005.55</v>
      </c>
      <c r="G1616">
        <v>25901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44385</v>
      </c>
      <c r="B1617" s="116">
        <v>1024.45</v>
      </c>
      <c r="C1617" s="116">
        <v>1011.25</v>
      </c>
      <c r="D1617" s="116">
        <v>1006.65</v>
      </c>
      <c r="E1617" s="116">
        <v>1009.9</v>
      </c>
      <c r="F1617" s="116">
        <v>1011.25</v>
      </c>
      <c r="G1617">
        <v>53995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44386</v>
      </c>
      <c r="B1618" s="116">
        <v>1018</v>
      </c>
      <c r="C1618" s="116">
        <v>1015.65</v>
      </c>
      <c r="D1618" s="116">
        <v>1002.9</v>
      </c>
      <c r="E1618" s="116">
        <v>1018</v>
      </c>
      <c r="F1618" s="116">
        <v>1015.65</v>
      </c>
      <c r="G1618">
        <v>16779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44389</v>
      </c>
      <c r="B1619" s="116">
        <v>1027.8499999999999</v>
      </c>
      <c r="C1619" s="116">
        <v>1017.25</v>
      </c>
      <c r="D1619" s="116">
        <v>1013</v>
      </c>
      <c r="E1619" s="116">
        <v>1013</v>
      </c>
      <c r="F1619" s="116">
        <v>1017.25</v>
      </c>
      <c r="G1619">
        <v>30189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44390</v>
      </c>
      <c r="B1620" s="116">
        <v>1037.5</v>
      </c>
      <c r="C1620" s="116">
        <v>1032.8</v>
      </c>
      <c r="D1620" s="116">
        <v>1018.1</v>
      </c>
      <c r="E1620" s="116">
        <v>1028</v>
      </c>
      <c r="F1620" s="116">
        <v>1032.8</v>
      </c>
      <c r="G1620">
        <v>1612823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44391</v>
      </c>
      <c r="B1621" s="116">
        <v>1045.3</v>
      </c>
      <c r="C1621" s="116">
        <v>1030.45</v>
      </c>
      <c r="D1621" s="116">
        <v>1027.75</v>
      </c>
      <c r="E1621" s="116">
        <v>1041.7</v>
      </c>
      <c r="F1621" s="116">
        <v>1030.45</v>
      </c>
      <c r="G1621">
        <v>52244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44392</v>
      </c>
      <c r="B1622" s="116">
        <v>1048.45</v>
      </c>
      <c r="C1622" s="116">
        <v>1042.45</v>
      </c>
      <c r="D1622" s="116">
        <v>1033</v>
      </c>
      <c r="E1622" s="116">
        <v>1033</v>
      </c>
      <c r="F1622" s="116">
        <v>1042.45</v>
      </c>
      <c r="G1622">
        <v>28114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44393</v>
      </c>
      <c r="B1623" s="116">
        <v>1061.3499999999999</v>
      </c>
      <c r="C1623" s="116">
        <v>1051.3</v>
      </c>
      <c r="D1623" s="116">
        <v>1038.25</v>
      </c>
      <c r="E1623" s="116">
        <v>1044</v>
      </c>
      <c r="F1623" s="116">
        <v>1051.3</v>
      </c>
      <c r="G1623">
        <v>30693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44396</v>
      </c>
      <c r="B1624" s="116">
        <v>1052.95</v>
      </c>
      <c r="C1624" s="116">
        <v>1039.1500000000001</v>
      </c>
      <c r="D1624" s="116">
        <v>1032.0999999999999</v>
      </c>
      <c r="E1624" s="116">
        <v>1045</v>
      </c>
      <c r="F1624" s="116">
        <v>1039.1500000000001</v>
      </c>
      <c r="G1624">
        <v>35671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44397</v>
      </c>
      <c r="B1625" s="116">
        <v>1041.05</v>
      </c>
      <c r="C1625" s="116">
        <v>1026.55</v>
      </c>
      <c r="D1625" s="116">
        <v>1005</v>
      </c>
      <c r="E1625" s="116">
        <v>1034</v>
      </c>
      <c r="F1625" s="116">
        <v>1026.55</v>
      </c>
      <c r="G1625">
        <v>31154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44399</v>
      </c>
      <c r="B1626" s="116">
        <v>1056</v>
      </c>
      <c r="C1626" s="116">
        <v>1049.05</v>
      </c>
      <c r="D1626" s="116">
        <v>1026</v>
      </c>
      <c r="E1626" s="116">
        <v>1035.2</v>
      </c>
      <c r="F1626" s="116">
        <v>1049.05</v>
      </c>
      <c r="G1626">
        <v>37246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44400</v>
      </c>
      <c r="B1627" s="116">
        <v>1055</v>
      </c>
      <c r="C1627" s="116">
        <v>1045.6500000000001</v>
      </c>
      <c r="D1627" s="116">
        <v>1043.55</v>
      </c>
      <c r="E1627" s="116">
        <v>1054</v>
      </c>
      <c r="F1627" s="116">
        <v>1045.6500000000001</v>
      </c>
      <c r="G1627">
        <v>12975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44403</v>
      </c>
      <c r="B1628" s="116">
        <v>1046</v>
      </c>
      <c r="C1628" s="116">
        <v>1026.75</v>
      </c>
      <c r="D1628" s="116">
        <v>1025.2</v>
      </c>
      <c r="E1628" s="116">
        <v>1045</v>
      </c>
      <c r="F1628" s="116">
        <v>1026.75</v>
      </c>
      <c r="G1628">
        <v>23975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44404</v>
      </c>
      <c r="B1629" s="116">
        <v>1049</v>
      </c>
      <c r="C1629" s="116">
        <v>1019.95</v>
      </c>
      <c r="D1629" s="116">
        <v>1018.45</v>
      </c>
      <c r="E1629" s="116">
        <v>1037.9000000000001</v>
      </c>
      <c r="F1629" s="116">
        <v>1019.95</v>
      </c>
      <c r="G1629">
        <v>31610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44405</v>
      </c>
      <c r="B1630" s="116">
        <v>1025</v>
      </c>
      <c r="C1630" s="116">
        <v>1016.6</v>
      </c>
      <c r="D1630" s="116">
        <v>1008.7</v>
      </c>
      <c r="E1630" s="116">
        <v>1021</v>
      </c>
      <c r="F1630" s="116">
        <v>1016.6</v>
      </c>
      <c r="G1630">
        <v>17814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44406</v>
      </c>
      <c r="B1631" s="116">
        <v>1033.5</v>
      </c>
      <c r="C1631" s="116">
        <v>1031</v>
      </c>
      <c r="D1631" s="116">
        <v>1015</v>
      </c>
      <c r="E1631" s="116">
        <v>1015</v>
      </c>
      <c r="F1631" s="116">
        <v>1031</v>
      </c>
      <c r="G1631">
        <v>31740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44407</v>
      </c>
      <c r="B1632" s="116">
        <v>1064.6500000000001</v>
      </c>
      <c r="C1632" s="116">
        <v>1059.3499999999999</v>
      </c>
      <c r="D1632" s="116">
        <v>1027.3499999999999</v>
      </c>
      <c r="E1632" s="116">
        <v>1029.45</v>
      </c>
      <c r="F1632" s="116">
        <v>1059.3499999999999</v>
      </c>
      <c r="G1632">
        <v>58948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44410</v>
      </c>
      <c r="B1633" s="116">
        <v>1079.5</v>
      </c>
      <c r="C1633" s="116">
        <v>1053.3499999999999</v>
      </c>
      <c r="D1633" s="116">
        <v>1050.45</v>
      </c>
      <c r="E1633" s="116">
        <v>1069.95</v>
      </c>
      <c r="F1633" s="116">
        <v>1053.3499999999999</v>
      </c>
      <c r="G1633">
        <v>102427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44411</v>
      </c>
      <c r="B1634" s="116">
        <v>1060.3499999999999</v>
      </c>
      <c r="C1634" s="116">
        <v>1035.5</v>
      </c>
      <c r="D1634" s="116">
        <v>1033.0999999999999</v>
      </c>
      <c r="E1634" s="116">
        <v>1055</v>
      </c>
      <c r="F1634" s="116">
        <v>1035.5</v>
      </c>
      <c r="G1634">
        <v>37420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44412</v>
      </c>
      <c r="B1635" s="116">
        <v>1048.5</v>
      </c>
      <c r="C1635" s="116">
        <v>1032.7</v>
      </c>
      <c r="D1635" s="116">
        <v>1027.9000000000001</v>
      </c>
      <c r="E1635" s="116">
        <v>1045</v>
      </c>
      <c r="F1635" s="116">
        <v>1032.7</v>
      </c>
      <c r="G1635">
        <v>44275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44413</v>
      </c>
      <c r="B1636" s="116">
        <v>1048</v>
      </c>
      <c r="C1636" s="116">
        <v>1045.1500000000001</v>
      </c>
      <c r="D1636" s="116">
        <v>1024.4000000000001</v>
      </c>
      <c r="E1636" s="116">
        <v>1042</v>
      </c>
      <c r="F1636" s="116">
        <v>1045.1500000000001</v>
      </c>
      <c r="G1636">
        <v>35916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44414</v>
      </c>
      <c r="B1637" s="116">
        <v>1073.6500000000001</v>
      </c>
      <c r="C1637" s="116">
        <v>1048.3499999999999</v>
      </c>
      <c r="D1637" s="116">
        <v>1036.3</v>
      </c>
      <c r="E1637" s="116">
        <v>1049.95</v>
      </c>
      <c r="F1637" s="116">
        <v>1048.3499999999999</v>
      </c>
      <c r="G1637">
        <v>120761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44417</v>
      </c>
      <c r="B1638" s="116">
        <v>1050.7</v>
      </c>
      <c r="C1638" s="116">
        <v>1024.8</v>
      </c>
      <c r="D1638" s="116">
        <v>1020.2</v>
      </c>
      <c r="E1638" s="116">
        <v>1050</v>
      </c>
      <c r="F1638" s="116">
        <v>1024.8</v>
      </c>
      <c r="G1638">
        <v>30765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44418</v>
      </c>
      <c r="B1639" s="116">
        <v>1028</v>
      </c>
      <c r="C1639" s="116">
        <v>998.5</v>
      </c>
      <c r="D1639" s="116">
        <v>991.15</v>
      </c>
      <c r="E1639" s="116">
        <v>1022</v>
      </c>
      <c r="F1639" s="116">
        <v>998.5</v>
      </c>
      <c r="G1639">
        <v>62588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44419</v>
      </c>
      <c r="B1640" s="116">
        <v>1003</v>
      </c>
      <c r="C1640" s="116">
        <v>1000.8</v>
      </c>
      <c r="D1640" s="116">
        <v>955.7</v>
      </c>
      <c r="E1640" s="116">
        <v>998.5</v>
      </c>
      <c r="F1640" s="116">
        <v>1000.8</v>
      </c>
      <c r="G1640">
        <v>129159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44420</v>
      </c>
      <c r="B1641" s="116">
        <v>1007.7</v>
      </c>
      <c r="C1641" s="116">
        <v>986.35</v>
      </c>
      <c r="D1641" s="116">
        <v>982.25</v>
      </c>
      <c r="E1641" s="116">
        <v>1000</v>
      </c>
      <c r="F1641" s="116">
        <v>986.35</v>
      </c>
      <c r="G1641">
        <v>45671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44421</v>
      </c>
      <c r="B1642" s="116">
        <v>999</v>
      </c>
      <c r="C1642" s="116">
        <v>985.1</v>
      </c>
      <c r="D1642" s="116">
        <v>979.4</v>
      </c>
      <c r="E1642" s="116">
        <v>988</v>
      </c>
      <c r="F1642" s="116">
        <v>985.1</v>
      </c>
      <c r="G1642">
        <v>1358527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44424</v>
      </c>
      <c r="B1643" s="116">
        <v>990</v>
      </c>
      <c r="C1643" s="116">
        <v>987.7</v>
      </c>
      <c r="D1643" s="116">
        <v>968.5</v>
      </c>
      <c r="E1643" s="116">
        <v>980</v>
      </c>
      <c r="F1643" s="116">
        <v>987.7</v>
      </c>
      <c r="G1643">
        <v>20262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44425</v>
      </c>
      <c r="B1644" s="116">
        <v>995.7</v>
      </c>
      <c r="C1644" s="116">
        <v>989.65</v>
      </c>
      <c r="D1644" s="116">
        <v>979.35</v>
      </c>
      <c r="E1644" s="116">
        <v>990</v>
      </c>
      <c r="F1644" s="116">
        <v>989.65</v>
      </c>
      <c r="G1644">
        <v>42276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44426</v>
      </c>
      <c r="B1645" s="116">
        <v>996.8</v>
      </c>
      <c r="C1645" s="116">
        <v>987.55</v>
      </c>
      <c r="D1645" s="116">
        <v>983.75</v>
      </c>
      <c r="E1645" s="116">
        <v>994.5</v>
      </c>
      <c r="F1645" s="116">
        <v>987.55</v>
      </c>
      <c r="G1645">
        <v>25973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44428</v>
      </c>
      <c r="B1646" s="116">
        <v>988.95</v>
      </c>
      <c r="C1646" s="116">
        <v>976.9</v>
      </c>
      <c r="D1646" s="116">
        <v>969.45</v>
      </c>
      <c r="E1646" s="116">
        <v>985</v>
      </c>
      <c r="F1646" s="116">
        <v>976.9</v>
      </c>
      <c r="G1646">
        <v>18786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44431</v>
      </c>
      <c r="B1647" s="116">
        <v>997.25</v>
      </c>
      <c r="C1647" s="116">
        <v>973.45</v>
      </c>
      <c r="D1647" s="116">
        <v>961</v>
      </c>
      <c r="E1647" s="116">
        <v>997.25</v>
      </c>
      <c r="F1647" s="116">
        <v>973.45</v>
      </c>
      <c r="G1647">
        <v>19952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44432</v>
      </c>
      <c r="B1648" s="116">
        <v>979.55</v>
      </c>
      <c r="C1648" s="116">
        <v>973.8</v>
      </c>
      <c r="D1648" s="116">
        <v>962.9</v>
      </c>
      <c r="E1648" s="116">
        <v>976.9</v>
      </c>
      <c r="F1648" s="116">
        <v>973.8</v>
      </c>
      <c r="G1648">
        <v>31845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44433</v>
      </c>
      <c r="B1649" s="116">
        <v>975.45</v>
      </c>
      <c r="C1649" s="116">
        <v>960.2</v>
      </c>
      <c r="D1649" s="116">
        <v>955.25</v>
      </c>
      <c r="E1649" s="116">
        <v>973</v>
      </c>
      <c r="F1649" s="116">
        <v>960.2</v>
      </c>
      <c r="G1649">
        <v>49501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44434</v>
      </c>
      <c r="B1650" s="116">
        <v>974</v>
      </c>
      <c r="C1650" s="116">
        <v>957.65</v>
      </c>
      <c r="D1650" s="116">
        <v>955.2</v>
      </c>
      <c r="E1650" s="116">
        <v>974</v>
      </c>
      <c r="F1650" s="116">
        <v>957.65</v>
      </c>
      <c r="G1650">
        <v>41295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44435</v>
      </c>
      <c r="B1651" s="116">
        <v>990.5</v>
      </c>
      <c r="C1651" s="116">
        <v>984.75</v>
      </c>
      <c r="D1651" s="116">
        <v>958</v>
      </c>
      <c r="E1651" s="116">
        <v>962</v>
      </c>
      <c r="F1651" s="116">
        <v>984.75</v>
      </c>
      <c r="G1651">
        <v>261677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44438</v>
      </c>
      <c r="B1652" s="116">
        <v>997.1</v>
      </c>
      <c r="C1652" s="116">
        <v>986.1</v>
      </c>
      <c r="D1652" s="116">
        <v>980</v>
      </c>
      <c r="E1652" s="116">
        <v>980</v>
      </c>
      <c r="F1652" s="116">
        <v>986.1</v>
      </c>
      <c r="G1652">
        <v>22070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44439</v>
      </c>
      <c r="B1653" s="116">
        <v>1001.65</v>
      </c>
      <c r="C1653" s="116">
        <v>995.3</v>
      </c>
      <c r="D1653" s="116">
        <v>986.25</v>
      </c>
      <c r="E1653" s="116">
        <v>994.9</v>
      </c>
      <c r="F1653" s="116">
        <v>995.3</v>
      </c>
      <c r="G1653">
        <v>20716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44440</v>
      </c>
      <c r="B1654" s="116">
        <v>1049.55</v>
      </c>
      <c r="C1654" s="116">
        <v>1046</v>
      </c>
      <c r="D1654" s="116">
        <v>1004.9</v>
      </c>
      <c r="E1654" s="116">
        <v>1007.4</v>
      </c>
      <c r="F1654" s="116">
        <v>1046</v>
      </c>
      <c r="G1654">
        <v>239381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44441</v>
      </c>
      <c r="B1655" s="116">
        <v>1098</v>
      </c>
      <c r="C1655" s="116">
        <v>1084.95</v>
      </c>
      <c r="D1655" s="116">
        <v>1048.45</v>
      </c>
      <c r="E1655" s="116">
        <v>1052.8</v>
      </c>
      <c r="F1655" s="116">
        <v>1084.95</v>
      </c>
      <c r="G1655">
        <v>293799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44442</v>
      </c>
      <c r="B1656" s="116">
        <v>1097.2</v>
      </c>
      <c r="C1656" s="116">
        <v>1088.75</v>
      </c>
      <c r="D1656" s="116">
        <v>1082.05</v>
      </c>
      <c r="E1656" s="116">
        <v>1085</v>
      </c>
      <c r="F1656" s="116">
        <v>1088.75</v>
      </c>
      <c r="G1656">
        <v>33247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44445</v>
      </c>
      <c r="B1657" s="116">
        <v>1137.25</v>
      </c>
      <c r="C1657" s="116">
        <v>1123.25</v>
      </c>
      <c r="D1657" s="116">
        <v>1092.45</v>
      </c>
      <c r="E1657" s="116">
        <v>1094</v>
      </c>
      <c r="F1657" s="116">
        <v>1123.25</v>
      </c>
      <c r="G1657">
        <v>151746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44446</v>
      </c>
      <c r="B1658" s="116">
        <v>1208.3</v>
      </c>
      <c r="C1658" s="116">
        <v>1186.6500000000001</v>
      </c>
      <c r="D1658" s="116">
        <v>1126.0999999999999</v>
      </c>
      <c r="E1658" s="116">
        <v>1130</v>
      </c>
      <c r="F1658" s="116">
        <v>1186.6500000000001</v>
      </c>
      <c r="G1658">
        <v>312161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44447</v>
      </c>
      <c r="B1659" s="116">
        <v>1218</v>
      </c>
      <c r="C1659" s="116">
        <v>1205.75</v>
      </c>
      <c r="D1659" s="116">
        <v>1179.6500000000001</v>
      </c>
      <c r="E1659" s="116">
        <v>1194.95</v>
      </c>
      <c r="F1659" s="116">
        <v>1205.75</v>
      </c>
      <c r="G1659">
        <v>106421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44448</v>
      </c>
      <c r="B1660" s="116">
        <v>1218.95</v>
      </c>
      <c r="C1660" s="116">
        <v>1212.9000000000001</v>
      </c>
      <c r="D1660" s="116">
        <v>1195.5</v>
      </c>
      <c r="E1660" s="116">
        <v>1209.5</v>
      </c>
      <c r="F1660" s="116">
        <v>1212.9000000000001</v>
      </c>
      <c r="G1660">
        <v>75329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44452</v>
      </c>
      <c r="B1661" s="116">
        <v>1219.1500000000001</v>
      </c>
      <c r="C1661" s="116">
        <v>1213.5</v>
      </c>
      <c r="D1661" s="116">
        <v>1201.8499999999999</v>
      </c>
      <c r="E1661" s="116">
        <v>1213</v>
      </c>
      <c r="F1661" s="116">
        <v>1213.5</v>
      </c>
      <c r="G1661">
        <v>41777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44453</v>
      </c>
      <c r="B1662" s="116">
        <v>1233.9000000000001</v>
      </c>
      <c r="C1662" s="116">
        <v>1227.8499999999999</v>
      </c>
      <c r="D1662" s="116">
        <v>1213.75</v>
      </c>
      <c r="E1662" s="116">
        <v>1219</v>
      </c>
      <c r="F1662" s="116">
        <v>1227.8499999999999</v>
      </c>
      <c r="G1662">
        <v>133902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44454</v>
      </c>
      <c r="B1663" s="116">
        <v>1248.45</v>
      </c>
      <c r="C1663" s="116">
        <v>1242.3499999999999</v>
      </c>
      <c r="D1663" s="116">
        <v>1227.8499999999999</v>
      </c>
      <c r="E1663" s="116">
        <v>1230</v>
      </c>
      <c r="F1663" s="116">
        <v>1242.3499999999999</v>
      </c>
      <c r="G1663">
        <v>50214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44455</v>
      </c>
      <c r="B1664" s="116">
        <v>1252</v>
      </c>
      <c r="C1664" s="116">
        <v>1247.8</v>
      </c>
      <c r="D1664" s="116">
        <v>1232.95</v>
      </c>
      <c r="E1664" s="116">
        <v>1252</v>
      </c>
      <c r="F1664" s="116">
        <v>1247.8</v>
      </c>
      <c r="G1664">
        <v>37191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44456</v>
      </c>
      <c r="B1665" s="116">
        <v>1258</v>
      </c>
      <c r="C1665" s="116">
        <v>1253.8499999999999</v>
      </c>
      <c r="D1665" s="116">
        <v>1236.1500000000001</v>
      </c>
      <c r="E1665" s="116">
        <v>1255</v>
      </c>
      <c r="F1665" s="116">
        <v>1253.8499999999999</v>
      </c>
      <c r="G1665">
        <v>27217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44459</v>
      </c>
      <c r="B1666" s="116">
        <v>1252</v>
      </c>
      <c r="C1666" s="116">
        <v>1220.2</v>
      </c>
      <c r="D1666" s="116">
        <v>1214.9000000000001</v>
      </c>
      <c r="E1666" s="116">
        <v>1251</v>
      </c>
      <c r="F1666" s="116">
        <v>1220.2</v>
      </c>
      <c r="G1666">
        <v>40789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44460</v>
      </c>
      <c r="B1667" s="116">
        <v>1233.3499999999999</v>
      </c>
      <c r="C1667" s="116">
        <v>1224.75</v>
      </c>
      <c r="D1667" s="116">
        <v>1211.0999999999999</v>
      </c>
      <c r="E1667" s="116">
        <v>1221</v>
      </c>
      <c r="F1667" s="116">
        <v>1224.75</v>
      </c>
      <c r="G1667">
        <v>39901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44461</v>
      </c>
      <c r="B1668" s="116">
        <v>1244.8</v>
      </c>
      <c r="C1668" s="116">
        <v>1238.8499999999999</v>
      </c>
      <c r="D1668" s="116">
        <v>1228.1500000000001</v>
      </c>
      <c r="E1668" s="116">
        <v>1231.3499999999999</v>
      </c>
      <c r="F1668" s="116">
        <v>1238.8499999999999</v>
      </c>
      <c r="G1668">
        <v>14730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44462</v>
      </c>
      <c r="B1669" s="116">
        <v>1265</v>
      </c>
      <c r="C1669" s="116">
        <v>1248.3</v>
      </c>
      <c r="D1669" s="116">
        <v>1241.2</v>
      </c>
      <c r="E1669" s="116">
        <v>1250</v>
      </c>
      <c r="F1669" s="116">
        <v>1248.3</v>
      </c>
      <c r="G1669">
        <v>34588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44463</v>
      </c>
      <c r="B1670" s="116">
        <v>1254.75</v>
      </c>
      <c r="C1670" s="116">
        <v>1229.2</v>
      </c>
      <c r="D1670" s="116">
        <v>1223.55</v>
      </c>
      <c r="E1670" s="116">
        <v>1249.2</v>
      </c>
      <c r="F1670" s="116">
        <v>1229.2</v>
      </c>
      <c r="G1670">
        <v>14927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44466</v>
      </c>
      <c r="B1671" s="116">
        <v>1240</v>
      </c>
      <c r="C1671" s="116">
        <v>1219.8</v>
      </c>
      <c r="D1671" s="116">
        <v>1205</v>
      </c>
      <c r="E1671" s="116">
        <v>1235</v>
      </c>
      <c r="F1671" s="116">
        <v>1219.8</v>
      </c>
      <c r="G1671">
        <v>31004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44467</v>
      </c>
      <c r="B1672" s="116">
        <v>1221.8499999999999</v>
      </c>
      <c r="C1672" s="116">
        <v>1210.2</v>
      </c>
      <c r="D1672" s="116">
        <v>1189.4000000000001</v>
      </c>
      <c r="E1672" s="116">
        <v>1220.9000000000001</v>
      </c>
      <c r="F1672" s="116">
        <v>1210.2</v>
      </c>
      <c r="G1672">
        <v>27040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44468</v>
      </c>
      <c r="B1673" s="116">
        <v>1223.95</v>
      </c>
      <c r="C1673" s="116">
        <v>1205.1500000000001</v>
      </c>
      <c r="D1673" s="116">
        <v>1196.55</v>
      </c>
      <c r="E1673" s="116">
        <v>1196.55</v>
      </c>
      <c r="F1673" s="116">
        <v>1205.1500000000001</v>
      </c>
      <c r="G1673">
        <v>19865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44469</v>
      </c>
      <c r="B1674" s="116">
        <v>1242.7</v>
      </c>
      <c r="C1674" s="116">
        <v>1219.0999999999999</v>
      </c>
      <c r="D1674" s="116">
        <v>1204.9000000000001</v>
      </c>
      <c r="E1674" s="116">
        <v>1204.9000000000001</v>
      </c>
      <c r="F1674" s="116">
        <v>1219.0999999999999</v>
      </c>
      <c r="G1674">
        <v>50429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44470</v>
      </c>
      <c r="B1675" s="116">
        <v>1220.5999999999999</v>
      </c>
      <c r="C1675" s="116">
        <v>1216</v>
      </c>
      <c r="D1675" s="116">
        <v>1200.0999999999999</v>
      </c>
      <c r="E1675" s="116">
        <v>1209.25</v>
      </c>
      <c r="F1675" s="116">
        <v>1216</v>
      </c>
      <c r="G1675">
        <v>31061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44473</v>
      </c>
      <c r="B1676" s="116">
        <v>1232.45</v>
      </c>
      <c r="C1676" s="116">
        <v>1227</v>
      </c>
      <c r="D1676" s="116">
        <v>1208</v>
      </c>
      <c r="E1676" s="116">
        <v>1208</v>
      </c>
      <c r="F1676" s="116">
        <v>1227</v>
      </c>
      <c r="G1676">
        <v>35173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44474</v>
      </c>
      <c r="B1677" s="116">
        <v>1255.9000000000001</v>
      </c>
      <c r="C1677" s="116">
        <v>1249.7</v>
      </c>
      <c r="D1677" s="116">
        <v>1215.0999999999999</v>
      </c>
      <c r="E1677" s="116">
        <v>1234.7</v>
      </c>
      <c r="F1677" s="116">
        <v>1249.7</v>
      </c>
      <c r="G1677">
        <v>26581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44475</v>
      </c>
      <c r="B1678" s="116">
        <v>1269</v>
      </c>
      <c r="C1678" s="116">
        <v>1229.9000000000001</v>
      </c>
      <c r="D1678" s="116">
        <v>1223.25</v>
      </c>
      <c r="E1678" s="116">
        <v>1259.9000000000001</v>
      </c>
      <c r="F1678" s="116">
        <v>1229.9000000000001</v>
      </c>
      <c r="G1678">
        <v>52368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44476</v>
      </c>
      <c r="B1679" s="116">
        <v>1290.4000000000001</v>
      </c>
      <c r="C1679" s="116">
        <v>1282.75</v>
      </c>
      <c r="D1679" s="116">
        <v>1229.5999999999999</v>
      </c>
      <c r="E1679" s="116">
        <v>1230</v>
      </c>
      <c r="F1679" s="116">
        <v>1282.75</v>
      </c>
      <c r="G1679">
        <v>73013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44477</v>
      </c>
      <c r="B1680" s="116">
        <v>1302.55</v>
      </c>
      <c r="C1680" s="116">
        <v>1280.4000000000001</v>
      </c>
      <c r="D1680" s="116">
        <v>1267</v>
      </c>
      <c r="E1680" s="116">
        <v>1302.55</v>
      </c>
      <c r="F1680" s="116">
        <v>1280.4000000000001</v>
      </c>
      <c r="G1680">
        <v>42034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44480</v>
      </c>
      <c r="B1681" s="116">
        <v>1318.75</v>
      </c>
      <c r="C1681" s="116">
        <v>1302.45</v>
      </c>
      <c r="D1681" s="116">
        <v>1275</v>
      </c>
      <c r="E1681" s="116">
        <v>1286</v>
      </c>
      <c r="F1681" s="116">
        <v>1302.45</v>
      </c>
      <c r="G1681">
        <v>37897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44481</v>
      </c>
      <c r="B1682" s="116">
        <v>1313.35</v>
      </c>
      <c r="C1682" s="116">
        <v>1297.5999999999999</v>
      </c>
      <c r="D1682" s="116">
        <v>1293.75</v>
      </c>
      <c r="E1682" s="116">
        <v>1299</v>
      </c>
      <c r="F1682" s="116">
        <v>1297.5999999999999</v>
      </c>
      <c r="G1682">
        <v>25185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44482</v>
      </c>
      <c r="B1683" s="116">
        <v>1324.9</v>
      </c>
      <c r="C1683" s="116">
        <v>1310.2</v>
      </c>
      <c r="D1683" s="116">
        <v>1305.45</v>
      </c>
      <c r="E1683" s="116">
        <v>1305.45</v>
      </c>
      <c r="F1683" s="116">
        <v>1310.2</v>
      </c>
      <c r="G1683">
        <v>32736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44483</v>
      </c>
      <c r="B1684" s="116">
        <v>1330</v>
      </c>
      <c r="C1684" s="116">
        <v>1324.75</v>
      </c>
      <c r="D1684" s="116">
        <v>1310.2</v>
      </c>
      <c r="E1684" s="116">
        <v>1325</v>
      </c>
      <c r="F1684" s="116">
        <v>1324.75</v>
      </c>
      <c r="G1684">
        <v>22290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44487</v>
      </c>
      <c r="B1685" s="116">
        <v>1350</v>
      </c>
      <c r="C1685" s="116">
        <v>1337.9</v>
      </c>
      <c r="D1685" s="116">
        <v>1318.95</v>
      </c>
      <c r="E1685" s="116">
        <v>1350</v>
      </c>
      <c r="F1685" s="116">
        <v>1337.9</v>
      </c>
      <c r="G1685">
        <v>31421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44488</v>
      </c>
      <c r="B1686" s="116">
        <v>1356.9</v>
      </c>
      <c r="C1686" s="116">
        <v>1306.7</v>
      </c>
      <c r="D1686" s="116">
        <v>1295.5</v>
      </c>
      <c r="E1686" s="116">
        <v>1350</v>
      </c>
      <c r="F1686" s="116">
        <v>1306.7</v>
      </c>
      <c r="G1686">
        <v>36594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44489</v>
      </c>
      <c r="B1687" s="116">
        <v>1299.7</v>
      </c>
      <c r="C1687" s="116">
        <v>1249.3499999999999</v>
      </c>
      <c r="D1687" s="116">
        <v>1244</v>
      </c>
      <c r="E1687" s="116">
        <v>1292</v>
      </c>
      <c r="F1687" s="116">
        <v>1249.3499999999999</v>
      </c>
      <c r="G1687">
        <v>46903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44490</v>
      </c>
      <c r="B1688" s="116">
        <v>1231.1500000000001</v>
      </c>
      <c r="C1688" s="116">
        <v>1191.8</v>
      </c>
      <c r="D1688" s="116">
        <v>1161.0999999999999</v>
      </c>
      <c r="E1688" s="116">
        <v>1231</v>
      </c>
      <c r="F1688" s="116">
        <v>1191.8</v>
      </c>
      <c r="G1688">
        <v>109326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44491</v>
      </c>
      <c r="B1689" s="116">
        <v>1190.9000000000001</v>
      </c>
      <c r="C1689" s="116">
        <v>1177.0999999999999</v>
      </c>
      <c r="D1689" s="116">
        <v>1153</v>
      </c>
      <c r="E1689" s="116">
        <v>1190.9000000000001</v>
      </c>
      <c r="F1689" s="116">
        <v>1177.0999999999999</v>
      </c>
      <c r="G1689">
        <v>39998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44494</v>
      </c>
      <c r="B1690" s="116">
        <v>1197</v>
      </c>
      <c r="C1690" s="116">
        <v>1188.25</v>
      </c>
      <c r="D1690" s="116">
        <v>1147.6500000000001</v>
      </c>
      <c r="E1690" s="116">
        <v>1170</v>
      </c>
      <c r="F1690" s="116">
        <v>1188.25</v>
      </c>
      <c r="G1690">
        <v>55829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44495</v>
      </c>
      <c r="B1691" s="116">
        <v>1201</v>
      </c>
      <c r="C1691" s="116">
        <v>1193.05</v>
      </c>
      <c r="D1691" s="116">
        <v>1173.5999999999999</v>
      </c>
      <c r="E1691" s="116">
        <v>1197</v>
      </c>
      <c r="F1691" s="116">
        <v>1193.05</v>
      </c>
      <c r="G1691">
        <v>20389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44496</v>
      </c>
      <c r="B1692" s="116">
        <v>1202</v>
      </c>
      <c r="C1692" s="116">
        <v>1180.8499999999999</v>
      </c>
      <c r="D1692" s="116">
        <v>1176.7</v>
      </c>
      <c r="E1692" s="116">
        <v>1201</v>
      </c>
      <c r="F1692" s="116">
        <v>1180.8499999999999</v>
      </c>
      <c r="G1692">
        <v>16674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44497</v>
      </c>
      <c r="B1693" s="116">
        <v>1189.1500000000001</v>
      </c>
      <c r="C1693" s="116">
        <v>1155.8</v>
      </c>
      <c r="D1693" s="116">
        <v>1150.8499999999999</v>
      </c>
      <c r="E1693" s="116">
        <v>1176.7</v>
      </c>
      <c r="F1693" s="116">
        <v>1155.8</v>
      </c>
      <c r="G1693">
        <v>40834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44498</v>
      </c>
      <c r="B1694" s="116">
        <v>1221.6500000000001</v>
      </c>
      <c r="C1694" s="116">
        <v>1204.5</v>
      </c>
      <c r="D1694" s="116">
        <v>1143.5999999999999</v>
      </c>
      <c r="E1694" s="116">
        <v>1160</v>
      </c>
      <c r="F1694" s="116">
        <v>1204.5</v>
      </c>
      <c r="G1694">
        <v>202875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44501</v>
      </c>
      <c r="B1695" s="116">
        <v>1248.55</v>
      </c>
      <c r="C1695" s="116">
        <v>1245.7</v>
      </c>
      <c r="D1695" s="116">
        <v>1192.5999999999999</v>
      </c>
      <c r="E1695" s="116">
        <v>1192.5999999999999</v>
      </c>
      <c r="F1695" s="116">
        <v>1245.7</v>
      </c>
      <c r="G1695">
        <v>44669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44502</v>
      </c>
      <c r="B1696" s="116">
        <v>1254.1500000000001</v>
      </c>
      <c r="C1696" s="116">
        <v>1221.05</v>
      </c>
      <c r="D1696" s="116">
        <v>1211.2</v>
      </c>
      <c r="E1696" s="116">
        <v>1249.2</v>
      </c>
      <c r="F1696" s="116">
        <v>1221.05</v>
      </c>
      <c r="G1696">
        <v>26728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44503</v>
      </c>
      <c r="B1697" s="116">
        <v>1229.75</v>
      </c>
      <c r="C1697" s="116">
        <v>1209.45</v>
      </c>
      <c r="D1697" s="116">
        <v>1197.9000000000001</v>
      </c>
      <c r="E1697" s="116">
        <v>1229.75</v>
      </c>
      <c r="F1697" s="116">
        <v>1209.45</v>
      </c>
      <c r="G1697">
        <v>11293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44504</v>
      </c>
      <c r="B1698" s="116">
        <v>1225</v>
      </c>
      <c r="C1698" s="116">
        <v>1221.2</v>
      </c>
      <c r="D1698" s="116">
        <v>1217</v>
      </c>
      <c r="E1698" s="116">
        <v>1217</v>
      </c>
      <c r="F1698" s="116">
        <v>1221.2</v>
      </c>
      <c r="G1698">
        <v>3234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44508</v>
      </c>
      <c r="B1699" s="116">
        <v>1243.75</v>
      </c>
      <c r="C1699" s="116">
        <v>1237.1500000000001</v>
      </c>
      <c r="D1699" s="116">
        <v>1218</v>
      </c>
      <c r="E1699" s="116">
        <v>1222</v>
      </c>
      <c r="F1699" s="116">
        <v>1237.1500000000001</v>
      </c>
      <c r="G1699">
        <v>22590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44509</v>
      </c>
      <c r="B1700" s="116">
        <v>1269.05</v>
      </c>
      <c r="C1700" s="116">
        <v>1249.8499999999999</v>
      </c>
      <c r="D1700" s="116">
        <v>1244</v>
      </c>
      <c r="E1700" s="116">
        <v>1246.45</v>
      </c>
      <c r="F1700" s="116">
        <v>1249.8499999999999</v>
      </c>
      <c r="G1700">
        <v>30062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44510</v>
      </c>
      <c r="B1701" s="116">
        <v>1259.7</v>
      </c>
      <c r="C1701" s="116">
        <v>1247.3499999999999</v>
      </c>
      <c r="D1701" s="116">
        <v>1240</v>
      </c>
      <c r="E1701" s="116">
        <v>1249.8499999999999</v>
      </c>
      <c r="F1701" s="116">
        <v>1247.3499999999999</v>
      </c>
      <c r="G1701">
        <v>8124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44511</v>
      </c>
      <c r="B1702" s="116">
        <v>1265.05</v>
      </c>
      <c r="C1702" s="116">
        <v>1249.7</v>
      </c>
      <c r="D1702" s="116">
        <v>1236.55</v>
      </c>
      <c r="E1702" s="116">
        <v>1251</v>
      </c>
      <c r="F1702" s="116">
        <v>1249.7</v>
      </c>
      <c r="G1702">
        <v>17089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44512</v>
      </c>
      <c r="B1703" s="116">
        <v>1275</v>
      </c>
      <c r="C1703" s="116">
        <v>1263.9000000000001</v>
      </c>
      <c r="D1703" s="116">
        <v>1246.7</v>
      </c>
      <c r="E1703" s="116">
        <v>1246.7</v>
      </c>
      <c r="F1703" s="116">
        <v>1263.9000000000001</v>
      </c>
      <c r="G1703">
        <v>31084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44515</v>
      </c>
      <c r="B1704" s="116">
        <v>1283.9000000000001</v>
      </c>
      <c r="C1704" s="116">
        <v>1267.05</v>
      </c>
      <c r="D1704" s="116">
        <v>1264.5</v>
      </c>
      <c r="E1704" s="116">
        <v>1283.9000000000001</v>
      </c>
      <c r="F1704" s="116">
        <v>1267.05</v>
      </c>
      <c r="G1704">
        <v>13151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44516</v>
      </c>
      <c r="B1705" s="116">
        <v>1270.2</v>
      </c>
      <c r="C1705" s="116">
        <v>1231.05</v>
      </c>
      <c r="D1705" s="116">
        <v>1228.5</v>
      </c>
      <c r="E1705" s="116">
        <v>1263</v>
      </c>
      <c r="F1705" s="116">
        <v>1231.05</v>
      </c>
      <c r="G1705">
        <v>17928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44517</v>
      </c>
      <c r="B1706" s="116">
        <v>1242.7</v>
      </c>
      <c r="C1706" s="116">
        <v>1235.95</v>
      </c>
      <c r="D1706" s="116">
        <v>1221.6500000000001</v>
      </c>
      <c r="E1706" s="116">
        <v>1224</v>
      </c>
      <c r="F1706" s="116">
        <v>1235.95</v>
      </c>
      <c r="G1706">
        <v>16816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44518</v>
      </c>
      <c r="B1707" s="116">
        <v>1261</v>
      </c>
      <c r="C1707" s="116">
        <v>1235.3499999999999</v>
      </c>
      <c r="D1707" s="116">
        <v>1229.45</v>
      </c>
      <c r="E1707" s="116">
        <v>1234.3499999999999</v>
      </c>
      <c r="F1707" s="116">
        <v>1235.3499999999999</v>
      </c>
      <c r="G1707">
        <v>26503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44522</v>
      </c>
      <c r="B1708" s="116">
        <v>1238</v>
      </c>
      <c r="C1708" s="116">
        <v>1185.95</v>
      </c>
      <c r="D1708" s="116">
        <v>1173.3</v>
      </c>
      <c r="E1708" s="116">
        <v>1235</v>
      </c>
      <c r="F1708" s="116">
        <v>1185.95</v>
      </c>
      <c r="G1708">
        <v>28285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44523</v>
      </c>
      <c r="B1709" s="116">
        <v>1212.75</v>
      </c>
      <c r="C1709" s="116">
        <v>1206.2</v>
      </c>
      <c r="D1709" s="116">
        <v>1171.05</v>
      </c>
      <c r="E1709" s="116">
        <v>1184</v>
      </c>
      <c r="F1709" s="116">
        <v>1206.2</v>
      </c>
      <c r="G1709">
        <v>18155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44524</v>
      </c>
      <c r="B1710" s="116">
        <v>1212</v>
      </c>
      <c r="C1710" s="116">
        <v>1199.7</v>
      </c>
      <c r="D1710" s="116">
        <v>1183.8499999999999</v>
      </c>
      <c r="E1710" s="116">
        <v>1212</v>
      </c>
      <c r="F1710" s="116">
        <v>1199.7</v>
      </c>
      <c r="G1710">
        <v>107577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44525</v>
      </c>
      <c r="B1711" s="116">
        <v>1205.3</v>
      </c>
      <c r="C1711" s="116">
        <v>1201.4000000000001</v>
      </c>
      <c r="D1711" s="116">
        <v>1187</v>
      </c>
      <c r="E1711" s="116">
        <v>1194.3</v>
      </c>
      <c r="F1711" s="116">
        <v>1201.4000000000001</v>
      </c>
      <c r="G1711">
        <v>9770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44526</v>
      </c>
      <c r="B1712" s="116">
        <v>1198.3499999999999</v>
      </c>
      <c r="C1712" s="116">
        <v>1164.1500000000001</v>
      </c>
      <c r="D1712" s="116">
        <v>1159.7</v>
      </c>
      <c r="E1712" s="116">
        <v>1198.3499999999999</v>
      </c>
      <c r="F1712" s="116">
        <v>1164.1500000000001</v>
      </c>
      <c r="G1712">
        <v>20893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44529</v>
      </c>
      <c r="B1713" s="116">
        <v>1189.2</v>
      </c>
      <c r="C1713" s="116">
        <v>1177.0999999999999</v>
      </c>
      <c r="D1713" s="116">
        <v>1131.55</v>
      </c>
      <c r="E1713" s="116">
        <v>1164</v>
      </c>
      <c r="F1713" s="116">
        <v>1177.0999999999999</v>
      </c>
      <c r="G1713">
        <v>22609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44530</v>
      </c>
      <c r="B1714" s="116">
        <v>1241</v>
      </c>
      <c r="C1714" s="116">
        <v>1201.3499999999999</v>
      </c>
      <c r="D1714" s="116">
        <v>1165</v>
      </c>
      <c r="E1714" s="116">
        <v>1165</v>
      </c>
      <c r="F1714" s="116">
        <v>1201.3499999999999</v>
      </c>
      <c r="G1714">
        <v>30824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44531</v>
      </c>
      <c r="B1715" s="116">
        <v>1226</v>
      </c>
      <c r="C1715" s="116">
        <v>1223.3499999999999</v>
      </c>
      <c r="D1715" s="116">
        <v>1201.8499999999999</v>
      </c>
      <c r="E1715" s="116">
        <v>1210</v>
      </c>
      <c r="F1715" s="116">
        <v>1223.3499999999999</v>
      </c>
      <c r="G1715">
        <v>41359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44532</v>
      </c>
      <c r="B1716" s="116">
        <v>1239.5</v>
      </c>
      <c r="C1716" s="116">
        <v>1229.3499999999999</v>
      </c>
      <c r="D1716" s="116">
        <v>1218.75</v>
      </c>
      <c r="E1716" s="116">
        <v>1225</v>
      </c>
      <c r="F1716" s="116">
        <v>1229.3499999999999</v>
      </c>
      <c r="G1716">
        <v>27372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44533</v>
      </c>
      <c r="B1717" s="116">
        <v>1254.1500000000001</v>
      </c>
      <c r="C1717" s="116">
        <v>1245.95</v>
      </c>
      <c r="D1717" s="116">
        <v>1223.4000000000001</v>
      </c>
      <c r="E1717" s="116">
        <v>1223.4000000000001</v>
      </c>
      <c r="F1717" s="116">
        <v>1245.95</v>
      </c>
      <c r="G1717">
        <v>14322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44536</v>
      </c>
      <c r="B1718" s="116">
        <v>1254</v>
      </c>
      <c r="C1718" s="116">
        <v>1226.45</v>
      </c>
      <c r="D1718" s="116">
        <v>1224.25</v>
      </c>
      <c r="E1718" s="116">
        <v>1254</v>
      </c>
      <c r="F1718" s="116">
        <v>1226.45</v>
      </c>
      <c r="G1718">
        <v>18071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44537</v>
      </c>
      <c r="B1719" s="116">
        <v>1259.45</v>
      </c>
      <c r="C1719" s="116">
        <v>1255.05</v>
      </c>
      <c r="D1719" s="116">
        <v>1218.55</v>
      </c>
      <c r="E1719" s="116">
        <v>1232</v>
      </c>
      <c r="F1719" s="116">
        <v>1255.05</v>
      </c>
      <c r="G1719">
        <v>23094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44538</v>
      </c>
      <c r="B1720" s="116">
        <v>1271.6500000000001</v>
      </c>
      <c r="C1720" s="116">
        <v>1253.5</v>
      </c>
      <c r="D1720" s="116">
        <v>1246</v>
      </c>
      <c r="E1720" s="116">
        <v>1256</v>
      </c>
      <c r="F1720" s="116">
        <v>1253.5</v>
      </c>
      <c r="G1720">
        <v>22659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44539</v>
      </c>
      <c r="B1721" s="116">
        <v>1261</v>
      </c>
      <c r="C1721" s="116">
        <v>1251.0999999999999</v>
      </c>
      <c r="D1721" s="116">
        <v>1242</v>
      </c>
      <c r="E1721" s="116">
        <v>1259.95</v>
      </c>
      <c r="F1721" s="116">
        <v>1251.0999999999999</v>
      </c>
      <c r="G1721">
        <v>11852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44540</v>
      </c>
      <c r="B1722" s="116">
        <v>1261.0999999999999</v>
      </c>
      <c r="C1722" s="116">
        <v>1250.9000000000001</v>
      </c>
      <c r="D1722" s="116">
        <v>1245</v>
      </c>
      <c r="E1722" s="116">
        <v>1250</v>
      </c>
      <c r="F1722" s="116">
        <v>1250.9000000000001</v>
      </c>
      <c r="G1722">
        <v>10724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44543</v>
      </c>
      <c r="B1723" s="116">
        <v>1256.6500000000001</v>
      </c>
      <c r="C1723" s="116">
        <v>1233.55</v>
      </c>
      <c r="D1723" s="116">
        <v>1230.8</v>
      </c>
      <c r="E1723" s="116">
        <v>1250.75</v>
      </c>
      <c r="F1723" s="116">
        <v>1233.55</v>
      </c>
      <c r="G1723">
        <v>11873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44544</v>
      </c>
      <c r="B1724" s="116">
        <v>1251</v>
      </c>
      <c r="C1724" s="116">
        <v>1230.8</v>
      </c>
      <c r="D1724" s="116">
        <v>1219.4000000000001</v>
      </c>
      <c r="E1724" s="116">
        <v>1251</v>
      </c>
      <c r="F1724" s="116">
        <v>1230.8</v>
      </c>
      <c r="G1724">
        <v>9296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44545</v>
      </c>
      <c r="B1725" s="116">
        <v>1237.3499999999999</v>
      </c>
      <c r="C1725" s="116">
        <v>1212.25</v>
      </c>
      <c r="D1725" s="116">
        <v>1206.45</v>
      </c>
      <c r="E1725" s="116">
        <v>1232.3</v>
      </c>
      <c r="F1725" s="116">
        <v>1212.25</v>
      </c>
      <c r="G1725">
        <v>9935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44546</v>
      </c>
      <c r="B1726" s="116">
        <v>1223.95</v>
      </c>
      <c r="C1726" s="116">
        <v>1218.3499999999999</v>
      </c>
      <c r="D1726" s="116">
        <v>1208.75</v>
      </c>
      <c r="E1726" s="116">
        <v>1210</v>
      </c>
      <c r="F1726" s="116">
        <v>1218.3499999999999</v>
      </c>
      <c r="G1726">
        <v>7582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44547</v>
      </c>
      <c r="B1727" s="116">
        <v>1219.45</v>
      </c>
      <c r="C1727" s="116">
        <v>1198.05</v>
      </c>
      <c r="D1727" s="116">
        <v>1174.55</v>
      </c>
      <c r="E1727" s="116">
        <v>1219</v>
      </c>
      <c r="F1727" s="116">
        <v>1198.05</v>
      </c>
      <c r="G1727">
        <v>16536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44550</v>
      </c>
      <c r="B1728" s="116">
        <v>1198.0999999999999</v>
      </c>
      <c r="C1728" s="116">
        <v>1164.7</v>
      </c>
      <c r="D1728" s="116">
        <v>1146.05</v>
      </c>
      <c r="E1728" s="116">
        <v>1198.0999999999999</v>
      </c>
      <c r="F1728" s="116">
        <v>1164.7</v>
      </c>
      <c r="G1728">
        <v>13081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44551</v>
      </c>
      <c r="B1729" s="116">
        <v>1194.95</v>
      </c>
      <c r="C1729" s="116">
        <v>1175.25</v>
      </c>
      <c r="D1729" s="116">
        <v>1164.6500000000001</v>
      </c>
      <c r="E1729" s="116">
        <v>1164.6500000000001</v>
      </c>
      <c r="F1729" s="116">
        <v>1175.25</v>
      </c>
      <c r="G1729">
        <v>14474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44552</v>
      </c>
      <c r="B1730" s="116">
        <v>1196.4000000000001</v>
      </c>
      <c r="C1730" s="116">
        <v>1189.3499999999999</v>
      </c>
      <c r="D1730" s="116">
        <v>1175</v>
      </c>
      <c r="E1730" s="116">
        <v>1175</v>
      </c>
      <c r="F1730" s="116">
        <v>1189.3499999999999</v>
      </c>
      <c r="G1730">
        <v>9277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44553</v>
      </c>
      <c r="B1731" s="116">
        <v>1213.7</v>
      </c>
      <c r="C1731" s="116">
        <v>1208.8499999999999</v>
      </c>
      <c r="D1731" s="116">
        <v>1187.9000000000001</v>
      </c>
      <c r="E1731" s="116">
        <v>1200.9000000000001</v>
      </c>
      <c r="F1731" s="116">
        <v>1208.8499999999999</v>
      </c>
      <c r="G1731">
        <v>16133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44554</v>
      </c>
      <c r="B1732" s="116">
        <v>1218.25</v>
      </c>
      <c r="C1732" s="116">
        <v>1195.05</v>
      </c>
      <c r="D1732" s="116">
        <v>1184.8</v>
      </c>
      <c r="E1732" s="116">
        <v>1218.25</v>
      </c>
      <c r="F1732" s="116">
        <v>1195.05</v>
      </c>
      <c r="G1732">
        <v>7839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44557</v>
      </c>
      <c r="B1733" s="116">
        <v>1206</v>
      </c>
      <c r="C1733" s="116">
        <v>1195.1500000000001</v>
      </c>
      <c r="D1733" s="116">
        <v>1185</v>
      </c>
      <c r="E1733" s="116">
        <v>1197.45</v>
      </c>
      <c r="F1733" s="116">
        <v>1195.1500000000001</v>
      </c>
      <c r="G1733">
        <v>10251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44558</v>
      </c>
      <c r="B1734" s="116">
        <v>1219.5999999999999</v>
      </c>
      <c r="C1734" s="116">
        <v>1207.3499999999999</v>
      </c>
      <c r="D1734" s="116">
        <v>1200.5</v>
      </c>
      <c r="E1734" s="116">
        <v>1202.55</v>
      </c>
      <c r="F1734" s="116">
        <v>1207.3499999999999</v>
      </c>
      <c r="G1734">
        <v>13350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44559</v>
      </c>
      <c r="B1735" s="116">
        <v>1216.45</v>
      </c>
      <c r="C1735" s="116">
        <v>1201.45</v>
      </c>
      <c r="D1735" s="116">
        <v>1179.05</v>
      </c>
      <c r="E1735" s="116">
        <v>1216.45</v>
      </c>
      <c r="F1735" s="116">
        <v>1201.45</v>
      </c>
      <c r="G1735">
        <v>72960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44560</v>
      </c>
      <c r="B1736" s="116">
        <v>1216</v>
      </c>
      <c r="C1736" s="116">
        <v>1199.55</v>
      </c>
      <c r="D1736" s="116">
        <v>1193.5999999999999</v>
      </c>
      <c r="E1736" s="116">
        <v>1198</v>
      </c>
      <c r="F1736" s="116">
        <v>1199.55</v>
      </c>
      <c r="G1736">
        <v>34980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44561</v>
      </c>
      <c r="B1737" s="116">
        <v>1240</v>
      </c>
      <c r="C1737" s="116">
        <v>1219.3499999999999</v>
      </c>
      <c r="D1737" s="116">
        <v>1196.25</v>
      </c>
      <c r="E1737" s="116">
        <v>1196.25</v>
      </c>
      <c r="F1737" s="116">
        <v>1219.3499999999999</v>
      </c>
      <c r="G1737">
        <v>34948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44564</v>
      </c>
      <c r="B1738" s="116">
        <v>1241.3</v>
      </c>
      <c r="C1738" s="116">
        <v>1233.95</v>
      </c>
      <c r="D1738" s="116">
        <v>1223.7</v>
      </c>
      <c r="E1738" s="116">
        <v>1226</v>
      </c>
      <c r="F1738" s="116">
        <v>1233.95</v>
      </c>
      <c r="G1738">
        <v>26776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44565</v>
      </c>
      <c r="B1739" s="116">
        <v>1251</v>
      </c>
      <c r="C1739" s="116">
        <v>1245.45</v>
      </c>
      <c r="D1739" s="116">
        <v>1222.2</v>
      </c>
      <c r="E1739" s="116">
        <v>1245</v>
      </c>
      <c r="F1739" s="116">
        <v>1245.45</v>
      </c>
      <c r="G1739">
        <v>39751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44566</v>
      </c>
      <c r="B1740" s="116">
        <v>1254.45</v>
      </c>
      <c r="C1740" s="116">
        <v>1248.5</v>
      </c>
      <c r="D1740" s="116">
        <v>1238.9000000000001</v>
      </c>
      <c r="E1740" s="116">
        <v>1250</v>
      </c>
      <c r="F1740" s="116">
        <v>1248.5</v>
      </c>
      <c r="G1740">
        <v>11891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44567</v>
      </c>
      <c r="B1741" s="116">
        <v>1255.8</v>
      </c>
      <c r="C1741" s="116">
        <v>1249.8499999999999</v>
      </c>
      <c r="D1741" s="116">
        <v>1230.6500000000001</v>
      </c>
      <c r="E1741" s="116">
        <v>1248.5</v>
      </c>
      <c r="F1741" s="116">
        <v>1249.8499999999999</v>
      </c>
      <c r="G1741">
        <v>14370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44568</v>
      </c>
      <c r="B1742" s="116">
        <v>1287.5</v>
      </c>
      <c r="C1742" s="116">
        <v>1271.3499999999999</v>
      </c>
      <c r="D1742" s="116">
        <v>1247.95</v>
      </c>
      <c r="E1742" s="116">
        <v>1250</v>
      </c>
      <c r="F1742" s="116">
        <v>1271.3499999999999</v>
      </c>
      <c r="G1742">
        <v>937670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44571</v>
      </c>
      <c r="B1743" s="116">
        <v>1280.5999999999999</v>
      </c>
      <c r="C1743" s="116">
        <v>1253.55</v>
      </c>
      <c r="D1743" s="116">
        <v>1251.1500000000001</v>
      </c>
      <c r="E1743" s="116">
        <v>1271.3499999999999</v>
      </c>
      <c r="F1743" s="116">
        <v>1253.55</v>
      </c>
      <c r="G1743">
        <v>19874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44572</v>
      </c>
      <c r="B1744" s="116">
        <v>1255.5</v>
      </c>
      <c r="C1744" s="116">
        <v>1247.2</v>
      </c>
      <c r="D1744" s="116">
        <v>1238.8</v>
      </c>
      <c r="E1744" s="116">
        <v>1253.55</v>
      </c>
      <c r="F1744" s="116">
        <v>1247.2</v>
      </c>
      <c r="G1744">
        <v>12377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44573</v>
      </c>
      <c r="B1745" s="116">
        <v>1282</v>
      </c>
      <c r="C1745" s="116">
        <v>1275.05</v>
      </c>
      <c r="D1745" s="116">
        <v>1246</v>
      </c>
      <c r="E1745" s="116">
        <v>1247</v>
      </c>
      <c r="F1745" s="116">
        <v>1275.05</v>
      </c>
      <c r="G1745">
        <v>29877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44574</v>
      </c>
      <c r="B1746" s="116">
        <v>1289</v>
      </c>
      <c r="C1746" s="116">
        <v>1270.1500000000001</v>
      </c>
      <c r="D1746" s="116">
        <v>1257</v>
      </c>
      <c r="E1746" s="116">
        <v>1289</v>
      </c>
      <c r="F1746" s="116">
        <v>1270.1500000000001</v>
      </c>
      <c r="G1746">
        <v>24146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44575</v>
      </c>
      <c r="B1747" s="116">
        <v>1317.15</v>
      </c>
      <c r="C1747" s="116">
        <v>1303.1500000000001</v>
      </c>
      <c r="D1747" s="116">
        <v>1264.05</v>
      </c>
      <c r="E1747" s="116">
        <v>1280</v>
      </c>
      <c r="F1747" s="116">
        <v>1303.1500000000001</v>
      </c>
      <c r="G1747">
        <v>59488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44578</v>
      </c>
      <c r="B1748" s="116">
        <v>1313.15</v>
      </c>
      <c r="C1748" s="116">
        <v>1286.3</v>
      </c>
      <c r="D1748" s="116">
        <v>1282.6500000000001</v>
      </c>
      <c r="E1748" s="116">
        <v>1313.15</v>
      </c>
      <c r="F1748" s="116">
        <v>1286.3</v>
      </c>
      <c r="G1748">
        <v>14767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44579</v>
      </c>
      <c r="B1749" s="116">
        <v>1303.5</v>
      </c>
      <c r="C1749" s="116">
        <v>1262.8499999999999</v>
      </c>
      <c r="D1749" s="116">
        <v>1256.4000000000001</v>
      </c>
      <c r="E1749" s="116">
        <v>1287.55</v>
      </c>
      <c r="F1749" s="116">
        <v>1262.8499999999999</v>
      </c>
      <c r="G1749">
        <v>33080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44580</v>
      </c>
      <c r="B1750" s="116">
        <v>1273.5</v>
      </c>
      <c r="C1750" s="116">
        <v>1255.25</v>
      </c>
      <c r="D1750" s="116">
        <v>1250</v>
      </c>
      <c r="E1750" s="116">
        <v>1255</v>
      </c>
      <c r="F1750" s="116">
        <v>1255.25</v>
      </c>
      <c r="G1750">
        <v>24220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44581</v>
      </c>
      <c r="B1751" s="116">
        <v>1262.9000000000001</v>
      </c>
      <c r="C1751" s="116">
        <v>1253.5999999999999</v>
      </c>
      <c r="D1751" s="116">
        <v>1248</v>
      </c>
      <c r="E1751" s="116">
        <v>1255.05</v>
      </c>
      <c r="F1751" s="116">
        <v>1253.5999999999999</v>
      </c>
      <c r="G1751">
        <v>15194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44582</v>
      </c>
      <c r="B1752" s="116">
        <v>1241</v>
      </c>
      <c r="C1752" s="116">
        <v>1191.6500000000001</v>
      </c>
      <c r="D1752" s="116">
        <v>1185.5</v>
      </c>
      <c r="E1752" s="116">
        <v>1241</v>
      </c>
      <c r="F1752" s="116">
        <v>1191.6500000000001</v>
      </c>
      <c r="G1752">
        <v>113999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44585</v>
      </c>
      <c r="B1753" s="116">
        <v>1195.3499999999999</v>
      </c>
      <c r="C1753" s="116">
        <v>1188.4000000000001</v>
      </c>
      <c r="D1753" s="116">
        <v>1161</v>
      </c>
      <c r="E1753" s="116">
        <v>1190</v>
      </c>
      <c r="F1753" s="116">
        <v>1188.4000000000001</v>
      </c>
      <c r="G1753">
        <v>33622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44586</v>
      </c>
      <c r="B1754" s="116">
        <v>1202.9000000000001</v>
      </c>
      <c r="C1754" s="116">
        <v>1190.25</v>
      </c>
      <c r="D1754" s="116">
        <v>1170.8</v>
      </c>
      <c r="E1754" s="116">
        <v>1194.3</v>
      </c>
      <c r="F1754" s="116">
        <v>1190.25</v>
      </c>
      <c r="G1754">
        <v>30303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44588</v>
      </c>
      <c r="B1755" s="116">
        <v>1196</v>
      </c>
      <c r="C1755" s="116">
        <v>1186.0999999999999</v>
      </c>
      <c r="D1755" s="116">
        <v>1155.4000000000001</v>
      </c>
      <c r="E1755" s="116">
        <v>1196</v>
      </c>
      <c r="F1755" s="116">
        <v>1186.0999999999999</v>
      </c>
      <c r="G1755">
        <v>25315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44589</v>
      </c>
      <c r="B1756" s="116">
        <v>1205</v>
      </c>
      <c r="C1756" s="116">
        <v>1157</v>
      </c>
      <c r="D1756" s="116">
        <v>1150</v>
      </c>
      <c r="E1756" s="116">
        <v>1205</v>
      </c>
      <c r="F1756" s="116">
        <v>1157</v>
      </c>
      <c r="G1756">
        <v>32619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44592</v>
      </c>
      <c r="B1757" s="116">
        <v>1193.5999999999999</v>
      </c>
      <c r="C1757" s="116">
        <v>1183.4000000000001</v>
      </c>
      <c r="D1757" s="116">
        <v>1150</v>
      </c>
      <c r="E1757" s="116">
        <v>1152</v>
      </c>
      <c r="F1757" s="116">
        <v>1183.4000000000001</v>
      </c>
      <c r="G1757">
        <v>18615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44593</v>
      </c>
      <c r="B1758" s="116">
        <v>1198.8</v>
      </c>
      <c r="C1758" s="116">
        <v>1186.95</v>
      </c>
      <c r="D1758" s="116">
        <v>1140.5</v>
      </c>
      <c r="E1758" s="116">
        <v>1190</v>
      </c>
      <c r="F1758" s="116">
        <v>1186.95</v>
      </c>
      <c r="G1758">
        <v>46431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44594</v>
      </c>
      <c r="B1759" s="116">
        <v>1217.25</v>
      </c>
      <c r="C1759" s="116">
        <v>1214.75</v>
      </c>
      <c r="D1759" s="116">
        <v>1162.05</v>
      </c>
      <c r="E1759" s="116">
        <v>1162.05</v>
      </c>
      <c r="F1759" s="116">
        <v>1214.75</v>
      </c>
      <c r="G1759">
        <v>26249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44595</v>
      </c>
      <c r="B1760" s="116">
        <v>1230.25</v>
      </c>
      <c r="C1760" s="116">
        <v>1220.7</v>
      </c>
      <c r="D1760" s="116">
        <v>1204.3</v>
      </c>
      <c r="E1760" s="116">
        <v>1215</v>
      </c>
      <c r="F1760" s="116">
        <v>1220.7</v>
      </c>
      <c r="G1760">
        <v>33960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44596</v>
      </c>
      <c r="B1761" s="116">
        <v>1244.25</v>
      </c>
      <c r="C1761" s="116">
        <v>1233.45</v>
      </c>
      <c r="D1761" s="116">
        <v>1219.0999999999999</v>
      </c>
      <c r="E1761" s="116">
        <v>1219.25</v>
      </c>
      <c r="F1761" s="116">
        <v>1233.45</v>
      </c>
      <c r="G1761">
        <v>29714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44599</v>
      </c>
      <c r="B1762" s="116">
        <v>1249.8</v>
      </c>
      <c r="C1762" s="116">
        <v>1224.0999999999999</v>
      </c>
      <c r="D1762" s="116">
        <v>1214.45</v>
      </c>
      <c r="E1762" s="116">
        <v>1249.8</v>
      </c>
      <c r="F1762" s="116">
        <v>1224.0999999999999</v>
      </c>
      <c r="G1762">
        <v>17597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44600</v>
      </c>
      <c r="B1763" s="116">
        <v>1246.8499999999999</v>
      </c>
      <c r="C1763" s="116">
        <v>1198.8</v>
      </c>
      <c r="D1763" s="116">
        <v>1190</v>
      </c>
      <c r="E1763" s="116">
        <v>1221</v>
      </c>
      <c r="F1763" s="116">
        <v>1198.8</v>
      </c>
      <c r="G1763">
        <v>34225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44601</v>
      </c>
      <c r="B1764" s="116">
        <v>1236.5</v>
      </c>
      <c r="C1764" s="116">
        <v>1224.55</v>
      </c>
      <c r="D1764" s="116">
        <v>1200.8499999999999</v>
      </c>
      <c r="E1764" s="116">
        <v>1202.8</v>
      </c>
      <c r="F1764" s="116">
        <v>1224.55</v>
      </c>
      <c r="G1764">
        <v>25722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44602</v>
      </c>
      <c r="B1765" s="116">
        <v>1242.95</v>
      </c>
      <c r="C1765" s="116">
        <v>1238.95</v>
      </c>
      <c r="D1765" s="116">
        <v>1213.8499999999999</v>
      </c>
      <c r="E1765" s="116">
        <v>1231.5999999999999</v>
      </c>
      <c r="F1765" s="116">
        <v>1238.95</v>
      </c>
      <c r="G1765">
        <v>100435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44603</v>
      </c>
      <c r="B1766" s="116">
        <v>1233</v>
      </c>
      <c r="C1766" s="116">
        <v>1192.2</v>
      </c>
      <c r="D1766" s="116">
        <v>1183</v>
      </c>
      <c r="E1766" s="116">
        <v>1233</v>
      </c>
      <c r="F1766" s="116">
        <v>1192.2</v>
      </c>
      <c r="G1766">
        <v>100596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44606</v>
      </c>
      <c r="B1767" s="116">
        <v>1185</v>
      </c>
      <c r="C1767" s="116">
        <v>1169.9000000000001</v>
      </c>
      <c r="D1767" s="116">
        <v>1138.8</v>
      </c>
      <c r="E1767" s="116">
        <v>1172.95</v>
      </c>
      <c r="F1767" s="116">
        <v>1169.9000000000001</v>
      </c>
      <c r="G1767">
        <v>47184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44607</v>
      </c>
      <c r="B1768" s="116">
        <v>1199.7</v>
      </c>
      <c r="C1768" s="116">
        <v>1193.9000000000001</v>
      </c>
      <c r="D1768" s="116">
        <v>1150.3</v>
      </c>
      <c r="E1768" s="116">
        <v>1177.95</v>
      </c>
      <c r="F1768" s="116">
        <v>1193.9000000000001</v>
      </c>
      <c r="G1768">
        <v>46196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44608</v>
      </c>
      <c r="B1769" s="116">
        <v>1217.95</v>
      </c>
      <c r="C1769" s="116">
        <v>1210.4000000000001</v>
      </c>
      <c r="D1769" s="116">
        <v>1174.5</v>
      </c>
      <c r="E1769" s="116">
        <v>1200</v>
      </c>
      <c r="F1769" s="116">
        <v>1210.4000000000001</v>
      </c>
      <c r="G1769">
        <v>30705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44609</v>
      </c>
      <c r="B1770" s="116">
        <v>1224.45</v>
      </c>
      <c r="C1770" s="116">
        <v>1219.0999999999999</v>
      </c>
      <c r="D1770" s="116">
        <v>1201.75</v>
      </c>
      <c r="E1770" s="116">
        <v>1208.8</v>
      </c>
      <c r="F1770" s="116">
        <v>1219.0999999999999</v>
      </c>
      <c r="G1770">
        <v>21339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44610</v>
      </c>
      <c r="B1771" s="116">
        <v>1257.25</v>
      </c>
      <c r="C1771" s="116">
        <v>1253.0999999999999</v>
      </c>
      <c r="D1771" s="116">
        <v>1205</v>
      </c>
      <c r="E1771" s="116">
        <v>1205</v>
      </c>
      <c r="F1771" s="116">
        <v>1253.0999999999999</v>
      </c>
      <c r="G1771">
        <v>76080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44613</v>
      </c>
      <c r="B1772" s="116">
        <v>1265.2</v>
      </c>
      <c r="C1772" s="116">
        <v>1242.95</v>
      </c>
      <c r="D1772" s="116">
        <v>1238.95</v>
      </c>
      <c r="E1772" s="116">
        <v>1259.95</v>
      </c>
      <c r="F1772" s="116">
        <v>1242.95</v>
      </c>
      <c r="G1772">
        <v>77414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44614</v>
      </c>
      <c r="B1773" s="116">
        <v>1244.3</v>
      </c>
      <c r="C1773" s="116">
        <v>1239.3</v>
      </c>
      <c r="D1773" s="116">
        <v>1209.55</v>
      </c>
      <c r="E1773" s="116">
        <v>1236</v>
      </c>
      <c r="F1773" s="116">
        <v>1239.3</v>
      </c>
      <c r="G1773">
        <v>28915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44615</v>
      </c>
      <c r="B1774" s="116">
        <v>1264.0999999999999</v>
      </c>
      <c r="C1774" s="116">
        <v>1235.2</v>
      </c>
      <c r="D1774" s="116">
        <v>1220</v>
      </c>
      <c r="E1774" s="116">
        <v>1220</v>
      </c>
      <c r="F1774" s="116">
        <v>1235.2</v>
      </c>
      <c r="G1774">
        <v>31609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44616</v>
      </c>
      <c r="B1775" s="116">
        <v>1225</v>
      </c>
      <c r="C1775" s="116">
        <v>1196.55</v>
      </c>
      <c r="D1775" s="116">
        <v>1182.95</v>
      </c>
      <c r="E1775" s="116">
        <v>1220.05</v>
      </c>
      <c r="F1775" s="116">
        <v>1196.55</v>
      </c>
      <c r="G1775">
        <v>43430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44617</v>
      </c>
      <c r="B1776" s="116">
        <v>1255.0999999999999</v>
      </c>
      <c r="C1776" s="116">
        <v>1251.8499999999999</v>
      </c>
      <c r="D1776" s="116">
        <v>1204</v>
      </c>
      <c r="E1776" s="116">
        <v>1204</v>
      </c>
      <c r="F1776" s="116">
        <v>1251.8499999999999</v>
      </c>
      <c r="G1776">
        <v>30757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44620</v>
      </c>
      <c r="B1777" s="116">
        <v>1268.2</v>
      </c>
      <c r="C1777" s="116">
        <v>1262.3</v>
      </c>
      <c r="D1777" s="116">
        <v>1222.8</v>
      </c>
      <c r="E1777" s="116">
        <v>1239</v>
      </c>
      <c r="F1777" s="116">
        <v>1262.3</v>
      </c>
      <c r="G1777">
        <v>78176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44622</v>
      </c>
      <c r="B1778" s="116">
        <v>1269</v>
      </c>
      <c r="C1778" s="116">
        <v>1229.8</v>
      </c>
      <c r="D1778" s="116">
        <v>1221</v>
      </c>
      <c r="E1778" s="116">
        <v>1269</v>
      </c>
      <c r="F1778" s="116">
        <v>1229.8</v>
      </c>
      <c r="G1778">
        <v>66152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44623</v>
      </c>
      <c r="B1779" s="116">
        <v>1250</v>
      </c>
      <c r="C1779" s="116">
        <v>1196.9000000000001</v>
      </c>
      <c r="D1779" s="116">
        <v>1184.95</v>
      </c>
      <c r="E1779" s="116">
        <v>1229</v>
      </c>
      <c r="F1779" s="116">
        <v>1196.9000000000001</v>
      </c>
      <c r="G1779">
        <v>16942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44624</v>
      </c>
      <c r="B1780" s="116">
        <v>1203.5999999999999</v>
      </c>
      <c r="C1780" s="116">
        <v>1175.5</v>
      </c>
      <c r="D1780" s="116">
        <v>1152.5</v>
      </c>
      <c r="E1780" s="116">
        <v>1192</v>
      </c>
      <c r="F1780" s="116">
        <v>1175.5</v>
      </c>
      <c r="G1780">
        <v>53557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44627</v>
      </c>
      <c r="B1781" s="116">
        <v>1168</v>
      </c>
      <c r="C1781" s="116">
        <v>1147.25</v>
      </c>
      <c r="D1781" s="116">
        <v>1123.8499999999999</v>
      </c>
      <c r="E1781" s="116">
        <v>1168</v>
      </c>
      <c r="F1781" s="116">
        <v>1147.25</v>
      </c>
      <c r="G1781">
        <v>62722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44628</v>
      </c>
      <c r="B1782" s="116">
        <v>1160.55</v>
      </c>
      <c r="C1782" s="116">
        <v>1151.9000000000001</v>
      </c>
      <c r="D1782" s="116">
        <v>1100.3</v>
      </c>
      <c r="E1782" s="116">
        <v>1145</v>
      </c>
      <c r="F1782" s="116">
        <v>1151.9000000000001</v>
      </c>
      <c r="G1782">
        <v>48087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44629</v>
      </c>
      <c r="B1783" s="116">
        <v>1187.45</v>
      </c>
      <c r="C1783" s="116">
        <v>1157.9000000000001</v>
      </c>
      <c r="D1783" s="116">
        <v>1141</v>
      </c>
      <c r="E1783" s="116">
        <v>1162</v>
      </c>
      <c r="F1783" s="116">
        <v>1157.9000000000001</v>
      </c>
      <c r="G1783">
        <v>34441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44630</v>
      </c>
      <c r="B1784" s="116">
        <v>1209</v>
      </c>
      <c r="C1784" s="116">
        <v>1177.8499999999999</v>
      </c>
      <c r="D1784" s="116">
        <v>1175</v>
      </c>
      <c r="E1784" s="116">
        <v>1209</v>
      </c>
      <c r="F1784" s="116">
        <v>1177.8499999999999</v>
      </c>
      <c r="G1784">
        <v>20049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44631</v>
      </c>
      <c r="B1785" s="116">
        <v>1210.0999999999999</v>
      </c>
      <c r="C1785" s="116">
        <v>1204.3</v>
      </c>
      <c r="D1785" s="116">
        <v>1170</v>
      </c>
      <c r="E1785" s="116">
        <v>1170</v>
      </c>
      <c r="F1785" s="116">
        <v>1204.3</v>
      </c>
      <c r="G1785">
        <v>18748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44634</v>
      </c>
      <c r="B1786" s="116">
        <v>1209</v>
      </c>
      <c r="C1786" s="116">
        <v>1191.75</v>
      </c>
      <c r="D1786" s="116">
        <v>1177.8499999999999</v>
      </c>
      <c r="E1786" s="116">
        <v>1209</v>
      </c>
      <c r="F1786" s="116">
        <v>1191.75</v>
      </c>
      <c r="G1786">
        <v>21608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44635</v>
      </c>
      <c r="B1787" s="116">
        <v>1224</v>
      </c>
      <c r="C1787" s="116">
        <v>1211.0999999999999</v>
      </c>
      <c r="D1787" s="116">
        <v>1193.55</v>
      </c>
      <c r="E1787" s="116">
        <v>1203</v>
      </c>
      <c r="F1787" s="116">
        <v>1211.0999999999999</v>
      </c>
      <c r="G1787">
        <v>41143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44636</v>
      </c>
      <c r="B1788" s="116">
        <v>1289.6500000000001</v>
      </c>
      <c r="C1788" s="116">
        <v>1271</v>
      </c>
      <c r="D1788" s="116">
        <v>1224</v>
      </c>
      <c r="E1788" s="116">
        <v>1238</v>
      </c>
      <c r="F1788" s="116">
        <v>1271</v>
      </c>
      <c r="G1788">
        <v>72675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44637</v>
      </c>
      <c r="B1789" s="116">
        <v>1325</v>
      </c>
      <c r="C1789" s="116">
        <v>1295.25</v>
      </c>
      <c r="D1789" s="116">
        <v>1290.2</v>
      </c>
      <c r="E1789" s="116">
        <v>1312.8</v>
      </c>
      <c r="F1789" s="116">
        <v>1295.25</v>
      </c>
      <c r="G1789">
        <v>121379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44641</v>
      </c>
      <c r="B1790" s="116">
        <v>1313.3</v>
      </c>
      <c r="C1790" s="116">
        <v>1288.9000000000001</v>
      </c>
      <c r="D1790" s="116">
        <v>1282.8499999999999</v>
      </c>
      <c r="E1790" s="116">
        <v>1313.3</v>
      </c>
      <c r="F1790" s="116">
        <v>1288.9000000000001</v>
      </c>
      <c r="G1790">
        <v>64136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44642</v>
      </c>
      <c r="B1791" s="116">
        <v>1287.7</v>
      </c>
      <c r="C1791" s="116">
        <v>1281</v>
      </c>
      <c r="D1791" s="116">
        <v>1238.45</v>
      </c>
      <c r="E1791" s="116">
        <v>1285.55</v>
      </c>
      <c r="F1791" s="116">
        <v>1281</v>
      </c>
      <c r="G1791">
        <v>123031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44643</v>
      </c>
      <c r="B1792" s="116">
        <v>1339.85</v>
      </c>
      <c r="C1792" s="116">
        <v>1304.6500000000001</v>
      </c>
      <c r="D1792" s="116">
        <v>1298.75</v>
      </c>
      <c r="E1792" s="116">
        <v>1300</v>
      </c>
      <c r="F1792" s="116">
        <v>1304.6500000000001</v>
      </c>
      <c r="G1792">
        <v>77602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44644</v>
      </c>
      <c r="B1793" s="116">
        <v>1304.6500000000001</v>
      </c>
      <c r="C1793" s="116">
        <v>1276.0999999999999</v>
      </c>
      <c r="D1793" s="116">
        <v>1266.8499999999999</v>
      </c>
      <c r="E1793" s="116">
        <v>1304.6500000000001</v>
      </c>
      <c r="F1793" s="116">
        <v>1276.0999999999999</v>
      </c>
      <c r="G1793">
        <v>57740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44645</v>
      </c>
      <c r="B1794" s="116">
        <v>1293.55</v>
      </c>
      <c r="C1794" s="116">
        <v>1249.1500000000001</v>
      </c>
      <c r="D1794" s="116">
        <v>1243.5999999999999</v>
      </c>
      <c r="E1794" s="116">
        <v>1280</v>
      </c>
      <c r="F1794" s="116">
        <v>1249.1500000000001</v>
      </c>
      <c r="G1794">
        <v>59290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44648</v>
      </c>
      <c r="B1795" s="116">
        <v>1252.45</v>
      </c>
      <c r="C1795" s="116">
        <v>1231.95</v>
      </c>
      <c r="D1795" s="116">
        <v>1218.3</v>
      </c>
      <c r="E1795" s="116">
        <v>1243.9000000000001</v>
      </c>
      <c r="F1795" s="116">
        <v>1231.95</v>
      </c>
      <c r="G1795">
        <v>109061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44649</v>
      </c>
      <c r="B1796" s="116">
        <v>1252.2</v>
      </c>
      <c r="C1796" s="116">
        <v>1247.75</v>
      </c>
      <c r="D1796" s="116">
        <v>1229.6500000000001</v>
      </c>
      <c r="E1796" s="116">
        <v>1239.7</v>
      </c>
      <c r="F1796" s="116">
        <v>1247.75</v>
      </c>
      <c r="G1796">
        <v>26924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44650</v>
      </c>
      <c r="B1797" s="116">
        <v>1273.5999999999999</v>
      </c>
      <c r="C1797" s="116">
        <v>1267.8</v>
      </c>
      <c r="D1797" s="116">
        <v>1245</v>
      </c>
      <c r="E1797" s="116">
        <v>1247.2</v>
      </c>
      <c r="F1797" s="116">
        <v>1267.8</v>
      </c>
      <c r="G1797">
        <v>35386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44651</v>
      </c>
      <c r="B1798" s="116">
        <v>1274.7</v>
      </c>
      <c r="C1798" s="116">
        <v>1244.5</v>
      </c>
      <c r="D1798" s="116">
        <v>1243</v>
      </c>
      <c r="E1798" s="116">
        <v>1274.7</v>
      </c>
      <c r="F1798" s="116">
        <v>1244.5</v>
      </c>
      <c r="G1798">
        <v>22257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44652</v>
      </c>
      <c r="B1799" s="116">
        <v>1264.05</v>
      </c>
      <c r="C1799" s="116">
        <v>1260.55</v>
      </c>
      <c r="D1799" s="116">
        <v>1244.6500000000001</v>
      </c>
      <c r="E1799" s="116">
        <v>1247</v>
      </c>
      <c r="F1799" s="116">
        <v>1260.55</v>
      </c>
      <c r="G1799">
        <v>22924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44655</v>
      </c>
      <c r="B1800" s="116">
        <v>1281.1500000000001</v>
      </c>
      <c r="C1800" s="116">
        <v>1276.25</v>
      </c>
      <c r="D1800" s="116">
        <v>1255.2</v>
      </c>
      <c r="E1800" s="116">
        <v>1262</v>
      </c>
      <c r="F1800" s="116">
        <v>1276.25</v>
      </c>
      <c r="G1800">
        <v>19599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44656</v>
      </c>
      <c r="B1801" s="116">
        <v>1324.95</v>
      </c>
      <c r="C1801" s="116">
        <v>1314.85</v>
      </c>
      <c r="D1801" s="116">
        <v>1279.05</v>
      </c>
      <c r="E1801" s="116">
        <v>1298</v>
      </c>
      <c r="F1801" s="116">
        <v>1314.85</v>
      </c>
      <c r="G1801">
        <v>70676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44657</v>
      </c>
      <c r="B1802" s="116">
        <v>1328.95</v>
      </c>
      <c r="C1802" s="116">
        <v>1321.95</v>
      </c>
      <c r="D1802" s="116">
        <v>1296.05</v>
      </c>
      <c r="E1802" s="116">
        <v>1324</v>
      </c>
      <c r="F1802" s="116">
        <v>1321.95</v>
      </c>
      <c r="G1802">
        <v>51606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44658</v>
      </c>
      <c r="B1803" s="116">
        <v>1347.75</v>
      </c>
      <c r="C1803" s="116">
        <v>1301.25</v>
      </c>
      <c r="D1803" s="116">
        <v>1291.9000000000001</v>
      </c>
      <c r="E1803" s="116">
        <v>1321</v>
      </c>
      <c r="F1803" s="116">
        <v>1301.25</v>
      </c>
      <c r="G1803">
        <v>99794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44659</v>
      </c>
      <c r="B1804" s="116">
        <v>1321.7</v>
      </c>
      <c r="C1804" s="116">
        <v>1317.5</v>
      </c>
      <c r="D1804" s="116">
        <v>1304.25</v>
      </c>
      <c r="E1804" s="116">
        <v>1305</v>
      </c>
      <c r="F1804" s="116">
        <v>1317.5</v>
      </c>
      <c r="G1804">
        <v>52056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44662</v>
      </c>
      <c r="B1805" s="116">
        <v>1332</v>
      </c>
      <c r="C1805" s="116">
        <v>1302.7</v>
      </c>
      <c r="D1805" s="116">
        <v>1299.1500000000001</v>
      </c>
      <c r="E1805" s="116">
        <v>1332</v>
      </c>
      <c r="F1805" s="116">
        <v>1302.7</v>
      </c>
      <c r="G1805">
        <v>34121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44663</v>
      </c>
      <c r="B1806" s="116">
        <v>1310.85</v>
      </c>
      <c r="C1806" s="116">
        <v>1303.2</v>
      </c>
      <c r="D1806" s="116">
        <v>1268.5</v>
      </c>
      <c r="E1806" s="116">
        <v>1302.7</v>
      </c>
      <c r="F1806" s="116">
        <v>1303.2</v>
      </c>
      <c r="G1806">
        <v>35427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44664</v>
      </c>
      <c r="B1807" s="116">
        <v>1317.35</v>
      </c>
      <c r="C1807" s="116">
        <v>1304.45</v>
      </c>
      <c r="D1807" s="116">
        <v>1289.25</v>
      </c>
      <c r="E1807" s="116">
        <v>1302</v>
      </c>
      <c r="F1807" s="116">
        <v>1304.45</v>
      </c>
      <c r="G1807">
        <v>48162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44669</v>
      </c>
      <c r="B1808" s="116">
        <v>1285.3499999999999</v>
      </c>
      <c r="C1808" s="116">
        <v>1246.8</v>
      </c>
      <c r="D1808" s="116">
        <v>1241.6500000000001</v>
      </c>
      <c r="E1808" s="116">
        <v>1276</v>
      </c>
      <c r="F1808" s="116">
        <v>1246.8</v>
      </c>
      <c r="G1808">
        <v>66504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44670</v>
      </c>
      <c r="B1809" s="116">
        <v>1270.75</v>
      </c>
      <c r="C1809" s="116">
        <v>1248.75</v>
      </c>
      <c r="D1809" s="116">
        <v>1225</v>
      </c>
      <c r="E1809" s="116">
        <v>1255.05</v>
      </c>
      <c r="F1809" s="116">
        <v>1248.75</v>
      </c>
      <c r="G1809">
        <v>22307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44671</v>
      </c>
      <c r="B1810" s="116">
        <v>1255</v>
      </c>
      <c r="C1810" s="116">
        <v>1251.2</v>
      </c>
      <c r="D1810" s="116">
        <v>1228</v>
      </c>
      <c r="E1810" s="116">
        <v>1241</v>
      </c>
      <c r="F1810" s="116">
        <v>1251.2</v>
      </c>
      <c r="G1810">
        <v>54594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44672</v>
      </c>
      <c r="B1811" s="116">
        <v>1269.4000000000001</v>
      </c>
      <c r="C1811" s="116">
        <v>1266.3</v>
      </c>
      <c r="D1811" s="116">
        <v>1250</v>
      </c>
      <c r="E1811" s="116">
        <v>1250</v>
      </c>
      <c r="F1811" s="116">
        <v>1266.3</v>
      </c>
      <c r="G1811">
        <v>61097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44673</v>
      </c>
      <c r="B1812" s="116">
        <v>1271</v>
      </c>
      <c r="C1812" s="116">
        <v>1251.95</v>
      </c>
      <c r="D1812" s="116">
        <v>1249</v>
      </c>
      <c r="E1812" s="116">
        <v>1265.0999999999999</v>
      </c>
      <c r="F1812" s="116">
        <v>1251.95</v>
      </c>
      <c r="G1812">
        <v>140685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44676</v>
      </c>
      <c r="B1813" s="116">
        <v>1255.5</v>
      </c>
      <c r="C1813" s="116">
        <v>1242.1500000000001</v>
      </c>
      <c r="D1813" s="116">
        <v>1231</v>
      </c>
      <c r="E1813" s="116">
        <v>1250</v>
      </c>
      <c r="F1813" s="116">
        <v>1242.1500000000001</v>
      </c>
      <c r="G1813">
        <v>26310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44677</v>
      </c>
      <c r="B1814" s="116">
        <v>1265</v>
      </c>
      <c r="C1814" s="116">
        <v>1262.05</v>
      </c>
      <c r="D1814" s="116">
        <v>1246.5999999999999</v>
      </c>
      <c r="E1814" s="116">
        <v>1251.9000000000001</v>
      </c>
      <c r="F1814" s="116">
        <v>1262.05</v>
      </c>
      <c r="G1814">
        <v>18411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44678</v>
      </c>
      <c r="B1815" s="116">
        <v>1288</v>
      </c>
      <c r="C1815" s="116">
        <v>1269.2</v>
      </c>
      <c r="D1815" s="116">
        <v>1253.5999999999999</v>
      </c>
      <c r="E1815" s="116">
        <v>1265.95</v>
      </c>
      <c r="F1815" s="116">
        <v>1269.2</v>
      </c>
      <c r="G1815">
        <v>59903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44679</v>
      </c>
      <c r="B1816" s="116">
        <v>1293.2</v>
      </c>
      <c r="C1816" s="116">
        <v>1284.1500000000001</v>
      </c>
      <c r="D1816" s="116">
        <v>1268.8499999999999</v>
      </c>
      <c r="E1816" s="116">
        <v>1286.8499999999999</v>
      </c>
      <c r="F1816" s="116">
        <v>1284.1500000000001</v>
      </c>
      <c r="G1816">
        <v>30712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44680</v>
      </c>
      <c r="B1817" s="116">
        <v>1302</v>
      </c>
      <c r="C1817" s="116">
        <v>1260.75</v>
      </c>
      <c r="D1817" s="116">
        <v>1249.25</v>
      </c>
      <c r="E1817" s="116">
        <v>1302</v>
      </c>
      <c r="F1817" s="116">
        <v>1260.75</v>
      </c>
      <c r="G1817">
        <v>30997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44683</v>
      </c>
      <c r="B1818" s="116">
        <v>1266.5999999999999</v>
      </c>
      <c r="C1818" s="116">
        <v>1231.6500000000001</v>
      </c>
      <c r="D1818" s="116">
        <v>1223</v>
      </c>
      <c r="E1818" s="116">
        <v>1260</v>
      </c>
      <c r="F1818" s="116">
        <v>1231.6500000000001</v>
      </c>
      <c r="G1818">
        <v>28239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44685</v>
      </c>
      <c r="B1819" s="116">
        <v>1240.3499999999999</v>
      </c>
      <c r="C1819" s="116">
        <v>1143.8499999999999</v>
      </c>
      <c r="D1819" s="116">
        <v>1136.55</v>
      </c>
      <c r="E1819" s="116">
        <v>1238.95</v>
      </c>
      <c r="F1819" s="116">
        <v>1143.8499999999999</v>
      </c>
      <c r="G1819">
        <v>359912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44686</v>
      </c>
      <c r="B1820" s="116">
        <v>1163.9000000000001</v>
      </c>
      <c r="C1820" s="116">
        <v>1158.25</v>
      </c>
      <c r="D1820" s="116">
        <v>1144.55</v>
      </c>
      <c r="E1820" s="116">
        <v>1163.2</v>
      </c>
      <c r="F1820" s="116">
        <v>1158.25</v>
      </c>
      <c r="G1820">
        <v>63108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44687</v>
      </c>
      <c r="B1821" s="116">
        <v>1097.05</v>
      </c>
      <c r="C1821" s="116">
        <v>1069</v>
      </c>
      <c r="D1821" s="116">
        <v>1045</v>
      </c>
      <c r="E1821" s="116">
        <v>1090</v>
      </c>
      <c r="F1821" s="116">
        <v>1069</v>
      </c>
      <c r="G1821">
        <v>220498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44690</v>
      </c>
      <c r="B1822" s="116">
        <v>1065</v>
      </c>
      <c r="C1822" s="116">
        <v>1044.05</v>
      </c>
      <c r="D1822" s="116">
        <v>1030.8</v>
      </c>
      <c r="E1822" s="116">
        <v>1058</v>
      </c>
      <c r="F1822" s="116">
        <v>1044.05</v>
      </c>
      <c r="G1822">
        <v>97492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44691</v>
      </c>
      <c r="B1823" s="116">
        <v>1033.7</v>
      </c>
      <c r="C1823" s="116">
        <v>989.35</v>
      </c>
      <c r="D1823" s="116">
        <v>976</v>
      </c>
      <c r="E1823" s="116">
        <v>1031</v>
      </c>
      <c r="F1823" s="116">
        <v>989.35</v>
      </c>
      <c r="G1823">
        <v>89953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44692</v>
      </c>
      <c r="B1824" s="116">
        <v>993.85</v>
      </c>
      <c r="C1824" s="116">
        <v>974.95</v>
      </c>
      <c r="D1824" s="116">
        <v>961.8</v>
      </c>
      <c r="E1824" s="116">
        <v>991</v>
      </c>
      <c r="F1824" s="116">
        <v>974.95</v>
      </c>
      <c r="G1824">
        <v>77122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44693</v>
      </c>
      <c r="B1825" s="116">
        <v>975</v>
      </c>
      <c r="C1825" s="116">
        <v>950.7</v>
      </c>
      <c r="D1825" s="116">
        <v>935.5</v>
      </c>
      <c r="E1825" s="116">
        <v>975</v>
      </c>
      <c r="F1825" s="116">
        <v>950.7</v>
      </c>
      <c r="G1825">
        <v>265081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44694</v>
      </c>
      <c r="B1826" s="116">
        <v>964.5</v>
      </c>
      <c r="C1826" s="116">
        <v>932.75</v>
      </c>
      <c r="D1826" s="116">
        <v>928.1</v>
      </c>
      <c r="E1826" s="116">
        <v>960.7</v>
      </c>
      <c r="F1826" s="116">
        <v>932.75</v>
      </c>
      <c r="G1826">
        <v>66115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44697</v>
      </c>
      <c r="B1827" s="116">
        <v>958.3</v>
      </c>
      <c r="C1827" s="116">
        <v>951.3</v>
      </c>
      <c r="D1827" s="116">
        <v>923.5</v>
      </c>
      <c r="E1827" s="116">
        <v>935</v>
      </c>
      <c r="F1827" s="116">
        <v>951.3</v>
      </c>
      <c r="G1827">
        <v>63726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44698</v>
      </c>
      <c r="B1828" s="116">
        <v>992</v>
      </c>
      <c r="C1828" s="116">
        <v>988.7</v>
      </c>
      <c r="D1828" s="116">
        <v>951.35</v>
      </c>
      <c r="E1828" s="116">
        <v>965</v>
      </c>
      <c r="F1828" s="116">
        <v>988.7</v>
      </c>
      <c r="G1828">
        <v>66103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44699</v>
      </c>
      <c r="B1829" s="116">
        <v>1029.95</v>
      </c>
      <c r="C1829" s="116">
        <v>983.9</v>
      </c>
      <c r="D1829" s="116">
        <v>978.15</v>
      </c>
      <c r="E1829" s="116">
        <v>995</v>
      </c>
      <c r="F1829" s="116">
        <v>983.9</v>
      </c>
      <c r="G1829">
        <v>124242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44700</v>
      </c>
      <c r="B1830" s="116">
        <v>975.3</v>
      </c>
      <c r="C1830" s="116">
        <v>945</v>
      </c>
      <c r="D1830" s="116">
        <v>941.05</v>
      </c>
      <c r="E1830" s="116">
        <v>965</v>
      </c>
      <c r="F1830" s="116">
        <v>945</v>
      </c>
      <c r="G1830">
        <v>29729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44701</v>
      </c>
      <c r="B1831" s="116">
        <v>980.4</v>
      </c>
      <c r="C1831" s="116">
        <v>975.5</v>
      </c>
      <c r="D1831" s="116">
        <v>956.65</v>
      </c>
      <c r="E1831" s="116">
        <v>969.8</v>
      </c>
      <c r="F1831" s="116">
        <v>975.5</v>
      </c>
      <c r="G1831">
        <v>20535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44704</v>
      </c>
      <c r="B1832" s="116">
        <v>1003.8</v>
      </c>
      <c r="C1832" s="116">
        <v>995.85</v>
      </c>
      <c r="D1832" s="116">
        <v>976.8</v>
      </c>
      <c r="E1832" s="116">
        <v>994</v>
      </c>
      <c r="F1832" s="116">
        <v>995.85</v>
      </c>
      <c r="G1832">
        <v>124783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44705</v>
      </c>
      <c r="B1833" s="116">
        <v>1014.1</v>
      </c>
      <c r="C1833" s="116">
        <v>1011.8</v>
      </c>
      <c r="D1833" s="116">
        <v>992</v>
      </c>
      <c r="E1833" s="116">
        <v>1005</v>
      </c>
      <c r="F1833" s="116">
        <v>1011.8</v>
      </c>
      <c r="G1833">
        <v>258542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44706</v>
      </c>
      <c r="B1834" s="116">
        <v>1019.2</v>
      </c>
      <c r="C1834" s="116">
        <v>995.4</v>
      </c>
      <c r="D1834" s="116">
        <v>987.9</v>
      </c>
      <c r="E1834" s="116">
        <v>1012.45</v>
      </c>
      <c r="F1834" s="116">
        <v>995.4</v>
      </c>
      <c r="G1834">
        <v>81540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44707</v>
      </c>
      <c r="B1835" s="116">
        <v>1002.55</v>
      </c>
      <c r="C1835" s="116">
        <v>996.65</v>
      </c>
      <c r="D1835" s="116">
        <v>980.6</v>
      </c>
      <c r="E1835" s="116">
        <v>995</v>
      </c>
      <c r="F1835" s="116">
        <v>996.65</v>
      </c>
      <c r="G1835">
        <v>35548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44708</v>
      </c>
      <c r="B1836" s="116">
        <v>1023.5</v>
      </c>
      <c r="C1836" s="116">
        <v>1008.7</v>
      </c>
      <c r="D1836" s="116">
        <v>993.7</v>
      </c>
      <c r="E1836" s="116">
        <v>1007.55</v>
      </c>
      <c r="F1836" s="116">
        <v>1008.7</v>
      </c>
      <c r="G1836">
        <v>41725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44711</v>
      </c>
      <c r="B1837" s="116">
        <v>1044.3499999999999</v>
      </c>
      <c r="C1837" s="116">
        <v>1039.9000000000001</v>
      </c>
      <c r="D1837" s="116">
        <v>1008.45</v>
      </c>
      <c r="E1837" s="116">
        <v>1008.45</v>
      </c>
      <c r="F1837" s="116">
        <v>1039.9000000000001</v>
      </c>
      <c r="G1837">
        <v>36841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44712</v>
      </c>
      <c r="B1838" s="116">
        <v>1049.3</v>
      </c>
      <c r="C1838" s="116">
        <v>1019.4</v>
      </c>
      <c r="D1838" s="116">
        <v>1013.25</v>
      </c>
      <c r="E1838" s="116">
        <v>1049.3</v>
      </c>
      <c r="F1838" s="116">
        <v>1019.4</v>
      </c>
      <c r="G1838">
        <v>33413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44713</v>
      </c>
      <c r="B1839" s="116">
        <v>1053.8</v>
      </c>
      <c r="C1839" s="116">
        <v>1048.25</v>
      </c>
      <c r="D1839" s="116">
        <v>1009.2</v>
      </c>
      <c r="E1839" s="116">
        <v>1020</v>
      </c>
      <c r="F1839" s="116">
        <v>1048.25</v>
      </c>
      <c r="G1839">
        <v>155536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44714</v>
      </c>
      <c r="B1840" s="116">
        <v>1058</v>
      </c>
      <c r="C1840" s="116">
        <v>1048.75</v>
      </c>
      <c r="D1840" s="116">
        <v>1038.4000000000001</v>
      </c>
      <c r="E1840" s="116">
        <v>1058</v>
      </c>
      <c r="F1840" s="116">
        <v>1048.75</v>
      </c>
      <c r="G1840">
        <v>39628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44715</v>
      </c>
      <c r="B1841" s="116">
        <v>1073.55</v>
      </c>
      <c r="C1841" s="116">
        <v>1018.45</v>
      </c>
      <c r="D1841" s="116">
        <v>1015</v>
      </c>
      <c r="E1841" s="116">
        <v>1050</v>
      </c>
      <c r="F1841" s="116">
        <v>1018.45</v>
      </c>
      <c r="G1841">
        <v>90023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44718</v>
      </c>
      <c r="B1842" s="116">
        <v>1025.0999999999999</v>
      </c>
      <c r="C1842" s="116">
        <v>1014.9</v>
      </c>
      <c r="D1842" s="116">
        <v>988</v>
      </c>
      <c r="E1842" s="116">
        <v>1025.0999999999999</v>
      </c>
      <c r="F1842" s="116">
        <v>1014.9</v>
      </c>
      <c r="G1842">
        <v>94396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44719</v>
      </c>
      <c r="B1843" s="116">
        <v>1010</v>
      </c>
      <c r="C1843" s="116">
        <v>998.85</v>
      </c>
      <c r="D1843" s="116">
        <v>975.6</v>
      </c>
      <c r="E1843" s="116">
        <v>1010</v>
      </c>
      <c r="F1843" s="116">
        <v>998.85</v>
      </c>
      <c r="G1843">
        <v>34034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44720</v>
      </c>
      <c r="B1844" s="116">
        <v>1003.55</v>
      </c>
      <c r="C1844" s="116">
        <v>991.35</v>
      </c>
      <c r="D1844" s="116">
        <v>974.35</v>
      </c>
      <c r="E1844" s="116">
        <v>1002.8</v>
      </c>
      <c r="F1844" s="116">
        <v>991.35</v>
      </c>
      <c r="G1844">
        <v>26760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44721</v>
      </c>
      <c r="B1845" s="116">
        <v>1005</v>
      </c>
      <c r="C1845" s="116">
        <v>999.2</v>
      </c>
      <c r="D1845" s="116">
        <v>959.75</v>
      </c>
      <c r="E1845" s="116">
        <v>985</v>
      </c>
      <c r="F1845" s="116">
        <v>999.2</v>
      </c>
      <c r="G1845">
        <v>104935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44722</v>
      </c>
      <c r="B1846" s="116">
        <v>1001.9</v>
      </c>
      <c r="C1846" s="116">
        <v>992.7</v>
      </c>
      <c r="D1846" s="116">
        <v>980.6</v>
      </c>
      <c r="E1846" s="116">
        <v>999</v>
      </c>
      <c r="F1846" s="116">
        <v>992.7</v>
      </c>
      <c r="G1846">
        <v>16094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44725</v>
      </c>
      <c r="B1847" s="116">
        <v>984.5</v>
      </c>
      <c r="C1847" s="116">
        <v>980.7</v>
      </c>
      <c r="D1847" s="116">
        <v>963.2</v>
      </c>
      <c r="E1847" s="116">
        <v>965.7</v>
      </c>
      <c r="F1847" s="116">
        <v>980.7</v>
      </c>
      <c r="G1847">
        <v>99136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44726</v>
      </c>
      <c r="B1848" s="116">
        <v>990.65</v>
      </c>
      <c r="C1848" s="116">
        <v>985.35</v>
      </c>
      <c r="D1848" s="116">
        <v>971.35</v>
      </c>
      <c r="E1848" s="116">
        <v>979</v>
      </c>
      <c r="F1848" s="116">
        <v>985.35</v>
      </c>
      <c r="G1848">
        <v>25688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44727</v>
      </c>
      <c r="B1849" s="116">
        <v>1003.7</v>
      </c>
      <c r="C1849" s="116">
        <v>994.35</v>
      </c>
      <c r="D1849" s="116">
        <v>990.1</v>
      </c>
      <c r="E1849" s="116">
        <v>999.9</v>
      </c>
      <c r="F1849" s="116">
        <v>994.35</v>
      </c>
      <c r="G1849">
        <v>64502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44728</v>
      </c>
      <c r="B1850" s="116">
        <v>1009.1</v>
      </c>
      <c r="C1850" s="116">
        <v>955.2</v>
      </c>
      <c r="D1850" s="116">
        <v>951.05</v>
      </c>
      <c r="E1850" s="116">
        <v>1004.4</v>
      </c>
      <c r="F1850" s="116">
        <v>955.2</v>
      </c>
      <c r="G1850">
        <v>31903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44729</v>
      </c>
      <c r="B1851" s="116">
        <v>963.75</v>
      </c>
      <c r="C1851" s="116">
        <v>955</v>
      </c>
      <c r="D1851" s="116">
        <v>934.75</v>
      </c>
      <c r="E1851" s="116">
        <v>954.4</v>
      </c>
      <c r="F1851" s="116">
        <v>955</v>
      </c>
      <c r="G1851">
        <v>27745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44732</v>
      </c>
      <c r="B1852" s="116">
        <v>962.4</v>
      </c>
      <c r="C1852" s="116">
        <v>945.2</v>
      </c>
      <c r="D1852" s="116">
        <v>934.4</v>
      </c>
      <c r="E1852" s="116">
        <v>959.95</v>
      </c>
      <c r="F1852" s="116">
        <v>945.2</v>
      </c>
      <c r="G1852">
        <v>23852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44733</v>
      </c>
      <c r="B1853" s="116">
        <v>982.4</v>
      </c>
      <c r="C1853" s="116">
        <v>981.2</v>
      </c>
      <c r="D1853" s="116">
        <v>945.3</v>
      </c>
      <c r="E1853" s="116">
        <v>945.3</v>
      </c>
      <c r="F1853" s="116">
        <v>981.2</v>
      </c>
      <c r="G1853">
        <v>17594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44734</v>
      </c>
      <c r="B1854" s="116">
        <v>976.25</v>
      </c>
      <c r="C1854" s="116">
        <v>947.4</v>
      </c>
      <c r="D1854" s="116">
        <v>944.35</v>
      </c>
      <c r="E1854" s="116">
        <v>974.8</v>
      </c>
      <c r="F1854" s="116">
        <v>947.4</v>
      </c>
      <c r="G1854">
        <v>17891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44735</v>
      </c>
      <c r="B1855" s="116">
        <v>969.25</v>
      </c>
      <c r="C1855" s="116">
        <v>965.35</v>
      </c>
      <c r="D1855" s="116">
        <v>947</v>
      </c>
      <c r="E1855" s="116">
        <v>948</v>
      </c>
      <c r="F1855" s="116">
        <v>965.35</v>
      </c>
      <c r="G1855">
        <v>10329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44736</v>
      </c>
      <c r="B1856" s="116">
        <v>995.05</v>
      </c>
      <c r="C1856" s="116">
        <v>992.95</v>
      </c>
      <c r="D1856" s="116">
        <v>970.05</v>
      </c>
      <c r="E1856" s="116">
        <v>975</v>
      </c>
      <c r="F1856" s="116">
        <v>992.95</v>
      </c>
      <c r="G1856">
        <v>21544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44739</v>
      </c>
      <c r="B1857" s="116">
        <v>1002</v>
      </c>
      <c r="C1857" s="116">
        <v>982.25</v>
      </c>
      <c r="D1857" s="116">
        <v>980</v>
      </c>
      <c r="E1857" s="116">
        <v>992</v>
      </c>
      <c r="F1857" s="116">
        <v>982.25</v>
      </c>
      <c r="G1857">
        <v>19153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44740</v>
      </c>
      <c r="B1858" s="116">
        <v>989.85</v>
      </c>
      <c r="C1858" s="116">
        <v>976.9</v>
      </c>
      <c r="D1858" s="116">
        <v>960.7</v>
      </c>
      <c r="E1858" s="116">
        <v>981</v>
      </c>
      <c r="F1858" s="116">
        <v>976.9</v>
      </c>
      <c r="G1858">
        <v>27292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44741</v>
      </c>
      <c r="B1859" s="116">
        <v>982</v>
      </c>
      <c r="C1859" s="116">
        <v>970.4</v>
      </c>
      <c r="D1859" s="116">
        <v>962.5</v>
      </c>
      <c r="E1859" s="116">
        <v>968.05</v>
      </c>
      <c r="F1859" s="116">
        <v>970.4</v>
      </c>
      <c r="G1859">
        <v>17548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44742</v>
      </c>
      <c r="B1860" s="116">
        <v>983.2</v>
      </c>
      <c r="C1860" s="116">
        <v>972.85</v>
      </c>
      <c r="D1860" s="116">
        <v>965.75</v>
      </c>
      <c r="E1860" s="116">
        <v>970</v>
      </c>
      <c r="F1860" s="116">
        <v>972.85</v>
      </c>
      <c r="G1860">
        <v>11009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44743</v>
      </c>
      <c r="B1861" s="116">
        <v>969.7</v>
      </c>
      <c r="C1861" s="116">
        <v>956</v>
      </c>
      <c r="D1861" s="116">
        <v>938</v>
      </c>
      <c r="E1861" s="116">
        <v>951</v>
      </c>
      <c r="F1861" s="116">
        <v>956</v>
      </c>
      <c r="G1861">
        <v>242940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44746</v>
      </c>
      <c r="B1862" s="116">
        <v>972.35</v>
      </c>
      <c r="C1862" s="116">
        <v>965.7</v>
      </c>
      <c r="D1862" s="116">
        <v>946.05</v>
      </c>
      <c r="E1862" s="116">
        <v>970</v>
      </c>
      <c r="F1862" s="116">
        <v>965.7</v>
      </c>
      <c r="G1862">
        <v>15216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44747</v>
      </c>
      <c r="B1863" s="116">
        <v>986.25</v>
      </c>
      <c r="C1863" s="116">
        <v>957.35</v>
      </c>
      <c r="D1863" s="116">
        <v>951.65</v>
      </c>
      <c r="E1863" s="116">
        <v>975.4</v>
      </c>
      <c r="F1863" s="116">
        <v>957.35</v>
      </c>
      <c r="G1863">
        <v>39323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44748</v>
      </c>
      <c r="B1864" s="116">
        <v>979.65</v>
      </c>
      <c r="C1864" s="116">
        <v>975.4</v>
      </c>
      <c r="D1864" s="116">
        <v>953.75</v>
      </c>
      <c r="E1864" s="116">
        <v>972</v>
      </c>
      <c r="F1864" s="116">
        <v>975.4</v>
      </c>
      <c r="G1864">
        <v>21398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44749</v>
      </c>
      <c r="B1865" s="116">
        <v>988.9</v>
      </c>
      <c r="C1865" s="116">
        <v>972.2</v>
      </c>
      <c r="D1865" s="116">
        <v>966.6</v>
      </c>
      <c r="E1865" s="116">
        <v>988.9</v>
      </c>
      <c r="F1865" s="116">
        <v>972.2</v>
      </c>
      <c r="G1865">
        <v>17865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44750</v>
      </c>
      <c r="B1866" s="116">
        <v>984.05</v>
      </c>
      <c r="C1866" s="116">
        <v>968.85</v>
      </c>
      <c r="D1866" s="116">
        <v>965.35</v>
      </c>
      <c r="E1866" s="116">
        <v>972</v>
      </c>
      <c r="F1866" s="116">
        <v>968.85</v>
      </c>
      <c r="G1866">
        <v>16663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44753</v>
      </c>
      <c r="B1867" s="116">
        <v>973.85</v>
      </c>
      <c r="C1867" s="116">
        <v>964.3</v>
      </c>
      <c r="D1867" s="116">
        <v>955.25</v>
      </c>
      <c r="E1867" s="116">
        <v>967</v>
      </c>
      <c r="F1867" s="116">
        <v>964.3</v>
      </c>
      <c r="G1867">
        <v>16142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44754</v>
      </c>
      <c r="B1868" s="116">
        <v>972</v>
      </c>
      <c r="C1868" s="116">
        <v>956.2</v>
      </c>
      <c r="D1868" s="116">
        <v>953.4</v>
      </c>
      <c r="E1868" s="116">
        <v>956</v>
      </c>
      <c r="F1868" s="116">
        <v>956.2</v>
      </c>
      <c r="G1868">
        <v>29015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44755</v>
      </c>
      <c r="B1869" s="116">
        <v>1000.2</v>
      </c>
      <c r="C1869" s="116">
        <v>983.7</v>
      </c>
      <c r="D1869" s="116">
        <v>959.25</v>
      </c>
      <c r="E1869" s="116">
        <v>1000.2</v>
      </c>
      <c r="F1869" s="116">
        <v>983.7</v>
      </c>
      <c r="G1869">
        <v>496332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44756</v>
      </c>
      <c r="B1870" s="116">
        <v>995</v>
      </c>
      <c r="C1870" s="116">
        <v>986.45</v>
      </c>
      <c r="D1870" s="116">
        <v>978</v>
      </c>
      <c r="E1870" s="116">
        <v>981.5</v>
      </c>
      <c r="F1870" s="116">
        <v>986.45</v>
      </c>
      <c r="G1870">
        <v>17027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44757</v>
      </c>
      <c r="B1871" s="116">
        <v>994.4</v>
      </c>
      <c r="C1871" s="116">
        <v>983.3</v>
      </c>
      <c r="D1871" s="116">
        <v>973.5</v>
      </c>
      <c r="E1871" s="116">
        <v>989</v>
      </c>
      <c r="F1871" s="116">
        <v>983.3</v>
      </c>
      <c r="G1871">
        <v>11111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44760</v>
      </c>
      <c r="B1872" s="116">
        <v>1039.75</v>
      </c>
      <c r="C1872" s="116">
        <v>1035.05</v>
      </c>
      <c r="D1872" s="116">
        <v>986.5</v>
      </c>
      <c r="E1872" s="116">
        <v>986.5</v>
      </c>
      <c r="F1872" s="116">
        <v>1035.05</v>
      </c>
      <c r="G1872">
        <v>86479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44761</v>
      </c>
      <c r="B1873" s="116">
        <v>1054.2</v>
      </c>
      <c r="C1873" s="116">
        <v>1052.95</v>
      </c>
      <c r="D1873" s="116">
        <v>1028.5</v>
      </c>
      <c r="E1873" s="116">
        <v>1032.5</v>
      </c>
      <c r="F1873" s="116">
        <v>1052.95</v>
      </c>
      <c r="G1873">
        <v>57668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44762</v>
      </c>
      <c r="B1874" s="116">
        <v>1063.45</v>
      </c>
      <c r="C1874" s="116">
        <v>1028.95</v>
      </c>
      <c r="D1874" s="116">
        <v>1027.25</v>
      </c>
      <c r="E1874" s="116">
        <v>1055</v>
      </c>
      <c r="F1874" s="116">
        <v>1028.95</v>
      </c>
      <c r="G1874">
        <v>35703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44763</v>
      </c>
      <c r="B1875" s="116">
        <v>1028</v>
      </c>
      <c r="C1875" s="116">
        <v>1010.4</v>
      </c>
      <c r="D1875" s="116">
        <v>1003.25</v>
      </c>
      <c r="E1875" s="116">
        <v>1028</v>
      </c>
      <c r="F1875" s="116">
        <v>1010.4</v>
      </c>
      <c r="G1875">
        <v>38022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44764</v>
      </c>
      <c r="B1876" s="116">
        <v>1026</v>
      </c>
      <c r="C1876" s="116">
        <v>1001.9</v>
      </c>
      <c r="D1876" s="116">
        <v>997</v>
      </c>
      <c r="E1876" s="116">
        <v>1020.85</v>
      </c>
      <c r="F1876" s="116">
        <v>1001.9</v>
      </c>
      <c r="G1876">
        <v>17200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44767</v>
      </c>
      <c r="B1877" s="116">
        <v>1006.05</v>
      </c>
      <c r="C1877" s="116">
        <v>999.8</v>
      </c>
      <c r="D1877" s="116">
        <v>988.25</v>
      </c>
      <c r="E1877" s="116">
        <v>995.5</v>
      </c>
      <c r="F1877" s="116">
        <v>999.8</v>
      </c>
      <c r="G1877">
        <v>26329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44768</v>
      </c>
      <c r="B1878" s="116">
        <v>1005.7</v>
      </c>
      <c r="C1878" s="116">
        <v>977.35</v>
      </c>
      <c r="D1878" s="116">
        <v>975</v>
      </c>
      <c r="E1878" s="116">
        <v>1000</v>
      </c>
      <c r="F1878" s="116">
        <v>977.35</v>
      </c>
      <c r="G1878">
        <v>27768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44769</v>
      </c>
      <c r="B1879" s="116">
        <v>995</v>
      </c>
      <c r="C1879" s="116">
        <v>970.05</v>
      </c>
      <c r="D1879" s="116">
        <v>932.6</v>
      </c>
      <c r="E1879" s="116">
        <v>995</v>
      </c>
      <c r="F1879" s="116">
        <v>970.05</v>
      </c>
      <c r="G1879">
        <v>56355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44770</v>
      </c>
      <c r="B1880" s="116">
        <v>985.7</v>
      </c>
      <c r="C1880" s="116">
        <v>971.05</v>
      </c>
      <c r="D1880" s="116">
        <v>967.5</v>
      </c>
      <c r="E1880" s="116">
        <v>975.15</v>
      </c>
      <c r="F1880" s="116">
        <v>971.05</v>
      </c>
      <c r="G1880">
        <v>32820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44771</v>
      </c>
      <c r="B1881" s="116">
        <v>1013.55</v>
      </c>
      <c r="C1881" s="116">
        <v>1004.6</v>
      </c>
      <c r="D1881" s="116">
        <v>973.8</v>
      </c>
      <c r="E1881" s="116">
        <v>980</v>
      </c>
      <c r="F1881" s="116">
        <v>1004.6</v>
      </c>
      <c r="G1881">
        <v>87325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44774</v>
      </c>
      <c r="B1882" s="116">
        <v>1010.2</v>
      </c>
      <c r="C1882" s="116">
        <v>999.55</v>
      </c>
      <c r="D1882" s="116">
        <v>991.2</v>
      </c>
      <c r="E1882" s="116">
        <v>1010</v>
      </c>
      <c r="F1882" s="116">
        <v>999.55</v>
      </c>
      <c r="G1882">
        <v>75849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44775</v>
      </c>
      <c r="B1883" s="116">
        <v>1005</v>
      </c>
      <c r="C1883" s="116">
        <v>999.6</v>
      </c>
      <c r="D1883" s="116">
        <v>989.05</v>
      </c>
      <c r="E1883" s="116">
        <v>999.5</v>
      </c>
      <c r="F1883" s="116">
        <v>999.6</v>
      </c>
      <c r="G1883">
        <v>76644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44776</v>
      </c>
      <c r="B1884" s="116">
        <v>989.5</v>
      </c>
      <c r="C1884" s="116">
        <v>982.25</v>
      </c>
      <c r="D1884" s="116">
        <v>958</v>
      </c>
      <c r="E1884" s="116">
        <v>970</v>
      </c>
      <c r="F1884" s="116">
        <v>982.25</v>
      </c>
      <c r="G1884">
        <v>111227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44777</v>
      </c>
      <c r="B1885" s="116">
        <v>1008</v>
      </c>
      <c r="C1885" s="116">
        <v>999.8</v>
      </c>
      <c r="D1885" s="116">
        <v>982</v>
      </c>
      <c r="E1885" s="116">
        <v>982.25</v>
      </c>
      <c r="F1885" s="116">
        <v>999.8</v>
      </c>
      <c r="G1885">
        <v>63189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44778</v>
      </c>
      <c r="B1886" s="116">
        <v>1005.75</v>
      </c>
      <c r="C1886" s="116">
        <v>972.75</v>
      </c>
      <c r="D1886" s="116">
        <v>970</v>
      </c>
      <c r="E1886" s="116">
        <v>1000</v>
      </c>
      <c r="F1886" s="116">
        <v>972.75</v>
      </c>
      <c r="G1886">
        <v>41712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44781</v>
      </c>
      <c r="B1887" s="116">
        <v>990</v>
      </c>
      <c r="C1887" s="116">
        <v>982.75</v>
      </c>
      <c r="D1887" s="116">
        <v>968</v>
      </c>
      <c r="E1887" s="116">
        <v>970</v>
      </c>
      <c r="F1887" s="116">
        <v>982.75</v>
      </c>
      <c r="G1887">
        <v>23622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44783</v>
      </c>
      <c r="B1888" s="116">
        <v>989.75</v>
      </c>
      <c r="C1888" s="116">
        <v>974.2</v>
      </c>
      <c r="D1888" s="116">
        <v>972.25</v>
      </c>
      <c r="E1888" s="116">
        <v>982.75</v>
      </c>
      <c r="F1888" s="116">
        <v>974.2</v>
      </c>
      <c r="G1888">
        <v>18308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44784</v>
      </c>
      <c r="B1889" s="116">
        <v>999</v>
      </c>
      <c r="C1889" s="116">
        <v>989.8</v>
      </c>
      <c r="D1889" s="116">
        <v>977.25</v>
      </c>
      <c r="E1889" s="116">
        <v>985</v>
      </c>
      <c r="F1889" s="116">
        <v>989.8</v>
      </c>
      <c r="G1889">
        <v>54027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44785</v>
      </c>
      <c r="B1890" s="116">
        <v>1014.9</v>
      </c>
      <c r="C1890" s="116">
        <v>1007.1</v>
      </c>
      <c r="D1890" s="116">
        <v>991</v>
      </c>
      <c r="E1890" s="116">
        <v>1000</v>
      </c>
      <c r="F1890" s="116">
        <v>1007.1</v>
      </c>
      <c r="G1890">
        <v>72407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44789</v>
      </c>
      <c r="B1891" s="116">
        <v>1037.5</v>
      </c>
      <c r="C1891" s="116">
        <v>1019.75</v>
      </c>
      <c r="D1891" s="116">
        <v>1015.8</v>
      </c>
      <c r="E1891" s="116">
        <v>1025</v>
      </c>
      <c r="F1891" s="116">
        <v>1019.75</v>
      </c>
      <c r="G1891">
        <v>30727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44790</v>
      </c>
      <c r="B1892" s="116">
        <v>1034.25</v>
      </c>
      <c r="C1892" s="116">
        <v>1028.1500000000001</v>
      </c>
      <c r="D1892" s="116">
        <v>1019.4</v>
      </c>
      <c r="E1892" s="116">
        <v>1029.95</v>
      </c>
      <c r="F1892" s="116">
        <v>1028.1500000000001</v>
      </c>
      <c r="G1892">
        <v>21877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44791</v>
      </c>
      <c r="B1893" s="116">
        <v>1046.5999999999999</v>
      </c>
      <c r="C1893" s="116">
        <v>1044.8499999999999</v>
      </c>
      <c r="D1893" s="116">
        <v>1020.9</v>
      </c>
      <c r="E1893" s="116">
        <v>1020.9</v>
      </c>
      <c r="F1893" s="116">
        <v>1044.8499999999999</v>
      </c>
      <c r="G1893">
        <v>90712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44792</v>
      </c>
      <c r="B1894" s="116">
        <v>1050.55</v>
      </c>
      <c r="C1894" s="116">
        <v>1014.8</v>
      </c>
      <c r="D1894" s="116">
        <v>1009.45</v>
      </c>
      <c r="E1894" s="116">
        <v>1049</v>
      </c>
      <c r="F1894" s="116">
        <v>1014.8</v>
      </c>
      <c r="G1894">
        <v>94057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44795</v>
      </c>
      <c r="B1895" s="116">
        <v>1033.95</v>
      </c>
      <c r="C1895" s="116">
        <v>977.25</v>
      </c>
      <c r="D1895" s="116">
        <v>975.7</v>
      </c>
      <c r="E1895" s="116">
        <v>1033.95</v>
      </c>
      <c r="F1895" s="116">
        <v>977.25</v>
      </c>
      <c r="G1895">
        <v>27981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44796</v>
      </c>
      <c r="B1896" s="116">
        <v>997.95</v>
      </c>
      <c r="C1896" s="116">
        <v>995.25</v>
      </c>
      <c r="D1896" s="116">
        <v>967.05</v>
      </c>
      <c r="E1896" s="116">
        <v>975</v>
      </c>
      <c r="F1896" s="116">
        <v>995.25</v>
      </c>
      <c r="G1896">
        <v>86619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44797</v>
      </c>
      <c r="B1897" s="116">
        <v>999.85</v>
      </c>
      <c r="C1897" s="116">
        <v>995.45</v>
      </c>
      <c r="D1897" s="116">
        <v>983.45</v>
      </c>
      <c r="E1897" s="116">
        <v>988</v>
      </c>
      <c r="F1897" s="116">
        <v>995.45</v>
      </c>
      <c r="G1897">
        <v>21239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44798</v>
      </c>
      <c r="B1898" s="116">
        <v>1015.4</v>
      </c>
      <c r="C1898" s="116">
        <v>997.05</v>
      </c>
      <c r="D1898" s="116">
        <v>992</v>
      </c>
      <c r="E1898" s="116">
        <v>1000.75</v>
      </c>
      <c r="F1898" s="116">
        <v>997.05</v>
      </c>
      <c r="G1898">
        <v>61957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44799</v>
      </c>
      <c r="B1899" s="116">
        <v>1009.45</v>
      </c>
      <c r="C1899" s="116">
        <v>1007.2</v>
      </c>
      <c r="D1899" s="116">
        <v>995</v>
      </c>
      <c r="E1899" s="116">
        <v>1009</v>
      </c>
      <c r="F1899" s="116">
        <v>1007.2</v>
      </c>
      <c r="G1899">
        <v>21908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44802</v>
      </c>
      <c r="B1900" s="116">
        <v>989.05</v>
      </c>
      <c r="C1900" s="116">
        <v>981.05</v>
      </c>
      <c r="D1900" s="116">
        <v>964.55</v>
      </c>
      <c r="E1900" s="116">
        <v>964.55</v>
      </c>
      <c r="F1900" s="116">
        <v>981.05</v>
      </c>
      <c r="G1900">
        <v>20089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44803</v>
      </c>
      <c r="B1901" s="116">
        <v>1006.2</v>
      </c>
      <c r="C1901" s="116">
        <v>1000.8</v>
      </c>
      <c r="D1901" s="116">
        <v>983.5</v>
      </c>
      <c r="E1901" s="116">
        <v>983.5</v>
      </c>
      <c r="F1901" s="116">
        <v>1000.8</v>
      </c>
      <c r="G1901">
        <v>28524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44805</v>
      </c>
      <c r="B1902" s="116">
        <v>1000.2</v>
      </c>
      <c r="C1902" s="116">
        <v>980.1</v>
      </c>
      <c r="D1902" s="116">
        <v>978.1</v>
      </c>
      <c r="E1902" s="116">
        <v>993</v>
      </c>
      <c r="F1902" s="116">
        <v>980.1</v>
      </c>
      <c r="G1902">
        <v>35937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44806</v>
      </c>
      <c r="B1903" s="116">
        <v>989</v>
      </c>
      <c r="C1903" s="116">
        <v>971.85</v>
      </c>
      <c r="D1903" s="116">
        <v>970</v>
      </c>
      <c r="E1903" s="116">
        <v>987.05</v>
      </c>
      <c r="F1903" s="116">
        <v>971.85</v>
      </c>
      <c r="G1903">
        <v>109071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44809</v>
      </c>
      <c r="B1904" s="116">
        <v>990.15</v>
      </c>
      <c r="C1904" s="116">
        <v>987.15</v>
      </c>
      <c r="D1904" s="116">
        <v>970</v>
      </c>
      <c r="E1904" s="116">
        <v>970</v>
      </c>
      <c r="F1904" s="116">
        <v>987.15</v>
      </c>
      <c r="G1904">
        <v>30813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44810</v>
      </c>
      <c r="B1905" s="116">
        <v>994.25</v>
      </c>
      <c r="C1905" s="116">
        <v>985.8</v>
      </c>
      <c r="D1905" s="116">
        <v>981</v>
      </c>
      <c r="E1905" s="116">
        <v>981</v>
      </c>
      <c r="F1905" s="116">
        <v>985.8</v>
      </c>
      <c r="G1905">
        <v>29901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44811</v>
      </c>
      <c r="B1906" s="116">
        <v>988.9</v>
      </c>
      <c r="C1906" s="116">
        <v>980.8</v>
      </c>
      <c r="D1906" s="116">
        <v>975.7</v>
      </c>
      <c r="E1906" s="116">
        <v>984.95</v>
      </c>
      <c r="F1906" s="116">
        <v>980.8</v>
      </c>
      <c r="G1906">
        <v>28789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44812</v>
      </c>
      <c r="B1907" s="116">
        <v>991.4</v>
      </c>
      <c r="C1907" s="116">
        <v>975</v>
      </c>
      <c r="D1907" s="116">
        <v>973.3</v>
      </c>
      <c r="E1907" s="116">
        <v>988</v>
      </c>
      <c r="F1907" s="116">
        <v>975</v>
      </c>
      <c r="G1907">
        <v>31436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44813</v>
      </c>
      <c r="B1908" s="116">
        <v>984.95</v>
      </c>
      <c r="C1908" s="116">
        <v>966.5</v>
      </c>
      <c r="D1908" s="116">
        <v>960</v>
      </c>
      <c r="E1908" s="116">
        <v>980</v>
      </c>
      <c r="F1908" s="116">
        <v>966.5</v>
      </c>
      <c r="G1908">
        <v>146879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44816</v>
      </c>
      <c r="B1909" s="116">
        <v>974.95</v>
      </c>
      <c r="C1909" s="116">
        <v>967.25</v>
      </c>
      <c r="D1909" s="116">
        <v>964.3</v>
      </c>
      <c r="E1909" s="116">
        <v>969</v>
      </c>
      <c r="F1909" s="116">
        <v>967.25</v>
      </c>
      <c r="G1909">
        <v>194385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44817</v>
      </c>
      <c r="B1910" s="116">
        <v>982</v>
      </c>
      <c r="C1910" s="116">
        <v>970.75</v>
      </c>
      <c r="D1910" s="116">
        <v>967.65</v>
      </c>
      <c r="E1910" s="116">
        <v>967.65</v>
      </c>
      <c r="F1910" s="116">
        <v>970.75</v>
      </c>
      <c r="G1910">
        <v>92563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44818</v>
      </c>
      <c r="B1911" s="116">
        <v>963.9</v>
      </c>
      <c r="C1911" s="116">
        <v>955.35</v>
      </c>
      <c r="D1911" s="116">
        <v>950</v>
      </c>
      <c r="E1911" s="116">
        <v>963</v>
      </c>
      <c r="F1911" s="116">
        <v>955.35</v>
      </c>
      <c r="G1911">
        <v>81549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44819</v>
      </c>
      <c r="B1912" s="116">
        <v>967.25</v>
      </c>
      <c r="C1912" s="116">
        <v>960.5</v>
      </c>
      <c r="D1912" s="116">
        <v>951.65</v>
      </c>
      <c r="E1912" s="116">
        <v>964</v>
      </c>
      <c r="F1912" s="116">
        <v>960.5</v>
      </c>
      <c r="G1912">
        <v>53755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44820</v>
      </c>
      <c r="B1913" s="116">
        <v>961</v>
      </c>
      <c r="C1913" s="116">
        <v>913.95</v>
      </c>
      <c r="D1913" s="116">
        <v>883.2</v>
      </c>
      <c r="E1913" s="116">
        <v>961</v>
      </c>
      <c r="F1913" s="116">
        <v>913.95</v>
      </c>
      <c r="G1913">
        <v>124194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44823</v>
      </c>
      <c r="B1914" s="116">
        <v>924.95</v>
      </c>
      <c r="C1914" s="116">
        <v>900.3</v>
      </c>
      <c r="D1914" s="116">
        <v>895.5</v>
      </c>
      <c r="E1914" s="116">
        <v>924.95</v>
      </c>
      <c r="F1914" s="116">
        <v>900.3</v>
      </c>
      <c r="G1914">
        <v>307212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44824</v>
      </c>
      <c r="B1915" s="116">
        <v>922</v>
      </c>
      <c r="C1915" s="116">
        <v>909.9</v>
      </c>
      <c r="D1915" s="116">
        <v>905</v>
      </c>
      <c r="E1915" s="116">
        <v>905</v>
      </c>
      <c r="F1915" s="116">
        <v>909.9</v>
      </c>
      <c r="G1915">
        <v>314097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44825</v>
      </c>
      <c r="B1916" s="116">
        <v>923.2</v>
      </c>
      <c r="C1916" s="116">
        <v>903.9</v>
      </c>
      <c r="D1916" s="116">
        <v>901.15</v>
      </c>
      <c r="E1916" s="116">
        <v>910</v>
      </c>
      <c r="F1916" s="116">
        <v>903.9</v>
      </c>
      <c r="G1916">
        <v>240322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44826</v>
      </c>
      <c r="B1917" s="116">
        <v>905.6</v>
      </c>
      <c r="C1917" s="116">
        <v>898.15</v>
      </c>
      <c r="D1917" s="116">
        <v>889.25</v>
      </c>
      <c r="E1917" s="116">
        <v>900</v>
      </c>
      <c r="F1917" s="116">
        <v>898.15</v>
      </c>
      <c r="G1917">
        <v>58071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44827</v>
      </c>
      <c r="B1918" s="116">
        <v>909.5</v>
      </c>
      <c r="C1918" s="116">
        <v>900.25</v>
      </c>
      <c r="D1918" s="116">
        <v>888.05</v>
      </c>
      <c r="E1918" s="116">
        <v>895</v>
      </c>
      <c r="F1918" s="116">
        <v>900.25</v>
      </c>
      <c r="G1918">
        <v>79426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44830</v>
      </c>
      <c r="B1919" s="116">
        <v>899</v>
      </c>
      <c r="C1919" s="116">
        <v>882.9</v>
      </c>
      <c r="D1919" s="116">
        <v>868.7</v>
      </c>
      <c r="E1919" s="116">
        <v>899</v>
      </c>
      <c r="F1919" s="116">
        <v>882.9</v>
      </c>
      <c r="G1919">
        <v>57714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44831</v>
      </c>
      <c r="B1920" s="116">
        <v>907.6</v>
      </c>
      <c r="C1920" s="116">
        <v>904.15</v>
      </c>
      <c r="D1920" s="116">
        <v>885.65</v>
      </c>
      <c r="E1920" s="116">
        <v>890.95</v>
      </c>
      <c r="F1920" s="116">
        <v>904.15</v>
      </c>
      <c r="G1920">
        <v>47857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44832</v>
      </c>
      <c r="B1921" s="116">
        <v>912.95</v>
      </c>
      <c r="C1921" s="116">
        <v>899.05</v>
      </c>
      <c r="D1921" s="116">
        <v>896.4</v>
      </c>
      <c r="E1921" s="116">
        <v>906.25</v>
      </c>
      <c r="F1921" s="116">
        <v>899.05</v>
      </c>
      <c r="G1921">
        <v>19463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44833</v>
      </c>
      <c r="B1922" s="116">
        <v>909.15</v>
      </c>
      <c r="C1922" s="116">
        <v>901.65</v>
      </c>
      <c r="D1922" s="116">
        <v>896</v>
      </c>
      <c r="E1922" s="116">
        <v>904</v>
      </c>
      <c r="F1922" s="116">
        <v>901.65</v>
      </c>
      <c r="G1922">
        <v>16330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44834</v>
      </c>
      <c r="B1923" s="116">
        <v>910</v>
      </c>
      <c r="C1923" s="116">
        <v>906.4</v>
      </c>
      <c r="D1923" s="116">
        <v>880.2</v>
      </c>
      <c r="E1923" s="116">
        <v>893.05</v>
      </c>
      <c r="F1923" s="116">
        <v>906.4</v>
      </c>
      <c r="G1923">
        <v>43829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44837</v>
      </c>
      <c r="B1924" s="116">
        <v>908.7</v>
      </c>
      <c r="C1924" s="116">
        <v>893.3</v>
      </c>
      <c r="D1924" s="116">
        <v>887.45</v>
      </c>
      <c r="E1924" s="116">
        <v>902.05</v>
      </c>
      <c r="F1924" s="116">
        <v>893.3</v>
      </c>
      <c r="G1924">
        <v>25175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44838</v>
      </c>
      <c r="B1925" s="116">
        <v>926.95</v>
      </c>
      <c r="C1925" s="116">
        <v>924.85</v>
      </c>
      <c r="D1925" s="116">
        <v>896.05</v>
      </c>
      <c r="E1925" s="116">
        <v>896.05</v>
      </c>
      <c r="F1925" s="116">
        <v>924.85</v>
      </c>
      <c r="G1925">
        <v>33758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44840</v>
      </c>
      <c r="B1926" s="116">
        <v>935.65</v>
      </c>
      <c r="C1926" s="116">
        <v>922.5</v>
      </c>
      <c r="D1926" s="116">
        <v>918.1</v>
      </c>
      <c r="E1926" s="116">
        <v>927</v>
      </c>
      <c r="F1926" s="116">
        <v>922.5</v>
      </c>
      <c r="G1926">
        <v>76986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44841</v>
      </c>
      <c r="B1927" s="116">
        <v>926.55</v>
      </c>
      <c r="C1927" s="116">
        <v>910.4</v>
      </c>
      <c r="D1927" s="116">
        <v>905.6</v>
      </c>
      <c r="E1927" s="116">
        <v>918.05</v>
      </c>
      <c r="F1927" s="116">
        <v>910.4</v>
      </c>
      <c r="G1927">
        <v>21950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44844</v>
      </c>
      <c r="B1928" s="116">
        <v>905.55</v>
      </c>
      <c r="C1928" s="116">
        <v>899.95</v>
      </c>
      <c r="D1928" s="116">
        <v>888</v>
      </c>
      <c r="E1928" s="116">
        <v>904.75</v>
      </c>
      <c r="F1928" s="116">
        <v>899.95</v>
      </c>
      <c r="G1928">
        <v>22280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44845</v>
      </c>
      <c r="B1929" s="116">
        <v>904.45</v>
      </c>
      <c r="C1929" s="116">
        <v>873.65</v>
      </c>
      <c r="D1929" s="116">
        <v>871</v>
      </c>
      <c r="E1929" s="116">
        <v>904.45</v>
      </c>
      <c r="F1929" s="116">
        <v>873.65</v>
      </c>
      <c r="G1929">
        <v>426164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44846</v>
      </c>
      <c r="B1930" s="116">
        <v>878</v>
      </c>
      <c r="C1930" s="116">
        <v>874.7</v>
      </c>
      <c r="D1930" s="116">
        <v>859.7</v>
      </c>
      <c r="E1930" s="116">
        <v>878</v>
      </c>
      <c r="F1930" s="116">
        <v>874.7</v>
      </c>
      <c r="G1930">
        <v>57564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44847</v>
      </c>
      <c r="B1931" s="116">
        <v>876.35</v>
      </c>
      <c r="C1931" s="116">
        <v>874.15</v>
      </c>
      <c r="D1931" s="116">
        <v>863</v>
      </c>
      <c r="E1931" s="116">
        <v>874.65</v>
      </c>
      <c r="F1931" s="116">
        <v>874.15</v>
      </c>
      <c r="G1931">
        <v>25403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44848</v>
      </c>
      <c r="B1932" s="116">
        <v>885</v>
      </c>
      <c r="C1932" s="116">
        <v>870.95</v>
      </c>
      <c r="D1932" s="116">
        <v>869.3</v>
      </c>
      <c r="E1932" s="116">
        <v>880.05</v>
      </c>
      <c r="F1932" s="116">
        <v>870.95</v>
      </c>
      <c r="G1932">
        <v>42081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44851</v>
      </c>
      <c r="B1933" s="116">
        <v>874.85</v>
      </c>
      <c r="C1933" s="116">
        <v>869.6</v>
      </c>
      <c r="D1933" s="116">
        <v>857.9</v>
      </c>
      <c r="E1933" s="116">
        <v>872</v>
      </c>
      <c r="F1933" s="116">
        <v>869.6</v>
      </c>
      <c r="G1933">
        <v>350179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44852</v>
      </c>
      <c r="B1934" s="116">
        <v>880.95</v>
      </c>
      <c r="C1934" s="116">
        <v>875.05</v>
      </c>
      <c r="D1934" s="116">
        <v>871.55</v>
      </c>
      <c r="E1934" s="116">
        <v>874</v>
      </c>
      <c r="F1934" s="116">
        <v>875.05</v>
      </c>
      <c r="G1934">
        <v>36063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44853</v>
      </c>
      <c r="B1935" s="116">
        <v>880.15</v>
      </c>
      <c r="C1935" s="116">
        <v>875</v>
      </c>
      <c r="D1935" s="116">
        <v>870.4</v>
      </c>
      <c r="E1935" s="116">
        <v>877</v>
      </c>
      <c r="F1935" s="116">
        <v>875</v>
      </c>
      <c r="G1935">
        <v>33595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44854</v>
      </c>
      <c r="B1936" s="116">
        <v>871.55</v>
      </c>
      <c r="C1936" s="116">
        <v>868.2</v>
      </c>
      <c r="D1936" s="116">
        <v>858.55</v>
      </c>
      <c r="E1936" s="116">
        <v>870</v>
      </c>
      <c r="F1936" s="116">
        <v>868.2</v>
      </c>
      <c r="G1936">
        <v>15593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44855</v>
      </c>
      <c r="B1937" s="116">
        <v>884.45</v>
      </c>
      <c r="C1937" s="116">
        <v>865.85</v>
      </c>
      <c r="D1937" s="116">
        <v>859</v>
      </c>
      <c r="E1937" s="116">
        <v>868.95</v>
      </c>
      <c r="F1937" s="116">
        <v>865.85</v>
      </c>
      <c r="G1937">
        <v>13093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44858</v>
      </c>
      <c r="B1938" s="116">
        <v>874.6</v>
      </c>
      <c r="C1938" s="116">
        <v>866.1</v>
      </c>
      <c r="D1938" s="116">
        <v>864</v>
      </c>
      <c r="E1938" s="116">
        <v>872.5</v>
      </c>
      <c r="F1938" s="116">
        <v>866.1</v>
      </c>
      <c r="G1938">
        <v>9720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44859</v>
      </c>
      <c r="B1939" s="116">
        <v>875</v>
      </c>
      <c r="C1939" s="116">
        <v>866.4</v>
      </c>
      <c r="D1939" s="116">
        <v>861.6</v>
      </c>
      <c r="E1939" s="116">
        <v>869.2</v>
      </c>
      <c r="F1939" s="116">
        <v>866.4</v>
      </c>
      <c r="G1939">
        <v>339585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44861</v>
      </c>
      <c r="B1940" s="116">
        <v>877.6</v>
      </c>
      <c r="C1940" s="116">
        <v>874.2</v>
      </c>
      <c r="D1940" s="116">
        <v>868.15</v>
      </c>
      <c r="E1940" s="116">
        <v>877.6</v>
      </c>
      <c r="F1940" s="116">
        <v>874.2</v>
      </c>
      <c r="G1940">
        <v>14786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44862</v>
      </c>
      <c r="B1941" s="116">
        <v>881.85</v>
      </c>
      <c r="C1941" s="116">
        <v>871.45</v>
      </c>
      <c r="D1941" s="116">
        <v>869.05</v>
      </c>
      <c r="E1941" s="116">
        <v>878.8</v>
      </c>
      <c r="F1941" s="116">
        <v>871.45</v>
      </c>
      <c r="G1941">
        <v>21450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44865</v>
      </c>
      <c r="B1942" s="116">
        <v>878.55</v>
      </c>
      <c r="C1942" s="116">
        <v>876.1</v>
      </c>
      <c r="D1942" s="116">
        <v>859</v>
      </c>
      <c r="E1942" s="116">
        <v>878.55</v>
      </c>
      <c r="F1942" s="116">
        <v>876.1</v>
      </c>
      <c r="G1942">
        <v>44686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44866</v>
      </c>
      <c r="B1943" s="116">
        <v>910.5</v>
      </c>
      <c r="C1943" s="116">
        <v>908.95</v>
      </c>
      <c r="D1943" s="116">
        <v>879.05</v>
      </c>
      <c r="E1943" s="116">
        <v>885</v>
      </c>
      <c r="F1943" s="116">
        <v>908.95</v>
      </c>
      <c r="G1943">
        <v>38873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44867</v>
      </c>
      <c r="B1944" s="116">
        <v>927.5</v>
      </c>
      <c r="C1944" s="116">
        <v>910.25</v>
      </c>
      <c r="D1944" s="116">
        <v>888.15</v>
      </c>
      <c r="E1944" s="116">
        <v>892.1</v>
      </c>
      <c r="F1944" s="116">
        <v>910.25</v>
      </c>
      <c r="G1944">
        <v>134931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44868</v>
      </c>
      <c r="B1945" s="116">
        <v>908.45</v>
      </c>
      <c r="C1945" s="116">
        <v>861.3</v>
      </c>
      <c r="D1945" s="116">
        <v>859</v>
      </c>
      <c r="E1945" s="116">
        <v>902.6</v>
      </c>
      <c r="F1945" s="116">
        <v>861.3</v>
      </c>
      <c r="G1945">
        <v>164277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44869</v>
      </c>
      <c r="B1946" s="116">
        <v>869.25</v>
      </c>
      <c r="C1946" s="116">
        <v>844.85</v>
      </c>
      <c r="D1946" s="116">
        <v>835.4</v>
      </c>
      <c r="E1946" s="116">
        <v>860</v>
      </c>
      <c r="F1946" s="116">
        <v>844.85</v>
      </c>
      <c r="G1946">
        <v>169950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44872</v>
      </c>
      <c r="B1947" s="116">
        <v>852.15</v>
      </c>
      <c r="C1947" s="116">
        <v>834.4</v>
      </c>
      <c r="D1947" s="116">
        <v>827.85</v>
      </c>
      <c r="E1947" s="116">
        <v>850.45</v>
      </c>
      <c r="F1947" s="116">
        <v>834.4</v>
      </c>
      <c r="G1947">
        <v>57587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44874</v>
      </c>
      <c r="B1948" s="116">
        <v>843.15</v>
      </c>
      <c r="C1948" s="116">
        <v>836.15</v>
      </c>
      <c r="D1948" s="116">
        <v>834.75</v>
      </c>
      <c r="E1948" s="116">
        <v>835.5</v>
      </c>
      <c r="F1948" s="116">
        <v>836.15</v>
      </c>
      <c r="G1948">
        <v>32932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44875</v>
      </c>
      <c r="B1949" s="116">
        <v>836.6</v>
      </c>
      <c r="C1949" s="116">
        <v>826.15</v>
      </c>
      <c r="D1949" s="116">
        <v>815.55</v>
      </c>
      <c r="E1949" s="116">
        <v>836.6</v>
      </c>
      <c r="F1949" s="116">
        <v>826.15</v>
      </c>
      <c r="G1949">
        <v>26682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44876</v>
      </c>
      <c r="B1950" s="116">
        <v>839.9</v>
      </c>
      <c r="C1950" s="116">
        <v>829.05</v>
      </c>
      <c r="D1950" s="116">
        <v>827</v>
      </c>
      <c r="E1950" s="116">
        <v>830</v>
      </c>
      <c r="F1950" s="116">
        <v>829.05</v>
      </c>
      <c r="G1950">
        <v>58860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44879</v>
      </c>
      <c r="B1951" s="116">
        <v>832</v>
      </c>
      <c r="C1951" s="116">
        <v>823.55</v>
      </c>
      <c r="D1951" s="116">
        <v>819.9</v>
      </c>
      <c r="E1951" s="116">
        <v>829.1</v>
      </c>
      <c r="F1951" s="116">
        <v>823.55</v>
      </c>
      <c r="G1951">
        <v>26389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44880</v>
      </c>
      <c r="B1952" s="116">
        <v>824.3</v>
      </c>
      <c r="C1952" s="116">
        <v>818.95</v>
      </c>
      <c r="D1952" s="116">
        <v>816.1</v>
      </c>
      <c r="E1952" s="116">
        <v>823.6</v>
      </c>
      <c r="F1952" s="116">
        <v>818.95</v>
      </c>
      <c r="G1952">
        <v>106579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44881</v>
      </c>
      <c r="B1953" s="116">
        <v>822.65</v>
      </c>
      <c r="C1953" s="116">
        <v>817.55</v>
      </c>
      <c r="D1953" s="116">
        <v>811.6</v>
      </c>
      <c r="E1953" s="116">
        <v>819.95</v>
      </c>
      <c r="F1953" s="116">
        <v>817.55</v>
      </c>
      <c r="G1953">
        <v>45007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44882</v>
      </c>
      <c r="B1954" s="116">
        <v>829.1</v>
      </c>
      <c r="C1954" s="116">
        <v>824.55</v>
      </c>
      <c r="D1954" s="116">
        <v>811.2</v>
      </c>
      <c r="E1954" s="116">
        <v>811.2</v>
      </c>
      <c r="F1954" s="116">
        <v>824.55</v>
      </c>
      <c r="G1954">
        <v>54206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44883</v>
      </c>
      <c r="B1955" s="116">
        <v>829</v>
      </c>
      <c r="C1955" s="116">
        <v>809.7</v>
      </c>
      <c r="D1955" s="116">
        <v>807.1</v>
      </c>
      <c r="E1955" s="116">
        <v>829</v>
      </c>
      <c r="F1955" s="116">
        <v>809.7</v>
      </c>
      <c r="G1955">
        <v>52231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44886</v>
      </c>
      <c r="B1956" s="116">
        <v>813.85</v>
      </c>
      <c r="C1956" s="116">
        <v>809.8</v>
      </c>
      <c r="D1956" s="116">
        <v>804</v>
      </c>
      <c r="E1956" s="116">
        <v>810</v>
      </c>
      <c r="F1956" s="116">
        <v>809.8</v>
      </c>
      <c r="G1956">
        <v>26184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44887</v>
      </c>
      <c r="B1957" s="116">
        <v>820.2</v>
      </c>
      <c r="C1957" s="116">
        <v>817.95</v>
      </c>
      <c r="D1957" s="116">
        <v>806.6</v>
      </c>
      <c r="E1957" s="116">
        <v>806.6</v>
      </c>
      <c r="F1957" s="116">
        <v>817.95</v>
      </c>
      <c r="G1957">
        <v>16914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44888</v>
      </c>
      <c r="B1958" s="116">
        <v>820.35</v>
      </c>
      <c r="C1958" s="116">
        <v>813.5</v>
      </c>
      <c r="D1958" s="116">
        <v>811.4</v>
      </c>
      <c r="E1958" s="116">
        <v>819.5</v>
      </c>
      <c r="F1958" s="116">
        <v>813.5</v>
      </c>
      <c r="G1958">
        <v>13489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44889</v>
      </c>
      <c r="B1959" s="116">
        <v>820</v>
      </c>
      <c r="C1959" s="116">
        <v>818.85</v>
      </c>
      <c r="D1959" s="116">
        <v>812</v>
      </c>
      <c r="E1959" s="116">
        <v>816</v>
      </c>
      <c r="F1959" s="116">
        <v>818.85</v>
      </c>
      <c r="G1959">
        <v>34433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44890</v>
      </c>
      <c r="B1960" s="116">
        <v>830.55</v>
      </c>
      <c r="C1960" s="116">
        <v>829</v>
      </c>
      <c r="D1960" s="116">
        <v>817.45</v>
      </c>
      <c r="E1960" s="116">
        <v>818.8</v>
      </c>
      <c r="F1960" s="116">
        <v>829</v>
      </c>
      <c r="G1960">
        <v>55032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44893</v>
      </c>
      <c r="B1961" s="116">
        <v>844.85</v>
      </c>
      <c r="C1961" s="116">
        <v>839.15</v>
      </c>
      <c r="D1961" s="116">
        <v>828.25</v>
      </c>
      <c r="E1961" s="116">
        <v>833.25</v>
      </c>
      <c r="F1961" s="116">
        <v>839.15</v>
      </c>
      <c r="G1961">
        <v>24704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44894</v>
      </c>
      <c r="B1962" s="116">
        <v>843.5</v>
      </c>
      <c r="C1962" s="116">
        <v>826.3</v>
      </c>
      <c r="D1962" s="116">
        <v>824.4</v>
      </c>
      <c r="E1962" s="116">
        <v>843</v>
      </c>
      <c r="F1962" s="116">
        <v>826.3</v>
      </c>
      <c r="G1962">
        <v>44240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44895</v>
      </c>
      <c r="B1963" s="116">
        <v>828.8</v>
      </c>
      <c r="C1963" s="116">
        <v>819.05</v>
      </c>
      <c r="D1963" s="116">
        <v>817.65</v>
      </c>
      <c r="E1963" s="116">
        <v>823.05</v>
      </c>
      <c r="F1963" s="116">
        <v>819.05</v>
      </c>
      <c r="G1963">
        <v>970257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44896</v>
      </c>
      <c r="B1964" s="116">
        <v>846</v>
      </c>
      <c r="C1964" s="116">
        <v>842.45</v>
      </c>
      <c r="D1964" s="116">
        <v>821</v>
      </c>
      <c r="E1964" s="116">
        <v>821</v>
      </c>
      <c r="F1964" s="116">
        <v>842.45</v>
      </c>
      <c r="G1964">
        <v>209515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44897</v>
      </c>
      <c r="B1965" s="116">
        <v>856</v>
      </c>
      <c r="C1965" s="116">
        <v>855.1</v>
      </c>
      <c r="D1965" s="116">
        <v>837.75</v>
      </c>
      <c r="E1965" s="116">
        <v>843.9</v>
      </c>
      <c r="F1965" s="116">
        <v>855.1</v>
      </c>
      <c r="G1965">
        <v>112616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44900</v>
      </c>
      <c r="B1966" s="116">
        <v>864.95</v>
      </c>
      <c r="C1966" s="116">
        <v>858.45</v>
      </c>
      <c r="D1966" s="116">
        <v>848.8</v>
      </c>
      <c r="E1966" s="116">
        <v>864.95</v>
      </c>
      <c r="F1966" s="116">
        <v>858.45</v>
      </c>
      <c r="G1966">
        <v>30564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44901</v>
      </c>
      <c r="B1967" s="116">
        <v>859.4</v>
      </c>
      <c r="C1967" s="116">
        <v>851</v>
      </c>
      <c r="D1967" s="116">
        <v>849</v>
      </c>
      <c r="E1967" s="116">
        <v>858.45</v>
      </c>
      <c r="F1967" s="116">
        <v>851</v>
      </c>
      <c r="G1967">
        <v>15753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44902</v>
      </c>
      <c r="B1968" s="116">
        <v>856.8</v>
      </c>
      <c r="C1968" s="116">
        <v>847.75</v>
      </c>
      <c r="D1968" s="116">
        <v>841.65</v>
      </c>
      <c r="E1968" s="116">
        <v>851</v>
      </c>
      <c r="F1968" s="116">
        <v>847.75</v>
      </c>
      <c r="G1968">
        <v>14946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44903</v>
      </c>
      <c r="B1969" s="116">
        <v>851.55</v>
      </c>
      <c r="C1969" s="116">
        <v>847.75</v>
      </c>
      <c r="D1969" s="116">
        <v>843.25</v>
      </c>
      <c r="E1969" s="116">
        <v>847.75</v>
      </c>
      <c r="F1969" s="116">
        <v>847.75</v>
      </c>
      <c r="G1969">
        <v>17153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44904</v>
      </c>
      <c r="B1970" s="116">
        <v>850</v>
      </c>
      <c r="C1970" s="116">
        <v>833.6</v>
      </c>
      <c r="D1970" s="116">
        <v>829</v>
      </c>
      <c r="E1970" s="116">
        <v>847.8</v>
      </c>
      <c r="F1970" s="116">
        <v>833.6</v>
      </c>
      <c r="G1970">
        <v>141612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44907</v>
      </c>
      <c r="B1971" s="116">
        <v>842</v>
      </c>
      <c r="C1971" s="116">
        <v>841.25</v>
      </c>
      <c r="D1971" s="116">
        <v>824.8</v>
      </c>
      <c r="E1971" s="116">
        <v>834.05</v>
      </c>
      <c r="F1971" s="116">
        <v>841.25</v>
      </c>
      <c r="G1971">
        <v>12458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44908</v>
      </c>
      <c r="B1972" s="116">
        <v>844.5</v>
      </c>
      <c r="C1972" s="116">
        <v>839.85</v>
      </c>
      <c r="D1972" s="116">
        <v>835.7</v>
      </c>
      <c r="E1972" s="116">
        <v>844.1</v>
      </c>
      <c r="F1972" s="116">
        <v>839.85</v>
      </c>
      <c r="G1972">
        <v>21546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44909</v>
      </c>
      <c r="B1973" s="116">
        <v>853.3</v>
      </c>
      <c r="C1973" s="116">
        <v>850.75</v>
      </c>
      <c r="D1973" s="116">
        <v>840.25</v>
      </c>
      <c r="E1973" s="116">
        <v>849.95</v>
      </c>
      <c r="F1973" s="116">
        <v>850.75</v>
      </c>
      <c r="G1973">
        <v>14387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44910</v>
      </c>
      <c r="B1974" s="116">
        <v>855.7</v>
      </c>
      <c r="C1974" s="116">
        <v>850.95</v>
      </c>
      <c r="D1974" s="116">
        <v>845.05</v>
      </c>
      <c r="E1974" s="116">
        <v>845.15</v>
      </c>
      <c r="F1974" s="116">
        <v>850.95</v>
      </c>
      <c r="G1974">
        <v>11024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44911</v>
      </c>
      <c r="B1975" s="116">
        <v>848.05</v>
      </c>
      <c r="C1975" s="116">
        <v>836.6</v>
      </c>
      <c r="D1975" s="116">
        <v>832</v>
      </c>
      <c r="E1975" s="116">
        <v>844</v>
      </c>
      <c r="F1975" s="116">
        <v>836.6</v>
      </c>
      <c r="G1975">
        <v>56113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44914</v>
      </c>
      <c r="B1976" s="116">
        <v>838.2</v>
      </c>
      <c r="C1976" s="116">
        <v>837.05</v>
      </c>
      <c r="D1976" s="116">
        <v>829</v>
      </c>
      <c r="E1976" s="116">
        <v>831.65</v>
      </c>
      <c r="F1976" s="116">
        <v>837.05</v>
      </c>
      <c r="G1976">
        <v>23261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44915</v>
      </c>
      <c r="B1977" s="116">
        <v>837</v>
      </c>
      <c r="C1977" s="116">
        <v>827.95</v>
      </c>
      <c r="D1977" s="116">
        <v>814.1</v>
      </c>
      <c r="E1977" s="116">
        <v>837</v>
      </c>
      <c r="F1977" s="116">
        <v>827.95</v>
      </c>
      <c r="G1977">
        <v>41929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44916</v>
      </c>
      <c r="B1978" s="116">
        <v>837.95</v>
      </c>
      <c r="C1978" s="116">
        <v>813.9</v>
      </c>
      <c r="D1978" s="116">
        <v>812</v>
      </c>
      <c r="E1978" s="116">
        <v>826.05</v>
      </c>
      <c r="F1978" s="116">
        <v>813.9</v>
      </c>
      <c r="G1978">
        <v>40900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44917</v>
      </c>
      <c r="B1979" s="116">
        <v>820.75</v>
      </c>
      <c r="C1979" s="116">
        <v>807.65</v>
      </c>
      <c r="D1979" s="116">
        <v>798.4</v>
      </c>
      <c r="E1979" s="116">
        <v>815.05</v>
      </c>
      <c r="F1979" s="116">
        <v>807.65</v>
      </c>
      <c r="G1979">
        <v>57610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44918</v>
      </c>
      <c r="B1980" s="116">
        <v>802.25</v>
      </c>
      <c r="C1980" s="116">
        <v>777.15</v>
      </c>
      <c r="D1980" s="116">
        <v>774.65</v>
      </c>
      <c r="E1980" s="116">
        <v>800.05</v>
      </c>
      <c r="F1980" s="116">
        <v>777.15</v>
      </c>
      <c r="G1980">
        <v>73438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44921</v>
      </c>
      <c r="B1981" s="116">
        <v>789.45</v>
      </c>
      <c r="C1981" s="116">
        <v>787</v>
      </c>
      <c r="D1981" s="116">
        <v>770.55</v>
      </c>
      <c r="E1981" s="116">
        <v>778</v>
      </c>
      <c r="F1981" s="116">
        <v>787</v>
      </c>
      <c r="G1981">
        <v>17352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44922</v>
      </c>
      <c r="B1982" s="116">
        <v>799.25</v>
      </c>
      <c r="C1982" s="116">
        <v>797.9</v>
      </c>
      <c r="D1982" s="116">
        <v>785.6</v>
      </c>
      <c r="E1982" s="116">
        <v>794.95</v>
      </c>
      <c r="F1982" s="116">
        <v>797.9</v>
      </c>
      <c r="G1982">
        <v>25264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44923</v>
      </c>
      <c r="B1983" s="116">
        <v>802.5</v>
      </c>
      <c r="C1983" s="116">
        <v>798</v>
      </c>
      <c r="D1983" s="116">
        <v>791.5</v>
      </c>
      <c r="E1983" s="116">
        <v>800</v>
      </c>
      <c r="F1983" s="116">
        <v>798</v>
      </c>
      <c r="G1983">
        <v>28555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44924</v>
      </c>
      <c r="B1984" s="116">
        <v>803.45</v>
      </c>
      <c r="C1984" s="116">
        <v>800.6</v>
      </c>
      <c r="D1984" s="116">
        <v>788.1</v>
      </c>
      <c r="E1984" s="116">
        <v>802.9</v>
      </c>
      <c r="F1984" s="116">
        <v>800.6</v>
      </c>
      <c r="G1984">
        <v>24077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44925</v>
      </c>
      <c r="B1985" s="116">
        <v>811.95</v>
      </c>
      <c r="C1985" s="116">
        <v>803.4</v>
      </c>
      <c r="D1985" s="116">
        <v>797.05</v>
      </c>
      <c r="E1985" s="116">
        <v>803.15</v>
      </c>
      <c r="F1985" s="116">
        <v>803.4</v>
      </c>
      <c r="G1985">
        <v>85511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44928</v>
      </c>
      <c r="B1986" s="116">
        <v>803.8</v>
      </c>
      <c r="C1986" s="116">
        <v>802.5</v>
      </c>
      <c r="D1986" s="116">
        <v>794.2</v>
      </c>
      <c r="E1986" s="116">
        <v>803.45</v>
      </c>
      <c r="F1986" s="116">
        <v>802.5</v>
      </c>
      <c r="G1986">
        <v>24556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44929</v>
      </c>
      <c r="B1987" s="116">
        <v>810.95</v>
      </c>
      <c r="C1987" s="116">
        <v>808.4</v>
      </c>
      <c r="D1987" s="116">
        <v>802.3</v>
      </c>
      <c r="E1987" s="116">
        <v>808</v>
      </c>
      <c r="F1987" s="116">
        <v>808.4</v>
      </c>
      <c r="G1987">
        <v>19875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44930</v>
      </c>
      <c r="B1988" s="116">
        <v>810.7</v>
      </c>
      <c r="C1988" s="116">
        <v>805.45</v>
      </c>
      <c r="D1988" s="116">
        <v>797</v>
      </c>
      <c r="E1988" s="116">
        <v>808.4</v>
      </c>
      <c r="F1988" s="116">
        <v>805.45</v>
      </c>
      <c r="G1988">
        <v>58787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44931</v>
      </c>
      <c r="B1989" s="116">
        <v>811.65</v>
      </c>
      <c r="C1989" s="116">
        <v>809.45</v>
      </c>
      <c r="D1989" s="116">
        <v>798.05</v>
      </c>
      <c r="E1989" s="116">
        <v>808.05</v>
      </c>
      <c r="F1989" s="116">
        <v>809.45</v>
      </c>
      <c r="G1989">
        <v>13603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44932</v>
      </c>
      <c r="B1990" s="116">
        <v>824.65</v>
      </c>
      <c r="C1990" s="116">
        <v>814.35</v>
      </c>
      <c r="D1990" s="116">
        <v>806</v>
      </c>
      <c r="E1990" s="116">
        <v>806</v>
      </c>
      <c r="F1990" s="116">
        <v>814.35</v>
      </c>
      <c r="G1990">
        <v>17841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44935</v>
      </c>
      <c r="B1991" s="116">
        <v>824.95</v>
      </c>
      <c r="C1991" s="116">
        <v>820.5</v>
      </c>
      <c r="D1991" s="116">
        <v>814.35</v>
      </c>
      <c r="E1991" s="116">
        <v>824.95</v>
      </c>
      <c r="F1991" s="116">
        <v>820.5</v>
      </c>
      <c r="G1991">
        <v>11056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44936</v>
      </c>
      <c r="B1992" s="116">
        <v>826.8</v>
      </c>
      <c r="C1992" s="116">
        <v>825.65</v>
      </c>
      <c r="D1992" s="116">
        <v>811.4</v>
      </c>
      <c r="E1992" s="116">
        <v>817.05</v>
      </c>
      <c r="F1992" s="116">
        <v>825.65</v>
      </c>
      <c r="G1992">
        <v>25848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44937</v>
      </c>
      <c r="B1993" s="116">
        <v>833.9</v>
      </c>
      <c r="C1993" s="116">
        <v>830.6</v>
      </c>
      <c r="D1993" s="116">
        <v>818.05</v>
      </c>
      <c r="E1993" s="116">
        <v>818.05</v>
      </c>
      <c r="F1993" s="116">
        <v>830.6</v>
      </c>
      <c r="G1993">
        <v>88365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44938</v>
      </c>
      <c r="B1994" s="116">
        <v>840.2</v>
      </c>
      <c r="C1994" s="116">
        <v>808.15</v>
      </c>
      <c r="D1994" s="116">
        <v>805.85</v>
      </c>
      <c r="E1994" s="116">
        <v>840.2</v>
      </c>
      <c r="F1994" s="116">
        <v>808.15</v>
      </c>
      <c r="G1994">
        <v>25405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44939</v>
      </c>
      <c r="B1995" s="116">
        <v>812.5</v>
      </c>
      <c r="C1995" s="116">
        <v>805.9</v>
      </c>
      <c r="D1995" s="116">
        <v>800.4</v>
      </c>
      <c r="E1995" s="116">
        <v>809</v>
      </c>
      <c r="F1995" s="116">
        <v>805.9</v>
      </c>
      <c r="G1995">
        <v>15740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44942</v>
      </c>
      <c r="B1996" s="116">
        <v>810.7</v>
      </c>
      <c r="C1996" s="116">
        <v>805.55</v>
      </c>
      <c r="D1996" s="116">
        <v>803.7</v>
      </c>
      <c r="E1996" s="116">
        <v>806.05</v>
      </c>
      <c r="F1996" s="116">
        <v>805.55</v>
      </c>
      <c r="G1996">
        <v>9442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44943</v>
      </c>
      <c r="B1997" s="116">
        <v>813.5</v>
      </c>
      <c r="C1997" s="116">
        <v>809.95</v>
      </c>
      <c r="D1997" s="116">
        <v>806.4</v>
      </c>
      <c r="E1997" s="116">
        <v>809.95</v>
      </c>
      <c r="F1997" s="116">
        <v>809.95</v>
      </c>
      <c r="G1997">
        <v>16219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44944</v>
      </c>
      <c r="B1998" s="116">
        <v>817.95</v>
      </c>
      <c r="C1998" s="116">
        <v>802.75</v>
      </c>
      <c r="D1998" s="116">
        <v>800.25</v>
      </c>
      <c r="E1998" s="116">
        <v>809.95</v>
      </c>
      <c r="F1998" s="116">
        <v>802.75</v>
      </c>
      <c r="G1998">
        <v>13833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44945</v>
      </c>
      <c r="B1999" s="116">
        <v>802.65</v>
      </c>
      <c r="C1999" s="116">
        <v>789.6</v>
      </c>
      <c r="D1999" s="116">
        <v>785.25</v>
      </c>
      <c r="E1999" s="116">
        <v>800.15</v>
      </c>
      <c r="F1999" s="116">
        <v>789.6</v>
      </c>
      <c r="G1999">
        <v>41495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44946</v>
      </c>
      <c r="B2000" s="116">
        <v>794.3</v>
      </c>
      <c r="C2000" s="116">
        <v>779.45</v>
      </c>
      <c r="D2000" s="116">
        <v>777.8</v>
      </c>
      <c r="E2000" s="116">
        <v>789.4</v>
      </c>
      <c r="F2000" s="116">
        <v>779.45</v>
      </c>
      <c r="G2000">
        <v>16823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44949</v>
      </c>
      <c r="B2001" s="116">
        <v>784.05</v>
      </c>
      <c r="C2001" s="116">
        <v>777.1</v>
      </c>
      <c r="D2001" s="116">
        <v>769.1</v>
      </c>
      <c r="E2001" s="116">
        <v>781.05</v>
      </c>
      <c r="F2001" s="116">
        <v>777.1</v>
      </c>
      <c r="G2001">
        <v>67591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44950</v>
      </c>
      <c r="B2002" s="116">
        <v>783.4</v>
      </c>
      <c r="C2002" s="116">
        <v>777.85</v>
      </c>
      <c r="D2002" s="116">
        <v>775.4</v>
      </c>
      <c r="E2002" s="116">
        <v>777.1</v>
      </c>
      <c r="F2002" s="116">
        <v>777.85</v>
      </c>
      <c r="G2002">
        <v>19884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44951</v>
      </c>
      <c r="B2003" s="116">
        <v>778.1</v>
      </c>
      <c r="C2003" s="116">
        <v>756.95</v>
      </c>
      <c r="D2003" s="116">
        <v>752.05</v>
      </c>
      <c r="E2003" s="116">
        <v>778.1</v>
      </c>
      <c r="F2003" s="116">
        <v>756.95</v>
      </c>
      <c r="G2003">
        <v>30921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44953</v>
      </c>
      <c r="B2004" s="116">
        <v>761</v>
      </c>
      <c r="C2004" s="116">
        <v>745.25</v>
      </c>
      <c r="D2004" s="116">
        <v>737.6</v>
      </c>
      <c r="E2004" s="116">
        <v>760</v>
      </c>
      <c r="F2004" s="116">
        <v>745.25</v>
      </c>
      <c r="G2004">
        <v>61239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44956</v>
      </c>
      <c r="B2005" s="116">
        <v>779</v>
      </c>
      <c r="C2005" s="116">
        <v>774.9</v>
      </c>
      <c r="D2005" s="116">
        <v>744.9</v>
      </c>
      <c r="E2005" s="116">
        <v>745.25</v>
      </c>
      <c r="F2005" s="116">
        <v>774.9</v>
      </c>
      <c r="G2005">
        <v>89251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44957</v>
      </c>
      <c r="B2006" s="116">
        <v>805</v>
      </c>
      <c r="C2006" s="116">
        <v>802.35</v>
      </c>
      <c r="D2006" s="116">
        <v>777</v>
      </c>
      <c r="E2006" s="116">
        <v>778.9</v>
      </c>
      <c r="F2006" s="116">
        <v>802.35</v>
      </c>
      <c r="G2006">
        <v>28452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44958</v>
      </c>
      <c r="B2007" s="116">
        <v>815.85</v>
      </c>
      <c r="C2007" s="116">
        <v>794.75</v>
      </c>
      <c r="D2007" s="116">
        <v>784.6</v>
      </c>
      <c r="E2007" s="116">
        <v>802.35</v>
      </c>
      <c r="F2007" s="116">
        <v>794.75</v>
      </c>
      <c r="G2007">
        <v>37038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44959</v>
      </c>
      <c r="B2008" s="116">
        <v>823.6</v>
      </c>
      <c r="C2008" s="116">
        <v>821.7</v>
      </c>
      <c r="D2008" s="116">
        <v>790.5</v>
      </c>
      <c r="E2008" s="116">
        <v>804.95</v>
      </c>
      <c r="F2008" s="116">
        <v>821.7</v>
      </c>
      <c r="G2008">
        <v>76770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44960</v>
      </c>
      <c r="B2009" s="116">
        <v>825.1</v>
      </c>
      <c r="C2009" s="116">
        <v>812.7</v>
      </c>
      <c r="D2009" s="116">
        <v>809</v>
      </c>
      <c r="E2009" s="116">
        <v>823</v>
      </c>
      <c r="F2009" s="116">
        <v>812.7</v>
      </c>
      <c r="G2009">
        <v>43570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44963</v>
      </c>
      <c r="B2010" s="116">
        <v>828.95</v>
      </c>
      <c r="C2010" s="116">
        <v>827.05</v>
      </c>
      <c r="D2010" s="116">
        <v>808</v>
      </c>
      <c r="E2010" s="116">
        <v>810</v>
      </c>
      <c r="F2010" s="116">
        <v>827.05</v>
      </c>
      <c r="G2010">
        <v>21001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44964</v>
      </c>
      <c r="B2011" s="116">
        <v>831</v>
      </c>
      <c r="C2011" s="116">
        <v>815.55</v>
      </c>
      <c r="D2011" s="116">
        <v>806.35</v>
      </c>
      <c r="E2011" s="116">
        <v>828.5</v>
      </c>
      <c r="F2011" s="116">
        <v>815.55</v>
      </c>
      <c r="G2011">
        <v>65918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44965</v>
      </c>
      <c r="B2012" s="116">
        <v>832.3</v>
      </c>
      <c r="C2012" s="116">
        <v>826.85</v>
      </c>
      <c r="D2012" s="116">
        <v>809.25</v>
      </c>
      <c r="E2012" s="116">
        <v>816.3</v>
      </c>
      <c r="F2012" s="116">
        <v>826.85</v>
      </c>
      <c r="G2012">
        <v>48866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44966</v>
      </c>
      <c r="B2013" s="116">
        <v>833.95</v>
      </c>
      <c r="C2013" s="116">
        <v>825.05</v>
      </c>
      <c r="D2013" s="116">
        <v>812.8</v>
      </c>
      <c r="E2013" s="116">
        <v>833.95</v>
      </c>
      <c r="F2013" s="116">
        <v>825.05</v>
      </c>
      <c r="G2013">
        <v>19643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44967</v>
      </c>
      <c r="B2014" s="116">
        <v>856</v>
      </c>
      <c r="C2014" s="116">
        <v>849.95</v>
      </c>
      <c r="D2014" s="116">
        <v>788.2</v>
      </c>
      <c r="E2014" s="116">
        <v>801.05</v>
      </c>
      <c r="F2014" s="116">
        <v>849.95</v>
      </c>
      <c r="G2014">
        <v>261329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44970</v>
      </c>
      <c r="B2015" s="116">
        <v>854.25</v>
      </c>
      <c r="C2015" s="116">
        <v>848.7</v>
      </c>
      <c r="D2015" s="116">
        <v>835.7</v>
      </c>
      <c r="E2015" s="116">
        <v>850</v>
      </c>
      <c r="F2015" s="116">
        <v>848.7</v>
      </c>
      <c r="G2015">
        <v>68694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44971</v>
      </c>
      <c r="B2016" s="116">
        <v>871</v>
      </c>
      <c r="C2016" s="116">
        <v>856.1</v>
      </c>
      <c r="D2016" s="116">
        <v>842.9</v>
      </c>
      <c r="E2016" s="116">
        <v>842.9</v>
      </c>
      <c r="F2016" s="116">
        <v>856.1</v>
      </c>
      <c r="G2016">
        <v>87086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44972</v>
      </c>
      <c r="B2017" s="116">
        <v>861.95</v>
      </c>
      <c r="C2017" s="116">
        <v>859.45</v>
      </c>
      <c r="D2017" s="116">
        <v>848.65</v>
      </c>
      <c r="E2017" s="116">
        <v>855.85</v>
      </c>
      <c r="F2017" s="116">
        <v>859.45</v>
      </c>
      <c r="G2017">
        <v>13179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44973</v>
      </c>
      <c r="B2018" s="116">
        <v>868.5</v>
      </c>
      <c r="C2018" s="116">
        <v>862.85</v>
      </c>
      <c r="D2018" s="116">
        <v>854.1</v>
      </c>
      <c r="E2018" s="116">
        <v>859</v>
      </c>
      <c r="F2018" s="116">
        <v>862.85</v>
      </c>
      <c r="G2018">
        <v>50967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44974</v>
      </c>
      <c r="B2019" s="116">
        <v>862.85</v>
      </c>
      <c r="C2019" s="116">
        <v>854.6</v>
      </c>
      <c r="D2019" s="116">
        <v>849.6</v>
      </c>
      <c r="E2019" s="116">
        <v>860.95</v>
      </c>
      <c r="F2019" s="116">
        <v>854.6</v>
      </c>
      <c r="G2019">
        <v>11694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44977</v>
      </c>
      <c r="B2020" s="116">
        <v>882.5</v>
      </c>
      <c r="C2020" s="116">
        <v>873.2</v>
      </c>
      <c r="D2020" s="116">
        <v>850.55</v>
      </c>
      <c r="E2020" s="116">
        <v>855.6</v>
      </c>
      <c r="F2020" s="116">
        <v>873.2</v>
      </c>
      <c r="G2020">
        <v>48254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44978</v>
      </c>
      <c r="B2021" s="116">
        <v>897.5</v>
      </c>
      <c r="C2021" s="116">
        <v>894.7</v>
      </c>
      <c r="D2021" s="116">
        <v>873.2</v>
      </c>
      <c r="E2021" s="116">
        <v>876.9</v>
      </c>
      <c r="F2021" s="116">
        <v>894.7</v>
      </c>
      <c r="G2021">
        <v>216922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44979</v>
      </c>
      <c r="B2022" s="116">
        <v>927.75</v>
      </c>
      <c r="C2022" s="116">
        <v>913.95</v>
      </c>
      <c r="D2022" s="116">
        <v>897.75</v>
      </c>
      <c r="E2022" s="116">
        <v>899.8</v>
      </c>
      <c r="F2022" s="116">
        <v>913.95</v>
      </c>
      <c r="G2022">
        <v>293957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44980</v>
      </c>
      <c r="B2023" s="116">
        <v>919.7</v>
      </c>
      <c r="C2023" s="116">
        <v>900.85</v>
      </c>
      <c r="D2023" s="116">
        <v>899</v>
      </c>
      <c r="E2023" s="116">
        <v>918.85</v>
      </c>
      <c r="F2023" s="116">
        <v>900.85</v>
      </c>
      <c r="G2023">
        <v>55044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44981</v>
      </c>
      <c r="B2024" s="116">
        <v>910.55</v>
      </c>
      <c r="C2024" s="116">
        <v>895.35</v>
      </c>
      <c r="D2024" s="116">
        <v>892.2</v>
      </c>
      <c r="E2024" s="116">
        <v>905</v>
      </c>
      <c r="F2024" s="116">
        <v>895.35</v>
      </c>
      <c r="G2024">
        <v>92697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44984</v>
      </c>
      <c r="B2025" s="116">
        <v>889</v>
      </c>
      <c r="C2025" s="116">
        <v>887.2</v>
      </c>
      <c r="D2025" s="116">
        <v>865.4</v>
      </c>
      <c r="E2025" s="116">
        <v>886.05</v>
      </c>
      <c r="F2025" s="116">
        <v>887.2</v>
      </c>
      <c r="G2025">
        <v>94712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44985</v>
      </c>
      <c r="B2026" s="116">
        <v>905.75</v>
      </c>
      <c r="C2026" s="116">
        <v>891.95</v>
      </c>
      <c r="D2026" s="116">
        <v>885</v>
      </c>
      <c r="E2026" s="116">
        <v>887.2</v>
      </c>
      <c r="F2026" s="116">
        <v>891.95</v>
      </c>
      <c r="G2026">
        <v>44337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44986</v>
      </c>
      <c r="B2027" s="116">
        <v>906.95</v>
      </c>
      <c r="C2027" s="116">
        <v>899.9</v>
      </c>
      <c r="D2027" s="116">
        <v>891.5</v>
      </c>
      <c r="E2027" s="116">
        <v>898</v>
      </c>
      <c r="F2027" s="116">
        <v>899.9</v>
      </c>
      <c r="G2027">
        <v>42199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44987</v>
      </c>
      <c r="B2028" s="116">
        <v>924.8</v>
      </c>
      <c r="C2028" s="116">
        <v>918.6</v>
      </c>
      <c r="D2028" s="116">
        <v>898.85</v>
      </c>
      <c r="E2028" s="116">
        <v>900</v>
      </c>
      <c r="F2028" s="116">
        <v>918.6</v>
      </c>
      <c r="G2028">
        <v>117435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44988</v>
      </c>
      <c r="B2029" s="116">
        <v>933.5</v>
      </c>
      <c r="C2029" s="116">
        <v>912.45</v>
      </c>
      <c r="D2029" s="116">
        <v>910.65</v>
      </c>
      <c r="E2029" s="116">
        <v>918.6</v>
      </c>
      <c r="F2029" s="116">
        <v>912.45</v>
      </c>
      <c r="G2029">
        <v>54626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44991</v>
      </c>
      <c r="B2030" s="116">
        <v>920.75</v>
      </c>
      <c r="C2030" s="116">
        <v>912.15</v>
      </c>
      <c r="D2030" s="116">
        <v>909.55</v>
      </c>
      <c r="E2030" s="116">
        <v>914.85</v>
      </c>
      <c r="F2030" s="116">
        <v>912.15</v>
      </c>
      <c r="G2030">
        <v>17008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44993</v>
      </c>
      <c r="B2031" s="116">
        <v>915.35</v>
      </c>
      <c r="C2031" s="116">
        <v>909.75</v>
      </c>
      <c r="D2031" s="116">
        <v>887.9</v>
      </c>
      <c r="E2031" s="116">
        <v>910</v>
      </c>
      <c r="F2031" s="116">
        <v>909.75</v>
      </c>
      <c r="G2031">
        <v>17794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44994</v>
      </c>
      <c r="B2032" s="116">
        <v>916.65</v>
      </c>
      <c r="C2032" s="116">
        <v>891.45</v>
      </c>
      <c r="D2032" s="116">
        <v>888.55</v>
      </c>
      <c r="E2032" s="116">
        <v>906.15</v>
      </c>
      <c r="F2032" s="116">
        <v>891.45</v>
      </c>
      <c r="G2032">
        <v>45647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44995</v>
      </c>
      <c r="B2033" s="116">
        <v>897.85</v>
      </c>
      <c r="C2033" s="116">
        <v>893.3</v>
      </c>
      <c r="D2033" s="116">
        <v>880.05</v>
      </c>
      <c r="E2033" s="116">
        <v>885</v>
      </c>
      <c r="F2033" s="116">
        <v>893.3</v>
      </c>
      <c r="G2033">
        <v>36012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44998</v>
      </c>
      <c r="B2034" s="116">
        <v>902.45</v>
      </c>
      <c r="C2034" s="116">
        <v>883.9</v>
      </c>
      <c r="D2034" s="116">
        <v>880.25</v>
      </c>
      <c r="E2034" s="116">
        <v>893.3</v>
      </c>
      <c r="F2034" s="116">
        <v>883.9</v>
      </c>
      <c r="G2034">
        <v>25778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44999</v>
      </c>
      <c r="B2035" s="116">
        <v>889.6</v>
      </c>
      <c r="C2035" s="116">
        <v>863.35</v>
      </c>
      <c r="D2035" s="116">
        <v>862.15</v>
      </c>
      <c r="E2035" s="116">
        <v>880.3</v>
      </c>
      <c r="F2035" s="116">
        <v>863.35</v>
      </c>
      <c r="G2035">
        <v>27423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45000</v>
      </c>
      <c r="B2036" s="116">
        <v>891</v>
      </c>
      <c r="C2036" s="116">
        <v>873.8</v>
      </c>
      <c r="D2036" s="116">
        <v>868.95</v>
      </c>
      <c r="E2036" s="116">
        <v>868.95</v>
      </c>
      <c r="F2036" s="116">
        <v>873.8</v>
      </c>
      <c r="G2036">
        <v>31716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45001</v>
      </c>
      <c r="B2037" s="116">
        <v>884.15</v>
      </c>
      <c r="C2037" s="116">
        <v>880.85</v>
      </c>
      <c r="D2037" s="116">
        <v>863.7</v>
      </c>
      <c r="E2037" s="116">
        <v>870.05</v>
      </c>
      <c r="F2037" s="116">
        <v>880.85</v>
      </c>
      <c r="G2037">
        <v>21727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45002</v>
      </c>
      <c r="B2038" s="116">
        <v>905</v>
      </c>
      <c r="C2038" s="116">
        <v>879.85</v>
      </c>
      <c r="D2038" s="116">
        <v>878.4</v>
      </c>
      <c r="E2038" s="116">
        <v>900</v>
      </c>
      <c r="F2038" s="116">
        <v>879.85</v>
      </c>
      <c r="G2038">
        <v>39358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45005</v>
      </c>
      <c r="B2039" s="116">
        <v>879.9</v>
      </c>
      <c r="C2039" s="116">
        <v>851.1</v>
      </c>
      <c r="D2039" s="116">
        <v>844.2</v>
      </c>
      <c r="E2039" s="116">
        <v>879.85</v>
      </c>
      <c r="F2039" s="116">
        <v>851.1</v>
      </c>
      <c r="G2039">
        <v>30754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45006</v>
      </c>
      <c r="B2040" s="116">
        <v>858.45</v>
      </c>
      <c r="C2040" s="116">
        <v>838.15</v>
      </c>
      <c r="D2040" s="116">
        <v>834.5</v>
      </c>
      <c r="E2040" s="116">
        <v>851</v>
      </c>
      <c r="F2040" s="116">
        <v>838.15</v>
      </c>
      <c r="G2040">
        <v>102053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45007</v>
      </c>
      <c r="B2041" s="116">
        <v>848.3</v>
      </c>
      <c r="C2041" s="116">
        <v>844.65</v>
      </c>
      <c r="D2041" s="116">
        <v>835.5</v>
      </c>
      <c r="E2041" s="116">
        <v>846.95</v>
      </c>
      <c r="F2041" s="116">
        <v>844.65</v>
      </c>
      <c r="G2041">
        <v>35896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45008</v>
      </c>
      <c r="B2042" s="116">
        <v>847.7</v>
      </c>
      <c r="C2042" s="116">
        <v>833.5</v>
      </c>
      <c r="D2042" s="116">
        <v>831.7</v>
      </c>
      <c r="E2042" s="116">
        <v>840.1</v>
      </c>
      <c r="F2042" s="116">
        <v>833.5</v>
      </c>
      <c r="G2042">
        <v>16031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45009</v>
      </c>
      <c r="B2043" s="116">
        <v>836.05</v>
      </c>
      <c r="C2043" s="116">
        <v>821.7</v>
      </c>
      <c r="D2043" s="116">
        <v>816.6</v>
      </c>
      <c r="E2043" s="116">
        <v>831.05</v>
      </c>
      <c r="F2043" s="116">
        <v>821.7</v>
      </c>
      <c r="G2043">
        <v>38284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45012</v>
      </c>
      <c r="B2044" s="116">
        <v>829.4</v>
      </c>
      <c r="C2044" s="116">
        <v>822.85</v>
      </c>
      <c r="D2044" s="116">
        <v>811.8</v>
      </c>
      <c r="E2044" s="116">
        <v>820.05</v>
      </c>
      <c r="F2044" s="116">
        <v>822.85</v>
      </c>
      <c r="G2044">
        <v>15030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45013</v>
      </c>
      <c r="B2045" s="116">
        <v>826.2</v>
      </c>
      <c r="C2045" s="116">
        <v>812.3</v>
      </c>
      <c r="D2045" s="116">
        <v>808</v>
      </c>
      <c r="E2045" s="116">
        <v>823.05</v>
      </c>
      <c r="F2045" s="116">
        <v>812.3</v>
      </c>
      <c r="G2045">
        <v>9678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45014</v>
      </c>
      <c r="B2046" s="116">
        <v>816.75</v>
      </c>
      <c r="C2046" s="116">
        <v>811.65</v>
      </c>
      <c r="D2046" s="116">
        <v>805.55</v>
      </c>
      <c r="E2046" s="116">
        <v>812.95</v>
      </c>
      <c r="F2046" s="116">
        <v>811.65</v>
      </c>
      <c r="G2046">
        <v>23792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45016</v>
      </c>
      <c r="B2047" s="116">
        <v>822</v>
      </c>
      <c r="C2047" s="116">
        <v>818.25</v>
      </c>
      <c r="D2047" s="116">
        <v>811.75</v>
      </c>
      <c r="E2047" s="116">
        <v>811.75</v>
      </c>
      <c r="F2047" s="116">
        <v>818.25</v>
      </c>
      <c r="G2047">
        <v>50945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45019</v>
      </c>
      <c r="B2048" s="116">
        <v>824.95</v>
      </c>
      <c r="C2048" s="116">
        <v>823.15</v>
      </c>
      <c r="D2048" s="116">
        <v>817.05</v>
      </c>
      <c r="E2048" s="116">
        <v>824</v>
      </c>
      <c r="F2048" s="116">
        <v>823.15</v>
      </c>
      <c r="G2048">
        <v>17283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45021</v>
      </c>
      <c r="B2049" s="116">
        <v>824.7</v>
      </c>
      <c r="C2049" s="116">
        <v>818.4</v>
      </c>
      <c r="D2049" s="116">
        <v>815.55</v>
      </c>
      <c r="E2049" s="116">
        <v>824.7</v>
      </c>
      <c r="F2049" s="116">
        <v>818.4</v>
      </c>
      <c r="G2049">
        <v>9495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45022</v>
      </c>
      <c r="B2050" s="116">
        <v>832.2</v>
      </c>
      <c r="C2050" s="116">
        <v>831.2</v>
      </c>
      <c r="D2050" s="116">
        <v>815.2</v>
      </c>
      <c r="E2050" s="116">
        <v>815.2</v>
      </c>
      <c r="F2050" s="116">
        <v>831.2</v>
      </c>
      <c r="G2050">
        <v>37212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45026</v>
      </c>
      <c r="B2051" s="116">
        <v>847.2</v>
      </c>
      <c r="C2051" s="116">
        <v>822.55</v>
      </c>
      <c r="D2051" s="116">
        <v>818.7</v>
      </c>
      <c r="E2051" s="116">
        <v>847.2</v>
      </c>
      <c r="F2051" s="116">
        <v>822.55</v>
      </c>
      <c r="G2051">
        <v>57433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45027</v>
      </c>
      <c r="B2052" s="116">
        <v>828.35</v>
      </c>
      <c r="C2052" s="116">
        <v>813.95</v>
      </c>
      <c r="D2052" s="116">
        <v>811.6</v>
      </c>
      <c r="E2052" s="116">
        <v>823.05</v>
      </c>
      <c r="F2052" s="116">
        <v>813.95</v>
      </c>
      <c r="G2052">
        <v>15313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45028</v>
      </c>
      <c r="B2053" s="116">
        <v>821.5</v>
      </c>
      <c r="C2053" s="116">
        <v>817.05</v>
      </c>
      <c r="D2053" s="116">
        <v>813.9</v>
      </c>
      <c r="E2053" s="116">
        <v>819.85</v>
      </c>
      <c r="F2053" s="116">
        <v>817.05</v>
      </c>
      <c r="G2053">
        <v>25020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45029</v>
      </c>
      <c r="B2054" s="116">
        <v>824.7</v>
      </c>
      <c r="C2054" s="116">
        <v>823.45</v>
      </c>
      <c r="D2054" s="116">
        <v>813.3</v>
      </c>
      <c r="E2054" s="116">
        <v>818</v>
      </c>
      <c r="F2054" s="116">
        <v>823.45</v>
      </c>
      <c r="G2054">
        <v>55860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45033</v>
      </c>
      <c r="B2055" s="116">
        <v>839.7</v>
      </c>
      <c r="C2055" s="116">
        <v>835.45</v>
      </c>
      <c r="D2055" s="116">
        <v>812.7</v>
      </c>
      <c r="E2055" s="116">
        <v>829.2</v>
      </c>
      <c r="F2055" s="116">
        <v>835.45</v>
      </c>
      <c r="G2055">
        <v>34531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45034</v>
      </c>
      <c r="B2056" s="116">
        <v>844.75</v>
      </c>
      <c r="C2056" s="116">
        <v>835.15</v>
      </c>
      <c r="D2056" s="116">
        <v>828.7</v>
      </c>
      <c r="E2056" s="116">
        <v>840</v>
      </c>
      <c r="F2056" s="116">
        <v>835.15</v>
      </c>
      <c r="G2056">
        <v>40142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45035</v>
      </c>
      <c r="B2057" s="116">
        <v>853.2</v>
      </c>
      <c r="C2057" s="116">
        <v>851.45</v>
      </c>
      <c r="D2057" s="116">
        <v>832.55</v>
      </c>
      <c r="E2057" s="116">
        <v>836.95</v>
      </c>
      <c r="F2057" s="116">
        <v>851.45</v>
      </c>
      <c r="G2057">
        <v>40124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45036</v>
      </c>
      <c r="B2058" s="116">
        <v>868</v>
      </c>
      <c r="C2058" s="116">
        <v>867.25</v>
      </c>
      <c r="D2058" s="116">
        <v>846.65</v>
      </c>
      <c r="E2058" s="116">
        <v>851.45</v>
      </c>
      <c r="F2058" s="116">
        <v>867.25</v>
      </c>
      <c r="G2058">
        <v>420166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45037</v>
      </c>
      <c r="B2059" s="116">
        <v>870.8</v>
      </c>
      <c r="C2059" s="116">
        <v>856.95</v>
      </c>
      <c r="D2059" s="116">
        <v>855</v>
      </c>
      <c r="E2059" s="116">
        <v>870.8</v>
      </c>
      <c r="F2059" s="116">
        <v>856.95</v>
      </c>
      <c r="G2059">
        <v>22327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45040</v>
      </c>
      <c r="B2060" s="116">
        <v>867.65</v>
      </c>
      <c r="C2060" s="116">
        <v>847.7</v>
      </c>
      <c r="D2060" s="116">
        <v>845.5</v>
      </c>
      <c r="E2060" s="116">
        <v>856.95</v>
      </c>
      <c r="F2060" s="116">
        <v>847.7</v>
      </c>
      <c r="G2060">
        <v>24547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45041</v>
      </c>
      <c r="B2061" s="116">
        <v>851.55</v>
      </c>
      <c r="C2061" s="116">
        <v>843.6</v>
      </c>
      <c r="D2061" s="116">
        <v>841.7</v>
      </c>
      <c r="E2061" s="116">
        <v>845.35</v>
      </c>
      <c r="F2061" s="116">
        <v>843.6</v>
      </c>
      <c r="G2061">
        <v>25276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45042</v>
      </c>
      <c r="B2062" s="116">
        <v>866.7</v>
      </c>
      <c r="C2062" s="116">
        <v>855.05</v>
      </c>
      <c r="D2062" s="116">
        <v>840.1</v>
      </c>
      <c r="E2062" s="116">
        <v>840.1</v>
      </c>
      <c r="F2062" s="116">
        <v>855.05</v>
      </c>
      <c r="G2062">
        <v>87020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45043</v>
      </c>
      <c r="B2063" s="116">
        <v>847</v>
      </c>
      <c r="C2063" s="116">
        <v>808.8</v>
      </c>
      <c r="D2063" s="116">
        <v>804.7</v>
      </c>
      <c r="E2063" s="116">
        <v>830.6</v>
      </c>
      <c r="F2063" s="116">
        <v>808.8</v>
      </c>
      <c r="G2063">
        <v>220146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45044</v>
      </c>
      <c r="B2064" s="116">
        <v>808</v>
      </c>
      <c r="C2064" s="116">
        <v>798.9</v>
      </c>
      <c r="D2064" s="116">
        <v>762.8</v>
      </c>
      <c r="E2064" s="116">
        <v>808</v>
      </c>
      <c r="F2064" s="116">
        <v>798.9</v>
      </c>
      <c r="G2064">
        <v>344454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45048</v>
      </c>
      <c r="B2065" s="116">
        <v>810</v>
      </c>
      <c r="C2065" s="116">
        <v>802</v>
      </c>
      <c r="D2065" s="116">
        <v>793.1</v>
      </c>
      <c r="E2065" s="116">
        <v>796.95</v>
      </c>
      <c r="F2065" s="116">
        <v>802</v>
      </c>
      <c r="G2065">
        <v>42062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45049</v>
      </c>
      <c r="B2066" s="116">
        <v>818</v>
      </c>
      <c r="C2066" s="116">
        <v>809.8</v>
      </c>
      <c r="D2066" s="116">
        <v>795.1</v>
      </c>
      <c r="E2066" s="116">
        <v>795.1</v>
      </c>
      <c r="F2066" s="116">
        <v>809.8</v>
      </c>
      <c r="G2066">
        <v>84031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45050</v>
      </c>
      <c r="B2067" s="116">
        <v>814.8</v>
      </c>
      <c r="C2067" s="116">
        <v>802.2</v>
      </c>
      <c r="D2067" s="116">
        <v>800.6</v>
      </c>
      <c r="E2067" s="116">
        <v>812.1</v>
      </c>
      <c r="F2067" s="116">
        <v>802.2</v>
      </c>
      <c r="G2067">
        <v>26574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45051</v>
      </c>
      <c r="B2068" s="116">
        <v>808.8</v>
      </c>
      <c r="C2068" s="116">
        <v>798.5</v>
      </c>
      <c r="D2068" s="116">
        <v>796.1</v>
      </c>
      <c r="E2068" s="116">
        <v>797.4</v>
      </c>
      <c r="F2068" s="116">
        <v>798.5</v>
      </c>
      <c r="G2068">
        <v>76208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45054</v>
      </c>
      <c r="B2069" s="116">
        <v>807.25</v>
      </c>
      <c r="C2069" s="116">
        <v>803.15</v>
      </c>
      <c r="D2069" s="116">
        <v>799</v>
      </c>
      <c r="E2069" s="116">
        <v>799.55</v>
      </c>
      <c r="F2069" s="116">
        <v>803.15</v>
      </c>
      <c r="G2069">
        <v>35655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45055</v>
      </c>
      <c r="B2070" s="116">
        <v>808.45</v>
      </c>
      <c r="C2070" s="116">
        <v>803.45</v>
      </c>
      <c r="D2070" s="116">
        <v>801.35</v>
      </c>
      <c r="E2070" s="116">
        <v>803</v>
      </c>
      <c r="F2070" s="116">
        <v>803.45</v>
      </c>
      <c r="G2070">
        <v>16030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45056</v>
      </c>
      <c r="B2071" s="116">
        <v>808.25</v>
      </c>
      <c r="C2071" s="116">
        <v>807.25</v>
      </c>
      <c r="D2071" s="116">
        <v>798.65</v>
      </c>
      <c r="E2071" s="116">
        <v>804.3</v>
      </c>
      <c r="F2071" s="116">
        <v>807.25</v>
      </c>
      <c r="G2071">
        <v>17300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45057</v>
      </c>
      <c r="B2072" s="116">
        <v>815.8</v>
      </c>
      <c r="C2072" s="116">
        <v>813.55</v>
      </c>
      <c r="D2072" s="116">
        <v>805.95</v>
      </c>
      <c r="E2072" s="116">
        <v>808.5</v>
      </c>
      <c r="F2072" s="116">
        <v>813.55</v>
      </c>
      <c r="G2072">
        <v>20404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45058</v>
      </c>
      <c r="B2073" s="116">
        <v>817.4</v>
      </c>
      <c r="C2073" s="116">
        <v>809.1</v>
      </c>
      <c r="D2073" s="116">
        <v>808.05</v>
      </c>
      <c r="E2073" s="116">
        <v>817.4</v>
      </c>
      <c r="F2073" s="116">
        <v>809.1</v>
      </c>
      <c r="G2073">
        <v>15742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45061</v>
      </c>
      <c r="B2074" s="116">
        <v>813.9</v>
      </c>
      <c r="C2074" s="116">
        <v>810.1</v>
      </c>
      <c r="D2074" s="116">
        <v>805</v>
      </c>
      <c r="E2074" s="116">
        <v>806.05</v>
      </c>
      <c r="F2074" s="116">
        <v>810.1</v>
      </c>
      <c r="G2074">
        <v>36432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45062</v>
      </c>
      <c r="B2075" s="116">
        <v>815.95</v>
      </c>
      <c r="C2075" s="116">
        <v>804.15</v>
      </c>
      <c r="D2075" s="116">
        <v>803.2</v>
      </c>
      <c r="E2075" s="116">
        <v>810</v>
      </c>
      <c r="F2075" s="116">
        <v>804.15</v>
      </c>
      <c r="G2075">
        <v>11750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45063</v>
      </c>
      <c r="B2076" s="116">
        <v>806.7</v>
      </c>
      <c r="C2076" s="116">
        <v>802.9</v>
      </c>
      <c r="D2076" s="116">
        <v>795.05</v>
      </c>
      <c r="E2076" s="116">
        <v>801.05</v>
      </c>
      <c r="F2076" s="116">
        <v>802.9</v>
      </c>
      <c r="G2076">
        <v>16351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45064</v>
      </c>
      <c r="B2077" s="116">
        <v>808.55</v>
      </c>
      <c r="C2077" s="116">
        <v>797.75</v>
      </c>
      <c r="D2077" s="116">
        <v>796</v>
      </c>
      <c r="E2077" s="116">
        <v>802.05</v>
      </c>
      <c r="F2077" s="116">
        <v>797.75</v>
      </c>
      <c r="G2077">
        <v>13397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45065</v>
      </c>
      <c r="B2078" s="116">
        <v>800</v>
      </c>
      <c r="C2078" s="116">
        <v>797.25</v>
      </c>
      <c r="D2078" s="116">
        <v>785.9</v>
      </c>
      <c r="E2078" s="116">
        <v>798.05</v>
      </c>
      <c r="F2078" s="116">
        <v>797.25</v>
      </c>
      <c r="G2078">
        <v>38438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45068</v>
      </c>
      <c r="B2079" s="116">
        <v>812</v>
      </c>
      <c r="C2079" s="116">
        <v>809.6</v>
      </c>
      <c r="D2079" s="116">
        <v>792.5</v>
      </c>
      <c r="E2079" s="116">
        <v>795</v>
      </c>
      <c r="F2079" s="116">
        <v>809.6</v>
      </c>
      <c r="G2079">
        <v>20121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45069</v>
      </c>
      <c r="B2080" s="116">
        <v>811.8</v>
      </c>
      <c r="C2080" s="116">
        <v>805.55</v>
      </c>
      <c r="D2080" s="116">
        <v>804.05</v>
      </c>
      <c r="E2080" s="116">
        <v>810.4</v>
      </c>
      <c r="F2080" s="116">
        <v>805.55</v>
      </c>
      <c r="G2080">
        <v>13688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45070</v>
      </c>
      <c r="B2081" s="116">
        <v>808.7</v>
      </c>
      <c r="C2081" s="116">
        <v>803.45</v>
      </c>
      <c r="D2081" s="116">
        <v>800</v>
      </c>
      <c r="E2081" s="116">
        <v>805.55</v>
      </c>
      <c r="F2081" s="116">
        <v>803.45</v>
      </c>
      <c r="G2081">
        <v>12176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45071</v>
      </c>
      <c r="B2082" s="116">
        <v>814</v>
      </c>
      <c r="C2082" s="116">
        <v>812.8</v>
      </c>
      <c r="D2082" s="116">
        <v>802</v>
      </c>
      <c r="E2082" s="116">
        <v>802.05</v>
      </c>
      <c r="F2082" s="116">
        <v>812.8</v>
      </c>
      <c r="G2082">
        <v>22107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45072</v>
      </c>
      <c r="B2083" s="116">
        <v>817.9</v>
      </c>
      <c r="C2083" s="116">
        <v>814.25</v>
      </c>
      <c r="D2083" s="116">
        <v>809.2</v>
      </c>
      <c r="E2083" s="116">
        <v>816.95</v>
      </c>
      <c r="F2083" s="116">
        <v>814.25</v>
      </c>
      <c r="G2083">
        <v>37686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45075</v>
      </c>
      <c r="B2084" s="116">
        <v>827.4</v>
      </c>
      <c r="C2084" s="116">
        <v>825.25</v>
      </c>
      <c r="D2084" s="116">
        <v>815.05</v>
      </c>
      <c r="E2084" s="116">
        <v>815.05</v>
      </c>
      <c r="F2084" s="116">
        <v>825.25</v>
      </c>
      <c r="G2084">
        <v>22217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45076</v>
      </c>
      <c r="B2085" s="116">
        <v>830.85</v>
      </c>
      <c r="C2085" s="116">
        <v>822</v>
      </c>
      <c r="D2085" s="116">
        <v>818.75</v>
      </c>
      <c r="E2085" s="116">
        <v>825.25</v>
      </c>
      <c r="F2085" s="116">
        <v>822</v>
      </c>
      <c r="G2085">
        <v>17721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45077</v>
      </c>
      <c r="B2086" s="116">
        <v>826.7</v>
      </c>
      <c r="C2086" s="116">
        <v>821.85</v>
      </c>
      <c r="D2086" s="116">
        <v>817.75</v>
      </c>
      <c r="E2086" s="116">
        <v>822.9</v>
      </c>
      <c r="F2086" s="116">
        <v>821.85</v>
      </c>
      <c r="G2086">
        <v>34119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45078</v>
      </c>
      <c r="B2087" s="116">
        <v>831.95</v>
      </c>
      <c r="C2087" s="116">
        <v>825.85</v>
      </c>
      <c r="D2087" s="116">
        <v>820</v>
      </c>
      <c r="E2087" s="116">
        <v>821.8</v>
      </c>
      <c r="F2087" s="116">
        <v>825.85</v>
      </c>
      <c r="G2087">
        <v>46996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45079</v>
      </c>
      <c r="B2088" s="116">
        <v>830.65</v>
      </c>
      <c r="C2088" s="116">
        <v>818.95</v>
      </c>
      <c r="D2088" s="116">
        <v>817.25</v>
      </c>
      <c r="E2088" s="116">
        <v>830</v>
      </c>
      <c r="F2088" s="116">
        <v>818.95</v>
      </c>
      <c r="G2088">
        <v>32877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45082</v>
      </c>
      <c r="B2089" s="116">
        <v>826.05</v>
      </c>
      <c r="C2089" s="116">
        <v>822.8</v>
      </c>
      <c r="D2089" s="116">
        <v>819.05</v>
      </c>
      <c r="E2089" s="116">
        <v>819.05</v>
      </c>
      <c r="F2089" s="116">
        <v>822.8</v>
      </c>
      <c r="G2089">
        <v>29284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45083</v>
      </c>
      <c r="B2090" s="116">
        <v>824</v>
      </c>
      <c r="C2090" s="116">
        <v>803.5</v>
      </c>
      <c r="D2090" s="116">
        <v>791.5</v>
      </c>
      <c r="E2090" s="116">
        <v>824</v>
      </c>
      <c r="F2090" s="116">
        <v>803.5</v>
      </c>
      <c r="G2090">
        <v>51178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45084</v>
      </c>
      <c r="B2091" s="116">
        <v>808.4</v>
      </c>
      <c r="C2091" s="116">
        <v>805.65</v>
      </c>
      <c r="D2091" s="116">
        <v>801.2</v>
      </c>
      <c r="E2091" s="116">
        <v>807</v>
      </c>
      <c r="F2091" s="116">
        <v>805.65</v>
      </c>
      <c r="G2091">
        <v>39002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45085</v>
      </c>
      <c r="B2092" s="116">
        <v>809.25</v>
      </c>
      <c r="C2092" s="116">
        <v>804.85</v>
      </c>
      <c r="D2092" s="116">
        <v>801.5</v>
      </c>
      <c r="E2092" s="116">
        <v>805.85</v>
      </c>
      <c r="F2092" s="116">
        <v>804.85</v>
      </c>
      <c r="G2092">
        <v>15895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45086</v>
      </c>
      <c r="B2093" s="116">
        <v>806.4</v>
      </c>
      <c r="C2093" s="116">
        <v>777.95</v>
      </c>
      <c r="D2093" s="116">
        <v>776.5</v>
      </c>
      <c r="E2093" s="116">
        <v>806.4</v>
      </c>
      <c r="F2093" s="116">
        <v>777.95</v>
      </c>
      <c r="G2093">
        <v>56576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45089</v>
      </c>
      <c r="B2094" s="116">
        <v>795.8</v>
      </c>
      <c r="C2094" s="116">
        <v>790.95</v>
      </c>
      <c r="D2094" s="116">
        <v>774.6</v>
      </c>
      <c r="E2094" s="116">
        <v>778.05</v>
      </c>
      <c r="F2094" s="116">
        <v>790.95</v>
      </c>
      <c r="G2094">
        <v>39598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45090</v>
      </c>
      <c r="B2095" s="116">
        <v>807.95</v>
      </c>
      <c r="C2095" s="116">
        <v>806.55</v>
      </c>
      <c r="D2095" s="116">
        <v>790</v>
      </c>
      <c r="E2095" s="116">
        <v>790</v>
      </c>
      <c r="F2095" s="116">
        <v>806.55</v>
      </c>
      <c r="G2095">
        <v>90210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45091</v>
      </c>
      <c r="B2096" s="116">
        <v>826.9</v>
      </c>
      <c r="C2096" s="116">
        <v>815.6</v>
      </c>
      <c r="D2096" s="116">
        <v>800.85</v>
      </c>
      <c r="E2096" s="116">
        <v>808</v>
      </c>
      <c r="F2096" s="116">
        <v>815.6</v>
      </c>
      <c r="G2096">
        <v>180376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45092</v>
      </c>
      <c r="B2097" s="116">
        <v>817.6</v>
      </c>
      <c r="C2097" s="116">
        <v>801.05</v>
      </c>
      <c r="D2097" s="116">
        <v>797.55</v>
      </c>
      <c r="E2097" s="116">
        <v>815</v>
      </c>
      <c r="F2097" s="116">
        <v>801.05</v>
      </c>
      <c r="G2097">
        <v>56234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45093</v>
      </c>
      <c r="B2098" s="116">
        <v>803.65</v>
      </c>
      <c r="C2098" s="116">
        <v>796.3</v>
      </c>
      <c r="D2098" s="116">
        <v>794.25</v>
      </c>
      <c r="E2098" s="116">
        <v>802</v>
      </c>
      <c r="F2098" s="116">
        <v>796.3</v>
      </c>
      <c r="G2098">
        <v>59851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45096</v>
      </c>
      <c r="B2099" s="116">
        <v>799.75</v>
      </c>
      <c r="C2099" s="116">
        <v>789.35</v>
      </c>
      <c r="D2099" s="116">
        <v>785.95</v>
      </c>
      <c r="E2099" s="116">
        <v>799.75</v>
      </c>
      <c r="F2099" s="116">
        <v>789.35</v>
      </c>
      <c r="G2099">
        <v>65708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45097</v>
      </c>
      <c r="B2100" s="116">
        <v>795.15</v>
      </c>
      <c r="C2100" s="116">
        <v>789.6</v>
      </c>
      <c r="D2100" s="116">
        <v>786</v>
      </c>
      <c r="E2100" s="116">
        <v>789</v>
      </c>
      <c r="F2100" s="116">
        <v>789.6</v>
      </c>
      <c r="G2100">
        <v>18279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45098</v>
      </c>
      <c r="B2101" s="116">
        <v>794.95</v>
      </c>
      <c r="C2101" s="116">
        <v>787.75</v>
      </c>
      <c r="D2101" s="116">
        <v>783</v>
      </c>
      <c r="E2101" s="116">
        <v>794.95</v>
      </c>
      <c r="F2101" s="116">
        <v>787.75</v>
      </c>
      <c r="G2101">
        <v>43231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45099</v>
      </c>
      <c r="B2102" s="116">
        <v>789.1</v>
      </c>
      <c r="C2102" s="116">
        <v>782.25</v>
      </c>
      <c r="D2102" s="116">
        <v>778.45</v>
      </c>
      <c r="E2102" s="116">
        <v>786</v>
      </c>
      <c r="F2102" s="116">
        <v>782.25</v>
      </c>
      <c r="G2102">
        <v>53811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45100</v>
      </c>
      <c r="B2103" s="116">
        <v>775.95</v>
      </c>
      <c r="C2103" s="116">
        <v>750.4</v>
      </c>
      <c r="D2103" s="116">
        <v>749.05</v>
      </c>
      <c r="E2103" s="116">
        <v>773.95</v>
      </c>
      <c r="F2103" s="116">
        <v>750.4</v>
      </c>
      <c r="G2103">
        <v>263195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45103</v>
      </c>
      <c r="B2104" s="116">
        <v>759</v>
      </c>
      <c r="C2104" s="116">
        <v>757.8</v>
      </c>
      <c r="D2104" s="116">
        <v>747.9</v>
      </c>
      <c r="E2104" s="116">
        <v>753.6</v>
      </c>
      <c r="F2104" s="116">
        <v>757.8</v>
      </c>
      <c r="G2104">
        <v>138473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45104</v>
      </c>
      <c r="B2105" s="116">
        <v>767.8</v>
      </c>
      <c r="C2105" s="116">
        <v>760.9</v>
      </c>
      <c r="D2105" s="116">
        <v>758.7</v>
      </c>
      <c r="E2105" s="116">
        <v>762</v>
      </c>
      <c r="F2105" s="116">
        <v>760.9</v>
      </c>
      <c r="G2105">
        <v>63545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45105</v>
      </c>
      <c r="B2106" s="116">
        <v>767</v>
      </c>
      <c r="C2106" s="116">
        <v>761.55</v>
      </c>
      <c r="D2106" s="116">
        <v>758.9</v>
      </c>
      <c r="E2106" s="116">
        <v>760.1</v>
      </c>
      <c r="F2106" s="116">
        <v>761.55</v>
      </c>
      <c r="G2106">
        <v>23393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45107</v>
      </c>
      <c r="B2107" s="116">
        <v>763.1</v>
      </c>
      <c r="C2107" s="116">
        <v>759.8</v>
      </c>
      <c r="D2107" s="116">
        <v>756</v>
      </c>
      <c r="E2107" s="116">
        <v>761.55</v>
      </c>
      <c r="F2107" s="116">
        <v>759.8</v>
      </c>
      <c r="G2107">
        <v>25821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45110</v>
      </c>
      <c r="B2108" s="116">
        <v>769.45</v>
      </c>
      <c r="C2108" s="116">
        <v>762.5</v>
      </c>
      <c r="D2108" s="116">
        <v>759.65</v>
      </c>
      <c r="E2108" s="116">
        <v>765</v>
      </c>
      <c r="F2108" s="116">
        <v>762.5</v>
      </c>
      <c r="G2108">
        <v>51124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45111</v>
      </c>
      <c r="B2109" s="116">
        <v>767.3</v>
      </c>
      <c r="C2109" s="116">
        <v>759.05</v>
      </c>
      <c r="D2109" s="116">
        <v>757.05</v>
      </c>
      <c r="E2109" s="116">
        <v>767.3</v>
      </c>
      <c r="F2109" s="116">
        <v>759.05</v>
      </c>
      <c r="G2109">
        <v>27839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45112</v>
      </c>
      <c r="B2110" s="116">
        <v>768.95</v>
      </c>
      <c r="C2110" s="116">
        <v>766.65</v>
      </c>
      <c r="D2110" s="116">
        <v>753.85</v>
      </c>
      <c r="E2110" s="116">
        <v>762.25</v>
      </c>
      <c r="F2110" s="116">
        <v>766.65</v>
      </c>
      <c r="G2110">
        <v>71212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45113</v>
      </c>
      <c r="B2111" s="116">
        <v>772</v>
      </c>
      <c r="C2111" s="116">
        <v>769</v>
      </c>
      <c r="D2111" s="116">
        <v>763.05</v>
      </c>
      <c r="E2111" s="116">
        <v>765.05</v>
      </c>
      <c r="F2111" s="116">
        <v>769</v>
      </c>
      <c r="G2111">
        <v>57535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45114</v>
      </c>
      <c r="B2112" s="116">
        <v>766.8</v>
      </c>
      <c r="C2112" s="116">
        <v>760.5</v>
      </c>
      <c r="D2112" s="116">
        <v>756.9</v>
      </c>
      <c r="E2112" s="116">
        <v>764</v>
      </c>
      <c r="F2112" s="116">
        <v>760.5</v>
      </c>
      <c r="G2112">
        <v>53809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45117</v>
      </c>
      <c r="B2113" s="116">
        <v>762.9</v>
      </c>
      <c r="C2113" s="116">
        <v>758.3</v>
      </c>
      <c r="D2113" s="116">
        <v>752.8</v>
      </c>
      <c r="E2113" s="116">
        <v>758.05</v>
      </c>
      <c r="F2113" s="116">
        <v>758.3</v>
      </c>
      <c r="G2113">
        <v>47641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45118</v>
      </c>
      <c r="B2114" s="116">
        <v>767.2</v>
      </c>
      <c r="C2114" s="116">
        <v>759.3</v>
      </c>
      <c r="D2114" s="116">
        <v>756.05</v>
      </c>
      <c r="E2114" s="116">
        <v>758.5</v>
      </c>
      <c r="F2114" s="116">
        <v>759.3</v>
      </c>
      <c r="G2114">
        <v>49513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45119</v>
      </c>
      <c r="B2115" s="116">
        <v>764.6</v>
      </c>
      <c r="C2115" s="116">
        <v>762.35</v>
      </c>
      <c r="D2115" s="116">
        <v>759.15</v>
      </c>
      <c r="E2115" s="116">
        <v>764</v>
      </c>
      <c r="F2115" s="116">
        <v>762.35</v>
      </c>
      <c r="G2115">
        <v>32639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45120</v>
      </c>
      <c r="B2116" s="116">
        <v>765.95</v>
      </c>
      <c r="C2116" s="116">
        <v>748.6</v>
      </c>
      <c r="D2116" s="116">
        <v>746.4</v>
      </c>
      <c r="E2116" s="116">
        <v>765.95</v>
      </c>
      <c r="F2116" s="116">
        <v>748.6</v>
      </c>
      <c r="G2116">
        <v>96724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45121</v>
      </c>
      <c r="B2117" s="116">
        <v>755.6</v>
      </c>
      <c r="C2117" s="116">
        <v>754.75</v>
      </c>
      <c r="D2117" s="116">
        <v>745</v>
      </c>
      <c r="E2117" s="116">
        <v>749.05</v>
      </c>
      <c r="F2117" s="116">
        <v>754.75</v>
      </c>
      <c r="G2117">
        <v>15605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45124</v>
      </c>
      <c r="B2118" s="116">
        <v>767</v>
      </c>
      <c r="C2118" s="116">
        <v>763.8</v>
      </c>
      <c r="D2118" s="116">
        <v>752.7</v>
      </c>
      <c r="E2118" s="116">
        <v>754.05</v>
      </c>
      <c r="F2118" s="116">
        <v>763.8</v>
      </c>
      <c r="G2118">
        <v>77193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45125</v>
      </c>
      <c r="B2119" s="116">
        <v>769.95</v>
      </c>
      <c r="C2119" s="116">
        <v>765.85</v>
      </c>
      <c r="D2119" s="116">
        <v>757.45</v>
      </c>
      <c r="E2119" s="116">
        <v>769.95</v>
      </c>
      <c r="F2119" s="116">
        <v>765.85</v>
      </c>
      <c r="G2119">
        <v>1541705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45126</v>
      </c>
      <c r="B2120" s="116">
        <v>792.5</v>
      </c>
      <c r="C2120" s="116">
        <v>777.95</v>
      </c>
      <c r="D2120" s="116">
        <v>764.05</v>
      </c>
      <c r="E2120" s="116">
        <v>769.5</v>
      </c>
      <c r="F2120" s="116">
        <v>777.95</v>
      </c>
      <c r="G2120">
        <v>302800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45127</v>
      </c>
      <c r="B2121" s="116">
        <v>790.5</v>
      </c>
      <c r="C2121" s="116">
        <v>777.4</v>
      </c>
      <c r="D2121" s="116">
        <v>775</v>
      </c>
      <c r="E2121" s="116">
        <v>780</v>
      </c>
      <c r="F2121" s="116">
        <v>777.4</v>
      </c>
      <c r="G2121">
        <v>115035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45128</v>
      </c>
      <c r="B2122" s="116">
        <v>773</v>
      </c>
      <c r="C2122" s="116">
        <v>764.55</v>
      </c>
      <c r="D2122" s="116">
        <v>763</v>
      </c>
      <c r="E2122" s="116">
        <v>770.1</v>
      </c>
      <c r="F2122" s="116">
        <v>764.55</v>
      </c>
      <c r="G2122">
        <v>67462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45131</v>
      </c>
      <c r="B2123" s="116">
        <v>769.55</v>
      </c>
      <c r="C2123" s="116">
        <v>765.95</v>
      </c>
      <c r="D2123" s="116">
        <v>759</v>
      </c>
      <c r="E2123" s="116">
        <v>764</v>
      </c>
      <c r="F2123" s="116">
        <v>765.95</v>
      </c>
      <c r="G2123">
        <v>54053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45132</v>
      </c>
      <c r="B2124" s="116">
        <v>771.2</v>
      </c>
      <c r="C2124" s="116">
        <v>767.3</v>
      </c>
      <c r="D2124" s="116">
        <v>765</v>
      </c>
      <c r="E2124" s="116">
        <v>769.95</v>
      </c>
      <c r="F2124" s="116">
        <v>767.3</v>
      </c>
      <c r="G2124">
        <v>38588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45133</v>
      </c>
      <c r="B2125" s="116">
        <v>769</v>
      </c>
      <c r="C2125" s="116">
        <v>765.15</v>
      </c>
      <c r="D2125" s="116">
        <v>763.4</v>
      </c>
      <c r="E2125" s="116">
        <v>766.55</v>
      </c>
      <c r="F2125" s="116">
        <v>765.15</v>
      </c>
      <c r="G2125">
        <v>38434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45134</v>
      </c>
      <c r="B2126" s="116">
        <v>770</v>
      </c>
      <c r="C2126" s="116">
        <v>758.55</v>
      </c>
      <c r="D2126" s="116">
        <v>756.7</v>
      </c>
      <c r="E2126" s="116">
        <v>765.2</v>
      </c>
      <c r="F2126" s="116">
        <v>758.55</v>
      </c>
      <c r="G2126">
        <v>41242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45135</v>
      </c>
      <c r="B2127" s="116">
        <v>764.5</v>
      </c>
      <c r="C2127" s="116">
        <v>763</v>
      </c>
      <c r="D2127" s="116">
        <v>758.05</v>
      </c>
      <c r="E2127" s="116">
        <v>758.05</v>
      </c>
      <c r="F2127" s="116">
        <v>763</v>
      </c>
      <c r="G2127">
        <v>15255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45138</v>
      </c>
      <c r="B2128" s="116">
        <v>781.75</v>
      </c>
      <c r="C2128" s="116">
        <v>779.8</v>
      </c>
      <c r="D2128" s="116">
        <v>761.45</v>
      </c>
      <c r="E2128" s="116">
        <v>766</v>
      </c>
      <c r="F2128" s="116">
        <v>779.8</v>
      </c>
      <c r="G2128">
        <v>31615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45139</v>
      </c>
      <c r="B2129" s="116">
        <v>800.25</v>
      </c>
      <c r="C2129" s="116">
        <v>797.35</v>
      </c>
      <c r="D2129" s="116">
        <v>781</v>
      </c>
      <c r="E2129" s="116">
        <v>783.45</v>
      </c>
      <c r="F2129" s="116">
        <v>797.35</v>
      </c>
      <c r="G2129">
        <v>64467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45140</v>
      </c>
      <c r="B2130" s="116">
        <v>805.05</v>
      </c>
      <c r="C2130" s="116">
        <v>801.35</v>
      </c>
      <c r="D2130" s="116">
        <v>791.15</v>
      </c>
      <c r="E2130" s="116">
        <v>798</v>
      </c>
      <c r="F2130" s="116">
        <v>801.35</v>
      </c>
      <c r="G2130">
        <v>79766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45141</v>
      </c>
      <c r="B2131" s="116">
        <v>810.3</v>
      </c>
      <c r="C2131" s="116">
        <v>799.5</v>
      </c>
      <c r="D2131" s="116">
        <v>794.65</v>
      </c>
      <c r="E2131" s="116">
        <v>795.05</v>
      </c>
      <c r="F2131" s="116">
        <v>799.5</v>
      </c>
      <c r="G2131">
        <v>131667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45142</v>
      </c>
      <c r="B2132" s="116">
        <v>821</v>
      </c>
      <c r="C2132" s="116">
        <v>818.6</v>
      </c>
      <c r="D2132" s="116">
        <v>799</v>
      </c>
      <c r="E2132" s="116">
        <v>802.05</v>
      </c>
      <c r="F2132" s="116">
        <v>818.6</v>
      </c>
      <c r="G2132">
        <v>67702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45145</v>
      </c>
      <c r="B2133" s="116">
        <v>828.55</v>
      </c>
      <c r="C2133" s="116">
        <v>826.5</v>
      </c>
      <c r="D2133" s="116">
        <v>819.3</v>
      </c>
      <c r="E2133" s="116">
        <v>824</v>
      </c>
      <c r="F2133" s="116">
        <v>826.5</v>
      </c>
      <c r="G2133">
        <v>40035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45146</v>
      </c>
      <c r="B2134" s="116">
        <v>827.1</v>
      </c>
      <c r="C2134" s="116">
        <v>817.7</v>
      </c>
      <c r="D2134" s="116">
        <v>810.6</v>
      </c>
      <c r="E2134" s="116">
        <v>827.05</v>
      </c>
      <c r="F2134" s="116">
        <v>817.7</v>
      </c>
      <c r="G2134">
        <v>87383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45147</v>
      </c>
      <c r="B2135" s="116">
        <v>851.5</v>
      </c>
      <c r="C2135" s="116">
        <v>849.4</v>
      </c>
      <c r="D2135" s="116">
        <v>819.6</v>
      </c>
      <c r="E2135" s="116">
        <v>822</v>
      </c>
      <c r="F2135" s="116">
        <v>849.4</v>
      </c>
      <c r="G2135">
        <v>310649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45148</v>
      </c>
      <c r="B2136" s="116">
        <v>857.85</v>
      </c>
      <c r="C2136" s="116">
        <v>836.4</v>
      </c>
      <c r="D2136" s="116">
        <v>835.05</v>
      </c>
      <c r="E2136" s="116">
        <v>851.95</v>
      </c>
      <c r="F2136" s="116">
        <v>836.4</v>
      </c>
      <c r="G2136">
        <v>51275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45149</v>
      </c>
      <c r="B2137" s="116">
        <v>847.95</v>
      </c>
      <c r="C2137" s="116">
        <v>828.65</v>
      </c>
      <c r="D2137" s="116">
        <v>816.35</v>
      </c>
      <c r="E2137" s="116">
        <v>847.95</v>
      </c>
      <c r="F2137" s="116">
        <v>828.65</v>
      </c>
      <c r="G2137">
        <v>47256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45152</v>
      </c>
      <c r="B2138" s="116">
        <v>829.4</v>
      </c>
      <c r="C2138" s="116">
        <v>825.2</v>
      </c>
      <c r="D2138" s="116">
        <v>794.15</v>
      </c>
      <c r="E2138" s="116">
        <v>820</v>
      </c>
      <c r="F2138" s="116">
        <v>825.2</v>
      </c>
      <c r="G2138">
        <v>155559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45154</v>
      </c>
      <c r="B2139" s="116">
        <v>828.5</v>
      </c>
      <c r="C2139" s="116">
        <v>826.2</v>
      </c>
      <c r="D2139" s="116">
        <v>810.55</v>
      </c>
      <c r="E2139" s="116">
        <v>824.9</v>
      </c>
      <c r="F2139" s="116">
        <v>826.2</v>
      </c>
      <c r="G2139">
        <v>21180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45155</v>
      </c>
      <c r="B2140" s="116">
        <v>832.4</v>
      </c>
      <c r="C2140" s="116">
        <v>825.5</v>
      </c>
      <c r="D2140" s="116">
        <v>820.1</v>
      </c>
      <c r="E2140" s="116">
        <v>820.1</v>
      </c>
      <c r="F2140" s="116">
        <v>825.5</v>
      </c>
      <c r="G2140">
        <v>14336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45156</v>
      </c>
      <c r="B2141" s="116">
        <v>831.1</v>
      </c>
      <c r="C2141" s="116">
        <v>809.95</v>
      </c>
      <c r="D2141" s="116">
        <v>808</v>
      </c>
      <c r="E2141" s="116">
        <v>820.05</v>
      </c>
      <c r="F2141" s="116">
        <v>809.95</v>
      </c>
      <c r="G2141">
        <v>21986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45159</v>
      </c>
      <c r="B2142" s="116">
        <v>814</v>
      </c>
      <c r="C2142" s="116">
        <v>807.65</v>
      </c>
      <c r="D2142" s="116">
        <v>800.85</v>
      </c>
      <c r="E2142" s="116">
        <v>809.95</v>
      </c>
      <c r="F2142" s="116">
        <v>807.65</v>
      </c>
      <c r="G2142">
        <v>51661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45160</v>
      </c>
      <c r="B2143" s="116">
        <v>824.9</v>
      </c>
      <c r="C2143" s="116">
        <v>822.55</v>
      </c>
      <c r="D2143" s="116">
        <v>807.45</v>
      </c>
      <c r="E2143" s="116">
        <v>810</v>
      </c>
      <c r="F2143" s="116">
        <v>822.55</v>
      </c>
      <c r="G2143">
        <v>14536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45161</v>
      </c>
      <c r="B2144" s="116">
        <v>840.9</v>
      </c>
      <c r="C2144" s="116">
        <v>836.95</v>
      </c>
      <c r="D2144" s="116">
        <v>822.55</v>
      </c>
      <c r="E2144" s="116">
        <v>822.55</v>
      </c>
      <c r="F2144" s="116">
        <v>836.95</v>
      </c>
      <c r="G2144">
        <v>30349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45162</v>
      </c>
      <c r="B2145" s="116">
        <v>840.55</v>
      </c>
      <c r="C2145" s="116">
        <v>832.45</v>
      </c>
      <c r="D2145" s="116">
        <v>830.05</v>
      </c>
      <c r="E2145" s="116">
        <v>835</v>
      </c>
      <c r="F2145" s="116">
        <v>832.45</v>
      </c>
      <c r="G2145">
        <v>36367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45163</v>
      </c>
      <c r="B2146" s="116">
        <v>834.4</v>
      </c>
      <c r="C2146" s="116">
        <v>825.25</v>
      </c>
      <c r="D2146" s="116">
        <v>818.8</v>
      </c>
      <c r="E2146" s="116">
        <v>832.45</v>
      </c>
      <c r="F2146" s="116">
        <v>825.25</v>
      </c>
      <c r="G2146">
        <v>22353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45166</v>
      </c>
      <c r="B2147" s="116">
        <v>830</v>
      </c>
      <c r="C2147" s="116">
        <v>827.35</v>
      </c>
      <c r="D2147" s="116">
        <v>821.05</v>
      </c>
      <c r="E2147" s="116">
        <v>821.05</v>
      </c>
      <c r="F2147" s="116">
        <v>827.35</v>
      </c>
      <c r="G2147">
        <v>33009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45167</v>
      </c>
      <c r="B2148" s="116">
        <v>851.05</v>
      </c>
      <c r="C2148" s="116">
        <v>848.55</v>
      </c>
      <c r="D2148" s="116">
        <v>821.6</v>
      </c>
      <c r="E2148" s="116">
        <v>821.6</v>
      </c>
      <c r="F2148" s="116">
        <v>848.55</v>
      </c>
      <c r="G2148">
        <v>50193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45168</v>
      </c>
      <c r="B2149" s="116">
        <v>857.5</v>
      </c>
      <c r="C2149" s="116">
        <v>855.65</v>
      </c>
      <c r="D2149" s="116">
        <v>849.6</v>
      </c>
      <c r="E2149" s="116">
        <v>854.95</v>
      </c>
      <c r="F2149" s="116">
        <v>855.65</v>
      </c>
      <c r="G2149">
        <v>21477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45169</v>
      </c>
      <c r="B2150" s="116">
        <v>871.8</v>
      </c>
      <c r="C2150" s="116">
        <v>869.9</v>
      </c>
      <c r="D2150" s="116">
        <v>854</v>
      </c>
      <c r="E2150" s="116">
        <v>855.75</v>
      </c>
      <c r="F2150" s="116">
        <v>869.9</v>
      </c>
      <c r="G2150">
        <v>120684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45170</v>
      </c>
      <c r="B2151" s="116">
        <v>879.85</v>
      </c>
      <c r="C2151" s="116">
        <v>869.35</v>
      </c>
      <c r="D2151" s="116">
        <v>867.85</v>
      </c>
      <c r="E2151" s="116">
        <v>873.55</v>
      </c>
      <c r="F2151" s="116">
        <v>869.35</v>
      </c>
      <c r="G2151">
        <v>64547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45173</v>
      </c>
      <c r="B2152" s="116">
        <v>873.8</v>
      </c>
      <c r="C2152" s="116">
        <v>866.25</v>
      </c>
      <c r="D2152" s="116">
        <v>864.75</v>
      </c>
      <c r="E2152" s="116">
        <v>872.05</v>
      </c>
      <c r="F2152" s="116">
        <v>866.25</v>
      </c>
      <c r="G2152">
        <v>19289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45174</v>
      </c>
      <c r="B2153" s="116">
        <v>870.6</v>
      </c>
      <c r="C2153" s="116">
        <v>866.5</v>
      </c>
      <c r="D2153" s="116">
        <v>857.8</v>
      </c>
      <c r="E2153" s="116">
        <v>866.25</v>
      </c>
      <c r="F2153" s="116">
        <v>866.5</v>
      </c>
      <c r="G2153">
        <v>49587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45175</v>
      </c>
      <c r="B2154" s="116">
        <v>908.95</v>
      </c>
      <c r="C2154" s="116">
        <v>897.1</v>
      </c>
      <c r="D2154" s="116">
        <v>881.65</v>
      </c>
      <c r="E2154" s="116">
        <v>893.45</v>
      </c>
      <c r="F2154" s="116">
        <v>897.1</v>
      </c>
      <c r="G2154">
        <v>457056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45176</v>
      </c>
      <c r="B2155" s="116">
        <v>900</v>
      </c>
      <c r="C2155" s="116">
        <v>896.3</v>
      </c>
      <c r="D2155" s="116">
        <v>886.7</v>
      </c>
      <c r="E2155" s="116">
        <v>900</v>
      </c>
      <c r="F2155" s="116">
        <v>896.3</v>
      </c>
      <c r="G2155">
        <v>69182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45177</v>
      </c>
      <c r="B2156" s="116">
        <v>908.25</v>
      </c>
      <c r="C2156" s="116">
        <v>904.3</v>
      </c>
      <c r="D2156" s="116">
        <v>893.05</v>
      </c>
      <c r="E2156" s="116">
        <v>897</v>
      </c>
      <c r="F2156" s="116">
        <v>904.3</v>
      </c>
      <c r="G2156">
        <v>81196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45180</v>
      </c>
      <c r="B2157" s="116">
        <v>914.1</v>
      </c>
      <c r="C2157" s="116">
        <v>907.2</v>
      </c>
      <c r="D2157" s="116">
        <v>904.75</v>
      </c>
      <c r="E2157" s="116">
        <v>907</v>
      </c>
      <c r="F2157" s="116">
        <v>907.2</v>
      </c>
      <c r="G2157">
        <v>21229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45181</v>
      </c>
      <c r="B2158" s="116">
        <v>913</v>
      </c>
      <c r="C2158" s="116">
        <v>875.55</v>
      </c>
      <c r="D2158" s="116">
        <v>873.9</v>
      </c>
      <c r="E2158" s="116">
        <v>910.6</v>
      </c>
      <c r="F2158" s="116">
        <v>875.55</v>
      </c>
      <c r="G2158">
        <v>268553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45182</v>
      </c>
      <c r="B2159" s="116">
        <v>890.3</v>
      </c>
      <c r="C2159" s="116">
        <v>887.9</v>
      </c>
      <c r="D2159" s="116">
        <v>869.55</v>
      </c>
      <c r="E2159" s="116">
        <v>872.2</v>
      </c>
      <c r="F2159" s="116">
        <v>887.9</v>
      </c>
      <c r="G2159">
        <v>52968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45183</v>
      </c>
      <c r="B2160" s="116">
        <v>896.8</v>
      </c>
      <c r="C2160" s="116">
        <v>886.45</v>
      </c>
      <c r="D2160" s="116">
        <v>882.55</v>
      </c>
      <c r="E2160" s="116">
        <v>896.8</v>
      </c>
      <c r="F2160" s="116">
        <v>886.45</v>
      </c>
      <c r="G2160">
        <v>27494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45184</v>
      </c>
      <c r="B2161" s="116">
        <v>906</v>
      </c>
      <c r="C2161" s="116">
        <v>893.85</v>
      </c>
      <c r="D2161" s="116">
        <v>886.5</v>
      </c>
      <c r="E2161" s="116">
        <v>886.5</v>
      </c>
      <c r="F2161" s="116">
        <v>893.85</v>
      </c>
      <c r="G2161">
        <v>22700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45187</v>
      </c>
      <c r="B2162" s="116">
        <v>896</v>
      </c>
      <c r="C2162" s="116">
        <v>882.2</v>
      </c>
      <c r="D2162" s="116">
        <v>880</v>
      </c>
      <c r="E2162" s="116">
        <v>894.95</v>
      </c>
      <c r="F2162" s="116">
        <v>882.2</v>
      </c>
      <c r="G2162">
        <v>15303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45189</v>
      </c>
      <c r="B2163" s="116">
        <v>885.6</v>
      </c>
      <c r="C2163" s="116">
        <v>871.3</v>
      </c>
      <c r="D2163" s="116">
        <v>867.05</v>
      </c>
      <c r="E2163" s="116">
        <v>879</v>
      </c>
      <c r="F2163" s="116">
        <v>871.3</v>
      </c>
      <c r="G2163">
        <v>35702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45190</v>
      </c>
      <c r="B2164" s="116">
        <v>879</v>
      </c>
      <c r="C2164" s="116">
        <v>867.9</v>
      </c>
      <c r="D2164" s="116">
        <v>865.5</v>
      </c>
      <c r="E2164" s="116">
        <v>867.05</v>
      </c>
      <c r="F2164" s="116">
        <v>867.9</v>
      </c>
      <c r="G2164">
        <v>8133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45191</v>
      </c>
      <c r="B2165" s="116">
        <v>872.05</v>
      </c>
      <c r="C2165" s="116">
        <v>865.25</v>
      </c>
      <c r="D2165" s="116">
        <v>851.85</v>
      </c>
      <c r="E2165" s="116">
        <v>867.05</v>
      </c>
      <c r="F2165" s="116">
        <v>865.25</v>
      </c>
      <c r="G2165">
        <v>22571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45194</v>
      </c>
      <c r="B2166" s="116">
        <v>878.45</v>
      </c>
      <c r="C2166" s="116">
        <v>875.3</v>
      </c>
      <c r="D2166" s="116">
        <v>854.9</v>
      </c>
      <c r="E2166" s="116">
        <v>865</v>
      </c>
      <c r="F2166" s="116">
        <v>875.3</v>
      </c>
      <c r="G2166">
        <v>12984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45195</v>
      </c>
      <c r="B2167" s="116">
        <v>889.95</v>
      </c>
      <c r="C2167" s="116">
        <v>861.9</v>
      </c>
      <c r="D2167" s="116">
        <v>861</v>
      </c>
      <c r="E2167" s="116">
        <v>889.95</v>
      </c>
      <c r="F2167" s="116">
        <v>861.9</v>
      </c>
      <c r="G2167">
        <v>9433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45196</v>
      </c>
      <c r="B2168" s="116">
        <v>872</v>
      </c>
      <c r="C2168" s="116">
        <v>870.8</v>
      </c>
      <c r="D2168" s="116">
        <v>857.55</v>
      </c>
      <c r="E2168" s="116">
        <v>862</v>
      </c>
      <c r="F2168" s="116">
        <v>870.8</v>
      </c>
      <c r="G2168">
        <v>23954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45197</v>
      </c>
      <c r="B2169" s="116">
        <v>882.4</v>
      </c>
      <c r="C2169" s="116">
        <v>860.95</v>
      </c>
      <c r="D2169" s="116">
        <v>859.5</v>
      </c>
      <c r="E2169" s="116">
        <v>871</v>
      </c>
      <c r="F2169" s="116">
        <v>860.95</v>
      </c>
      <c r="G2169">
        <v>19475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45198</v>
      </c>
      <c r="B2170" s="116">
        <v>869.9</v>
      </c>
      <c r="C2170" s="116">
        <v>863</v>
      </c>
      <c r="D2170" s="116">
        <v>859.8</v>
      </c>
      <c r="E2170" s="116">
        <v>860.95</v>
      </c>
      <c r="F2170" s="116">
        <v>863</v>
      </c>
      <c r="G2170">
        <v>20078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45202</v>
      </c>
      <c r="B2171" s="116">
        <v>880</v>
      </c>
      <c r="C2171" s="116">
        <v>874.15</v>
      </c>
      <c r="D2171" s="116">
        <v>861</v>
      </c>
      <c r="E2171" s="116">
        <v>861</v>
      </c>
      <c r="F2171" s="116">
        <v>874.15</v>
      </c>
      <c r="G2171">
        <v>12124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45203</v>
      </c>
      <c r="B2172" s="116">
        <v>887.8</v>
      </c>
      <c r="C2172" s="116">
        <v>872.5</v>
      </c>
      <c r="D2172" s="116">
        <v>863</v>
      </c>
      <c r="E2172" s="116">
        <v>864.4</v>
      </c>
      <c r="F2172" s="116">
        <v>872.5</v>
      </c>
      <c r="G2172">
        <v>45240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45204</v>
      </c>
      <c r="B2173" s="116">
        <v>883.2</v>
      </c>
      <c r="C2173" s="116">
        <v>880.25</v>
      </c>
      <c r="D2173" s="116">
        <v>872.85</v>
      </c>
      <c r="E2173" s="116">
        <v>875.05</v>
      </c>
      <c r="F2173" s="116">
        <v>880.25</v>
      </c>
      <c r="G2173">
        <v>10716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45205</v>
      </c>
      <c r="B2174" s="116">
        <v>887.6</v>
      </c>
      <c r="C2174" s="116">
        <v>885.4</v>
      </c>
      <c r="D2174" s="116">
        <v>879.4</v>
      </c>
      <c r="E2174" s="116">
        <v>884.95</v>
      </c>
      <c r="F2174" s="116">
        <v>885.4</v>
      </c>
      <c r="G2174">
        <v>28777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45208</v>
      </c>
      <c r="B2175" s="116">
        <v>880</v>
      </c>
      <c r="C2175" s="116">
        <v>852.3</v>
      </c>
      <c r="D2175" s="116">
        <v>826.3</v>
      </c>
      <c r="E2175" s="116">
        <v>826.3</v>
      </c>
      <c r="F2175" s="116">
        <v>852.3</v>
      </c>
      <c r="G2175">
        <v>55067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45209</v>
      </c>
      <c r="B2176" s="116">
        <v>858.1</v>
      </c>
      <c r="C2176" s="116">
        <v>854.75</v>
      </c>
      <c r="D2176" s="116">
        <v>851.1</v>
      </c>
      <c r="E2176" s="116">
        <v>852.35</v>
      </c>
      <c r="F2176" s="116">
        <v>854.75</v>
      </c>
      <c r="G2176">
        <v>6960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45210</v>
      </c>
      <c r="B2177" s="116">
        <v>870.6</v>
      </c>
      <c r="C2177" s="116">
        <v>862.1</v>
      </c>
      <c r="D2177" s="116">
        <v>855.05</v>
      </c>
      <c r="E2177" s="116">
        <v>855.05</v>
      </c>
      <c r="F2177" s="116">
        <v>862.1</v>
      </c>
      <c r="G2177">
        <v>9287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45211</v>
      </c>
      <c r="B2178" s="116">
        <v>870.85</v>
      </c>
      <c r="C2178" s="116">
        <v>857.1</v>
      </c>
      <c r="D2178" s="116">
        <v>855.95</v>
      </c>
      <c r="E2178" s="116">
        <v>870.85</v>
      </c>
      <c r="F2178" s="116">
        <v>857.1</v>
      </c>
      <c r="G2178">
        <v>7642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45212</v>
      </c>
      <c r="B2179" s="116">
        <v>855</v>
      </c>
      <c r="C2179" s="116">
        <v>845.2</v>
      </c>
      <c r="D2179" s="116">
        <v>839.15</v>
      </c>
      <c r="E2179" s="116">
        <v>855</v>
      </c>
      <c r="F2179" s="116">
        <v>845.2</v>
      </c>
      <c r="G2179">
        <v>36092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45215</v>
      </c>
      <c r="B2180" s="116">
        <v>854.45</v>
      </c>
      <c r="C2180" s="116">
        <v>852.2</v>
      </c>
      <c r="D2180" s="116">
        <v>842.05</v>
      </c>
      <c r="E2180" s="116">
        <v>846</v>
      </c>
      <c r="F2180" s="116">
        <v>852.2</v>
      </c>
      <c r="G2180">
        <v>42700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45216</v>
      </c>
      <c r="B2181" s="116">
        <v>856.5</v>
      </c>
      <c r="C2181" s="116">
        <v>850.65</v>
      </c>
      <c r="D2181" s="116">
        <v>847.5</v>
      </c>
      <c r="E2181" s="116">
        <v>851.35</v>
      </c>
      <c r="F2181" s="116">
        <v>850.65</v>
      </c>
      <c r="G2181">
        <v>4789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45217</v>
      </c>
      <c r="B2182" s="116">
        <v>856.6</v>
      </c>
      <c r="C2182" s="116">
        <v>833.6</v>
      </c>
      <c r="D2182" s="116">
        <v>830.2</v>
      </c>
      <c r="E2182" s="116">
        <v>850.65</v>
      </c>
      <c r="F2182" s="116">
        <v>833.6</v>
      </c>
      <c r="G2182">
        <v>16573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45218</v>
      </c>
      <c r="B2183" s="116">
        <v>847.85</v>
      </c>
      <c r="C2183" s="116">
        <v>839.3</v>
      </c>
      <c r="D2183" s="116">
        <v>823.05</v>
      </c>
      <c r="E2183" s="116">
        <v>847.85</v>
      </c>
      <c r="F2183" s="116">
        <v>839.3</v>
      </c>
      <c r="G2183">
        <v>13834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45219</v>
      </c>
      <c r="B2184" s="116">
        <v>837.9</v>
      </c>
      <c r="C2184" s="116">
        <v>818.55</v>
      </c>
      <c r="D2184" s="116">
        <v>812.75</v>
      </c>
      <c r="E2184" s="116">
        <v>820</v>
      </c>
      <c r="F2184" s="116">
        <v>818.55</v>
      </c>
      <c r="G2184">
        <v>61170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45222</v>
      </c>
      <c r="B2185" s="116">
        <v>831.95</v>
      </c>
      <c r="C2185" s="116">
        <v>818.5</v>
      </c>
      <c r="D2185" s="116">
        <v>806.9</v>
      </c>
      <c r="E2185" s="116">
        <v>819</v>
      </c>
      <c r="F2185" s="116">
        <v>818.5</v>
      </c>
      <c r="G2185">
        <v>24553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45224</v>
      </c>
      <c r="B2186" s="116">
        <v>843</v>
      </c>
      <c r="C2186" s="116">
        <v>816.7</v>
      </c>
      <c r="D2186" s="116">
        <v>814.45</v>
      </c>
      <c r="E2186" s="116">
        <v>822.15</v>
      </c>
      <c r="F2186" s="116">
        <v>816.7</v>
      </c>
      <c r="G2186">
        <v>22299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45225</v>
      </c>
      <c r="B2187" s="116">
        <v>833.1</v>
      </c>
      <c r="C2187" s="116">
        <v>828.45</v>
      </c>
      <c r="D2187" s="116">
        <v>810.05</v>
      </c>
      <c r="E2187" s="116">
        <v>810.05</v>
      </c>
      <c r="F2187" s="116">
        <v>828.45</v>
      </c>
      <c r="G2187">
        <v>30307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45226</v>
      </c>
      <c r="B2188" s="116">
        <v>838.95</v>
      </c>
      <c r="C2188" s="116">
        <v>835.05</v>
      </c>
      <c r="D2188" s="116">
        <v>826.2</v>
      </c>
      <c r="E2188" s="116">
        <v>838.95</v>
      </c>
      <c r="F2188" s="116">
        <v>835.05</v>
      </c>
      <c r="G2188">
        <v>18834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45229</v>
      </c>
      <c r="B2189" s="116">
        <v>840</v>
      </c>
      <c r="C2189" s="116">
        <v>834.35</v>
      </c>
      <c r="D2189" s="116">
        <v>820.85</v>
      </c>
      <c r="E2189" s="116">
        <v>838.85</v>
      </c>
      <c r="F2189" s="116">
        <v>834.35</v>
      </c>
      <c r="G2189">
        <v>21022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45230</v>
      </c>
      <c r="B2190" s="116">
        <v>840.1</v>
      </c>
      <c r="C2190" s="116">
        <v>837.25</v>
      </c>
      <c r="D2190" s="116">
        <v>830</v>
      </c>
      <c r="E2190" s="116">
        <v>834.05</v>
      </c>
      <c r="F2190" s="116">
        <v>837.25</v>
      </c>
      <c r="G2190">
        <v>8127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45231</v>
      </c>
      <c r="B2191" s="116">
        <v>841.4</v>
      </c>
      <c r="C2191" s="116">
        <v>829.85</v>
      </c>
      <c r="D2191" s="116">
        <v>828.4</v>
      </c>
      <c r="E2191" s="116">
        <v>841.4</v>
      </c>
      <c r="F2191" s="116">
        <v>829.85</v>
      </c>
      <c r="G2191">
        <v>4972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45232</v>
      </c>
      <c r="B2192" s="116">
        <v>839.3</v>
      </c>
      <c r="C2192" s="116">
        <v>834.25</v>
      </c>
      <c r="D2192" s="116">
        <v>831.45</v>
      </c>
      <c r="E2192" s="116">
        <v>834.35</v>
      </c>
      <c r="F2192" s="116">
        <v>834.25</v>
      </c>
      <c r="G2192">
        <v>4612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45233</v>
      </c>
      <c r="B2193" s="116">
        <v>840</v>
      </c>
      <c r="C2193" s="116">
        <v>835.15</v>
      </c>
      <c r="D2193" s="116">
        <v>832</v>
      </c>
      <c r="E2193" s="116">
        <v>834.75</v>
      </c>
      <c r="F2193" s="116">
        <v>835.15</v>
      </c>
      <c r="G2193">
        <v>13888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45236</v>
      </c>
      <c r="B2194" s="116">
        <v>839.5</v>
      </c>
      <c r="C2194" s="116">
        <v>827.4</v>
      </c>
      <c r="D2194" s="116">
        <v>826.4</v>
      </c>
      <c r="E2194" s="116">
        <v>835.7</v>
      </c>
      <c r="F2194" s="116">
        <v>827.4</v>
      </c>
      <c r="G2194">
        <v>10864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45237</v>
      </c>
      <c r="B2195" s="116">
        <v>829.2</v>
      </c>
      <c r="C2195" s="116">
        <v>813.8</v>
      </c>
      <c r="D2195" s="116">
        <v>811.7</v>
      </c>
      <c r="E2195" s="116">
        <v>827.9</v>
      </c>
      <c r="F2195" s="116">
        <v>813.8</v>
      </c>
      <c r="G2195">
        <v>27169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45238</v>
      </c>
      <c r="B2196" s="116">
        <v>824.8</v>
      </c>
      <c r="C2196" s="116">
        <v>820.15</v>
      </c>
      <c r="D2196" s="116">
        <v>817</v>
      </c>
      <c r="E2196" s="116">
        <v>819.05</v>
      </c>
      <c r="F2196" s="116">
        <v>820.15</v>
      </c>
      <c r="G2196">
        <v>24934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45239</v>
      </c>
      <c r="B2197" s="116">
        <v>830.4</v>
      </c>
      <c r="C2197" s="116">
        <v>827.7</v>
      </c>
      <c r="D2197" s="116">
        <v>814.8</v>
      </c>
      <c r="E2197" s="116">
        <v>820.1</v>
      </c>
      <c r="F2197" s="116">
        <v>827.7</v>
      </c>
      <c r="G2197">
        <v>15582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45240</v>
      </c>
      <c r="B2198" s="116">
        <v>833.25</v>
      </c>
      <c r="C2198" s="116">
        <v>829.45</v>
      </c>
      <c r="D2198" s="116">
        <v>817.9</v>
      </c>
      <c r="E2198" s="116">
        <v>831.05</v>
      </c>
      <c r="F2198" s="116">
        <v>829.45</v>
      </c>
      <c r="G2198">
        <v>22325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45242</v>
      </c>
      <c r="B2199" s="116">
        <v>835.45</v>
      </c>
      <c r="C2199" s="116">
        <v>829.5</v>
      </c>
      <c r="D2199" s="116">
        <v>825.05</v>
      </c>
      <c r="E2199" s="116">
        <v>831</v>
      </c>
      <c r="F2199" s="116">
        <v>829.5</v>
      </c>
      <c r="G2199">
        <v>3222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45243</v>
      </c>
      <c r="B2200" s="116">
        <v>828.15</v>
      </c>
      <c r="C2200" s="116">
        <v>813.3</v>
      </c>
      <c r="D2200" s="116">
        <v>811.7</v>
      </c>
      <c r="E2200" s="116">
        <v>828.15</v>
      </c>
      <c r="F2200" s="116">
        <v>813.3</v>
      </c>
      <c r="G2200">
        <v>29125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45245</v>
      </c>
      <c r="B2201" s="116">
        <v>830.95</v>
      </c>
      <c r="C2201" s="116">
        <v>824.85</v>
      </c>
      <c r="D2201" s="116">
        <v>813.05</v>
      </c>
      <c r="E2201" s="116">
        <v>824.95</v>
      </c>
      <c r="F2201" s="116">
        <v>824.85</v>
      </c>
      <c r="G2201">
        <v>12349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45246</v>
      </c>
      <c r="B2202" s="116">
        <v>827.7</v>
      </c>
      <c r="C2202" s="116">
        <v>820.75</v>
      </c>
      <c r="D2202" s="116">
        <v>819.5</v>
      </c>
      <c r="E2202" s="116">
        <v>821.05</v>
      </c>
      <c r="F2202" s="116">
        <v>820.75</v>
      </c>
      <c r="G2202">
        <v>22595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45247</v>
      </c>
      <c r="B2203" s="116">
        <v>832</v>
      </c>
      <c r="C2203" s="116">
        <v>824.15</v>
      </c>
      <c r="D2203" s="116">
        <v>818.95</v>
      </c>
      <c r="E2203" s="116">
        <v>820.85</v>
      </c>
      <c r="F2203" s="116">
        <v>824.15</v>
      </c>
      <c r="G2203">
        <v>12159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45250</v>
      </c>
      <c r="B2204" s="116">
        <v>832.45</v>
      </c>
      <c r="C2204" s="116">
        <v>828.65</v>
      </c>
      <c r="D2204" s="116">
        <v>815.85</v>
      </c>
      <c r="E2204" s="116">
        <v>826.05</v>
      </c>
      <c r="F2204" s="116">
        <v>828.65</v>
      </c>
      <c r="G2204">
        <v>14197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45251</v>
      </c>
      <c r="B2205" s="116">
        <v>852</v>
      </c>
      <c r="C2205" s="116">
        <v>843.35</v>
      </c>
      <c r="D2205" s="116">
        <v>830.75</v>
      </c>
      <c r="E2205" s="116">
        <v>832.3</v>
      </c>
      <c r="F2205" s="116">
        <v>843.35</v>
      </c>
      <c r="G2205">
        <v>71395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45252</v>
      </c>
      <c r="B2206" s="116">
        <v>853.1</v>
      </c>
      <c r="C2206" s="116">
        <v>847.8</v>
      </c>
      <c r="D2206" s="116">
        <v>839.6</v>
      </c>
      <c r="E2206" s="116">
        <v>845</v>
      </c>
      <c r="F2206" s="116">
        <v>847.8</v>
      </c>
      <c r="G2206">
        <v>16186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45253</v>
      </c>
      <c r="B2207" s="116">
        <v>852.3</v>
      </c>
      <c r="C2207" s="116">
        <v>834.7</v>
      </c>
      <c r="D2207" s="116">
        <v>834.15</v>
      </c>
      <c r="E2207" s="116">
        <v>847.85</v>
      </c>
      <c r="F2207" s="116">
        <v>834.7</v>
      </c>
      <c r="G2207">
        <v>9594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45254</v>
      </c>
      <c r="B2208" s="116">
        <v>836.6</v>
      </c>
      <c r="C2208" s="116">
        <v>823.95</v>
      </c>
      <c r="D2208" s="116">
        <v>819.45</v>
      </c>
      <c r="E2208" s="116">
        <v>835.05</v>
      </c>
      <c r="F2208" s="116">
        <v>823.95</v>
      </c>
      <c r="G2208">
        <v>9196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45258</v>
      </c>
      <c r="B2209" s="116">
        <v>825.8</v>
      </c>
      <c r="C2209" s="116">
        <v>820.4</v>
      </c>
      <c r="D2209" s="116">
        <v>818</v>
      </c>
      <c r="E2209" s="116">
        <v>824.05</v>
      </c>
      <c r="F2209" s="116">
        <v>820.4</v>
      </c>
      <c r="G2209">
        <v>16522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45259</v>
      </c>
      <c r="B2210" s="116">
        <v>827</v>
      </c>
      <c r="C2210" s="116">
        <v>820.15</v>
      </c>
      <c r="D2210" s="116">
        <v>819.1</v>
      </c>
      <c r="E2210" s="116">
        <v>823</v>
      </c>
      <c r="F2210" s="116">
        <v>820.15</v>
      </c>
      <c r="G2210">
        <v>38123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45260</v>
      </c>
      <c r="B2211" s="116">
        <v>829.15</v>
      </c>
      <c r="C2211" s="116">
        <v>826.95</v>
      </c>
      <c r="D2211" s="116">
        <v>811.5</v>
      </c>
      <c r="E2211" s="116">
        <v>822.85</v>
      </c>
      <c r="F2211" s="116">
        <v>826.95</v>
      </c>
      <c r="G2211">
        <v>112761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45261</v>
      </c>
      <c r="B2212" s="116">
        <v>841.05</v>
      </c>
      <c r="C2212" s="116">
        <v>835</v>
      </c>
      <c r="D2212" s="116">
        <v>828.55</v>
      </c>
      <c r="E2212" s="116">
        <v>829.95</v>
      </c>
      <c r="F2212" s="116">
        <v>835</v>
      </c>
      <c r="G2212">
        <v>13355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45264</v>
      </c>
      <c r="B2213" s="116">
        <v>848.5</v>
      </c>
      <c r="C2213" s="116">
        <v>837.65</v>
      </c>
      <c r="D2213" s="116">
        <v>830.5</v>
      </c>
      <c r="E2213" s="116">
        <v>844.95</v>
      </c>
      <c r="F2213" s="116">
        <v>837.65</v>
      </c>
      <c r="G2213">
        <v>34481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45265</v>
      </c>
      <c r="B2214" s="116">
        <v>846.5</v>
      </c>
      <c r="C2214" s="116">
        <v>832.2</v>
      </c>
      <c r="D2214" s="116">
        <v>825.65</v>
      </c>
      <c r="E2214" s="116">
        <v>840</v>
      </c>
      <c r="F2214" s="116">
        <v>832.2</v>
      </c>
      <c r="G2214">
        <v>33310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45266</v>
      </c>
      <c r="B2215" s="116">
        <v>849.9</v>
      </c>
      <c r="C2215" s="116">
        <v>844.95</v>
      </c>
      <c r="D2215" s="116">
        <v>834.05</v>
      </c>
      <c r="E2215" s="116">
        <v>839</v>
      </c>
      <c r="F2215" s="116">
        <v>844.95</v>
      </c>
      <c r="G2215">
        <v>26340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45267</v>
      </c>
      <c r="B2216" s="116">
        <v>869.75</v>
      </c>
      <c r="C2216" s="116">
        <v>865.85</v>
      </c>
      <c r="D2216" s="116">
        <v>833.15</v>
      </c>
      <c r="E2216" s="116">
        <v>848.95</v>
      </c>
      <c r="F2216" s="116">
        <v>865.85</v>
      </c>
      <c r="G2216">
        <v>39809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45268</v>
      </c>
      <c r="B2217" s="116">
        <v>878.4</v>
      </c>
      <c r="C2217" s="116">
        <v>855.35</v>
      </c>
      <c r="D2217" s="116">
        <v>845.4</v>
      </c>
      <c r="E2217" s="116">
        <v>872.9</v>
      </c>
      <c r="F2217" s="116">
        <v>855.35</v>
      </c>
      <c r="G2217">
        <v>56315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45271</v>
      </c>
      <c r="B2218" s="116">
        <v>865.85</v>
      </c>
      <c r="C2218" s="116">
        <v>853.7</v>
      </c>
      <c r="D2218" s="116">
        <v>851.05</v>
      </c>
      <c r="E2218" s="116">
        <v>864.2</v>
      </c>
      <c r="F2218" s="116">
        <v>853.7</v>
      </c>
      <c r="G2218">
        <v>38753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45272</v>
      </c>
      <c r="B2219" s="116">
        <v>861.5</v>
      </c>
      <c r="C2219" s="116">
        <v>851.2</v>
      </c>
      <c r="D2219" s="116">
        <v>847.25</v>
      </c>
      <c r="E2219" s="116">
        <v>853.9</v>
      </c>
      <c r="F2219" s="116">
        <v>851.2</v>
      </c>
      <c r="G2219">
        <v>35037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45273</v>
      </c>
      <c r="B2220" s="116">
        <v>856.25</v>
      </c>
      <c r="C2220" s="116">
        <v>852.15</v>
      </c>
      <c r="D2220" s="116">
        <v>841.95</v>
      </c>
      <c r="E2220" s="116">
        <v>852.3</v>
      </c>
      <c r="F2220" s="116">
        <v>852.15</v>
      </c>
      <c r="G2220">
        <v>224789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45274</v>
      </c>
      <c r="B2221" s="116">
        <v>860.45</v>
      </c>
      <c r="C2221" s="116">
        <v>853.4</v>
      </c>
      <c r="D2221" s="116">
        <v>849.75</v>
      </c>
      <c r="E2221" s="116">
        <v>853.05</v>
      </c>
      <c r="F2221" s="116">
        <v>853.4</v>
      </c>
      <c r="G2221">
        <v>24312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45275</v>
      </c>
      <c r="B2222" s="116">
        <v>869.35</v>
      </c>
      <c r="C2222" s="116">
        <v>860.45</v>
      </c>
      <c r="D2222" s="116">
        <v>855.05</v>
      </c>
      <c r="E2222" s="116">
        <v>856</v>
      </c>
      <c r="F2222" s="116">
        <v>860.45</v>
      </c>
      <c r="G2222">
        <v>386268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45278</v>
      </c>
      <c r="B2223" s="116">
        <v>872.25</v>
      </c>
      <c r="C2223" s="116">
        <v>868.45</v>
      </c>
      <c r="D2223" s="116">
        <v>857.55</v>
      </c>
      <c r="E2223" s="116">
        <v>863.95</v>
      </c>
      <c r="F2223" s="116">
        <v>868.45</v>
      </c>
      <c r="G2223">
        <v>167663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45279</v>
      </c>
      <c r="B2224" s="116">
        <v>904</v>
      </c>
      <c r="C2224" s="116">
        <v>896.65</v>
      </c>
      <c r="D2224" s="116">
        <v>868.55</v>
      </c>
      <c r="E2224" s="116">
        <v>871</v>
      </c>
      <c r="F2224" s="116">
        <v>896.65</v>
      </c>
      <c r="G2224">
        <v>161829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45280</v>
      </c>
      <c r="B2225" s="116">
        <v>957</v>
      </c>
      <c r="C2225" s="116">
        <v>928.2</v>
      </c>
      <c r="D2225" s="116">
        <v>905.2</v>
      </c>
      <c r="E2225" s="116">
        <v>905.2</v>
      </c>
      <c r="F2225" s="116">
        <v>928.2</v>
      </c>
      <c r="G2225">
        <v>316192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45281</v>
      </c>
      <c r="B2226" s="116">
        <v>948</v>
      </c>
      <c r="C2226" s="116">
        <v>943.15</v>
      </c>
      <c r="D2226" s="116">
        <v>916.55</v>
      </c>
      <c r="E2226" s="116">
        <v>929</v>
      </c>
      <c r="F2226" s="116">
        <v>943.15</v>
      </c>
      <c r="G2226">
        <v>139650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45282</v>
      </c>
      <c r="B2227" s="116">
        <v>954</v>
      </c>
      <c r="C2227" s="116">
        <v>947.05</v>
      </c>
      <c r="D2227" s="116">
        <v>943.15</v>
      </c>
      <c r="E2227" s="116">
        <v>949</v>
      </c>
      <c r="F2227" s="116">
        <v>947.05</v>
      </c>
      <c r="G2227">
        <v>77761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45286</v>
      </c>
      <c r="B2228" s="116">
        <v>968.7</v>
      </c>
      <c r="C2228" s="116">
        <v>965.45</v>
      </c>
      <c r="D2228" s="116">
        <v>948.55</v>
      </c>
      <c r="E2228" s="116">
        <v>949.55</v>
      </c>
      <c r="F2228" s="116">
        <v>965.45</v>
      </c>
      <c r="G2228">
        <v>43146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45287</v>
      </c>
      <c r="B2229" s="116">
        <v>993</v>
      </c>
      <c r="C2229" s="116">
        <v>985.25</v>
      </c>
      <c r="D2229" s="116">
        <v>964.95</v>
      </c>
      <c r="E2229" s="116">
        <v>964.95</v>
      </c>
      <c r="F2229" s="116">
        <v>985.25</v>
      </c>
      <c r="G2229">
        <v>59742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45288</v>
      </c>
      <c r="B2230" s="116">
        <v>991.55</v>
      </c>
      <c r="C2230" s="116">
        <v>971.85</v>
      </c>
      <c r="D2230" s="116">
        <v>965.05</v>
      </c>
      <c r="E2230" s="116">
        <v>978.3</v>
      </c>
      <c r="F2230" s="116">
        <v>971.85</v>
      </c>
      <c r="G2230">
        <v>88119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45289</v>
      </c>
      <c r="B2231" s="116">
        <v>985</v>
      </c>
      <c r="C2231" s="116">
        <v>978.45</v>
      </c>
      <c r="D2231" s="116">
        <v>969.25</v>
      </c>
      <c r="E2231" s="116">
        <v>969.25</v>
      </c>
      <c r="F2231" s="116">
        <v>978.45</v>
      </c>
      <c r="G2231">
        <v>60523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45292</v>
      </c>
      <c r="B2232" s="116">
        <v>983.95</v>
      </c>
      <c r="C2232" s="116">
        <v>977.6</v>
      </c>
      <c r="D2232" s="116">
        <v>972</v>
      </c>
      <c r="E2232" s="116">
        <v>983.95</v>
      </c>
      <c r="F2232" s="116">
        <v>977.6</v>
      </c>
      <c r="G2232">
        <v>94443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45293</v>
      </c>
      <c r="B2233" s="116">
        <v>998</v>
      </c>
      <c r="C2233" s="116">
        <v>994.9</v>
      </c>
      <c r="D2233" s="116">
        <v>968.05</v>
      </c>
      <c r="E2233" s="116">
        <v>978.8</v>
      </c>
      <c r="F2233" s="116">
        <v>994.9</v>
      </c>
      <c r="G2233">
        <v>210148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45294</v>
      </c>
      <c r="B2234" s="116">
        <v>1000</v>
      </c>
      <c r="C2234" s="116">
        <v>991.8</v>
      </c>
      <c r="D2234" s="116">
        <v>983</v>
      </c>
      <c r="E2234" s="116">
        <v>990.15</v>
      </c>
      <c r="F2234" s="116">
        <v>991.8</v>
      </c>
      <c r="G2234">
        <v>232348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45295</v>
      </c>
      <c r="B2235" s="116">
        <v>1022.75</v>
      </c>
      <c r="C2235" s="116">
        <v>1013.85</v>
      </c>
      <c r="D2235" s="116">
        <v>985.85</v>
      </c>
      <c r="E2235" s="116">
        <v>985.85</v>
      </c>
      <c r="F2235" s="116">
        <v>1013.85</v>
      </c>
      <c r="G2235">
        <v>114439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45296</v>
      </c>
      <c r="B2236" s="116">
        <v>1013.75</v>
      </c>
      <c r="C2236" s="116">
        <v>1009.25</v>
      </c>
      <c r="D2236" s="116">
        <v>998.65</v>
      </c>
      <c r="E2236" s="116">
        <v>1013.75</v>
      </c>
      <c r="F2236" s="116">
        <v>1009.25</v>
      </c>
      <c r="G2236">
        <v>15946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45299</v>
      </c>
      <c r="B2237" s="116">
        <v>1009.25</v>
      </c>
      <c r="C2237" s="116">
        <v>988.65</v>
      </c>
      <c r="D2237" s="116">
        <v>985.15</v>
      </c>
      <c r="E2237" s="116">
        <v>1000.4</v>
      </c>
      <c r="F2237" s="116">
        <v>988.65</v>
      </c>
      <c r="G2237">
        <v>47586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45300</v>
      </c>
      <c r="B2238" s="116">
        <v>1003.05</v>
      </c>
      <c r="C2238" s="116">
        <v>993.15</v>
      </c>
      <c r="D2238" s="116">
        <v>990.1</v>
      </c>
      <c r="E2238" s="116">
        <v>990.1</v>
      </c>
      <c r="F2238" s="116">
        <v>993.15</v>
      </c>
      <c r="G2238">
        <v>17802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45301</v>
      </c>
      <c r="B2239" s="116">
        <v>1025.7</v>
      </c>
      <c r="C2239" s="116">
        <v>1012.2</v>
      </c>
      <c r="D2239" s="116">
        <v>991.95</v>
      </c>
      <c r="E2239" s="116">
        <v>991.95</v>
      </c>
      <c r="F2239" s="116">
        <v>1012.2</v>
      </c>
      <c r="G2239">
        <v>67013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45302</v>
      </c>
      <c r="B2240" s="116">
        <v>1060</v>
      </c>
      <c r="C2240" s="116">
        <v>1055.45</v>
      </c>
      <c r="D2240" s="116">
        <v>1012.7</v>
      </c>
      <c r="E2240" s="116">
        <v>1012.7</v>
      </c>
      <c r="F2240" s="116">
        <v>1055.45</v>
      </c>
      <c r="G2240">
        <v>266165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45303</v>
      </c>
      <c r="B2241" s="116">
        <v>1060.8499999999999</v>
      </c>
      <c r="C2241" s="116">
        <v>1058.5999999999999</v>
      </c>
      <c r="D2241" s="116">
        <v>1048</v>
      </c>
      <c r="E2241" s="116">
        <v>1051.05</v>
      </c>
      <c r="F2241" s="116">
        <v>1058.5999999999999</v>
      </c>
      <c r="G2241">
        <v>40453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45306</v>
      </c>
      <c r="B2242" s="116">
        <v>1067.95</v>
      </c>
      <c r="C2242" s="116">
        <v>1060.7</v>
      </c>
      <c r="D2242" s="116">
        <v>1045</v>
      </c>
      <c r="E2242" s="116">
        <v>1055.3499999999999</v>
      </c>
      <c r="F2242" s="116">
        <v>1060.7</v>
      </c>
      <c r="G2242">
        <v>83404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45307</v>
      </c>
      <c r="B2243" s="116">
        <v>1067.5</v>
      </c>
      <c r="C2243" s="116">
        <v>1051.3</v>
      </c>
      <c r="D2243" s="116">
        <v>1047.9000000000001</v>
      </c>
      <c r="E2243" s="116">
        <v>1060.7</v>
      </c>
      <c r="F2243" s="116">
        <v>1051.3</v>
      </c>
      <c r="G2243">
        <v>28432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45308</v>
      </c>
      <c r="B2244" s="116">
        <v>1061.4000000000001</v>
      </c>
      <c r="C2244" s="116">
        <v>1053.3</v>
      </c>
      <c r="D2244" s="116">
        <v>1025.1500000000001</v>
      </c>
      <c r="E2244" s="116">
        <v>1025.1500000000001</v>
      </c>
      <c r="F2244" s="116">
        <v>1053.3</v>
      </c>
      <c r="G2244">
        <v>35522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45309</v>
      </c>
      <c r="B2245" s="116">
        <v>1048.1500000000001</v>
      </c>
      <c r="C2245" s="116">
        <v>1036.5</v>
      </c>
      <c r="D2245" s="116">
        <v>1015.25</v>
      </c>
      <c r="E2245" s="116">
        <v>1041.05</v>
      </c>
      <c r="F2245" s="116">
        <v>1036.5</v>
      </c>
      <c r="G2245">
        <v>53792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45310</v>
      </c>
      <c r="B2246" s="116">
        <v>1054</v>
      </c>
      <c r="C2246" s="116">
        <v>1050.75</v>
      </c>
      <c r="D2246" s="116">
        <v>1039.55</v>
      </c>
      <c r="E2246" s="116">
        <v>1049.8</v>
      </c>
      <c r="F2246" s="116">
        <v>1050.75</v>
      </c>
      <c r="G2246">
        <v>29320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45311</v>
      </c>
      <c r="B2247" s="116">
        <v>1060.8499999999999</v>
      </c>
      <c r="C2247" s="116">
        <v>1023.3</v>
      </c>
      <c r="D2247" s="116">
        <v>1021.65</v>
      </c>
      <c r="E2247" s="116">
        <v>1055.0999999999999</v>
      </c>
      <c r="F2247" s="116">
        <v>1023.3</v>
      </c>
      <c r="G2247">
        <v>20366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45314</v>
      </c>
      <c r="B2248" s="116">
        <v>1049.8499999999999</v>
      </c>
      <c r="C2248" s="116">
        <v>1003.55</v>
      </c>
      <c r="D2248" s="116">
        <v>992.35</v>
      </c>
      <c r="E2248" s="116">
        <v>1049.8499999999999</v>
      </c>
      <c r="F2248" s="116">
        <v>1003.55</v>
      </c>
      <c r="G2248">
        <v>42421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45315</v>
      </c>
      <c r="B2249" s="116">
        <v>1035.8499999999999</v>
      </c>
      <c r="C2249" s="116">
        <v>1032.05</v>
      </c>
      <c r="D2249" s="116">
        <v>996.95</v>
      </c>
      <c r="E2249" s="116">
        <v>1007.05</v>
      </c>
      <c r="F2249" s="116">
        <v>1032.05</v>
      </c>
      <c r="G2249">
        <v>15603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45316</v>
      </c>
      <c r="B2250" s="116">
        <v>1033</v>
      </c>
      <c r="C2250" s="116">
        <v>1005.2</v>
      </c>
      <c r="D2250" s="116">
        <v>995.8</v>
      </c>
      <c r="E2250" s="116">
        <v>1032.05</v>
      </c>
      <c r="F2250" s="116">
        <v>1005.2</v>
      </c>
      <c r="G2250">
        <v>673371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45320</v>
      </c>
      <c r="B2251" s="116">
        <v>1043.8499999999999</v>
      </c>
      <c r="C2251" s="116">
        <v>1040.8</v>
      </c>
      <c r="D2251" s="116">
        <v>1007.3</v>
      </c>
      <c r="E2251" s="116">
        <v>1008.7</v>
      </c>
      <c r="F2251" s="116">
        <v>1040.8</v>
      </c>
      <c r="G2251">
        <v>73239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45321</v>
      </c>
      <c r="B2252" s="116">
        <v>1056</v>
      </c>
      <c r="C2252" s="116">
        <v>1014.8</v>
      </c>
      <c r="D2252" s="116">
        <v>1008.05</v>
      </c>
      <c r="E2252" s="116">
        <v>1041.5999999999999</v>
      </c>
      <c r="F2252" s="116">
        <v>1014.8</v>
      </c>
      <c r="G2252">
        <v>86743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45322</v>
      </c>
      <c r="B2253" s="116">
        <v>1100.0999999999999</v>
      </c>
      <c r="C2253" s="116">
        <v>1094.05</v>
      </c>
      <c r="D2253" s="116">
        <v>989.35</v>
      </c>
      <c r="E2253" s="116">
        <v>996.75</v>
      </c>
      <c r="F2253" s="116">
        <v>1094.05</v>
      </c>
      <c r="G2253">
        <v>551142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45323</v>
      </c>
      <c r="B2254" s="116">
        <v>1092.3499999999999</v>
      </c>
      <c r="C2254" s="116">
        <v>1049.5</v>
      </c>
      <c r="D2254" s="116">
        <v>1040.0999999999999</v>
      </c>
      <c r="E2254" s="116">
        <v>1092.3499999999999</v>
      </c>
      <c r="F2254" s="116">
        <v>1049.5</v>
      </c>
      <c r="G2254">
        <v>140971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45324</v>
      </c>
      <c r="B2255" s="116">
        <v>1064.75</v>
      </c>
      <c r="C2255" s="116">
        <v>1058.45</v>
      </c>
      <c r="D2255" s="116">
        <v>1047</v>
      </c>
      <c r="E2255" s="116">
        <v>1053</v>
      </c>
      <c r="F2255" s="116">
        <v>1058.45</v>
      </c>
      <c r="G2255">
        <v>48473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45327</v>
      </c>
      <c r="B2256" s="116">
        <v>1062.8499999999999</v>
      </c>
      <c r="C2256" s="116">
        <v>1023.1</v>
      </c>
      <c r="D2256" s="116">
        <v>1018.7</v>
      </c>
      <c r="E2256" s="116">
        <v>1062.8499999999999</v>
      </c>
      <c r="F2256" s="116">
        <v>1023.1</v>
      </c>
      <c r="G2256">
        <v>51761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45328</v>
      </c>
      <c r="B2257" s="116">
        <v>1044.2</v>
      </c>
      <c r="C2257" s="116">
        <v>1028.55</v>
      </c>
      <c r="D2257" s="116">
        <v>1015.25</v>
      </c>
      <c r="E2257" s="116">
        <v>1024.2</v>
      </c>
      <c r="F2257" s="116">
        <v>1028.55</v>
      </c>
      <c r="G2257">
        <v>16373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45329</v>
      </c>
      <c r="B2258" s="116">
        <v>1042.4000000000001</v>
      </c>
      <c r="C2258" s="116">
        <v>1039.05</v>
      </c>
      <c r="D2258" s="116">
        <v>1020.2</v>
      </c>
      <c r="E2258" s="116">
        <v>1030.0999999999999</v>
      </c>
      <c r="F2258" s="116">
        <v>1039.05</v>
      </c>
      <c r="G2258">
        <v>20662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45330</v>
      </c>
      <c r="B2259" s="116">
        <v>1070</v>
      </c>
      <c r="C2259" s="116">
        <v>1064.95</v>
      </c>
      <c r="D2259" s="116">
        <v>1037.1500000000001</v>
      </c>
      <c r="E2259" s="116">
        <v>1040.05</v>
      </c>
      <c r="F2259" s="116">
        <v>1064.95</v>
      </c>
      <c r="G2259">
        <v>56761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45331</v>
      </c>
      <c r="B2260" s="116">
        <v>1074.05</v>
      </c>
      <c r="C2260" s="116">
        <v>1056.05</v>
      </c>
      <c r="D2260" s="116">
        <v>1035.3</v>
      </c>
      <c r="E2260" s="116">
        <v>1068.7</v>
      </c>
      <c r="F2260" s="116">
        <v>1056.05</v>
      </c>
      <c r="G2260">
        <v>37866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45334</v>
      </c>
      <c r="B2261" s="116">
        <v>1081.1500000000001</v>
      </c>
      <c r="C2261" s="116">
        <v>1074.1500000000001</v>
      </c>
      <c r="D2261" s="116">
        <v>1051.8</v>
      </c>
      <c r="E2261" s="116">
        <v>1057</v>
      </c>
      <c r="F2261" s="116">
        <v>1074.1500000000001</v>
      </c>
      <c r="G2261">
        <v>39985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45335</v>
      </c>
      <c r="B2262" s="116">
        <v>1106</v>
      </c>
      <c r="C2262" s="116">
        <v>1100.0999999999999</v>
      </c>
      <c r="D2262" s="116">
        <v>1071</v>
      </c>
      <c r="E2262" s="116">
        <v>1085</v>
      </c>
      <c r="F2262" s="116">
        <v>1100.0999999999999</v>
      </c>
      <c r="G2262">
        <v>97777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45336</v>
      </c>
      <c r="B2263" s="116">
        <v>1101.8499999999999</v>
      </c>
      <c r="C2263" s="116">
        <v>1084.8</v>
      </c>
      <c r="D2263" s="116">
        <v>1075.3</v>
      </c>
      <c r="E2263" s="116">
        <v>1089.55</v>
      </c>
      <c r="F2263" s="116">
        <v>1084.8</v>
      </c>
      <c r="G2263">
        <v>117861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45337</v>
      </c>
      <c r="B2264" s="116">
        <v>1094.95</v>
      </c>
      <c r="C2264" s="116">
        <v>1085</v>
      </c>
      <c r="D2264" s="116">
        <v>1071</v>
      </c>
      <c r="E2264" s="116">
        <v>1090.95</v>
      </c>
      <c r="F2264" s="116">
        <v>1085</v>
      </c>
      <c r="G2264">
        <v>112580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45338</v>
      </c>
      <c r="B2265" s="116">
        <v>1095.1500000000001</v>
      </c>
      <c r="C2265" s="116">
        <v>1074.0999999999999</v>
      </c>
      <c r="D2265" s="116">
        <v>1064.3499999999999</v>
      </c>
      <c r="E2265" s="116">
        <v>1091.5999999999999</v>
      </c>
      <c r="F2265" s="116">
        <v>1074.0999999999999</v>
      </c>
      <c r="G2265">
        <v>13780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45341</v>
      </c>
      <c r="B2266" s="116">
        <v>1100</v>
      </c>
      <c r="C2266" s="116">
        <v>1097.8</v>
      </c>
      <c r="D2266" s="116">
        <v>1071.6500000000001</v>
      </c>
      <c r="E2266" s="116">
        <v>1075</v>
      </c>
      <c r="F2266" s="116">
        <v>1097.8</v>
      </c>
      <c r="G2266">
        <v>18904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45342</v>
      </c>
      <c r="B2267" s="116">
        <v>1113</v>
      </c>
      <c r="C2267" s="116">
        <v>1105.55</v>
      </c>
      <c r="D2267" s="116">
        <v>1086</v>
      </c>
      <c r="E2267" s="116">
        <v>1097.1500000000001</v>
      </c>
      <c r="F2267" s="116">
        <v>1105.55</v>
      </c>
      <c r="G2267">
        <v>45942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45343</v>
      </c>
      <c r="B2268" s="116">
        <v>1114.8499999999999</v>
      </c>
      <c r="C2268" s="116">
        <v>1107.3499999999999</v>
      </c>
      <c r="D2268" s="116">
        <v>1093.3</v>
      </c>
      <c r="E2268" s="116">
        <v>1109.3499999999999</v>
      </c>
      <c r="F2268" s="116">
        <v>1107.3499999999999</v>
      </c>
      <c r="G2268">
        <v>12239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45344</v>
      </c>
      <c r="B2269" s="116">
        <v>1114.45</v>
      </c>
      <c r="C2269" s="116">
        <v>1098.05</v>
      </c>
      <c r="D2269" s="116">
        <v>1085.6500000000001</v>
      </c>
      <c r="E2269" s="116">
        <v>1114.45</v>
      </c>
      <c r="F2269" s="116">
        <v>1098.05</v>
      </c>
      <c r="G2269">
        <v>63785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45345</v>
      </c>
      <c r="B2270" s="116">
        <v>1106.7</v>
      </c>
      <c r="C2270" s="116">
        <v>1095.0999999999999</v>
      </c>
      <c r="D2270" s="116">
        <v>1090.4000000000001</v>
      </c>
      <c r="E2270" s="116">
        <v>1097.55</v>
      </c>
      <c r="F2270" s="116">
        <v>1095.0999999999999</v>
      </c>
      <c r="G2270">
        <v>10413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45348</v>
      </c>
      <c r="B2271" s="116">
        <v>1102.05</v>
      </c>
      <c r="C2271" s="116">
        <v>1097.8</v>
      </c>
      <c r="D2271" s="116">
        <v>1066.7</v>
      </c>
      <c r="E2271" s="116">
        <v>1090.95</v>
      </c>
      <c r="F2271" s="116">
        <v>1097.8</v>
      </c>
      <c r="G2271">
        <v>44389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45349</v>
      </c>
      <c r="B2272" s="116">
        <v>1125</v>
      </c>
      <c r="C2272" s="116">
        <v>1116.4000000000001</v>
      </c>
      <c r="D2272" s="116">
        <v>1085</v>
      </c>
      <c r="E2272" s="116">
        <v>1090</v>
      </c>
      <c r="F2272" s="116">
        <v>1116.4000000000001</v>
      </c>
      <c r="G2272">
        <v>117994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45350</v>
      </c>
      <c r="B2273" s="116">
        <v>1133.6500000000001</v>
      </c>
      <c r="C2273" s="116">
        <v>1108.1500000000001</v>
      </c>
      <c r="D2273" s="116">
        <v>1104.8</v>
      </c>
      <c r="E2273" s="116">
        <v>1129.95</v>
      </c>
      <c r="F2273" s="116">
        <v>1108.1500000000001</v>
      </c>
      <c r="G2273">
        <v>30393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45351</v>
      </c>
      <c r="B2274" s="116">
        <v>1125.8499999999999</v>
      </c>
      <c r="C2274" s="116">
        <v>1108.7</v>
      </c>
      <c r="D2274" s="116">
        <v>1087.5999999999999</v>
      </c>
      <c r="E2274" s="116">
        <v>1119.95</v>
      </c>
      <c r="F2274" s="116">
        <v>1108.7</v>
      </c>
      <c r="G2274">
        <v>507749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45352</v>
      </c>
      <c r="B2275" s="116">
        <v>1117.55</v>
      </c>
      <c r="C2275" s="116">
        <v>1084.8</v>
      </c>
      <c r="D2275" s="116">
        <v>1065.3499999999999</v>
      </c>
      <c r="E2275" s="116">
        <v>1110.05</v>
      </c>
      <c r="F2275" s="116">
        <v>1084.8</v>
      </c>
      <c r="G2275">
        <v>36026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45353</v>
      </c>
      <c r="B2276" s="116">
        <v>1139</v>
      </c>
      <c r="C2276" s="116">
        <v>1110.45</v>
      </c>
      <c r="D2276" s="116">
        <v>1086.0999999999999</v>
      </c>
      <c r="E2276" s="116">
        <v>1086.0999999999999</v>
      </c>
      <c r="F2276" s="116">
        <v>1110.45</v>
      </c>
      <c r="G2276">
        <v>9583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45355</v>
      </c>
      <c r="B2277" s="116">
        <v>1126</v>
      </c>
      <c r="C2277" s="116">
        <v>1109.55</v>
      </c>
      <c r="D2277" s="116">
        <v>1096.2</v>
      </c>
      <c r="E2277" s="116">
        <v>1108.55</v>
      </c>
      <c r="F2277" s="116">
        <v>1109.55</v>
      </c>
      <c r="G2277">
        <v>37816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45356</v>
      </c>
      <c r="B2278" s="116">
        <v>1110</v>
      </c>
      <c r="C2278" s="116">
        <v>1070.8499999999999</v>
      </c>
      <c r="D2278" s="116">
        <v>1068.0999999999999</v>
      </c>
      <c r="E2278" s="116">
        <v>1109.55</v>
      </c>
      <c r="F2278" s="116">
        <v>1070.8499999999999</v>
      </c>
      <c r="G2278">
        <v>43731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45357</v>
      </c>
      <c r="B2279" s="116">
        <v>1079.7</v>
      </c>
      <c r="C2279" s="116">
        <v>1062.0999999999999</v>
      </c>
      <c r="D2279" s="116">
        <v>1044.0999999999999</v>
      </c>
      <c r="E2279" s="116">
        <v>1073.75</v>
      </c>
      <c r="F2279" s="116">
        <v>1062.0999999999999</v>
      </c>
      <c r="G2279">
        <v>24102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45358</v>
      </c>
      <c r="B2280" s="116">
        <v>1090.6500000000001</v>
      </c>
      <c r="C2280" s="116">
        <v>1082.3</v>
      </c>
      <c r="D2280" s="116">
        <v>1060.55</v>
      </c>
      <c r="E2280" s="116">
        <v>1060.55</v>
      </c>
      <c r="F2280" s="116">
        <v>1082.3</v>
      </c>
      <c r="G2280">
        <v>50329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45362</v>
      </c>
      <c r="B2281" s="116">
        <v>1095.6500000000001</v>
      </c>
      <c r="C2281" s="116">
        <v>1072.6500000000001</v>
      </c>
      <c r="D2281" s="116">
        <v>1064</v>
      </c>
      <c r="E2281" s="116">
        <v>1095.6500000000001</v>
      </c>
      <c r="F2281" s="116">
        <v>1072.6500000000001</v>
      </c>
      <c r="G2281">
        <v>24777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45363</v>
      </c>
      <c r="B2282" s="116">
        <v>1078</v>
      </c>
      <c r="C2282" s="116">
        <v>1053.4000000000001</v>
      </c>
      <c r="D2282" s="116">
        <v>1049.0999999999999</v>
      </c>
      <c r="E2282" s="116">
        <v>1071.0999999999999</v>
      </c>
      <c r="F2282" s="116">
        <v>1053.4000000000001</v>
      </c>
      <c r="G2282">
        <v>7473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45364</v>
      </c>
      <c r="B2283" s="116">
        <v>1069</v>
      </c>
      <c r="C2283" s="116">
        <v>1043.0999999999999</v>
      </c>
      <c r="D2283" s="116">
        <v>1024.5</v>
      </c>
      <c r="E2283" s="116">
        <v>1055.8499999999999</v>
      </c>
      <c r="F2283" s="116">
        <v>1043.0999999999999</v>
      </c>
      <c r="G2283">
        <v>371699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45365</v>
      </c>
      <c r="B2284" s="116">
        <v>1076.9000000000001</v>
      </c>
      <c r="C2284" s="116">
        <v>1073</v>
      </c>
      <c r="D2284" s="116">
        <v>1026.5999999999999</v>
      </c>
      <c r="E2284" s="116">
        <v>1036</v>
      </c>
      <c r="F2284" s="116">
        <v>1073</v>
      </c>
      <c r="G2284">
        <v>27568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2026-06-17T12:59:28Z</dcterms:modified>
  <cp:category/>
  <cp:contentStatus/>
</cp:coreProperties>
</file>